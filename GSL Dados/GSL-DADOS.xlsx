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IMPORTAR" sheetId="2" state="visible" r:id="rId4"/>
    <sheet name="FONTES" sheetId="3" state="visible" r:id="rId5"/>
    <sheet name="MAPEAMENTO" sheetId="4" state="visible" r:id="rId6"/>
    <sheet name="DE-PARA" sheetId="5" state="visible" r:id="rId7"/>
    <sheet name="FATO_ASSIDUIDADE" sheetId="6" state="visible" r:id="rId8"/>
    <sheet name="FATO_ERROS" sheetId="7" state="visible" r:id="rId9"/>
    <sheet name="FATO_METAS" sheetId="8" state="visible" r:id="rId10"/>
    <sheet name="COLABORADORES" sheetId="9" state="visible" r:id="rId11"/>
    <sheet name="RESUMO_BI" sheetId="10" state="visible" r:id="rId12"/>
    <sheet name="CONFI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<sst xmlns="http://schemas.openxmlformats.org/spreadsheetml/2006/main" count="461" uniqueCount="295">
  <si>
    <t xml:space="preserve">GSL-DADOS · BASE ANALÍTICA DO CD FEIRA DE SANTANA</t>
  </si>
  <si>
    <t xml:space="preserve">Planilha SEPARADA do calendário GSL Bartofil. Recebe os dados dos setores (RH, erros e metas), padroniza tudo em uma tabela única e serve de fonte para o BI. Não há nenhuma ligação com a planilha do calendário.</t>
  </si>
  <si>
    <t xml:space="preserve">COMO USAR — TODO MÊS</t>
  </si>
  <si>
    <t xml:space="preserve">1 · Receba a planilha do RH</t>
  </si>
  <si>
    <t xml:space="preserve">O RH gera uma planilha nova de assiduidade a cada competência (período que começa no dia 21).</t>
  </si>
  <si>
    <t xml:space="preserve">2 · Cole o link</t>
  </si>
  <si>
    <t xml:space="preserve">Vá na aba IMPORTAR, cole o link da planilha nova em B6 e confira a competência em B8.</t>
  </si>
  <si>
    <t xml:space="preserve">3 · Rode a importação</t>
  </si>
  <si>
    <t xml:space="preserve">Menu GSL Dados &gt; Importar assiduidade. O script lê a planilha do RH, despivota o quadro (uma coluna por dia vira uma linha por dia) e empilha em FATO_ASSIDUIDADE.</t>
  </si>
  <si>
    <t xml:space="preserve">4 · Trate os pendentes</t>
  </si>
  <si>
    <t xml:space="preserve">Se aparecer algum código novo, ele cai como "A CONFIRMAR". Acrescente a linha na aba DE-PARA e a classificação se corrige sozinha em todo o histórico.</t>
  </si>
  <si>
    <t xml:space="preserve">5 · O BI atualiza</t>
  </si>
  <si>
    <t xml:space="preserve">O Looker Studio lê FATO_ASSIDUIDADE direto. Nada mais precisa ser feito.</t>
  </si>
  <si>
    <t xml:space="preserve">AS ABAS</t>
  </si>
  <si>
    <t xml:space="preserve">IMPORTAR</t>
  </si>
  <si>
    <t xml:space="preserve">Onde se cola o link da planilha de assiduidade do mês. Guarda o histórico do que já foi importado.</t>
  </si>
  <si>
    <t xml:space="preserve">FONTES</t>
  </si>
  <si>
    <t xml:space="preserve">Cadastro das planilhas de origem: assiduidade, erros e metas. Uma linha por fonte.</t>
  </si>
  <si>
    <t xml:space="preserve">MAPEAMENTO</t>
  </si>
  <si>
    <t xml:space="preserve">Onde você diz ao script o que procurar em cada planilha de origem. Nenhuma fonte nova exige mexer no código.</t>
  </si>
  <si>
    <t xml:space="preserve">DE-PARA</t>
  </si>
  <si>
    <t xml:space="preserve">Tradução dos códigos (do RH e dos erros) para as categorias do BI.</t>
  </si>
  <si>
    <t xml:space="preserve">FATO_ASSIDUIDADE</t>
  </si>
  <si>
    <t xml:space="preserve">Uma linha por colaborador por dia. Nunca editar à mão.</t>
  </si>
  <si>
    <t xml:space="preserve">FATO_ERROS</t>
  </si>
  <si>
    <t xml:space="preserve">Uma linha por erro registrado.</t>
  </si>
  <si>
    <t xml:space="preserve">FATO_METAS</t>
  </si>
  <si>
    <t xml:space="preserve">Meta e realizado por indicador e competência.</t>
  </si>
  <si>
    <t xml:space="preserve">COLABORADORES</t>
  </si>
  <si>
    <t xml:space="preserve">Matrícula → nome. Separada de propósito: as tabelas do BI só carregam matrícula.</t>
  </si>
  <si>
    <t xml:space="preserve">RESUMO_BI</t>
  </si>
  <si>
    <t xml:space="preserve">Conferência por turno e categoria antes de publicar o painel.</t>
  </si>
  <si>
    <t xml:space="preserve">CONFIG</t>
  </si>
  <si>
    <t xml:space="preserve">Parâmetros de leitura da assiduidade e o ajuste manual, para quando o automático falhar.</t>
  </si>
  <si>
    <t xml:space="preserve">PRIVACIDADE</t>
  </si>
  <si>
    <t xml:space="preserve">As tabelas do BI trabalham por MATRÍCULA e TURNO — nome não entra nelas. Os painéis publicados mostram apenas números agregados por turno, setor e categoria. Coordenadores não têm acesso a esta planilha.</t>
  </si>
  <si>
    <t xml:space="preserve">PENDENTE</t>
  </si>
  <si>
    <t xml:space="preserve">Sete códigos do RH estão marcados como "A CONFIRMAR" no DE-PARA — cinco por descrição cortada na folha impressa e dois (6 e 28) que aparecem lançados sem constar na legenda. As abas FONTES e MAPEAMENTO de ERROS e METAS estão montadas mas vazias: preencher quando os arquivos desses setores estiverem em mãos.</t>
  </si>
  <si>
    <t xml:space="preserve">IMPORTAR ASSIDUIDADE DO MÊS</t>
  </si>
  <si>
    <t xml:space="preserve">Cole o link da planilha nova do RH em B6 e use o menu GSL Dados &gt; Importar assiduidade. Reimportar a mesma competência substitui as linhas dela — correções do RH entram sem duplicar nada.</t>
  </si>
  <si>
    <t xml:space="preserve">LINK DA PLANILHA DO RH (cole aqui)</t>
  </si>
  <si>
    <t xml:space="preserve">https://docs.google.com/spreadsheets/d/COLE_O_LINK_AQUI/edit</t>
  </si>
  <si>
    <t xml:space="preserve">COMPETÊNCIA DETECTADA (preenchida pelo script)</t>
  </si>
  <si>
    <t xml:space="preserve">HISTÓRICO DE IMPORTAÇÕES</t>
  </si>
  <si>
    <t xml:space="preserve">DATA/HORA</t>
  </si>
  <si>
    <t xml:space="preserve">COMPETÊNCIA</t>
  </si>
  <si>
    <t xml:space="preserve">LINHAS IMPORTADAS</t>
  </si>
  <si>
    <t xml:space="preserve">CÓDIGOS NOVOS</t>
  </si>
  <si>
    <t xml:space="preserve">QUEM IMPORTOU</t>
  </si>
  <si>
    <t xml:space="preserve">LINK DE ORIGEM</t>
  </si>
  <si>
    <t xml:space="preserve">(exemplo) 21/08/2026 08:14</t>
  </si>
  <si>
    <t xml:space="preserve">2026-08</t>
  </si>
  <si>
    <t xml:space="preserve">nome@bartofil.com.br</t>
  </si>
  <si>
    <t xml:space="preserve">https://docs.google.com/...</t>
  </si>
  <si>
    <t xml:space="preserve">FONTES · DE ONDE VEM CADA BASE</t>
  </si>
  <si>
    <t xml:space="preserve">Uma linha por planilha de origem. Cole o link da planilha nova do mês na coluna B e diga ao script o formato dela. A assiduidade já está configurada; erros e metas ficam prontas assim que você vir os arquivos.</t>
  </si>
  <si>
    <t xml:space="preserve">FONTE</t>
  </si>
  <si>
    <t xml:space="preserve">LINK DA PLANILHA DO MÊS</t>
  </si>
  <si>
    <t xml:space="preserve">ABA</t>
  </si>
  <si>
    <t xml:space="preserve">FORMATO</t>
  </si>
  <si>
    <t xml:space="preserve">LINHA DO CABEÇALHO</t>
  </si>
  <si>
    <t xml:space="preserve">1ª LINHA DE DADOS</t>
  </si>
  <si>
    <t xml:space="preserve">DE ONDE VEM A COMPETÊNCIA</t>
  </si>
  <si>
    <t xml:space="preserve">ATIVA</t>
  </si>
  <si>
    <t xml:space="preserve">ASSIDUIDADE</t>
  </si>
  <si>
    <t xml:space="preserve">(usa o link da aba IMPORTAR)</t>
  </si>
  <si>
    <t xml:space="preserve">Matricial (uma coluna por dia)</t>
  </si>
  <si>
    <t xml:space="preserve">Pela data do lançamento</t>
  </si>
  <si>
    <t xml:space="preserve">Sim</t>
  </si>
  <si>
    <t xml:space="preserve">ERROS</t>
  </si>
  <si>
    <t xml:space="preserve">Tabular (uma linha por registro)</t>
  </si>
  <si>
    <t xml:space="preserve">Pela data do registro</t>
  </si>
  <si>
    <t xml:space="preserve">Não</t>
  </si>
  <si>
    <t xml:space="preserve">METAS</t>
  </si>
  <si>
    <t xml:space="preserve">Coluna própria na origem</t>
  </si>
  <si>
    <t xml:space="preserve">Matricial = o quadro tem uma coluna por dia e precisa ser despivotado (é o caso da assiduidade). Tabular = cada linha já é um registro pronto. Deixe "Linha do cabeçalho" em branco para o script procurar sozinho.</t>
  </si>
  <si>
    <t xml:space="preserve">MAPEAMENTO · O QUE O SCRIPT DEVE PROCURAR EM CADA PLANILHA</t>
  </si>
  <si>
    <t xml:space="preserve">Esta é a aba em que VOCÊ diz ao sistema o que buscar. Cada linha liga um campo da GSL-DADOS a algo na planilha de origem. Abriu o arquivo do setor e viu que a coluna da matrícula se chama "MATR"? Escreve MATR aqui e acabou — nada de mexer no código.</t>
  </si>
  <si>
    <t xml:space="preserve">CAMPO NA GSL-DADOS</t>
  </si>
  <si>
    <t xml:space="preserve">COMO ENCONTRAR</t>
  </si>
  <si>
    <t xml:space="preserve">REFERÊNCIA (o que procurar)</t>
  </si>
  <si>
    <t xml:space="preserve">OBRIGATÓRIO</t>
  </si>
  <si>
    <t xml:space="preserve">OBSERVAÇÃO</t>
  </si>
  <si>
    <t xml:space="preserve">DATA</t>
  </si>
  <si>
    <t xml:space="preserve">Cabeçalho</t>
  </si>
  <si>
    <t xml:space="preserve">Data em que o erro aconteceu.</t>
  </si>
  <si>
    <t xml:space="preserve">MATRÍCULA</t>
  </si>
  <si>
    <t xml:space="preserve">Chave do colaborador. Se a origem só tiver nome, use "Nome" e o script busca a matrícula em COLABORADORES.</t>
  </si>
  <si>
    <t xml:space="preserve">NOME</t>
  </si>
  <si>
    <t xml:space="preserve">Usado só para localizar a matrícula. Não vai para a tabela do BI.</t>
  </si>
  <si>
    <t xml:space="preserve">TURNO</t>
  </si>
  <si>
    <t xml:space="preserve">Se a origem não trouxer, use "Valor fixo" ou deixe o script buscar em COLABORADORES.</t>
  </si>
  <si>
    <t xml:space="preserve">SETOR</t>
  </si>
  <si>
    <t xml:space="preserve">Setor do CD onde o erro ocorreu — é o eixo principal do Pareto no BI.</t>
  </si>
  <si>
    <t xml:space="preserve">CÓDIGO / TIPO</t>
  </si>
  <si>
    <t xml:space="preserve">Classificação do erro. Entra no DE-PARA igual aos códigos do RH.</t>
  </si>
  <si>
    <t xml:space="preserve">QUANTIDADE</t>
  </si>
  <si>
    <t xml:space="preserve">Se em branco, cada linha conta como 1.</t>
  </si>
  <si>
    <t xml:space="preserve">DESCRIÇÃO</t>
  </si>
  <si>
    <t xml:space="preserve">Texto livre. Fica na base, mas não é publicado no painel.</t>
  </si>
  <si>
    <t xml:space="preserve">Mês da meta. Se a origem usar "jul/26", o script converte.</t>
  </si>
  <si>
    <t xml:space="preserve">Use "Valor fixo" se a planilha for uma por turno.</t>
  </si>
  <si>
    <t xml:space="preserve">Só se as metas forem abertas por setor.</t>
  </si>
  <si>
    <t xml:space="preserve">INDICADOR</t>
  </si>
  <si>
    <t xml:space="preserve">Nome do indicador (produtividade, avarias, acuracidade...).</t>
  </si>
  <si>
    <t xml:space="preserve">META</t>
  </si>
  <si>
    <t xml:space="preserve">Valor pactuado.</t>
  </si>
  <si>
    <t xml:space="preserve">REALIZADO</t>
  </si>
  <si>
    <t xml:space="preserve">Valor atingido. Fica em branco enquanto o mês estiver aberto.</t>
  </si>
  <si>
    <t xml:space="preserve">UNIDADE</t>
  </si>
  <si>
    <t xml:space="preserve">%, un., R$, caixas/hora. Só rótulo do painel.</t>
  </si>
  <si>
    <t xml:space="preserve">COMO ENCONTRAR — "Cabeçalho": o script procura esse texto na linha de cabeçalho da origem (é o mais seguro, sobrevive a coluna mudar de lugar). "Letra da coluna": posição fixa, use quando a planilha não tiver cabeçalho. "Valor fixo": o mesmo valor para todas as linhas, ex.: turno B numa planilha só do turno B. "Não usar": ignora o campo.</t>
  </si>
  <si>
    <t xml:space="preserve">Para acrescentar uma fonte nova depois (devoluções, avarias, o que vier), basta cadastrar a linha na aba FONTES e as linhas de campo aqui. O importador é o mesmo.</t>
  </si>
  <si>
    <t xml:space="preserve">DE-PARA · CÓDIGOS DO RH → CATEGORIAS DO BI</t>
  </si>
  <si>
    <t xml:space="preserve">Toda a inteligência do painel sai desta aba. Código novo do RH = uma linha nova aqui, e o histórico inteiro se reclassifica sozinho. Não mexa nas outras abas por causa de código novo.</t>
  </si>
  <si>
    <t xml:space="preserve">CÓDIGO</t>
  </si>
  <si>
    <t xml:space="preserve">DESCRIÇÃO NA LEGENDA DO RH</t>
  </si>
  <si>
    <t xml:space="preserve">CATEGORIA NO BI</t>
  </si>
  <si>
    <t xml:space="preserve">CONTA COMO AUSÊNCIA?</t>
  </si>
  <si>
    <t xml:space="preserve">A</t>
  </si>
  <si>
    <t xml:space="preserve">Dia trabalhado — Turno ADM</t>
  </si>
  <si>
    <t xml:space="preserve">Presença</t>
  </si>
  <si>
    <t xml:space="preserve">O código de presença é a própria letra do turno</t>
  </si>
  <si>
    <t xml:space="preserve">B</t>
  </si>
  <si>
    <t xml:space="preserve">Dia trabalhado — Turno B</t>
  </si>
  <si>
    <t xml:space="preserve">C</t>
  </si>
  <si>
    <t xml:space="preserve">Dia trabalhado — Turno C</t>
  </si>
  <si>
    <t xml:space="preserve">Confirmar se o bloco do Turno C usa "C"</t>
  </si>
  <si>
    <t xml:space="preserve">1</t>
  </si>
  <si>
    <t xml:space="preserve">Atestado médico</t>
  </si>
  <si>
    <t xml:space="preserve">Atestado</t>
  </si>
  <si>
    <t xml:space="preserve">2</t>
  </si>
  <si>
    <t xml:space="preserve">Viagem a serviço</t>
  </si>
  <si>
    <t xml:space="preserve">3</t>
  </si>
  <si>
    <t xml:space="preserve">Folga a compensar</t>
  </si>
  <si>
    <t xml:space="preserve">Folga</t>
  </si>
  <si>
    <t xml:space="preserve">4</t>
  </si>
  <si>
    <t xml:space="preserve">Falecimento (3 dias consecutivos)</t>
  </si>
  <si>
    <t xml:space="preserve">Licença legal</t>
  </si>
  <si>
    <t xml:space="preserve">5</t>
  </si>
  <si>
    <t xml:space="preserve">H.E. compensada</t>
  </si>
  <si>
    <t xml:space="preserve">Ajuste de horas</t>
  </si>
  <si>
    <t xml:space="preserve">003</t>
  </si>
  <si>
    <t xml:space="preserve">Saiu mais cedo — horas a compensar</t>
  </si>
  <si>
    <t xml:space="preserve">Presença parcial: o dia foi trabalhado</t>
  </si>
  <si>
    <t xml:space="preserve">7</t>
  </si>
  <si>
    <t xml:space="preserve">Serviço externo</t>
  </si>
  <si>
    <t xml:space="preserve">8</t>
  </si>
  <si>
    <t xml:space="preserve">Casamento (3 dias úteis)</t>
  </si>
  <si>
    <t xml:space="preserve">9</t>
  </si>
  <si>
    <t xml:space="preserve">Nascimento de filho(a) — 5 dias</t>
  </si>
  <si>
    <t xml:space="preserve">10</t>
  </si>
  <si>
    <t xml:space="preserve">Justiça eleitoral</t>
  </si>
  <si>
    <t xml:space="preserve">11</t>
  </si>
  <si>
    <t xml:space="preserve">Doação de sangue</t>
  </si>
  <si>
    <t xml:space="preserve">Descrição parcialmente ilegível na folha</t>
  </si>
  <si>
    <t xml:space="preserve">12</t>
  </si>
  <si>
    <t xml:space="preserve">Cinzas</t>
  </si>
  <si>
    <t xml:space="preserve">15</t>
  </si>
  <si>
    <t xml:space="preserve">Folga a compensar — banco de horas</t>
  </si>
  <si>
    <t xml:space="preserve">16</t>
  </si>
  <si>
    <t xml:space="preserve">Falta</t>
  </si>
  <si>
    <t xml:space="preserve">Principal indicador de absenteísmo</t>
  </si>
  <si>
    <t xml:space="preserve">17</t>
  </si>
  <si>
    <t xml:space="preserve">Esqueceu crachá / marcação</t>
  </si>
  <si>
    <t xml:space="preserve">O dia foi trabalhado — não é ausência</t>
  </si>
  <si>
    <t xml:space="preserve">18</t>
  </si>
  <si>
    <t xml:space="preserve">Falta (suspensão)</t>
  </si>
  <si>
    <t xml:space="preserve">Separar de 16 no painel: causa disciplinar</t>
  </si>
  <si>
    <t xml:space="preserve">19</t>
  </si>
  <si>
    <t xml:space="preserve">Dia compensado</t>
  </si>
  <si>
    <t xml:space="preserve">20</t>
  </si>
  <si>
    <t xml:space="preserve">Enchente</t>
  </si>
  <si>
    <t xml:space="preserve">21</t>
  </si>
  <si>
    <t xml:space="preserve">Consulta médica</t>
  </si>
  <si>
    <t xml:space="preserve">22</t>
  </si>
  <si>
    <t xml:space="preserve">Audiência</t>
  </si>
  <si>
    <t xml:space="preserve">23</t>
  </si>
  <si>
    <t xml:space="preserve">Acompanhante (descrição cortada)</t>
  </si>
  <si>
    <t xml:space="preserve">A CONFIRMAR</t>
  </si>
  <si>
    <t xml:space="preserve">Folha dobrada — confirmar com o RH</t>
  </si>
  <si>
    <t xml:space="preserve">24</t>
  </si>
  <si>
    <t xml:space="preserve">26</t>
  </si>
  <si>
    <t xml:space="preserve">Desconto de horas (descrição cortada)</t>
  </si>
  <si>
    <t xml:space="preserve">130</t>
  </si>
  <si>
    <t xml:space="preserve">Atestado acima de (descrição cortada)</t>
  </si>
  <si>
    <t xml:space="preserve">401</t>
  </si>
  <si>
    <t xml:space="preserve">Hora falta desvio (descrição cortada)</t>
  </si>
  <si>
    <t xml:space="preserve">6.1</t>
  </si>
  <si>
    <t xml:space="preserve">Férias</t>
  </si>
  <si>
    <t xml:space="preserve">6</t>
  </si>
  <si>
    <t xml:space="preserve">NÃO CONSTA NA LEGENDA</t>
  </si>
  <si>
    <t xml:space="preserve">Aparece lançado na planilha do RH sem estar na legenda</t>
  </si>
  <si>
    <t xml:space="preserve">28</t>
  </si>
  <si>
    <t xml:space="preserve">Fonte: legenda impressa do "Controle de Ponto" do RH, competência 21/07 a 20/08/2026, enviada em foto. Códigos 13, 14 e 25 não aparecem na legenda nem no corpo da planilha.</t>
  </si>
  <si>
    <t xml:space="preserve">FATO_ASSIDUIDADE · UMA LINHA POR COLABORADOR POR DIA</t>
  </si>
  <si>
    <t xml:space="preserve">Tabela única que o BI lê. Preenchida SOMENTE pelo script de importação — não editar à mão, não ordenar, não apagar linhas. Cresce para baixo: cada competência empilha na anterior, e é isso que dá histórico ao painel.</t>
  </si>
  <si>
    <t xml:space="preserve">MÊS CALENDÁRIO</t>
  </si>
  <si>
    <t xml:space="preserve">CATEGORIA</t>
  </si>
  <si>
    <t xml:space="preserve">AUSÊNCIA</t>
  </si>
  <si>
    <t xml:space="preserve">IMPORTADO EM</t>
  </si>
  <si>
    <t xml:space="preserve">ORIGEM</t>
  </si>
  <si>
    <t xml:space="preserve">2026-07-23</t>
  </si>
  <si>
    <t xml:space="preserve">2026-07</t>
  </si>
  <si>
    <t xml:space="preserve">21000885</t>
  </si>
  <si>
    <t xml:space="preserve">ADM</t>
  </si>
  <si>
    <t xml:space="preserve">(exemplo)</t>
  </si>
  <si>
    <t xml:space="preserve">(link da planilha do RH)</t>
  </si>
  <si>
    <t xml:space="preserve">A linha 6 é um EXEMPLO do formato — o script a substitui na primeira importação. CATEGORIA e AUSÊNCIA são gravadas pelo script a partir da aba DE-PARA. Se corrigir um código no DE-PARA depois, use o menu GSL Dados &gt; Reclassificar códigos para reescrever o histórico inteiro.</t>
  </si>
  <si>
    <t xml:space="preserve">FATO_ERROS · UMA LINHA POR ERRO REGISTRADO</t>
  </si>
  <si>
    <t xml:space="preserve">Preenchida pelo importador a partir do que estiver definido na aba MAPEAMENTO. Não editar à mão. É esta tabela que alimenta o Pareto de erros por setor no BI.</t>
  </si>
  <si>
    <t xml:space="preserve">A tabela nasce vazia. A primeira importação de ERROS grava a partir da linha 6.</t>
  </si>
  <si>
    <t xml:space="preserve">FATO_METAS · UMA LINHA POR INDICADOR, POR COMPETÊNCIA</t>
  </si>
  <si>
    <t xml:space="preserve">Meta pactuada e realizado, por turno e por indicador. Preenchida pelo importador conforme a aba MAPEAMENTO. Reimportar a mesma competência substitui as linhas dela — é assim que o realizado se atualiza durante o mês.</t>
  </si>
  <si>
    <t xml:space="preserve">% ATINGIDO</t>
  </si>
  <si>
    <t xml:space="preserve">% ATINGIDO é a única coluna calculada da aba (realizado ÷ meta). O importador copia a fórmula para cada linha nova.</t>
  </si>
  <si>
    <t xml:space="preserve">COLABORADORES · MATRÍCULA → NOME</t>
  </si>
  <si>
    <t xml:space="preserve">Fica separada de propósito. A tabela que o BI lê carrega apenas matrícula; esta aba existe só para o RH e a gerência conseguirem rastrear um caso específico quando for necessário.</t>
  </si>
  <si>
    <t xml:space="preserve">TURNO ATUAL</t>
  </si>
  <si>
    <t xml:space="preserve">ATUALIZADO EM</t>
  </si>
  <si>
    <t xml:space="preserve">(exemplo) NOME DO COLABORADOR</t>
  </si>
  <si>
    <t xml:space="preserve">2026-08-05</t>
  </si>
  <si>
    <t xml:space="preserve">Preenchida pelo script na importação</t>
  </si>
  <si>
    <t xml:space="preserve">RESUMO_BI · CONFERÊNCIA ANTES DE PUBLICAR</t>
  </si>
  <si>
    <t xml:space="preserve">Números agregados por turno e categoria, para bater com o RH antes de liberar o painel. Escolha a competência em B5. O painel do Looker lê a FATO direto — esta aba é só conferência humana.</t>
  </si>
  <si>
    <t xml:space="preserve">COMPETÊNCIA:</t>
  </si>
  <si>
    <t xml:space="preserve">TOTAL</t>
  </si>
  <si>
    <t xml:space="preserve">Cada número é uma contagem de dias-colaborador. Enquanto a FATO estiver vazia, tudo aqui fica zerado — é o esperado.</t>
  </si>
  <si>
    <t xml:space="preserve">Se a coluna "A CONFIRMAR" tiver qualquer valor acima de zero, NÃO publique o painel: há código do RH sem tradução na aba DE-PARA.</t>
  </si>
  <si>
    <t xml:space="preserve">CONFIG · COMO O SCRIPT LÊ A PLANILHA DO RH</t>
  </si>
  <si>
    <t xml:space="preserve">Só as células AMARELAS são editáveis. Tudo que o script procura na planilha do RH está aqui — se a importação não reconhecer alguma coisa, o ajuste é feito nesta aba, na hora, sem abrir o código.</t>
  </si>
  <si>
    <t xml:space="preserve">A · RECONHECIMENTO AUTOMÁTICO — o script tenta achar tudo sozinho a partir daqui</t>
  </si>
  <si>
    <t xml:space="preserve">Dia de início da competência</t>
  </si>
  <si>
    <t xml:space="preserve">A folha do RH fecha de 21 a 20. É isto que define a competência de cada data lançada.</t>
  </si>
  <si>
    <t xml:space="preserve">Turnos considerados</t>
  </si>
  <si>
    <t xml:space="preserve">ADM,A,B,C</t>
  </si>
  <si>
    <t xml:space="preserve">Blocos que o script procura. A ordem não importa. Tirar um daqui exclui o bloco inteiro da importação.</t>
  </si>
  <si>
    <t xml:space="preserve">Palavra que marca o bloco do turno</t>
  </si>
  <si>
    <t xml:space="preserve">O script procura linhas como "TURNO B SEG. A SEX. 15:00 AS 00:27". Se o RH mudar o texto, ajuste a palavra aqui.</t>
  </si>
  <si>
    <t xml:space="preserve">Cabeçalho da coluna de matrícula</t>
  </si>
  <si>
    <t xml:space="preserve">Matrícula</t>
  </si>
  <si>
    <t xml:space="preserve">Como o script acha a coluna, mesmo que ela mude de posição de um mês para o outro.</t>
  </si>
  <si>
    <t xml:space="preserve">Cabeçalho da coluna de nome</t>
  </si>
  <si>
    <t xml:space="preserve">Idem para o nome.</t>
  </si>
  <si>
    <t xml:space="preserve">Linha a ignorar dentro do bloco</t>
  </si>
  <si>
    <t xml:space="preserve">HORAS TRABALHADAS</t>
  </si>
  <si>
    <t xml:space="preserve">Linha de totais do RH. Não é colaborador e não pode entrar na FATO.</t>
  </si>
  <si>
    <t xml:space="preserve">Rótulo da data inicial na folha</t>
  </si>
  <si>
    <t xml:space="preserve">DATA INICIAL</t>
  </si>
  <si>
    <t xml:space="preserve">O script procura esta palavra no topo da folha e lê a data ao lado dela (ex.: 21/07/2026).</t>
  </si>
  <si>
    <t xml:space="preserve">Aba da planilha do RH</t>
  </si>
  <si>
    <t xml:space="preserve">Deixe em branco para usar a primeira aba. Preencha com o nome exato se o arquivo tiver várias.</t>
  </si>
  <si>
    <t xml:space="preserve">Gravar nome na aba COLABORADORES</t>
  </si>
  <si>
    <t xml:space="preserve">Se "Não", o nome é descartado na importação e só a matrícula é guardada.</t>
  </si>
  <si>
    <t xml:space="preserve">Linhas em branco que encerram um bloco</t>
  </si>
  <si>
    <t xml:space="preserve">Quantas linhas vazias seguidas o script entende como fim da lista de colaboradores daquele turno.</t>
  </si>
  <si>
    <t xml:space="preserve">B · AJUSTE MANUAL — use só se a pré-visualização acusar erro</t>
  </si>
  <si>
    <t xml:space="preserve">Ponha o modo em "Manual" e preencha o que o script não conseguiu achar. O que ficar em branco continua sendo detectado automaticamente — dá para corrigir só uma coisa sem abrir mão do resto.</t>
  </si>
  <si>
    <t xml:space="preserve">Modo de leitura</t>
  </si>
  <si>
    <t xml:space="preserve">Automático</t>
  </si>
  <si>
    <t xml:space="preserve">Automático = o script se vira sozinho. Manual = ele obedece o que estiver preenchido abaixo.</t>
  </si>
  <si>
    <t xml:space="preserve">Linha do cabeçalho (Matrícula / NOME)</t>
  </si>
  <si>
    <t xml:space="preserve">Número da linha, dentro de cada bloco, onde ficam esses dois títulos.</t>
  </si>
  <si>
    <t xml:space="preserve">Coluna da matrícula</t>
  </si>
  <si>
    <t xml:space="preserve">Letra da coluna na planilha do RH (ex.: B).</t>
  </si>
  <si>
    <t xml:space="preserve">Coluna do nome</t>
  </si>
  <si>
    <t xml:space="preserve">Letra da coluna (ex.: C).</t>
  </si>
  <si>
    <t xml:space="preserve">Primeira coluna de data</t>
  </si>
  <si>
    <t xml:space="preserve">Letra da coluna do primeiro dia do período (ex.: G).</t>
  </si>
  <si>
    <t xml:space="preserve">Última coluna de data</t>
  </si>
  <si>
    <t xml:space="preserve">Letra da coluna do último dia do período (ex.: AA).</t>
  </si>
  <si>
    <t xml:space="preserve">Data inicial do período</t>
  </si>
  <si>
    <t xml:space="preserve">Formato dd/mm/aaaa. Só preencha se o script não achar sozinho.</t>
  </si>
  <si>
    <t xml:space="preserve">C · LINHAS DE CADA BLOCO — preencher apenas em modo Manual</t>
  </si>
  <si>
    <t xml:space="preserve">LINHA INICIAL</t>
  </si>
  <si>
    <t xml:space="preserve">LINHA FINAL</t>
  </si>
  <si>
    <t xml:space="preserve">Primeira e última linha da lista de colaboradores de cada turno, na planilha do RH.</t>
  </si>
  <si>
    <t xml:space="preserve">D · O QUE FAZER QUANDO A PRÉ-VISUALIZAÇÃO ACUSAR ERRO</t>
  </si>
  <si>
    <t xml:space="preserve">Não achou nenhum bloco de turno</t>
  </si>
  <si>
    <t xml:space="preserve">Ajuste C8 (a palavra que marca o bloco) ou preencha as linhas na seção C.</t>
  </si>
  <si>
    <t xml:space="preserve">Achou menos turnos que o esperado</t>
  </si>
  <si>
    <t xml:space="preserve">Confira C7 e o texto do bloco que faltou na planilha do RH.</t>
  </si>
  <si>
    <t xml:space="preserve">Não achou a coluna de matrícula</t>
  </si>
  <si>
    <t xml:space="preserve">Ajuste C9, ou preencha C21 com a letra da coluna.</t>
  </si>
  <si>
    <t xml:space="preserve">Não achou as colunas de data</t>
  </si>
  <si>
    <t xml:space="preserve">Preencha C23 e C24 com a primeira e a última letra de coluna.</t>
  </si>
  <si>
    <t xml:space="preserve">Não achou a data inicial</t>
  </si>
  <si>
    <t xml:space="preserve">Preencha C25 com a data no formato dd/mm/aaaa.</t>
  </si>
  <si>
    <t xml:space="preserve">Datas saíram no mês errado</t>
  </si>
  <si>
    <t xml:space="preserve">Confira C6 e C25 — a virada de mês é calculada a partir dos dois.</t>
  </si>
  <si>
    <t xml:space="preserve">Entrou linha que não é colaborador</t>
  </si>
  <si>
    <t xml:space="preserve">Acrescente o texto dessa linha em C11, separado por vírgula.</t>
  </si>
  <si>
    <t xml:space="preserve">Apareceu código desconhecido</t>
  </si>
  <si>
    <t xml:space="preserve">Isso não é erro. Acrescente a linha na aba DE-PARA e reimporte.</t>
  </si>
  <si>
    <t xml:space="preserve">Valores iniciais definidos a partir da folha impressa enviada pelo usuário (competência 21/07 a 20/08/2026). A pré-visualização não escreve nada — pode rodar quantas vezes precisar até os números baterem.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</si>
</sst>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;\-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.5"/>
      <color rgb="FF4B5563"/>
      <name val="Arial"/>
      <family val="0"/>
      <charset val="1"/>
    </font>
    <font>
      <b val="true"/>
      <sz val="12"/>
      <color rgb="FF111785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2"/>
      <color rgb="FFD71920"/>
      <name val="Arial"/>
      <family val="0"/>
      <charset val="1"/>
    </font>
    <font>
      <b val="true"/>
      <sz val="12"/>
      <color rgb="FFB45309"/>
      <name val="Arial"/>
      <family val="0"/>
      <charset val="1"/>
    </font>
    <font>
      <b val="true"/>
      <sz val="10"/>
      <color rgb="FF11178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9.5"/>
      <color rgb="FF9CA3AF"/>
      <name val="Arial"/>
      <family val="0"/>
      <charset val="1"/>
    </font>
    <font>
      <sz val="9.5"/>
      <color rgb="FF222222"/>
      <name val="Arial"/>
      <family val="0"/>
      <charset val="1"/>
    </font>
    <font>
      <i val="true"/>
      <sz val="9.5"/>
      <color rgb="FF222222"/>
      <name val="Arial"/>
      <family val="0"/>
      <charset val="1"/>
    </font>
    <font>
      <b val="true"/>
      <sz val="9.5"/>
      <color rgb="FF0000FF"/>
      <name val="Arial"/>
      <family val="0"/>
      <charset val="1"/>
    </font>
    <font>
      <i val="true"/>
      <sz val="9.5"/>
      <color rgb="FF6B7280"/>
      <name val="Arial"/>
      <family val="0"/>
      <charset val="1"/>
    </font>
    <font>
      <sz val="9.5"/>
      <color rgb="FFD71920"/>
      <name val="Arial"/>
      <family val="0"/>
      <charset val="1"/>
    </font>
    <font>
      <sz val="9.5"/>
      <color rgb="FF4B5563"/>
      <name val="Arial"/>
      <family val="0"/>
      <charset val="1"/>
    </font>
    <font>
      <sz val="9.5"/>
      <color rgb="FF6B7280"/>
      <name val="Arial"/>
      <family val="0"/>
      <charset val="1"/>
    </font>
    <font>
      <sz val="9.5"/>
      <color rgb="FFB45309"/>
      <name val="Arial"/>
      <family val="0"/>
      <charset val="1"/>
    </font>
    <font>
      <b val="true"/>
      <sz val="9.5"/>
      <color rgb="FFB45309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D7192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.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11785"/>
        <bgColor rgb="FF000080"/>
      </patternFill>
    </fill>
    <fill>
      <patternFill patternType="solid">
        <fgColor rgb="FF01973A"/>
        <bgColor rgb="FF008080"/>
      </patternFill>
    </fill>
    <fill>
      <patternFill patternType="solid">
        <fgColor rgb="FFFFEE03"/>
        <bgColor rgb="FFFFFF00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3F4F6"/>
      </patternFill>
    </fill>
    <fill>
      <patternFill patternType="solid">
        <fgColor rgb="FFB45309"/>
        <bgColor rgb="FF993366"/>
      </patternFill>
    </fill>
    <fill>
      <patternFill patternType="solid">
        <fgColor rgb="FFD7192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3D9"/>
      </left>
      <right style="thin">
        <color rgb="FFD0D3D9"/>
      </right>
      <top style="thin">
        <color rgb="FFD0D3D9"/>
      </top>
      <bottom style="thin">
        <color rgb="FFD0D3D9"/>
      </bottom>
      <diagonal/>
    </border>
    <border diagonalUp="false" diagonalDown="false">
      <left style="thin">
        <color rgb="FFD0D3D9"/>
      </left>
      <right/>
      <top style="thin">
        <color rgb="FFD0D3D9"/>
      </top>
      <bottom style="thin">
        <color rgb="FFD0D3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9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71920"/>
      <rgbColor rgb="FF00FF00"/>
      <rgbColor rgb="FF0000FF"/>
      <rgbColor rgb="FFFFEE03"/>
      <rgbColor rgb="FFFF00FF"/>
      <rgbColor rgb="FF00FFFF"/>
      <rgbColor rgb="FF800000"/>
      <rgbColor rgb="FF01973A"/>
      <rgbColor rgb="FF111785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0D3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B45309"/>
      <rgbColor rgb="FF993366"/>
      <rgbColor rgb="FF4B5563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9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4.5" hidden="false" customHeight="true" outlineLevel="0" collapsed="false">
      <c r="A2" s="3"/>
      <c r="B2" s="4"/>
      <c r="C2" s="3"/>
      <c r="D2" s="4"/>
      <c r="E2" s="3"/>
      <c r="F2" s="4"/>
      <c r="G2" s="3"/>
      <c r="H2" s="4"/>
    </row>
    <row r="3" customFormat="false" ht="30" hidden="false" customHeight="true" outlineLevel="0" collapsed="false">
      <c r="A3" s="5" t="s">
        <v>1</v>
      </c>
      <c r="B3" s="5"/>
      <c r="C3" s="5"/>
      <c r="D3" s="5"/>
      <c r="E3" s="5"/>
      <c r="F3" s="5"/>
      <c r="G3" s="5"/>
      <c r="H3" s="5"/>
    </row>
    <row r="5" customFormat="false" ht="15" hidden="false" customHeight="true" outlineLevel="0" collapsed="false">
      <c r="B5" s="6" t="s">
        <v>2</v>
      </c>
    </row>
    <row r="6" customFormat="false" ht="31.5" hidden="false" customHeight="true" outlineLevel="0" collapsed="false">
      <c r="B6" s="7" t="s">
        <v>3</v>
      </c>
      <c r="C6" s="8" t="s">
        <v>4</v>
      </c>
    </row>
    <row r="7" customFormat="false" ht="31.5" hidden="false" customHeight="true" outlineLevel="0" collapsed="false">
      <c r="B7" s="7" t="s">
        <v>5</v>
      </c>
      <c r="C7" s="8" t="s">
        <v>6</v>
      </c>
    </row>
    <row r="8" customFormat="false" ht="31.5" hidden="false" customHeight="true" outlineLevel="0" collapsed="false">
      <c r="B8" s="7" t="s">
        <v>7</v>
      </c>
      <c r="C8" s="8" t="s">
        <v>8</v>
      </c>
    </row>
    <row r="9" customFormat="false" ht="31.5" hidden="false" customHeight="true" outlineLevel="0" collapsed="false">
      <c r="B9" s="7" t="s">
        <v>9</v>
      </c>
      <c r="C9" s="8" t="s">
        <v>10</v>
      </c>
    </row>
    <row r="10" customFormat="false" ht="31.5" hidden="false" customHeight="true" outlineLevel="0" collapsed="false">
      <c r="B10" s="7" t="s">
        <v>11</v>
      </c>
      <c r="C10" s="8" t="s">
        <v>12</v>
      </c>
    </row>
    <row r="13" customFormat="false" ht="15" hidden="false" customHeight="true" outlineLevel="0" collapsed="false">
      <c r="B13" s="6" t="s">
        <v>13</v>
      </c>
    </row>
    <row r="14" customFormat="false" ht="25.5" hidden="false" customHeight="true" outlineLevel="0" collapsed="false">
      <c r="B14" s="7" t="s">
        <v>14</v>
      </c>
      <c r="C14" s="8" t="s">
        <v>15</v>
      </c>
    </row>
    <row r="15" customFormat="false" ht="25.5" hidden="false" customHeight="true" outlineLevel="0" collapsed="false">
      <c r="B15" s="7" t="s">
        <v>16</v>
      </c>
      <c r="C15" s="8" t="s">
        <v>17</v>
      </c>
    </row>
    <row r="16" customFormat="false" ht="25.5" hidden="false" customHeight="true" outlineLevel="0" collapsed="false">
      <c r="B16" s="7" t="s">
        <v>18</v>
      </c>
      <c r="C16" s="8" t="s">
        <v>19</v>
      </c>
    </row>
    <row r="17" customFormat="false" ht="25.5" hidden="false" customHeight="true" outlineLevel="0" collapsed="false">
      <c r="B17" s="7" t="s">
        <v>20</v>
      </c>
      <c r="C17" s="8" t="s">
        <v>21</v>
      </c>
    </row>
    <row r="18" customFormat="false" ht="25.5" hidden="false" customHeight="true" outlineLevel="0" collapsed="false">
      <c r="B18" s="7" t="s">
        <v>22</v>
      </c>
      <c r="C18" s="8" t="s">
        <v>23</v>
      </c>
    </row>
    <row r="19" customFormat="false" ht="25.5" hidden="false" customHeight="true" outlineLevel="0" collapsed="false">
      <c r="B19" s="7" t="s">
        <v>24</v>
      </c>
      <c r="C19" s="8" t="s">
        <v>25</v>
      </c>
    </row>
    <row r="20" customFormat="false" ht="25.5" hidden="false" customHeight="true" outlineLevel="0" collapsed="false">
      <c r="B20" s="7" t="s">
        <v>26</v>
      </c>
      <c r="C20" s="8" t="s">
        <v>27</v>
      </c>
    </row>
    <row r="21" customFormat="false" ht="25.5" hidden="false" customHeight="true" outlineLevel="0" collapsed="false">
      <c r="B21" s="7" t="s">
        <v>28</v>
      </c>
      <c r="C21" s="8" t="s">
        <v>29</v>
      </c>
    </row>
    <row r="22" customFormat="false" ht="25.5" hidden="false" customHeight="true" outlineLevel="0" collapsed="false">
      <c r="B22" s="7" t="s">
        <v>30</v>
      </c>
      <c r="C22" s="8" t="s">
        <v>31</v>
      </c>
    </row>
    <row r="23" customFormat="false" ht="25.5" hidden="false" customHeight="true" outlineLevel="0" collapsed="false">
      <c r="B23" s="7" t="s">
        <v>32</v>
      </c>
      <c r="C23" s="8" t="s">
        <v>33</v>
      </c>
    </row>
    <row r="25" customFormat="false" ht="43.5" hidden="false" customHeight="true" outlineLevel="0" collapsed="false">
      <c r="B25" s="9" t="s">
        <v>34</v>
      </c>
      <c r="C25" s="8" t="s">
        <v>35</v>
      </c>
    </row>
    <row r="27" customFormat="false" ht="57.75" hidden="false" customHeight="true" outlineLevel="0" collapsed="false">
      <c r="B27" s="10" t="s">
        <v>36</v>
      </c>
      <c r="C27" s="8" t="s">
        <v>37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8"/>
    <col collapsed="false" customWidth="true" hidden="false" outlineLevel="0" max="5" min="5" style="1" width="30"/>
    <col collapsed="false" customWidth="true" hidden="false" outlineLevel="0" max="6" min="6" style="1" width="62"/>
    <col collapsed="false" customWidth="true" hidden="false" outlineLevel="0" max="7" min="7" style="1" width="24"/>
  </cols>
  <sheetData>
    <row r="1" customFormat="false" ht="30" hidden="false" customHeight="true" outlineLevel="0" collapsed="false">
      <c r="A1" s="2" t="s">
        <v>38</v>
      </c>
      <c r="B1" s="2"/>
      <c r="C1" s="2"/>
      <c r="D1" s="2"/>
      <c r="E1" s="2"/>
      <c r="F1" s="2"/>
    </row>
    <row r="2" customFormat="false" ht="4.5" hidden="false" customHeight="true" outlineLevel="0" collapsed="false">
      <c r="A2" s="3"/>
      <c r="B2" s="4"/>
      <c r="C2" s="3"/>
      <c r="D2" s="4"/>
      <c r="E2" s="3"/>
      <c r="F2" s="4"/>
    </row>
    <row r="3" customFormat="false" ht="30" hidden="false" customHeight="true" outlineLevel="0" collapsed="false">
      <c r="A3" s="5" t="s">
        <v>39</v>
      </c>
      <c r="B3" s="5"/>
      <c r="C3" s="5"/>
      <c r="D3" s="5"/>
      <c r="E3" s="5"/>
      <c r="F3" s="5"/>
    </row>
    <row r="5" customFormat="false" ht="15" hidden="false" customHeight="true" outlineLevel="0" collapsed="false">
      <c r="B5" s="11" t="s">
        <v>40</v>
      </c>
    </row>
    <row r="6" customFormat="false" ht="15" hidden="false" customHeight="true" outlineLevel="0" collapsed="false">
      <c r="B6" s="12" t="s">
        <v>41</v>
      </c>
    </row>
    <row r="7" customFormat="false" ht="15" hidden="false" customHeight="true" outlineLevel="0" collapsed="false">
      <c r="B7" s="11" t="s">
        <v>42</v>
      </c>
    </row>
    <row r="8" customFormat="false" ht="15" hidden="false" customHeight="true" outlineLevel="0" collapsed="false">
      <c r="B8" s="13"/>
    </row>
    <row r="10" customFormat="false" ht="15" hidden="false" customHeight="true" outlineLevel="0" collapsed="false">
      <c r="B10" s="6" t="s">
        <v>43</v>
      </c>
    </row>
    <row r="11" customFormat="false" ht="30" hidden="false" customHeight="true" outlineLevel="0" collapsed="false">
      <c r="A11" s="14" t="s">
        <v>44</v>
      </c>
      <c r="B11" s="14" t="s">
        <v>45</v>
      </c>
      <c r="C11" s="14" t="s">
        <v>46</v>
      </c>
      <c r="D11" s="14" t="s">
        <v>47</v>
      </c>
      <c r="E11" s="14" t="s">
        <v>48</v>
      </c>
      <c r="F11" s="14" t="s">
        <v>49</v>
      </c>
    </row>
    <row r="12" customFormat="false" ht="15" hidden="false" customHeight="true" outlineLevel="0" collapsed="false">
      <c r="A12" s="15" t="s">
        <v>50</v>
      </c>
      <c r="B12" s="16" t="s">
        <v>51</v>
      </c>
      <c r="C12" s="16" t="n">
        <v>4650</v>
      </c>
      <c r="D12" s="16" t="n">
        <v>2</v>
      </c>
      <c r="E12" s="15" t="s">
        <v>52</v>
      </c>
      <c r="F12" s="15" t="s">
        <v>53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30" hidden="false" customHeight="true" outlineLevel="0" collapsed="false">
      <c r="A1" s="2" t="s">
        <v>54</v>
      </c>
      <c r="B1" s="2"/>
      <c r="C1" s="2"/>
      <c r="D1" s="2"/>
      <c r="E1" s="2"/>
      <c r="F1" s="2"/>
      <c r="G1" s="2"/>
      <c r="H1" s="2"/>
    </row>
    <row r="2" customFormat="false" ht="4.5" hidden="false" customHeight="true" outlineLevel="0" collapsed="false">
      <c r="A2" s="17"/>
      <c r="B2" s="18"/>
      <c r="C2" s="17"/>
      <c r="D2" s="18"/>
      <c r="E2" s="17"/>
      <c r="F2" s="18"/>
      <c r="G2" s="17"/>
      <c r="H2" s="18"/>
    </row>
    <row r="3" customFormat="false" ht="33.75" hidden="false" customHeight="true" outlineLevel="0" collapsed="false">
      <c r="A3" s="5" t="s">
        <v>55</v>
      </c>
      <c r="B3" s="5"/>
      <c r="C3" s="5"/>
      <c r="D3" s="5"/>
      <c r="E3" s="5"/>
      <c r="F3" s="5"/>
      <c r="G3" s="5"/>
      <c r="H3" s="5"/>
    </row>
    <row r="5" customFormat="false" ht="30" hidden="false" customHeight="true" outlineLevel="0" collapsed="false">
      <c r="A5" s="14" t="s">
        <v>56</v>
      </c>
      <c r="B5" s="14" t="s">
        <v>57</v>
      </c>
      <c r="C5" s="14" t="s">
        <v>58</v>
      </c>
      <c r="D5" s="14" t="s">
        <v>59</v>
      </c>
      <c r="E5" s="14" t="s">
        <v>60</v>
      </c>
      <c r="F5" s="14" t="s">
        <v>61</v>
      </c>
      <c r="G5" s="14" t="s">
        <v>62</v>
      </c>
      <c r="H5" s="14" t="s">
        <v>63</v>
      </c>
    </row>
    <row r="6" customFormat="false" ht="25.5" hidden="false" customHeight="true" outlineLevel="0" collapsed="false">
      <c r="A6" s="19" t="s">
        <v>64</v>
      </c>
      <c r="B6" s="20" t="s">
        <v>65</v>
      </c>
      <c r="C6" s="21"/>
      <c r="D6" s="22" t="s">
        <v>66</v>
      </c>
      <c r="E6" s="21"/>
      <c r="F6" s="21"/>
      <c r="G6" s="22" t="s">
        <v>67</v>
      </c>
      <c r="H6" s="23" t="s">
        <v>68</v>
      </c>
    </row>
    <row r="7" customFormat="false" ht="25.5" hidden="false" customHeight="true" outlineLevel="0" collapsed="false">
      <c r="A7" s="19" t="s">
        <v>69</v>
      </c>
      <c r="B7" s="24"/>
      <c r="C7" s="23"/>
      <c r="D7" s="25" t="s">
        <v>70</v>
      </c>
      <c r="E7" s="23"/>
      <c r="F7" s="23"/>
      <c r="G7" s="25" t="s">
        <v>71</v>
      </c>
      <c r="H7" s="23" t="s">
        <v>72</v>
      </c>
    </row>
    <row r="8" customFormat="false" ht="25.5" hidden="false" customHeight="true" outlineLevel="0" collapsed="false">
      <c r="A8" s="19" t="s">
        <v>73</v>
      </c>
      <c r="B8" s="24"/>
      <c r="C8" s="23"/>
      <c r="D8" s="25" t="s">
        <v>70</v>
      </c>
      <c r="E8" s="23"/>
      <c r="F8" s="23"/>
      <c r="G8" s="25" t="s">
        <v>74</v>
      </c>
      <c r="H8" s="23" t="s">
        <v>72</v>
      </c>
    </row>
    <row r="10" customFormat="false" ht="30" hidden="false" customHeight="true" outlineLevel="0" collapsed="false">
      <c r="A10" s="26" t="s">
        <v>75</v>
      </c>
      <c r="B10" s="26"/>
      <c r="C10" s="26"/>
      <c r="D10" s="26"/>
      <c r="E10" s="26"/>
      <c r="F10" s="26"/>
      <c r="G10" s="26"/>
      <c r="H10" s="26"/>
    </row>
  </sheetData>
  <mergeCells count="3">
    <mergeCell ref="A1:H1"/>
    <mergeCell ref="A3:H3"/>
    <mergeCell ref="A10:H10"/>
  </mergeCells>
  <dataValidations count="3">
    <dataValidation allowBlank="true" errorStyle="stop" operator="between" showDropDown="false" showErrorMessage="false" showInputMessage="false" sqref="D6:D20" type="list">
      <formula1>"Matricial (uma coluna por dia),Tabular (uma linha por registro)"</formula1>
      <formula2>0</formula2>
    </dataValidation>
    <dataValidation allowBlank="true" errorStyle="stop" operator="between" showDropDown="false" showErrorMessage="false" showInputMessage="false" sqref="G6:G20" type="list">
      <formula1>"Pela data do lançamento,Pela data do registro,Coluna própria na origem,Fixa (informar na importação)"</formula1>
      <formula2>0</formula2>
    </dataValidation>
    <dataValidation allowBlank="true" errorStyle="stop" operator="between" showDropDown="false" showErrorMessage="false" showInputMessage="false" sqref="H6:H2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6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30" hidden="false" customHeight="true" outlineLevel="0" collapsed="false">
      <c r="A1" s="2" t="s">
        <v>76</v>
      </c>
      <c r="B1" s="2"/>
      <c r="C1" s="2"/>
      <c r="D1" s="2"/>
      <c r="E1" s="2"/>
      <c r="F1" s="2"/>
    </row>
    <row r="2" customFormat="false" ht="4.5" hidden="false" customHeight="true" outlineLevel="0" collapsed="false">
      <c r="A2" s="17"/>
      <c r="B2" s="18"/>
      <c r="C2" s="17"/>
      <c r="D2" s="18"/>
      <c r="E2" s="17"/>
      <c r="F2" s="18"/>
    </row>
    <row r="3" customFormat="false" ht="33.75" hidden="false" customHeight="true" outlineLevel="0" collapsed="false">
      <c r="A3" s="5" t="s">
        <v>77</v>
      </c>
      <c r="B3" s="5"/>
      <c r="C3" s="5"/>
      <c r="D3" s="5"/>
      <c r="E3" s="5"/>
      <c r="F3" s="5"/>
    </row>
    <row r="5" customFormat="false" ht="30" hidden="false" customHeight="true" outlineLevel="0" collapsed="false">
      <c r="A5" s="14" t="s">
        <v>56</v>
      </c>
      <c r="B5" s="14" t="s">
        <v>78</v>
      </c>
      <c r="C5" s="14" t="s">
        <v>79</v>
      </c>
      <c r="D5" s="14" t="s">
        <v>80</v>
      </c>
      <c r="E5" s="14" t="s">
        <v>81</v>
      </c>
      <c r="F5" s="14" t="s">
        <v>82</v>
      </c>
    </row>
    <row r="6" customFormat="false" ht="25.5" hidden="false" customHeight="true" outlineLevel="0" collapsed="false">
      <c r="A6" s="21" t="s">
        <v>69</v>
      </c>
      <c r="B6" s="19" t="s">
        <v>83</v>
      </c>
      <c r="C6" s="23" t="s">
        <v>84</v>
      </c>
      <c r="D6" s="23"/>
      <c r="E6" s="27" t="s">
        <v>68</v>
      </c>
      <c r="F6" s="28" t="s">
        <v>85</v>
      </c>
    </row>
    <row r="7" customFormat="false" ht="25.5" hidden="false" customHeight="true" outlineLevel="0" collapsed="false">
      <c r="A7" s="21" t="s">
        <v>69</v>
      </c>
      <c r="B7" s="19" t="s">
        <v>86</v>
      </c>
      <c r="C7" s="23" t="s">
        <v>84</v>
      </c>
      <c r="D7" s="23"/>
      <c r="E7" s="27" t="s">
        <v>68</v>
      </c>
      <c r="F7" s="28" t="s">
        <v>87</v>
      </c>
    </row>
    <row r="8" customFormat="false" ht="25.5" hidden="false" customHeight="true" outlineLevel="0" collapsed="false">
      <c r="A8" s="21" t="s">
        <v>69</v>
      </c>
      <c r="B8" s="19" t="s">
        <v>88</v>
      </c>
      <c r="C8" s="23" t="s">
        <v>84</v>
      </c>
      <c r="D8" s="23"/>
      <c r="E8" s="29" t="s">
        <v>72</v>
      </c>
      <c r="F8" s="28" t="s">
        <v>89</v>
      </c>
    </row>
    <row r="9" customFormat="false" ht="25.5" hidden="false" customHeight="true" outlineLevel="0" collapsed="false">
      <c r="A9" s="21" t="s">
        <v>69</v>
      </c>
      <c r="B9" s="19" t="s">
        <v>90</v>
      </c>
      <c r="C9" s="23" t="s">
        <v>84</v>
      </c>
      <c r="D9" s="23"/>
      <c r="E9" s="27" t="s">
        <v>68</v>
      </c>
      <c r="F9" s="28" t="s">
        <v>91</v>
      </c>
    </row>
    <row r="10" customFormat="false" ht="25.5" hidden="false" customHeight="true" outlineLevel="0" collapsed="false">
      <c r="A10" s="21" t="s">
        <v>69</v>
      </c>
      <c r="B10" s="19" t="s">
        <v>92</v>
      </c>
      <c r="C10" s="23" t="s">
        <v>84</v>
      </c>
      <c r="D10" s="23"/>
      <c r="E10" s="27" t="s">
        <v>68</v>
      </c>
      <c r="F10" s="28" t="s">
        <v>93</v>
      </c>
    </row>
    <row r="11" customFormat="false" ht="25.5" hidden="false" customHeight="true" outlineLevel="0" collapsed="false">
      <c r="A11" s="21" t="s">
        <v>69</v>
      </c>
      <c r="B11" s="19" t="s">
        <v>94</v>
      </c>
      <c r="C11" s="23" t="s">
        <v>84</v>
      </c>
      <c r="D11" s="23"/>
      <c r="E11" s="27" t="s">
        <v>68</v>
      </c>
      <c r="F11" s="28" t="s">
        <v>95</v>
      </c>
    </row>
    <row r="12" customFormat="false" ht="25.5" hidden="false" customHeight="true" outlineLevel="0" collapsed="false">
      <c r="A12" s="21" t="s">
        <v>69</v>
      </c>
      <c r="B12" s="19" t="s">
        <v>96</v>
      </c>
      <c r="C12" s="23" t="s">
        <v>84</v>
      </c>
      <c r="D12" s="23"/>
      <c r="E12" s="29" t="s">
        <v>72</v>
      </c>
      <c r="F12" s="28" t="s">
        <v>97</v>
      </c>
    </row>
    <row r="13" customFormat="false" ht="25.5" hidden="false" customHeight="true" outlineLevel="0" collapsed="false">
      <c r="A13" s="21" t="s">
        <v>69</v>
      </c>
      <c r="B13" s="19" t="s">
        <v>98</v>
      </c>
      <c r="C13" s="23" t="s">
        <v>84</v>
      </c>
      <c r="D13" s="23"/>
      <c r="E13" s="29" t="s">
        <v>72</v>
      </c>
      <c r="F13" s="28" t="s">
        <v>99</v>
      </c>
    </row>
    <row r="14" customFormat="false" ht="25.5" hidden="false" customHeight="true" outlineLevel="0" collapsed="false">
      <c r="A14" s="21" t="s">
        <v>73</v>
      </c>
      <c r="B14" s="19" t="s">
        <v>45</v>
      </c>
      <c r="C14" s="23" t="s">
        <v>84</v>
      </c>
      <c r="D14" s="23"/>
      <c r="E14" s="27" t="s">
        <v>68</v>
      </c>
      <c r="F14" s="28" t="s">
        <v>100</v>
      </c>
    </row>
    <row r="15" customFormat="false" ht="25.5" hidden="false" customHeight="true" outlineLevel="0" collapsed="false">
      <c r="A15" s="21" t="s">
        <v>73</v>
      </c>
      <c r="B15" s="19" t="s">
        <v>90</v>
      </c>
      <c r="C15" s="23" t="s">
        <v>84</v>
      </c>
      <c r="D15" s="23"/>
      <c r="E15" s="27" t="s">
        <v>68</v>
      </c>
      <c r="F15" s="28" t="s">
        <v>101</v>
      </c>
    </row>
    <row r="16" customFormat="false" ht="25.5" hidden="false" customHeight="true" outlineLevel="0" collapsed="false">
      <c r="A16" s="21" t="s">
        <v>73</v>
      </c>
      <c r="B16" s="19" t="s">
        <v>92</v>
      </c>
      <c r="C16" s="23" t="s">
        <v>84</v>
      </c>
      <c r="D16" s="23"/>
      <c r="E16" s="29" t="s">
        <v>72</v>
      </c>
      <c r="F16" s="28" t="s">
        <v>102</v>
      </c>
    </row>
    <row r="17" customFormat="false" ht="25.5" hidden="false" customHeight="true" outlineLevel="0" collapsed="false">
      <c r="A17" s="21" t="s">
        <v>73</v>
      </c>
      <c r="B17" s="19" t="s">
        <v>103</v>
      </c>
      <c r="C17" s="23" t="s">
        <v>84</v>
      </c>
      <c r="D17" s="23"/>
      <c r="E17" s="27" t="s">
        <v>68</v>
      </c>
      <c r="F17" s="28" t="s">
        <v>104</v>
      </c>
    </row>
    <row r="18" customFormat="false" ht="25.5" hidden="false" customHeight="true" outlineLevel="0" collapsed="false">
      <c r="A18" s="21" t="s">
        <v>73</v>
      </c>
      <c r="B18" s="19" t="s">
        <v>105</v>
      </c>
      <c r="C18" s="23" t="s">
        <v>84</v>
      </c>
      <c r="D18" s="23"/>
      <c r="E18" s="27" t="s">
        <v>68</v>
      </c>
      <c r="F18" s="28" t="s">
        <v>106</v>
      </c>
    </row>
    <row r="19" customFormat="false" ht="25.5" hidden="false" customHeight="true" outlineLevel="0" collapsed="false">
      <c r="A19" s="21" t="s">
        <v>73</v>
      </c>
      <c r="B19" s="19" t="s">
        <v>107</v>
      </c>
      <c r="C19" s="23" t="s">
        <v>84</v>
      </c>
      <c r="D19" s="23"/>
      <c r="E19" s="27" t="s">
        <v>68</v>
      </c>
      <c r="F19" s="28" t="s">
        <v>108</v>
      </c>
    </row>
    <row r="20" customFormat="false" ht="25.5" hidden="false" customHeight="true" outlineLevel="0" collapsed="false">
      <c r="A20" s="21" t="s">
        <v>73</v>
      </c>
      <c r="B20" s="19" t="s">
        <v>109</v>
      </c>
      <c r="C20" s="23" t="s">
        <v>84</v>
      </c>
      <c r="D20" s="23"/>
      <c r="E20" s="29" t="s">
        <v>72</v>
      </c>
      <c r="F20" s="28" t="s">
        <v>110</v>
      </c>
    </row>
    <row r="22" customFormat="false" ht="55.5" hidden="false" customHeight="true" outlineLevel="0" collapsed="false">
      <c r="A22" s="30" t="s">
        <v>111</v>
      </c>
      <c r="B22" s="30"/>
      <c r="C22" s="30"/>
      <c r="D22" s="30"/>
      <c r="E22" s="30"/>
      <c r="F22" s="30"/>
    </row>
    <row r="23" customFormat="false" ht="30" hidden="false" customHeight="true" outlineLevel="0" collapsed="false">
      <c r="A23" s="30" t="s">
        <v>112</v>
      </c>
      <c r="B23" s="30"/>
      <c r="C23" s="30"/>
      <c r="D23" s="30"/>
      <c r="E23" s="30"/>
      <c r="F23" s="30"/>
    </row>
  </sheetData>
  <mergeCells count="4">
    <mergeCell ref="A1:F1"/>
    <mergeCell ref="A3:F3"/>
    <mergeCell ref="A22:F22"/>
    <mergeCell ref="A23:F23"/>
  </mergeCells>
  <dataValidations count="1">
    <dataValidation allowBlank="true" errorStyle="stop" operator="between" showDropDown="false" showErrorMessage="false" showInputMessage="false" sqref="C6:C60" type="list">
      <formula1>"Cabeçalho,Letra da coluna,Valor fixo,Não usar"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46"/>
  </cols>
  <sheetData>
    <row r="1" customFormat="false" ht="30" hidden="false" customHeight="true" outlineLevel="0" collapsed="false">
      <c r="A1" s="2" t="s">
        <v>113</v>
      </c>
      <c r="B1" s="2"/>
      <c r="C1" s="2"/>
      <c r="D1" s="2"/>
      <c r="E1" s="2"/>
    </row>
    <row r="2" customFormat="false" ht="4.5" hidden="false" customHeight="true" outlineLevel="0" collapsed="false">
      <c r="A2" s="3"/>
      <c r="B2" s="4"/>
      <c r="C2" s="3"/>
      <c r="D2" s="4"/>
      <c r="E2" s="3"/>
    </row>
    <row r="3" customFormat="false" ht="30" hidden="false" customHeight="true" outlineLevel="0" collapsed="false">
      <c r="A3" s="5" t="s">
        <v>114</v>
      </c>
      <c r="B3" s="5"/>
      <c r="C3" s="5"/>
      <c r="D3" s="5"/>
      <c r="E3" s="5"/>
    </row>
    <row r="5" customFormat="false" ht="30" hidden="false" customHeight="true" outlineLevel="0" collapsed="false">
      <c r="A5" s="14" t="s">
        <v>115</v>
      </c>
      <c r="B5" s="14" t="s">
        <v>116</v>
      </c>
      <c r="C5" s="14" t="s">
        <v>117</v>
      </c>
      <c r="D5" s="14" t="s">
        <v>118</v>
      </c>
      <c r="E5" s="14" t="s">
        <v>82</v>
      </c>
    </row>
    <row r="6" customFormat="false" ht="21.75" hidden="false" customHeight="true" outlineLevel="0" collapsed="false">
      <c r="A6" s="21" t="s">
        <v>119</v>
      </c>
      <c r="B6" s="22" t="s">
        <v>120</v>
      </c>
      <c r="C6" s="21" t="s">
        <v>121</v>
      </c>
      <c r="D6" s="21" t="s">
        <v>72</v>
      </c>
      <c r="E6" s="22" t="s">
        <v>122</v>
      </c>
    </row>
    <row r="7" customFormat="false" ht="21.75" hidden="false" customHeight="true" outlineLevel="0" collapsed="false">
      <c r="A7" s="21" t="s">
        <v>123</v>
      </c>
      <c r="B7" s="22" t="s">
        <v>124</v>
      </c>
      <c r="C7" s="21" t="s">
        <v>121</v>
      </c>
      <c r="D7" s="21" t="s">
        <v>72</v>
      </c>
      <c r="E7" s="22" t="s">
        <v>122</v>
      </c>
    </row>
    <row r="8" customFormat="false" ht="21.75" hidden="false" customHeight="true" outlineLevel="0" collapsed="false">
      <c r="A8" s="21" t="s">
        <v>125</v>
      </c>
      <c r="B8" s="22" t="s">
        <v>126</v>
      </c>
      <c r="C8" s="21" t="s">
        <v>121</v>
      </c>
      <c r="D8" s="21" t="s">
        <v>72</v>
      </c>
      <c r="E8" s="22" t="s">
        <v>127</v>
      </c>
    </row>
    <row r="9" customFormat="false" ht="21.75" hidden="false" customHeight="true" outlineLevel="0" collapsed="false">
      <c r="A9" s="21" t="s">
        <v>128</v>
      </c>
      <c r="B9" s="22" t="s">
        <v>129</v>
      </c>
      <c r="C9" s="21" t="s">
        <v>130</v>
      </c>
      <c r="D9" s="21" t="s">
        <v>68</v>
      </c>
      <c r="E9" s="22"/>
    </row>
    <row r="10" customFormat="false" ht="21.75" hidden="false" customHeight="true" outlineLevel="0" collapsed="false">
      <c r="A10" s="21" t="s">
        <v>131</v>
      </c>
      <c r="B10" s="22" t="s">
        <v>132</v>
      </c>
      <c r="C10" s="21" t="s">
        <v>121</v>
      </c>
      <c r="D10" s="21" t="s">
        <v>72</v>
      </c>
      <c r="E10" s="22"/>
    </row>
    <row r="11" customFormat="false" ht="21.75" hidden="false" customHeight="true" outlineLevel="0" collapsed="false">
      <c r="A11" s="21" t="s">
        <v>133</v>
      </c>
      <c r="B11" s="22" t="s">
        <v>134</v>
      </c>
      <c r="C11" s="21" t="s">
        <v>135</v>
      </c>
      <c r="D11" s="21" t="s">
        <v>72</v>
      </c>
      <c r="E11" s="22"/>
    </row>
    <row r="12" customFormat="false" ht="21.75" hidden="false" customHeight="true" outlineLevel="0" collapsed="false">
      <c r="A12" s="21" t="s">
        <v>136</v>
      </c>
      <c r="B12" s="22" t="s">
        <v>137</v>
      </c>
      <c r="C12" s="21" t="s">
        <v>138</v>
      </c>
      <c r="D12" s="21" t="s">
        <v>72</v>
      </c>
      <c r="E12" s="22"/>
    </row>
    <row r="13" customFormat="false" ht="21.75" hidden="false" customHeight="true" outlineLevel="0" collapsed="false">
      <c r="A13" s="21" t="s">
        <v>139</v>
      </c>
      <c r="B13" s="22" t="s">
        <v>140</v>
      </c>
      <c r="C13" s="21" t="s">
        <v>141</v>
      </c>
      <c r="D13" s="21" t="s">
        <v>72</v>
      </c>
      <c r="E13" s="22"/>
    </row>
    <row r="14" customFormat="false" ht="21.75" hidden="false" customHeight="true" outlineLevel="0" collapsed="false">
      <c r="A14" s="21" t="s">
        <v>142</v>
      </c>
      <c r="B14" s="22" t="s">
        <v>143</v>
      </c>
      <c r="C14" s="21" t="s">
        <v>141</v>
      </c>
      <c r="D14" s="21" t="s">
        <v>72</v>
      </c>
      <c r="E14" s="22" t="s">
        <v>144</v>
      </c>
    </row>
    <row r="15" customFormat="false" ht="21.75" hidden="false" customHeight="true" outlineLevel="0" collapsed="false">
      <c r="A15" s="21" t="s">
        <v>145</v>
      </c>
      <c r="B15" s="22" t="s">
        <v>146</v>
      </c>
      <c r="C15" s="21" t="s">
        <v>121</v>
      </c>
      <c r="D15" s="21" t="s">
        <v>72</v>
      </c>
      <c r="E15" s="22"/>
    </row>
    <row r="16" customFormat="false" ht="21.75" hidden="false" customHeight="true" outlineLevel="0" collapsed="false">
      <c r="A16" s="21" t="s">
        <v>147</v>
      </c>
      <c r="B16" s="22" t="s">
        <v>148</v>
      </c>
      <c r="C16" s="21" t="s">
        <v>138</v>
      </c>
      <c r="D16" s="21" t="s">
        <v>72</v>
      </c>
      <c r="E16" s="22"/>
    </row>
    <row r="17" customFormat="false" ht="21.75" hidden="false" customHeight="true" outlineLevel="0" collapsed="false">
      <c r="A17" s="21" t="s">
        <v>149</v>
      </c>
      <c r="B17" s="22" t="s">
        <v>150</v>
      </c>
      <c r="C17" s="21" t="s">
        <v>138</v>
      </c>
      <c r="D17" s="21" t="s">
        <v>72</v>
      </c>
      <c r="E17" s="22"/>
    </row>
    <row r="18" customFormat="false" ht="21.75" hidden="false" customHeight="true" outlineLevel="0" collapsed="false">
      <c r="A18" s="21" t="s">
        <v>151</v>
      </c>
      <c r="B18" s="22" t="s">
        <v>152</v>
      </c>
      <c r="C18" s="21" t="s">
        <v>138</v>
      </c>
      <c r="D18" s="21" t="s">
        <v>72</v>
      </c>
      <c r="E18" s="22"/>
    </row>
    <row r="19" customFormat="false" ht="21.75" hidden="false" customHeight="true" outlineLevel="0" collapsed="false">
      <c r="A19" s="21" t="s">
        <v>153</v>
      </c>
      <c r="B19" s="22" t="s">
        <v>154</v>
      </c>
      <c r="C19" s="21" t="s">
        <v>138</v>
      </c>
      <c r="D19" s="21" t="s">
        <v>72</v>
      </c>
      <c r="E19" s="22" t="s">
        <v>155</v>
      </c>
    </row>
    <row r="20" customFormat="false" ht="21.75" hidden="false" customHeight="true" outlineLevel="0" collapsed="false">
      <c r="A20" s="21" t="s">
        <v>156</v>
      </c>
      <c r="B20" s="22" t="s">
        <v>157</v>
      </c>
      <c r="C20" s="21" t="s">
        <v>135</v>
      </c>
      <c r="D20" s="21" t="s">
        <v>72</v>
      </c>
      <c r="E20" s="22"/>
    </row>
    <row r="21" customFormat="false" ht="21.75" hidden="false" customHeight="true" outlineLevel="0" collapsed="false">
      <c r="A21" s="21" t="s">
        <v>158</v>
      </c>
      <c r="B21" s="22" t="s">
        <v>159</v>
      </c>
      <c r="C21" s="21" t="s">
        <v>135</v>
      </c>
      <c r="D21" s="21" t="s">
        <v>72</v>
      </c>
      <c r="E21" s="22"/>
    </row>
    <row r="22" customFormat="false" ht="21.75" hidden="false" customHeight="true" outlineLevel="0" collapsed="false">
      <c r="A22" s="21" t="s">
        <v>160</v>
      </c>
      <c r="B22" s="22" t="s">
        <v>161</v>
      </c>
      <c r="C22" s="21" t="s">
        <v>161</v>
      </c>
      <c r="D22" s="21" t="s">
        <v>68</v>
      </c>
      <c r="E22" s="22" t="s">
        <v>162</v>
      </c>
    </row>
    <row r="23" customFormat="false" ht="21.75" hidden="false" customHeight="true" outlineLevel="0" collapsed="false">
      <c r="A23" s="21" t="s">
        <v>163</v>
      </c>
      <c r="B23" s="22" t="s">
        <v>164</v>
      </c>
      <c r="C23" s="21" t="s">
        <v>121</v>
      </c>
      <c r="D23" s="21" t="s">
        <v>72</v>
      </c>
      <c r="E23" s="22" t="s">
        <v>165</v>
      </c>
    </row>
    <row r="24" customFormat="false" ht="21.75" hidden="false" customHeight="true" outlineLevel="0" collapsed="false">
      <c r="A24" s="21" t="s">
        <v>166</v>
      </c>
      <c r="B24" s="22" t="s">
        <v>167</v>
      </c>
      <c r="C24" s="21" t="s">
        <v>161</v>
      </c>
      <c r="D24" s="21" t="s">
        <v>68</v>
      </c>
      <c r="E24" s="22" t="s">
        <v>168</v>
      </c>
    </row>
    <row r="25" customFormat="false" ht="21.75" hidden="false" customHeight="true" outlineLevel="0" collapsed="false">
      <c r="A25" s="21" t="s">
        <v>169</v>
      </c>
      <c r="B25" s="22" t="s">
        <v>170</v>
      </c>
      <c r="C25" s="21" t="s">
        <v>135</v>
      </c>
      <c r="D25" s="21" t="s">
        <v>72</v>
      </c>
      <c r="E25" s="22"/>
    </row>
    <row r="26" customFormat="false" ht="21.75" hidden="false" customHeight="true" outlineLevel="0" collapsed="false">
      <c r="A26" s="21" t="s">
        <v>171</v>
      </c>
      <c r="B26" s="22" t="s">
        <v>172</v>
      </c>
      <c r="C26" s="21" t="s">
        <v>138</v>
      </c>
      <c r="D26" s="21" t="s">
        <v>72</v>
      </c>
      <c r="E26" s="22"/>
    </row>
    <row r="27" customFormat="false" ht="21.75" hidden="false" customHeight="true" outlineLevel="0" collapsed="false">
      <c r="A27" s="21" t="s">
        <v>173</v>
      </c>
      <c r="B27" s="22" t="s">
        <v>174</v>
      </c>
      <c r="C27" s="21" t="s">
        <v>130</v>
      </c>
      <c r="D27" s="21" t="s">
        <v>68</v>
      </c>
      <c r="E27" s="22"/>
    </row>
    <row r="28" customFormat="false" ht="21.75" hidden="false" customHeight="true" outlineLevel="0" collapsed="false">
      <c r="A28" s="21" t="s">
        <v>175</v>
      </c>
      <c r="B28" s="22" t="s">
        <v>176</v>
      </c>
      <c r="C28" s="21" t="s">
        <v>138</v>
      </c>
      <c r="D28" s="21" t="s">
        <v>72</v>
      </c>
      <c r="E28" s="22"/>
    </row>
    <row r="29" customFormat="false" ht="21.75" hidden="false" customHeight="true" outlineLevel="0" collapsed="false">
      <c r="A29" s="31" t="s">
        <v>177</v>
      </c>
      <c r="B29" s="32" t="s">
        <v>178</v>
      </c>
      <c r="C29" s="33" t="s">
        <v>179</v>
      </c>
      <c r="D29" s="31"/>
      <c r="E29" s="32" t="s">
        <v>180</v>
      </c>
    </row>
    <row r="30" customFormat="false" ht="21.75" hidden="false" customHeight="true" outlineLevel="0" collapsed="false">
      <c r="A30" s="31" t="s">
        <v>181</v>
      </c>
      <c r="B30" s="32" t="s">
        <v>178</v>
      </c>
      <c r="C30" s="33" t="s">
        <v>179</v>
      </c>
      <c r="D30" s="31"/>
      <c r="E30" s="32" t="s">
        <v>180</v>
      </c>
    </row>
    <row r="31" customFormat="false" ht="21.75" hidden="false" customHeight="true" outlineLevel="0" collapsed="false">
      <c r="A31" s="31" t="s">
        <v>182</v>
      </c>
      <c r="B31" s="32" t="s">
        <v>183</v>
      </c>
      <c r="C31" s="33" t="s">
        <v>179</v>
      </c>
      <c r="D31" s="31"/>
      <c r="E31" s="32" t="s">
        <v>180</v>
      </c>
    </row>
    <row r="32" customFormat="false" ht="21.75" hidden="false" customHeight="true" outlineLevel="0" collapsed="false">
      <c r="A32" s="31" t="s">
        <v>184</v>
      </c>
      <c r="B32" s="32" t="s">
        <v>185</v>
      </c>
      <c r="C32" s="33" t="s">
        <v>179</v>
      </c>
      <c r="D32" s="31"/>
      <c r="E32" s="32" t="s">
        <v>180</v>
      </c>
    </row>
    <row r="33" customFormat="false" ht="21.75" hidden="false" customHeight="true" outlineLevel="0" collapsed="false">
      <c r="A33" s="31" t="s">
        <v>186</v>
      </c>
      <c r="B33" s="32" t="s">
        <v>187</v>
      </c>
      <c r="C33" s="33" t="s">
        <v>179</v>
      </c>
      <c r="D33" s="31"/>
      <c r="E33" s="32" t="s">
        <v>180</v>
      </c>
    </row>
    <row r="34" customFormat="false" ht="21.75" hidden="false" customHeight="true" outlineLevel="0" collapsed="false">
      <c r="A34" s="21" t="s">
        <v>188</v>
      </c>
      <c r="B34" s="22" t="s">
        <v>189</v>
      </c>
      <c r="C34" s="21" t="s">
        <v>189</v>
      </c>
      <c r="D34" s="21" t="s">
        <v>72</v>
      </c>
      <c r="E34" s="22"/>
    </row>
    <row r="35" customFormat="false" ht="21.75" hidden="false" customHeight="true" outlineLevel="0" collapsed="false">
      <c r="A35" s="31" t="s">
        <v>190</v>
      </c>
      <c r="B35" s="32" t="s">
        <v>191</v>
      </c>
      <c r="C35" s="33" t="s">
        <v>179</v>
      </c>
      <c r="D35" s="31"/>
      <c r="E35" s="32" t="s">
        <v>192</v>
      </c>
    </row>
    <row r="36" customFormat="false" ht="21.75" hidden="false" customHeight="true" outlineLevel="0" collapsed="false">
      <c r="A36" s="31" t="s">
        <v>193</v>
      </c>
      <c r="B36" s="32" t="s">
        <v>191</v>
      </c>
      <c r="C36" s="33" t="s">
        <v>179</v>
      </c>
      <c r="D36" s="31"/>
      <c r="E36" s="32" t="s">
        <v>192</v>
      </c>
    </row>
    <row r="38" customFormat="false" ht="15" hidden="false" customHeight="true" outlineLevel="0" collapsed="false">
      <c r="A38" s="34" t="s">
        <v>194</v>
      </c>
    </row>
  </sheetData>
  <mergeCells count="2">
    <mergeCell ref="A1:E1"/>
    <mergeCell ref="A3:E3"/>
  </mergeCells>
  <dataValidations count="2">
    <dataValidation allowBlank="true" errorStyle="stop" operator="between" showDropDown="false" showErrorMessage="false" showInputMessage="false" sqref="C6:C200" type="list">
      <formula1>"Presença,Falta,Atestado,Férias,Folga,Licença legal,Ajuste de horas,A CONFIRMAR"</formula1>
      <formula2>0</formula2>
    </dataValidation>
    <dataValidation allowBlank="true" errorStyle="stop" operator="between" showDropDown="false" showErrorMessage="false" showInputMessage="false" sqref="D6:D20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6" min="5" style="1" width="10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46"/>
  </cols>
  <sheetData>
    <row r="1" customFormat="false" ht="30" hidden="false" customHeight="true" outlineLevel="0" collapsed="false">
      <c r="A1" s="2" t="s">
        <v>195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4.5" hidden="false" customHeight="true" outlineLevel="0" collapsed="false">
      <c r="A2" s="3"/>
      <c r="B2" s="4"/>
      <c r="C2" s="3"/>
      <c r="D2" s="4"/>
      <c r="E2" s="3"/>
      <c r="F2" s="4"/>
      <c r="G2" s="3"/>
      <c r="H2" s="4"/>
      <c r="I2" s="3"/>
      <c r="J2" s="4"/>
    </row>
    <row r="3" customFormat="false" ht="30" hidden="false" customHeight="true" outlineLevel="0" collapsed="false">
      <c r="A3" s="5" t="s">
        <v>196</v>
      </c>
      <c r="B3" s="5"/>
      <c r="C3" s="5"/>
      <c r="D3" s="5"/>
      <c r="E3" s="5"/>
      <c r="F3" s="5"/>
      <c r="G3" s="5"/>
      <c r="H3" s="5"/>
      <c r="I3" s="5"/>
      <c r="J3" s="5"/>
    </row>
    <row r="5" customFormat="false" ht="30" hidden="false" customHeight="true" outlineLevel="0" collapsed="false">
      <c r="A5" s="14" t="s">
        <v>83</v>
      </c>
      <c r="B5" s="14" t="s">
        <v>45</v>
      </c>
      <c r="C5" s="14" t="s">
        <v>197</v>
      </c>
      <c r="D5" s="14" t="s">
        <v>86</v>
      </c>
      <c r="E5" s="14" t="s">
        <v>90</v>
      </c>
      <c r="F5" s="14" t="s">
        <v>115</v>
      </c>
      <c r="G5" s="14" t="s">
        <v>198</v>
      </c>
      <c r="H5" s="14" t="s">
        <v>199</v>
      </c>
      <c r="I5" s="14" t="s">
        <v>200</v>
      </c>
      <c r="J5" s="14" t="s">
        <v>201</v>
      </c>
    </row>
    <row r="6" customFormat="false" ht="15" hidden="false" customHeight="true" outlineLevel="0" collapsed="false">
      <c r="A6" s="35" t="s">
        <v>202</v>
      </c>
      <c r="B6" s="35" t="s">
        <v>51</v>
      </c>
      <c r="C6" s="35" t="s">
        <v>203</v>
      </c>
      <c r="D6" s="35" t="s">
        <v>204</v>
      </c>
      <c r="E6" s="35" t="s">
        <v>205</v>
      </c>
      <c r="F6" s="35" t="s">
        <v>142</v>
      </c>
      <c r="G6" s="35" t="s">
        <v>141</v>
      </c>
      <c r="H6" s="35" t="s">
        <v>72</v>
      </c>
      <c r="I6" s="15" t="s">
        <v>206</v>
      </c>
      <c r="J6" s="15" t="s">
        <v>207</v>
      </c>
    </row>
    <row r="8" customFormat="false" ht="15" hidden="false" customHeight="true" outlineLevel="0" collapsed="false">
      <c r="A8" s="34" t="s">
        <v>208</v>
      </c>
    </row>
  </sheetData>
  <mergeCells count="2">
    <mergeCell ref="A1:J1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40"/>
    <col collapsed="false" customWidth="true" hidden="false" outlineLevel="0" max="11" min="11" style="0" width="18"/>
    <col collapsed="false" customWidth="true" hidden="false" outlineLevel="0" max="12" min="12" style="0" width="44"/>
  </cols>
  <sheetData>
    <row r="1" customFormat="false" ht="30" hidden="false" customHeight="true" outlineLevel="0" collapsed="false">
      <c r="A1" s="2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4.5" hidden="false" customHeight="true" outlineLevel="0" collapsed="false">
      <c r="A2" s="17"/>
      <c r="B2" s="18"/>
      <c r="C2" s="17"/>
      <c r="D2" s="18"/>
      <c r="E2" s="17"/>
      <c r="F2" s="18"/>
      <c r="G2" s="17"/>
      <c r="H2" s="18"/>
      <c r="I2" s="17"/>
      <c r="J2" s="18"/>
      <c r="K2" s="17"/>
      <c r="L2" s="18"/>
    </row>
    <row r="3" customFormat="false" ht="33.75" hidden="false" customHeight="true" outlineLevel="0" collapsed="false">
      <c r="A3" s="5" t="s">
        <v>210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customFormat="false" ht="30" hidden="false" customHeight="true" outlineLevel="0" collapsed="false">
      <c r="A5" s="14" t="s">
        <v>83</v>
      </c>
      <c r="B5" s="14" t="s">
        <v>45</v>
      </c>
      <c r="C5" s="14" t="s">
        <v>197</v>
      </c>
      <c r="D5" s="14" t="s">
        <v>86</v>
      </c>
      <c r="E5" s="14" t="s">
        <v>90</v>
      </c>
      <c r="F5" s="14" t="s">
        <v>92</v>
      </c>
      <c r="G5" s="14" t="s">
        <v>115</v>
      </c>
      <c r="H5" s="14" t="s">
        <v>198</v>
      </c>
      <c r="I5" s="14" t="s">
        <v>96</v>
      </c>
      <c r="J5" s="14" t="s">
        <v>98</v>
      </c>
      <c r="K5" s="14" t="s">
        <v>200</v>
      </c>
      <c r="L5" s="14" t="s">
        <v>201</v>
      </c>
    </row>
    <row r="7" customFormat="false" ht="15" hidden="false" customHeight="false" outlineLevel="0" collapsed="false">
      <c r="A7" s="36" t="s">
        <v>211</v>
      </c>
    </row>
  </sheetData>
  <mergeCells count="2">
    <mergeCell ref="A1:L1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9" min="7" style="0" width="14"/>
    <col collapsed="false" customWidth="true" hidden="false" outlineLevel="0" max="10" min="10" style="0" width="18"/>
    <col collapsed="false" customWidth="true" hidden="false" outlineLevel="0" max="11" min="11" style="0" width="44"/>
  </cols>
  <sheetData>
    <row r="1" customFormat="false" ht="30" hidden="false" customHeight="true" outlineLevel="0" collapsed="false">
      <c r="A1" s="2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4.5" hidden="false" customHeight="true" outlineLevel="0" collapsed="false">
      <c r="A2" s="17"/>
      <c r="B2" s="18"/>
      <c r="C2" s="17"/>
      <c r="D2" s="18"/>
      <c r="E2" s="17"/>
      <c r="F2" s="18"/>
      <c r="G2" s="17"/>
      <c r="H2" s="18"/>
      <c r="I2" s="17"/>
      <c r="J2" s="18"/>
      <c r="K2" s="17"/>
    </row>
    <row r="3" customFormat="false" ht="33.75" hidden="false" customHeight="true" outlineLevel="0" collapsed="false">
      <c r="A3" s="5" t="s">
        <v>213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customFormat="false" ht="30" hidden="false" customHeight="true" outlineLevel="0" collapsed="false">
      <c r="A5" s="14" t="s">
        <v>45</v>
      </c>
      <c r="B5" s="14" t="s">
        <v>197</v>
      </c>
      <c r="C5" s="14" t="s">
        <v>90</v>
      </c>
      <c r="D5" s="14" t="s">
        <v>92</v>
      </c>
      <c r="E5" s="14" t="s">
        <v>103</v>
      </c>
      <c r="F5" s="14" t="s">
        <v>109</v>
      </c>
      <c r="G5" s="14" t="s">
        <v>105</v>
      </c>
      <c r="H5" s="14" t="s">
        <v>107</v>
      </c>
      <c r="I5" s="14" t="s">
        <v>214</v>
      </c>
      <c r="J5" s="14" t="s">
        <v>200</v>
      </c>
      <c r="K5" s="14" t="s">
        <v>201</v>
      </c>
    </row>
    <row r="6" customFormat="false" ht="15" hidden="false" customHeight="false" outlineLevel="0" collapsed="false">
      <c r="I6" s="37" t="str">
        <f aca="false">IFERROR(H6/G6,"")</f>
        <v/>
      </c>
    </row>
    <row r="8" customFormat="false" ht="15" hidden="false" customHeight="false" outlineLevel="0" collapsed="false">
      <c r="A8" s="36" t="s">
        <v>215</v>
      </c>
    </row>
  </sheetData>
  <mergeCells count="2">
    <mergeCell ref="A1:K1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40"/>
  </cols>
  <sheetData>
    <row r="1" customFormat="false" ht="30" hidden="false" customHeight="true" outlineLevel="0" collapsed="false">
      <c r="A1" s="2" t="s">
        <v>216</v>
      </c>
      <c r="B1" s="2"/>
      <c r="C1" s="2"/>
      <c r="D1" s="2"/>
      <c r="E1" s="2"/>
    </row>
    <row r="2" customFormat="false" ht="4.5" hidden="false" customHeight="true" outlineLevel="0" collapsed="false">
      <c r="A2" s="3"/>
      <c r="B2" s="4"/>
      <c r="C2" s="3"/>
      <c r="D2" s="4"/>
      <c r="E2" s="3"/>
    </row>
    <row r="3" customFormat="false" ht="30" hidden="false" customHeight="true" outlineLevel="0" collapsed="false">
      <c r="A3" s="5" t="s">
        <v>217</v>
      </c>
      <c r="B3" s="5"/>
      <c r="C3" s="5"/>
      <c r="D3" s="5"/>
      <c r="E3" s="5"/>
    </row>
    <row r="5" customFormat="false" ht="30" hidden="false" customHeight="true" outlineLevel="0" collapsed="false">
      <c r="A5" s="14" t="s">
        <v>86</v>
      </c>
      <c r="B5" s="14" t="s">
        <v>88</v>
      </c>
      <c r="C5" s="14" t="s">
        <v>218</v>
      </c>
      <c r="D5" s="14" t="s">
        <v>219</v>
      </c>
      <c r="E5" s="14" t="s">
        <v>82</v>
      </c>
    </row>
    <row r="6" customFormat="false" ht="15" hidden="false" customHeight="true" outlineLevel="0" collapsed="false">
      <c r="A6" s="16" t="s">
        <v>204</v>
      </c>
      <c r="B6" s="15" t="s">
        <v>220</v>
      </c>
      <c r="C6" s="16" t="s">
        <v>205</v>
      </c>
      <c r="D6" s="16" t="s">
        <v>221</v>
      </c>
      <c r="E6" s="15" t="s">
        <v>222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9" min="2" style="1" width="15"/>
  </cols>
  <sheetData>
    <row r="1" customFormat="false" ht="30" hidden="false" customHeight="true" outlineLevel="0" collapsed="false">
      <c r="A1" s="2" t="s">
        <v>223</v>
      </c>
      <c r="B1" s="2"/>
      <c r="C1" s="2"/>
      <c r="D1" s="2"/>
      <c r="E1" s="2"/>
      <c r="F1" s="2"/>
      <c r="G1" s="2"/>
      <c r="H1" s="2"/>
      <c r="I1" s="2"/>
    </row>
    <row r="2" customFormat="false" ht="4.5" hidden="false" customHeight="true" outlineLevel="0" collapsed="false">
      <c r="A2" s="3"/>
      <c r="B2" s="4"/>
      <c r="C2" s="3"/>
      <c r="D2" s="4"/>
      <c r="E2" s="3"/>
      <c r="F2" s="4"/>
      <c r="G2" s="3"/>
      <c r="H2" s="4"/>
      <c r="I2" s="3"/>
    </row>
    <row r="3" customFormat="false" ht="30" hidden="false" customHeight="true" outlineLevel="0" collapsed="false">
      <c r="A3" s="5" t="s">
        <v>224</v>
      </c>
      <c r="B3" s="5"/>
      <c r="C3" s="5"/>
      <c r="D3" s="5"/>
      <c r="E3" s="5"/>
      <c r="F3" s="5"/>
      <c r="G3" s="5"/>
      <c r="H3" s="5"/>
      <c r="I3" s="5"/>
    </row>
    <row r="5" customFormat="false" ht="15" hidden="false" customHeight="true" outlineLevel="0" collapsed="false">
      <c r="A5" s="11" t="s">
        <v>225</v>
      </c>
      <c r="B5" s="38" t="s">
        <v>51</v>
      </c>
    </row>
    <row r="7" customFormat="false" ht="30" hidden="false" customHeight="true" outlineLevel="0" collapsed="false">
      <c r="A7" s="14" t="s">
        <v>90</v>
      </c>
      <c r="B7" s="14" t="s">
        <v>121</v>
      </c>
      <c r="C7" s="14" t="s">
        <v>161</v>
      </c>
      <c r="D7" s="14" t="s">
        <v>130</v>
      </c>
      <c r="E7" s="14" t="s">
        <v>189</v>
      </c>
      <c r="F7" s="14" t="s">
        <v>135</v>
      </c>
      <c r="G7" s="14" t="s">
        <v>138</v>
      </c>
      <c r="H7" s="14" t="s">
        <v>141</v>
      </c>
      <c r="I7" s="14" t="s">
        <v>179</v>
      </c>
    </row>
    <row r="8" customFormat="false" ht="15" hidden="false" customHeight="true" outlineLevel="0" collapsed="false">
      <c r="A8" s="39" t="s">
        <v>205</v>
      </c>
      <c r="B8" s="40" t="n">
        <f aca="false">COUNTIFS(FATO_ASSIDUIDADE!$B$6:$B$100000,$B$5,FATO_ASSIDUIDADE!$E$6:$E$100000,$A8,FATO_ASSIDUIDADE!$G$6:$G$100000,B$7)</f>
        <v>0</v>
      </c>
      <c r="C8" s="40" t="n">
        <f aca="false">COUNTIFS(FATO_ASSIDUIDADE!$B$6:$B$100000,$B$5,FATO_ASSIDUIDADE!$E$6:$E$100000,$A8,FATO_ASSIDUIDADE!$G$6:$G$100000,C$7)</f>
        <v>0</v>
      </c>
      <c r="D8" s="40" t="n">
        <f aca="false">COUNTIFS(FATO_ASSIDUIDADE!$B$6:$B$100000,$B$5,FATO_ASSIDUIDADE!$E$6:$E$100000,$A8,FATO_ASSIDUIDADE!$G$6:$G$100000,D$7)</f>
        <v>0</v>
      </c>
      <c r="E8" s="40" t="n">
        <f aca="false">COUNTIFS(FATO_ASSIDUIDADE!$B$6:$B$100000,$B$5,FATO_ASSIDUIDADE!$E$6:$E$100000,$A8,FATO_ASSIDUIDADE!$G$6:$G$100000,E$7)</f>
        <v>0</v>
      </c>
      <c r="F8" s="40" t="n">
        <f aca="false">COUNTIFS(FATO_ASSIDUIDADE!$B$6:$B$100000,$B$5,FATO_ASSIDUIDADE!$E$6:$E$100000,$A8,FATO_ASSIDUIDADE!$G$6:$G$100000,F$7)</f>
        <v>0</v>
      </c>
      <c r="G8" s="40" t="n">
        <f aca="false">COUNTIFS(FATO_ASSIDUIDADE!$B$6:$B$100000,$B$5,FATO_ASSIDUIDADE!$E$6:$E$100000,$A8,FATO_ASSIDUIDADE!$G$6:$G$100000,G$7)</f>
        <v>0</v>
      </c>
      <c r="H8" s="40" t="n">
        <f aca="false">COUNTIFS(FATO_ASSIDUIDADE!$B$6:$B$100000,$B$5,FATO_ASSIDUIDADE!$E$6:$E$100000,$A8,FATO_ASSIDUIDADE!$G$6:$G$100000,H$7)</f>
        <v>1</v>
      </c>
      <c r="I8" s="40" t="n">
        <f aca="false">COUNTIFS(FATO_ASSIDUIDADE!$B$6:$B$100000,$B$5,FATO_ASSIDUIDADE!$E$6:$E$100000,$A8,FATO_ASSIDUIDADE!$G$6:$G$100000,I$7)</f>
        <v>0</v>
      </c>
    </row>
    <row r="9" customFormat="false" ht="15" hidden="false" customHeight="true" outlineLevel="0" collapsed="false">
      <c r="A9" s="39" t="s">
        <v>119</v>
      </c>
      <c r="B9" s="40" t="n">
        <f aca="false">COUNTIFS(FATO_ASSIDUIDADE!$B$6:$B$100000,$B$5,FATO_ASSIDUIDADE!$E$6:$E$100000,$A9,FATO_ASSIDUIDADE!$G$6:$G$100000,B$7)</f>
        <v>0</v>
      </c>
      <c r="C9" s="40" t="n">
        <f aca="false">COUNTIFS(FATO_ASSIDUIDADE!$B$6:$B$100000,$B$5,FATO_ASSIDUIDADE!$E$6:$E$100000,$A9,FATO_ASSIDUIDADE!$G$6:$G$100000,C$7)</f>
        <v>0</v>
      </c>
      <c r="D9" s="40" t="n">
        <f aca="false">COUNTIFS(FATO_ASSIDUIDADE!$B$6:$B$100000,$B$5,FATO_ASSIDUIDADE!$E$6:$E$100000,$A9,FATO_ASSIDUIDADE!$G$6:$G$100000,D$7)</f>
        <v>0</v>
      </c>
      <c r="E9" s="40" t="n">
        <f aca="false">COUNTIFS(FATO_ASSIDUIDADE!$B$6:$B$100000,$B$5,FATO_ASSIDUIDADE!$E$6:$E$100000,$A9,FATO_ASSIDUIDADE!$G$6:$G$100000,E$7)</f>
        <v>0</v>
      </c>
      <c r="F9" s="40" t="n">
        <f aca="false">COUNTIFS(FATO_ASSIDUIDADE!$B$6:$B$100000,$B$5,FATO_ASSIDUIDADE!$E$6:$E$100000,$A9,FATO_ASSIDUIDADE!$G$6:$G$100000,F$7)</f>
        <v>0</v>
      </c>
      <c r="G9" s="40" t="n">
        <f aca="false">COUNTIFS(FATO_ASSIDUIDADE!$B$6:$B$100000,$B$5,FATO_ASSIDUIDADE!$E$6:$E$100000,$A9,FATO_ASSIDUIDADE!$G$6:$G$100000,G$7)</f>
        <v>0</v>
      </c>
      <c r="H9" s="40" t="n">
        <f aca="false">COUNTIFS(FATO_ASSIDUIDADE!$B$6:$B$100000,$B$5,FATO_ASSIDUIDADE!$E$6:$E$100000,$A9,FATO_ASSIDUIDADE!$G$6:$G$100000,H$7)</f>
        <v>0</v>
      </c>
      <c r="I9" s="40" t="n">
        <f aca="false">COUNTIFS(FATO_ASSIDUIDADE!$B$6:$B$100000,$B$5,FATO_ASSIDUIDADE!$E$6:$E$100000,$A9,FATO_ASSIDUIDADE!$G$6:$G$100000,I$7)</f>
        <v>0</v>
      </c>
    </row>
    <row r="10" customFormat="false" ht="15" hidden="false" customHeight="true" outlineLevel="0" collapsed="false">
      <c r="A10" s="39" t="s">
        <v>123</v>
      </c>
      <c r="B10" s="40" t="n">
        <f aca="false">COUNTIFS(FATO_ASSIDUIDADE!$B$6:$B$100000,$B$5,FATO_ASSIDUIDADE!$E$6:$E$100000,$A10,FATO_ASSIDUIDADE!$G$6:$G$100000,B$7)</f>
        <v>0</v>
      </c>
      <c r="C10" s="40" t="n">
        <f aca="false">COUNTIFS(FATO_ASSIDUIDADE!$B$6:$B$100000,$B$5,FATO_ASSIDUIDADE!$E$6:$E$100000,$A10,FATO_ASSIDUIDADE!$G$6:$G$100000,C$7)</f>
        <v>0</v>
      </c>
      <c r="D10" s="40" t="n">
        <f aca="false">COUNTIFS(FATO_ASSIDUIDADE!$B$6:$B$100000,$B$5,FATO_ASSIDUIDADE!$E$6:$E$100000,$A10,FATO_ASSIDUIDADE!$G$6:$G$100000,D$7)</f>
        <v>0</v>
      </c>
      <c r="E10" s="40" t="n">
        <f aca="false">COUNTIFS(FATO_ASSIDUIDADE!$B$6:$B$100000,$B$5,FATO_ASSIDUIDADE!$E$6:$E$100000,$A10,FATO_ASSIDUIDADE!$G$6:$G$100000,E$7)</f>
        <v>0</v>
      </c>
      <c r="F10" s="40" t="n">
        <f aca="false">COUNTIFS(FATO_ASSIDUIDADE!$B$6:$B$100000,$B$5,FATO_ASSIDUIDADE!$E$6:$E$100000,$A10,FATO_ASSIDUIDADE!$G$6:$G$100000,F$7)</f>
        <v>0</v>
      </c>
      <c r="G10" s="40" t="n">
        <f aca="false">COUNTIFS(FATO_ASSIDUIDADE!$B$6:$B$100000,$B$5,FATO_ASSIDUIDADE!$E$6:$E$100000,$A10,FATO_ASSIDUIDADE!$G$6:$G$100000,G$7)</f>
        <v>0</v>
      </c>
      <c r="H10" s="40" t="n">
        <f aca="false">COUNTIFS(FATO_ASSIDUIDADE!$B$6:$B$100000,$B$5,FATO_ASSIDUIDADE!$E$6:$E$100000,$A10,FATO_ASSIDUIDADE!$G$6:$G$100000,H$7)</f>
        <v>0</v>
      </c>
      <c r="I10" s="40" t="n">
        <f aca="false">COUNTIFS(FATO_ASSIDUIDADE!$B$6:$B$100000,$B$5,FATO_ASSIDUIDADE!$E$6:$E$100000,$A10,FATO_ASSIDUIDADE!$G$6:$G$100000,I$7)</f>
        <v>0</v>
      </c>
    </row>
    <row r="11" customFormat="false" ht="15" hidden="false" customHeight="true" outlineLevel="0" collapsed="false">
      <c r="A11" s="39" t="s">
        <v>125</v>
      </c>
      <c r="B11" s="40" t="n">
        <f aca="false">COUNTIFS(FATO_ASSIDUIDADE!$B$6:$B$100000,$B$5,FATO_ASSIDUIDADE!$E$6:$E$100000,$A11,FATO_ASSIDUIDADE!$G$6:$G$100000,B$7)</f>
        <v>0</v>
      </c>
      <c r="C11" s="40" t="n">
        <f aca="false">COUNTIFS(FATO_ASSIDUIDADE!$B$6:$B$100000,$B$5,FATO_ASSIDUIDADE!$E$6:$E$100000,$A11,FATO_ASSIDUIDADE!$G$6:$G$100000,C$7)</f>
        <v>0</v>
      </c>
      <c r="D11" s="40" t="n">
        <f aca="false">COUNTIFS(FATO_ASSIDUIDADE!$B$6:$B$100000,$B$5,FATO_ASSIDUIDADE!$E$6:$E$100000,$A11,FATO_ASSIDUIDADE!$G$6:$G$100000,D$7)</f>
        <v>0</v>
      </c>
      <c r="E11" s="40" t="n">
        <f aca="false">COUNTIFS(FATO_ASSIDUIDADE!$B$6:$B$100000,$B$5,FATO_ASSIDUIDADE!$E$6:$E$100000,$A11,FATO_ASSIDUIDADE!$G$6:$G$100000,E$7)</f>
        <v>0</v>
      </c>
      <c r="F11" s="40" t="n">
        <f aca="false">COUNTIFS(FATO_ASSIDUIDADE!$B$6:$B$100000,$B$5,FATO_ASSIDUIDADE!$E$6:$E$100000,$A11,FATO_ASSIDUIDADE!$G$6:$G$100000,F$7)</f>
        <v>0</v>
      </c>
      <c r="G11" s="40" t="n">
        <f aca="false">COUNTIFS(FATO_ASSIDUIDADE!$B$6:$B$100000,$B$5,FATO_ASSIDUIDADE!$E$6:$E$100000,$A11,FATO_ASSIDUIDADE!$G$6:$G$100000,G$7)</f>
        <v>0</v>
      </c>
      <c r="H11" s="40" t="n">
        <f aca="false">COUNTIFS(FATO_ASSIDUIDADE!$B$6:$B$100000,$B$5,FATO_ASSIDUIDADE!$E$6:$E$100000,$A11,FATO_ASSIDUIDADE!$G$6:$G$100000,H$7)</f>
        <v>0</v>
      </c>
      <c r="I11" s="40" t="n">
        <f aca="false">COUNTIFS(FATO_ASSIDUIDADE!$B$6:$B$100000,$B$5,FATO_ASSIDUIDADE!$E$6:$E$100000,$A11,FATO_ASSIDUIDADE!$G$6:$G$100000,I$7)</f>
        <v>0</v>
      </c>
    </row>
    <row r="12" customFormat="false" ht="15" hidden="false" customHeight="true" outlineLevel="0" collapsed="false">
      <c r="A12" s="41" t="s">
        <v>226</v>
      </c>
      <c r="B12" s="42" t="n">
        <f aca="false">SUM(B8:B11)</f>
        <v>0</v>
      </c>
      <c r="C12" s="42" t="n">
        <f aca="false">SUM(C8:C11)</f>
        <v>0</v>
      </c>
      <c r="D12" s="42" t="n">
        <f aca="false">SUM(D8:D11)</f>
        <v>0</v>
      </c>
      <c r="E12" s="42" t="n">
        <f aca="false">SUM(E8:E11)</f>
        <v>0</v>
      </c>
      <c r="F12" s="42" t="n">
        <f aca="false">SUM(F8:F11)</f>
        <v>0</v>
      </c>
      <c r="G12" s="42" t="n">
        <f aca="false">SUM(G8:G11)</f>
        <v>0</v>
      </c>
      <c r="H12" s="42" t="n">
        <f aca="false">SUM(H8:H11)</f>
        <v>1</v>
      </c>
      <c r="I12" s="42" t="n">
        <f aca="false">SUM(I8:I11)</f>
        <v>0</v>
      </c>
    </row>
    <row r="14" customFormat="false" ht="15" hidden="false" customHeight="true" outlineLevel="0" collapsed="false">
      <c r="A14" s="34" t="s">
        <v>227</v>
      </c>
    </row>
    <row r="15" customFormat="false" ht="15" hidden="false" customHeight="true" outlineLevel="0" collapsed="false">
      <c r="A15" s="43" t="s">
        <v>228</v>
      </c>
    </row>
  </sheetData>
  <mergeCells count="2">
    <mergeCell ref="A1:I1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22"/>
    <col collapsed="false" customWidth="true" hidden="false" outlineLevel="0" max="4" min="4" style="1" width="70"/>
  </cols>
  <sheetData>
    <row r="1" customFormat="false" ht="30" hidden="false" customHeight="true" outlineLevel="0" collapsed="false">
      <c r="A1" s="2" t="s">
        <v>229</v>
      </c>
      <c r="B1" s="2"/>
      <c r="C1" s="2"/>
      <c r="D1" s="2"/>
    </row>
    <row r="2" customFormat="false" ht="4.5" hidden="false" customHeight="true" outlineLevel="0" collapsed="false">
      <c r="A2" s="3"/>
      <c r="B2" s="4"/>
      <c r="C2" s="3"/>
      <c r="D2" s="4"/>
    </row>
    <row r="3" customFormat="false" ht="31.5" hidden="false" customHeight="true" outlineLevel="0" collapsed="false">
      <c r="A3" s="5" t="s">
        <v>230</v>
      </c>
      <c r="B3" s="5"/>
      <c r="C3" s="5"/>
      <c r="D3" s="5"/>
    </row>
    <row r="5" customFormat="false" ht="21.75" hidden="false" customHeight="true" outlineLevel="0" collapsed="false">
      <c r="B5" s="44" t="s">
        <v>231</v>
      </c>
      <c r="C5" s="44"/>
      <c r="D5" s="44"/>
    </row>
    <row r="6" customFormat="false" ht="30" hidden="false" customHeight="true" outlineLevel="0" collapsed="false">
      <c r="B6" s="45" t="s">
        <v>232</v>
      </c>
      <c r="C6" s="46" t="n">
        <v>21</v>
      </c>
      <c r="D6" s="47" t="s">
        <v>233</v>
      </c>
    </row>
    <row r="7" customFormat="false" ht="30" hidden="false" customHeight="true" outlineLevel="0" collapsed="false">
      <c r="B7" s="45" t="s">
        <v>234</v>
      </c>
      <c r="C7" s="46" t="s">
        <v>235</v>
      </c>
      <c r="D7" s="47" t="s">
        <v>236</v>
      </c>
    </row>
    <row r="8" customFormat="false" ht="30" hidden="false" customHeight="true" outlineLevel="0" collapsed="false">
      <c r="B8" s="45" t="s">
        <v>237</v>
      </c>
      <c r="C8" s="46" t="s">
        <v>90</v>
      </c>
      <c r="D8" s="47" t="s">
        <v>238</v>
      </c>
    </row>
    <row r="9" customFormat="false" ht="30" hidden="false" customHeight="true" outlineLevel="0" collapsed="false">
      <c r="B9" s="45" t="s">
        <v>239</v>
      </c>
      <c r="C9" s="46" t="s">
        <v>240</v>
      </c>
      <c r="D9" s="47" t="s">
        <v>241</v>
      </c>
    </row>
    <row r="10" customFormat="false" ht="30" hidden="false" customHeight="true" outlineLevel="0" collapsed="false">
      <c r="B10" s="45" t="s">
        <v>242</v>
      </c>
      <c r="C10" s="46" t="s">
        <v>88</v>
      </c>
      <c r="D10" s="47" t="s">
        <v>243</v>
      </c>
    </row>
    <row r="11" customFormat="false" ht="30" hidden="false" customHeight="true" outlineLevel="0" collapsed="false">
      <c r="B11" s="45" t="s">
        <v>244</v>
      </c>
      <c r="C11" s="46" t="s">
        <v>245</v>
      </c>
      <c r="D11" s="47" t="s">
        <v>246</v>
      </c>
    </row>
    <row r="12" customFormat="false" ht="30" hidden="false" customHeight="true" outlineLevel="0" collapsed="false">
      <c r="B12" s="45" t="s">
        <v>247</v>
      </c>
      <c r="C12" s="46" t="s">
        <v>248</v>
      </c>
      <c r="D12" s="47" t="s">
        <v>249</v>
      </c>
    </row>
    <row r="13" customFormat="false" ht="30" hidden="false" customHeight="true" outlineLevel="0" collapsed="false">
      <c r="B13" s="45" t="s">
        <v>250</v>
      </c>
      <c r="C13" s="46"/>
      <c r="D13" s="47" t="s">
        <v>251</v>
      </c>
    </row>
    <row r="14" customFormat="false" ht="30" hidden="false" customHeight="true" outlineLevel="0" collapsed="false">
      <c r="B14" s="45" t="s">
        <v>252</v>
      </c>
      <c r="C14" s="46" t="s">
        <v>68</v>
      </c>
      <c r="D14" s="47" t="s">
        <v>253</v>
      </c>
    </row>
    <row r="15" customFormat="false" ht="30" hidden="false" customHeight="true" outlineLevel="0" collapsed="false">
      <c r="B15" s="45" t="s">
        <v>254</v>
      </c>
      <c r="C15" s="46" t="n">
        <v>3</v>
      </c>
      <c r="D15" s="47" t="s">
        <v>255</v>
      </c>
    </row>
    <row r="17" customFormat="false" ht="21.75" hidden="false" customHeight="true" outlineLevel="0" collapsed="false">
      <c r="B17" s="48" t="s">
        <v>256</v>
      </c>
      <c r="C17" s="48"/>
      <c r="D17" s="48"/>
    </row>
    <row r="18" customFormat="false" ht="30" hidden="false" customHeight="true" outlineLevel="0" collapsed="false">
      <c r="B18" s="5" t="s">
        <v>257</v>
      </c>
      <c r="C18" s="5"/>
      <c r="D18" s="5"/>
    </row>
    <row r="19" customFormat="false" ht="30" hidden="false" customHeight="true" outlineLevel="0" collapsed="false">
      <c r="B19" s="45" t="s">
        <v>258</v>
      </c>
      <c r="C19" s="46" t="s">
        <v>259</v>
      </c>
      <c r="D19" s="47" t="s">
        <v>260</v>
      </c>
    </row>
    <row r="20" customFormat="false" ht="30" hidden="false" customHeight="true" outlineLevel="0" collapsed="false">
      <c r="B20" s="45" t="s">
        <v>261</v>
      </c>
      <c r="C20" s="46"/>
      <c r="D20" s="47" t="s">
        <v>262</v>
      </c>
    </row>
    <row r="21" customFormat="false" ht="30" hidden="false" customHeight="true" outlineLevel="0" collapsed="false">
      <c r="B21" s="45" t="s">
        <v>263</v>
      </c>
      <c r="C21" s="46"/>
      <c r="D21" s="47" t="s">
        <v>264</v>
      </c>
    </row>
    <row r="22" customFormat="false" ht="30" hidden="false" customHeight="true" outlineLevel="0" collapsed="false">
      <c r="B22" s="45" t="s">
        <v>265</v>
      </c>
      <c r="C22" s="46"/>
      <c r="D22" s="47" t="s">
        <v>266</v>
      </c>
    </row>
    <row r="23" customFormat="false" ht="30" hidden="false" customHeight="true" outlineLevel="0" collapsed="false">
      <c r="B23" s="45" t="s">
        <v>267</v>
      </c>
      <c r="C23" s="46"/>
      <c r="D23" s="47" t="s">
        <v>268</v>
      </c>
    </row>
    <row r="24" customFormat="false" ht="30" hidden="false" customHeight="true" outlineLevel="0" collapsed="false">
      <c r="B24" s="45" t="s">
        <v>269</v>
      </c>
      <c r="C24" s="46"/>
      <c r="D24" s="47" t="s">
        <v>270</v>
      </c>
    </row>
    <row r="25" customFormat="false" ht="30" hidden="false" customHeight="true" outlineLevel="0" collapsed="false">
      <c r="B25" s="45" t="s">
        <v>271</v>
      </c>
      <c r="C25" s="46"/>
      <c r="D25" s="47" t="s">
        <v>272</v>
      </c>
    </row>
    <row r="27" customFormat="false" ht="21.75" hidden="false" customHeight="true" outlineLevel="0" collapsed="false">
      <c r="B27" s="48" t="s">
        <v>273</v>
      </c>
      <c r="C27" s="48"/>
      <c r="D27" s="48"/>
    </row>
    <row r="28" customFormat="false" ht="21.75" hidden="false" customHeight="true" outlineLevel="0" collapsed="false">
      <c r="B28" s="49" t="s">
        <v>90</v>
      </c>
      <c r="C28" s="49" t="s">
        <v>274</v>
      </c>
      <c r="D28" s="49" t="s">
        <v>275</v>
      </c>
    </row>
    <row r="29" customFormat="false" ht="19.5" hidden="false" customHeight="true" outlineLevel="0" collapsed="false">
      <c r="B29" s="50" t="s">
        <v>205</v>
      </c>
      <c r="C29" s="46"/>
      <c r="D29" s="46"/>
    </row>
    <row r="30" customFormat="false" ht="19.5" hidden="false" customHeight="true" outlineLevel="0" collapsed="false">
      <c r="B30" s="50" t="s">
        <v>119</v>
      </c>
      <c r="C30" s="46"/>
      <c r="D30" s="46"/>
    </row>
    <row r="31" customFormat="false" ht="19.5" hidden="false" customHeight="true" outlineLevel="0" collapsed="false">
      <c r="B31" s="50" t="s">
        <v>123</v>
      </c>
      <c r="C31" s="46"/>
      <c r="D31" s="46"/>
    </row>
    <row r="32" customFormat="false" ht="19.5" hidden="false" customHeight="true" outlineLevel="0" collapsed="false">
      <c r="B32" s="50" t="s">
        <v>125</v>
      </c>
      <c r="C32" s="46"/>
      <c r="D32" s="46"/>
    </row>
    <row r="33" customFormat="false" ht="15" hidden="false" customHeight="true" outlineLevel="0" collapsed="false">
      <c r="B33" s="51" t="s">
        <v>276</v>
      </c>
    </row>
    <row r="35" customFormat="false" ht="21.75" hidden="false" customHeight="true" outlineLevel="0" collapsed="false">
      <c r="B35" s="52" t="s">
        <v>277</v>
      </c>
      <c r="C35" s="52"/>
      <c r="D35" s="52"/>
    </row>
    <row r="36" customFormat="false" ht="24" hidden="false" customHeight="true" outlineLevel="0" collapsed="false">
      <c r="B36" s="53" t="s">
        <v>278</v>
      </c>
      <c r="C36" s="54" t="s">
        <v>279</v>
      </c>
      <c r="D36" s="54"/>
    </row>
    <row r="37" customFormat="false" ht="24" hidden="false" customHeight="true" outlineLevel="0" collapsed="false">
      <c r="B37" s="53" t="s">
        <v>280</v>
      </c>
      <c r="C37" s="54" t="s">
        <v>281</v>
      </c>
      <c r="D37" s="54"/>
    </row>
    <row r="38" customFormat="false" ht="24" hidden="false" customHeight="true" outlineLevel="0" collapsed="false">
      <c r="B38" s="53" t="s">
        <v>282</v>
      </c>
      <c r="C38" s="54" t="s">
        <v>283</v>
      </c>
      <c r="D38" s="54"/>
    </row>
    <row r="39" customFormat="false" ht="24" hidden="false" customHeight="true" outlineLevel="0" collapsed="false">
      <c r="B39" s="53" t="s">
        <v>284</v>
      </c>
      <c r="C39" s="54" t="s">
        <v>285</v>
      </c>
      <c r="D39" s="54"/>
    </row>
    <row r="40" customFormat="false" ht="24" hidden="false" customHeight="true" outlineLevel="0" collapsed="false">
      <c r="B40" s="53" t="s">
        <v>286</v>
      </c>
      <c r="C40" s="54" t="s">
        <v>287</v>
      </c>
      <c r="D40" s="54"/>
    </row>
    <row r="41" customFormat="false" ht="24" hidden="false" customHeight="true" outlineLevel="0" collapsed="false">
      <c r="B41" s="53" t="s">
        <v>288</v>
      </c>
      <c r="C41" s="54" t="s">
        <v>289</v>
      </c>
      <c r="D41" s="54"/>
    </row>
    <row r="42" customFormat="false" ht="24" hidden="false" customHeight="true" outlineLevel="0" collapsed="false">
      <c r="B42" s="53" t="s">
        <v>290</v>
      </c>
      <c r="C42" s="54" t="s">
        <v>291</v>
      </c>
      <c r="D42" s="54"/>
    </row>
    <row r="43" customFormat="false" ht="24" hidden="false" customHeight="true" outlineLevel="0" collapsed="false">
      <c r="B43" s="53" t="s">
        <v>292</v>
      </c>
      <c r="C43" s="54" t="s">
        <v>293</v>
      </c>
      <c r="D43" s="54"/>
    </row>
    <row r="45" customFormat="false" ht="15" hidden="false" customHeight="true" outlineLevel="0" collapsed="false">
      <c r="B45" s="51" t="s">
        <v>294</v>
      </c>
    </row>
  </sheetData>
  <mergeCells count="15">
    <mergeCell ref="A1:D1"/>
    <mergeCell ref="A3:D3"/>
    <mergeCell ref="B5:D5"/>
    <mergeCell ref="B17:D17"/>
    <mergeCell ref="B18:D18"/>
    <mergeCell ref="B27:D27"/>
    <mergeCell ref="B35:D35"/>
    <mergeCell ref="C36:D36"/>
    <mergeCell ref="C37:D37"/>
    <mergeCell ref="C38:D38"/>
    <mergeCell ref="C39:D39"/>
    <mergeCell ref="C40:D40"/>
    <mergeCell ref="C41:D41"/>
    <mergeCell ref="C42:D42"/>
    <mergeCell ref="C43:D43"/>
  </mergeCells>
  <dataValidations count="2">
    <dataValidation allowBlank="false" errorStyle="stop" operator="between" showDropDown="false" showErrorMessage="false" showInputMessage="false" sqref="C19" type="list">
      <formula1>"Automático,Manual"</formula1>
      <formula2>0</formula2>
    </dataValidation>
    <dataValidation allowBlank="false" errorStyle="stop" operator="between" showDropDown="false" showErrorMessage="false" showInputMessage="false" sqref="C1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2026-08-06T01:52:00Z</dcterms:created>
  <dc:creator>openpyxl</dc:creator>
  <dc:description/>
  <dc:language>en-US</dc:language>
  <cp:lastModifiedBy/>
  <dcterms:modified xsi:type="dcterms:W3CDTF">2026-08-06T02:12:43Z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