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CENTRA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JUL 2026" sheetId="4" state="visible" r:id="rId4"/>
    <sheet xmlns:r="http://schemas.openxmlformats.org/officeDocument/2006/relationships" name="AGO 2026" sheetId="5" state="visible" r:id="rId5"/>
    <sheet xmlns:r="http://schemas.openxmlformats.org/officeDocument/2006/relationships" name="SET 2026" sheetId="6" state="visible" r:id="rId6"/>
    <sheet xmlns:r="http://schemas.openxmlformats.org/officeDocument/2006/relationships" name="OUT 2026" sheetId="7" state="visible" r:id="rId7"/>
    <sheet xmlns:r="http://schemas.openxmlformats.org/officeDocument/2006/relationships" name="NOV 2026" sheetId="8" state="visible" r:id="rId8"/>
    <sheet xmlns:r="http://schemas.openxmlformats.org/officeDocument/2006/relationships" name="DEZ 2026" sheetId="9" state="visible" r:id="rId9"/>
  </sheets>
  <definedNames>
    <definedName name="Setores">CONFIG!$A$12:$A$40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"/>
    <numFmt numFmtId="166" formatCode="dd/mm"/>
  </numFmts>
  <fonts count="3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11785"/>
      <sz val="11"/>
    </font>
    <font>
      <name val="Arial"/>
      <b val="1"/>
      <color rgb="00FFFFFF"/>
      <sz val="9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i val="1"/>
      <color rgb="00D71920"/>
      <sz val="9"/>
    </font>
    <font>
      <name val="Arial"/>
      <i val="1"/>
      <color rgb="006B7280"/>
      <sz val="9"/>
    </font>
    <font>
      <name val="Arial"/>
      <b val="1"/>
      <color rgb="00FFFFFF"/>
      <sz val="18"/>
    </font>
    <font>
      <name val="Arial"/>
      <b val="1"/>
      <color rgb="00111785"/>
      <sz val="13"/>
    </font>
    <font>
      <name val="Arial"/>
      <b val="1"/>
      <color rgb="00FFFFFF"/>
      <sz val="10"/>
    </font>
    <font>
      <name val="Arial"/>
      <b val="1"/>
      <color rgb="002C36AE"/>
      <sz val="9"/>
    </font>
    <font>
      <name val="Arial"/>
      <i val="1"/>
      <color rgb="006B7280"/>
      <sz val="8"/>
    </font>
    <font>
      <name val="Arial"/>
      <b val="1"/>
      <color rgb="00FFFFFF"/>
      <sz val="8"/>
    </font>
    <font>
      <name val="Arial"/>
      <color rgb="006B7280"/>
      <sz val="7"/>
    </font>
    <font>
      <name val="Arial"/>
      <color rgb="006B7280"/>
      <sz val="8"/>
    </font>
    <font>
      <name val="Arial"/>
      <b val="1"/>
      <color rgb="000000FF"/>
      <sz val="10"/>
    </font>
    <font>
      <name val="Arial"/>
      <color rgb="00000000"/>
      <sz val="9"/>
    </font>
    <font>
      <name val="Arial"/>
      <b val="1"/>
      <color rgb="00000000"/>
      <sz val="10"/>
    </font>
    <font>
      <name val="Arial"/>
      <color rgb="0001973A"/>
      <sz val="9"/>
    </font>
    <font>
      <name val="Arial"/>
      <color rgb="006B7280"/>
      <sz val="9"/>
    </font>
    <font>
      <name val="Arial"/>
      <color rgb="002C36AE"/>
      <sz val="9"/>
    </font>
    <font>
      <name val="Arial"/>
      <sz val="9"/>
    </font>
    <font>
      <name val="Arial"/>
      <b val="1"/>
      <sz val="9"/>
    </font>
    <font>
      <name val="Arial"/>
      <color rgb="00D71920"/>
      <sz val="9"/>
    </font>
    <font>
      <name val="Arial"/>
      <b val="1"/>
      <color rgb="000000FF"/>
      <sz val="9"/>
    </font>
    <font>
      <name val="Arial"/>
      <color rgb="000000FF"/>
      <sz val="9"/>
    </font>
    <font>
      <name val="Arial"/>
      <b val="1"/>
      <color rgb="00111785"/>
      <sz val="14"/>
    </font>
    <font>
      <name val="Arial"/>
      <b val="1"/>
      <color rgb="00111785"/>
      <sz val="16"/>
    </font>
    <font>
      <name val="Arial"/>
      <b val="1"/>
      <color rgb="0001973A"/>
      <sz val="16"/>
    </font>
    <font>
      <name val="Arial"/>
      <b val="1"/>
      <color rgb="002C36AE"/>
      <sz val="16"/>
    </font>
    <font>
      <name val="Arial"/>
      <b val="1"/>
      <color rgb="00D71920"/>
      <sz val="16"/>
    </font>
    <font>
      <name val="Arial"/>
      <b val="1"/>
      <color rgb="00111785"/>
      <sz val="10"/>
    </font>
    <font>
      <name val="Arial"/>
      <b val="1"/>
      <color rgb="00D71920"/>
      <sz val="10"/>
    </font>
    <font>
      <name val="Arial"/>
      <b val="1"/>
      <color rgb="0001973A"/>
      <sz val="10"/>
    </font>
    <font>
      <name val="Arial"/>
      <b val="1"/>
      <color rgb="00FFFFFF"/>
      <sz val="16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11785"/>
      </patternFill>
    </fill>
    <fill>
      <patternFill patternType="solid">
        <fgColor rgb="0001973A"/>
      </patternFill>
    </fill>
    <fill>
      <patternFill patternType="solid">
        <fgColor rgb="00FFEE03"/>
      </patternFill>
    </fill>
    <fill>
      <patternFill patternType="solid">
        <fgColor rgb="002C36AE"/>
      </patternFill>
    </fill>
    <fill>
      <patternFill patternType="solid">
        <fgColor rgb="00FFFBD6"/>
      </patternFill>
    </fill>
    <fill>
      <patternFill patternType="solid">
        <fgColor rgb="00FDE8E8"/>
      </patternFill>
    </fill>
    <fill>
      <patternFill patternType="solid">
        <fgColor rgb="00FFFFFF"/>
      </patternFill>
    </fill>
    <fill>
      <patternFill patternType="solid">
        <fgColor rgb="00E9EBF9"/>
      </patternFill>
    </fill>
    <fill>
      <patternFill patternType="solid">
        <fgColor rgb="00F3F4F6"/>
      </patternFill>
    </fill>
  </fills>
  <borders count="4">
    <border>
      <left/>
      <right/>
      <top/>
      <bottom/>
      <diagonal/>
    </border>
    <border>
      <left style="thin">
        <color rgb="00B9C4D4"/>
      </left>
      <right style="thin">
        <color rgb="00B9C4D4"/>
      </right>
      <top style="thin">
        <color rgb="00B9C4D4"/>
      </top>
      <bottom style="thin">
        <color rgb="00B9C4D4"/>
      </bottom>
    </border>
    <border>
      <left style="thin">
        <color rgb="00B9C4D4"/>
      </left>
      <right style="thin">
        <color rgb="00B9C4D4"/>
      </right>
      <top style="thin">
        <color rgb="00B9C4D4"/>
      </top>
    </border>
    <border>
      <left style="thin">
        <color rgb="00B9C4D4"/>
      </left>
      <right style="thin">
        <color rgb="00B9C4D4"/>
      </right>
      <bottom style="thin">
        <color rgb="00B9C4D4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36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11" fillId="3" borderId="0" applyAlignment="1" pivotButton="0" quotePrefix="0" xfId="0">
      <alignment horizontal="center" vertical="center"/>
    </xf>
    <xf numFmtId="0" fontId="37" fillId="5" borderId="0" applyAlignment="1" pivotButton="0" quotePrefix="0" xfId="0">
      <alignment horizontal="left" vertical="center" indent="1"/>
    </xf>
    <xf numFmtId="0" fontId="35" fillId="0" borderId="1" applyAlignment="1" pivotButton="0" quotePrefix="0" xfId="0">
      <alignment horizontal="center" vertical="center"/>
    </xf>
    <xf numFmtId="0" fontId="33" fillId="0" borderId="1" pivotButton="0" quotePrefix="0" xfId="0"/>
    <xf numFmtId="0" fontId="5" fillId="6" borderId="1" pivotButton="0" quotePrefix="0" xfId="0"/>
    <xf numFmtId="0" fontId="35" fillId="9" borderId="1" applyAlignment="1" pivotButton="0" quotePrefix="0" xfId="0">
      <alignment horizontal="center" vertical="center"/>
    </xf>
    <xf numFmtId="0" fontId="33" fillId="9" borderId="1" pivotButton="0" quotePrefix="0" xfId="0"/>
    <xf numFmtId="0" fontId="8" fillId="0" borderId="0" pivotButton="0" quotePrefix="0" xfId="0"/>
    <xf numFmtId="0" fontId="3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left" vertical="center" wrapText="1"/>
    </xf>
    <xf numFmtId="0" fontId="33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 indent="1"/>
    </xf>
    <xf numFmtId="0" fontId="28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30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9" fontId="31" fillId="10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 indent="1"/>
    </xf>
    <xf numFmtId="0" fontId="1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22" fillId="0" borderId="1" pivotButton="0" quotePrefix="0" xfId="0"/>
    <xf numFmtId="0" fontId="0" fillId="9" borderId="1" applyAlignment="1" pivotButton="0" quotePrefix="0" xfId="0">
      <alignment horizontal="center" vertical="center"/>
    </xf>
    <xf numFmtId="0" fontId="34" fillId="9" borderId="1" applyAlignment="1" pivotButton="0" quotePrefix="0" xfId="0">
      <alignment horizontal="center" vertical="center"/>
    </xf>
    <xf numFmtId="9" fontId="0" fillId="9" borderId="1" applyAlignment="1" pivotButton="0" quotePrefix="0" xfId="0">
      <alignment horizontal="center" vertical="center"/>
    </xf>
    <xf numFmtId="0" fontId="22" fillId="9" borderId="1" pivotButton="0" quotePrefix="0" xfId="0"/>
    <xf numFmtId="0" fontId="11" fillId="2" borderId="1" pivotButton="0" quotePrefix="0" xfId="0"/>
    <xf numFmtId="0" fontId="11" fillId="2" borderId="1" applyAlignment="1" pivotButton="0" quotePrefix="0" xfId="0">
      <alignment horizontal="center" vertical="center"/>
    </xf>
    <xf numFmtId="9" fontId="1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6" fillId="8" borderId="1" pivotButton="0" quotePrefix="0" xfId="0"/>
    <xf numFmtId="0" fontId="6" fillId="0" borderId="1" pivotButton="0" quotePrefix="0" xfId="0"/>
    <xf numFmtId="0" fontId="6" fillId="9" borderId="1" pivotButton="0" quotePrefix="0" xfId="0"/>
    <xf numFmtId="0" fontId="8" fillId="8" borderId="1" pivotButton="0" quotePrefix="0" xfId="0"/>
    <xf numFmtId="0" fontId="7" fillId="0" borderId="0" pivotButton="0" quotePrefix="0" xfId="0"/>
    <xf numFmtId="0" fontId="10" fillId="4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11" fillId="3" borderId="1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0" borderId="2" pivotButton="0" quotePrefix="0" xfId="0"/>
    <xf numFmtId="165" fontId="1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10" borderId="3" applyAlignment="1" pivotButton="0" quotePrefix="0" xfId="0">
      <alignment horizontal="center" vertical="center"/>
    </xf>
    <xf numFmtId="0" fontId="0" fillId="10" borderId="3" pivotButton="0" quotePrefix="0" xfId="0"/>
    <xf numFmtId="0" fontId="12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3" fillId="0" borderId="0" pivotButton="0" quotePrefix="0" xfId="0"/>
    <xf numFmtId="0" fontId="15" fillId="0" borderId="0" pivotButton="0" quotePrefix="0" xfId="0"/>
    <xf numFmtId="0" fontId="16" fillId="0" borderId="1" pivotButton="0" quotePrefix="0" xfId="0"/>
    <xf numFmtId="0" fontId="12" fillId="0" borderId="1" applyAlignment="1" pivotButton="0" quotePrefix="0" xfId="0">
      <alignment horizontal="center" vertical="center"/>
    </xf>
    <xf numFmtId="166" fontId="17" fillId="6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/>
    </xf>
    <xf numFmtId="0" fontId="20" fillId="0" borderId="1" pivotButton="0" quotePrefix="0" xfId="0"/>
    <xf numFmtId="0" fontId="21" fillId="0" borderId="1" pivotButton="0" quotePrefix="0" xfId="0"/>
    <xf numFmtId="0" fontId="22" fillId="9" borderId="1" applyAlignment="1" pivotButton="0" quotePrefix="0" xfId="0">
      <alignment horizontal="left" vertical="center" wrapText="1"/>
    </xf>
    <xf numFmtId="166" fontId="23" fillId="0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center" vertical="center"/>
    </xf>
    <xf numFmtId="0" fontId="26" fillId="6" borderId="1" pivotButton="0" quotePrefix="0" xfId="0"/>
    <xf numFmtId="0" fontId="11" fillId="3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/>
    </xf>
    <xf numFmtId="0" fontId="27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fill>
        <patternFill patternType="solid">
          <fgColor rgb="00FDE8E8"/>
        </patternFill>
      </fill>
    </dxf>
    <dxf>
      <font>
        <name val="Arial"/>
        <b val="1"/>
        <color rgb="0001973A"/>
      </font>
      <fill>
        <patternFill patternType="solid">
          <fgColor rgb="00E3F2E9"/>
        </patternFill>
      </fill>
    </dxf>
    <dxf>
      <font>
        <name val="Arial"/>
        <b val="1"/>
        <color rgb="00D71920"/>
      </font>
      <fill>
        <patternFill patternType="solid">
          <fgColor rgb="00FDE8E8"/>
        </patternFill>
      </fill>
    </dxf>
    <dxf>
      <font>
        <name val="Arial"/>
        <b val="1"/>
        <color rgb="00111785"/>
      </font>
      <fill>
        <patternFill patternType="solid">
          <fgColor rgb="00FFEE03"/>
        </patternFill>
      </fill>
    </dxf>
    <dxf>
      <fill>
        <patternFill patternType="solid">
          <fgColor rgb="00CFE3F7"/>
        </patternFill>
      </fill>
    </dxf>
    <dxf>
      <font>
        <name val="Arial"/>
        <b val="1"/>
        <color rgb="0001973A"/>
        <sz val="9"/>
      </font>
      <fill>
        <patternFill patternType="solid">
          <fgColor rgb="00E3F2E9"/>
        </patternFill>
      </fill>
    </dxf>
    <dxf>
      <font>
        <name val="Arial"/>
        <b val="1"/>
        <color rgb="00D71920"/>
        <sz val="9"/>
      </font>
      <fill>
        <patternFill patternType="solid">
          <fgColor rgb="00FDE8E8"/>
        </patternFill>
      </fill>
    </dxf>
    <dxf>
      <font>
        <name val="Arial"/>
        <b val="1"/>
        <color rgb="00FFFFFF"/>
        <sz val="9"/>
      </font>
      <fill>
        <patternFill patternType="solid">
          <fgColor rgb="00D71920"/>
        </patternFill>
      </fill>
    </dxf>
    <dxf>
      <font>
        <name val="Arial"/>
        <b val="1"/>
        <color rgb="002C36AE"/>
        <sz val="9"/>
      </font>
      <fill>
        <patternFill patternType="solid">
          <fgColor rgb="00DDEBF9"/>
        </patternFill>
      </fill>
    </dxf>
    <dxf>
      <font>
        <name val="Arial"/>
        <b val="1"/>
        <color rgb="006B7280"/>
        <sz val="9"/>
      </font>
      <fill>
        <patternFill patternType="solid">
          <fgColor rgb="00F3F4F6"/>
        </patternFill>
      </fill>
    </dxf>
    <dxf>
      <font>
        <name val="Arial"/>
        <b val="1"/>
        <color rgb="006B7280"/>
        <sz val="9"/>
      </font>
      <fill>
        <patternFill patternType="solid">
          <fgColor rgb="00E5E7EB"/>
        </patternFill>
      </fill>
    </dxf>
    <dxf>
      <font>
        <name val="Arial"/>
        <b val="1"/>
        <color rgb="009CA3AF"/>
        <sz val="9"/>
      </font>
      <fill>
        <patternFill patternType="solid">
          <fgColor rgb="00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785"/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78" customWidth="1" min="3" max="3"/>
  </cols>
  <sheetData>
    <row r="1" ht="34" customHeight="1">
      <c r="A1" s="1" t="inlineStr">
        <is>
          <t>GSL BARTOFIL · CALENDÁRIO DE GESTÃO OPERACIONAL 2026</t>
        </is>
      </c>
    </row>
    <row r="2" ht="5" customHeight="1">
      <c r="A2" s="2" t="n"/>
      <c r="B2" s="3" t="n"/>
      <c r="C2" s="3" t="n"/>
    </row>
    <row r="3">
      <c r="A3" s="4" t="inlineStr">
        <is>
          <t>Turnos A (manhã) · B (tarde) · C (noite)  ·  Reunião semanal com a gerência às sextas-feiras</t>
        </is>
      </c>
    </row>
    <row r="5">
      <c r="A5" s="5" t="inlineStr">
        <is>
          <t>MODELOS PARA DOWNLOAD — clique no link, baixe, preencha e anexe pelo menu GSL Bartofil &gt; Anexar entrega</t>
        </is>
      </c>
    </row>
    <row r="6">
      <c r="A6" s="6" t="inlineStr">
        <is>
          <t>1.</t>
        </is>
      </c>
      <c r="B6" s="7" t="inlineStr">
        <is>
          <t>Erros Operacionais (SEG) — Modelo-Erros-Operacionais.docx</t>
        </is>
      </c>
      <c r="C6" s="8" t="inlineStr">
        <is>
          <t>(administrador: cole aqui o link do arquivo no Drive)</t>
        </is>
      </c>
    </row>
    <row r="7">
      <c r="A7" s="9" t="inlineStr">
        <is>
          <t>2.</t>
        </is>
      </c>
      <c r="B7" s="10" t="inlineStr">
        <is>
          <t>Suporte de Supervisores (TER) — Modelo-Suporte-Supervisores.docx</t>
        </is>
      </c>
      <c r="C7" s="8" t="inlineStr">
        <is>
          <t>(administrador: cole aqui o link do arquivo no Drive)</t>
        </is>
      </c>
    </row>
    <row r="8">
      <c r="A8" s="6" t="inlineStr">
        <is>
          <t>3.</t>
        </is>
      </c>
      <c r="B8" s="7" t="inlineStr">
        <is>
          <t>Metas (QUI) — Modelo-Metas.docx</t>
        </is>
      </c>
      <c r="C8" s="8" t="inlineStr">
        <is>
          <t>(administrador: cole aqui o link do arquivo no Drive)</t>
        </is>
      </c>
    </row>
    <row r="9">
      <c r="A9" s="9" t="inlineStr">
        <is>
          <t>4.</t>
        </is>
      </c>
      <c r="B9" s="10" t="inlineStr">
        <is>
          <t>Faltas e Atestados (SEX) — Modelo-Faltas-Atestados.docx</t>
        </is>
      </c>
      <c r="C9" s="8" t="inlineStr">
        <is>
          <t>(administrador: cole aqui o link do arquivo no Drive)</t>
        </is>
      </c>
    </row>
    <row r="10">
      <c r="A10" s="6" t="inlineStr">
        <is>
          <t>5.</t>
        </is>
      </c>
      <c r="B10" s="7" t="inlineStr">
        <is>
          <t>Acompanhamento c/ Supervisores (SEX) — Modelo-Acompanhamento-Supervisores.docx</t>
        </is>
      </c>
      <c r="C10" s="8" t="inlineStr">
        <is>
          <t>(administrador: cole aqui o link do arquivo no Drive)</t>
        </is>
      </c>
    </row>
    <row r="11">
      <c r="A11" s="9" t="inlineStr">
        <is>
          <t>6.</t>
        </is>
      </c>
      <c r="B11" s="10" t="inlineStr">
        <is>
          <t>Checklist de Vistoria (QUA) — Checklist-Vistoria.docx</t>
        </is>
      </c>
      <c r="C11" s="8" t="inlineStr">
        <is>
          <t>(administrador: cole aqui o link do arquivo no Drive)</t>
        </is>
      </c>
    </row>
    <row r="12">
      <c r="A12" s="11" t="inlineStr">
        <is>
          <t>Os links devem estar compartilhados como 'qualquer pessoa com o link pode ver'. Os mesmos links vão automaticamente nos e-mails de lembrete e cobrança de cada atividade.</t>
        </is>
      </c>
    </row>
    <row r="14">
      <c r="A14" s="5" t="inlineStr">
        <is>
          <t>COMO FUNCIONA</t>
        </is>
      </c>
    </row>
    <row r="15" ht="70" customHeight="1">
      <c r="A15" s="12" t="inlineStr">
        <is>
          <t>1.</t>
        </is>
      </c>
      <c r="B15" s="13" t="inlineStr">
        <is>
          <t>Cada mês é uma aba-calendário. As atividades são distribuídas na semana — SEG Erros, TER Suporte, QUA Vistoria, QUI Metas, SEX Faltas + Acompanhamento c/ Supervisores + Reunião Semanal com a Gerência (agora rastreada: aparece no mostrador, dispara lembrete e o gerente pode mudar a data ou cancelar). O MOSTRADOR exibe o nome de cada atividade sob o seu dia; dias com prazo ficam azuis e o dia de hoje amarelo. Se o gerente mudar um prazo ou cancelar, o mostrador se atualiza sozinho.</t>
        </is>
      </c>
    </row>
    <row r="16" ht="56" customHeight="1">
      <c r="A16" s="12" t="inlineStr">
        <is>
          <t>2.</t>
        </is>
      </c>
      <c r="B16" s="13" t="inlineStr">
        <is>
          <t>Abaixo do calendário fica a GESTÃO DE ATIVIDADES: uma linha por atividade x turno x semana. Para entregar, o coordenador baixa o modelo Word da atividade (pasta Modelos do Drive), preenche, e usa o menu GSL Bartofil &gt; Anexar entrega: escolhe o arquivo e o script sobe direto para a pasta do Drive da GSL, cola o link e avisa o gerente. (Também é possível colar o link manualmente na coluna LINK DO ANEXO.)</t>
        </is>
      </c>
    </row>
    <row r="17" ht="28" customHeight="1">
      <c r="A17" s="12" t="inlineStr">
        <is>
          <t>3.</t>
        </is>
      </c>
      <c r="B17" s="13" t="inlineStr">
        <is>
          <t>O gerente valida na coluna J (Aprovado/Reprovado). Se reprovar, preenche o MOTIVO na coluna K — o coordenador recebe tudo por e-mail.</t>
        </is>
      </c>
    </row>
    <row r="18" ht="28" customHeight="1">
      <c r="A18" s="12" t="inlineStr">
        <is>
          <t>4.</t>
        </is>
      </c>
      <c r="B18" s="13" t="inlineStr">
        <is>
          <t>O gerente pode ALTERAR QUALQUER PRAZO na coluna C (células amarelas). A mudança dispara e-mail automático avisando os coordenadores, e o calendário de parede se recolore sozinho.</t>
        </is>
      </c>
    </row>
    <row r="19" ht="42" customHeight="1">
      <c r="A19" s="12" t="inlineStr">
        <is>
          <t>5.</t>
        </is>
      </c>
      <c r="B19" s="13" t="inlineStr">
        <is>
          <t>Na vistoria (Acomp. Organizacional Setorial), o gerente define o SETOR na planilha; o coordenador do turno é avisado por e-mail, imprime o Checklist de Vistoria (arquivo Word), preenche no setor, escaneia e anexa.</t>
        </is>
      </c>
    </row>
    <row r="20" ht="28" customHeight="1">
      <c r="A20" s="12" t="inlineStr">
        <is>
          <t>6.</t>
        </is>
      </c>
      <c r="B20" s="13" t="inlineStr">
        <is>
          <t>Treinamentos: o gerente preenche prazo + tema na seção TREINAMENTOS no fim de cada aba mensal; os coordenadores recebem o aviso por e-mail com a data.</t>
        </is>
      </c>
    </row>
    <row r="21" ht="42" customHeight="1">
      <c r="A21" s="12" t="inlineStr">
        <is>
          <t>7.</t>
        </is>
      </c>
      <c r="B21" s="13" t="inlineStr">
        <is>
          <t>GERENTE e ADMINISTRADOR (CONFIG!B9) podem CANCELAR uma atividade: selecione a linha e use GSL Bartofil &gt; Cancelar atividade (ou escolha Cancelada na coluna VALIDAÇÃO). A atividade sai do mostrador e das contagens, e os coordenadores são avisados por e-mail com o motivo.</t>
        </is>
      </c>
    </row>
    <row r="22" ht="28" customHeight="1">
      <c r="A22" s="12" t="inlineStr">
        <is>
          <t>8.</t>
        </is>
      </c>
      <c r="B22" s="13" t="inlineStr">
        <is>
          <t>A aba CENTRAL mostra o andamento mês a mês (% concluído, pendentes, atrasadas) e a CONFIG cadastra nomes, e-mails, setores e parâmetros.</t>
        </is>
      </c>
    </row>
    <row r="24">
      <c r="A24" s="5" t="inlineStr">
        <is>
          <t>ATIVIDADES E FREQUÊNCIA</t>
        </is>
      </c>
    </row>
    <row r="25" ht="26" customHeight="1">
      <c r="B25" s="14" t="inlineStr">
        <is>
          <t>Levantamento de Erros Operacionais</t>
        </is>
      </c>
      <c r="C25" s="15" t="inlineStr">
        <is>
          <t>Semanal (SEG) — principais erros da semana + ações corretivas tomadas. Modelo Word: Modelo-Erros-Operacionais.docx.</t>
        </is>
      </c>
    </row>
    <row r="26" ht="26" customHeight="1">
      <c r="B26" s="14" t="inlineStr">
        <is>
          <t>Suporte de Supervisores</t>
        </is>
      </c>
      <c r="C26" s="15" t="inlineStr">
        <is>
          <t>Semanal (TER) — situação do setor, fluidez, atrasos e trocas de turno. Modelo Word: Modelo-Suporte-Supervisores.docx.</t>
        </is>
      </c>
    </row>
    <row r="27" ht="26" customHeight="1">
      <c r="B27" s="14" t="inlineStr">
        <is>
          <t>Acomp. Organizacional Setorial</t>
        </is>
      </c>
      <c r="C27" s="15" t="inlineStr">
        <is>
          <t>Semanal (QUA) — vistoria no setor definido pelo gerente, com o Checklist-Vistoria.docx impresso, preenchido, escaneado e anexado.</t>
        </is>
      </c>
    </row>
    <row r="28" ht="26" customHeight="1">
      <c r="B28" s="14" t="inlineStr">
        <is>
          <t>Metas</t>
        </is>
      </c>
      <c r="C28" s="15" t="inlineStr">
        <is>
          <t>Semanal (QUI) — indicadores, atingimento e feedback dos supervisores sobre colaboradores (destaques e atípicos). Modelo Word: Modelo-Metas.docx.</t>
        </is>
      </c>
    </row>
    <row r="29" ht="26" customHeight="1">
      <c r="B29" s="14" t="inlineStr">
        <is>
          <t>Faltas e Atestados</t>
        </is>
      </c>
      <c r="C29" s="15" t="inlineStr">
        <is>
          <t>Semanal (SEX) — absenteísmo: faltas e atestados da semana. Modelo Word: Modelo-Faltas-Atestados.docx.</t>
        </is>
      </c>
    </row>
    <row r="30" ht="26" customHeight="1">
      <c r="B30" s="14" t="inlineStr">
        <is>
          <t>Acompanhamento Semanal c/ Supervisores</t>
        </is>
      </c>
      <c r="C30" s="15" t="inlineStr">
        <is>
          <t>Semanal (SEX) — retorno colhido com os supervisores sobre desempenho das equipes. Modelo Word: Modelo-Acompanhamento-Supervisores.docx.</t>
        </is>
      </c>
    </row>
    <row r="31" ht="26" customHeight="1">
      <c r="B31" s="14" t="inlineStr">
        <is>
          <t>Reunião Semanal com a Gerência</t>
        </is>
      </c>
      <c r="C31" s="15" t="inlineStr">
        <is>
          <t>Semanal (SEX) — reunião dos 3 coordenadores com o gerente; após realizada, o gerente marca Aprovado (ata opcional no LINK DO ANEXO). O gerente pode mudar a data da semana editando o PRAZO da linha.</t>
        </is>
      </c>
    </row>
    <row r="32" ht="26" customHeight="1">
      <c r="B32" s="14" t="inlineStr">
        <is>
          <t>Programação de Férias</t>
        </is>
      </c>
      <c r="C32" s="15" t="inlineStr">
        <is>
          <t>Mensal (1ª segunda) — alinhamento com os supervisores sobre os feristas do mês.</t>
        </is>
      </c>
    </row>
    <row r="33" ht="26" customHeight="1">
      <c r="B33" s="14" t="inlineStr">
        <is>
          <t>Mudança de Função</t>
        </is>
      </c>
      <c r="C33" s="15" t="inlineStr">
        <is>
          <t>Mensal (última sexta) — reunião sobre movimentação de pessoal; o gerente pode mudar a data.</t>
        </is>
      </c>
    </row>
    <row r="34" ht="26" customHeight="1">
      <c r="B34" s="14" t="inlineStr">
        <is>
          <t>Treinamento com Colaboradores</t>
        </is>
      </c>
      <c r="C34" s="15" t="inlineStr">
        <is>
          <t>Programado — só aparece quando o gerente marca; coordenadores programam dia/hora com os supervisores.</t>
        </is>
      </c>
    </row>
    <row r="36">
      <c r="A36" s="5" t="inlineStr">
        <is>
          <t>APÓS IMPORTAR NO GOOGLE SHEETS — ATIVAR OS E-MAILS AUTOMÁTICOS (5 min)</t>
        </is>
      </c>
    </row>
    <row r="37" ht="28" customHeight="1">
      <c r="A37" s="12" t="inlineStr">
        <is>
          <t>1.</t>
        </is>
      </c>
      <c r="B37" s="13" t="inlineStr">
        <is>
          <t>OBRIGATÓRIO: abra o arquivo no Google e use Arquivo → Salvar como Planilhas Google. Em modo .xlsx (aparece 'XLSX' ao lado do nome) o Apps Script NÃO funciona — menu, anexos e e-mails ficam mortos.</t>
        </is>
      </c>
    </row>
    <row r="38" ht="28" customHeight="1">
      <c r="A38" s="12" t="inlineStr">
        <is>
          <t>2.</t>
        </is>
      </c>
      <c r="B38" s="13" t="inlineStr">
        <is>
          <t>Extensões → Apps Script. Apague o conteúdo, cole o arquivo Code.gs entregue junto com esta planilha e salve.</t>
        </is>
      </c>
    </row>
    <row r="39" ht="16" customHeight="1">
      <c r="A39" s="12" t="inlineStr">
        <is>
          <t>3.</t>
        </is>
      </c>
      <c r="B39" s="13" t="inlineStr">
        <is>
          <t>Preencha a aba CONFIG (nomes e e-mails dos 3 coordenadores e do gerente).</t>
        </is>
      </c>
    </row>
    <row r="40" ht="28" customHeight="1">
      <c r="A40" s="12" t="inlineStr">
        <is>
          <t>4.</t>
        </is>
      </c>
      <c r="B40" s="13" t="inlineStr">
        <is>
          <t>No Apps Script, execute a função instalarGatilhos uma vez e autorize com a conta do gerente (os e-mails sairão dela).</t>
        </is>
      </c>
    </row>
    <row r="41" ht="42" customHeight="1">
      <c r="A41" s="12" t="inlineStr">
        <is>
          <t>5.</t>
        </is>
      </c>
      <c r="B41" s="13" t="inlineStr">
        <is>
          <t>Pronto. Lembretes (2 dias antes e no dia do prazo), COBRANÇA AUTOMÁTICA DE ATRASO (reenviada a cada 3 dias ao coordenador, com cópia à gestão, até a entrega), confirmação de entrega, aprovação/reprovação com motivo, mudança de prazo, setor da vistoria e treinamentos — tudo automático.</t>
        </is>
      </c>
    </row>
    <row r="42" ht="28" customHeight="1">
      <c r="A42" s="12" t="inlineStr">
        <is>
          <t>6.</t>
        </is>
      </c>
      <c r="B42" s="13" t="inlineStr">
        <is>
          <t>Recarregue a página: o menu GSL Bartofil aparece na barra. Cada coordenador, no 1º uso do Anexar entrega, autoriza o script uma única vez.</t>
        </is>
      </c>
    </row>
    <row r="43" ht="42" customHeight="1">
      <c r="A43" s="12" t="inlineStr">
        <is>
          <t>7.</t>
        </is>
      </c>
      <c r="B43" s="13" t="inlineStr">
        <is>
          <t>Suba os 6 arquivos Word de modelo na subpasta Modelos da pasta GSL Bartofil - Entregas do Drive e cole o link de cada um na tabela MODELOS PARA DOWNLOAD, no topo desta aba: os e-mails de lembrete passam a levar o link do modelo.</t>
        </is>
      </c>
    </row>
    <row r="44" ht="28" customHeight="1">
      <c r="A44" s="12" t="inlineStr">
        <is>
          <t>8.</t>
        </is>
      </c>
      <c r="B44" s="13" t="inlineStr">
        <is>
          <t>Recomendado: proteja as colunas do gerente (PRAZO C, SETOR J, VALIDAÇÃO O, MOTIVO P) em Dados → Proteger intervalos, liberando gerente e administrador.</t>
        </is>
      </c>
    </row>
    <row r="46">
      <c r="A46" s="5" t="inlineStr">
        <is>
          <t>IDENTIDADE VISUAL</t>
        </is>
      </c>
    </row>
    <row r="47" ht="42" customHeight="1">
      <c r="A47" s="12" t="inlineStr">
        <is>
          <t>-</t>
        </is>
      </c>
      <c r="B47" s="13" t="inlineStr">
        <is>
          <t>Paleta oficial do logo Bartofil: azul #111785, verde #01973A e amarelo #FFEE03, com a listra verde-amarela sob os títulos. O vermelho aparece apenas como cor funcional de status (atrasada/reprovada). Sem emojis: o mostrador exibe o nome curto de cada atividade.</t>
        </is>
      </c>
    </row>
  </sheetData>
  <mergeCells count="25">
    <mergeCell ref="B47:C47"/>
    <mergeCell ref="B16:C16"/>
    <mergeCell ref="A46:C46"/>
    <mergeCell ref="B22:C22"/>
    <mergeCell ref="A3:C3"/>
    <mergeCell ref="A12:C12"/>
    <mergeCell ref="B18:C18"/>
    <mergeCell ref="B43:C43"/>
    <mergeCell ref="B39:C39"/>
    <mergeCell ref="B21:C21"/>
    <mergeCell ref="A5:C5"/>
    <mergeCell ref="A14:C14"/>
    <mergeCell ref="B42:C42"/>
    <mergeCell ref="B17:C17"/>
    <mergeCell ref="B38:C38"/>
    <mergeCell ref="B44:C44"/>
    <mergeCell ref="B19:C19"/>
    <mergeCell ref="B37:C37"/>
    <mergeCell ref="B40:C40"/>
    <mergeCell ref="A24:C24"/>
    <mergeCell ref="A36:C36"/>
    <mergeCell ref="B15:C15"/>
    <mergeCell ref="A1:C1"/>
    <mergeCell ref="B20:C20"/>
    <mergeCell ref="B41:C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1973A"/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5" customWidth="1" min="4" max="4"/>
    <col width="12" customWidth="1" min="5" max="5"/>
    <col width="12" customWidth="1" min="6" max="6"/>
    <col width="13" customWidth="1" min="7" max="7"/>
    <col width="12" customWidth="1" min="8" max="8"/>
    <col width="26" customWidth="1" min="9" max="9"/>
    <col width="16" customWidth="1" min="10" max="10"/>
  </cols>
  <sheetData>
    <row r="1" ht="30" customHeight="1">
      <c r="A1" s="16" t="inlineStr">
        <is>
          <t>CENTRAL — ANDAMENTO 2026</t>
        </is>
      </c>
      <c r="I1" s="17" t="inlineStr">
        <is>
          <t>GSL BARTOFIL</t>
        </is>
      </c>
    </row>
    <row r="2" ht="5" customHeight="1">
      <c r="A2" s="2" t="n"/>
      <c r="B2" s="2" t="n"/>
      <c r="C2" s="2" t="n"/>
      <c r="D2" s="2" t="n"/>
      <c r="E2" s="2" t="n"/>
      <c r="F2" s="3" t="n"/>
      <c r="G2" s="3" t="n"/>
      <c r="H2" s="3" t="n"/>
      <c r="I2" s="3" t="n"/>
      <c r="J2" s="3" t="n"/>
    </row>
    <row r="3" ht="16" customHeight="1">
      <c r="A3" s="18" t="inlineStr">
        <is>
          <t>TOTAL NO ANO</t>
        </is>
      </c>
      <c r="C3" s="19" t="inlineStr">
        <is>
          <t>APROVADAS</t>
        </is>
      </c>
      <c r="E3" s="18" t="inlineStr">
        <is>
          <t>ATRASADAS AGORA</t>
        </is>
      </c>
      <c r="G3" s="20" t="inlineStr">
        <is>
          <t>% CONCLUÍDO DO ANO</t>
        </is>
      </c>
      <c r="I3" s="21">
        <f>TEXT(TODAY(),"dd/mm/yyyy")&amp;" — visão geral"</f>
        <v/>
      </c>
    </row>
    <row r="4" ht="30" customHeight="1">
      <c r="A4" s="22">
        <f>SUM(B8:B13)</f>
        <v/>
      </c>
      <c r="C4" s="23">
        <f>SUM(C8:C13)</f>
        <v/>
      </c>
      <c r="E4" s="24">
        <f>SUM(F8:F13)</f>
        <v/>
      </c>
      <c r="G4" s="25">
        <f>IF(SUM(B8:B13)=0,0,SUM(C8:C13)/SUM(B8:B13))</f>
        <v/>
      </c>
    </row>
    <row r="6">
      <c r="A6" s="26" t="inlineStr">
        <is>
          <t>ANDAMENTO MÊS A MÊS</t>
        </is>
      </c>
    </row>
    <row r="7">
      <c r="A7" s="27" t="inlineStr">
        <is>
          <t>MÊS</t>
        </is>
      </c>
      <c r="B7" s="27" t="inlineStr">
        <is>
          <t>TOTAL</t>
        </is>
      </c>
      <c r="C7" s="27" t="inlineStr">
        <is>
          <t>APROV.</t>
        </is>
      </c>
      <c r="D7" s="27" t="inlineStr">
        <is>
          <t>AGUARD. VALID.</t>
        </is>
      </c>
      <c r="E7" s="27" t="inlineStr">
        <is>
          <t>PEND.</t>
        </is>
      </c>
      <c r="F7" s="27" t="inlineStr">
        <is>
          <t>ATRAS.</t>
        </is>
      </c>
      <c r="G7" s="27" t="inlineStr">
        <is>
          <t>REPROV.</t>
        </is>
      </c>
      <c r="H7" s="27" t="inlineStr">
        <is>
          <t>% CONCL.</t>
        </is>
      </c>
      <c r="I7" s="27" t="inlineStr">
        <is>
          <t>PROGRESSO</t>
        </is>
      </c>
      <c r="J7" s="27" t="inlineStr">
        <is>
          <t>SITUAÇÃO</t>
        </is>
      </c>
    </row>
    <row r="8">
      <c r="A8" s="7" t="inlineStr">
        <is>
          <t>JUL 2026</t>
        </is>
      </c>
      <c r="B8" s="28">
        <f>COUNTIF('JUL 2026'!$R$22:$R$210,"Aprovada")+COUNTIF('JUL 2026'!$R$22:$R$210,"Entregue")+COUNTIF('JUL 2026'!$R$22:$R$210,"Pendente")+COUNTIF('JUL 2026'!$R$22:$R$210,"Atrasada")+COUNTIF('JUL 2026'!$R$22:$R$210,"Reprovada")</f>
        <v/>
      </c>
      <c r="C8" s="6">
        <f>COUNTIF('JUL 2026'!$R$22:$R$210,"Aprovada")</f>
        <v/>
      </c>
      <c r="D8" s="28">
        <f>COUNTIF('JUL 2026'!$R$22:$R$210,"Entregue")</f>
        <v/>
      </c>
      <c r="E8" s="28">
        <f>COUNTIF('JUL 2026'!$R$22:$R$210,"Pendente")</f>
        <v/>
      </c>
      <c r="F8" s="29">
        <f>COUNTIF('JUL 2026'!$R$22:$R$210,"Atrasada")</f>
        <v/>
      </c>
      <c r="G8" s="28">
        <f>COUNTIF('JUL 2026'!$R$22:$R$210,"Reprovada")</f>
        <v/>
      </c>
      <c r="H8" s="30">
        <f>IF($B8=0,0,$C8/$B8)</f>
        <v/>
      </c>
      <c r="I8" s="31">
        <f>REPT("█",ROUND($H8*15,0))&amp;REPT("░",15-ROUND($H8*15,0))</f>
        <v/>
      </c>
      <c r="J8" s="28">
        <f>IF($B8=0,"—",IF($C8=$B8,"Concluído",IF($F8&gt;0,"Com atrasos","Em andamento")))</f>
        <v/>
      </c>
    </row>
    <row r="9">
      <c r="A9" s="10" t="inlineStr">
        <is>
          <t>AGO 2026</t>
        </is>
      </c>
      <c r="B9" s="32">
        <f>COUNTIF('AGO 2026'!$R$22:$R$210,"Aprovada")+COUNTIF('AGO 2026'!$R$22:$R$210,"Entregue")+COUNTIF('AGO 2026'!$R$22:$R$210,"Pendente")+COUNTIF('AGO 2026'!$R$22:$R$210,"Atrasada")+COUNTIF('AGO 2026'!$R$22:$R$210,"Reprovada")</f>
        <v/>
      </c>
      <c r="C9" s="9">
        <f>COUNTIF('AGO 2026'!$R$22:$R$210,"Aprovada")</f>
        <v/>
      </c>
      <c r="D9" s="32">
        <f>COUNTIF('AGO 2026'!$R$22:$R$210,"Entregue")</f>
        <v/>
      </c>
      <c r="E9" s="32">
        <f>COUNTIF('AGO 2026'!$R$22:$R$210,"Pendente")</f>
        <v/>
      </c>
      <c r="F9" s="33">
        <f>COUNTIF('AGO 2026'!$R$22:$R$210,"Atrasada")</f>
        <v/>
      </c>
      <c r="G9" s="32">
        <f>COUNTIF('AGO 2026'!$R$22:$R$210,"Reprovada")</f>
        <v/>
      </c>
      <c r="H9" s="34">
        <f>IF($B9=0,0,$C9/$B9)</f>
        <v/>
      </c>
      <c r="I9" s="35">
        <f>REPT("█",ROUND($H9*15,0))&amp;REPT("░",15-ROUND($H9*15,0))</f>
        <v/>
      </c>
      <c r="J9" s="32">
        <f>IF($B9=0,"—",IF($C9=$B9,"Concluído",IF($F9&gt;0,"Com atrasos","Em andamento")))</f>
        <v/>
      </c>
    </row>
    <row r="10">
      <c r="A10" s="7" t="inlineStr">
        <is>
          <t>SET 2026</t>
        </is>
      </c>
      <c r="B10" s="28">
        <f>COUNTIF('SET 2026'!$R$22:$R$210,"Aprovada")+COUNTIF('SET 2026'!$R$22:$R$210,"Entregue")+COUNTIF('SET 2026'!$R$22:$R$210,"Pendente")+COUNTIF('SET 2026'!$R$22:$R$210,"Atrasada")+COUNTIF('SET 2026'!$R$22:$R$210,"Reprovada")</f>
        <v/>
      </c>
      <c r="C10" s="6">
        <f>COUNTIF('SET 2026'!$R$22:$R$210,"Aprovada")</f>
        <v/>
      </c>
      <c r="D10" s="28">
        <f>COUNTIF('SET 2026'!$R$22:$R$210,"Entregue")</f>
        <v/>
      </c>
      <c r="E10" s="28">
        <f>COUNTIF('SET 2026'!$R$22:$R$210,"Pendente")</f>
        <v/>
      </c>
      <c r="F10" s="29">
        <f>COUNTIF('SET 2026'!$R$22:$R$210,"Atrasada")</f>
        <v/>
      </c>
      <c r="G10" s="28">
        <f>COUNTIF('SET 2026'!$R$22:$R$210,"Reprovada")</f>
        <v/>
      </c>
      <c r="H10" s="30">
        <f>IF($B10=0,0,$C10/$B10)</f>
        <v/>
      </c>
      <c r="I10" s="31">
        <f>REPT("█",ROUND($H10*15,0))&amp;REPT("░",15-ROUND($H10*15,0))</f>
        <v/>
      </c>
      <c r="J10" s="28">
        <f>IF($B10=0,"—",IF($C10=$B10,"Concluído",IF($F10&gt;0,"Com atrasos","Em andamento")))</f>
        <v/>
      </c>
    </row>
    <row r="11">
      <c r="A11" s="10" t="inlineStr">
        <is>
          <t>OUT 2026</t>
        </is>
      </c>
      <c r="B11" s="32">
        <f>COUNTIF('OUT 2026'!$R$22:$R$210,"Aprovada")+COUNTIF('OUT 2026'!$R$22:$R$210,"Entregue")+COUNTIF('OUT 2026'!$R$22:$R$210,"Pendente")+COUNTIF('OUT 2026'!$R$22:$R$210,"Atrasada")+COUNTIF('OUT 2026'!$R$22:$R$210,"Reprovada")</f>
        <v/>
      </c>
      <c r="C11" s="9">
        <f>COUNTIF('OUT 2026'!$R$22:$R$210,"Aprovada")</f>
        <v/>
      </c>
      <c r="D11" s="32">
        <f>COUNTIF('OUT 2026'!$R$22:$R$210,"Entregue")</f>
        <v/>
      </c>
      <c r="E11" s="32">
        <f>COUNTIF('OUT 2026'!$R$22:$R$210,"Pendente")</f>
        <v/>
      </c>
      <c r="F11" s="33">
        <f>COUNTIF('OUT 2026'!$R$22:$R$210,"Atrasada")</f>
        <v/>
      </c>
      <c r="G11" s="32">
        <f>COUNTIF('OUT 2026'!$R$22:$R$210,"Reprovada")</f>
        <v/>
      </c>
      <c r="H11" s="34">
        <f>IF($B11=0,0,$C11/$B11)</f>
        <v/>
      </c>
      <c r="I11" s="35">
        <f>REPT("█",ROUND($H11*15,0))&amp;REPT("░",15-ROUND($H11*15,0))</f>
        <v/>
      </c>
      <c r="J11" s="32">
        <f>IF($B11=0,"—",IF($C11=$B11,"Concluído",IF($F11&gt;0,"Com atrasos","Em andamento")))</f>
        <v/>
      </c>
    </row>
    <row r="12">
      <c r="A12" s="7" t="inlineStr">
        <is>
          <t>NOV 2026</t>
        </is>
      </c>
      <c r="B12" s="28">
        <f>COUNTIF('NOV 2026'!$R$22:$R$210,"Aprovada")+COUNTIF('NOV 2026'!$R$22:$R$210,"Entregue")+COUNTIF('NOV 2026'!$R$22:$R$210,"Pendente")+COUNTIF('NOV 2026'!$R$22:$R$210,"Atrasada")+COUNTIF('NOV 2026'!$R$22:$R$210,"Reprovada")</f>
        <v/>
      </c>
      <c r="C12" s="6">
        <f>COUNTIF('NOV 2026'!$R$22:$R$210,"Aprovada")</f>
        <v/>
      </c>
      <c r="D12" s="28">
        <f>COUNTIF('NOV 2026'!$R$22:$R$210,"Entregue")</f>
        <v/>
      </c>
      <c r="E12" s="28">
        <f>COUNTIF('NOV 2026'!$R$22:$R$210,"Pendente")</f>
        <v/>
      </c>
      <c r="F12" s="29">
        <f>COUNTIF('NOV 2026'!$R$22:$R$210,"Atrasada")</f>
        <v/>
      </c>
      <c r="G12" s="28">
        <f>COUNTIF('NOV 2026'!$R$22:$R$210,"Reprovada")</f>
        <v/>
      </c>
      <c r="H12" s="30">
        <f>IF($B12=0,0,$C12/$B12)</f>
        <v/>
      </c>
      <c r="I12" s="31">
        <f>REPT("█",ROUND($H12*15,0))&amp;REPT("░",15-ROUND($H12*15,0))</f>
        <v/>
      </c>
      <c r="J12" s="28">
        <f>IF($B12=0,"—",IF($C12=$B12,"Concluído",IF($F12&gt;0,"Com atrasos","Em andamento")))</f>
        <v/>
      </c>
    </row>
    <row r="13">
      <c r="A13" s="10" t="inlineStr">
        <is>
          <t>DEZ 2026</t>
        </is>
      </c>
      <c r="B13" s="32">
        <f>COUNTIF('DEZ 2026'!$R$22:$R$210,"Aprovada")+COUNTIF('DEZ 2026'!$R$22:$R$210,"Entregue")+COUNTIF('DEZ 2026'!$R$22:$R$210,"Pendente")+COUNTIF('DEZ 2026'!$R$22:$R$210,"Atrasada")+COUNTIF('DEZ 2026'!$R$22:$R$210,"Reprovada")</f>
        <v/>
      </c>
      <c r="C13" s="9">
        <f>COUNTIF('DEZ 2026'!$R$22:$R$210,"Aprovada")</f>
        <v/>
      </c>
      <c r="D13" s="32">
        <f>COUNTIF('DEZ 2026'!$R$22:$R$210,"Entregue")</f>
        <v/>
      </c>
      <c r="E13" s="32">
        <f>COUNTIF('DEZ 2026'!$R$22:$R$210,"Pendente")</f>
        <v/>
      </c>
      <c r="F13" s="33">
        <f>COUNTIF('DEZ 2026'!$R$22:$R$210,"Atrasada")</f>
        <v/>
      </c>
      <c r="G13" s="32">
        <f>COUNTIF('DEZ 2026'!$R$22:$R$210,"Reprovada")</f>
        <v/>
      </c>
      <c r="H13" s="34">
        <f>IF($B13=0,0,$C13/$B13)</f>
        <v/>
      </c>
      <c r="I13" s="35">
        <f>REPT("█",ROUND($H13*15,0))&amp;REPT("░",15-ROUND($H13*15,0))</f>
        <v/>
      </c>
      <c r="J13" s="32">
        <f>IF($B13=0,"—",IF($C13=$B13,"Concluído",IF($F13&gt;0,"Com atrasos","Em andamento")))</f>
        <v/>
      </c>
    </row>
    <row r="14">
      <c r="A14" s="36" t="inlineStr">
        <is>
          <t>TOTAL 2026</t>
        </is>
      </c>
      <c r="B14" s="37">
        <f>SUM(B8:B13)</f>
        <v/>
      </c>
      <c r="C14" s="37">
        <f>SUM(C8:C13)</f>
        <v/>
      </c>
      <c r="D14" s="37">
        <f>SUM(D8:D13)</f>
        <v/>
      </c>
      <c r="E14" s="37">
        <f>SUM(E8:E13)</f>
        <v/>
      </c>
      <c r="F14" s="37">
        <f>SUM(F8:F13)</f>
        <v/>
      </c>
      <c r="G14" s="37">
        <f>SUM(G8:G13)</f>
        <v/>
      </c>
      <c r="H14" s="38">
        <f>IF($B14=0,0,$C14/$B14)</f>
        <v/>
      </c>
      <c r="I14" s="37">
        <f>REPT("█",ROUND($H14*15,0))&amp;REPT("░",15-ROUND($H14*15,0))</f>
        <v/>
      </c>
      <c r="J14" s="37">
        <f>""</f>
        <v/>
      </c>
    </row>
    <row r="16">
      <c r="A16" s="11" t="inlineStr">
        <is>
          <t>Os números somam as entregas dos 3 turnos (A, B e C) + treinamentos programados. Aguard. valid. = anexado pelo coordenador e aguardando aprovação do gerente.</t>
        </is>
      </c>
    </row>
  </sheetData>
  <mergeCells count="13">
    <mergeCell ref="A4:B4"/>
    <mergeCell ref="G4:H4"/>
    <mergeCell ref="E4:F4"/>
    <mergeCell ref="I3:J4"/>
    <mergeCell ref="A6:J6"/>
    <mergeCell ref="A16:J16"/>
    <mergeCell ref="E3:F3"/>
    <mergeCell ref="A1:H1"/>
    <mergeCell ref="C3:D3"/>
    <mergeCell ref="A3:B3"/>
    <mergeCell ref="G3:H3"/>
    <mergeCell ref="I1:J1"/>
    <mergeCell ref="C4:D4"/>
  </mergeCells>
  <conditionalFormatting sqref="F8:F13">
    <cfRule type="expression" priority="1" dxfId="0">
      <formula>$F8&gt;0</formula>
    </cfRule>
  </conditionalFormatting>
  <conditionalFormatting sqref="J8:J13">
    <cfRule type="expression" priority="2" dxfId="1">
      <formula>$J8="Concluído"</formula>
    </cfRule>
    <cfRule type="expression" priority="3" dxfId="2">
      <formula>$J8="Com atrasos"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B7280"/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4" customWidth="1" min="3" max="3"/>
    <col width="16" customWidth="1" min="4" max="4"/>
    <col width="40" customWidth="1" min="5" max="5"/>
    <col width="6" customWidth="1" min="6" max="6"/>
  </cols>
  <sheetData>
    <row r="1" ht="26" customHeight="1">
      <c r="A1" s="39" t="inlineStr">
        <is>
          <t>CONFIG — ENVOLVIDOS, SETORES, PARÂMETROS E MODELOS</t>
        </is>
      </c>
    </row>
    <row r="2" ht="5" customHeight="1">
      <c r="A2" s="2" t="n"/>
      <c r="B2" s="2" t="n"/>
      <c r="C2" s="3" t="n"/>
      <c r="D2" s="3" t="n"/>
      <c r="E2" s="3" t="n"/>
    </row>
    <row r="3">
      <c r="A3" s="40" t="inlineStr">
        <is>
          <t>1 · EQUIPE (usada nas fórmulas e nos e-mails do script)</t>
        </is>
      </c>
    </row>
    <row r="4">
      <c r="A4" s="41" t="inlineStr">
        <is>
          <t>PAPEL</t>
        </is>
      </c>
      <c r="B4" s="41" t="inlineStr">
        <is>
          <t>NOME</t>
        </is>
      </c>
      <c r="C4" s="41" t="inlineStr">
        <is>
          <t>E-MAIL</t>
        </is>
      </c>
    </row>
    <row r="5">
      <c r="A5" s="42" t="inlineStr">
        <is>
          <t>Coordenador · Turno A (manhã)</t>
        </is>
      </c>
      <c r="B5" s="43" t="inlineStr">
        <is>
          <t>(preencha o nome)</t>
        </is>
      </c>
      <c r="C5" s="43" t="inlineStr">
        <is>
          <t>turnoA@bartofil.com.br</t>
        </is>
      </c>
    </row>
    <row r="6">
      <c r="A6" s="42" t="inlineStr">
        <is>
          <t>Coordenador · Turno B (tarde)</t>
        </is>
      </c>
      <c r="B6" s="43" t="inlineStr">
        <is>
          <t>(preencha o nome)</t>
        </is>
      </c>
      <c r="C6" s="43" t="inlineStr">
        <is>
          <t>turnoB@bartofil.com.br</t>
        </is>
      </c>
    </row>
    <row r="7">
      <c r="A7" s="42" t="inlineStr">
        <is>
          <t>Coordenador · Turno C (noite)</t>
        </is>
      </c>
      <c r="B7" s="43" t="inlineStr">
        <is>
          <t>(preencha o nome)</t>
        </is>
      </c>
      <c r="C7" s="43" t="inlineStr">
        <is>
          <t>turnoC@bartofil.com.br</t>
        </is>
      </c>
    </row>
    <row r="8">
      <c r="A8" s="42" t="inlineStr">
        <is>
          <t>Gerente de Logística</t>
        </is>
      </c>
      <c r="B8" s="43" t="inlineStr">
        <is>
          <t>(preencha o nome)</t>
        </is>
      </c>
      <c r="C8" s="43" t="inlineStr">
        <is>
          <t>gerente@bartofil.com.br</t>
        </is>
      </c>
    </row>
    <row r="9">
      <c r="A9" s="44" t="inlineStr">
        <is>
          <t>Administrador da planilha</t>
        </is>
      </c>
      <c r="B9" s="43" t="inlineStr">
        <is>
          <t>Hércules</t>
        </is>
      </c>
      <c r="C9" s="43" t="inlineStr">
        <is>
          <t>hercules@bartofil.com.br</t>
        </is>
      </c>
    </row>
    <row r="11">
      <c r="A11" s="40" t="inlineStr">
        <is>
          <t>2 · SETORES DO CD (lista usada no campo 'Setor' da vistoria)</t>
        </is>
      </c>
      <c r="C11" s="40" t="inlineStr">
        <is>
          <t>3 · PARÂMETROS DO SCRIPT</t>
        </is>
      </c>
    </row>
    <row r="12">
      <c r="A12" s="45" t="inlineStr">
        <is>
          <t>Recebimento</t>
        </is>
      </c>
      <c r="C12" s="46" t="inlineStr">
        <is>
          <t>Dias de antecedência do lembrete</t>
        </is>
      </c>
      <c r="D12" s="8" t="n">
        <v>2</v>
      </c>
    </row>
    <row r="13">
      <c r="A13" s="47" t="inlineStr">
        <is>
          <t>Conferência</t>
        </is>
      </c>
      <c r="C13" s="46" t="inlineStr">
        <is>
          <t>Reenviar alerta de atraso a cada (dias)</t>
        </is>
      </c>
      <c r="D13" s="8" t="n">
        <v>3</v>
      </c>
    </row>
    <row r="14">
      <c r="A14" s="45" t="inlineStr">
        <is>
          <t>Armazenagem / Porta-paletes</t>
        </is>
      </c>
      <c r="C14" s="46" t="inlineStr">
        <is>
          <t>E-mail em cópia (opcional)</t>
        </is>
      </c>
      <c r="D14" s="8" t="inlineStr"/>
    </row>
    <row r="15">
      <c r="A15" s="47" t="inlineStr">
        <is>
          <t>Separação (Picking)</t>
        </is>
      </c>
      <c r="C15" s="46" t="inlineStr">
        <is>
          <t>Pasta do Drive p/ entregas (o script cria e preenche)</t>
        </is>
      </c>
      <c r="D15" s="8" t="inlineStr"/>
    </row>
    <row r="16">
      <c r="A16" s="45" t="inlineStr">
        <is>
          <t>Reposição</t>
        </is>
      </c>
    </row>
    <row r="17">
      <c r="A17" s="47" t="inlineStr">
        <is>
          <t>Expedição</t>
        </is>
      </c>
    </row>
    <row r="18">
      <c r="A18" s="45" t="inlineStr">
        <is>
          <t>Carregamento / Docas</t>
        </is>
      </c>
    </row>
    <row r="19">
      <c r="A19" s="47" t="inlineStr">
        <is>
          <t>Devolução / Avarias</t>
        </is>
      </c>
    </row>
    <row r="20">
      <c r="A20" s="45" t="inlineStr">
        <is>
          <t>Inventário</t>
        </is>
      </c>
    </row>
    <row r="21">
      <c r="A21" s="47" t="inlineStr">
        <is>
          <t>Manutenção</t>
        </is>
      </c>
    </row>
    <row r="22">
      <c r="A22" s="45" t="inlineStr">
        <is>
          <t>Pátio / Área externa</t>
        </is>
      </c>
    </row>
    <row r="23">
      <c r="A23" s="47" t="inlineStr">
        <is>
          <t>Administrativo do CD</t>
        </is>
      </c>
    </row>
    <row r="24">
      <c r="A24" s="45" t="n"/>
    </row>
    <row r="25">
      <c r="A25" s="47" t="n"/>
    </row>
    <row r="26">
      <c r="A26" s="48" t="inlineStr">
        <is>
          <t>Células em amarelo são editáveis. NÃO mova linhas/colunas desta aba: o script lê B5:C9 (equipe), D12:D14 (parâmetros) e D15 (pasta do Drive). Os links dos modelos ficam na aba INÍCIO (C6:C11). Gerente e Administrador podem validar e CANCELAR atividades.</t>
        </is>
      </c>
    </row>
    <row r="27">
      <c r="A27" s="47" t="n"/>
    </row>
    <row r="28">
      <c r="A28" s="45" t="n"/>
    </row>
    <row r="29">
      <c r="A29" s="47" t="n"/>
    </row>
    <row r="30">
      <c r="A30" s="45" t="n"/>
    </row>
    <row r="31">
      <c r="A31" s="47" t="n"/>
    </row>
    <row r="32">
      <c r="A32" s="45" t="n"/>
    </row>
    <row r="33">
      <c r="A33" s="47" t="n"/>
    </row>
    <row r="34">
      <c r="A34" s="45" t="n"/>
    </row>
    <row r="35">
      <c r="A35" s="47" t="n"/>
    </row>
    <row r="36">
      <c r="A36" s="45" t="n"/>
    </row>
    <row r="37">
      <c r="A37" s="47" t="n"/>
    </row>
    <row r="38">
      <c r="A38" s="45" t="n"/>
    </row>
    <row r="39">
      <c r="A39" s="47" t="n"/>
    </row>
    <row r="40">
      <c r="A40" s="45" t="n"/>
    </row>
    <row r="41">
      <c r="A41" s="49" t="inlineStr">
        <is>
          <t>Para editar setores: SOBRESCREVA ou LIMPE as células (Delete). NÃO exclua linhas — isso quebra o menu suspenso.</t>
        </is>
      </c>
    </row>
    <row r="42">
      <c r="A42" s="11" t="inlineStr">
        <is>
          <t>Se o menu suspenso quebrar mesmo assim, use GSL Bartofil &gt; Reaplicar lista de setores.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C36AE"/>
    <outlinePr summaryBelow="1" summaryRight="1"/>
    <pageSetUpPr/>
  </sheetPr>
  <dimension ref="A1:U130"/>
  <sheetViews>
    <sheetView showGridLines="0" workbookViewId="0">
      <selection activeCell="A1" sqref="A1"/>
    </sheetView>
  </sheetViews>
  <sheetFormatPr baseColWidth="8" defaultRowHeight="15"/>
  <cols>
    <col hidden="1"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3" customWidth="1" min="18" max="18"/>
    <col hidden="1" width="4" customWidth="1" min="19" max="19"/>
    <col hidden="1" width="4" customWidth="1" min="20" max="20"/>
    <col hidden="1" width="4" customWidth="1" min="21" max="21"/>
  </cols>
  <sheetData>
    <row r="1" ht="30" customHeight="1">
      <c r="A1" s="16" t="inlineStr">
        <is>
          <t>07 · JULHO 2026</t>
        </is>
      </c>
      <c r="O1" s="50" t="inlineStr">
        <is>
          <t>GSL BARTOFIL</t>
        </is>
      </c>
    </row>
    <row r="2" ht="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>
      <c r="A3" s="51">
        <f>IF((COUNTIF($R$22:$R$210,"Aprovada")+COUNTIF($R$22:$R$210,"Entregue")+COUNTIF($R$22:$R$210,"Pendente")+COUNTIF($R$22:$R$210,"Atrasada")+COUNTIF($R$22:$R$210,"Reprovada"))=0,"",IF(COUNTIF($R$22:$R$210,"Aprovada")=(COUNTIF($R$22:$R$210,"Aprovada")+COUNTIF($R$22:$R$210,"Entregue")+COUNTIF($R$22:$R$210,"Pendente")+COUNTIF($R$22:$R$210,"Atrasada")+COUNTIF($R$22:$R$210,"Reprovada")),"MÊS CONCLUÍDO — todas as atividades aprovadas","EM ANDAMENTO — "&amp;COUNTIF($R$22:$R$210,"Aprovada")&amp;" de "&amp;(COUNTIF($R$22:$R$210,"Aprovada")+COUNTIF($R$22:$R$210,"Entregue")+COUNTIF($R$22:$R$210,"Pendente")+COUNTIF($R$22:$R$210,"Atrasada")+COUNTIF($R$22:$R$210,"Reprovada"))&amp;" atividades aprovadas"))</f>
        <v/>
      </c>
    </row>
    <row r="5">
      <c r="B5" s="52" t="inlineStr">
        <is>
          <t>DOM</t>
        </is>
      </c>
      <c r="C5" s="53" t="n"/>
      <c r="D5" s="52" t="inlineStr">
        <is>
          <t>SEG</t>
        </is>
      </c>
      <c r="E5" s="53" t="n"/>
      <c r="F5" s="52" t="inlineStr">
        <is>
          <t>TER</t>
        </is>
      </c>
      <c r="G5" s="53" t="n"/>
      <c r="H5" s="52" t="inlineStr">
        <is>
          <t>QUA</t>
        </is>
      </c>
      <c r="I5" s="53" t="n"/>
      <c r="J5" s="52" t="inlineStr">
        <is>
          <t>QUI</t>
        </is>
      </c>
      <c r="K5" s="53" t="n"/>
      <c r="L5" s="54" t="inlineStr">
        <is>
          <t>SEX</t>
        </is>
      </c>
      <c r="M5" s="53" t="n"/>
      <c r="N5" s="52" t="inlineStr">
        <is>
          <t>SÁB</t>
        </is>
      </c>
      <c r="O5" s="53" t="n"/>
    </row>
    <row r="6" ht="20" customHeight="1">
      <c r="B6" s="55" t="n"/>
      <c r="C6" s="56" t="n"/>
      <c r="D6" s="55" t="n"/>
      <c r="E6" s="56" t="n"/>
      <c r="F6" s="55" t="n"/>
      <c r="G6" s="56" t="n"/>
      <c r="H6" s="57" t="n">
        <v>46204</v>
      </c>
      <c r="I6" s="58" t="n"/>
      <c r="J6" s="57" t="n">
        <v>46205</v>
      </c>
      <c r="K6" s="58" t="n"/>
      <c r="L6" s="57" t="n">
        <v>46206</v>
      </c>
      <c r="M6" s="58" t="n"/>
      <c r="N6" s="57" t="n">
        <v>46207</v>
      </c>
      <c r="O6" s="58" t="n"/>
    </row>
    <row r="7" ht="26" customHeight="1">
      <c r="B7" s="59" t="n"/>
      <c r="C7" s="60" t="n"/>
      <c r="D7" s="59" t="n"/>
      <c r="E7" s="60" t="n"/>
      <c r="F7" s="59" t="n"/>
      <c r="G7" s="60" t="n"/>
      <c r="H7" s="61">
        <f>IF(H6="","",TRIM(IF(COUNTIFS($C$22:$C$210,H6,$D$22:$D$210,"*Erros*",$O$22:$O$210,"&lt;&gt;Cancelada")&gt;0,"Erros ","")&amp;IF(COUNTIFS($C$22:$C$210,H6,$D$22:$D$210,"*Suporte*",$O$22:$O$210,"&lt;&gt;Cancelada")&gt;0,"Suporte ","")&amp;IF(COUNTIFS($C$22:$C$210,H6,$D$22:$D$210,"*Vistoria*",$O$22:$O$210,"&lt;&gt;Cancelada")&gt;0,"Vistoria ","")&amp;IF(COUNTIFS($C$22:$C$210,H6,$D$22:$D$210,"*Metas*",$O$22:$O$210,"&lt;&gt;Cancelada")&gt;0,"Metas ","")&amp;IF(COUNTIFS($C$22:$C$210,H6,$D$22:$D$210,"*Faltas*",$O$22:$O$210,"&lt;&gt;Cancelada")&gt;0,"Faltas ","")&amp;IF(COUNTIFS($C$22:$C$210,H6,$D$22:$D$210,"*Semanal c/*",$O$22:$O$210,"&lt;&gt;Cancelada")&gt;0,"Acomp. ","")&amp;IF(COUNTIFS($C$22:$C$210,H6,$D$22:$D$210,"*Reunião*",$O$22:$O$210,"&lt;&gt;Cancelada")&gt;0,"Reunião ","")&amp;IF(COUNTIFS($C$22:$C$210,H6,$D$22:$D$210,"*Férias*",$O$22:$O$210,"&lt;&gt;Cancelada")&gt;0,"Férias ","")&amp;IF(COUNTIFS($C$22:$C$210,H6,$D$22:$D$210,"*Mudança*",$O$22:$O$210,"&lt;&gt;Cancelada")&gt;0,"M.Função ","")&amp;IF(COUNTIFS($C$22:$C$210,H6,$D$22:$D$210,"*Treinamento*",$O$22:$O$210,"&lt;&gt;Cancelada")&gt;0,"Trein. ","")))</f>
        <v/>
      </c>
      <c r="I7" s="62" t="n"/>
      <c r="J7" s="61">
        <f>IF(J6="","",TRIM(IF(COUNTIFS($C$22:$C$210,J6,$D$22:$D$210,"*Erros*",$O$22:$O$210,"&lt;&gt;Cancelada")&gt;0,"Erros ","")&amp;IF(COUNTIFS($C$22:$C$210,J6,$D$22:$D$210,"*Suporte*",$O$22:$O$210,"&lt;&gt;Cancelada")&gt;0,"Suporte ","")&amp;IF(COUNTIFS($C$22:$C$210,J6,$D$22:$D$210,"*Vistoria*",$O$22:$O$210,"&lt;&gt;Cancelada")&gt;0,"Vistoria ","")&amp;IF(COUNTIFS($C$22:$C$210,J6,$D$22:$D$210,"*Metas*",$O$22:$O$210,"&lt;&gt;Cancelada")&gt;0,"Metas ","")&amp;IF(COUNTIFS($C$22:$C$210,J6,$D$22:$D$210,"*Faltas*",$O$22:$O$210,"&lt;&gt;Cancelada")&gt;0,"Faltas ","")&amp;IF(COUNTIFS($C$22:$C$210,J6,$D$22:$D$210,"*Semanal c/*",$O$22:$O$210,"&lt;&gt;Cancelada")&gt;0,"Acomp. ","")&amp;IF(COUNTIFS($C$22:$C$210,J6,$D$22:$D$210,"*Reunião*",$O$22:$O$210,"&lt;&gt;Cancelada")&gt;0,"Reunião ","")&amp;IF(COUNTIFS($C$22:$C$210,J6,$D$22:$D$210,"*Férias*",$O$22:$O$210,"&lt;&gt;Cancelada")&gt;0,"Férias ","")&amp;IF(COUNTIFS($C$22:$C$210,J6,$D$22:$D$210,"*Mudança*",$O$22:$O$210,"&lt;&gt;Cancelada")&gt;0,"M.Função ","")&amp;IF(COUNTIFS($C$22:$C$210,J6,$D$22:$D$210,"*Treinamento*",$O$22:$O$210,"&lt;&gt;Cancelada")&gt;0,"Trein. ","")))</f>
        <v/>
      </c>
      <c r="K7" s="62" t="n"/>
      <c r="L7" s="61">
        <f>IF(L6="","",TRIM(IF(COUNTIFS($C$22:$C$210,L6,$D$22:$D$210,"*Erros*",$O$22:$O$210,"&lt;&gt;Cancelada")&gt;0,"Erros ","")&amp;IF(COUNTIFS($C$22:$C$210,L6,$D$22:$D$210,"*Suporte*",$O$22:$O$210,"&lt;&gt;Cancelada")&gt;0,"Suporte ","")&amp;IF(COUNTIFS($C$22:$C$210,L6,$D$22:$D$210,"*Vistoria*",$O$22:$O$210,"&lt;&gt;Cancelada")&gt;0,"Vistoria ","")&amp;IF(COUNTIFS($C$22:$C$210,L6,$D$22:$D$210,"*Metas*",$O$22:$O$210,"&lt;&gt;Cancelada")&gt;0,"Metas ","")&amp;IF(COUNTIFS($C$22:$C$210,L6,$D$22:$D$210,"*Faltas*",$O$22:$O$210,"&lt;&gt;Cancelada")&gt;0,"Faltas ","")&amp;IF(COUNTIFS($C$22:$C$210,L6,$D$22:$D$210,"*Semanal c/*",$O$22:$O$210,"&lt;&gt;Cancelada")&gt;0,"Acomp. ","")&amp;IF(COUNTIFS($C$22:$C$210,L6,$D$22:$D$210,"*Reunião*",$O$22:$O$210,"&lt;&gt;Cancelada")&gt;0,"Reunião ","")&amp;IF(COUNTIFS($C$22:$C$210,L6,$D$22:$D$210,"*Férias*",$O$22:$O$210,"&lt;&gt;Cancelada")&gt;0,"Férias ","")&amp;IF(COUNTIFS($C$22:$C$210,L6,$D$22:$D$210,"*Mudança*",$O$22:$O$210,"&lt;&gt;Cancelada")&gt;0,"M.Função ","")&amp;IF(COUNTIFS($C$22:$C$210,L6,$D$22:$D$210,"*Treinamento*",$O$22:$O$210,"&lt;&gt;Cancelada")&gt;0,"Trein. ","")))</f>
        <v/>
      </c>
      <c r="M7" s="62" t="n"/>
      <c r="N7" s="61">
        <f>IF(N6="","",TRIM(IF(COUNTIFS($C$22:$C$210,N6,$D$22:$D$210,"*Erros*",$O$22:$O$210,"&lt;&gt;Cancelada")&gt;0,"Erros ","")&amp;IF(COUNTIFS($C$22:$C$210,N6,$D$22:$D$210,"*Suporte*",$O$22:$O$210,"&lt;&gt;Cancelada")&gt;0,"Suporte ","")&amp;IF(COUNTIFS($C$22:$C$210,N6,$D$22:$D$210,"*Vistoria*",$O$22:$O$210,"&lt;&gt;Cancelada")&gt;0,"Vistoria ","")&amp;IF(COUNTIFS($C$22:$C$210,N6,$D$22:$D$210,"*Metas*",$O$22:$O$210,"&lt;&gt;Cancelada")&gt;0,"Metas ","")&amp;IF(COUNTIFS($C$22:$C$210,N6,$D$22:$D$210,"*Faltas*",$O$22:$O$210,"&lt;&gt;Cancelada")&gt;0,"Faltas ","")&amp;IF(COUNTIFS($C$22:$C$210,N6,$D$22:$D$210,"*Semanal c/*",$O$22:$O$210,"&lt;&gt;Cancelada")&gt;0,"Acomp. ","")&amp;IF(COUNTIFS($C$22:$C$210,N6,$D$22:$D$210,"*Reunião*",$O$22:$O$210,"&lt;&gt;Cancelada")&gt;0,"Reunião ","")&amp;IF(COUNTIFS($C$22:$C$210,N6,$D$22:$D$210,"*Férias*",$O$22:$O$210,"&lt;&gt;Cancelada")&gt;0,"Férias ","")&amp;IF(COUNTIFS($C$22:$C$210,N6,$D$22:$D$210,"*Mudança*",$O$22:$O$210,"&lt;&gt;Cancelada")&gt;0,"M.Função ","")&amp;IF(COUNTIFS($C$22:$C$210,N6,$D$22:$D$210,"*Treinamento*",$O$22:$O$210,"&lt;&gt;Cancelada")&gt;0,"Trein. ","")))</f>
        <v/>
      </c>
      <c r="O7" s="62" t="n"/>
    </row>
    <row r="8" ht="20" customHeight="1">
      <c r="B8" s="57" t="n">
        <v>46208</v>
      </c>
      <c r="C8" s="58" t="n"/>
      <c r="D8" s="57" t="n">
        <v>46209</v>
      </c>
      <c r="E8" s="58" t="n"/>
      <c r="F8" s="57" t="n">
        <v>46210</v>
      </c>
      <c r="G8" s="58" t="n"/>
      <c r="H8" s="57" t="n">
        <v>46211</v>
      </c>
      <c r="I8" s="58" t="n"/>
      <c r="J8" s="57" t="n">
        <v>46212</v>
      </c>
      <c r="K8" s="58" t="n"/>
      <c r="L8" s="57" t="n">
        <v>46213</v>
      </c>
      <c r="M8" s="58" t="n"/>
      <c r="N8" s="57" t="n">
        <v>46214</v>
      </c>
      <c r="O8" s="58" t="n"/>
    </row>
    <row r="9" ht="26" customHeight="1">
      <c r="B9" s="61">
        <f>IF(B8="","",TRIM(IF(COUNTIFS($C$22:$C$210,B8,$D$22:$D$210,"*Erros*",$O$22:$O$210,"&lt;&gt;Cancelada")&gt;0,"Erros ","")&amp;IF(COUNTIFS($C$22:$C$210,B8,$D$22:$D$210,"*Suporte*",$O$22:$O$210,"&lt;&gt;Cancelada")&gt;0,"Suporte ","")&amp;IF(COUNTIFS($C$22:$C$210,B8,$D$22:$D$210,"*Vistoria*",$O$22:$O$210,"&lt;&gt;Cancelada")&gt;0,"Vistoria ","")&amp;IF(COUNTIFS($C$22:$C$210,B8,$D$22:$D$210,"*Metas*",$O$22:$O$210,"&lt;&gt;Cancelada")&gt;0,"Metas ","")&amp;IF(COUNTIFS($C$22:$C$210,B8,$D$22:$D$210,"*Faltas*",$O$22:$O$210,"&lt;&gt;Cancelada")&gt;0,"Faltas ","")&amp;IF(COUNTIFS($C$22:$C$210,B8,$D$22:$D$210,"*Semanal c/*",$O$22:$O$210,"&lt;&gt;Cancelada")&gt;0,"Acomp. ","")&amp;IF(COUNTIFS($C$22:$C$210,B8,$D$22:$D$210,"*Reunião*",$O$22:$O$210,"&lt;&gt;Cancelada")&gt;0,"Reunião ","")&amp;IF(COUNTIFS($C$22:$C$210,B8,$D$22:$D$210,"*Férias*",$O$22:$O$210,"&lt;&gt;Cancelada")&gt;0,"Férias ","")&amp;IF(COUNTIFS($C$22:$C$210,B8,$D$22:$D$210,"*Mudança*",$O$22:$O$210,"&lt;&gt;Cancelada")&gt;0,"M.Função ","")&amp;IF(COUNTIFS($C$22:$C$210,B8,$D$22:$D$210,"*Treinamento*",$O$22:$O$210,"&lt;&gt;Cancelada")&gt;0,"Trein. ","")))</f>
        <v/>
      </c>
      <c r="C9" s="62" t="n"/>
      <c r="D9" s="61">
        <f>IF(D8="","",TRIM(IF(COUNTIFS($C$22:$C$210,D8,$D$22:$D$210,"*Erros*",$O$22:$O$210,"&lt;&gt;Cancelada")&gt;0,"Erros ","")&amp;IF(COUNTIFS($C$22:$C$210,D8,$D$22:$D$210,"*Suporte*",$O$22:$O$210,"&lt;&gt;Cancelada")&gt;0,"Suporte ","")&amp;IF(COUNTIFS($C$22:$C$210,D8,$D$22:$D$210,"*Vistoria*",$O$22:$O$210,"&lt;&gt;Cancelada")&gt;0,"Vistoria ","")&amp;IF(COUNTIFS($C$22:$C$210,D8,$D$22:$D$210,"*Metas*",$O$22:$O$210,"&lt;&gt;Cancelada")&gt;0,"Metas ","")&amp;IF(COUNTIFS($C$22:$C$210,D8,$D$22:$D$210,"*Faltas*",$O$22:$O$210,"&lt;&gt;Cancelada")&gt;0,"Faltas ","")&amp;IF(COUNTIFS($C$22:$C$210,D8,$D$22:$D$210,"*Semanal c/*",$O$22:$O$210,"&lt;&gt;Cancelada")&gt;0,"Acomp. ","")&amp;IF(COUNTIFS($C$22:$C$210,D8,$D$22:$D$210,"*Reunião*",$O$22:$O$210,"&lt;&gt;Cancelada")&gt;0,"Reunião ","")&amp;IF(COUNTIFS($C$22:$C$210,D8,$D$22:$D$210,"*Férias*",$O$22:$O$210,"&lt;&gt;Cancelada")&gt;0,"Férias ","")&amp;IF(COUNTIFS($C$22:$C$210,D8,$D$22:$D$210,"*Mudança*",$O$22:$O$210,"&lt;&gt;Cancelada")&gt;0,"M.Função ","")&amp;IF(COUNTIFS($C$22:$C$210,D8,$D$22:$D$210,"*Treinamento*",$O$22:$O$210,"&lt;&gt;Cancelada")&gt;0,"Trein. ","")))</f>
        <v/>
      </c>
      <c r="E9" s="62" t="n"/>
      <c r="F9" s="61">
        <f>IF(F8="","",TRIM(IF(COUNTIFS($C$22:$C$210,F8,$D$22:$D$210,"*Erros*",$O$22:$O$210,"&lt;&gt;Cancelada")&gt;0,"Erros ","")&amp;IF(COUNTIFS($C$22:$C$210,F8,$D$22:$D$210,"*Suporte*",$O$22:$O$210,"&lt;&gt;Cancelada")&gt;0,"Suporte ","")&amp;IF(COUNTIFS($C$22:$C$210,F8,$D$22:$D$210,"*Vistoria*",$O$22:$O$210,"&lt;&gt;Cancelada")&gt;0,"Vistoria ","")&amp;IF(COUNTIFS($C$22:$C$210,F8,$D$22:$D$210,"*Metas*",$O$22:$O$210,"&lt;&gt;Cancelada")&gt;0,"Metas ","")&amp;IF(COUNTIFS($C$22:$C$210,F8,$D$22:$D$210,"*Faltas*",$O$22:$O$210,"&lt;&gt;Cancelada")&gt;0,"Faltas ","")&amp;IF(COUNTIFS($C$22:$C$210,F8,$D$22:$D$210,"*Semanal c/*",$O$22:$O$210,"&lt;&gt;Cancelada")&gt;0,"Acomp. ","")&amp;IF(COUNTIFS($C$22:$C$210,F8,$D$22:$D$210,"*Reunião*",$O$22:$O$210,"&lt;&gt;Cancelada")&gt;0,"Reunião ","")&amp;IF(COUNTIFS($C$22:$C$210,F8,$D$22:$D$210,"*Férias*",$O$22:$O$210,"&lt;&gt;Cancelada")&gt;0,"Férias ","")&amp;IF(COUNTIFS($C$22:$C$210,F8,$D$22:$D$210,"*Mudança*",$O$22:$O$210,"&lt;&gt;Cancelada")&gt;0,"M.Função ","")&amp;IF(COUNTIFS($C$22:$C$210,F8,$D$22:$D$210,"*Treinamento*",$O$22:$O$210,"&lt;&gt;Cancelada")&gt;0,"Trein. ","")))</f>
        <v/>
      </c>
      <c r="G9" s="62" t="n"/>
      <c r="H9" s="61">
        <f>IF(H8="","",TRIM(IF(COUNTIFS($C$22:$C$210,H8,$D$22:$D$210,"*Erros*",$O$22:$O$210,"&lt;&gt;Cancelada")&gt;0,"Erros ","")&amp;IF(COUNTIFS($C$22:$C$210,H8,$D$22:$D$210,"*Suporte*",$O$22:$O$210,"&lt;&gt;Cancelada")&gt;0,"Suporte ","")&amp;IF(COUNTIFS($C$22:$C$210,H8,$D$22:$D$210,"*Vistoria*",$O$22:$O$210,"&lt;&gt;Cancelada")&gt;0,"Vistoria ","")&amp;IF(COUNTIFS($C$22:$C$210,H8,$D$22:$D$210,"*Metas*",$O$22:$O$210,"&lt;&gt;Cancelada")&gt;0,"Metas ","")&amp;IF(COUNTIFS($C$22:$C$210,H8,$D$22:$D$210,"*Faltas*",$O$22:$O$210,"&lt;&gt;Cancelada")&gt;0,"Faltas ","")&amp;IF(COUNTIFS($C$22:$C$210,H8,$D$22:$D$210,"*Semanal c/*",$O$22:$O$210,"&lt;&gt;Cancelada")&gt;0,"Acomp. ","")&amp;IF(COUNTIFS($C$22:$C$210,H8,$D$22:$D$210,"*Reunião*",$O$22:$O$210,"&lt;&gt;Cancelada")&gt;0,"Reunião ","")&amp;IF(COUNTIFS($C$22:$C$210,H8,$D$22:$D$210,"*Férias*",$O$22:$O$210,"&lt;&gt;Cancelada")&gt;0,"Férias ","")&amp;IF(COUNTIFS($C$22:$C$210,H8,$D$22:$D$210,"*Mudança*",$O$22:$O$210,"&lt;&gt;Cancelada")&gt;0,"M.Função ","")&amp;IF(COUNTIFS($C$22:$C$210,H8,$D$22:$D$210,"*Treinamento*",$O$22:$O$210,"&lt;&gt;Cancelada")&gt;0,"Trein. ","")))</f>
        <v/>
      </c>
      <c r="I9" s="62" t="n"/>
      <c r="J9" s="61">
        <f>IF(J8="","",TRIM(IF(COUNTIFS($C$22:$C$210,J8,$D$22:$D$210,"*Erros*",$O$22:$O$210,"&lt;&gt;Cancelada")&gt;0,"Erros ","")&amp;IF(COUNTIFS($C$22:$C$210,J8,$D$22:$D$210,"*Suporte*",$O$22:$O$210,"&lt;&gt;Cancelada")&gt;0,"Suporte ","")&amp;IF(COUNTIFS($C$22:$C$210,J8,$D$22:$D$210,"*Vistoria*",$O$22:$O$210,"&lt;&gt;Cancelada")&gt;0,"Vistoria ","")&amp;IF(COUNTIFS($C$22:$C$210,J8,$D$22:$D$210,"*Metas*",$O$22:$O$210,"&lt;&gt;Cancelada")&gt;0,"Metas ","")&amp;IF(COUNTIFS($C$22:$C$210,J8,$D$22:$D$210,"*Faltas*",$O$22:$O$210,"&lt;&gt;Cancelada")&gt;0,"Faltas ","")&amp;IF(COUNTIFS($C$22:$C$210,J8,$D$22:$D$210,"*Semanal c/*",$O$22:$O$210,"&lt;&gt;Cancelada")&gt;0,"Acomp. ","")&amp;IF(COUNTIFS($C$22:$C$210,J8,$D$22:$D$210,"*Reunião*",$O$22:$O$210,"&lt;&gt;Cancelada")&gt;0,"Reunião ","")&amp;IF(COUNTIFS($C$22:$C$210,J8,$D$22:$D$210,"*Férias*",$O$22:$O$210,"&lt;&gt;Cancelada")&gt;0,"Férias ","")&amp;IF(COUNTIFS($C$22:$C$210,J8,$D$22:$D$210,"*Mudança*",$O$22:$O$210,"&lt;&gt;Cancelada")&gt;0,"M.Função ","")&amp;IF(COUNTIFS($C$22:$C$210,J8,$D$22:$D$210,"*Treinamento*",$O$22:$O$210,"&lt;&gt;Cancelada")&gt;0,"Trein. ","")))</f>
        <v/>
      </c>
      <c r="K9" s="62" t="n"/>
      <c r="L9" s="61">
        <f>IF(L8="","",TRIM(IF(COUNTIFS($C$22:$C$210,L8,$D$22:$D$210,"*Erros*",$O$22:$O$210,"&lt;&gt;Cancelada")&gt;0,"Erros ","")&amp;IF(COUNTIFS($C$22:$C$210,L8,$D$22:$D$210,"*Suporte*",$O$22:$O$210,"&lt;&gt;Cancelada")&gt;0,"Suporte ","")&amp;IF(COUNTIFS($C$22:$C$210,L8,$D$22:$D$210,"*Vistoria*",$O$22:$O$210,"&lt;&gt;Cancelada")&gt;0,"Vistoria ","")&amp;IF(COUNTIFS($C$22:$C$210,L8,$D$22:$D$210,"*Metas*",$O$22:$O$210,"&lt;&gt;Cancelada")&gt;0,"Metas ","")&amp;IF(COUNTIFS($C$22:$C$210,L8,$D$22:$D$210,"*Faltas*",$O$22:$O$210,"&lt;&gt;Cancelada")&gt;0,"Faltas ","")&amp;IF(COUNTIFS($C$22:$C$210,L8,$D$22:$D$210,"*Semanal c/*",$O$22:$O$210,"&lt;&gt;Cancelada")&gt;0,"Acomp. ","")&amp;IF(COUNTIFS($C$22:$C$210,L8,$D$22:$D$210,"*Reunião*",$O$22:$O$210,"&lt;&gt;Cancelada")&gt;0,"Reunião ","")&amp;IF(COUNTIFS($C$22:$C$210,L8,$D$22:$D$210,"*Férias*",$O$22:$O$210,"&lt;&gt;Cancelada")&gt;0,"Férias ","")&amp;IF(COUNTIFS($C$22:$C$210,L8,$D$22:$D$210,"*Mudança*",$O$22:$O$210,"&lt;&gt;Cancelada")&gt;0,"M.Função ","")&amp;IF(COUNTIFS($C$22:$C$210,L8,$D$22:$D$210,"*Treinamento*",$O$22:$O$210,"&lt;&gt;Cancelada")&gt;0,"Trein. ","")))</f>
        <v/>
      </c>
      <c r="M9" s="62" t="n"/>
      <c r="N9" s="61">
        <f>IF(N8="","",TRIM(IF(COUNTIFS($C$22:$C$210,N8,$D$22:$D$210,"*Erros*",$O$22:$O$210,"&lt;&gt;Cancelada")&gt;0,"Erros ","")&amp;IF(COUNTIFS($C$22:$C$210,N8,$D$22:$D$210,"*Suporte*",$O$22:$O$210,"&lt;&gt;Cancelada")&gt;0,"Suporte ","")&amp;IF(COUNTIFS($C$22:$C$210,N8,$D$22:$D$210,"*Vistoria*",$O$22:$O$210,"&lt;&gt;Cancelada")&gt;0,"Vistoria ","")&amp;IF(COUNTIFS($C$22:$C$210,N8,$D$22:$D$210,"*Metas*",$O$22:$O$210,"&lt;&gt;Cancelada")&gt;0,"Metas ","")&amp;IF(COUNTIFS($C$22:$C$210,N8,$D$22:$D$210,"*Faltas*",$O$22:$O$210,"&lt;&gt;Cancelada")&gt;0,"Faltas ","")&amp;IF(COUNTIFS($C$22:$C$210,N8,$D$22:$D$210,"*Semanal c/*",$O$22:$O$210,"&lt;&gt;Cancelada")&gt;0,"Acomp. ","")&amp;IF(COUNTIFS($C$22:$C$210,N8,$D$22:$D$210,"*Reunião*",$O$22:$O$210,"&lt;&gt;Cancelada")&gt;0,"Reunião ","")&amp;IF(COUNTIFS($C$22:$C$210,N8,$D$22:$D$210,"*Férias*",$O$22:$O$210,"&lt;&gt;Cancelada")&gt;0,"Férias ","")&amp;IF(COUNTIFS($C$22:$C$210,N8,$D$22:$D$210,"*Mudança*",$O$22:$O$210,"&lt;&gt;Cancelada")&gt;0,"M.Função ","")&amp;IF(COUNTIFS($C$22:$C$210,N8,$D$22:$D$210,"*Treinamento*",$O$22:$O$210,"&lt;&gt;Cancelada")&gt;0,"Trein. ","")))</f>
        <v/>
      </c>
      <c r="O9" s="62" t="n"/>
    </row>
    <row r="10" ht="20" customHeight="1">
      <c r="B10" s="57" t="n">
        <v>46215</v>
      </c>
      <c r="C10" s="58" t="n"/>
      <c r="D10" s="57" t="n">
        <v>46216</v>
      </c>
      <c r="E10" s="58" t="n"/>
      <c r="F10" s="57" t="n">
        <v>46217</v>
      </c>
      <c r="G10" s="58" t="n"/>
      <c r="H10" s="57" t="n">
        <v>46218</v>
      </c>
      <c r="I10" s="58" t="n"/>
      <c r="J10" s="57" t="n">
        <v>46219</v>
      </c>
      <c r="K10" s="58" t="n"/>
      <c r="L10" s="57" t="n">
        <v>46220</v>
      </c>
      <c r="M10" s="58" t="n"/>
      <c r="N10" s="57" t="n">
        <v>46221</v>
      </c>
      <c r="O10" s="58" t="n"/>
    </row>
    <row r="11" ht="26" customHeight="1">
      <c r="B11" s="61">
        <f>IF(B10="","",TRIM(IF(COUNTIFS($C$22:$C$210,B10,$D$22:$D$210,"*Erros*",$O$22:$O$210,"&lt;&gt;Cancelada")&gt;0,"Erros ","")&amp;IF(COUNTIFS($C$22:$C$210,B10,$D$22:$D$210,"*Suporte*",$O$22:$O$210,"&lt;&gt;Cancelada")&gt;0,"Suporte ","")&amp;IF(COUNTIFS($C$22:$C$210,B10,$D$22:$D$210,"*Vistoria*",$O$22:$O$210,"&lt;&gt;Cancelada")&gt;0,"Vistoria ","")&amp;IF(COUNTIFS($C$22:$C$210,B10,$D$22:$D$210,"*Metas*",$O$22:$O$210,"&lt;&gt;Cancelada")&gt;0,"Metas ","")&amp;IF(COUNTIFS($C$22:$C$210,B10,$D$22:$D$210,"*Faltas*",$O$22:$O$210,"&lt;&gt;Cancelada")&gt;0,"Faltas ","")&amp;IF(COUNTIFS($C$22:$C$210,B10,$D$22:$D$210,"*Semanal c/*",$O$22:$O$210,"&lt;&gt;Cancelada")&gt;0,"Acomp. ","")&amp;IF(COUNTIFS($C$22:$C$210,B10,$D$22:$D$210,"*Reunião*",$O$22:$O$210,"&lt;&gt;Cancelada")&gt;0,"Reunião ","")&amp;IF(COUNTIFS($C$22:$C$210,B10,$D$22:$D$210,"*Férias*",$O$22:$O$210,"&lt;&gt;Cancelada")&gt;0,"Férias ","")&amp;IF(COUNTIFS($C$22:$C$210,B10,$D$22:$D$210,"*Mudança*",$O$22:$O$210,"&lt;&gt;Cancelada")&gt;0,"M.Função ","")&amp;IF(COUNTIFS($C$22:$C$210,B10,$D$22:$D$210,"*Treinamento*",$O$22:$O$210,"&lt;&gt;Cancelada")&gt;0,"Trein. ","")))</f>
        <v/>
      </c>
      <c r="C11" s="62" t="n"/>
      <c r="D11" s="61">
        <f>IF(D10="","",TRIM(IF(COUNTIFS($C$22:$C$210,D10,$D$22:$D$210,"*Erros*",$O$22:$O$210,"&lt;&gt;Cancelada")&gt;0,"Erros ","")&amp;IF(COUNTIFS($C$22:$C$210,D10,$D$22:$D$210,"*Suporte*",$O$22:$O$210,"&lt;&gt;Cancelada")&gt;0,"Suporte ","")&amp;IF(COUNTIFS($C$22:$C$210,D10,$D$22:$D$210,"*Vistoria*",$O$22:$O$210,"&lt;&gt;Cancelada")&gt;0,"Vistoria ","")&amp;IF(COUNTIFS($C$22:$C$210,D10,$D$22:$D$210,"*Metas*",$O$22:$O$210,"&lt;&gt;Cancelada")&gt;0,"Metas ","")&amp;IF(COUNTIFS($C$22:$C$210,D10,$D$22:$D$210,"*Faltas*",$O$22:$O$210,"&lt;&gt;Cancelada")&gt;0,"Faltas ","")&amp;IF(COUNTIFS($C$22:$C$210,D10,$D$22:$D$210,"*Semanal c/*",$O$22:$O$210,"&lt;&gt;Cancelada")&gt;0,"Acomp. ","")&amp;IF(COUNTIFS($C$22:$C$210,D10,$D$22:$D$210,"*Reunião*",$O$22:$O$210,"&lt;&gt;Cancelada")&gt;0,"Reunião ","")&amp;IF(COUNTIFS($C$22:$C$210,D10,$D$22:$D$210,"*Férias*",$O$22:$O$210,"&lt;&gt;Cancelada")&gt;0,"Férias ","")&amp;IF(COUNTIFS($C$22:$C$210,D10,$D$22:$D$210,"*Mudança*",$O$22:$O$210,"&lt;&gt;Cancelada")&gt;0,"M.Função ","")&amp;IF(COUNTIFS($C$22:$C$210,D10,$D$22:$D$210,"*Treinamento*",$O$22:$O$210,"&lt;&gt;Cancelada")&gt;0,"Trein. ","")))</f>
        <v/>
      </c>
      <c r="E11" s="62" t="n"/>
      <c r="F11" s="61">
        <f>IF(F10="","",TRIM(IF(COUNTIFS($C$22:$C$210,F10,$D$22:$D$210,"*Erros*",$O$22:$O$210,"&lt;&gt;Cancelada")&gt;0,"Erros ","")&amp;IF(COUNTIFS($C$22:$C$210,F10,$D$22:$D$210,"*Suporte*",$O$22:$O$210,"&lt;&gt;Cancelada")&gt;0,"Suporte ","")&amp;IF(COUNTIFS($C$22:$C$210,F10,$D$22:$D$210,"*Vistoria*",$O$22:$O$210,"&lt;&gt;Cancelada")&gt;0,"Vistoria ","")&amp;IF(COUNTIFS($C$22:$C$210,F10,$D$22:$D$210,"*Metas*",$O$22:$O$210,"&lt;&gt;Cancelada")&gt;0,"Metas ","")&amp;IF(COUNTIFS($C$22:$C$210,F10,$D$22:$D$210,"*Faltas*",$O$22:$O$210,"&lt;&gt;Cancelada")&gt;0,"Faltas ","")&amp;IF(COUNTIFS($C$22:$C$210,F10,$D$22:$D$210,"*Semanal c/*",$O$22:$O$210,"&lt;&gt;Cancelada")&gt;0,"Acomp. ","")&amp;IF(COUNTIFS($C$22:$C$210,F10,$D$22:$D$210,"*Reunião*",$O$22:$O$210,"&lt;&gt;Cancelada")&gt;0,"Reunião ","")&amp;IF(COUNTIFS($C$22:$C$210,F10,$D$22:$D$210,"*Férias*",$O$22:$O$210,"&lt;&gt;Cancelada")&gt;0,"Férias ","")&amp;IF(COUNTIFS($C$22:$C$210,F10,$D$22:$D$210,"*Mudança*",$O$22:$O$210,"&lt;&gt;Cancelada")&gt;0,"M.Função ","")&amp;IF(COUNTIFS($C$22:$C$210,F10,$D$22:$D$210,"*Treinamento*",$O$22:$O$210,"&lt;&gt;Cancelada")&gt;0,"Trein. ","")))</f>
        <v/>
      </c>
      <c r="G11" s="62" t="n"/>
      <c r="H11" s="61">
        <f>IF(H10="","",TRIM(IF(COUNTIFS($C$22:$C$210,H10,$D$22:$D$210,"*Erros*",$O$22:$O$210,"&lt;&gt;Cancelada")&gt;0,"Erros ","")&amp;IF(COUNTIFS($C$22:$C$210,H10,$D$22:$D$210,"*Suporte*",$O$22:$O$210,"&lt;&gt;Cancelada")&gt;0,"Suporte ","")&amp;IF(COUNTIFS($C$22:$C$210,H10,$D$22:$D$210,"*Vistoria*",$O$22:$O$210,"&lt;&gt;Cancelada")&gt;0,"Vistoria ","")&amp;IF(COUNTIFS($C$22:$C$210,H10,$D$22:$D$210,"*Metas*",$O$22:$O$210,"&lt;&gt;Cancelada")&gt;0,"Metas ","")&amp;IF(COUNTIFS($C$22:$C$210,H10,$D$22:$D$210,"*Faltas*",$O$22:$O$210,"&lt;&gt;Cancelada")&gt;0,"Faltas ","")&amp;IF(COUNTIFS($C$22:$C$210,H10,$D$22:$D$210,"*Semanal c/*",$O$22:$O$210,"&lt;&gt;Cancelada")&gt;0,"Acomp. ","")&amp;IF(COUNTIFS($C$22:$C$210,H10,$D$22:$D$210,"*Reunião*",$O$22:$O$210,"&lt;&gt;Cancelada")&gt;0,"Reunião ","")&amp;IF(COUNTIFS($C$22:$C$210,H10,$D$22:$D$210,"*Férias*",$O$22:$O$210,"&lt;&gt;Cancelada")&gt;0,"Férias ","")&amp;IF(COUNTIFS($C$22:$C$210,H10,$D$22:$D$210,"*Mudança*",$O$22:$O$210,"&lt;&gt;Cancelada")&gt;0,"M.Função ","")&amp;IF(COUNTIFS($C$22:$C$210,H10,$D$22:$D$210,"*Treinamento*",$O$22:$O$210,"&lt;&gt;Cancelada")&gt;0,"Trein. ","")))</f>
        <v/>
      </c>
      <c r="I11" s="62" t="n"/>
      <c r="J11" s="61">
        <f>IF(J10="","",TRIM(IF(COUNTIFS($C$22:$C$210,J10,$D$22:$D$210,"*Erros*",$O$22:$O$210,"&lt;&gt;Cancelada")&gt;0,"Erros ","")&amp;IF(COUNTIFS($C$22:$C$210,J10,$D$22:$D$210,"*Suporte*",$O$22:$O$210,"&lt;&gt;Cancelada")&gt;0,"Suporte ","")&amp;IF(COUNTIFS($C$22:$C$210,J10,$D$22:$D$210,"*Vistoria*",$O$22:$O$210,"&lt;&gt;Cancelada")&gt;0,"Vistoria ","")&amp;IF(COUNTIFS($C$22:$C$210,J10,$D$22:$D$210,"*Metas*",$O$22:$O$210,"&lt;&gt;Cancelada")&gt;0,"Metas ","")&amp;IF(COUNTIFS($C$22:$C$210,J10,$D$22:$D$210,"*Faltas*",$O$22:$O$210,"&lt;&gt;Cancelada")&gt;0,"Faltas ","")&amp;IF(COUNTIFS($C$22:$C$210,J10,$D$22:$D$210,"*Semanal c/*",$O$22:$O$210,"&lt;&gt;Cancelada")&gt;0,"Acomp. ","")&amp;IF(COUNTIFS($C$22:$C$210,J10,$D$22:$D$210,"*Reunião*",$O$22:$O$210,"&lt;&gt;Cancelada")&gt;0,"Reunião ","")&amp;IF(COUNTIFS($C$22:$C$210,J10,$D$22:$D$210,"*Férias*",$O$22:$O$210,"&lt;&gt;Cancelada")&gt;0,"Férias ","")&amp;IF(COUNTIFS($C$22:$C$210,J10,$D$22:$D$210,"*Mudança*",$O$22:$O$210,"&lt;&gt;Cancelada")&gt;0,"M.Função ","")&amp;IF(COUNTIFS($C$22:$C$210,J10,$D$22:$D$210,"*Treinamento*",$O$22:$O$210,"&lt;&gt;Cancelada")&gt;0,"Trein. ","")))</f>
        <v/>
      </c>
      <c r="K11" s="62" t="n"/>
      <c r="L11" s="61">
        <f>IF(L10="","",TRIM(IF(COUNTIFS($C$22:$C$210,L10,$D$22:$D$210,"*Erros*",$O$22:$O$210,"&lt;&gt;Cancelada")&gt;0,"Erros ","")&amp;IF(COUNTIFS($C$22:$C$210,L10,$D$22:$D$210,"*Suporte*",$O$22:$O$210,"&lt;&gt;Cancelada")&gt;0,"Suporte ","")&amp;IF(COUNTIFS($C$22:$C$210,L10,$D$22:$D$210,"*Vistoria*",$O$22:$O$210,"&lt;&gt;Cancelada")&gt;0,"Vistoria ","")&amp;IF(COUNTIFS($C$22:$C$210,L10,$D$22:$D$210,"*Metas*",$O$22:$O$210,"&lt;&gt;Cancelada")&gt;0,"Metas ","")&amp;IF(COUNTIFS($C$22:$C$210,L10,$D$22:$D$210,"*Faltas*",$O$22:$O$210,"&lt;&gt;Cancelada")&gt;0,"Faltas ","")&amp;IF(COUNTIFS($C$22:$C$210,L10,$D$22:$D$210,"*Semanal c/*",$O$22:$O$210,"&lt;&gt;Cancelada")&gt;0,"Acomp. ","")&amp;IF(COUNTIFS($C$22:$C$210,L10,$D$22:$D$210,"*Reunião*",$O$22:$O$210,"&lt;&gt;Cancelada")&gt;0,"Reunião ","")&amp;IF(COUNTIFS($C$22:$C$210,L10,$D$22:$D$210,"*Férias*",$O$22:$O$210,"&lt;&gt;Cancelada")&gt;0,"Férias ","")&amp;IF(COUNTIFS($C$22:$C$210,L10,$D$22:$D$210,"*Mudança*",$O$22:$O$210,"&lt;&gt;Cancelada")&gt;0,"M.Função ","")&amp;IF(COUNTIFS($C$22:$C$210,L10,$D$22:$D$210,"*Treinamento*",$O$22:$O$210,"&lt;&gt;Cancelada")&gt;0,"Trein. ","")))</f>
        <v/>
      </c>
      <c r="M11" s="62" t="n"/>
      <c r="N11" s="61">
        <f>IF(N10="","",TRIM(IF(COUNTIFS($C$22:$C$210,N10,$D$22:$D$210,"*Erros*",$O$22:$O$210,"&lt;&gt;Cancelada")&gt;0,"Erros ","")&amp;IF(COUNTIFS($C$22:$C$210,N10,$D$22:$D$210,"*Suporte*",$O$22:$O$210,"&lt;&gt;Cancelada")&gt;0,"Suporte ","")&amp;IF(COUNTIFS($C$22:$C$210,N10,$D$22:$D$210,"*Vistoria*",$O$22:$O$210,"&lt;&gt;Cancelada")&gt;0,"Vistoria ","")&amp;IF(COUNTIFS($C$22:$C$210,N10,$D$22:$D$210,"*Metas*",$O$22:$O$210,"&lt;&gt;Cancelada")&gt;0,"Metas ","")&amp;IF(COUNTIFS($C$22:$C$210,N10,$D$22:$D$210,"*Faltas*",$O$22:$O$210,"&lt;&gt;Cancelada")&gt;0,"Faltas ","")&amp;IF(COUNTIFS($C$22:$C$210,N10,$D$22:$D$210,"*Semanal c/*",$O$22:$O$210,"&lt;&gt;Cancelada")&gt;0,"Acomp. ","")&amp;IF(COUNTIFS($C$22:$C$210,N10,$D$22:$D$210,"*Reunião*",$O$22:$O$210,"&lt;&gt;Cancelada")&gt;0,"Reunião ","")&amp;IF(COUNTIFS($C$22:$C$210,N10,$D$22:$D$210,"*Férias*",$O$22:$O$210,"&lt;&gt;Cancelada")&gt;0,"Férias ","")&amp;IF(COUNTIFS($C$22:$C$210,N10,$D$22:$D$210,"*Mudança*",$O$22:$O$210,"&lt;&gt;Cancelada")&gt;0,"M.Função ","")&amp;IF(COUNTIFS($C$22:$C$210,N10,$D$22:$D$210,"*Treinamento*",$O$22:$O$210,"&lt;&gt;Cancelada")&gt;0,"Trein. ","")))</f>
        <v/>
      </c>
      <c r="O11" s="62" t="n"/>
    </row>
    <row r="12" ht="20" customHeight="1">
      <c r="B12" s="57" t="n">
        <v>46222</v>
      </c>
      <c r="C12" s="58" t="n"/>
      <c r="D12" s="57" t="n">
        <v>46223</v>
      </c>
      <c r="E12" s="58" t="n"/>
      <c r="F12" s="57" t="n">
        <v>46224</v>
      </c>
      <c r="G12" s="58" t="n"/>
      <c r="H12" s="57" t="n">
        <v>46225</v>
      </c>
      <c r="I12" s="58" t="n"/>
      <c r="J12" s="57" t="n">
        <v>46226</v>
      </c>
      <c r="K12" s="58" t="n"/>
      <c r="L12" s="57" t="n">
        <v>46227</v>
      </c>
      <c r="M12" s="58" t="n"/>
      <c r="N12" s="57" t="n">
        <v>46228</v>
      </c>
      <c r="O12" s="58" t="n"/>
    </row>
    <row r="13" ht="26" customHeight="1">
      <c r="B13" s="61">
        <f>IF(B12="","",TRIM(IF(COUNTIFS($C$22:$C$210,B12,$D$22:$D$210,"*Erros*",$O$22:$O$210,"&lt;&gt;Cancelada")&gt;0,"Erros ","")&amp;IF(COUNTIFS($C$22:$C$210,B12,$D$22:$D$210,"*Suporte*",$O$22:$O$210,"&lt;&gt;Cancelada")&gt;0,"Suporte ","")&amp;IF(COUNTIFS($C$22:$C$210,B12,$D$22:$D$210,"*Vistoria*",$O$22:$O$210,"&lt;&gt;Cancelada")&gt;0,"Vistoria ","")&amp;IF(COUNTIFS($C$22:$C$210,B12,$D$22:$D$210,"*Metas*",$O$22:$O$210,"&lt;&gt;Cancelada")&gt;0,"Metas ","")&amp;IF(COUNTIFS($C$22:$C$210,B12,$D$22:$D$210,"*Faltas*",$O$22:$O$210,"&lt;&gt;Cancelada")&gt;0,"Faltas ","")&amp;IF(COUNTIFS($C$22:$C$210,B12,$D$22:$D$210,"*Semanal c/*",$O$22:$O$210,"&lt;&gt;Cancelada")&gt;0,"Acomp. ","")&amp;IF(COUNTIFS($C$22:$C$210,B12,$D$22:$D$210,"*Reunião*",$O$22:$O$210,"&lt;&gt;Cancelada")&gt;0,"Reunião ","")&amp;IF(COUNTIFS($C$22:$C$210,B12,$D$22:$D$210,"*Férias*",$O$22:$O$210,"&lt;&gt;Cancelada")&gt;0,"Férias ","")&amp;IF(COUNTIFS($C$22:$C$210,B12,$D$22:$D$210,"*Mudança*",$O$22:$O$210,"&lt;&gt;Cancelada")&gt;0,"M.Função ","")&amp;IF(COUNTIFS($C$22:$C$210,B12,$D$22:$D$210,"*Treinamento*",$O$22:$O$210,"&lt;&gt;Cancelada")&gt;0,"Trein. ","")))</f>
        <v/>
      </c>
      <c r="C13" s="62" t="n"/>
      <c r="D13" s="61">
        <f>IF(D12="","",TRIM(IF(COUNTIFS($C$22:$C$210,D12,$D$22:$D$210,"*Erros*",$O$22:$O$210,"&lt;&gt;Cancelada")&gt;0,"Erros ","")&amp;IF(COUNTIFS($C$22:$C$210,D12,$D$22:$D$210,"*Suporte*",$O$22:$O$210,"&lt;&gt;Cancelada")&gt;0,"Suporte ","")&amp;IF(COUNTIFS($C$22:$C$210,D12,$D$22:$D$210,"*Vistoria*",$O$22:$O$210,"&lt;&gt;Cancelada")&gt;0,"Vistoria ","")&amp;IF(COUNTIFS($C$22:$C$210,D12,$D$22:$D$210,"*Metas*",$O$22:$O$210,"&lt;&gt;Cancelada")&gt;0,"Metas ","")&amp;IF(COUNTIFS($C$22:$C$210,D12,$D$22:$D$210,"*Faltas*",$O$22:$O$210,"&lt;&gt;Cancelada")&gt;0,"Faltas ","")&amp;IF(COUNTIFS($C$22:$C$210,D12,$D$22:$D$210,"*Semanal c/*",$O$22:$O$210,"&lt;&gt;Cancelada")&gt;0,"Acomp. ","")&amp;IF(COUNTIFS($C$22:$C$210,D12,$D$22:$D$210,"*Reunião*",$O$22:$O$210,"&lt;&gt;Cancelada")&gt;0,"Reunião ","")&amp;IF(COUNTIFS($C$22:$C$210,D12,$D$22:$D$210,"*Férias*",$O$22:$O$210,"&lt;&gt;Cancelada")&gt;0,"Férias ","")&amp;IF(COUNTIFS($C$22:$C$210,D12,$D$22:$D$210,"*Mudança*",$O$22:$O$210,"&lt;&gt;Cancelada")&gt;0,"M.Função ","")&amp;IF(COUNTIFS($C$22:$C$210,D12,$D$22:$D$210,"*Treinamento*",$O$22:$O$210,"&lt;&gt;Cancelada")&gt;0,"Trein. ","")))</f>
        <v/>
      </c>
      <c r="E13" s="62" t="n"/>
      <c r="F13" s="61">
        <f>IF(F12="","",TRIM(IF(COUNTIFS($C$22:$C$210,F12,$D$22:$D$210,"*Erros*",$O$22:$O$210,"&lt;&gt;Cancelada")&gt;0,"Erros ","")&amp;IF(COUNTIFS($C$22:$C$210,F12,$D$22:$D$210,"*Suporte*",$O$22:$O$210,"&lt;&gt;Cancelada")&gt;0,"Suporte ","")&amp;IF(COUNTIFS($C$22:$C$210,F12,$D$22:$D$210,"*Vistoria*",$O$22:$O$210,"&lt;&gt;Cancelada")&gt;0,"Vistoria ","")&amp;IF(COUNTIFS($C$22:$C$210,F12,$D$22:$D$210,"*Metas*",$O$22:$O$210,"&lt;&gt;Cancelada")&gt;0,"Metas ","")&amp;IF(COUNTIFS($C$22:$C$210,F12,$D$22:$D$210,"*Faltas*",$O$22:$O$210,"&lt;&gt;Cancelada")&gt;0,"Faltas ","")&amp;IF(COUNTIFS($C$22:$C$210,F12,$D$22:$D$210,"*Semanal c/*",$O$22:$O$210,"&lt;&gt;Cancelada")&gt;0,"Acomp. ","")&amp;IF(COUNTIFS($C$22:$C$210,F12,$D$22:$D$210,"*Reunião*",$O$22:$O$210,"&lt;&gt;Cancelada")&gt;0,"Reunião ","")&amp;IF(COUNTIFS($C$22:$C$210,F12,$D$22:$D$210,"*Férias*",$O$22:$O$210,"&lt;&gt;Cancelada")&gt;0,"Férias ","")&amp;IF(COUNTIFS($C$22:$C$210,F12,$D$22:$D$210,"*Mudança*",$O$22:$O$210,"&lt;&gt;Cancelada")&gt;0,"M.Função ","")&amp;IF(COUNTIFS($C$22:$C$210,F12,$D$22:$D$210,"*Treinamento*",$O$22:$O$210,"&lt;&gt;Cancelada")&gt;0,"Trein. ","")))</f>
        <v/>
      </c>
      <c r="G13" s="62" t="n"/>
      <c r="H13" s="61">
        <f>IF(H12="","",TRIM(IF(COUNTIFS($C$22:$C$210,H12,$D$22:$D$210,"*Erros*",$O$22:$O$210,"&lt;&gt;Cancelada")&gt;0,"Erros ","")&amp;IF(COUNTIFS($C$22:$C$210,H12,$D$22:$D$210,"*Suporte*",$O$22:$O$210,"&lt;&gt;Cancelada")&gt;0,"Suporte ","")&amp;IF(COUNTIFS($C$22:$C$210,H12,$D$22:$D$210,"*Vistoria*",$O$22:$O$210,"&lt;&gt;Cancelada")&gt;0,"Vistoria ","")&amp;IF(COUNTIFS($C$22:$C$210,H12,$D$22:$D$210,"*Metas*",$O$22:$O$210,"&lt;&gt;Cancelada")&gt;0,"Metas ","")&amp;IF(COUNTIFS($C$22:$C$210,H12,$D$22:$D$210,"*Faltas*",$O$22:$O$210,"&lt;&gt;Cancelada")&gt;0,"Faltas ","")&amp;IF(COUNTIFS($C$22:$C$210,H12,$D$22:$D$210,"*Semanal c/*",$O$22:$O$210,"&lt;&gt;Cancelada")&gt;0,"Acomp. ","")&amp;IF(COUNTIFS($C$22:$C$210,H12,$D$22:$D$210,"*Reunião*",$O$22:$O$210,"&lt;&gt;Cancelada")&gt;0,"Reunião ","")&amp;IF(COUNTIFS($C$22:$C$210,H12,$D$22:$D$210,"*Férias*",$O$22:$O$210,"&lt;&gt;Cancelada")&gt;0,"Férias ","")&amp;IF(COUNTIFS($C$22:$C$210,H12,$D$22:$D$210,"*Mudança*",$O$22:$O$210,"&lt;&gt;Cancelada")&gt;0,"M.Função ","")&amp;IF(COUNTIFS($C$22:$C$210,H12,$D$22:$D$210,"*Treinamento*",$O$22:$O$210,"&lt;&gt;Cancelada")&gt;0,"Trein. ","")))</f>
        <v/>
      </c>
      <c r="I13" s="62" t="n"/>
      <c r="J13" s="61">
        <f>IF(J12="","",TRIM(IF(COUNTIFS($C$22:$C$210,J12,$D$22:$D$210,"*Erros*",$O$22:$O$210,"&lt;&gt;Cancelada")&gt;0,"Erros ","")&amp;IF(COUNTIFS($C$22:$C$210,J12,$D$22:$D$210,"*Suporte*",$O$22:$O$210,"&lt;&gt;Cancelada")&gt;0,"Suporte ","")&amp;IF(COUNTIFS($C$22:$C$210,J12,$D$22:$D$210,"*Vistoria*",$O$22:$O$210,"&lt;&gt;Cancelada")&gt;0,"Vistoria ","")&amp;IF(COUNTIFS($C$22:$C$210,J12,$D$22:$D$210,"*Metas*",$O$22:$O$210,"&lt;&gt;Cancelada")&gt;0,"Metas ","")&amp;IF(COUNTIFS($C$22:$C$210,J12,$D$22:$D$210,"*Faltas*",$O$22:$O$210,"&lt;&gt;Cancelada")&gt;0,"Faltas ","")&amp;IF(COUNTIFS($C$22:$C$210,J12,$D$22:$D$210,"*Semanal c/*",$O$22:$O$210,"&lt;&gt;Cancelada")&gt;0,"Acomp. ","")&amp;IF(COUNTIFS($C$22:$C$210,J12,$D$22:$D$210,"*Reunião*",$O$22:$O$210,"&lt;&gt;Cancelada")&gt;0,"Reunião ","")&amp;IF(COUNTIFS($C$22:$C$210,J12,$D$22:$D$210,"*Férias*",$O$22:$O$210,"&lt;&gt;Cancelada")&gt;0,"Férias ","")&amp;IF(COUNTIFS($C$22:$C$210,J12,$D$22:$D$210,"*Mudança*",$O$22:$O$210,"&lt;&gt;Cancelada")&gt;0,"M.Função ","")&amp;IF(COUNTIFS($C$22:$C$210,J12,$D$22:$D$210,"*Treinamento*",$O$22:$O$210,"&lt;&gt;Cancelada")&gt;0,"Trein. ","")))</f>
        <v/>
      </c>
      <c r="K13" s="62" t="n"/>
      <c r="L13" s="61">
        <f>IF(L12="","",TRIM(IF(COUNTIFS($C$22:$C$210,L12,$D$22:$D$210,"*Erros*",$O$22:$O$210,"&lt;&gt;Cancelada")&gt;0,"Erros ","")&amp;IF(COUNTIFS($C$22:$C$210,L12,$D$22:$D$210,"*Suporte*",$O$22:$O$210,"&lt;&gt;Cancelada")&gt;0,"Suporte ","")&amp;IF(COUNTIFS($C$22:$C$210,L12,$D$22:$D$210,"*Vistoria*",$O$22:$O$210,"&lt;&gt;Cancelada")&gt;0,"Vistoria ","")&amp;IF(COUNTIFS($C$22:$C$210,L12,$D$22:$D$210,"*Metas*",$O$22:$O$210,"&lt;&gt;Cancelada")&gt;0,"Metas ","")&amp;IF(COUNTIFS($C$22:$C$210,L12,$D$22:$D$210,"*Faltas*",$O$22:$O$210,"&lt;&gt;Cancelada")&gt;0,"Faltas ","")&amp;IF(COUNTIFS($C$22:$C$210,L12,$D$22:$D$210,"*Semanal c/*",$O$22:$O$210,"&lt;&gt;Cancelada")&gt;0,"Acomp. ","")&amp;IF(COUNTIFS($C$22:$C$210,L12,$D$22:$D$210,"*Reunião*",$O$22:$O$210,"&lt;&gt;Cancelada")&gt;0,"Reunião ","")&amp;IF(COUNTIFS($C$22:$C$210,L12,$D$22:$D$210,"*Férias*",$O$22:$O$210,"&lt;&gt;Cancelada")&gt;0,"Férias ","")&amp;IF(COUNTIFS($C$22:$C$210,L12,$D$22:$D$210,"*Mudança*",$O$22:$O$210,"&lt;&gt;Cancelada")&gt;0,"M.Função ","")&amp;IF(COUNTIFS($C$22:$C$210,L12,$D$22:$D$210,"*Treinamento*",$O$22:$O$210,"&lt;&gt;Cancelada")&gt;0,"Trein. ","")))</f>
        <v/>
      </c>
      <c r="M13" s="62" t="n"/>
      <c r="N13" s="61">
        <f>IF(N12="","",TRIM(IF(COUNTIFS($C$22:$C$210,N12,$D$22:$D$210,"*Erros*",$O$22:$O$210,"&lt;&gt;Cancelada")&gt;0,"Erros ","")&amp;IF(COUNTIFS($C$22:$C$210,N12,$D$22:$D$210,"*Suporte*",$O$22:$O$210,"&lt;&gt;Cancelada")&gt;0,"Suporte ","")&amp;IF(COUNTIFS($C$22:$C$210,N12,$D$22:$D$210,"*Vistoria*",$O$22:$O$210,"&lt;&gt;Cancelada")&gt;0,"Vistoria ","")&amp;IF(COUNTIFS($C$22:$C$210,N12,$D$22:$D$210,"*Metas*",$O$22:$O$210,"&lt;&gt;Cancelada")&gt;0,"Metas ","")&amp;IF(COUNTIFS($C$22:$C$210,N12,$D$22:$D$210,"*Faltas*",$O$22:$O$210,"&lt;&gt;Cancelada")&gt;0,"Faltas ","")&amp;IF(COUNTIFS($C$22:$C$210,N12,$D$22:$D$210,"*Semanal c/*",$O$22:$O$210,"&lt;&gt;Cancelada")&gt;0,"Acomp. ","")&amp;IF(COUNTIFS($C$22:$C$210,N12,$D$22:$D$210,"*Reunião*",$O$22:$O$210,"&lt;&gt;Cancelada")&gt;0,"Reunião ","")&amp;IF(COUNTIFS($C$22:$C$210,N12,$D$22:$D$210,"*Férias*",$O$22:$O$210,"&lt;&gt;Cancelada")&gt;0,"Férias ","")&amp;IF(COUNTIFS($C$22:$C$210,N12,$D$22:$D$210,"*Mudança*",$O$22:$O$210,"&lt;&gt;Cancelada")&gt;0,"M.Função ","")&amp;IF(COUNTIFS($C$22:$C$210,N12,$D$22:$D$210,"*Treinamento*",$O$22:$O$210,"&lt;&gt;Cancelada")&gt;0,"Trein. ","")))</f>
        <v/>
      </c>
      <c r="O13" s="62" t="n"/>
    </row>
    <row r="14" ht="20" customHeight="1">
      <c r="B14" s="57" t="n">
        <v>46229</v>
      </c>
      <c r="C14" s="58" t="n"/>
      <c r="D14" s="57" t="n">
        <v>46230</v>
      </c>
      <c r="E14" s="58" t="n"/>
      <c r="F14" s="57" t="n">
        <v>46231</v>
      </c>
      <c r="G14" s="58" t="n"/>
      <c r="H14" s="57" t="n">
        <v>46232</v>
      </c>
      <c r="I14" s="58" t="n"/>
      <c r="J14" s="57" t="n">
        <v>46233</v>
      </c>
      <c r="K14" s="58" t="n"/>
      <c r="L14" s="57" t="n">
        <v>46234</v>
      </c>
      <c r="M14" s="58" t="n"/>
      <c r="N14" s="55" t="n"/>
      <c r="O14" s="56" t="n"/>
    </row>
    <row r="15" ht="26" customHeight="1">
      <c r="B15" s="61">
        <f>IF(B14="","",TRIM(IF(COUNTIFS($C$22:$C$210,B14,$D$22:$D$210,"*Erros*",$O$22:$O$210,"&lt;&gt;Cancelada")&gt;0,"Erros ","")&amp;IF(COUNTIFS($C$22:$C$210,B14,$D$22:$D$210,"*Suporte*",$O$22:$O$210,"&lt;&gt;Cancelada")&gt;0,"Suporte ","")&amp;IF(COUNTIFS($C$22:$C$210,B14,$D$22:$D$210,"*Vistoria*",$O$22:$O$210,"&lt;&gt;Cancelada")&gt;0,"Vistoria ","")&amp;IF(COUNTIFS($C$22:$C$210,B14,$D$22:$D$210,"*Metas*",$O$22:$O$210,"&lt;&gt;Cancelada")&gt;0,"Metas ","")&amp;IF(COUNTIFS($C$22:$C$210,B14,$D$22:$D$210,"*Faltas*",$O$22:$O$210,"&lt;&gt;Cancelada")&gt;0,"Faltas ","")&amp;IF(COUNTIFS($C$22:$C$210,B14,$D$22:$D$210,"*Semanal c/*",$O$22:$O$210,"&lt;&gt;Cancelada")&gt;0,"Acomp. ","")&amp;IF(COUNTIFS($C$22:$C$210,B14,$D$22:$D$210,"*Reunião*",$O$22:$O$210,"&lt;&gt;Cancelada")&gt;0,"Reunião ","")&amp;IF(COUNTIFS($C$22:$C$210,B14,$D$22:$D$210,"*Férias*",$O$22:$O$210,"&lt;&gt;Cancelada")&gt;0,"Férias ","")&amp;IF(COUNTIFS($C$22:$C$210,B14,$D$22:$D$210,"*Mudança*",$O$22:$O$210,"&lt;&gt;Cancelada")&gt;0,"M.Função ","")&amp;IF(COUNTIFS($C$22:$C$210,B14,$D$22:$D$210,"*Treinamento*",$O$22:$O$210,"&lt;&gt;Cancelada")&gt;0,"Trein. ","")))</f>
        <v/>
      </c>
      <c r="C15" s="62" t="n"/>
      <c r="D15" s="61">
        <f>IF(D14="","",TRIM(IF(COUNTIFS($C$22:$C$210,D14,$D$22:$D$210,"*Erros*",$O$22:$O$210,"&lt;&gt;Cancelada")&gt;0,"Erros ","")&amp;IF(COUNTIFS($C$22:$C$210,D14,$D$22:$D$210,"*Suporte*",$O$22:$O$210,"&lt;&gt;Cancelada")&gt;0,"Suporte ","")&amp;IF(COUNTIFS($C$22:$C$210,D14,$D$22:$D$210,"*Vistoria*",$O$22:$O$210,"&lt;&gt;Cancelada")&gt;0,"Vistoria ","")&amp;IF(COUNTIFS($C$22:$C$210,D14,$D$22:$D$210,"*Metas*",$O$22:$O$210,"&lt;&gt;Cancelada")&gt;0,"Metas ","")&amp;IF(COUNTIFS($C$22:$C$210,D14,$D$22:$D$210,"*Faltas*",$O$22:$O$210,"&lt;&gt;Cancelada")&gt;0,"Faltas ","")&amp;IF(COUNTIFS($C$22:$C$210,D14,$D$22:$D$210,"*Semanal c/*",$O$22:$O$210,"&lt;&gt;Cancelada")&gt;0,"Acomp. ","")&amp;IF(COUNTIFS($C$22:$C$210,D14,$D$22:$D$210,"*Reunião*",$O$22:$O$210,"&lt;&gt;Cancelada")&gt;0,"Reunião ","")&amp;IF(COUNTIFS($C$22:$C$210,D14,$D$22:$D$210,"*Férias*",$O$22:$O$210,"&lt;&gt;Cancelada")&gt;0,"Férias ","")&amp;IF(COUNTIFS($C$22:$C$210,D14,$D$22:$D$210,"*Mudança*",$O$22:$O$210,"&lt;&gt;Cancelada")&gt;0,"M.Função ","")&amp;IF(COUNTIFS($C$22:$C$210,D14,$D$22:$D$210,"*Treinamento*",$O$22:$O$210,"&lt;&gt;Cancelada")&gt;0,"Trein. ","")))</f>
        <v/>
      </c>
      <c r="E15" s="62" t="n"/>
      <c r="F15" s="61">
        <f>IF(F14="","",TRIM(IF(COUNTIFS($C$22:$C$210,F14,$D$22:$D$210,"*Erros*",$O$22:$O$210,"&lt;&gt;Cancelada")&gt;0,"Erros ","")&amp;IF(COUNTIFS($C$22:$C$210,F14,$D$22:$D$210,"*Suporte*",$O$22:$O$210,"&lt;&gt;Cancelada")&gt;0,"Suporte ","")&amp;IF(COUNTIFS($C$22:$C$210,F14,$D$22:$D$210,"*Vistoria*",$O$22:$O$210,"&lt;&gt;Cancelada")&gt;0,"Vistoria ","")&amp;IF(COUNTIFS($C$22:$C$210,F14,$D$22:$D$210,"*Metas*",$O$22:$O$210,"&lt;&gt;Cancelada")&gt;0,"Metas ","")&amp;IF(COUNTIFS($C$22:$C$210,F14,$D$22:$D$210,"*Faltas*",$O$22:$O$210,"&lt;&gt;Cancelada")&gt;0,"Faltas ","")&amp;IF(COUNTIFS($C$22:$C$210,F14,$D$22:$D$210,"*Semanal c/*",$O$22:$O$210,"&lt;&gt;Cancelada")&gt;0,"Acomp. ","")&amp;IF(COUNTIFS($C$22:$C$210,F14,$D$22:$D$210,"*Reunião*",$O$22:$O$210,"&lt;&gt;Cancelada")&gt;0,"Reunião ","")&amp;IF(COUNTIFS($C$22:$C$210,F14,$D$22:$D$210,"*Férias*",$O$22:$O$210,"&lt;&gt;Cancelada")&gt;0,"Férias ","")&amp;IF(COUNTIFS($C$22:$C$210,F14,$D$22:$D$210,"*Mudança*",$O$22:$O$210,"&lt;&gt;Cancelada")&gt;0,"M.Função ","")&amp;IF(COUNTIFS($C$22:$C$210,F14,$D$22:$D$210,"*Treinamento*",$O$22:$O$210,"&lt;&gt;Cancelada")&gt;0,"Trein. ","")))</f>
        <v/>
      </c>
      <c r="G15" s="62" t="n"/>
      <c r="H15" s="61">
        <f>IF(H14="","",TRIM(IF(COUNTIFS($C$22:$C$210,H14,$D$22:$D$210,"*Erros*",$O$22:$O$210,"&lt;&gt;Cancelada")&gt;0,"Erros ","")&amp;IF(COUNTIFS($C$22:$C$210,H14,$D$22:$D$210,"*Suporte*",$O$22:$O$210,"&lt;&gt;Cancelada")&gt;0,"Suporte ","")&amp;IF(COUNTIFS($C$22:$C$210,H14,$D$22:$D$210,"*Vistoria*",$O$22:$O$210,"&lt;&gt;Cancelada")&gt;0,"Vistoria ","")&amp;IF(COUNTIFS($C$22:$C$210,H14,$D$22:$D$210,"*Metas*",$O$22:$O$210,"&lt;&gt;Cancelada")&gt;0,"Metas ","")&amp;IF(COUNTIFS($C$22:$C$210,H14,$D$22:$D$210,"*Faltas*",$O$22:$O$210,"&lt;&gt;Cancelada")&gt;0,"Faltas ","")&amp;IF(COUNTIFS($C$22:$C$210,H14,$D$22:$D$210,"*Semanal c/*",$O$22:$O$210,"&lt;&gt;Cancelada")&gt;0,"Acomp. ","")&amp;IF(COUNTIFS($C$22:$C$210,H14,$D$22:$D$210,"*Reunião*",$O$22:$O$210,"&lt;&gt;Cancelada")&gt;0,"Reunião ","")&amp;IF(COUNTIFS($C$22:$C$210,H14,$D$22:$D$210,"*Férias*",$O$22:$O$210,"&lt;&gt;Cancelada")&gt;0,"Férias ","")&amp;IF(COUNTIFS($C$22:$C$210,H14,$D$22:$D$210,"*Mudança*",$O$22:$O$210,"&lt;&gt;Cancelada")&gt;0,"M.Função ","")&amp;IF(COUNTIFS($C$22:$C$210,H14,$D$22:$D$210,"*Treinamento*",$O$22:$O$210,"&lt;&gt;Cancelada")&gt;0,"Trein. ","")))</f>
        <v/>
      </c>
      <c r="I15" s="62" t="n"/>
      <c r="J15" s="61">
        <f>IF(J14="","",TRIM(IF(COUNTIFS($C$22:$C$210,J14,$D$22:$D$210,"*Erros*",$O$22:$O$210,"&lt;&gt;Cancelada")&gt;0,"Erros ","")&amp;IF(COUNTIFS($C$22:$C$210,J14,$D$22:$D$210,"*Suporte*",$O$22:$O$210,"&lt;&gt;Cancelada")&gt;0,"Suporte ","")&amp;IF(COUNTIFS($C$22:$C$210,J14,$D$22:$D$210,"*Vistoria*",$O$22:$O$210,"&lt;&gt;Cancelada")&gt;0,"Vistoria ","")&amp;IF(COUNTIFS($C$22:$C$210,J14,$D$22:$D$210,"*Metas*",$O$22:$O$210,"&lt;&gt;Cancelada")&gt;0,"Metas ","")&amp;IF(COUNTIFS($C$22:$C$210,J14,$D$22:$D$210,"*Faltas*",$O$22:$O$210,"&lt;&gt;Cancelada")&gt;0,"Faltas ","")&amp;IF(COUNTIFS($C$22:$C$210,J14,$D$22:$D$210,"*Semanal c/*",$O$22:$O$210,"&lt;&gt;Cancelada")&gt;0,"Acomp. ","")&amp;IF(COUNTIFS($C$22:$C$210,J14,$D$22:$D$210,"*Reunião*",$O$22:$O$210,"&lt;&gt;Cancelada")&gt;0,"Reunião ","")&amp;IF(COUNTIFS($C$22:$C$210,J14,$D$22:$D$210,"*Férias*",$O$22:$O$210,"&lt;&gt;Cancelada")&gt;0,"Férias ","")&amp;IF(COUNTIFS($C$22:$C$210,J14,$D$22:$D$210,"*Mudança*",$O$22:$O$210,"&lt;&gt;Cancelada")&gt;0,"M.Função ","")&amp;IF(COUNTIFS($C$22:$C$210,J14,$D$22:$D$210,"*Treinamento*",$O$22:$O$210,"&lt;&gt;Cancelada")&gt;0,"Trein. ","")))</f>
        <v/>
      </c>
      <c r="K15" s="62" t="n"/>
      <c r="L15" s="61">
        <f>IF(L14="","",TRIM(IF(COUNTIFS($C$22:$C$210,L14,$D$22:$D$210,"*Erros*",$O$22:$O$210,"&lt;&gt;Cancelada")&gt;0,"Erros ","")&amp;IF(COUNTIFS($C$22:$C$210,L14,$D$22:$D$210,"*Suporte*",$O$22:$O$210,"&lt;&gt;Cancelada")&gt;0,"Suporte ","")&amp;IF(COUNTIFS($C$22:$C$210,L14,$D$22:$D$210,"*Vistoria*",$O$22:$O$210,"&lt;&gt;Cancelada")&gt;0,"Vistoria ","")&amp;IF(COUNTIFS($C$22:$C$210,L14,$D$22:$D$210,"*Metas*",$O$22:$O$210,"&lt;&gt;Cancelada")&gt;0,"Metas ","")&amp;IF(COUNTIFS($C$22:$C$210,L14,$D$22:$D$210,"*Faltas*",$O$22:$O$210,"&lt;&gt;Cancelada")&gt;0,"Faltas ","")&amp;IF(COUNTIFS($C$22:$C$210,L14,$D$22:$D$210,"*Semanal c/*",$O$22:$O$210,"&lt;&gt;Cancelada")&gt;0,"Acomp. ","")&amp;IF(COUNTIFS($C$22:$C$210,L14,$D$22:$D$210,"*Reunião*",$O$22:$O$210,"&lt;&gt;Cancelada")&gt;0,"Reunião ","")&amp;IF(COUNTIFS($C$22:$C$210,L14,$D$22:$D$210,"*Férias*",$O$22:$O$210,"&lt;&gt;Cancelada")&gt;0,"Férias ","")&amp;IF(COUNTIFS($C$22:$C$210,L14,$D$22:$D$210,"*Mudança*",$O$22:$O$210,"&lt;&gt;Cancelada")&gt;0,"M.Função ","")&amp;IF(COUNTIFS($C$22:$C$210,L14,$D$22:$D$210,"*Treinamento*",$O$22:$O$210,"&lt;&gt;Cancelada")&gt;0,"Trein. ","")))</f>
        <v/>
      </c>
      <c r="M15" s="62" t="n"/>
      <c r="N15" s="59" t="n"/>
      <c r="O15" s="60" t="n"/>
    </row>
    <row r="16" ht="6" customHeight="1"/>
    <row r="17" ht="6" customHeight="1"/>
    <row r="18">
      <c r="B18" s="63" t="inlineStr">
        <is>
          <t>Amarelo = hoje - Azul = dia com prazo - SEX = reunião com a gerência - Acomp. = Acompanhamento c/ Supervisores - M.Função = Mudança de Função - Trein. = Treinamento programado</t>
        </is>
      </c>
    </row>
    <row r="20">
      <c r="A20" s="26" t="inlineStr">
        <is>
          <t>GESTÃO DE ATIVIDADES — coordenador: selecione a linha e use o menu GSL Bartofil &gt; Anexar entrega (ou cole o link na coluna LINK DO ANEXO)</t>
        </is>
      </c>
    </row>
    <row r="21">
      <c r="A21" s="27" t="inlineStr">
        <is>
          <t>ID</t>
        </is>
      </c>
      <c r="B21" s="27" t="inlineStr">
        <is>
          <t>SEMANA</t>
        </is>
      </c>
      <c r="C21" s="27" t="inlineStr">
        <is>
          <t>PRAZO</t>
        </is>
      </c>
      <c r="D21" s="27" t="inlineStr">
        <is>
          <t>ATIVIDADE</t>
        </is>
      </c>
      <c r="E21" s="53" t="n"/>
      <c r="F21" s="53" t="n"/>
      <c r="G21" s="27" t="inlineStr">
        <is>
          <t>TURNO</t>
        </is>
      </c>
      <c r="H21" s="27" t="inlineStr">
        <is>
          <t>COORDENADOR</t>
        </is>
      </c>
      <c r="I21" s="53" t="n"/>
      <c r="J21" s="27" t="inlineStr">
        <is>
          <t>SETOR (vistoria)</t>
        </is>
      </c>
      <c r="K21" s="53" t="n"/>
      <c r="L21" s="27" t="inlineStr">
        <is>
          <t>LINK DO ANEXO (ENTREGA)</t>
        </is>
      </c>
      <c r="M21" s="53" t="n"/>
      <c r="N21" s="27" t="inlineStr">
        <is>
          <t>ENTREGUE EM</t>
        </is>
      </c>
      <c r="O21" s="27" t="inlineStr">
        <is>
          <t>VALIDAÇÃO</t>
        </is>
      </c>
      <c r="P21" s="27" t="inlineStr">
        <is>
          <t>MOTIVO REPROV. / CANCEL.</t>
        </is>
      </c>
      <c r="Q21" s="53" t="n"/>
      <c r="R21" s="27" t="inlineStr">
        <is>
          <t>STATUS</t>
        </is>
      </c>
      <c r="S21" s="64" t="inlineStr">
        <is>
          <t>fL</t>
        </is>
      </c>
      <c r="T21" s="64" t="inlineStr">
        <is>
          <t>fA</t>
        </is>
      </c>
      <c r="U21" s="64" t="inlineStr">
        <is>
          <t>fE</t>
        </is>
      </c>
    </row>
    <row r="22">
      <c r="A22" s="65" t="inlineStr">
        <is>
          <t>JUL-S27-ERR-A</t>
        </is>
      </c>
      <c r="B22" s="66" t="inlineStr">
        <is>
          <t>S27</t>
        </is>
      </c>
      <c r="C22" s="67" t="n">
        <v>46204</v>
      </c>
      <c r="D22" s="68" t="inlineStr">
        <is>
          <t>Levantamento de Erros Operacionais</t>
        </is>
      </c>
      <c r="E22" s="53" t="n"/>
      <c r="F22" s="53" t="n"/>
      <c r="G22" s="69" t="inlineStr">
        <is>
          <t>A</t>
        </is>
      </c>
      <c r="H22" s="70">
        <f>IF($G22="A",CONFIG!$B$5,IF($G22="B",CONFIG!$B$6,IF($G22="C",CONFIG!$B$7,IF($G22="Todos","Todos os turnos",""))))</f>
        <v/>
      </c>
      <c r="I22" s="53" t="n"/>
      <c r="J22" s="71" t="inlineStr">
        <is>
          <t>—</t>
        </is>
      </c>
      <c r="K22" s="53" t="n"/>
      <c r="L22" s="72" t="n"/>
      <c r="M22" s="53" t="n"/>
      <c r="N22" s="73" t="n"/>
      <c r="O22" s="74" t="n"/>
      <c r="P22" s="75" t="n"/>
      <c r="Q22" s="53" t="n"/>
      <c r="R22" s="76">
        <f>IF($C22="","",IF($O22="Cancelada","Cancelada",IF($O22="Reprovado","Reprovada",IF($O22="Aprovado","Aprovada",IF($L22&lt;&gt;"","Entregue",IF(TODAY()&gt;$C22,"Atrasada","Pendente"))))))</f>
        <v/>
      </c>
    </row>
    <row r="23">
      <c r="A23" s="65" t="inlineStr">
        <is>
          <t>JUL-S27-ERR-B</t>
        </is>
      </c>
      <c r="B23" s="66" t="inlineStr">
        <is>
          <t>S27</t>
        </is>
      </c>
      <c r="C23" s="67" t="n">
        <v>46204</v>
      </c>
      <c r="D23" s="68" t="inlineStr">
        <is>
          <t>Levantamento de Erros Operacionais</t>
        </is>
      </c>
      <c r="E23" s="53" t="n"/>
      <c r="F23" s="53" t="n"/>
      <c r="G23" s="69" t="inlineStr">
        <is>
          <t>B</t>
        </is>
      </c>
      <c r="H23" s="70">
        <f>IF($G23="A",CONFIG!$B$5,IF($G23="B",CONFIG!$B$6,IF($G23="C",CONFIG!$B$7,IF($G23="Todos","Todos os turnos",""))))</f>
        <v/>
      </c>
      <c r="I23" s="53" t="n"/>
      <c r="J23" s="71" t="inlineStr">
        <is>
          <t>—</t>
        </is>
      </c>
      <c r="K23" s="53" t="n"/>
      <c r="L23" s="72" t="n"/>
      <c r="M23" s="53" t="n"/>
      <c r="N23" s="73" t="n"/>
      <c r="O23" s="74" t="n"/>
      <c r="P23" s="75" t="n"/>
      <c r="Q23" s="53" t="n"/>
      <c r="R23" s="76">
        <f>IF($C23="","",IF($O23="Cancelada","Cancelada",IF($O23="Reprovado","Reprovada",IF($O23="Aprovado","Aprovada",IF($L23&lt;&gt;"","Entregue",IF(TODAY()&gt;$C23,"Atrasada","Pendente"))))))</f>
        <v/>
      </c>
    </row>
    <row r="24">
      <c r="A24" s="65" t="inlineStr">
        <is>
          <t>JUL-S27-ERR-C</t>
        </is>
      </c>
      <c r="B24" s="66" t="inlineStr">
        <is>
          <t>S27</t>
        </is>
      </c>
      <c r="C24" s="67" t="n">
        <v>46204</v>
      </c>
      <c r="D24" s="68" t="inlineStr">
        <is>
          <t>Levantamento de Erros Operacionais</t>
        </is>
      </c>
      <c r="E24" s="53" t="n"/>
      <c r="F24" s="53" t="n"/>
      <c r="G24" s="69" t="inlineStr">
        <is>
          <t>C</t>
        </is>
      </c>
      <c r="H24" s="70">
        <f>IF($G24="A",CONFIG!$B$5,IF($G24="B",CONFIG!$B$6,IF($G24="C",CONFIG!$B$7,IF($G24="Todos","Todos os turnos",""))))</f>
        <v/>
      </c>
      <c r="I24" s="53" t="n"/>
      <c r="J24" s="71" t="inlineStr">
        <is>
          <t>—</t>
        </is>
      </c>
      <c r="K24" s="53" t="n"/>
      <c r="L24" s="72" t="n"/>
      <c r="M24" s="53" t="n"/>
      <c r="N24" s="73" t="n"/>
      <c r="O24" s="74" t="n"/>
      <c r="P24" s="75" t="n"/>
      <c r="Q24" s="53" t="n"/>
      <c r="R24" s="76">
        <f>IF($C24="","",IF($O24="Cancelada","Cancelada",IF($O24="Reprovado","Reprovada",IF($O24="Aprovado","Aprovada",IF($L24&lt;&gt;"","Entregue",IF(TODAY()&gt;$C24,"Atrasada","Pendente"))))))</f>
        <v/>
      </c>
    </row>
    <row r="25">
      <c r="A25" s="65" t="inlineStr">
        <is>
          <t>JUL-S27-SUP-A</t>
        </is>
      </c>
      <c r="B25" s="66" t="inlineStr">
        <is>
          <t>S27</t>
        </is>
      </c>
      <c r="C25" s="67" t="n">
        <v>46204</v>
      </c>
      <c r="D25" s="68" t="inlineStr">
        <is>
          <t>Suporte de Supervisores</t>
        </is>
      </c>
      <c r="E25" s="53" t="n"/>
      <c r="F25" s="53" t="n"/>
      <c r="G25" s="69" t="inlineStr">
        <is>
          <t>A</t>
        </is>
      </c>
      <c r="H25" s="70">
        <f>IF($G25="A",CONFIG!$B$5,IF($G25="B",CONFIG!$B$6,IF($G25="C",CONFIG!$B$7,IF($G25="Todos","Todos os turnos",""))))</f>
        <v/>
      </c>
      <c r="I25" s="53" t="n"/>
      <c r="J25" s="71" t="inlineStr">
        <is>
          <t>—</t>
        </is>
      </c>
      <c r="K25" s="53" t="n"/>
      <c r="L25" s="72" t="n"/>
      <c r="M25" s="53" t="n"/>
      <c r="N25" s="73" t="n"/>
      <c r="O25" s="74" t="n"/>
      <c r="P25" s="75" t="n"/>
      <c r="Q25" s="53" t="n"/>
      <c r="R25" s="76">
        <f>IF($C25="","",IF($O25="Cancelada","Cancelada",IF($O25="Reprovado","Reprovada",IF($O25="Aprovado","Aprovada",IF($L25&lt;&gt;"","Entregue",IF(TODAY()&gt;$C25,"Atrasada","Pendente"))))))</f>
        <v/>
      </c>
    </row>
    <row r="26">
      <c r="A26" s="65" t="inlineStr">
        <is>
          <t>JUL-S27-SUP-B</t>
        </is>
      </c>
      <c r="B26" s="66" t="inlineStr">
        <is>
          <t>S27</t>
        </is>
      </c>
      <c r="C26" s="67" t="n">
        <v>46204</v>
      </c>
      <c r="D26" s="68" t="inlineStr">
        <is>
          <t>Suporte de Supervisores</t>
        </is>
      </c>
      <c r="E26" s="53" t="n"/>
      <c r="F26" s="53" t="n"/>
      <c r="G26" s="69" t="inlineStr">
        <is>
          <t>B</t>
        </is>
      </c>
      <c r="H26" s="70">
        <f>IF($G26="A",CONFIG!$B$5,IF($G26="B",CONFIG!$B$6,IF($G26="C",CONFIG!$B$7,IF($G26="Todos","Todos os turnos",""))))</f>
        <v/>
      </c>
      <c r="I26" s="53" t="n"/>
      <c r="J26" s="71" t="inlineStr">
        <is>
          <t>—</t>
        </is>
      </c>
      <c r="K26" s="53" t="n"/>
      <c r="L26" s="72" t="n"/>
      <c r="M26" s="53" t="n"/>
      <c r="N26" s="73" t="n"/>
      <c r="O26" s="74" t="n"/>
      <c r="P26" s="75" t="n"/>
      <c r="Q26" s="53" t="n"/>
      <c r="R26" s="76">
        <f>IF($C26="","",IF($O26="Cancelada","Cancelada",IF($O26="Reprovado","Reprovada",IF($O26="Aprovado","Aprovada",IF($L26&lt;&gt;"","Entregue",IF(TODAY()&gt;$C26,"Atrasada","Pendente"))))))</f>
        <v/>
      </c>
    </row>
    <row r="27">
      <c r="A27" s="65" t="inlineStr">
        <is>
          <t>JUL-S27-SUP-C</t>
        </is>
      </c>
      <c r="B27" s="66" t="inlineStr">
        <is>
          <t>S27</t>
        </is>
      </c>
      <c r="C27" s="67" t="n">
        <v>46204</v>
      </c>
      <c r="D27" s="68" t="inlineStr">
        <is>
          <t>Suporte de Supervisores</t>
        </is>
      </c>
      <c r="E27" s="53" t="n"/>
      <c r="F27" s="53" t="n"/>
      <c r="G27" s="69" t="inlineStr">
        <is>
          <t>C</t>
        </is>
      </c>
      <c r="H27" s="70">
        <f>IF($G27="A",CONFIG!$B$5,IF($G27="B",CONFIG!$B$6,IF($G27="C",CONFIG!$B$7,IF($G27="Todos","Todos os turnos",""))))</f>
        <v/>
      </c>
      <c r="I27" s="53" t="n"/>
      <c r="J27" s="71" t="inlineStr">
        <is>
          <t>—</t>
        </is>
      </c>
      <c r="K27" s="53" t="n"/>
      <c r="L27" s="72" t="n"/>
      <c r="M27" s="53" t="n"/>
      <c r="N27" s="73" t="n"/>
      <c r="O27" s="74" t="n"/>
      <c r="P27" s="75" t="n"/>
      <c r="Q27" s="53" t="n"/>
      <c r="R27" s="76">
        <f>IF($C27="","",IF($O27="Cancelada","Cancelada",IF($O27="Reprovado","Reprovada",IF($O27="Aprovado","Aprovada",IF($L27&lt;&gt;"","Entregue",IF(TODAY()&gt;$C27,"Atrasada","Pendente"))))))</f>
        <v/>
      </c>
    </row>
    <row r="28">
      <c r="A28" s="65" t="inlineStr">
        <is>
          <t>JUL-S27-VIS-A</t>
        </is>
      </c>
      <c r="B28" s="66" t="inlineStr">
        <is>
          <t>S27</t>
        </is>
      </c>
      <c r="C28" s="67" t="n">
        <v>46204</v>
      </c>
      <c r="D28" s="68" t="inlineStr">
        <is>
          <t>Acomp. Organizacional Setorial (Vistoria)</t>
        </is>
      </c>
      <c r="E28" s="53" t="n"/>
      <c r="F28" s="53" t="n"/>
      <c r="G28" s="69" t="inlineStr">
        <is>
          <t>A</t>
        </is>
      </c>
      <c r="H28" s="70">
        <f>IF($G28="A",CONFIG!$B$5,IF($G28="B",CONFIG!$B$6,IF($G28="C",CONFIG!$B$7,IF($G28="Todos","Todos os turnos",""))))</f>
        <v/>
      </c>
      <c r="I28" s="53" t="n"/>
      <c r="J28" s="77" t="n"/>
      <c r="K28" s="53" t="n"/>
      <c r="L28" s="72" t="n"/>
      <c r="M28" s="53" t="n"/>
      <c r="N28" s="73" t="n"/>
      <c r="O28" s="74" t="n"/>
      <c r="P28" s="75" t="n"/>
      <c r="Q28" s="53" t="n"/>
      <c r="R28" s="76">
        <f>IF($C28="","",IF($O28="Cancelada","Cancelada",IF($O28="Reprovado","Reprovada",IF($O28="Aprovado","Aprovada",IF($L28&lt;&gt;"","Entregue",IF(TODAY()&gt;$C28,"Atrasada","Pendente"))))))</f>
        <v/>
      </c>
    </row>
    <row r="29">
      <c r="A29" s="65" t="inlineStr">
        <is>
          <t>JUL-S27-VIS-B</t>
        </is>
      </c>
      <c r="B29" s="66" t="inlineStr">
        <is>
          <t>S27</t>
        </is>
      </c>
      <c r="C29" s="67" t="n">
        <v>46204</v>
      </c>
      <c r="D29" s="68" t="inlineStr">
        <is>
          <t>Acomp. Organizacional Setorial (Vistoria)</t>
        </is>
      </c>
      <c r="E29" s="53" t="n"/>
      <c r="F29" s="53" t="n"/>
      <c r="G29" s="69" t="inlineStr">
        <is>
          <t>B</t>
        </is>
      </c>
      <c r="H29" s="70">
        <f>IF($G29="A",CONFIG!$B$5,IF($G29="B",CONFIG!$B$6,IF($G29="C",CONFIG!$B$7,IF($G29="Todos","Todos os turnos",""))))</f>
        <v/>
      </c>
      <c r="I29" s="53" t="n"/>
      <c r="J29" s="77" t="n"/>
      <c r="K29" s="53" t="n"/>
      <c r="L29" s="72" t="n"/>
      <c r="M29" s="53" t="n"/>
      <c r="N29" s="73" t="n"/>
      <c r="O29" s="74" t="n"/>
      <c r="P29" s="75" t="n"/>
      <c r="Q29" s="53" t="n"/>
      <c r="R29" s="76">
        <f>IF($C29="","",IF($O29="Cancelada","Cancelada",IF($O29="Reprovado","Reprovada",IF($O29="Aprovado","Aprovada",IF($L29&lt;&gt;"","Entregue",IF(TODAY()&gt;$C29,"Atrasada","Pendente"))))))</f>
        <v/>
      </c>
    </row>
    <row r="30">
      <c r="A30" s="65" t="inlineStr">
        <is>
          <t>JUL-S27-VIS-C</t>
        </is>
      </c>
      <c r="B30" s="66" t="inlineStr">
        <is>
          <t>S27</t>
        </is>
      </c>
      <c r="C30" s="67" t="n">
        <v>46204</v>
      </c>
      <c r="D30" s="68" t="inlineStr">
        <is>
          <t>Acomp. Organizacional Setorial (Vistoria)</t>
        </is>
      </c>
      <c r="E30" s="53" t="n"/>
      <c r="F30" s="53" t="n"/>
      <c r="G30" s="69" t="inlineStr">
        <is>
          <t>C</t>
        </is>
      </c>
      <c r="H30" s="70">
        <f>IF($G30="A",CONFIG!$B$5,IF($G30="B",CONFIG!$B$6,IF($G30="C",CONFIG!$B$7,IF($G30="Todos","Todos os turnos",""))))</f>
        <v/>
      </c>
      <c r="I30" s="53" t="n"/>
      <c r="J30" s="77" t="n"/>
      <c r="K30" s="53" t="n"/>
      <c r="L30" s="72" t="n"/>
      <c r="M30" s="53" t="n"/>
      <c r="N30" s="73" t="n"/>
      <c r="O30" s="74" t="n"/>
      <c r="P30" s="75" t="n"/>
      <c r="Q30" s="53" t="n"/>
      <c r="R30" s="76">
        <f>IF($C30="","",IF($O30="Cancelada","Cancelada",IF($O30="Reprovado","Reprovada",IF($O30="Aprovado","Aprovada",IF($L30&lt;&gt;"","Entregue",IF(TODAY()&gt;$C30,"Atrasada","Pendente"))))))</f>
        <v/>
      </c>
    </row>
    <row r="31">
      <c r="A31" s="65" t="inlineStr">
        <is>
          <t>JUL-S27-MET-A</t>
        </is>
      </c>
      <c r="B31" s="66" t="inlineStr">
        <is>
          <t>S27</t>
        </is>
      </c>
      <c r="C31" s="67" t="n">
        <v>46205</v>
      </c>
      <c r="D31" s="68" t="inlineStr">
        <is>
          <t>Metas</t>
        </is>
      </c>
      <c r="E31" s="53" t="n"/>
      <c r="F31" s="53" t="n"/>
      <c r="G31" s="69" t="inlineStr">
        <is>
          <t>A</t>
        </is>
      </c>
      <c r="H31" s="70">
        <f>IF($G31="A",CONFIG!$B$5,IF($G31="B",CONFIG!$B$6,IF($G31="C",CONFIG!$B$7,IF($G31="Todos","Todos os turnos",""))))</f>
        <v/>
      </c>
      <c r="I31" s="53" t="n"/>
      <c r="J31" s="71" t="inlineStr">
        <is>
          <t>—</t>
        </is>
      </c>
      <c r="K31" s="53" t="n"/>
      <c r="L31" s="72" t="n"/>
      <c r="M31" s="53" t="n"/>
      <c r="N31" s="73" t="n"/>
      <c r="O31" s="74" t="n"/>
      <c r="P31" s="75" t="n"/>
      <c r="Q31" s="53" t="n"/>
      <c r="R31" s="76">
        <f>IF($C31="","",IF($O31="Cancelada","Cancelada",IF($O31="Reprovado","Reprovada",IF($O31="Aprovado","Aprovada",IF($L31&lt;&gt;"","Entregue",IF(TODAY()&gt;$C31,"Atrasada","Pendente"))))))</f>
        <v/>
      </c>
    </row>
    <row r="32">
      <c r="A32" s="65" t="inlineStr">
        <is>
          <t>JUL-S27-MET-B</t>
        </is>
      </c>
      <c r="B32" s="66" t="inlineStr">
        <is>
          <t>S27</t>
        </is>
      </c>
      <c r="C32" s="67" t="n">
        <v>46205</v>
      </c>
      <c r="D32" s="68" t="inlineStr">
        <is>
          <t>Metas</t>
        </is>
      </c>
      <c r="E32" s="53" t="n"/>
      <c r="F32" s="53" t="n"/>
      <c r="G32" s="69" t="inlineStr">
        <is>
          <t>B</t>
        </is>
      </c>
      <c r="H32" s="70">
        <f>IF($G32="A",CONFIG!$B$5,IF($G32="B",CONFIG!$B$6,IF($G32="C",CONFIG!$B$7,IF($G32="Todos","Todos os turnos",""))))</f>
        <v/>
      </c>
      <c r="I32" s="53" t="n"/>
      <c r="J32" s="71" t="inlineStr">
        <is>
          <t>—</t>
        </is>
      </c>
      <c r="K32" s="53" t="n"/>
      <c r="L32" s="72" t="n"/>
      <c r="M32" s="53" t="n"/>
      <c r="N32" s="73" t="n"/>
      <c r="O32" s="74" t="n"/>
      <c r="P32" s="75" t="n"/>
      <c r="Q32" s="53" t="n"/>
      <c r="R32" s="76">
        <f>IF($C32="","",IF($O32="Cancelada","Cancelada",IF($O32="Reprovado","Reprovada",IF($O32="Aprovado","Aprovada",IF($L32&lt;&gt;"","Entregue",IF(TODAY()&gt;$C32,"Atrasada","Pendente"))))))</f>
        <v/>
      </c>
    </row>
    <row r="33">
      <c r="A33" s="65" t="inlineStr">
        <is>
          <t>JUL-S27-MET-C</t>
        </is>
      </c>
      <c r="B33" s="66" t="inlineStr">
        <is>
          <t>S27</t>
        </is>
      </c>
      <c r="C33" s="67" t="n">
        <v>46205</v>
      </c>
      <c r="D33" s="68" t="inlineStr">
        <is>
          <t>Metas</t>
        </is>
      </c>
      <c r="E33" s="53" t="n"/>
      <c r="F33" s="53" t="n"/>
      <c r="G33" s="69" t="inlineStr">
        <is>
          <t>C</t>
        </is>
      </c>
      <c r="H33" s="70">
        <f>IF($G33="A",CONFIG!$B$5,IF($G33="B",CONFIG!$B$6,IF($G33="C",CONFIG!$B$7,IF($G33="Todos","Todos os turnos",""))))</f>
        <v/>
      </c>
      <c r="I33" s="53" t="n"/>
      <c r="J33" s="71" t="inlineStr">
        <is>
          <t>—</t>
        </is>
      </c>
      <c r="K33" s="53" t="n"/>
      <c r="L33" s="72" t="n"/>
      <c r="M33" s="53" t="n"/>
      <c r="N33" s="73" t="n"/>
      <c r="O33" s="74" t="n"/>
      <c r="P33" s="75" t="n"/>
      <c r="Q33" s="53" t="n"/>
      <c r="R33" s="76">
        <f>IF($C33="","",IF($O33="Cancelada","Cancelada",IF($O33="Reprovado","Reprovada",IF($O33="Aprovado","Aprovada",IF($L33&lt;&gt;"","Entregue",IF(TODAY()&gt;$C33,"Atrasada","Pendente"))))))</f>
        <v/>
      </c>
    </row>
    <row r="34">
      <c r="A34" s="65" t="inlineStr">
        <is>
          <t>JUL-S27-ACO-A</t>
        </is>
      </c>
      <c r="B34" s="66" t="inlineStr">
        <is>
          <t>S27</t>
        </is>
      </c>
      <c r="C34" s="67" t="n">
        <v>46206</v>
      </c>
      <c r="D34" s="68" t="inlineStr">
        <is>
          <t>Acompanhamento Semanal c/ Supervisores</t>
        </is>
      </c>
      <c r="E34" s="53" t="n"/>
      <c r="F34" s="53" t="n"/>
      <c r="G34" s="69" t="inlineStr">
        <is>
          <t>A</t>
        </is>
      </c>
      <c r="H34" s="70">
        <f>IF($G34="A",CONFIG!$B$5,IF($G34="B",CONFIG!$B$6,IF($G34="C",CONFIG!$B$7,IF($G34="Todos","Todos os turnos",""))))</f>
        <v/>
      </c>
      <c r="I34" s="53" t="n"/>
      <c r="J34" s="71" t="inlineStr">
        <is>
          <t>—</t>
        </is>
      </c>
      <c r="K34" s="53" t="n"/>
      <c r="L34" s="72" t="n"/>
      <c r="M34" s="53" t="n"/>
      <c r="N34" s="73" t="n"/>
      <c r="O34" s="74" t="n"/>
      <c r="P34" s="75" t="n"/>
      <c r="Q34" s="53" t="n"/>
      <c r="R34" s="76">
        <f>IF($C34="","",IF($O34="Cancelada","Cancelada",IF($O34="Reprovado","Reprovada",IF($O34="Aprovado","Aprovada",IF($L34&lt;&gt;"","Entregue",IF(TODAY()&gt;$C34,"Atrasada","Pendente"))))))</f>
        <v/>
      </c>
    </row>
    <row r="35">
      <c r="A35" s="65" t="inlineStr">
        <is>
          <t>JUL-S27-ACO-B</t>
        </is>
      </c>
      <c r="B35" s="66" t="inlineStr">
        <is>
          <t>S27</t>
        </is>
      </c>
      <c r="C35" s="67" t="n">
        <v>46206</v>
      </c>
      <c r="D35" s="68" t="inlineStr">
        <is>
          <t>Acompanhamento Semanal c/ Supervisores</t>
        </is>
      </c>
      <c r="E35" s="53" t="n"/>
      <c r="F35" s="53" t="n"/>
      <c r="G35" s="69" t="inlineStr">
        <is>
          <t>B</t>
        </is>
      </c>
      <c r="H35" s="70">
        <f>IF($G35="A",CONFIG!$B$5,IF($G35="B",CONFIG!$B$6,IF($G35="C",CONFIG!$B$7,IF($G35="Todos","Todos os turnos",""))))</f>
        <v/>
      </c>
      <c r="I35" s="53" t="n"/>
      <c r="J35" s="71" t="inlineStr">
        <is>
          <t>—</t>
        </is>
      </c>
      <c r="K35" s="53" t="n"/>
      <c r="L35" s="72" t="n"/>
      <c r="M35" s="53" t="n"/>
      <c r="N35" s="73" t="n"/>
      <c r="O35" s="74" t="n"/>
      <c r="P35" s="75" t="n"/>
      <c r="Q35" s="53" t="n"/>
      <c r="R35" s="76">
        <f>IF($C35="","",IF($O35="Cancelada","Cancelada",IF($O35="Reprovado","Reprovada",IF($O35="Aprovado","Aprovada",IF($L35&lt;&gt;"","Entregue",IF(TODAY()&gt;$C35,"Atrasada","Pendente"))))))</f>
        <v/>
      </c>
    </row>
    <row r="36">
      <c r="A36" s="65" t="inlineStr">
        <is>
          <t>JUL-S27-ACO-C</t>
        </is>
      </c>
      <c r="B36" s="66" t="inlineStr">
        <is>
          <t>S27</t>
        </is>
      </c>
      <c r="C36" s="67" t="n">
        <v>46206</v>
      </c>
      <c r="D36" s="68" t="inlineStr">
        <is>
          <t>Acompanhamento Semanal c/ Supervisores</t>
        </is>
      </c>
      <c r="E36" s="53" t="n"/>
      <c r="F36" s="53" t="n"/>
      <c r="G36" s="69" t="inlineStr">
        <is>
          <t>C</t>
        </is>
      </c>
      <c r="H36" s="70">
        <f>IF($G36="A",CONFIG!$B$5,IF($G36="B",CONFIG!$B$6,IF($G36="C",CONFIG!$B$7,IF($G36="Todos","Todos os turnos",""))))</f>
        <v/>
      </c>
      <c r="I36" s="53" t="n"/>
      <c r="J36" s="71" t="inlineStr">
        <is>
          <t>—</t>
        </is>
      </c>
      <c r="K36" s="53" t="n"/>
      <c r="L36" s="72" t="n"/>
      <c r="M36" s="53" t="n"/>
      <c r="N36" s="73" t="n"/>
      <c r="O36" s="74" t="n"/>
      <c r="P36" s="75" t="n"/>
      <c r="Q36" s="53" t="n"/>
      <c r="R36" s="76">
        <f>IF($C36="","",IF($O36="Cancelada","Cancelada",IF($O36="Reprovado","Reprovada",IF($O36="Aprovado","Aprovada",IF($L36&lt;&gt;"","Entregue",IF(TODAY()&gt;$C36,"Atrasada","Pendente"))))))</f>
        <v/>
      </c>
    </row>
    <row r="37">
      <c r="A37" s="65" t="inlineStr">
        <is>
          <t>JUL-S27-FAL-A</t>
        </is>
      </c>
      <c r="B37" s="66" t="inlineStr">
        <is>
          <t>S27</t>
        </is>
      </c>
      <c r="C37" s="67" t="n">
        <v>46206</v>
      </c>
      <c r="D37" s="68" t="inlineStr">
        <is>
          <t>Faltas e Atestados</t>
        </is>
      </c>
      <c r="E37" s="53" t="n"/>
      <c r="F37" s="53" t="n"/>
      <c r="G37" s="69" t="inlineStr">
        <is>
          <t>A</t>
        </is>
      </c>
      <c r="H37" s="70">
        <f>IF($G37="A",CONFIG!$B$5,IF($G37="B",CONFIG!$B$6,IF($G37="C",CONFIG!$B$7,IF($G37="Todos","Todos os turnos",""))))</f>
        <v/>
      </c>
      <c r="I37" s="53" t="n"/>
      <c r="J37" s="71" t="inlineStr">
        <is>
          <t>—</t>
        </is>
      </c>
      <c r="K37" s="53" t="n"/>
      <c r="L37" s="72" t="n"/>
      <c r="M37" s="53" t="n"/>
      <c r="N37" s="73" t="n"/>
      <c r="O37" s="74" t="n"/>
      <c r="P37" s="75" t="n"/>
      <c r="Q37" s="53" t="n"/>
      <c r="R37" s="76">
        <f>IF($C37="","",IF($O37="Cancelada","Cancelada",IF($O37="Reprovado","Reprovada",IF($O37="Aprovado","Aprovada",IF($L37&lt;&gt;"","Entregue",IF(TODAY()&gt;$C37,"Atrasada","Pendente"))))))</f>
        <v/>
      </c>
    </row>
    <row r="38">
      <c r="A38" s="65" t="inlineStr">
        <is>
          <t>JUL-S27-FAL-B</t>
        </is>
      </c>
      <c r="B38" s="66" t="inlineStr">
        <is>
          <t>S27</t>
        </is>
      </c>
      <c r="C38" s="67" t="n">
        <v>46206</v>
      </c>
      <c r="D38" s="68" t="inlineStr">
        <is>
          <t>Faltas e Atestados</t>
        </is>
      </c>
      <c r="E38" s="53" t="n"/>
      <c r="F38" s="53" t="n"/>
      <c r="G38" s="69" t="inlineStr">
        <is>
          <t>B</t>
        </is>
      </c>
      <c r="H38" s="70">
        <f>IF($G38="A",CONFIG!$B$5,IF($G38="B",CONFIG!$B$6,IF($G38="C",CONFIG!$B$7,IF($G38="Todos","Todos os turnos",""))))</f>
        <v/>
      </c>
      <c r="I38" s="53" t="n"/>
      <c r="J38" s="71" t="inlineStr">
        <is>
          <t>—</t>
        </is>
      </c>
      <c r="K38" s="53" t="n"/>
      <c r="L38" s="72" t="n"/>
      <c r="M38" s="53" t="n"/>
      <c r="N38" s="73" t="n"/>
      <c r="O38" s="74" t="n"/>
      <c r="P38" s="75" t="n"/>
      <c r="Q38" s="53" t="n"/>
      <c r="R38" s="76">
        <f>IF($C38="","",IF($O38="Cancelada","Cancelada",IF($O38="Reprovado","Reprovada",IF($O38="Aprovado","Aprovada",IF($L38&lt;&gt;"","Entregue",IF(TODAY()&gt;$C38,"Atrasada","Pendente"))))))</f>
        <v/>
      </c>
    </row>
    <row r="39">
      <c r="A39" s="65" t="inlineStr">
        <is>
          <t>JUL-S27-FAL-C</t>
        </is>
      </c>
      <c r="B39" s="66" t="inlineStr">
        <is>
          <t>S27</t>
        </is>
      </c>
      <c r="C39" s="67" t="n">
        <v>46206</v>
      </c>
      <c r="D39" s="68" t="inlineStr">
        <is>
          <t>Faltas e Atestados</t>
        </is>
      </c>
      <c r="E39" s="53" t="n"/>
      <c r="F39" s="53" t="n"/>
      <c r="G39" s="69" t="inlineStr">
        <is>
          <t>C</t>
        </is>
      </c>
      <c r="H39" s="70">
        <f>IF($G39="A",CONFIG!$B$5,IF($G39="B",CONFIG!$B$6,IF($G39="C",CONFIG!$B$7,IF($G39="Todos","Todos os turnos",""))))</f>
        <v/>
      </c>
      <c r="I39" s="53" t="n"/>
      <c r="J39" s="71" t="inlineStr">
        <is>
          <t>—</t>
        </is>
      </c>
      <c r="K39" s="53" t="n"/>
      <c r="L39" s="72" t="n"/>
      <c r="M39" s="53" t="n"/>
      <c r="N39" s="73" t="n"/>
      <c r="O39" s="74" t="n"/>
      <c r="P39" s="75" t="n"/>
      <c r="Q39" s="53" t="n"/>
      <c r="R39" s="76">
        <f>IF($C39="","",IF($O39="Cancelada","Cancelada",IF($O39="Reprovado","Reprovada",IF($O39="Aprovado","Aprovada",IF($L39&lt;&gt;"","Entregue",IF(TODAY()&gt;$C39,"Atrasada","Pendente"))))))</f>
        <v/>
      </c>
    </row>
    <row r="40">
      <c r="A40" s="65" t="inlineStr">
        <is>
          <t>JUL-S27-REU-T</t>
        </is>
      </c>
      <c r="B40" s="66" t="inlineStr">
        <is>
          <t>S27</t>
        </is>
      </c>
      <c r="C40" s="67" t="n">
        <v>46206</v>
      </c>
      <c r="D40" s="68" t="inlineStr">
        <is>
          <t>Reunião Semanal com a Gerência</t>
        </is>
      </c>
      <c r="E40" s="53" t="n"/>
      <c r="F40" s="53" t="n"/>
      <c r="G40" s="69" t="inlineStr">
        <is>
          <t>Todos</t>
        </is>
      </c>
      <c r="H40" s="70">
        <f>IF($G40="A",CONFIG!$B$5,IF($G40="B",CONFIG!$B$6,IF($G40="C",CONFIG!$B$7,IF($G40="Todos","Todos os turnos",""))))</f>
        <v/>
      </c>
      <c r="I40" s="53" t="n"/>
      <c r="J40" s="71" t="inlineStr">
        <is>
          <t>—</t>
        </is>
      </c>
      <c r="K40" s="53" t="n"/>
      <c r="L40" s="72" t="n"/>
      <c r="M40" s="53" t="n"/>
      <c r="N40" s="73" t="n"/>
      <c r="O40" s="74" t="n"/>
      <c r="P40" s="75" t="n"/>
      <c r="Q40" s="53" t="n"/>
      <c r="R40" s="76">
        <f>IF($C40="","",IF($O40="Cancelada","Cancelada",IF($O40="Reprovado","Reprovada",IF($O40="Aprovado","Aprovada",IF($L40&lt;&gt;"","Entregue",IF(TODAY()&gt;$C40,"Atrasada","Pendente"))))))</f>
        <v/>
      </c>
    </row>
    <row r="41">
      <c r="A41" s="65" t="inlineStr">
        <is>
          <t>JUL-S28-FER-A</t>
        </is>
      </c>
      <c r="B41" s="66" t="inlineStr">
        <is>
          <t>S28</t>
        </is>
      </c>
      <c r="C41" s="67" t="n">
        <v>46209</v>
      </c>
      <c r="D41" s="68" t="inlineStr">
        <is>
          <t>Programação de Férias (mensal)</t>
        </is>
      </c>
      <c r="E41" s="53" t="n"/>
      <c r="F41" s="53" t="n"/>
      <c r="G41" s="69" t="inlineStr">
        <is>
          <t>A</t>
        </is>
      </c>
      <c r="H41" s="70">
        <f>IF($G41="A",CONFIG!$B$5,IF($G41="B",CONFIG!$B$6,IF($G41="C",CONFIG!$B$7,IF($G41="Todos","Todos os turnos",""))))</f>
        <v/>
      </c>
      <c r="I41" s="53" t="n"/>
      <c r="J41" s="71" t="inlineStr">
        <is>
          <t>—</t>
        </is>
      </c>
      <c r="K41" s="53" t="n"/>
      <c r="L41" s="72" t="n"/>
      <c r="M41" s="53" t="n"/>
      <c r="N41" s="73" t="n"/>
      <c r="O41" s="74" t="n"/>
      <c r="P41" s="75" t="n"/>
      <c r="Q41" s="53" t="n"/>
      <c r="R41" s="76">
        <f>IF($C41="","",IF($O41="Cancelada","Cancelada",IF($O41="Reprovado","Reprovada",IF($O41="Aprovado","Aprovada",IF($L41&lt;&gt;"","Entregue",IF(TODAY()&gt;$C41,"Atrasada","Pendente"))))))</f>
        <v/>
      </c>
    </row>
    <row r="42">
      <c r="A42" s="65" t="inlineStr">
        <is>
          <t>JUL-S28-FER-B</t>
        </is>
      </c>
      <c r="B42" s="66" t="inlineStr">
        <is>
          <t>S28</t>
        </is>
      </c>
      <c r="C42" s="67" t="n">
        <v>46209</v>
      </c>
      <c r="D42" s="68" t="inlineStr">
        <is>
          <t>Programação de Férias (mensal)</t>
        </is>
      </c>
      <c r="E42" s="53" t="n"/>
      <c r="F42" s="53" t="n"/>
      <c r="G42" s="69" t="inlineStr">
        <is>
          <t>B</t>
        </is>
      </c>
      <c r="H42" s="70">
        <f>IF($G42="A",CONFIG!$B$5,IF($G42="B",CONFIG!$B$6,IF($G42="C",CONFIG!$B$7,IF($G42="Todos","Todos os turnos",""))))</f>
        <v/>
      </c>
      <c r="I42" s="53" t="n"/>
      <c r="J42" s="71" t="inlineStr">
        <is>
          <t>—</t>
        </is>
      </c>
      <c r="K42" s="53" t="n"/>
      <c r="L42" s="72" t="n"/>
      <c r="M42" s="53" t="n"/>
      <c r="N42" s="73" t="n"/>
      <c r="O42" s="74" t="n"/>
      <c r="P42" s="75" t="n"/>
      <c r="Q42" s="53" t="n"/>
      <c r="R42" s="76">
        <f>IF($C42="","",IF($O42="Cancelada","Cancelada",IF($O42="Reprovado","Reprovada",IF($O42="Aprovado","Aprovada",IF($L42&lt;&gt;"","Entregue",IF(TODAY()&gt;$C42,"Atrasada","Pendente"))))))</f>
        <v/>
      </c>
    </row>
    <row r="43">
      <c r="A43" s="65" t="inlineStr">
        <is>
          <t>JUL-S28-FER-C</t>
        </is>
      </c>
      <c r="B43" s="66" t="inlineStr">
        <is>
          <t>S28</t>
        </is>
      </c>
      <c r="C43" s="67" t="n">
        <v>46209</v>
      </c>
      <c r="D43" s="68" t="inlineStr">
        <is>
          <t>Programação de Férias (mensal)</t>
        </is>
      </c>
      <c r="E43" s="53" t="n"/>
      <c r="F43" s="53" t="n"/>
      <c r="G43" s="69" t="inlineStr">
        <is>
          <t>C</t>
        </is>
      </c>
      <c r="H43" s="70">
        <f>IF($G43="A",CONFIG!$B$5,IF($G43="B",CONFIG!$B$6,IF($G43="C",CONFIG!$B$7,IF($G43="Todos","Todos os turnos",""))))</f>
        <v/>
      </c>
      <c r="I43" s="53" t="n"/>
      <c r="J43" s="71" t="inlineStr">
        <is>
          <t>—</t>
        </is>
      </c>
      <c r="K43" s="53" t="n"/>
      <c r="L43" s="72" t="n"/>
      <c r="M43" s="53" t="n"/>
      <c r="N43" s="73" t="n"/>
      <c r="O43" s="74" t="n"/>
      <c r="P43" s="75" t="n"/>
      <c r="Q43" s="53" t="n"/>
      <c r="R43" s="76">
        <f>IF($C43="","",IF($O43="Cancelada","Cancelada",IF($O43="Reprovado","Reprovada",IF($O43="Aprovado","Aprovada",IF($L43&lt;&gt;"","Entregue",IF(TODAY()&gt;$C43,"Atrasada","Pendente"))))))</f>
        <v/>
      </c>
    </row>
    <row r="44">
      <c r="A44" s="65" t="inlineStr">
        <is>
          <t>JUL-S28-ERR-A</t>
        </is>
      </c>
      <c r="B44" s="66" t="inlineStr">
        <is>
          <t>S28</t>
        </is>
      </c>
      <c r="C44" s="67" t="n">
        <v>46209</v>
      </c>
      <c r="D44" s="68" t="inlineStr">
        <is>
          <t>Levantamento de Erros Operacionais</t>
        </is>
      </c>
      <c r="E44" s="53" t="n"/>
      <c r="F44" s="53" t="n"/>
      <c r="G44" s="69" t="inlineStr">
        <is>
          <t>A</t>
        </is>
      </c>
      <c r="H44" s="70">
        <f>IF($G44="A",CONFIG!$B$5,IF($G44="B",CONFIG!$B$6,IF($G44="C",CONFIG!$B$7,IF($G44="Todos","Todos os turnos",""))))</f>
        <v/>
      </c>
      <c r="I44" s="53" t="n"/>
      <c r="J44" s="71" t="inlineStr">
        <is>
          <t>—</t>
        </is>
      </c>
      <c r="K44" s="53" t="n"/>
      <c r="L44" s="72" t="n"/>
      <c r="M44" s="53" t="n"/>
      <c r="N44" s="73" t="n"/>
      <c r="O44" s="74" t="n"/>
      <c r="P44" s="75" t="n"/>
      <c r="Q44" s="53" t="n"/>
      <c r="R44" s="76">
        <f>IF($C44="","",IF($O44="Cancelada","Cancelada",IF($O44="Reprovado","Reprovada",IF($O44="Aprovado","Aprovada",IF($L44&lt;&gt;"","Entregue",IF(TODAY()&gt;$C44,"Atrasada","Pendente"))))))</f>
        <v/>
      </c>
    </row>
    <row r="45">
      <c r="A45" s="65" t="inlineStr">
        <is>
          <t>JUL-S28-ERR-B</t>
        </is>
      </c>
      <c r="B45" s="66" t="inlineStr">
        <is>
          <t>S28</t>
        </is>
      </c>
      <c r="C45" s="67" t="n">
        <v>46209</v>
      </c>
      <c r="D45" s="68" t="inlineStr">
        <is>
          <t>Levantamento de Erros Operacionais</t>
        </is>
      </c>
      <c r="E45" s="53" t="n"/>
      <c r="F45" s="53" t="n"/>
      <c r="G45" s="69" t="inlineStr">
        <is>
          <t>B</t>
        </is>
      </c>
      <c r="H45" s="70">
        <f>IF($G45="A",CONFIG!$B$5,IF($G45="B",CONFIG!$B$6,IF($G45="C",CONFIG!$B$7,IF($G45="Todos","Todos os turnos",""))))</f>
        <v/>
      </c>
      <c r="I45" s="53" t="n"/>
      <c r="J45" s="71" t="inlineStr">
        <is>
          <t>—</t>
        </is>
      </c>
      <c r="K45" s="53" t="n"/>
      <c r="L45" s="72" t="n"/>
      <c r="M45" s="53" t="n"/>
      <c r="N45" s="73" t="n"/>
      <c r="O45" s="74" t="n"/>
      <c r="P45" s="75" t="n"/>
      <c r="Q45" s="53" t="n"/>
      <c r="R45" s="76">
        <f>IF($C45="","",IF($O45="Cancelada","Cancelada",IF($O45="Reprovado","Reprovada",IF($O45="Aprovado","Aprovada",IF($L45&lt;&gt;"","Entregue",IF(TODAY()&gt;$C45,"Atrasada","Pendente"))))))</f>
        <v/>
      </c>
    </row>
    <row r="46">
      <c r="A46" s="65" t="inlineStr">
        <is>
          <t>JUL-S28-ERR-C</t>
        </is>
      </c>
      <c r="B46" s="66" t="inlineStr">
        <is>
          <t>S28</t>
        </is>
      </c>
      <c r="C46" s="67" t="n">
        <v>46209</v>
      </c>
      <c r="D46" s="68" t="inlineStr">
        <is>
          <t>Levantamento de Erros Operacionais</t>
        </is>
      </c>
      <c r="E46" s="53" t="n"/>
      <c r="F46" s="53" t="n"/>
      <c r="G46" s="69" t="inlineStr">
        <is>
          <t>C</t>
        </is>
      </c>
      <c r="H46" s="70">
        <f>IF($G46="A",CONFIG!$B$5,IF($G46="B",CONFIG!$B$6,IF($G46="C",CONFIG!$B$7,IF($G46="Todos","Todos os turnos",""))))</f>
        <v/>
      </c>
      <c r="I46" s="53" t="n"/>
      <c r="J46" s="71" t="inlineStr">
        <is>
          <t>—</t>
        </is>
      </c>
      <c r="K46" s="53" t="n"/>
      <c r="L46" s="72" t="n"/>
      <c r="M46" s="53" t="n"/>
      <c r="N46" s="73" t="n"/>
      <c r="O46" s="74" t="n"/>
      <c r="P46" s="75" t="n"/>
      <c r="Q46" s="53" t="n"/>
      <c r="R46" s="76">
        <f>IF($C46="","",IF($O46="Cancelada","Cancelada",IF($O46="Reprovado","Reprovada",IF($O46="Aprovado","Aprovada",IF($L46&lt;&gt;"","Entregue",IF(TODAY()&gt;$C46,"Atrasada","Pendente"))))))</f>
        <v/>
      </c>
    </row>
    <row r="47">
      <c r="A47" s="65" t="inlineStr">
        <is>
          <t>JUL-S28-SUP-A</t>
        </is>
      </c>
      <c r="B47" s="66" t="inlineStr">
        <is>
          <t>S28</t>
        </is>
      </c>
      <c r="C47" s="67" t="n">
        <v>46210</v>
      </c>
      <c r="D47" s="68" t="inlineStr">
        <is>
          <t>Suporte de Supervisores</t>
        </is>
      </c>
      <c r="E47" s="53" t="n"/>
      <c r="F47" s="53" t="n"/>
      <c r="G47" s="69" t="inlineStr">
        <is>
          <t>A</t>
        </is>
      </c>
      <c r="H47" s="70">
        <f>IF($G47="A",CONFIG!$B$5,IF($G47="B",CONFIG!$B$6,IF($G47="C",CONFIG!$B$7,IF($G47="Todos","Todos os turnos",""))))</f>
        <v/>
      </c>
      <c r="I47" s="53" t="n"/>
      <c r="J47" s="71" t="inlineStr">
        <is>
          <t>—</t>
        </is>
      </c>
      <c r="K47" s="53" t="n"/>
      <c r="L47" s="72" t="n"/>
      <c r="M47" s="53" t="n"/>
      <c r="N47" s="73" t="n"/>
      <c r="O47" s="74" t="n"/>
      <c r="P47" s="75" t="n"/>
      <c r="Q47" s="53" t="n"/>
      <c r="R47" s="76">
        <f>IF($C47="","",IF($O47="Cancelada","Cancelada",IF($O47="Reprovado","Reprovada",IF($O47="Aprovado","Aprovada",IF($L47&lt;&gt;"","Entregue",IF(TODAY()&gt;$C47,"Atrasada","Pendente"))))))</f>
        <v/>
      </c>
    </row>
    <row r="48">
      <c r="A48" s="65" t="inlineStr">
        <is>
          <t>JUL-S28-SUP-B</t>
        </is>
      </c>
      <c r="B48" s="66" t="inlineStr">
        <is>
          <t>S28</t>
        </is>
      </c>
      <c r="C48" s="67" t="n">
        <v>46210</v>
      </c>
      <c r="D48" s="68" t="inlineStr">
        <is>
          <t>Suporte de Supervisores</t>
        </is>
      </c>
      <c r="E48" s="53" t="n"/>
      <c r="F48" s="53" t="n"/>
      <c r="G48" s="69" t="inlineStr">
        <is>
          <t>B</t>
        </is>
      </c>
      <c r="H48" s="70">
        <f>IF($G48="A",CONFIG!$B$5,IF($G48="B",CONFIG!$B$6,IF($G48="C",CONFIG!$B$7,IF($G48="Todos","Todos os turnos",""))))</f>
        <v/>
      </c>
      <c r="I48" s="53" t="n"/>
      <c r="J48" s="71" t="inlineStr">
        <is>
          <t>—</t>
        </is>
      </c>
      <c r="K48" s="53" t="n"/>
      <c r="L48" s="72" t="n"/>
      <c r="M48" s="53" t="n"/>
      <c r="N48" s="73" t="n"/>
      <c r="O48" s="74" t="n"/>
      <c r="P48" s="75" t="n"/>
      <c r="Q48" s="53" t="n"/>
      <c r="R48" s="76">
        <f>IF($C48="","",IF($O48="Cancelada","Cancelada",IF($O48="Reprovado","Reprovada",IF($O48="Aprovado","Aprovada",IF($L48&lt;&gt;"","Entregue",IF(TODAY()&gt;$C48,"Atrasada","Pendente"))))))</f>
        <v/>
      </c>
    </row>
    <row r="49">
      <c r="A49" s="65" t="inlineStr">
        <is>
          <t>JUL-S28-SUP-C</t>
        </is>
      </c>
      <c r="B49" s="66" t="inlineStr">
        <is>
          <t>S28</t>
        </is>
      </c>
      <c r="C49" s="67" t="n">
        <v>46210</v>
      </c>
      <c r="D49" s="68" t="inlineStr">
        <is>
          <t>Suporte de Supervisores</t>
        </is>
      </c>
      <c r="E49" s="53" t="n"/>
      <c r="F49" s="53" t="n"/>
      <c r="G49" s="69" t="inlineStr">
        <is>
          <t>C</t>
        </is>
      </c>
      <c r="H49" s="70">
        <f>IF($G49="A",CONFIG!$B$5,IF($G49="B",CONFIG!$B$6,IF($G49="C",CONFIG!$B$7,IF($G49="Todos","Todos os turnos",""))))</f>
        <v/>
      </c>
      <c r="I49" s="53" t="n"/>
      <c r="J49" s="71" t="inlineStr">
        <is>
          <t>—</t>
        </is>
      </c>
      <c r="K49" s="53" t="n"/>
      <c r="L49" s="72" t="n"/>
      <c r="M49" s="53" t="n"/>
      <c r="N49" s="73" t="n"/>
      <c r="O49" s="74" t="n"/>
      <c r="P49" s="75" t="n"/>
      <c r="Q49" s="53" t="n"/>
      <c r="R49" s="76">
        <f>IF($C49="","",IF($O49="Cancelada","Cancelada",IF($O49="Reprovado","Reprovada",IF($O49="Aprovado","Aprovada",IF($L49&lt;&gt;"","Entregue",IF(TODAY()&gt;$C49,"Atrasada","Pendente"))))))</f>
        <v/>
      </c>
    </row>
    <row r="50">
      <c r="A50" s="65" t="inlineStr">
        <is>
          <t>JUL-S28-VIS-A</t>
        </is>
      </c>
      <c r="B50" s="66" t="inlineStr">
        <is>
          <t>S28</t>
        </is>
      </c>
      <c r="C50" s="67" t="n">
        <v>46211</v>
      </c>
      <c r="D50" s="68" t="inlineStr">
        <is>
          <t>Acomp. Organizacional Setorial (Vistoria)</t>
        </is>
      </c>
      <c r="E50" s="53" t="n"/>
      <c r="F50" s="53" t="n"/>
      <c r="G50" s="69" t="inlineStr">
        <is>
          <t>A</t>
        </is>
      </c>
      <c r="H50" s="70">
        <f>IF($G50="A",CONFIG!$B$5,IF($G50="B",CONFIG!$B$6,IF($G50="C",CONFIG!$B$7,IF($G50="Todos","Todos os turnos",""))))</f>
        <v/>
      </c>
      <c r="I50" s="53" t="n"/>
      <c r="J50" s="77" t="n"/>
      <c r="K50" s="53" t="n"/>
      <c r="L50" s="72" t="n"/>
      <c r="M50" s="53" t="n"/>
      <c r="N50" s="73" t="n"/>
      <c r="O50" s="74" t="n"/>
      <c r="P50" s="75" t="n"/>
      <c r="Q50" s="53" t="n"/>
      <c r="R50" s="76">
        <f>IF($C50="","",IF($O50="Cancelada","Cancelada",IF($O50="Reprovado","Reprovada",IF($O50="Aprovado","Aprovada",IF($L50&lt;&gt;"","Entregue",IF(TODAY()&gt;$C50,"Atrasada","Pendente"))))))</f>
        <v/>
      </c>
    </row>
    <row r="51">
      <c r="A51" s="65" t="inlineStr">
        <is>
          <t>JUL-S28-VIS-B</t>
        </is>
      </c>
      <c r="B51" s="66" t="inlineStr">
        <is>
          <t>S28</t>
        </is>
      </c>
      <c r="C51" s="67" t="n">
        <v>46211</v>
      </c>
      <c r="D51" s="68" t="inlineStr">
        <is>
          <t>Acomp. Organizacional Setorial (Vistoria)</t>
        </is>
      </c>
      <c r="E51" s="53" t="n"/>
      <c r="F51" s="53" t="n"/>
      <c r="G51" s="69" t="inlineStr">
        <is>
          <t>B</t>
        </is>
      </c>
      <c r="H51" s="70">
        <f>IF($G51="A",CONFIG!$B$5,IF($G51="B",CONFIG!$B$6,IF($G51="C",CONFIG!$B$7,IF($G51="Todos","Todos os turnos",""))))</f>
        <v/>
      </c>
      <c r="I51" s="53" t="n"/>
      <c r="J51" s="77" t="n"/>
      <c r="K51" s="53" t="n"/>
      <c r="L51" s="72" t="n"/>
      <c r="M51" s="53" t="n"/>
      <c r="N51" s="73" t="n"/>
      <c r="O51" s="74" t="n"/>
      <c r="P51" s="75" t="n"/>
      <c r="Q51" s="53" t="n"/>
      <c r="R51" s="76">
        <f>IF($C51="","",IF($O51="Cancelada","Cancelada",IF($O51="Reprovado","Reprovada",IF($O51="Aprovado","Aprovada",IF($L51&lt;&gt;"","Entregue",IF(TODAY()&gt;$C51,"Atrasada","Pendente"))))))</f>
        <v/>
      </c>
    </row>
    <row r="52">
      <c r="A52" s="65" t="inlineStr">
        <is>
          <t>JUL-S28-VIS-C</t>
        </is>
      </c>
      <c r="B52" s="66" t="inlineStr">
        <is>
          <t>S28</t>
        </is>
      </c>
      <c r="C52" s="67" t="n">
        <v>46211</v>
      </c>
      <c r="D52" s="68" t="inlineStr">
        <is>
          <t>Acomp. Organizacional Setorial (Vistoria)</t>
        </is>
      </c>
      <c r="E52" s="53" t="n"/>
      <c r="F52" s="53" t="n"/>
      <c r="G52" s="69" t="inlineStr">
        <is>
          <t>C</t>
        </is>
      </c>
      <c r="H52" s="70">
        <f>IF($G52="A",CONFIG!$B$5,IF($G52="B",CONFIG!$B$6,IF($G52="C",CONFIG!$B$7,IF($G52="Todos","Todos os turnos",""))))</f>
        <v/>
      </c>
      <c r="I52" s="53" t="n"/>
      <c r="J52" s="77" t="n"/>
      <c r="K52" s="53" t="n"/>
      <c r="L52" s="72" t="n"/>
      <c r="M52" s="53" t="n"/>
      <c r="N52" s="73" t="n"/>
      <c r="O52" s="74" t="n"/>
      <c r="P52" s="75" t="n"/>
      <c r="Q52" s="53" t="n"/>
      <c r="R52" s="76">
        <f>IF($C52="","",IF($O52="Cancelada","Cancelada",IF($O52="Reprovado","Reprovada",IF($O52="Aprovado","Aprovada",IF($L52&lt;&gt;"","Entregue",IF(TODAY()&gt;$C52,"Atrasada","Pendente"))))))</f>
        <v/>
      </c>
    </row>
    <row r="53">
      <c r="A53" s="65" t="inlineStr">
        <is>
          <t>JUL-S28-MET-A</t>
        </is>
      </c>
      <c r="B53" s="66" t="inlineStr">
        <is>
          <t>S28</t>
        </is>
      </c>
      <c r="C53" s="67" t="n">
        <v>46212</v>
      </c>
      <c r="D53" s="68" t="inlineStr">
        <is>
          <t>Metas</t>
        </is>
      </c>
      <c r="E53" s="53" t="n"/>
      <c r="F53" s="53" t="n"/>
      <c r="G53" s="69" t="inlineStr">
        <is>
          <t>A</t>
        </is>
      </c>
      <c r="H53" s="70">
        <f>IF($G53="A",CONFIG!$B$5,IF($G53="B",CONFIG!$B$6,IF($G53="C",CONFIG!$B$7,IF($G53="Todos","Todos os turnos",""))))</f>
        <v/>
      </c>
      <c r="I53" s="53" t="n"/>
      <c r="J53" s="71" t="inlineStr">
        <is>
          <t>—</t>
        </is>
      </c>
      <c r="K53" s="53" t="n"/>
      <c r="L53" s="72" t="n"/>
      <c r="M53" s="53" t="n"/>
      <c r="N53" s="73" t="n"/>
      <c r="O53" s="74" t="n"/>
      <c r="P53" s="75" t="n"/>
      <c r="Q53" s="53" t="n"/>
      <c r="R53" s="76">
        <f>IF($C53="","",IF($O53="Cancelada","Cancelada",IF($O53="Reprovado","Reprovada",IF($O53="Aprovado","Aprovada",IF($L53&lt;&gt;"","Entregue",IF(TODAY()&gt;$C53,"Atrasada","Pendente"))))))</f>
        <v/>
      </c>
    </row>
    <row r="54">
      <c r="A54" s="65" t="inlineStr">
        <is>
          <t>JUL-S28-MET-B</t>
        </is>
      </c>
      <c r="B54" s="66" t="inlineStr">
        <is>
          <t>S28</t>
        </is>
      </c>
      <c r="C54" s="67" t="n">
        <v>46212</v>
      </c>
      <c r="D54" s="68" t="inlineStr">
        <is>
          <t>Metas</t>
        </is>
      </c>
      <c r="E54" s="53" t="n"/>
      <c r="F54" s="53" t="n"/>
      <c r="G54" s="69" t="inlineStr">
        <is>
          <t>B</t>
        </is>
      </c>
      <c r="H54" s="70">
        <f>IF($G54="A",CONFIG!$B$5,IF($G54="B",CONFIG!$B$6,IF($G54="C",CONFIG!$B$7,IF($G54="Todos","Todos os turnos",""))))</f>
        <v/>
      </c>
      <c r="I54" s="53" t="n"/>
      <c r="J54" s="71" t="inlineStr">
        <is>
          <t>—</t>
        </is>
      </c>
      <c r="K54" s="53" t="n"/>
      <c r="L54" s="72" t="n"/>
      <c r="M54" s="53" t="n"/>
      <c r="N54" s="73" t="n"/>
      <c r="O54" s="74" t="n"/>
      <c r="P54" s="75" t="n"/>
      <c r="Q54" s="53" t="n"/>
      <c r="R54" s="76">
        <f>IF($C54="","",IF($O54="Cancelada","Cancelada",IF($O54="Reprovado","Reprovada",IF($O54="Aprovado","Aprovada",IF($L54&lt;&gt;"","Entregue",IF(TODAY()&gt;$C54,"Atrasada","Pendente"))))))</f>
        <v/>
      </c>
    </row>
    <row r="55">
      <c r="A55" s="65" t="inlineStr">
        <is>
          <t>JUL-S28-MET-C</t>
        </is>
      </c>
      <c r="B55" s="66" t="inlineStr">
        <is>
          <t>S28</t>
        </is>
      </c>
      <c r="C55" s="67" t="n">
        <v>46212</v>
      </c>
      <c r="D55" s="68" t="inlineStr">
        <is>
          <t>Metas</t>
        </is>
      </c>
      <c r="E55" s="53" t="n"/>
      <c r="F55" s="53" t="n"/>
      <c r="G55" s="69" t="inlineStr">
        <is>
          <t>C</t>
        </is>
      </c>
      <c r="H55" s="70">
        <f>IF($G55="A",CONFIG!$B$5,IF($G55="B",CONFIG!$B$6,IF($G55="C",CONFIG!$B$7,IF($G55="Todos","Todos os turnos",""))))</f>
        <v/>
      </c>
      <c r="I55" s="53" t="n"/>
      <c r="J55" s="71" t="inlineStr">
        <is>
          <t>—</t>
        </is>
      </c>
      <c r="K55" s="53" t="n"/>
      <c r="L55" s="72" t="n"/>
      <c r="M55" s="53" t="n"/>
      <c r="N55" s="73" t="n"/>
      <c r="O55" s="74" t="n"/>
      <c r="P55" s="75" t="n"/>
      <c r="Q55" s="53" t="n"/>
      <c r="R55" s="76">
        <f>IF($C55="","",IF($O55="Cancelada","Cancelada",IF($O55="Reprovado","Reprovada",IF($O55="Aprovado","Aprovada",IF($L55&lt;&gt;"","Entregue",IF(TODAY()&gt;$C55,"Atrasada","Pendente"))))))</f>
        <v/>
      </c>
    </row>
    <row r="56">
      <c r="A56" s="65" t="inlineStr">
        <is>
          <t>JUL-S28-ACO-A</t>
        </is>
      </c>
      <c r="B56" s="66" t="inlineStr">
        <is>
          <t>S28</t>
        </is>
      </c>
      <c r="C56" s="67" t="n">
        <v>46213</v>
      </c>
      <c r="D56" s="68" t="inlineStr">
        <is>
          <t>Acompanhamento Semanal c/ Supervisores</t>
        </is>
      </c>
      <c r="E56" s="53" t="n"/>
      <c r="F56" s="53" t="n"/>
      <c r="G56" s="69" t="inlineStr">
        <is>
          <t>A</t>
        </is>
      </c>
      <c r="H56" s="70">
        <f>IF($G56="A",CONFIG!$B$5,IF($G56="B",CONFIG!$B$6,IF($G56="C",CONFIG!$B$7,IF($G56="Todos","Todos os turnos",""))))</f>
        <v/>
      </c>
      <c r="I56" s="53" t="n"/>
      <c r="J56" s="71" t="inlineStr">
        <is>
          <t>—</t>
        </is>
      </c>
      <c r="K56" s="53" t="n"/>
      <c r="L56" s="72" t="n"/>
      <c r="M56" s="53" t="n"/>
      <c r="N56" s="73" t="n"/>
      <c r="O56" s="74" t="n"/>
      <c r="P56" s="75" t="n"/>
      <c r="Q56" s="53" t="n"/>
      <c r="R56" s="76">
        <f>IF($C56="","",IF($O56="Cancelada","Cancelada",IF($O56="Reprovado","Reprovada",IF($O56="Aprovado","Aprovada",IF($L56&lt;&gt;"","Entregue",IF(TODAY()&gt;$C56,"Atrasada","Pendente"))))))</f>
        <v/>
      </c>
    </row>
    <row r="57">
      <c r="A57" s="65" t="inlineStr">
        <is>
          <t>JUL-S28-ACO-B</t>
        </is>
      </c>
      <c r="B57" s="66" t="inlineStr">
        <is>
          <t>S28</t>
        </is>
      </c>
      <c r="C57" s="67" t="n">
        <v>46213</v>
      </c>
      <c r="D57" s="68" t="inlineStr">
        <is>
          <t>Acompanhamento Semanal c/ Supervisores</t>
        </is>
      </c>
      <c r="E57" s="53" t="n"/>
      <c r="F57" s="53" t="n"/>
      <c r="G57" s="69" t="inlineStr">
        <is>
          <t>B</t>
        </is>
      </c>
      <c r="H57" s="70">
        <f>IF($G57="A",CONFIG!$B$5,IF($G57="B",CONFIG!$B$6,IF($G57="C",CONFIG!$B$7,IF($G57="Todos","Todos os turnos",""))))</f>
        <v/>
      </c>
      <c r="I57" s="53" t="n"/>
      <c r="J57" s="71" t="inlineStr">
        <is>
          <t>—</t>
        </is>
      </c>
      <c r="K57" s="53" t="n"/>
      <c r="L57" s="72" t="n"/>
      <c r="M57" s="53" t="n"/>
      <c r="N57" s="73" t="n"/>
      <c r="O57" s="74" t="n"/>
      <c r="P57" s="75" t="n"/>
      <c r="Q57" s="53" t="n"/>
      <c r="R57" s="76">
        <f>IF($C57="","",IF($O57="Cancelada","Cancelada",IF($O57="Reprovado","Reprovada",IF($O57="Aprovado","Aprovada",IF($L57&lt;&gt;"","Entregue",IF(TODAY()&gt;$C57,"Atrasada","Pendente"))))))</f>
        <v/>
      </c>
    </row>
    <row r="58">
      <c r="A58" s="65" t="inlineStr">
        <is>
          <t>JUL-S28-ACO-C</t>
        </is>
      </c>
      <c r="B58" s="66" t="inlineStr">
        <is>
          <t>S28</t>
        </is>
      </c>
      <c r="C58" s="67" t="n">
        <v>46213</v>
      </c>
      <c r="D58" s="68" t="inlineStr">
        <is>
          <t>Acompanhamento Semanal c/ Supervisores</t>
        </is>
      </c>
      <c r="E58" s="53" t="n"/>
      <c r="F58" s="53" t="n"/>
      <c r="G58" s="69" t="inlineStr">
        <is>
          <t>C</t>
        </is>
      </c>
      <c r="H58" s="70">
        <f>IF($G58="A",CONFIG!$B$5,IF($G58="B",CONFIG!$B$6,IF($G58="C",CONFIG!$B$7,IF($G58="Todos","Todos os turnos",""))))</f>
        <v/>
      </c>
      <c r="I58" s="53" t="n"/>
      <c r="J58" s="71" t="inlineStr">
        <is>
          <t>—</t>
        </is>
      </c>
      <c r="K58" s="53" t="n"/>
      <c r="L58" s="72" t="n"/>
      <c r="M58" s="53" t="n"/>
      <c r="N58" s="73" t="n"/>
      <c r="O58" s="74" t="n"/>
      <c r="P58" s="75" t="n"/>
      <c r="Q58" s="53" t="n"/>
      <c r="R58" s="76">
        <f>IF($C58="","",IF($O58="Cancelada","Cancelada",IF($O58="Reprovado","Reprovada",IF($O58="Aprovado","Aprovada",IF($L58&lt;&gt;"","Entregue",IF(TODAY()&gt;$C58,"Atrasada","Pendente"))))))</f>
        <v/>
      </c>
    </row>
    <row r="59">
      <c r="A59" s="65" t="inlineStr">
        <is>
          <t>JUL-S28-FAL-A</t>
        </is>
      </c>
      <c r="B59" s="66" t="inlineStr">
        <is>
          <t>S28</t>
        </is>
      </c>
      <c r="C59" s="67" t="n">
        <v>46213</v>
      </c>
      <c r="D59" s="68" t="inlineStr">
        <is>
          <t>Faltas e Atestados</t>
        </is>
      </c>
      <c r="E59" s="53" t="n"/>
      <c r="F59" s="53" t="n"/>
      <c r="G59" s="69" t="inlineStr">
        <is>
          <t>A</t>
        </is>
      </c>
      <c r="H59" s="70">
        <f>IF($G59="A",CONFIG!$B$5,IF($G59="B",CONFIG!$B$6,IF($G59="C",CONFIG!$B$7,IF($G59="Todos","Todos os turnos",""))))</f>
        <v/>
      </c>
      <c r="I59" s="53" t="n"/>
      <c r="J59" s="71" t="inlineStr">
        <is>
          <t>—</t>
        </is>
      </c>
      <c r="K59" s="53" t="n"/>
      <c r="L59" s="72" t="n"/>
      <c r="M59" s="53" t="n"/>
      <c r="N59" s="73" t="n"/>
      <c r="O59" s="74" t="n"/>
      <c r="P59" s="75" t="n"/>
      <c r="Q59" s="53" t="n"/>
      <c r="R59" s="76">
        <f>IF($C59="","",IF($O59="Cancelada","Cancelada",IF($O59="Reprovado","Reprovada",IF($O59="Aprovado","Aprovada",IF($L59&lt;&gt;"","Entregue",IF(TODAY()&gt;$C59,"Atrasada","Pendente"))))))</f>
        <v/>
      </c>
    </row>
    <row r="60">
      <c r="A60" s="65" t="inlineStr">
        <is>
          <t>JUL-S28-FAL-B</t>
        </is>
      </c>
      <c r="B60" s="66" t="inlineStr">
        <is>
          <t>S28</t>
        </is>
      </c>
      <c r="C60" s="67" t="n">
        <v>46213</v>
      </c>
      <c r="D60" s="68" t="inlineStr">
        <is>
          <t>Faltas e Atestados</t>
        </is>
      </c>
      <c r="E60" s="53" t="n"/>
      <c r="F60" s="53" t="n"/>
      <c r="G60" s="69" t="inlineStr">
        <is>
          <t>B</t>
        </is>
      </c>
      <c r="H60" s="70">
        <f>IF($G60="A",CONFIG!$B$5,IF($G60="B",CONFIG!$B$6,IF($G60="C",CONFIG!$B$7,IF($G60="Todos","Todos os turnos",""))))</f>
        <v/>
      </c>
      <c r="I60" s="53" t="n"/>
      <c r="J60" s="71" t="inlineStr">
        <is>
          <t>—</t>
        </is>
      </c>
      <c r="K60" s="53" t="n"/>
      <c r="L60" s="72" t="n"/>
      <c r="M60" s="53" t="n"/>
      <c r="N60" s="73" t="n"/>
      <c r="O60" s="74" t="n"/>
      <c r="P60" s="75" t="n"/>
      <c r="Q60" s="53" t="n"/>
      <c r="R60" s="76">
        <f>IF($C60="","",IF($O60="Cancelada","Cancelada",IF($O60="Reprovado","Reprovada",IF($O60="Aprovado","Aprovada",IF($L60&lt;&gt;"","Entregue",IF(TODAY()&gt;$C60,"Atrasada","Pendente"))))))</f>
        <v/>
      </c>
    </row>
    <row r="61">
      <c r="A61" s="65" t="inlineStr">
        <is>
          <t>JUL-S28-FAL-C</t>
        </is>
      </c>
      <c r="B61" s="66" t="inlineStr">
        <is>
          <t>S28</t>
        </is>
      </c>
      <c r="C61" s="67" t="n">
        <v>46213</v>
      </c>
      <c r="D61" s="68" t="inlineStr">
        <is>
          <t>Faltas e Atestados</t>
        </is>
      </c>
      <c r="E61" s="53" t="n"/>
      <c r="F61" s="53" t="n"/>
      <c r="G61" s="69" t="inlineStr">
        <is>
          <t>C</t>
        </is>
      </c>
      <c r="H61" s="70">
        <f>IF($G61="A",CONFIG!$B$5,IF($G61="B",CONFIG!$B$6,IF($G61="C",CONFIG!$B$7,IF($G61="Todos","Todos os turnos",""))))</f>
        <v/>
      </c>
      <c r="I61" s="53" t="n"/>
      <c r="J61" s="71" t="inlineStr">
        <is>
          <t>—</t>
        </is>
      </c>
      <c r="K61" s="53" t="n"/>
      <c r="L61" s="72" t="n"/>
      <c r="M61" s="53" t="n"/>
      <c r="N61" s="73" t="n"/>
      <c r="O61" s="74" t="n"/>
      <c r="P61" s="75" t="n"/>
      <c r="Q61" s="53" t="n"/>
      <c r="R61" s="76">
        <f>IF($C61="","",IF($O61="Cancelada","Cancelada",IF($O61="Reprovado","Reprovada",IF($O61="Aprovado","Aprovada",IF($L61&lt;&gt;"","Entregue",IF(TODAY()&gt;$C61,"Atrasada","Pendente"))))))</f>
        <v/>
      </c>
    </row>
    <row r="62">
      <c r="A62" s="65" t="inlineStr">
        <is>
          <t>JUL-S28-REU-T</t>
        </is>
      </c>
      <c r="B62" s="66" t="inlineStr">
        <is>
          <t>S28</t>
        </is>
      </c>
      <c r="C62" s="67" t="n">
        <v>46213</v>
      </c>
      <c r="D62" s="68" t="inlineStr">
        <is>
          <t>Reunião Semanal com a Gerência</t>
        </is>
      </c>
      <c r="E62" s="53" t="n"/>
      <c r="F62" s="53" t="n"/>
      <c r="G62" s="69" t="inlineStr">
        <is>
          <t>Todos</t>
        </is>
      </c>
      <c r="H62" s="70">
        <f>IF($G62="A",CONFIG!$B$5,IF($G62="B",CONFIG!$B$6,IF($G62="C",CONFIG!$B$7,IF($G62="Todos","Todos os turnos",""))))</f>
        <v/>
      </c>
      <c r="I62" s="53" t="n"/>
      <c r="J62" s="71" t="inlineStr">
        <is>
          <t>—</t>
        </is>
      </c>
      <c r="K62" s="53" t="n"/>
      <c r="L62" s="72" t="n"/>
      <c r="M62" s="53" t="n"/>
      <c r="N62" s="73" t="n"/>
      <c r="O62" s="74" t="n"/>
      <c r="P62" s="75" t="n"/>
      <c r="Q62" s="53" t="n"/>
      <c r="R62" s="76">
        <f>IF($C62="","",IF($O62="Cancelada","Cancelada",IF($O62="Reprovado","Reprovada",IF($O62="Aprovado","Aprovada",IF($L62&lt;&gt;"","Entregue",IF(TODAY()&gt;$C62,"Atrasada","Pendente"))))))</f>
        <v/>
      </c>
    </row>
    <row r="63">
      <c r="A63" s="65" t="inlineStr">
        <is>
          <t>JUL-S29-ERR-A</t>
        </is>
      </c>
      <c r="B63" s="66" t="inlineStr">
        <is>
          <t>S29</t>
        </is>
      </c>
      <c r="C63" s="67" t="n">
        <v>46216</v>
      </c>
      <c r="D63" s="68" t="inlineStr">
        <is>
          <t>Levantamento de Erros Operacionais</t>
        </is>
      </c>
      <c r="E63" s="53" t="n"/>
      <c r="F63" s="53" t="n"/>
      <c r="G63" s="69" t="inlineStr">
        <is>
          <t>A</t>
        </is>
      </c>
      <c r="H63" s="70">
        <f>IF($G63="A",CONFIG!$B$5,IF($G63="B",CONFIG!$B$6,IF($G63="C",CONFIG!$B$7,IF($G63="Todos","Todos os turnos",""))))</f>
        <v/>
      </c>
      <c r="I63" s="53" t="n"/>
      <c r="J63" s="71" t="inlineStr">
        <is>
          <t>—</t>
        </is>
      </c>
      <c r="K63" s="53" t="n"/>
      <c r="L63" s="72" t="n"/>
      <c r="M63" s="53" t="n"/>
      <c r="N63" s="73" t="n"/>
      <c r="O63" s="74" t="n"/>
      <c r="P63" s="75" t="n"/>
      <c r="Q63" s="53" t="n"/>
      <c r="R63" s="76">
        <f>IF($C63="","",IF($O63="Cancelada","Cancelada",IF($O63="Reprovado","Reprovada",IF($O63="Aprovado","Aprovada",IF($L63&lt;&gt;"","Entregue",IF(TODAY()&gt;$C63,"Atrasada","Pendente"))))))</f>
        <v/>
      </c>
    </row>
    <row r="64">
      <c r="A64" s="65" t="inlineStr">
        <is>
          <t>JUL-S29-ERR-B</t>
        </is>
      </c>
      <c r="B64" s="66" t="inlineStr">
        <is>
          <t>S29</t>
        </is>
      </c>
      <c r="C64" s="67" t="n">
        <v>46216</v>
      </c>
      <c r="D64" s="68" t="inlineStr">
        <is>
          <t>Levantamento de Erros Operacionais</t>
        </is>
      </c>
      <c r="E64" s="53" t="n"/>
      <c r="F64" s="53" t="n"/>
      <c r="G64" s="69" t="inlineStr">
        <is>
          <t>B</t>
        </is>
      </c>
      <c r="H64" s="70">
        <f>IF($G64="A",CONFIG!$B$5,IF($G64="B",CONFIG!$B$6,IF($G64="C",CONFIG!$B$7,IF($G64="Todos","Todos os turnos",""))))</f>
        <v/>
      </c>
      <c r="I64" s="53" t="n"/>
      <c r="J64" s="71" t="inlineStr">
        <is>
          <t>—</t>
        </is>
      </c>
      <c r="K64" s="53" t="n"/>
      <c r="L64" s="72" t="n"/>
      <c r="M64" s="53" t="n"/>
      <c r="N64" s="73" t="n"/>
      <c r="O64" s="74" t="n"/>
      <c r="P64" s="75" t="n"/>
      <c r="Q64" s="53" t="n"/>
      <c r="R64" s="76">
        <f>IF($C64="","",IF($O64="Cancelada","Cancelada",IF($O64="Reprovado","Reprovada",IF($O64="Aprovado","Aprovada",IF($L64&lt;&gt;"","Entregue",IF(TODAY()&gt;$C64,"Atrasada","Pendente"))))))</f>
        <v/>
      </c>
    </row>
    <row r="65">
      <c r="A65" s="65" t="inlineStr">
        <is>
          <t>JUL-S29-ERR-C</t>
        </is>
      </c>
      <c r="B65" s="66" t="inlineStr">
        <is>
          <t>S29</t>
        </is>
      </c>
      <c r="C65" s="67" t="n">
        <v>46216</v>
      </c>
      <c r="D65" s="68" t="inlineStr">
        <is>
          <t>Levantamento de Erros Operacionais</t>
        </is>
      </c>
      <c r="E65" s="53" t="n"/>
      <c r="F65" s="53" t="n"/>
      <c r="G65" s="69" t="inlineStr">
        <is>
          <t>C</t>
        </is>
      </c>
      <c r="H65" s="70">
        <f>IF($G65="A",CONFIG!$B$5,IF($G65="B",CONFIG!$B$6,IF($G65="C",CONFIG!$B$7,IF($G65="Todos","Todos os turnos",""))))</f>
        <v/>
      </c>
      <c r="I65" s="53" t="n"/>
      <c r="J65" s="71" t="inlineStr">
        <is>
          <t>—</t>
        </is>
      </c>
      <c r="K65" s="53" t="n"/>
      <c r="L65" s="72" t="n"/>
      <c r="M65" s="53" t="n"/>
      <c r="N65" s="73" t="n"/>
      <c r="O65" s="74" t="n"/>
      <c r="P65" s="75" t="n"/>
      <c r="Q65" s="53" t="n"/>
      <c r="R65" s="76">
        <f>IF($C65="","",IF($O65="Cancelada","Cancelada",IF($O65="Reprovado","Reprovada",IF($O65="Aprovado","Aprovada",IF($L65&lt;&gt;"","Entregue",IF(TODAY()&gt;$C65,"Atrasada","Pendente"))))))</f>
        <v/>
      </c>
    </row>
    <row r="66">
      <c r="A66" s="65" t="inlineStr">
        <is>
          <t>JUL-S29-SUP-A</t>
        </is>
      </c>
      <c r="B66" s="66" t="inlineStr">
        <is>
          <t>S29</t>
        </is>
      </c>
      <c r="C66" s="67" t="n">
        <v>46217</v>
      </c>
      <c r="D66" s="68" t="inlineStr">
        <is>
          <t>Suporte de Supervisores</t>
        </is>
      </c>
      <c r="E66" s="53" t="n"/>
      <c r="F66" s="53" t="n"/>
      <c r="G66" s="69" t="inlineStr">
        <is>
          <t>A</t>
        </is>
      </c>
      <c r="H66" s="70">
        <f>IF($G66="A",CONFIG!$B$5,IF($G66="B",CONFIG!$B$6,IF($G66="C",CONFIG!$B$7,IF($G66="Todos","Todos os turnos",""))))</f>
        <v/>
      </c>
      <c r="I66" s="53" t="n"/>
      <c r="J66" s="71" t="inlineStr">
        <is>
          <t>—</t>
        </is>
      </c>
      <c r="K66" s="53" t="n"/>
      <c r="L66" s="72" t="n"/>
      <c r="M66" s="53" t="n"/>
      <c r="N66" s="73" t="n"/>
      <c r="O66" s="74" t="n"/>
      <c r="P66" s="75" t="n"/>
      <c r="Q66" s="53" t="n"/>
      <c r="R66" s="76">
        <f>IF($C66="","",IF($O66="Cancelada","Cancelada",IF($O66="Reprovado","Reprovada",IF($O66="Aprovado","Aprovada",IF($L66&lt;&gt;"","Entregue",IF(TODAY()&gt;$C66,"Atrasada","Pendente"))))))</f>
        <v/>
      </c>
    </row>
    <row r="67">
      <c r="A67" s="65" t="inlineStr">
        <is>
          <t>JUL-S29-SUP-B</t>
        </is>
      </c>
      <c r="B67" s="66" t="inlineStr">
        <is>
          <t>S29</t>
        </is>
      </c>
      <c r="C67" s="67" t="n">
        <v>46217</v>
      </c>
      <c r="D67" s="68" t="inlineStr">
        <is>
          <t>Suporte de Supervisores</t>
        </is>
      </c>
      <c r="E67" s="53" t="n"/>
      <c r="F67" s="53" t="n"/>
      <c r="G67" s="69" t="inlineStr">
        <is>
          <t>B</t>
        </is>
      </c>
      <c r="H67" s="70">
        <f>IF($G67="A",CONFIG!$B$5,IF($G67="B",CONFIG!$B$6,IF($G67="C",CONFIG!$B$7,IF($G67="Todos","Todos os turnos",""))))</f>
        <v/>
      </c>
      <c r="I67" s="53" t="n"/>
      <c r="J67" s="71" t="inlineStr">
        <is>
          <t>—</t>
        </is>
      </c>
      <c r="K67" s="53" t="n"/>
      <c r="L67" s="72" t="n"/>
      <c r="M67" s="53" t="n"/>
      <c r="N67" s="73" t="n"/>
      <c r="O67" s="74" t="n"/>
      <c r="P67" s="75" t="n"/>
      <c r="Q67" s="53" t="n"/>
      <c r="R67" s="76">
        <f>IF($C67="","",IF($O67="Cancelada","Cancelada",IF($O67="Reprovado","Reprovada",IF($O67="Aprovado","Aprovada",IF($L67&lt;&gt;"","Entregue",IF(TODAY()&gt;$C67,"Atrasada","Pendente"))))))</f>
        <v/>
      </c>
    </row>
    <row r="68">
      <c r="A68" s="65" t="inlineStr">
        <is>
          <t>JUL-S29-SUP-C</t>
        </is>
      </c>
      <c r="B68" s="66" t="inlineStr">
        <is>
          <t>S29</t>
        </is>
      </c>
      <c r="C68" s="67" t="n">
        <v>46217</v>
      </c>
      <c r="D68" s="68" t="inlineStr">
        <is>
          <t>Suporte de Supervisores</t>
        </is>
      </c>
      <c r="E68" s="53" t="n"/>
      <c r="F68" s="53" t="n"/>
      <c r="G68" s="69" t="inlineStr">
        <is>
          <t>C</t>
        </is>
      </c>
      <c r="H68" s="70">
        <f>IF($G68="A",CONFIG!$B$5,IF($G68="B",CONFIG!$B$6,IF($G68="C",CONFIG!$B$7,IF($G68="Todos","Todos os turnos",""))))</f>
        <v/>
      </c>
      <c r="I68" s="53" t="n"/>
      <c r="J68" s="71" t="inlineStr">
        <is>
          <t>—</t>
        </is>
      </c>
      <c r="K68" s="53" t="n"/>
      <c r="L68" s="72" t="n"/>
      <c r="M68" s="53" t="n"/>
      <c r="N68" s="73" t="n"/>
      <c r="O68" s="74" t="n"/>
      <c r="P68" s="75" t="n"/>
      <c r="Q68" s="53" t="n"/>
      <c r="R68" s="76">
        <f>IF($C68="","",IF($O68="Cancelada","Cancelada",IF($O68="Reprovado","Reprovada",IF($O68="Aprovado","Aprovada",IF($L68&lt;&gt;"","Entregue",IF(TODAY()&gt;$C68,"Atrasada","Pendente"))))))</f>
        <v/>
      </c>
    </row>
    <row r="69">
      <c r="A69" s="65" t="inlineStr">
        <is>
          <t>JUL-S29-VIS-A</t>
        </is>
      </c>
      <c r="B69" s="66" t="inlineStr">
        <is>
          <t>S29</t>
        </is>
      </c>
      <c r="C69" s="67" t="n">
        <v>46218</v>
      </c>
      <c r="D69" s="68" t="inlineStr">
        <is>
          <t>Acomp. Organizacional Setorial (Vistoria)</t>
        </is>
      </c>
      <c r="E69" s="53" t="n"/>
      <c r="F69" s="53" t="n"/>
      <c r="G69" s="69" t="inlineStr">
        <is>
          <t>A</t>
        </is>
      </c>
      <c r="H69" s="70">
        <f>IF($G69="A",CONFIG!$B$5,IF($G69="B",CONFIG!$B$6,IF($G69="C",CONFIG!$B$7,IF($G69="Todos","Todos os turnos",""))))</f>
        <v/>
      </c>
      <c r="I69" s="53" t="n"/>
      <c r="J69" s="77" t="n"/>
      <c r="K69" s="53" t="n"/>
      <c r="L69" s="72" t="n"/>
      <c r="M69" s="53" t="n"/>
      <c r="N69" s="73" t="n"/>
      <c r="O69" s="74" t="n"/>
      <c r="P69" s="75" t="n"/>
      <c r="Q69" s="53" t="n"/>
      <c r="R69" s="76">
        <f>IF($C69="","",IF($O69="Cancelada","Cancelada",IF($O69="Reprovado","Reprovada",IF($O69="Aprovado","Aprovada",IF($L69&lt;&gt;"","Entregue",IF(TODAY()&gt;$C69,"Atrasada","Pendente"))))))</f>
        <v/>
      </c>
    </row>
    <row r="70">
      <c r="A70" s="65" t="inlineStr">
        <is>
          <t>JUL-S29-VIS-B</t>
        </is>
      </c>
      <c r="B70" s="66" t="inlineStr">
        <is>
          <t>S29</t>
        </is>
      </c>
      <c r="C70" s="67" t="n">
        <v>46218</v>
      </c>
      <c r="D70" s="68" t="inlineStr">
        <is>
          <t>Acomp. Organizacional Setorial (Vistoria)</t>
        </is>
      </c>
      <c r="E70" s="53" t="n"/>
      <c r="F70" s="53" t="n"/>
      <c r="G70" s="69" t="inlineStr">
        <is>
          <t>B</t>
        </is>
      </c>
      <c r="H70" s="70">
        <f>IF($G70="A",CONFIG!$B$5,IF($G70="B",CONFIG!$B$6,IF($G70="C",CONFIG!$B$7,IF($G70="Todos","Todos os turnos",""))))</f>
        <v/>
      </c>
      <c r="I70" s="53" t="n"/>
      <c r="J70" s="77" t="n"/>
      <c r="K70" s="53" t="n"/>
      <c r="L70" s="72" t="n"/>
      <c r="M70" s="53" t="n"/>
      <c r="N70" s="73" t="n"/>
      <c r="O70" s="74" t="n"/>
      <c r="P70" s="75" t="n"/>
      <c r="Q70" s="53" t="n"/>
      <c r="R70" s="76">
        <f>IF($C70="","",IF($O70="Cancelada","Cancelada",IF($O70="Reprovado","Reprovada",IF($O70="Aprovado","Aprovada",IF($L70&lt;&gt;"","Entregue",IF(TODAY()&gt;$C70,"Atrasada","Pendente"))))))</f>
        <v/>
      </c>
    </row>
    <row r="71">
      <c r="A71" s="65" t="inlineStr">
        <is>
          <t>JUL-S29-VIS-C</t>
        </is>
      </c>
      <c r="B71" s="66" t="inlineStr">
        <is>
          <t>S29</t>
        </is>
      </c>
      <c r="C71" s="67" t="n">
        <v>46218</v>
      </c>
      <c r="D71" s="68" t="inlineStr">
        <is>
          <t>Acomp. Organizacional Setorial (Vistoria)</t>
        </is>
      </c>
      <c r="E71" s="53" t="n"/>
      <c r="F71" s="53" t="n"/>
      <c r="G71" s="69" t="inlineStr">
        <is>
          <t>C</t>
        </is>
      </c>
      <c r="H71" s="70">
        <f>IF($G71="A",CONFIG!$B$5,IF($G71="B",CONFIG!$B$6,IF($G71="C",CONFIG!$B$7,IF($G71="Todos","Todos os turnos",""))))</f>
        <v/>
      </c>
      <c r="I71" s="53" t="n"/>
      <c r="J71" s="77" t="n"/>
      <c r="K71" s="53" t="n"/>
      <c r="L71" s="72" t="n"/>
      <c r="M71" s="53" t="n"/>
      <c r="N71" s="73" t="n"/>
      <c r="O71" s="74" t="n"/>
      <c r="P71" s="75" t="n"/>
      <c r="Q71" s="53" t="n"/>
      <c r="R71" s="76">
        <f>IF($C71="","",IF($O71="Cancelada","Cancelada",IF($O71="Reprovado","Reprovada",IF($O71="Aprovado","Aprovada",IF($L71&lt;&gt;"","Entregue",IF(TODAY()&gt;$C71,"Atrasada","Pendente"))))))</f>
        <v/>
      </c>
    </row>
    <row r="72">
      <c r="A72" s="65" t="inlineStr">
        <is>
          <t>JUL-S29-MET-A</t>
        </is>
      </c>
      <c r="B72" s="66" t="inlineStr">
        <is>
          <t>S29</t>
        </is>
      </c>
      <c r="C72" s="67" t="n">
        <v>46219</v>
      </c>
      <c r="D72" s="68" t="inlineStr">
        <is>
          <t>Metas</t>
        </is>
      </c>
      <c r="E72" s="53" t="n"/>
      <c r="F72" s="53" t="n"/>
      <c r="G72" s="69" t="inlineStr">
        <is>
          <t>A</t>
        </is>
      </c>
      <c r="H72" s="70">
        <f>IF($G72="A",CONFIG!$B$5,IF($G72="B",CONFIG!$B$6,IF($G72="C",CONFIG!$B$7,IF($G72="Todos","Todos os turnos",""))))</f>
        <v/>
      </c>
      <c r="I72" s="53" t="n"/>
      <c r="J72" s="71" t="inlineStr">
        <is>
          <t>—</t>
        </is>
      </c>
      <c r="K72" s="53" t="n"/>
      <c r="L72" s="72" t="n"/>
      <c r="M72" s="53" t="n"/>
      <c r="N72" s="73" t="n"/>
      <c r="O72" s="74" t="n"/>
      <c r="P72" s="75" t="n"/>
      <c r="Q72" s="53" t="n"/>
      <c r="R72" s="76">
        <f>IF($C72="","",IF($O72="Cancelada","Cancelada",IF($O72="Reprovado","Reprovada",IF($O72="Aprovado","Aprovada",IF($L72&lt;&gt;"","Entregue",IF(TODAY()&gt;$C72,"Atrasada","Pendente"))))))</f>
        <v/>
      </c>
    </row>
    <row r="73">
      <c r="A73" s="65" t="inlineStr">
        <is>
          <t>JUL-S29-MET-B</t>
        </is>
      </c>
      <c r="B73" s="66" t="inlineStr">
        <is>
          <t>S29</t>
        </is>
      </c>
      <c r="C73" s="67" t="n">
        <v>46219</v>
      </c>
      <c r="D73" s="68" t="inlineStr">
        <is>
          <t>Metas</t>
        </is>
      </c>
      <c r="E73" s="53" t="n"/>
      <c r="F73" s="53" t="n"/>
      <c r="G73" s="69" t="inlineStr">
        <is>
          <t>B</t>
        </is>
      </c>
      <c r="H73" s="70">
        <f>IF($G73="A",CONFIG!$B$5,IF($G73="B",CONFIG!$B$6,IF($G73="C",CONFIG!$B$7,IF($G73="Todos","Todos os turnos",""))))</f>
        <v/>
      </c>
      <c r="I73" s="53" t="n"/>
      <c r="J73" s="71" t="inlineStr">
        <is>
          <t>—</t>
        </is>
      </c>
      <c r="K73" s="53" t="n"/>
      <c r="L73" s="72" t="n"/>
      <c r="M73" s="53" t="n"/>
      <c r="N73" s="73" t="n"/>
      <c r="O73" s="74" t="n"/>
      <c r="P73" s="75" t="n"/>
      <c r="Q73" s="53" t="n"/>
      <c r="R73" s="76">
        <f>IF($C73="","",IF($O73="Cancelada","Cancelada",IF($O73="Reprovado","Reprovada",IF($O73="Aprovado","Aprovada",IF($L73&lt;&gt;"","Entregue",IF(TODAY()&gt;$C73,"Atrasada","Pendente"))))))</f>
        <v/>
      </c>
    </row>
    <row r="74">
      <c r="A74" s="65" t="inlineStr">
        <is>
          <t>JUL-S29-MET-C</t>
        </is>
      </c>
      <c r="B74" s="66" t="inlineStr">
        <is>
          <t>S29</t>
        </is>
      </c>
      <c r="C74" s="67" t="n">
        <v>46219</v>
      </c>
      <c r="D74" s="68" t="inlineStr">
        <is>
          <t>Metas</t>
        </is>
      </c>
      <c r="E74" s="53" t="n"/>
      <c r="F74" s="53" t="n"/>
      <c r="G74" s="69" t="inlineStr">
        <is>
          <t>C</t>
        </is>
      </c>
      <c r="H74" s="70">
        <f>IF($G74="A",CONFIG!$B$5,IF($G74="B",CONFIG!$B$6,IF($G74="C",CONFIG!$B$7,IF($G74="Todos","Todos os turnos",""))))</f>
        <v/>
      </c>
      <c r="I74" s="53" t="n"/>
      <c r="J74" s="71" t="inlineStr">
        <is>
          <t>—</t>
        </is>
      </c>
      <c r="K74" s="53" t="n"/>
      <c r="L74" s="72" t="n"/>
      <c r="M74" s="53" t="n"/>
      <c r="N74" s="73" t="n"/>
      <c r="O74" s="74" t="n"/>
      <c r="P74" s="75" t="n"/>
      <c r="Q74" s="53" t="n"/>
      <c r="R74" s="76">
        <f>IF($C74="","",IF($O74="Cancelada","Cancelada",IF($O74="Reprovado","Reprovada",IF($O74="Aprovado","Aprovada",IF($L74&lt;&gt;"","Entregue",IF(TODAY()&gt;$C74,"Atrasada","Pendente"))))))</f>
        <v/>
      </c>
    </row>
    <row r="75">
      <c r="A75" s="65" t="inlineStr">
        <is>
          <t>JUL-S29-ACO-A</t>
        </is>
      </c>
      <c r="B75" s="66" t="inlineStr">
        <is>
          <t>S29</t>
        </is>
      </c>
      <c r="C75" s="67" t="n">
        <v>46220</v>
      </c>
      <c r="D75" s="68" t="inlineStr">
        <is>
          <t>Acompanhamento Semanal c/ Supervisores</t>
        </is>
      </c>
      <c r="E75" s="53" t="n"/>
      <c r="F75" s="53" t="n"/>
      <c r="G75" s="69" t="inlineStr">
        <is>
          <t>A</t>
        </is>
      </c>
      <c r="H75" s="70">
        <f>IF($G75="A",CONFIG!$B$5,IF($G75="B",CONFIG!$B$6,IF($G75="C",CONFIG!$B$7,IF($G75="Todos","Todos os turnos",""))))</f>
        <v/>
      </c>
      <c r="I75" s="53" t="n"/>
      <c r="J75" s="71" t="inlineStr">
        <is>
          <t>—</t>
        </is>
      </c>
      <c r="K75" s="53" t="n"/>
      <c r="L75" s="72" t="n"/>
      <c r="M75" s="53" t="n"/>
      <c r="N75" s="73" t="n"/>
      <c r="O75" s="74" t="n"/>
      <c r="P75" s="75" t="n"/>
      <c r="Q75" s="53" t="n"/>
      <c r="R75" s="76">
        <f>IF($C75="","",IF($O75="Cancelada","Cancelada",IF($O75="Reprovado","Reprovada",IF($O75="Aprovado","Aprovada",IF($L75&lt;&gt;"","Entregue",IF(TODAY()&gt;$C75,"Atrasada","Pendente"))))))</f>
        <v/>
      </c>
    </row>
    <row r="76">
      <c r="A76" s="65" t="inlineStr">
        <is>
          <t>JUL-S29-ACO-B</t>
        </is>
      </c>
      <c r="B76" s="66" t="inlineStr">
        <is>
          <t>S29</t>
        </is>
      </c>
      <c r="C76" s="67" t="n">
        <v>46220</v>
      </c>
      <c r="D76" s="68" t="inlineStr">
        <is>
          <t>Acompanhamento Semanal c/ Supervisores</t>
        </is>
      </c>
      <c r="E76" s="53" t="n"/>
      <c r="F76" s="53" t="n"/>
      <c r="G76" s="69" t="inlineStr">
        <is>
          <t>B</t>
        </is>
      </c>
      <c r="H76" s="70">
        <f>IF($G76="A",CONFIG!$B$5,IF($G76="B",CONFIG!$B$6,IF($G76="C",CONFIG!$B$7,IF($G76="Todos","Todos os turnos",""))))</f>
        <v/>
      </c>
      <c r="I76" s="53" t="n"/>
      <c r="J76" s="71" t="inlineStr">
        <is>
          <t>—</t>
        </is>
      </c>
      <c r="K76" s="53" t="n"/>
      <c r="L76" s="72" t="n"/>
      <c r="M76" s="53" t="n"/>
      <c r="N76" s="73" t="n"/>
      <c r="O76" s="74" t="n"/>
      <c r="P76" s="75" t="n"/>
      <c r="Q76" s="53" t="n"/>
      <c r="R76" s="76">
        <f>IF($C76="","",IF($O76="Cancelada","Cancelada",IF($O76="Reprovado","Reprovada",IF($O76="Aprovado","Aprovada",IF($L76&lt;&gt;"","Entregue",IF(TODAY()&gt;$C76,"Atrasada","Pendente"))))))</f>
        <v/>
      </c>
    </row>
    <row r="77">
      <c r="A77" s="65" t="inlineStr">
        <is>
          <t>JUL-S29-ACO-C</t>
        </is>
      </c>
      <c r="B77" s="66" t="inlineStr">
        <is>
          <t>S29</t>
        </is>
      </c>
      <c r="C77" s="67" t="n">
        <v>46220</v>
      </c>
      <c r="D77" s="68" t="inlineStr">
        <is>
          <t>Acompanhamento Semanal c/ Supervisores</t>
        </is>
      </c>
      <c r="E77" s="53" t="n"/>
      <c r="F77" s="53" t="n"/>
      <c r="G77" s="69" t="inlineStr">
        <is>
          <t>C</t>
        </is>
      </c>
      <c r="H77" s="70">
        <f>IF($G77="A",CONFIG!$B$5,IF($G77="B",CONFIG!$B$6,IF($G77="C",CONFIG!$B$7,IF($G77="Todos","Todos os turnos",""))))</f>
        <v/>
      </c>
      <c r="I77" s="53" t="n"/>
      <c r="J77" s="71" t="inlineStr">
        <is>
          <t>—</t>
        </is>
      </c>
      <c r="K77" s="53" t="n"/>
      <c r="L77" s="72" t="n"/>
      <c r="M77" s="53" t="n"/>
      <c r="N77" s="73" t="n"/>
      <c r="O77" s="74" t="n"/>
      <c r="P77" s="75" t="n"/>
      <c r="Q77" s="53" t="n"/>
      <c r="R77" s="76">
        <f>IF($C77="","",IF($O77="Cancelada","Cancelada",IF($O77="Reprovado","Reprovada",IF($O77="Aprovado","Aprovada",IF($L77&lt;&gt;"","Entregue",IF(TODAY()&gt;$C77,"Atrasada","Pendente"))))))</f>
        <v/>
      </c>
    </row>
    <row r="78">
      <c r="A78" s="65" t="inlineStr">
        <is>
          <t>JUL-S29-FAL-A</t>
        </is>
      </c>
      <c r="B78" s="66" t="inlineStr">
        <is>
          <t>S29</t>
        </is>
      </c>
      <c r="C78" s="67" t="n">
        <v>46220</v>
      </c>
      <c r="D78" s="68" t="inlineStr">
        <is>
          <t>Faltas e Atestados</t>
        </is>
      </c>
      <c r="E78" s="53" t="n"/>
      <c r="F78" s="53" t="n"/>
      <c r="G78" s="69" t="inlineStr">
        <is>
          <t>A</t>
        </is>
      </c>
      <c r="H78" s="70">
        <f>IF($G78="A",CONFIG!$B$5,IF($G78="B",CONFIG!$B$6,IF($G78="C",CONFIG!$B$7,IF($G78="Todos","Todos os turnos",""))))</f>
        <v/>
      </c>
      <c r="I78" s="53" t="n"/>
      <c r="J78" s="71" t="inlineStr">
        <is>
          <t>—</t>
        </is>
      </c>
      <c r="K78" s="53" t="n"/>
      <c r="L78" s="72" t="n"/>
      <c r="M78" s="53" t="n"/>
      <c r="N78" s="73" t="n"/>
      <c r="O78" s="74" t="n"/>
      <c r="P78" s="75" t="n"/>
      <c r="Q78" s="53" t="n"/>
      <c r="R78" s="76">
        <f>IF($C78="","",IF($O78="Cancelada","Cancelada",IF($O78="Reprovado","Reprovada",IF($O78="Aprovado","Aprovada",IF($L78&lt;&gt;"","Entregue",IF(TODAY()&gt;$C78,"Atrasada","Pendente"))))))</f>
        <v/>
      </c>
    </row>
    <row r="79">
      <c r="A79" s="65" t="inlineStr">
        <is>
          <t>JUL-S29-FAL-B</t>
        </is>
      </c>
      <c r="B79" s="66" t="inlineStr">
        <is>
          <t>S29</t>
        </is>
      </c>
      <c r="C79" s="67" t="n">
        <v>46220</v>
      </c>
      <c r="D79" s="68" t="inlineStr">
        <is>
          <t>Faltas e Atestados</t>
        </is>
      </c>
      <c r="E79" s="53" t="n"/>
      <c r="F79" s="53" t="n"/>
      <c r="G79" s="69" t="inlineStr">
        <is>
          <t>B</t>
        </is>
      </c>
      <c r="H79" s="70">
        <f>IF($G79="A",CONFIG!$B$5,IF($G79="B",CONFIG!$B$6,IF($G79="C",CONFIG!$B$7,IF($G79="Todos","Todos os turnos",""))))</f>
        <v/>
      </c>
      <c r="I79" s="53" t="n"/>
      <c r="J79" s="71" t="inlineStr">
        <is>
          <t>—</t>
        </is>
      </c>
      <c r="K79" s="53" t="n"/>
      <c r="L79" s="72" t="n"/>
      <c r="M79" s="53" t="n"/>
      <c r="N79" s="73" t="n"/>
      <c r="O79" s="74" t="n"/>
      <c r="P79" s="75" t="n"/>
      <c r="Q79" s="53" t="n"/>
      <c r="R79" s="76">
        <f>IF($C79="","",IF($O79="Cancelada","Cancelada",IF($O79="Reprovado","Reprovada",IF($O79="Aprovado","Aprovada",IF($L79&lt;&gt;"","Entregue",IF(TODAY()&gt;$C79,"Atrasada","Pendente"))))))</f>
        <v/>
      </c>
    </row>
    <row r="80">
      <c r="A80" s="65" t="inlineStr">
        <is>
          <t>JUL-S29-FAL-C</t>
        </is>
      </c>
      <c r="B80" s="66" t="inlineStr">
        <is>
          <t>S29</t>
        </is>
      </c>
      <c r="C80" s="67" t="n">
        <v>46220</v>
      </c>
      <c r="D80" s="68" t="inlineStr">
        <is>
          <t>Faltas e Atestados</t>
        </is>
      </c>
      <c r="E80" s="53" t="n"/>
      <c r="F80" s="53" t="n"/>
      <c r="G80" s="69" t="inlineStr">
        <is>
          <t>C</t>
        </is>
      </c>
      <c r="H80" s="70">
        <f>IF($G80="A",CONFIG!$B$5,IF($G80="B",CONFIG!$B$6,IF($G80="C",CONFIG!$B$7,IF($G80="Todos","Todos os turnos",""))))</f>
        <v/>
      </c>
      <c r="I80" s="53" t="n"/>
      <c r="J80" s="71" t="inlineStr">
        <is>
          <t>—</t>
        </is>
      </c>
      <c r="K80" s="53" t="n"/>
      <c r="L80" s="72" t="n"/>
      <c r="M80" s="53" t="n"/>
      <c r="N80" s="73" t="n"/>
      <c r="O80" s="74" t="n"/>
      <c r="P80" s="75" t="n"/>
      <c r="Q80" s="53" t="n"/>
      <c r="R80" s="76">
        <f>IF($C80="","",IF($O80="Cancelada","Cancelada",IF($O80="Reprovado","Reprovada",IF($O80="Aprovado","Aprovada",IF($L80&lt;&gt;"","Entregue",IF(TODAY()&gt;$C80,"Atrasada","Pendente"))))))</f>
        <v/>
      </c>
    </row>
    <row r="81">
      <c r="A81" s="65" t="inlineStr">
        <is>
          <t>JUL-S29-REU-T</t>
        </is>
      </c>
      <c r="B81" s="66" t="inlineStr">
        <is>
          <t>S29</t>
        </is>
      </c>
      <c r="C81" s="67" t="n">
        <v>46220</v>
      </c>
      <c r="D81" s="68" t="inlineStr">
        <is>
          <t>Reunião Semanal com a Gerência</t>
        </is>
      </c>
      <c r="E81" s="53" t="n"/>
      <c r="F81" s="53" t="n"/>
      <c r="G81" s="69" t="inlineStr">
        <is>
          <t>Todos</t>
        </is>
      </c>
      <c r="H81" s="70">
        <f>IF($G81="A",CONFIG!$B$5,IF($G81="B",CONFIG!$B$6,IF($G81="C",CONFIG!$B$7,IF($G81="Todos","Todos os turnos",""))))</f>
        <v/>
      </c>
      <c r="I81" s="53" t="n"/>
      <c r="J81" s="71" t="inlineStr">
        <is>
          <t>—</t>
        </is>
      </c>
      <c r="K81" s="53" t="n"/>
      <c r="L81" s="72" t="n"/>
      <c r="M81" s="53" t="n"/>
      <c r="N81" s="73" t="n"/>
      <c r="O81" s="74" t="n"/>
      <c r="P81" s="75" t="n"/>
      <c r="Q81" s="53" t="n"/>
      <c r="R81" s="76">
        <f>IF($C81="","",IF($O81="Cancelada","Cancelada",IF($O81="Reprovado","Reprovada",IF($O81="Aprovado","Aprovada",IF($L81&lt;&gt;"","Entregue",IF(TODAY()&gt;$C81,"Atrasada","Pendente"))))))</f>
        <v/>
      </c>
    </row>
    <row r="82">
      <c r="A82" s="65" t="inlineStr">
        <is>
          <t>JUL-S30-ERR-A</t>
        </is>
      </c>
      <c r="B82" s="66" t="inlineStr">
        <is>
          <t>S30</t>
        </is>
      </c>
      <c r="C82" s="67" t="n">
        <v>46223</v>
      </c>
      <c r="D82" s="68" t="inlineStr">
        <is>
          <t>Levantamento de Erros Operacionais</t>
        </is>
      </c>
      <c r="E82" s="53" t="n"/>
      <c r="F82" s="53" t="n"/>
      <c r="G82" s="69" t="inlineStr">
        <is>
          <t>A</t>
        </is>
      </c>
      <c r="H82" s="70">
        <f>IF($G82="A",CONFIG!$B$5,IF($G82="B",CONFIG!$B$6,IF($G82="C",CONFIG!$B$7,IF($G82="Todos","Todos os turnos",""))))</f>
        <v/>
      </c>
      <c r="I82" s="53" t="n"/>
      <c r="J82" s="71" t="inlineStr">
        <is>
          <t>—</t>
        </is>
      </c>
      <c r="K82" s="53" t="n"/>
      <c r="L82" s="72" t="n"/>
      <c r="M82" s="53" t="n"/>
      <c r="N82" s="73" t="n"/>
      <c r="O82" s="74" t="n"/>
      <c r="P82" s="75" t="n"/>
      <c r="Q82" s="53" t="n"/>
      <c r="R82" s="76">
        <f>IF($C82="","",IF($O82="Cancelada","Cancelada",IF($O82="Reprovado","Reprovada",IF($O82="Aprovado","Aprovada",IF($L82&lt;&gt;"","Entregue",IF(TODAY()&gt;$C82,"Atrasada","Pendente"))))))</f>
        <v/>
      </c>
    </row>
    <row r="83">
      <c r="A83" s="65" t="inlineStr">
        <is>
          <t>JUL-S30-ERR-B</t>
        </is>
      </c>
      <c r="B83" s="66" t="inlineStr">
        <is>
          <t>S30</t>
        </is>
      </c>
      <c r="C83" s="67" t="n">
        <v>46223</v>
      </c>
      <c r="D83" s="68" t="inlineStr">
        <is>
          <t>Levantamento de Erros Operacionais</t>
        </is>
      </c>
      <c r="E83" s="53" t="n"/>
      <c r="F83" s="53" t="n"/>
      <c r="G83" s="69" t="inlineStr">
        <is>
          <t>B</t>
        </is>
      </c>
      <c r="H83" s="70">
        <f>IF($G83="A",CONFIG!$B$5,IF($G83="B",CONFIG!$B$6,IF($G83="C",CONFIG!$B$7,IF($G83="Todos","Todos os turnos",""))))</f>
        <v/>
      </c>
      <c r="I83" s="53" t="n"/>
      <c r="J83" s="71" t="inlineStr">
        <is>
          <t>—</t>
        </is>
      </c>
      <c r="K83" s="53" t="n"/>
      <c r="L83" s="72" t="n"/>
      <c r="M83" s="53" t="n"/>
      <c r="N83" s="73" t="n"/>
      <c r="O83" s="74" t="n"/>
      <c r="P83" s="75" t="n"/>
      <c r="Q83" s="53" t="n"/>
      <c r="R83" s="76">
        <f>IF($C83="","",IF($O83="Cancelada","Cancelada",IF($O83="Reprovado","Reprovada",IF($O83="Aprovado","Aprovada",IF($L83&lt;&gt;"","Entregue",IF(TODAY()&gt;$C83,"Atrasada","Pendente"))))))</f>
        <v/>
      </c>
    </row>
    <row r="84">
      <c r="A84" s="65" t="inlineStr">
        <is>
          <t>JUL-S30-ERR-C</t>
        </is>
      </c>
      <c r="B84" s="66" t="inlineStr">
        <is>
          <t>S30</t>
        </is>
      </c>
      <c r="C84" s="67" t="n">
        <v>46223</v>
      </c>
      <c r="D84" s="68" t="inlineStr">
        <is>
          <t>Levantamento de Erros Operacionais</t>
        </is>
      </c>
      <c r="E84" s="53" t="n"/>
      <c r="F84" s="53" t="n"/>
      <c r="G84" s="69" t="inlineStr">
        <is>
          <t>C</t>
        </is>
      </c>
      <c r="H84" s="70">
        <f>IF($G84="A",CONFIG!$B$5,IF($G84="B",CONFIG!$B$6,IF($G84="C",CONFIG!$B$7,IF($G84="Todos","Todos os turnos",""))))</f>
        <v/>
      </c>
      <c r="I84" s="53" t="n"/>
      <c r="J84" s="71" t="inlineStr">
        <is>
          <t>—</t>
        </is>
      </c>
      <c r="K84" s="53" t="n"/>
      <c r="L84" s="72" t="n"/>
      <c r="M84" s="53" t="n"/>
      <c r="N84" s="73" t="n"/>
      <c r="O84" s="74" t="n"/>
      <c r="P84" s="75" t="n"/>
      <c r="Q84" s="53" t="n"/>
      <c r="R84" s="76">
        <f>IF($C84="","",IF($O84="Cancelada","Cancelada",IF($O84="Reprovado","Reprovada",IF($O84="Aprovado","Aprovada",IF($L84&lt;&gt;"","Entregue",IF(TODAY()&gt;$C84,"Atrasada","Pendente"))))))</f>
        <v/>
      </c>
    </row>
    <row r="85">
      <c r="A85" s="65" t="inlineStr">
        <is>
          <t>JUL-S30-SUP-A</t>
        </is>
      </c>
      <c r="B85" s="66" t="inlineStr">
        <is>
          <t>S30</t>
        </is>
      </c>
      <c r="C85" s="67" t="n">
        <v>46224</v>
      </c>
      <c r="D85" s="68" t="inlineStr">
        <is>
          <t>Suporte de Supervisores</t>
        </is>
      </c>
      <c r="E85" s="53" t="n"/>
      <c r="F85" s="53" t="n"/>
      <c r="G85" s="69" t="inlineStr">
        <is>
          <t>A</t>
        </is>
      </c>
      <c r="H85" s="70">
        <f>IF($G85="A",CONFIG!$B$5,IF($G85="B",CONFIG!$B$6,IF($G85="C",CONFIG!$B$7,IF($G85="Todos","Todos os turnos",""))))</f>
        <v/>
      </c>
      <c r="I85" s="53" t="n"/>
      <c r="J85" s="71" t="inlineStr">
        <is>
          <t>—</t>
        </is>
      </c>
      <c r="K85" s="53" t="n"/>
      <c r="L85" s="72" t="n"/>
      <c r="M85" s="53" t="n"/>
      <c r="N85" s="73" t="n"/>
      <c r="O85" s="74" t="n"/>
      <c r="P85" s="75" t="n"/>
      <c r="Q85" s="53" t="n"/>
      <c r="R85" s="76">
        <f>IF($C85="","",IF($O85="Cancelada","Cancelada",IF($O85="Reprovado","Reprovada",IF($O85="Aprovado","Aprovada",IF($L85&lt;&gt;"","Entregue",IF(TODAY()&gt;$C85,"Atrasada","Pendente"))))))</f>
        <v/>
      </c>
    </row>
    <row r="86">
      <c r="A86" s="65" t="inlineStr">
        <is>
          <t>JUL-S30-SUP-B</t>
        </is>
      </c>
      <c r="B86" s="66" t="inlineStr">
        <is>
          <t>S30</t>
        </is>
      </c>
      <c r="C86" s="67" t="n">
        <v>46224</v>
      </c>
      <c r="D86" s="68" t="inlineStr">
        <is>
          <t>Suporte de Supervisores</t>
        </is>
      </c>
      <c r="E86" s="53" t="n"/>
      <c r="F86" s="53" t="n"/>
      <c r="G86" s="69" t="inlineStr">
        <is>
          <t>B</t>
        </is>
      </c>
      <c r="H86" s="70">
        <f>IF($G86="A",CONFIG!$B$5,IF($G86="B",CONFIG!$B$6,IF($G86="C",CONFIG!$B$7,IF($G86="Todos","Todos os turnos",""))))</f>
        <v/>
      </c>
      <c r="I86" s="53" t="n"/>
      <c r="J86" s="71" t="inlineStr">
        <is>
          <t>—</t>
        </is>
      </c>
      <c r="K86" s="53" t="n"/>
      <c r="L86" s="72" t="n"/>
      <c r="M86" s="53" t="n"/>
      <c r="N86" s="73" t="n"/>
      <c r="O86" s="74" t="n"/>
      <c r="P86" s="75" t="n"/>
      <c r="Q86" s="53" t="n"/>
      <c r="R86" s="76">
        <f>IF($C86="","",IF($O86="Cancelada","Cancelada",IF($O86="Reprovado","Reprovada",IF($O86="Aprovado","Aprovada",IF($L86&lt;&gt;"","Entregue",IF(TODAY()&gt;$C86,"Atrasada","Pendente"))))))</f>
        <v/>
      </c>
    </row>
    <row r="87">
      <c r="A87" s="65" t="inlineStr">
        <is>
          <t>JUL-S30-SUP-C</t>
        </is>
      </c>
      <c r="B87" s="66" t="inlineStr">
        <is>
          <t>S30</t>
        </is>
      </c>
      <c r="C87" s="67" t="n">
        <v>46224</v>
      </c>
      <c r="D87" s="68" t="inlineStr">
        <is>
          <t>Suporte de Supervisores</t>
        </is>
      </c>
      <c r="E87" s="53" t="n"/>
      <c r="F87" s="53" t="n"/>
      <c r="G87" s="69" t="inlineStr">
        <is>
          <t>C</t>
        </is>
      </c>
      <c r="H87" s="70">
        <f>IF($G87="A",CONFIG!$B$5,IF($G87="B",CONFIG!$B$6,IF($G87="C",CONFIG!$B$7,IF($G87="Todos","Todos os turnos",""))))</f>
        <v/>
      </c>
      <c r="I87" s="53" t="n"/>
      <c r="J87" s="71" t="inlineStr">
        <is>
          <t>—</t>
        </is>
      </c>
      <c r="K87" s="53" t="n"/>
      <c r="L87" s="72" t="n"/>
      <c r="M87" s="53" t="n"/>
      <c r="N87" s="73" t="n"/>
      <c r="O87" s="74" t="n"/>
      <c r="P87" s="75" t="n"/>
      <c r="Q87" s="53" t="n"/>
      <c r="R87" s="76">
        <f>IF($C87="","",IF($O87="Cancelada","Cancelada",IF($O87="Reprovado","Reprovada",IF($O87="Aprovado","Aprovada",IF($L87&lt;&gt;"","Entregue",IF(TODAY()&gt;$C87,"Atrasada","Pendente"))))))</f>
        <v/>
      </c>
    </row>
    <row r="88">
      <c r="A88" s="65" t="inlineStr">
        <is>
          <t>JUL-S30-VIS-A</t>
        </is>
      </c>
      <c r="B88" s="66" t="inlineStr">
        <is>
          <t>S30</t>
        </is>
      </c>
      <c r="C88" s="67" t="n">
        <v>46225</v>
      </c>
      <c r="D88" s="68" t="inlineStr">
        <is>
          <t>Acomp. Organizacional Setorial (Vistoria)</t>
        </is>
      </c>
      <c r="E88" s="53" t="n"/>
      <c r="F88" s="53" t="n"/>
      <c r="G88" s="69" t="inlineStr">
        <is>
          <t>A</t>
        </is>
      </c>
      <c r="H88" s="70">
        <f>IF($G88="A",CONFIG!$B$5,IF($G88="B",CONFIG!$B$6,IF($G88="C",CONFIG!$B$7,IF($G88="Todos","Todos os turnos",""))))</f>
        <v/>
      </c>
      <c r="I88" s="53" t="n"/>
      <c r="J88" s="77" t="n"/>
      <c r="K88" s="53" t="n"/>
      <c r="L88" s="72" t="n"/>
      <c r="M88" s="53" t="n"/>
      <c r="N88" s="73" t="n"/>
      <c r="O88" s="74" t="n"/>
      <c r="P88" s="75" t="n"/>
      <c r="Q88" s="53" t="n"/>
      <c r="R88" s="76">
        <f>IF($C88="","",IF($O88="Cancelada","Cancelada",IF($O88="Reprovado","Reprovada",IF($O88="Aprovado","Aprovada",IF($L88&lt;&gt;"","Entregue",IF(TODAY()&gt;$C88,"Atrasada","Pendente"))))))</f>
        <v/>
      </c>
    </row>
    <row r="89">
      <c r="A89" s="65" t="inlineStr">
        <is>
          <t>JUL-S30-VIS-B</t>
        </is>
      </c>
      <c r="B89" s="66" t="inlineStr">
        <is>
          <t>S30</t>
        </is>
      </c>
      <c r="C89" s="67" t="n">
        <v>46225</v>
      </c>
      <c r="D89" s="68" t="inlineStr">
        <is>
          <t>Acomp. Organizacional Setorial (Vistoria)</t>
        </is>
      </c>
      <c r="E89" s="53" t="n"/>
      <c r="F89" s="53" t="n"/>
      <c r="G89" s="69" t="inlineStr">
        <is>
          <t>B</t>
        </is>
      </c>
      <c r="H89" s="70">
        <f>IF($G89="A",CONFIG!$B$5,IF($G89="B",CONFIG!$B$6,IF($G89="C",CONFIG!$B$7,IF($G89="Todos","Todos os turnos",""))))</f>
        <v/>
      </c>
      <c r="I89" s="53" t="n"/>
      <c r="J89" s="77" t="n"/>
      <c r="K89" s="53" t="n"/>
      <c r="L89" s="72" t="n"/>
      <c r="M89" s="53" t="n"/>
      <c r="N89" s="73" t="n"/>
      <c r="O89" s="74" t="n"/>
      <c r="P89" s="75" t="n"/>
      <c r="Q89" s="53" t="n"/>
      <c r="R89" s="76">
        <f>IF($C89="","",IF($O89="Cancelada","Cancelada",IF($O89="Reprovado","Reprovada",IF($O89="Aprovado","Aprovada",IF($L89&lt;&gt;"","Entregue",IF(TODAY()&gt;$C89,"Atrasada","Pendente"))))))</f>
        <v/>
      </c>
    </row>
    <row r="90">
      <c r="A90" s="65" t="inlineStr">
        <is>
          <t>JUL-S30-VIS-C</t>
        </is>
      </c>
      <c r="B90" s="66" t="inlineStr">
        <is>
          <t>S30</t>
        </is>
      </c>
      <c r="C90" s="67" t="n">
        <v>46225</v>
      </c>
      <c r="D90" s="68" t="inlineStr">
        <is>
          <t>Acomp. Organizacional Setorial (Vistoria)</t>
        </is>
      </c>
      <c r="E90" s="53" t="n"/>
      <c r="F90" s="53" t="n"/>
      <c r="G90" s="69" t="inlineStr">
        <is>
          <t>C</t>
        </is>
      </c>
      <c r="H90" s="70">
        <f>IF($G90="A",CONFIG!$B$5,IF($G90="B",CONFIG!$B$6,IF($G90="C",CONFIG!$B$7,IF($G90="Todos","Todos os turnos",""))))</f>
        <v/>
      </c>
      <c r="I90" s="53" t="n"/>
      <c r="J90" s="77" t="n"/>
      <c r="K90" s="53" t="n"/>
      <c r="L90" s="72" t="n"/>
      <c r="M90" s="53" t="n"/>
      <c r="N90" s="73" t="n"/>
      <c r="O90" s="74" t="n"/>
      <c r="P90" s="75" t="n"/>
      <c r="Q90" s="53" t="n"/>
      <c r="R90" s="76">
        <f>IF($C90="","",IF($O90="Cancelada","Cancelada",IF($O90="Reprovado","Reprovada",IF($O90="Aprovado","Aprovada",IF($L90&lt;&gt;"","Entregue",IF(TODAY()&gt;$C90,"Atrasada","Pendente"))))))</f>
        <v/>
      </c>
    </row>
    <row r="91">
      <c r="A91" s="65" t="inlineStr">
        <is>
          <t>JUL-S30-MET-A</t>
        </is>
      </c>
      <c r="B91" s="66" t="inlineStr">
        <is>
          <t>S30</t>
        </is>
      </c>
      <c r="C91" s="67" t="n">
        <v>46226</v>
      </c>
      <c r="D91" s="68" t="inlineStr">
        <is>
          <t>Metas</t>
        </is>
      </c>
      <c r="E91" s="53" t="n"/>
      <c r="F91" s="53" t="n"/>
      <c r="G91" s="69" t="inlineStr">
        <is>
          <t>A</t>
        </is>
      </c>
      <c r="H91" s="70">
        <f>IF($G91="A",CONFIG!$B$5,IF($G91="B",CONFIG!$B$6,IF($G91="C",CONFIG!$B$7,IF($G91="Todos","Todos os turnos",""))))</f>
        <v/>
      </c>
      <c r="I91" s="53" t="n"/>
      <c r="J91" s="71" t="inlineStr">
        <is>
          <t>—</t>
        </is>
      </c>
      <c r="K91" s="53" t="n"/>
      <c r="L91" s="72" t="n"/>
      <c r="M91" s="53" t="n"/>
      <c r="N91" s="73" t="n"/>
      <c r="O91" s="74" t="n"/>
      <c r="P91" s="75" t="n"/>
      <c r="Q91" s="53" t="n"/>
      <c r="R91" s="76">
        <f>IF($C91="","",IF($O91="Cancelada","Cancelada",IF($O91="Reprovado","Reprovada",IF($O91="Aprovado","Aprovada",IF($L91&lt;&gt;"","Entregue",IF(TODAY()&gt;$C91,"Atrasada","Pendente"))))))</f>
        <v/>
      </c>
    </row>
    <row r="92">
      <c r="A92" s="65" t="inlineStr">
        <is>
          <t>JUL-S30-MET-B</t>
        </is>
      </c>
      <c r="B92" s="66" t="inlineStr">
        <is>
          <t>S30</t>
        </is>
      </c>
      <c r="C92" s="67" t="n">
        <v>46226</v>
      </c>
      <c r="D92" s="68" t="inlineStr">
        <is>
          <t>Metas</t>
        </is>
      </c>
      <c r="E92" s="53" t="n"/>
      <c r="F92" s="53" t="n"/>
      <c r="G92" s="69" t="inlineStr">
        <is>
          <t>B</t>
        </is>
      </c>
      <c r="H92" s="70">
        <f>IF($G92="A",CONFIG!$B$5,IF($G92="B",CONFIG!$B$6,IF($G92="C",CONFIG!$B$7,IF($G92="Todos","Todos os turnos",""))))</f>
        <v/>
      </c>
      <c r="I92" s="53" t="n"/>
      <c r="J92" s="71" t="inlineStr">
        <is>
          <t>—</t>
        </is>
      </c>
      <c r="K92" s="53" t="n"/>
      <c r="L92" s="72" t="n"/>
      <c r="M92" s="53" t="n"/>
      <c r="N92" s="73" t="n"/>
      <c r="O92" s="74" t="n"/>
      <c r="P92" s="75" t="n"/>
      <c r="Q92" s="53" t="n"/>
      <c r="R92" s="76">
        <f>IF($C92="","",IF($O92="Cancelada","Cancelada",IF($O92="Reprovado","Reprovada",IF($O92="Aprovado","Aprovada",IF($L92&lt;&gt;"","Entregue",IF(TODAY()&gt;$C92,"Atrasada","Pendente"))))))</f>
        <v/>
      </c>
    </row>
    <row r="93">
      <c r="A93" s="65" t="inlineStr">
        <is>
          <t>JUL-S30-MET-C</t>
        </is>
      </c>
      <c r="B93" s="66" t="inlineStr">
        <is>
          <t>S30</t>
        </is>
      </c>
      <c r="C93" s="67" t="n">
        <v>46226</v>
      </c>
      <c r="D93" s="68" t="inlineStr">
        <is>
          <t>Metas</t>
        </is>
      </c>
      <c r="E93" s="53" t="n"/>
      <c r="F93" s="53" t="n"/>
      <c r="G93" s="69" t="inlineStr">
        <is>
          <t>C</t>
        </is>
      </c>
      <c r="H93" s="70">
        <f>IF($G93="A",CONFIG!$B$5,IF($G93="B",CONFIG!$B$6,IF($G93="C",CONFIG!$B$7,IF($G93="Todos","Todos os turnos",""))))</f>
        <v/>
      </c>
      <c r="I93" s="53" t="n"/>
      <c r="J93" s="71" t="inlineStr">
        <is>
          <t>—</t>
        </is>
      </c>
      <c r="K93" s="53" t="n"/>
      <c r="L93" s="72" t="n"/>
      <c r="M93" s="53" t="n"/>
      <c r="N93" s="73" t="n"/>
      <c r="O93" s="74" t="n"/>
      <c r="P93" s="75" t="n"/>
      <c r="Q93" s="53" t="n"/>
      <c r="R93" s="76">
        <f>IF($C93="","",IF($O93="Cancelada","Cancelada",IF($O93="Reprovado","Reprovada",IF($O93="Aprovado","Aprovada",IF($L93&lt;&gt;"","Entregue",IF(TODAY()&gt;$C93,"Atrasada","Pendente"))))))</f>
        <v/>
      </c>
    </row>
    <row r="94">
      <c r="A94" s="65" t="inlineStr">
        <is>
          <t>JUL-S30-ACO-A</t>
        </is>
      </c>
      <c r="B94" s="66" t="inlineStr">
        <is>
          <t>S30</t>
        </is>
      </c>
      <c r="C94" s="67" t="n">
        <v>46227</v>
      </c>
      <c r="D94" s="68" t="inlineStr">
        <is>
          <t>Acompanhamento Semanal c/ Supervisores</t>
        </is>
      </c>
      <c r="E94" s="53" t="n"/>
      <c r="F94" s="53" t="n"/>
      <c r="G94" s="69" t="inlineStr">
        <is>
          <t>A</t>
        </is>
      </c>
      <c r="H94" s="70">
        <f>IF($G94="A",CONFIG!$B$5,IF($G94="B",CONFIG!$B$6,IF($G94="C",CONFIG!$B$7,IF($G94="Todos","Todos os turnos",""))))</f>
        <v/>
      </c>
      <c r="I94" s="53" t="n"/>
      <c r="J94" s="71" t="inlineStr">
        <is>
          <t>—</t>
        </is>
      </c>
      <c r="K94" s="53" t="n"/>
      <c r="L94" s="72" t="n"/>
      <c r="M94" s="53" t="n"/>
      <c r="N94" s="73" t="n"/>
      <c r="O94" s="74" t="n"/>
      <c r="P94" s="75" t="n"/>
      <c r="Q94" s="53" t="n"/>
      <c r="R94" s="76">
        <f>IF($C94="","",IF($O94="Cancelada","Cancelada",IF($O94="Reprovado","Reprovada",IF($O94="Aprovado","Aprovada",IF($L94&lt;&gt;"","Entregue",IF(TODAY()&gt;$C94,"Atrasada","Pendente"))))))</f>
        <v/>
      </c>
    </row>
    <row r="95">
      <c r="A95" s="65" t="inlineStr">
        <is>
          <t>JUL-S30-ACO-B</t>
        </is>
      </c>
      <c r="B95" s="66" t="inlineStr">
        <is>
          <t>S30</t>
        </is>
      </c>
      <c r="C95" s="67" t="n">
        <v>46227</v>
      </c>
      <c r="D95" s="68" t="inlineStr">
        <is>
          <t>Acompanhamento Semanal c/ Supervisores</t>
        </is>
      </c>
      <c r="E95" s="53" t="n"/>
      <c r="F95" s="53" t="n"/>
      <c r="G95" s="69" t="inlineStr">
        <is>
          <t>B</t>
        </is>
      </c>
      <c r="H95" s="70">
        <f>IF($G95="A",CONFIG!$B$5,IF($G95="B",CONFIG!$B$6,IF($G95="C",CONFIG!$B$7,IF($G95="Todos","Todos os turnos",""))))</f>
        <v/>
      </c>
      <c r="I95" s="53" t="n"/>
      <c r="J95" s="71" t="inlineStr">
        <is>
          <t>—</t>
        </is>
      </c>
      <c r="K95" s="53" t="n"/>
      <c r="L95" s="72" t="n"/>
      <c r="M95" s="53" t="n"/>
      <c r="N95" s="73" t="n"/>
      <c r="O95" s="74" t="n"/>
      <c r="P95" s="75" t="n"/>
      <c r="Q95" s="53" t="n"/>
      <c r="R95" s="76">
        <f>IF($C95="","",IF($O95="Cancelada","Cancelada",IF($O95="Reprovado","Reprovada",IF($O95="Aprovado","Aprovada",IF($L95&lt;&gt;"","Entregue",IF(TODAY()&gt;$C95,"Atrasada","Pendente"))))))</f>
        <v/>
      </c>
    </row>
    <row r="96">
      <c r="A96" s="65" t="inlineStr">
        <is>
          <t>JUL-S30-ACO-C</t>
        </is>
      </c>
      <c r="B96" s="66" t="inlineStr">
        <is>
          <t>S30</t>
        </is>
      </c>
      <c r="C96" s="67" t="n">
        <v>46227</v>
      </c>
      <c r="D96" s="68" t="inlineStr">
        <is>
          <t>Acompanhamento Semanal c/ Supervisores</t>
        </is>
      </c>
      <c r="E96" s="53" t="n"/>
      <c r="F96" s="53" t="n"/>
      <c r="G96" s="69" t="inlineStr">
        <is>
          <t>C</t>
        </is>
      </c>
      <c r="H96" s="70">
        <f>IF($G96="A",CONFIG!$B$5,IF($G96="B",CONFIG!$B$6,IF($G96="C",CONFIG!$B$7,IF($G96="Todos","Todos os turnos",""))))</f>
        <v/>
      </c>
      <c r="I96" s="53" t="n"/>
      <c r="J96" s="71" t="inlineStr">
        <is>
          <t>—</t>
        </is>
      </c>
      <c r="K96" s="53" t="n"/>
      <c r="L96" s="72" t="n"/>
      <c r="M96" s="53" t="n"/>
      <c r="N96" s="73" t="n"/>
      <c r="O96" s="74" t="n"/>
      <c r="P96" s="75" t="n"/>
      <c r="Q96" s="53" t="n"/>
      <c r="R96" s="76">
        <f>IF($C96="","",IF($O96="Cancelada","Cancelada",IF($O96="Reprovado","Reprovada",IF($O96="Aprovado","Aprovada",IF($L96&lt;&gt;"","Entregue",IF(TODAY()&gt;$C96,"Atrasada","Pendente"))))))</f>
        <v/>
      </c>
    </row>
    <row r="97">
      <c r="A97" s="65" t="inlineStr">
        <is>
          <t>JUL-S30-FAL-A</t>
        </is>
      </c>
      <c r="B97" s="66" t="inlineStr">
        <is>
          <t>S30</t>
        </is>
      </c>
      <c r="C97" s="67" t="n">
        <v>46227</v>
      </c>
      <c r="D97" s="68" t="inlineStr">
        <is>
          <t>Faltas e Atestados</t>
        </is>
      </c>
      <c r="E97" s="53" t="n"/>
      <c r="F97" s="53" t="n"/>
      <c r="G97" s="69" t="inlineStr">
        <is>
          <t>A</t>
        </is>
      </c>
      <c r="H97" s="70">
        <f>IF($G97="A",CONFIG!$B$5,IF($G97="B",CONFIG!$B$6,IF($G97="C",CONFIG!$B$7,IF($G97="Todos","Todos os turnos",""))))</f>
        <v/>
      </c>
      <c r="I97" s="53" t="n"/>
      <c r="J97" s="71" t="inlineStr">
        <is>
          <t>—</t>
        </is>
      </c>
      <c r="K97" s="53" t="n"/>
      <c r="L97" s="72" t="n"/>
      <c r="M97" s="53" t="n"/>
      <c r="N97" s="73" t="n"/>
      <c r="O97" s="74" t="n"/>
      <c r="P97" s="75" t="n"/>
      <c r="Q97" s="53" t="n"/>
      <c r="R97" s="76">
        <f>IF($C97="","",IF($O97="Cancelada","Cancelada",IF($O97="Reprovado","Reprovada",IF($O97="Aprovado","Aprovada",IF($L97&lt;&gt;"","Entregue",IF(TODAY()&gt;$C97,"Atrasada","Pendente"))))))</f>
        <v/>
      </c>
    </row>
    <row r="98">
      <c r="A98" s="65" t="inlineStr">
        <is>
          <t>JUL-S30-FAL-B</t>
        </is>
      </c>
      <c r="B98" s="66" t="inlineStr">
        <is>
          <t>S30</t>
        </is>
      </c>
      <c r="C98" s="67" t="n">
        <v>46227</v>
      </c>
      <c r="D98" s="68" t="inlineStr">
        <is>
          <t>Faltas e Atestados</t>
        </is>
      </c>
      <c r="E98" s="53" t="n"/>
      <c r="F98" s="53" t="n"/>
      <c r="G98" s="69" t="inlineStr">
        <is>
          <t>B</t>
        </is>
      </c>
      <c r="H98" s="70">
        <f>IF($G98="A",CONFIG!$B$5,IF($G98="B",CONFIG!$B$6,IF($G98="C",CONFIG!$B$7,IF($G98="Todos","Todos os turnos",""))))</f>
        <v/>
      </c>
      <c r="I98" s="53" t="n"/>
      <c r="J98" s="71" t="inlineStr">
        <is>
          <t>—</t>
        </is>
      </c>
      <c r="K98" s="53" t="n"/>
      <c r="L98" s="72" t="n"/>
      <c r="M98" s="53" t="n"/>
      <c r="N98" s="73" t="n"/>
      <c r="O98" s="74" t="n"/>
      <c r="P98" s="75" t="n"/>
      <c r="Q98" s="53" t="n"/>
      <c r="R98" s="76">
        <f>IF($C98="","",IF($O98="Cancelada","Cancelada",IF($O98="Reprovado","Reprovada",IF($O98="Aprovado","Aprovada",IF($L98&lt;&gt;"","Entregue",IF(TODAY()&gt;$C98,"Atrasada","Pendente"))))))</f>
        <v/>
      </c>
    </row>
    <row r="99">
      <c r="A99" s="65" t="inlineStr">
        <is>
          <t>JUL-S30-FAL-C</t>
        </is>
      </c>
      <c r="B99" s="66" t="inlineStr">
        <is>
          <t>S30</t>
        </is>
      </c>
      <c r="C99" s="67" t="n">
        <v>46227</v>
      </c>
      <c r="D99" s="68" t="inlineStr">
        <is>
          <t>Faltas e Atestados</t>
        </is>
      </c>
      <c r="E99" s="53" t="n"/>
      <c r="F99" s="53" t="n"/>
      <c r="G99" s="69" t="inlineStr">
        <is>
          <t>C</t>
        </is>
      </c>
      <c r="H99" s="70">
        <f>IF($G99="A",CONFIG!$B$5,IF($G99="B",CONFIG!$B$6,IF($G99="C",CONFIG!$B$7,IF($G99="Todos","Todos os turnos",""))))</f>
        <v/>
      </c>
      <c r="I99" s="53" t="n"/>
      <c r="J99" s="71" t="inlineStr">
        <is>
          <t>—</t>
        </is>
      </c>
      <c r="K99" s="53" t="n"/>
      <c r="L99" s="72" t="n"/>
      <c r="M99" s="53" t="n"/>
      <c r="N99" s="73" t="n"/>
      <c r="O99" s="74" t="n"/>
      <c r="P99" s="75" t="n"/>
      <c r="Q99" s="53" t="n"/>
      <c r="R99" s="76">
        <f>IF($C99="","",IF($O99="Cancelada","Cancelada",IF($O99="Reprovado","Reprovada",IF($O99="Aprovado","Aprovada",IF($L99&lt;&gt;"","Entregue",IF(TODAY()&gt;$C99,"Atrasada","Pendente"))))))</f>
        <v/>
      </c>
    </row>
    <row r="100">
      <c r="A100" s="65" t="inlineStr">
        <is>
          <t>JUL-S30-REU-T</t>
        </is>
      </c>
      <c r="B100" s="66" t="inlineStr">
        <is>
          <t>S30</t>
        </is>
      </c>
      <c r="C100" s="67" t="n">
        <v>46227</v>
      </c>
      <c r="D100" s="68" t="inlineStr">
        <is>
          <t>Reunião Semanal com a Gerência</t>
        </is>
      </c>
      <c r="E100" s="53" t="n"/>
      <c r="F100" s="53" t="n"/>
      <c r="G100" s="69" t="inlineStr">
        <is>
          <t>Todos</t>
        </is>
      </c>
      <c r="H100" s="70">
        <f>IF($G100="A",CONFIG!$B$5,IF($G100="B",CONFIG!$B$6,IF($G100="C",CONFIG!$B$7,IF($G100="Todos","Todos os turnos",""))))</f>
        <v/>
      </c>
      <c r="I100" s="53" t="n"/>
      <c r="J100" s="71" t="inlineStr">
        <is>
          <t>—</t>
        </is>
      </c>
      <c r="K100" s="53" t="n"/>
      <c r="L100" s="72" t="n"/>
      <c r="M100" s="53" t="n"/>
      <c r="N100" s="73" t="n"/>
      <c r="O100" s="74" t="n"/>
      <c r="P100" s="75" t="n"/>
      <c r="Q100" s="53" t="n"/>
      <c r="R100" s="76">
        <f>IF($C100="","",IF($O100="Cancelada","Cancelada",IF($O100="Reprovado","Reprovada",IF($O100="Aprovado","Aprovada",IF($L100&lt;&gt;"","Entregue",IF(TODAY()&gt;$C100,"Atrasada","Pendente"))))))</f>
        <v/>
      </c>
    </row>
    <row r="101">
      <c r="A101" s="65" t="inlineStr">
        <is>
          <t>JUL-S31-ERR-A</t>
        </is>
      </c>
      <c r="B101" s="66" t="inlineStr">
        <is>
          <t>S31</t>
        </is>
      </c>
      <c r="C101" s="67" t="n">
        <v>46230</v>
      </c>
      <c r="D101" s="68" t="inlineStr">
        <is>
          <t>Levantamento de Erros Operacionais</t>
        </is>
      </c>
      <c r="E101" s="53" t="n"/>
      <c r="F101" s="53" t="n"/>
      <c r="G101" s="69" t="inlineStr">
        <is>
          <t>A</t>
        </is>
      </c>
      <c r="H101" s="70">
        <f>IF($G101="A",CONFIG!$B$5,IF($G101="B",CONFIG!$B$6,IF($G101="C",CONFIG!$B$7,IF($G101="Todos","Todos os turnos",""))))</f>
        <v/>
      </c>
      <c r="I101" s="53" t="n"/>
      <c r="J101" s="71" t="inlineStr">
        <is>
          <t>—</t>
        </is>
      </c>
      <c r="K101" s="53" t="n"/>
      <c r="L101" s="72" t="n"/>
      <c r="M101" s="53" t="n"/>
      <c r="N101" s="73" t="n"/>
      <c r="O101" s="74" t="n"/>
      <c r="P101" s="75" t="n"/>
      <c r="Q101" s="53" t="n"/>
      <c r="R101" s="76">
        <f>IF($C101="","",IF($O101="Cancelada","Cancelada",IF($O101="Reprovado","Reprovada",IF($O101="Aprovado","Aprovada",IF($L101&lt;&gt;"","Entregue",IF(TODAY()&gt;$C101,"Atrasada","Pendente"))))))</f>
        <v/>
      </c>
    </row>
    <row r="102">
      <c r="A102" s="65" t="inlineStr">
        <is>
          <t>JUL-S31-ERR-B</t>
        </is>
      </c>
      <c r="B102" s="66" t="inlineStr">
        <is>
          <t>S31</t>
        </is>
      </c>
      <c r="C102" s="67" t="n">
        <v>46230</v>
      </c>
      <c r="D102" s="68" t="inlineStr">
        <is>
          <t>Levantamento de Erros Operacionais</t>
        </is>
      </c>
      <c r="E102" s="53" t="n"/>
      <c r="F102" s="53" t="n"/>
      <c r="G102" s="69" t="inlineStr">
        <is>
          <t>B</t>
        </is>
      </c>
      <c r="H102" s="70">
        <f>IF($G102="A",CONFIG!$B$5,IF($G102="B",CONFIG!$B$6,IF($G102="C",CONFIG!$B$7,IF($G102="Todos","Todos os turnos",""))))</f>
        <v/>
      </c>
      <c r="I102" s="53" t="n"/>
      <c r="J102" s="71" t="inlineStr">
        <is>
          <t>—</t>
        </is>
      </c>
      <c r="K102" s="53" t="n"/>
      <c r="L102" s="72" t="n"/>
      <c r="M102" s="53" t="n"/>
      <c r="N102" s="73" t="n"/>
      <c r="O102" s="74" t="n"/>
      <c r="P102" s="75" t="n"/>
      <c r="Q102" s="53" t="n"/>
      <c r="R102" s="76">
        <f>IF($C102="","",IF($O102="Cancelada","Cancelada",IF($O102="Reprovado","Reprovada",IF($O102="Aprovado","Aprovada",IF($L102&lt;&gt;"","Entregue",IF(TODAY()&gt;$C102,"Atrasada","Pendente"))))))</f>
        <v/>
      </c>
    </row>
    <row r="103">
      <c r="A103" s="65" t="inlineStr">
        <is>
          <t>JUL-S31-ERR-C</t>
        </is>
      </c>
      <c r="B103" s="66" t="inlineStr">
        <is>
          <t>S31</t>
        </is>
      </c>
      <c r="C103" s="67" t="n">
        <v>46230</v>
      </c>
      <c r="D103" s="68" t="inlineStr">
        <is>
          <t>Levantamento de Erros Operacionais</t>
        </is>
      </c>
      <c r="E103" s="53" t="n"/>
      <c r="F103" s="53" t="n"/>
      <c r="G103" s="69" t="inlineStr">
        <is>
          <t>C</t>
        </is>
      </c>
      <c r="H103" s="70">
        <f>IF($G103="A",CONFIG!$B$5,IF($G103="B",CONFIG!$B$6,IF($G103="C",CONFIG!$B$7,IF($G103="Todos","Todos os turnos",""))))</f>
        <v/>
      </c>
      <c r="I103" s="53" t="n"/>
      <c r="J103" s="71" t="inlineStr">
        <is>
          <t>—</t>
        </is>
      </c>
      <c r="K103" s="53" t="n"/>
      <c r="L103" s="72" t="n"/>
      <c r="M103" s="53" t="n"/>
      <c r="N103" s="73" t="n"/>
      <c r="O103" s="74" t="n"/>
      <c r="P103" s="75" t="n"/>
      <c r="Q103" s="53" t="n"/>
      <c r="R103" s="76">
        <f>IF($C103="","",IF($O103="Cancelada","Cancelada",IF($O103="Reprovado","Reprovada",IF($O103="Aprovado","Aprovada",IF($L103&lt;&gt;"","Entregue",IF(TODAY()&gt;$C103,"Atrasada","Pendente"))))))</f>
        <v/>
      </c>
    </row>
    <row r="104">
      <c r="A104" s="65" t="inlineStr">
        <is>
          <t>JUL-S31-SUP-A</t>
        </is>
      </c>
      <c r="B104" s="66" t="inlineStr">
        <is>
          <t>S31</t>
        </is>
      </c>
      <c r="C104" s="67" t="n">
        <v>46231</v>
      </c>
      <c r="D104" s="68" t="inlineStr">
        <is>
          <t>Suporte de Supervisores</t>
        </is>
      </c>
      <c r="E104" s="53" t="n"/>
      <c r="F104" s="53" t="n"/>
      <c r="G104" s="69" t="inlineStr">
        <is>
          <t>A</t>
        </is>
      </c>
      <c r="H104" s="70">
        <f>IF($G104="A",CONFIG!$B$5,IF($G104="B",CONFIG!$B$6,IF($G104="C",CONFIG!$B$7,IF($G104="Todos","Todos os turnos",""))))</f>
        <v/>
      </c>
      <c r="I104" s="53" t="n"/>
      <c r="J104" s="71" t="inlineStr">
        <is>
          <t>—</t>
        </is>
      </c>
      <c r="K104" s="53" t="n"/>
      <c r="L104" s="72" t="n"/>
      <c r="M104" s="53" t="n"/>
      <c r="N104" s="73" t="n"/>
      <c r="O104" s="74" t="n"/>
      <c r="P104" s="75" t="n"/>
      <c r="Q104" s="53" t="n"/>
      <c r="R104" s="76">
        <f>IF($C104="","",IF($O104="Cancelada","Cancelada",IF($O104="Reprovado","Reprovada",IF($O104="Aprovado","Aprovada",IF($L104&lt;&gt;"","Entregue",IF(TODAY()&gt;$C104,"Atrasada","Pendente"))))))</f>
        <v/>
      </c>
    </row>
    <row r="105">
      <c r="A105" s="65" t="inlineStr">
        <is>
          <t>JUL-S31-SUP-B</t>
        </is>
      </c>
      <c r="B105" s="66" t="inlineStr">
        <is>
          <t>S31</t>
        </is>
      </c>
      <c r="C105" s="67" t="n">
        <v>46231</v>
      </c>
      <c r="D105" s="68" t="inlineStr">
        <is>
          <t>Suporte de Supervisores</t>
        </is>
      </c>
      <c r="E105" s="53" t="n"/>
      <c r="F105" s="53" t="n"/>
      <c r="G105" s="69" t="inlineStr">
        <is>
          <t>B</t>
        </is>
      </c>
      <c r="H105" s="70">
        <f>IF($G105="A",CONFIG!$B$5,IF($G105="B",CONFIG!$B$6,IF($G105="C",CONFIG!$B$7,IF($G105="Todos","Todos os turnos",""))))</f>
        <v/>
      </c>
      <c r="I105" s="53" t="n"/>
      <c r="J105" s="71" t="inlineStr">
        <is>
          <t>—</t>
        </is>
      </c>
      <c r="K105" s="53" t="n"/>
      <c r="L105" s="72" t="n"/>
      <c r="M105" s="53" t="n"/>
      <c r="N105" s="73" t="n"/>
      <c r="O105" s="74" t="n"/>
      <c r="P105" s="75" t="n"/>
      <c r="Q105" s="53" t="n"/>
      <c r="R105" s="76">
        <f>IF($C105="","",IF($O105="Cancelada","Cancelada",IF($O105="Reprovado","Reprovada",IF($O105="Aprovado","Aprovada",IF($L105&lt;&gt;"","Entregue",IF(TODAY()&gt;$C105,"Atrasada","Pendente"))))))</f>
        <v/>
      </c>
    </row>
    <row r="106">
      <c r="A106" s="65" t="inlineStr">
        <is>
          <t>JUL-S31-SUP-C</t>
        </is>
      </c>
      <c r="B106" s="66" t="inlineStr">
        <is>
          <t>S31</t>
        </is>
      </c>
      <c r="C106" s="67" t="n">
        <v>46231</v>
      </c>
      <c r="D106" s="68" t="inlineStr">
        <is>
          <t>Suporte de Supervisores</t>
        </is>
      </c>
      <c r="E106" s="53" t="n"/>
      <c r="F106" s="53" t="n"/>
      <c r="G106" s="69" t="inlineStr">
        <is>
          <t>C</t>
        </is>
      </c>
      <c r="H106" s="70">
        <f>IF($G106="A",CONFIG!$B$5,IF($G106="B",CONFIG!$B$6,IF($G106="C",CONFIG!$B$7,IF($G106="Todos","Todos os turnos",""))))</f>
        <v/>
      </c>
      <c r="I106" s="53" t="n"/>
      <c r="J106" s="71" t="inlineStr">
        <is>
          <t>—</t>
        </is>
      </c>
      <c r="K106" s="53" t="n"/>
      <c r="L106" s="72" t="n"/>
      <c r="M106" s="53" t="n"/>
      <c r="N106" s="73" t="n"/>
      <c r="O106" s="74" t="n"/>
      <c r="P106" s="75" t="n"/>
      <c r="Q106" s="53" t="n"/>
      <c r="R106" s="76">
        <f>IF($C106="","",IF($O106="Cancelada","Cancelada",IF($O106="Reprovado","Reprovada",IF($O106="Aprovado","Aprovada",IF($L106&lt;&gt;"","Entregue",IF(TODAY()&gt;$C106,"Atrasada","Pendente"))))))</f>
        <v/>
      </c>
    </row>
    <row r="107">
      <c r="A107" s="65" t="inlineStr">
        <is>
          <t>JUL-S31-VIS-A</t>
        </is>
      </c>
      <c r="B107" s="66" t="inlineStr">
        <is>
          <t>S31</t>
        </is>
      </c>
      <c r="C107" s="67" t="n">
        <v>46232</v>
      </c>
      <c r="D107" s="68" t="inlineStr">
        <is>
          <t>Acomp. Organizacional Setorial (Vistoria)</t>
        </is>
      </c>
      <c r="E107" s="53" t="n"/>
      <c r="F107" s="53" t="n"/>
      <c r="G107" s="69" t="inlineStr">
        <is>
          <t>A</t>
        </is>
      </c>
      <c r="H107" s="70">
        <f>IF($G107="A",CONFIG!$B$5,IF($G107="B",CONFIG!$B$6,IF($G107="C",CONFIG!$B$7,IF($G107="Todos","Todos os turnos",""))))</f>
        <v/>
      </c>
      <c r="I107" s="53" t="n"/>
      <c r="J107" s="77" t="n"/>
      <c r="K107" s="53" t="n"/>
      <c r="L107" s="72" t="n"/>
      <c r="M107" s="53" t="n"/>
      <c r="N107" s="73" t="n"/>
      <c r="O107" s="74" t="n"/>
      <c r="P107" s="75" t="n"/>
      <c r="Q107" s="53" t="n"/>
      <c r="R107" s="76">
        <f>IF($C107="","",IF($O107="Cancelada","Cancelada",IF($O107="Reprovado","Reprovada",IF($O107="Aprovado","Aprovada",IF($L107&lt;&gt;"","Entregue",IF(TODAY()&gt;$C107,"Atrasada","Pendente"))))))</f>
        <v/>
      </c>
    </row>
    <row r="108">
      <c r="A108" s="65" t="inlineStr">
        <is>
          <t>JUL-S31-VIS-B</t>
        </is>
      </c>
      <c r="B108" s="66" t="inlineStr">
        <is>
          <t>S31</t>
        </is>
      </c>
      <c r="C108" s="67" t="n">
        <v>46232</v>
      </c>
      <c r="D108" s="68" t="inlineStr">
        <is>
          <t>Acomp. Organizacional Setorial (Vistoria)</t>
        </is>
      </c>
      <c r="E108" s="53" t="n"/>
      <c r="F108" s="53" t="n"/>
      <c r="G108" s="69" t="inlineStr">
        <is>
          <t>B</t>
        </is>
      </c>
      <c r="H108" s="70">
        <f>IF($G108="A",CONFIG!$B$5,IF($G108="B",CONFIG!$B$6,IF($G108="C",CONFIG!$B$7,IF($G108="Todos","Todos os turnos",""))))</f>
        <v/>
      </c>
      <c r="I108" s="53" t="n"/>
      <c r="J108" s="77" t="n"/>
      <c r="K108" s="53" t="n"/>
      <c r="L108" s="72" t="n"/>
      <c r="M108" s="53" t="n"/>
      <c r="N108" s="73" t="n"/>
      <c r="O108" s="74" t="n"/>
      <c r="P108" s="75" t="n"/>
      <c r="Q108" s="53" t="n"/>
      <c r="R108" s="76">
        <f>IF($C108="","",IF($O108="Cancelada","Cancelada",IF($O108="Reprovado","Reprovada",IF($O108="Aprovado","Aprovada",IF($L108&lt;&gt;"","Entregue",IF(TODAY()&gt;$C108,"Atrasada","Pendente"))))))</f>
        <v/>
      </c>
    </row>
    <row r="109">
      <c r="A109" s="65" t="inlineStr">
        <is>
          <t>JUL-S31-VIS-C</t>
        </is>
      </c>
      <c r="B109" s="66" t="inlineStr">
        <is>
          <t>S31</t>
        </is>
      </c>
      <c r="C109" s="67" t="n">
        <v>46232</v>
      </c>
      <c r="D109" s="68" t="inlineStr">
        <is>
          <t>Acomp. Organizacional Setorial (Vistoria)</t>
        </is>
      </c>
      <c r="E109" s="53" t="n"/>
      <c r="F109" s="53" t="n"/>
      <c r="G109" s="69" t="inlineStr">
        <is>
          <t>C</t>
        </is>
      </c>
      <c r="H109" s="70">
        <f>IF($G109="A",CONFIG!$B$5,IF($G109="B",CONFIG!$B$6,IF($G109="C",CONFIG!$B$7,IF($G109="Todos","Todos os turnos",""))))</f>
        <v/>
      </c>
      <c r="I109" s="53" t="n"/>
      <c r="J109" s="77" t="n"/>
      <c r="K109" s="53" t="n"/>
      <c r="L109" s="72" t="n"/>
      <c r="M109" s="53" t="n"/>
      <c r="N109" s="73" t="n"/>
      <c r="O109" s="74" t="n"/>
      <c r="P109" s="75" t="n"/>
      <c r="Q109" s="53" t="n"/>
      <c r="R109" s="76">
        <f>IF($C109="","",IF($O109="Cancelada","Cancelada",IF($O109="Reprovado","Reprovada",IF($O109="Aprovado","Aprovada",IF($L109&lt;&gt;"","Entregue",IF(TODAY()&gt;$C109,"Atrasada","Pendente"))))))</f>
        <v/>
      </c>
    </row>
    <row r="110">
      <c r="A110" s="65" t="inlineStr">
        <is>
          <t>JUL-S31-MET-A</t>
        </is>
      </c>
      <c r="B110" s="66" t="inlineStr">
        <is>
          <t>S31</t>
        </is>
      </c>
      <c r="C110" s="67" t="n">
        <v>46233</v>
      </c>
      <c r="D110" s="68" t="inlineStr">
        <is>
          <t>Metas</t>
        </is>
      </c>
      <c r="E110" s="53" t="n"/>
      <c r="F110" s="53" t="n"/>
      <c r="G110" s="69" t="inlineStr">
        <is>
          <t>A</t>
        </is>
      </c>
      <c r="H110" s="70">
        <f>IF($G110="A",CONFIG!$B$5,IF($G110="B",CONFIG!$B$6,IF($G110="C",CONFIG!$B$7,IF($G110="Todos","Todos os turnos",""))))</f>
        <v/>
      </c>
      <c r="I110" s="53" t="n"/>
      <c r="J110" s="71" t="inlineStr">
        <is>
          <t>—</t>
        </is>
      </c>
      <c r="K110" s="53" t="n"/>
      <c r="L110" s="72" t="n"/>
      <c r="M110" s="53" t="n"/>
      <c r="N110" s="73" t="n"/>
      <c r="O110" s="74" t="n"/>
      <c r="P110" s="75" t="n"/>
      <c r="Q110" s="53" t="n"/>
      <c r="R110" s="76">
        <f>IF($C110="","",IF($O110="Cancelada","Cancelada",IF($O110="Reprovado","Reprovada",IF($O110="Aprovado","Aprovada",IF($L110&lt;&gt;"","Entregue",IF(TODAY()&gt;$C110,"Atrasada","Pendente"))))))</f>
        <v/>
      </c>
    </row>
    <row r="111">
      <c r="A111" s="65" t="inlineStr">
        <is>
          <t>JUL-S31-MET-B</t>
        </is>
      </c>
      <c r="B111" s="66" t="inlineStr">
        <is>
          <t>S31</t>
        </is>
      </c>
      <c r="C111" s="67" t="n">
        <v>46233</v>
      </c>
      <c r="D111" s="68" t="inlineStr">
        <is>
          <t>Metas</t>
        </is>
      </c>
      <c r="E111" s="53" t="n"/>
      <c r="F111" s="53" t="n"/>
      <c r="G111" s="69" t="inlineStr">
        <is>
          <t>B</t>
        </is>
      </c>
      <c r="H111" s="70">
        <f>IF($G111="A",CONFIG!$B$5,IF($G111="B",CONFIG!$B$6,IF($G111="C",CONFIG!$B$7,IF($G111="Todos","Todos os turnos",""))))</f>
        <v/>
      </c>
      <c r="I111" s="53" t="n"/>
      <c r="J111" s="71" t="inlineStr">
        <is>
          <t>—</t>
        </is>
      </c>
      <c r="K111" s="53" t="n"/>
      <c r="L111" s="72" t="n"/>
      <c r="M111" s="53" t="n"/>
      <c r="N111" s="73" t="n"/>
      <c r="O111" s="74" t="n"/>
      <c r="P111" s="75" t="n"/>
      <c r="Q111" s="53" t="n"/>
      <c r="R111" s="76">
        <f>IF($C111="","",IF($O111="Cancelada","Cancelada",IF($O111="Reprovado","Reprovada",IF($O111="Aprovado","Aprovada",IF($L111&lt;&gt;"","Entregue",IF(TODAY()&gt;$C111,"Atrasada","Pendente"))))))</f>
        <v/>
      </c>
    </row>
    <row r="112">
      <c r="A112" s="65" t="inlineStr">
        <is>
          <t>JUL-S31-MET-C</t>
        </is>
      </c>
      <c r="B112" s="66" t="inlineStr">
        <is>
          <t>S31</t>
        </is>
      </c>
      <c r="C112" s="67" t="n">
        <v>46233</v>
      </c>
      <c r="D112" s="68" t="inlineStr">
        <is>
          <t>Metas</t>
        </is>
      </c>
      <c r="E112" s="53" t="n"/>
      <c r="F112" s="53" t="n"/>
      <c r="G112" s="69" t="inlineStr">
        <is>
          <t>C</t>
        </is>
      </c>
      <c r="H112" s="70">
        <f>IF($G112="A",CONFIG!$B$5,IF($G112="B",CONFIG!$B$6,IF($G112="C",CONFIG!$B$7,IF($G112="Todos","Todos os turnos",""))))</f>
        <v/>
      </c>
      <c r="I112" s="53" t="n"/>
      <c r="J112" s="71" t="inlineStr">
        <is>
          <t>—</t>
        </is>
      </c>
      <c r="K112" s="53" t="n"/>
      <c r="L112" s="72" t="n"/>
      <c r="M112" s="53" t="n"/>
      <c r="N112" s="73" t="n"/>
      <c r="O112" s="74" t="n"/>
      <c r="P112" s="75" t="n"/>
      <c r="Q112" s="53" t="n"/>
      <c r="R112" s="76">
        <f>IF($C112="","",IF($O112="Cancelada","Cancelada",IF($O112="Reprovado","Reprovada",IF($O112="Aprovado","Aprovada",IF($L112&lt;&gt;"","Entregue",IF(TODAY()&gt;$C112,"Atrasada","Pendente"))))))</f>
        <v/>
      </c>
    </row>
    <row r="113">
      <c r="A113" s="65" t="inlineStr">
        <is>
          <t>JUL-S31-ACO-A</t>
        </is>
      </c>
      <c r="B113" s="66" t="inlineStr">
        <is>
          <t>S31</t>
        </is>
      </c>
      <c r="C113" s="67" t="n">
        <v>46234</v>
      </c>
      <c r="D113" s="68" t="inlineStr">
        <is>
          <t>Acompanhamento Semanal c/ Supervisores</t>
        </is>
      </c>
      <c r="E113" s="53" t="n"/>
      <c r="F113" s="53" t="n"/>
      <c r="G113" s="69" t="inlineStr">
        <is>
          <t>A</t>
        </is>
      </c>
      <c r="H113" s="70">
        <f>IF($G113="A",CONFIG!$B$5,IF($G113="B",CONFIG!$B$6,IF($G113="C",CONFIG!$B$7,IF($G113="Todos","Todos os turnos",""))))</f>
        <v/>
      </c>
      <c r="I113" s="53" t="n"/>
      <c r="J113" s="71" t="inlineStr">
        <is>
          <t>—</t>
        </is>
      </c>
      <c r="K113" s="53" t="n"/>
      <c r="L113" s="72" t="n"/>
      <c r="M113" s="53" t="n"/>
      <c r="N113" s="73" t="n"/>
      <c r="O113" s="74" t="n"/>
      <c r="P113" s="75" t="n"/>
      <c r="Q113" s="53" t="n"/>
      <c r="R113" s="76">
        <f>IF($C113="","",IF($O113="Cancelada","Cancelada",IF($O113="Reprovado","Reprovada",IF($O113="Aprovado","Aprovada",IF($L113&lt;&gt;"","Entregue",IF(TODAY()&gt;$C113,"Atrasada","Pendente"))))))</f>
        <v/>
      </c>
    </row>
    <row r="114">
      <c r="A114" s="65" t="inlineStr">
        <is>
          <t>JUL-S31-ACO-B</t>
        </is>
      </c>
      <c r="B114" s="66" t="inlineStr">
        <is>
          <t>S31</t>
        </is>
      </c>
      <c r="C114" s="67" t="n">
        <v>46234</v>
      </c>
      <c r="D114" s="68" t="inlineStr">
        <is>
          <t>Acompanhamento Semanal c/ Supervisores</t>
        </is>
      </c>
      <c r="E114" s="53" t="n"/>
      <c r="F114" s="53" t="n"/>
      <c r="G114" s="69" t="inlineStr">
        <is>
          <t>B</t>
        </is>
      </c>
      <c r="H114" s="70">
        <f>IF($G114="A",CONFIG!$B$5,IF($G114="B",CONFIG!$B$6,IF($G114="C",CONFIG!$B$7,IF($G114="Todos","Todos os turnos",""))))</f>
        <v/>
      </c>
      <c r="I114" s="53" t="n"/>
      <c r="J114" s="71" t="inlineStr">
        <is>
          <t>—</t>
        </is>
      </c>
      <c r="K114" s="53" t="n"/>
      <c r="L114" s="72" t="n"/>
      <c r="M114" s="53" t="n"/>
      <c r="N114" s="73" t="n"/>
      <c r="O114" s="74" t="n"/>
      <c r="P114" s="75" t="n"/>
      <c r="Q114" s="53" t="n"/>
      <c r="R114" s="76">
        <f>IF($C114="","",IF($O114="Cancelada","Cancelada",IF($O114="Reprovado","Reprovada",IF($O114="Aprovado","Aprovada",IF($L114&lt;&gt;"","Entregue",IF(TODAY()&gt;$C114,"Atrasada","Pendente"))))))</f>
        <v/>
      </c>
    </row>
    <row r="115">
      <c r="A115" s="65" t="inlineStr">
        <is>
          <t>JUL-S31-ACO-C</t>
        </is>
      </c>
      <c r="B115" s="66" t="inlineStr">
        <is>
          <t>S31</t>
        </is>
      </c>
      <c r="C115" s="67" t="n">
        <v>46234</v>
      </c>
      <c r="D115" s="68" t="inlineStr">
        <is>
          <t>Acompanhamento Semanal c/ Supervisores</t>
        </is>
      </c>
      <c r="E115" s="53" t="n"/>
      <c r="F115" s="53" t="n"/>
      <c r="G115" s="69" t="inlineStr">
        <is>
          <t>C</t>
        </is>
      </c>
      <c r="H115" s="70">
        <f>IF($G115="A",CONFIG!$B$5,IF($G115="B",CONFIG!$B$6,IF($G115="C",CONFIG!$B$7,IF($G115="Todos","Todos os turnos",""))))</f>
        <v/>
      </c>
      <c r="I115" s="53" t="n"/>
      <c r="J115" s="71" t="inlineStr">
        <is>
          <t>—</t>
        </is>
      </c>
      <c r="K115" s="53" t="n"/>
      <c r="L115" s="72" t="n"/>
      <c r="M115" s="53" t="n"/>
      <c r="N115" s="73" t="n"/>
      <c r="O115" s="74" t="n"/>
      <c r="P115" s="75" t="n"/>
      <c r="Q115" s="53" t="n"/>
      <c r="R115" s="76">
        <f>IF($C115="","",IF($O115="Cancelada","Cancelada",IF($O115="Reprovado","Reprovada",IF($O115="Aprovado","Aprovada",IF($L115&lt;&gt;"","Entregue",IF(TODAY()&gt;$C115,"Atrasada","Pendente"))))))</f>
        <v/>
      </c>
    </row>
    <row r="116">
      <c r="A116" s="65" t="inlineStr">
        <is>
          <t>JUL-S31-FAL-A</t>
        </is>
      </c>
      <c r="B116" s="66" t="inlineStr">
        <is>
          <t>S31</t>
        </is>
      </c>
      <c r="C116" s="67" t="n">
        <v>46234</v>
      </c>
      <c r="D116" s="68" t="inlineStr">
        <is>
          <t>Faltas e Atestados</t>
        </is>
      </c>
      <c r="E116" s="53" t="n"/>
      <c r="F116" s="53" t="n"/>
      <c r="G116" s="69" t="inlineStr">
        <is>
          <t>A</t>
        </is>
      </c>
      <c r="H116" s="70">
        <f>IF($G116="A",CONFIG!$B$5,IF($G116="B",CONFIG!$B$6,IF($G116="C",CONFIG!$B$7,IF($G116="Todos","Todos os turnos",""))))</f>
        <v/>
      </c>
      <c r="I116" s="53" t="n"/>
      <c r="J116" s="71" t="inlineStr">
        <is>
          <t>—</t>
        </is>
      </c>
      <c r="K116" s="53" t="n"/>
      <c r="L116" s="72" t="n"/>
      <c r="M116" s="53" t="n"/>
      <c r="N116" s="73" t="n"/>
      <c r="O116" s="74" t="n"/>
      <c r="P116" s="75" t="n"/>
      <c r="Q116" s="53" t="n"/>
      <c r="R116" s="76">
        <f>IF($C116="","",IF($O116="Cancelada","Cancelada",IF($O116="Reprovado","Reprovada",IF($O116="Aprovado","Aprovada",IF($L116&lt;&gt;"","Entregue",IF(TODAY()&gt;$C116,"Atrasada","Pendente"))))))</f>
        <v/>
      </c>
    </row>
    <row r="117">
      <c r="A117" s="65" t="inlineStr">
        <is>
          <t>JUL-S31-FAL-B</t>
        </is>
      </c>
      <c r="B117" s="66" t="inlineStr">
        <is>
          <t>S31</t>
        </is>
      </c>
      <c r="C117" s="67" t="n">
        <v>46234</v>
      </c>
      <c r="D117" s="68" t="inlineStr">
        <is>
          <t>Faltas e Atestados</t>
        </is>
      </c>
      <c r="E117" s="53" t="n"/>
      <c r="F117" s="53" t="n"/>
      <c r="G117" s="69" t="inlineStr">
        <is>
          <t>B</t>
        </is>
      </c>
      <c r="H117" s="70">
        <f>IF($G117="A",CONFIG!$B$5,IF($G117="B",CONFIG!$B$6,IF($G117="C",CONFIG!$B$7,IF($G117="Todos","Todos os turnos",""))))</f>
        <v/>
      </c>
      <c r="I117" s="53" t="n"/>
      <c r="J117" s="71" t="inlineStr">
        <is>
          <t>—</t>
        </is>
      </c>
      <c r="K117" s="53" t="n"/>
      <c r="L117" s="72" t="n"/>
      <c r="M117" s="53" t="n"/>
      <c r="N117" s="73" t="n"/>
      <c r="O117" s="74" t="n"/>
      <c r="P117" s="75" t="n"/>
      <c r="Q117" s="53" t="n"/>
      <c r="R117" s="76">
        <f>IF($C117="","",IF($O117="Cancelada","Cancelada",IF($O117="Reprovado","Reprovada",IF($O117="Aprovado","Aprovada",IF($L117&lt;&gt;"","Entregue",IF(TODAY()&gt;$C117,"Atrasada","Pendente"))))))</f>
        <v/>
      </c>
    </row>
    <row r="118">
      <c r="A118" s="65" t="inlineStr">
        <is>
          <t>JUL-S31-FAL-C</t>
        </is>
      </c>
      <c r="B118" s="66" t="inlineStr">
        <is>
          <t>S31</t>
        </is>
      </c>
      <c r="C118" s="67" t="n">
        <v>46234</v>
      </c>
      <c r="D118" s="68" t="inlineStr">
        <is>
          <t>Faltas e Atestados</t>
        </is>
      </c>
      <c r="E118" s="53" t="n"/>
      <c r="F118" s="53" t="n"/>
      <c r="G118" s="69" t="inlineStr">
        <is>
          <t>C</t>
        </is>
      </c>
      <c r="H118" s="70">
        <f>IF($G118="A",CONFIG!$B$5,IF($G118="B",CONFIG!$B$6,IF($G118="C",CONFIG!$B$7,IF($G118="Todos","Todos os turnos",""))))</f>
        <v/>
      </c>
      <c r="I118" s="53" t="n"/>
      <c r="J118" s="71" t="inlineStr">
        <is>
          <t>—</t>
        </is>
      </c>
      <c r="K118" s="53" t="n"/>
      <c r="L118" s="72" t="n"/>
      <c r="M118" s="53" t="n"/>
      <c r="N118" s="73" t="n"/>
      <c r="O118" s="74" t="n"/>
      <c r="P118" s="75" t="n"/>
      <c r="Q118" s="53" t="n"/>
      <c r="R118" s="76">
        <f>IF($C118="","",IF($O118="Cancelada","Cancelada",IF($O118="Reprovado","Reprovada",IF($O118="Aprovado","Aprovada",IF($L118&lt;&gt;"","Entregue",IF(TODAY()&gt;$C118,"Atrasada","Pendente"))))))</f>
        <v/>
      </c>
    </row>
    <row r="119">
      <c r="A119" s="65" t="inlineStr">
        <is>
          <t>JUL-S31-REU-T</t>
        </is>
      </c>
      <c r="B119" s="66" t="inlineStr">
        <is>
          <t>S31</t>
        </is>
      </c>
      <c r="C119" s="67" t="n">
        <v>46234</v>
      </c>
      <c r="D119" s="68" t="inlineStr">
        <is>
          <t>Reunião Semanal com a Gerência</t>
        </is>
      </c>
      <c r="E119" s="53" t="n"/>
      <c r="F119" s="53" t="n"/>
      <c r="G119" s="69" t="inlineStr">
        <is>
          <t>Todos</t>
        </is>
      </c>
      <c r="H119" s="70">
        <f>IF($G119="A",CONFIG!$B$5,IF($G119="B",CONFIG!$B$6,IF($G119="C",CONFIG!$B$7,IF($G119="Todos","Todos os turnos",""))))</f>
        <v/>
      </c>
      <c r="I119" s="53" t="n"/>
      <c r="J119" s="71" t="inlineStr">
        <is>
          <t>—</t>
        </is>
      </c>
      <c r="K119" s="53" t="n"/>
      <c r="L119" s="72" t="n"/>
      <c r="M119" s="53" t="n"/>
      <c r="N119" s="73" t="n"/>
      <c r="O119" s="74" t="n"/>
      <c r="P119" s="75" t="n"/>
      <c r="Q119" s="53" t="n"/>
      <c r="R119" s="76">
        <f>IF($C119="","",IF($O119="Cancelada","Cancelada",IF($O119="Reprovado","Reprovada",IF($O119="Aprovado","Aprovada",IF($L119&lt;&gt;"","Entregue",IF(TODAY()&gt;$C119,"Atrasada","Pendente"))))))</f>
        <v/>
      </c>
    </row>
    <row r="120">
      <c r="A120" s="65" t="inlineStr">
        <is>
          <t>JUL-S31-MDF-T</t>
        </is>
      </c>
      <c r="B120" s="66" t="inlineStr">
        <is>
          <t>S31</t>
        </is>
      </c>
      <c r="C120" s="67" t="n">
        <v>46234</v>
      </c>
      <c r="D120" s="68" t="inlineStr">
        <is>
          <t>Mudança de Função — reunião mensal</t>
        </is>
      </c>
      <c r="E120" s="53" t="n"/>
      <c r="F120" s="53" t="n"/>
      <c r="G120" s="69" t="inlineStr">
        <is>
          <t>Todos</t>
        </is>
      </c>
      <c r="H120" s="70">
        <f>IF($G120="A",CONFIG!$B$5,IF($G120="B",CONFIG!$B$6,IF($G120="C",CONFIG!$B$7,IF($G120="Todos","Todos os turnos",""))))</f>
        <v/>
      </c>
      <c r="I120" s="53" t="n"/>
      <c r="J120" s="71" t="inlineStr">
        <is>
          <t>—</t>
        </is>
      </c>
      <c r="K120" s="53" t="n"/>
      <c r="L120" s="72" t="n"/>
      <c r="M120" s="53" t="n"/>
      <c r="N120" s="73" t="n"/>
      <c r="O120" s="74" t="n"/>
      <c r="P120" s="75" t="n"/>
      <c r="Q120" s="53" t="n"/>
      <c r="R120" s="76">
        <f>IF($C120="","",IF($O120="Cancelada","Cancelada",IF($O120="Reprovado","Reprovada",IF($O120="Aprovado","Aprovada",IF($L120&lt;&gt;"","Entregue",IF(TODAY()&gt;$C120,"Atrasada","Pendente"))))))</f>
        <v/>
      </c>
    </row>
    <row r="121">
      <c r="A121" s="78" t="inlineStr">
        <is>
          <t>TREINAMENTOS PROGRAMADOS PELO GERENTE — preencha PRAZO + tema; os coordenadores serão avisados por e-mail</t>
        </is>
      </c>
    </row>
    <row r="122" ht="14" customHeight="1">
      <c r="A122" s="79" t="inlineStr">
        <is>
          <t>Como usar: o gerente preenche apenas o PRAZO (data), completa o tema em ATIVIDADE e escolhe o TURNO. O resto fica em branco até o treinamento ocorrer; depois o coordenador anexa a lista de presença em LINK DO ANEXO e o gerente valida.</t>
        </is>
      </c>
    </row>
    <row r="123">
      <c r="A123" s="65" t="inlineStr">
        <is>
          <t>JUL-TRE-1</t>
        </is>
      </c>
      <c r="B123" s="66">
        <f>IF($C123="","","S"&amp;ISOWEEKNUM($C123))</f>
        <v/>
      </c>
      <c r="C123" s="67" t="n"/>
      <c r="D123" s="80" t="inlineStr">
        <is>
          <t xml:space="preserve">Treinamento com Colaboradores — tema: </t>
        </is>
      </c>
      <c r="E123" s="53" t="n"/>
      <c r="F123" s="53" t="n"/>
      <c r="G123" s="81" t="inlineStr">
        <is>
          <t>Todos</t>
        </is>
      </c>
      <c r="H123" s="70">
        <f>IF($G123="A",CONFIG!$B$5,IF($G123="B",CONFIG!$B$6,IF($G123="C",CONFIG!$B$7,IF($G123="Todos","Todos os turnos",""))))</f>
        <v/>
      </c>
      <c r="I123" s="53" t="n"/>
      <c r="J123" s="71" t="inlineStr">
        <is>
          <t>—</t>
        </is>
      </c>
      <c r="K123" s="53" t="n"/>
      <c r="L123" s="72" t="n"/>
      <c r="M123" s="53" t="n"/>
      <c r="N123" s="73" t="n"/>
      <c r="O123" s="74" t="n"/>
      <c r="P123" s="75" t="n"/>
      <c r="Q123" s="53" t="n"/>
      <c r="R123" s="76">
        <f>IF($C123="","Não agendado",IF($O123="Cancelada","Cancelada",IF($O123="Reprovado","Reprovada",IF($O123="Aprovado","Aprovada",IF($L123&lt;&gt;"","Entregue",IF(TODAY()&gt;$C123,"Atrasada","Pendente"))))))</f>
        <v/>
      </c>
    </row>
    <row r="124">
      <c r="A124" s="65" t="inlineStr">
        <is>
          <t>JUL-TRE-2</t>
        </is>
      </c>
      <c r="B124" s="66">
        <f>IF($C124="","","S"&amp;ISOWEEKNUM($C124))</f>
        <v/>
      </c>
      <c r="C124" s="67" t="n"/>
      <c r="D124" s="80" t="inlineStr">
        <is>
          <t xml:space="preserve">Treinamento com Colaboradores — tema: </t>
        </is>
      </c>
      <c r="E124" s="53" t="n"/>
      <c r="F124" s="53" t="n"/>
      <c r="G124" s="81" t="inlineStr">
        <is>
          <t>Todos</t>
        </is>
      </c>
      <c r="H124" s="70">
        <f>IF($G124="A",CONFIG!$B$5,IF($G124="B",CONFIG!$B$6,IF($G124="C",CONFIG!$B$7,IF($G124="Todos","Todos os turnos",""))))</f>
        <v/>
      </c>
      <c r="I124" s="53" t="n"/>
      <c r="J124" s="71" t="inlineStr">
        <is>
          <t>—</t>
        </is>
      </c>
      <c r="K124" s="53" t="n"/>
      <c r="L124" s="72" t="n"/>
      <c r="M124" s="53" t="n"/>
      <c r="N124" s="73" t="n"/>
      <c r="O124" s="74" t="n"/>
      <c r="P124" s="75" t="n"/>
      <c r="Q124" s="53" t="n"/>
      <c r="R124" s="76">
        <f>IF($C124="","Não agendado",IF($O124="Cancelada","Cancelada",IF($O124="Reprovado","Reprovada",IF($O124="Aprovado","Aprovada",IF($L124&lt;&gt;"","Entregue",IF(TODAY()&gt;$C124,"Atrasada","Pendente"))))))</f>
        <v/>
      </c>
    </row>
    <row r="125">
      <c r="A125" s="65" t="inlineStr">
        <is>
          <t>JUL-TRE-3</t>
        </is>
      </c>
      <c r="B125" s="66">
        <f>IF($C125="","","S"&amp;ISOWEEKNUM($C125))</f>
        <v/>
      </c>
      <c r="C125" s="67" t="n"/>
      <c r="D125" s="80" t="inlineStr">
        <is>
          <t xml:space="preserve">Treinamento com Colaboradores — tema: </t>
        </is>
      </c>
      <c r="E125" s="53" t="n"/>
      <c r="F125" s="53" t="n"/>
      <c r="G125" s="81" t="inlineStr">
        <is>
          <t>Todos</t>
        </is>
      </c>
      <c r="H125" s="70">
        <f>IF($G125="A",CONFIG!$B$5,IF($G125="B",CONFIG!$B$6,IF($G125="C",CONFIG!$B$7,IF($G125="Todos","Todos os turnos",""))))</f>
        <v/>
      </c>
      <c r="I125" s="53" t="n"/>
      <c r="J125" s="71" t="inlineStr">
        <is>
          <t>—</t>
        </is>
      </c>
      <c r="K125" s="53" t="n"/>
      <c r="L125" s="72" t="n"/>
      <c r="M125" s="53" t="n"/>
      <c r="N125" s="73" t="n"/>
      <c r="O125" s="74" t="n"/>
      <c r="P125" s="75" t="n"/>
      <c r="Q125" s="53" t="n"/>
      <c r="R125" s="76">
        <f>IF($C125="","Não agendado",IF($O125="Cancelada","Cancelada",IF($O125="Reprovado","Reprovada",IF($O125="Aprovado","Aprovada",IF($L125&lt;&gt;"","Entregue",IF(TODAY()&gt;$C125,"Atrasada","Pendente"))))))</f>
        <v/>
      </c>
    </row>
    <row r="126">
      <c r="A126" s="65" t="inlineStr">
        <is>
          <t>JUL-TRE-4</t>
        </is>
      </c>
      <c r="B126" s="66">
        <f>IF($C126="","","S"&amp;ISOWEEKNUM($C126))</f>
        <v/>
      </c>
      <c r="C126" s="67" t="n"/>
      <c r="D126" s="80" t="inlineStr">
        <is>
          <t xml:space="preserve">Treinamento com Colaboradores — tema: </t>
        </is>
      </c>
      <c r="E126" s="53" t="n"/>
      <c r="F126" s="53" t="n"/>
      <c r="G126" s="81" t="inlineStr">
        <is>
          <t>Todos</t>
        </is>
      </c>
      <c r="H126" s="70">
        <f>IF($G126="A",CONFIG!$B$5,IF($G126="B",CONFIG!$B$6,IF($G126="C",CONFIG!$B$7,IF($G126="Todos","Todos os turnos",""))))</f>
        <v/>
      </c>
      <c r="I126" s="53" t="n"/>
      <c r="J126" s="71" t="inlineStr">
        <is>
          <t>—</t>
        </is>
      </c>
      <c r="K126" s="53" t="n"/>
      <c r="L126" s="72" t="n"/>
      <c r="M126" s="53" t="n"/>
      <c r="N126" s="73" t="n"/>
      <c r="O126" s="74" t="n"/>
      <c r="P126" s="75" t="n"/>
      <c r="Q126" s="53" t="n"/>
      <c r="R126" s="76">
        <f>IF($C126="","Não agendado",IF($O126="Cancelada","Cancelada",IF($O126="Reprovado","Reprovada",IF($O126="Aprovado","Aprovada",IF($L126&lt;&gt;"","Entregue",IF(TODAY()&gt;$C126,"Atrasada","Pendente"))))))</f>
        <v/>
      </c>
    </row>
    <row r="127">
      <c r="A127" s="65" t="inlineStr">
        <is>
          <t>JUL-TRE-5</t>
        </is>
      </c>
      <c r="B127" s="66">
        <f>IF($C127="","","S"&amp;ISOWEEKNUM($C127))</f>
        <v/>
      </c>
      <c r="C127" s="67" t="n"/>
      <c r="D127" s="80" t="inlineStr">
        <is>
          <t xml:space="preserve">Treinamento com Colaboradores — tema: </t>
        </is>
      </c>
      <c r="E127" s="53" t="n"/>
      <c r="F127" s="53" t="n"/>
      <c r="G127" s="81" t="inlineStr">
        <is>
          <t>Todos</t>
        </is>
      </c>
      <c r="H127" s="70">
        <f>IF($G127="A",CONFIG!$B$5,IF($G127="B",CONFIG!$B$6,IF($G127="C",CONFIG!$B$7,IF($G127="Todos","Todos os turnos",""))))</f>
        <v/>
      </c>
      <c r="I127" s="53" t="n"/>
      <c r="J127" s="71" t="inlineStr">
        <is>
          <t>—</t>
        </is>
      </c>
      <c r="K127" s="53" t="n"/>
      <c r="L127" s="72" t="n"/>
      <c r="M127" s="53" t="n"/>
      <c r="N127" s="73" t="n"/>
      <c r="O127" s="74" t="n"/>
      <c r="P127" s="75" t="n"/>
      <c r="Q127" s="53" t="n"/>
      <c r="R127" s="76">
        <f>IF($C127="","Não agendado",IF($O127="Cancelada","Cancelada",IF($O127="Reprovado","Reprovada",IF($O127="Aprovado","Aprovada",IF($L127&lt;&gt;"","Entregue",IF(TODAY()&gt;$C127,"Atrasada","Pendente"))))))</f>
        <v/>
      </c>
    </row>
    <row r="128">
      <c r="A128" s="65" t="inlineStr">
        <is>
          <t>JUL-TRE-6</t>
        </is>
      </c>
      <c r="B128" s="66">
        <f>IF($C128="","","S"&amp;ISOWEEKNUM($C128))</f>
        <v/>
      </c>
      <c r="C128" s="67" t="n"/>
      <c r="D128" s="80" t="inlineStr">
        <is>
          <t xml:space="preserve">Treinamento com Colaboradores — tema: </t>
        </is>
      </c>
      <c r="E128" s="53" t="n"/>
      <c r="F128" s="53" t="n"/>
      <c r="G128" s="81" t="inlineStr">
        <is>
          <t>Todos</t>
        </is>
      </c>
      <c r="H128" s="70">
        <f>IF($G128="A",CONFIG!$B$5,IF($G128="B",CONFIG!$B$6,IF($G128="C",CONFIG!$B$7,IF($G128="Todos","Todos os turnos",""))))</f>
        <v/>
      </c>
      <c r="I128" s="53" t="n"/>
      <c r="J128" s="71" t="inlineStr">
        <is>
          <t>—</t>
        </is>
      </c>
      <c r="K128" s="53" t="n"/>
      <c r="L128" s="72" t="n"/>
      <c r="M128" s="53" t="n"/>
      <c r="N128" s="73" t="n"/>
      <c r="O128" s="74" t="n"/>
      <c r="P128" s="75" t="n"/>
      <c r="Q128" s="53" t="n"/>
      <c r="R128" s="76">
        <f>IF($C128="","Não agendado",IF($O128="Cancelada","Cancelada",IF($O128="Reprovado","Reprovada",IF($O128="Aprovado","Aprovada",IF($L128&lt;&gt;"","Entregue",IF(TODAY()&gt;$C128,"Atrasada","Pendente"))))))</f>
        <v/>
      </c>
    </row>
    <row r="130">
      <c r="A130" s="11" t="inlineStr">
        <is>
          <t>Amarelo = o GERENTE/ADM edita (prazo, setor da vistoria, validação, motivo, treinamentos) - Azul-claro = entrega do COORDENADOR (menu Anexar entrega ou link manual) - demais células são automáticas</t>
        </is>
      </c>
    </row>
  </sheetData>
  <mergeCells count="615">
    <mergeCell ref="D116:F116"/>
    <mergeCell ref="P76:Q76"/>
    <mergeCell ref="D66:F66"/>
    <mergeCell ref="P94:Q94"/>
    <mergeCell ref="J59:K59"/>
    <mergeCell ref="D53:F53"/>
    <mergeCell ref="D47:F47"/>
    <mergeCell ref="H9:I9"/>
    <mergeCell ref="P69:Q69"/>
    <mergeCell ref="H118:I118"/>
    <mergeCell ref="J9:K9"/>
    <mergeCell ref="B12:C12"/>
    <mergeCell ref="B14:C14"/>
    <mergeCell ref="B13:C13"/>
    <mergeCell ref="L102:M102"/>
    <mergeCell ref="L29:M29"/>
    <mergeCell ref="D7:E7"/>
    <mergeCell ref="J31:K31"/>
    <mergeCell ref="L31:M31"/>
    <mergeCell ref="H96:I96"/>
    <mergeCell ref="P87:Q87"/>
    <mergeCell ref="D119:F119"/>
    <mergeCell ref="H87:I87"/>
    <mergeCell ref="H62:I62"/>
    <mergeCell ref="J62:K62"/>
    <mergeCell ref="P24:Q24"/>
    <mergeCell ref="P89:Q89"/>
    <mergeCell ref="P88:Q88"/>
    <mergeCell ref="J64:K64"/>
    <mergeCell ref="P26:Q26"/>
    <mergeCell ref="H91:I91"/>
    <mergeCell ref="J120:K120"/>
    <mergeCell ref="L120:M120"/>
    <mergeCell ref="D41:F41"/>
    <mergeCell ref="L107:M107"/>
    <mergeCell ref="J57:K57"/>
    <mergeCell ref="L57:M57"/>
    <mergeCell ref="H93:I93"/>
    <mergeCell ref="J93:K93"/>
    <mergeCell ref="D43:F43"/>
    <mergeCell ref="L42:M42"/>
    <mergeCell ref="P115:Q115"/>
    <mergeCell ref="D74:F74"/>
    <mergeCell ref="D68:F68"/>
    <mergeCell ref="D117:F117"/>
    <mergeCell ref="D55:F55"/>
    <mergeCell ref="P77:Q77"/>
    <mergeCell ref="H11:I11"/>
    <mergeCell ref="J11:K11"/>
    <mergeCell ref="D67:F67"/>
    <mergeCell ref="H109:I109"/>
    <mergeCell ref="H75:I75"/>
    <mergeCell ref="J75:K75"/>
    <mergeCell ref="P37:Q37"/>
    <mergeCell ref="D69:F69"/>
    <mergeCell ref="H111:I111"/>
    <mergeCell ref="H12:I12"/>
    <mergeCell ref="J12:K12"/>
    <mergeCell ref="B15:C15"/>
    <mergeCell ref="D15:E15"/>
    <mergeCell ref="H48:I48"/>
    <mergeCell ref="H104:I104"/>
    <mergeCell ref="H14:I14"/>
    <mergeCell ref="D21:F21"/>
    <mergeCell ref="L70:M70"/>
    <mergeCell ref="H106:I106"/>
    <mergeCell ref="J81:K81"/>
    <mergeCell ref="P113:Q113"/>
    <mergeCell ref="L32:M32"/>
    <mergeCell ref="H43:I43"/>
    <mergeCell ref="L103:M103"/>
    <mergeCell ref="L47:M47"/>
    <mergeCell ref="D87:F87"/>
    <mergeCell ref="P96:Q96"/>
    <mergeCell ref="P90:Q90"/>
    <mergeCell ref="J65:K65"/>
    <mergeCell ref="P27:Q27"/>
    <mergeCell ref="D51:F51"/>
    <mergeCell ref="D82:F82"/>
    <mergeCell ref="L58:M58"/>
    <mergeCell ref="P91:Q91"/>
    <mergeCell ref="L123:M123"/>
    <mergeCell ref="J25:K25"/>
    <mergeCell ref="L50:M50"/>
    <mergeCell ref="L25:M25"/>
    <mergeCell ref="L60:M60"/>
    <mergeCell ref="L52:M52"/>
    <mergeCell ref="B5:C5"/>
    <mergeCell ref="P108:Q108"/>
    <mergeCell ref="D5:E5"/>
    <mergeCell ref="L124:M124"/>
    <mergeCell ref="P118:Q118"/>
    <mergeCell ref="P45:Q45"/>
    <mergeCell ref="D77:F77"/>
    <mergeCell ref="H125:I125"/>
    <mergeCell ref="P38:Q38"/>
    <mergeCell ref="J14:K14"/>
    <mergeCell ref="P109:Q109"/>
    <mergeCell ref="H112:I112"/>
    <mergeCell ref="J112:K112"/>
    <mergeCell ref="J13:K13"/>
    <mergeCell ref="J84:K84"/>
    <mergeCell ref="L13:M13"/>
    <mergeCell ref="H127:I127"/>
    <mergeCell ref="J78:K78"/>
    <mergeCell ref="P40:Q40"/>
    <mergeCell ref="D72:F72"/>
    <mergeCell ref="A3:R3"/>
    <mergeCell ref="L78:M78"/>
    <mergeCell ref="H114:I114"/>
    <mergeCell ref="J127:K127"/>
    <mergeCell ref="H64:I64"/>
    <mergeCell ref="J15:K15"/>
    <mergeCell ref="L15:M15"/>
    <mergeCell ref="H51:I51"/>
    <mergeCell ref="L71:M71"/>
    <mergeCell ref="J80:K80"/>
    <mergeCell ref="J107:K107"/>
    <mergeCell ref="J55:K55"/>
    <mergeCell ref="L117:M117"/>
    <mergeCell ref="L55:M55"/>
    <mergeCell ref="D24:F24"/>
    <mergeCell ref="J79:K79"/>
    <mergeCell ref="D89:F89"/>
    <mergeCell ref="L73:M73"/>
    <mergeCell ref="P98:Q98"/>
    <mergeCell ref="L119:M119"/>
    <mergeCell ref="D88:F88"/>
    <mergeCell ref="D26:F26"/>
    <mergeCell ref="D90:F90"/>
    <mergeCell ref="P106:Q106"/>
    <mergeCell ref="D65:F65"/>
    <mergeCell ref="P93:Q93"/>
    <mergeCell ref="H33:I33"/>
    <mergeCell ref="J33:K33"/>
    <mergeCell ref="H8:I8"/>
    <mergeCell ref="J8:K8"/>
    <mergeCell ref="H35:I35"/>
    <mergeCell ref="H10:I10"/>
    <mergeCell ref="J10:K10"/>
    <mergeCell ref="L66:M66"/>
    <mergeCell ref="J28:K28"/>
    <mergeCell ref="L53:M53"/>
    <mergeCell ref="L28:M28"/>
    <mergeCell ref="D6:E6"/>
    <mergeCell ref="H39:I39"/>
    <mergeCell ref="J68:K68"/>
    <mergeCell ref="L68:M68"/>
    <mergeCell ref="D37:F37"/>
    <mergeCell ref="P59:Q59"/>
    <mergeCell ref="P46:Q46"/>
    <mergeCell ref="P111:Q111"/>
    <mergeCell ref="H89:I89"/>
    <mergeCell ref="L5:M5"/>
    <mergeCell ref="N5:O5"/>
    <mergeCell ref="P61:Q61"/>
    <mergeCell ref="J86:K86"/>
    <mergeCell ref="P48:Q48"/>
    <mergeCell ref="H72:I72"/>
    <mergeCell ref="P125:Q125"/>
    <mergeCell ref="H128:I128"/>
    <mergeCell ref="J128:K128"/>
    <mergeCell ref="L79:M79"/>
    <mergeCell ref="P112:Q112"/>
    <mergeCell ref="H65:I65"/>
    <mergeCell ref="J21:K21"/>
    <mergeCell ref="L21:M21"/>
    <mergeCell ref="P43:Q43"/>
    <mergeCell ref="L81:M81"/>
    <mergeCell ref="D80:F80"/>
    <mergeCell ref="H23:I23"/>
    <mergeCell ref="D96:F96"/>
    <mergeCell ref="J23:K23"/>
    <mergeCell ref="J110:K110"/>
    <mergeCell ref="L110:M110"/>
    <mergeCell ref="D27:F27"/>
    <mergeCell ref="P114:Q114"/>
    <mergeCell ref="H54:I54"/>
    <mergeCell ref="H41:I41"/>
    <mergeCell ref="F6:G6"/>
    <mergeCell ref="D91:F91"/>
    <mergeCell ref="P34:Q34"/>
    <mergeCell ref="H56:I56"/>
    <mergeCell ref="H34:I34"/>
    <mergeCell ref="H83:I83"/>
    <mergeCell ref="J34:K34"/>
    <mergeCell ref="D106:F106"/>
    <mergeCell ref="J99:K99"/>
    <mergeCell ref="D93:F93"/>
    <mergeCell ref="H49:I49"/>
    <mergeCell ref="P36:Q36"/>
    <mergeCell ref="J49:K49"/>
    <mergeCell ref="H36:I36"/>
    <mergeCell ref="H85:I85"/>
    <mergeCell ref="J36:K36"/>
    <mergeCell ref="L92:M92"/>
    <mergeCell ref="J101:K101"/>
    <mergeCell ref="L30:M30"/>
    <mergeCell ref="J103:K103"/>
    <mergeCell ref="J100:K100"/>
    <mergeCell ref="J94:K94"/>
    <mergeCell ref="L94:M94"/>
    <mergeCell ref="L69:M69"/>
    <mergeCell ref="D9:E9"/>
    <mergeCell ref="L44:M44"/>
    <mergeCell ref="H80:I80"/>
    <mergeCell ref="F9:G9"/>
    <mergeCell ref="P102:Q102"/>
    <mergeCell ref="D109:F109"/>
    <mergeCell ref="J125:K125"/>
    <mergeCell ref="L6:M6"/>
    <mergeCell ref="N6:O6"/>
    <mergeCell ref="D46:F46"/>
    <mergeCell ref="D40:F40"/>
    <mergeCell ref="P62:Q62"/>
    <mergeCell ref="D111:F111"/>
    <mergeCell ref="P127:Q127"/>
    <mergeCell ref="D86:F86"/>
    <mergeCell ref="D104:F104"/>
    <mergeCell ref="P64:Q64"/>
    <mergeCell ref="J29:K29"/>
    <mergeCell ref="B7:C7"/>
    <mergeCell ref="P51:Q51"/>
    <mergeCell ref="P128:Q128"/>
    <mergeCell ref="H31:I31"/>
    <mergeCell ref="H58:I58"/>
    <mergeCell ref="H73:I73"/>
    <mergeCell ref="J24:K24"/>
    <mergeCell ref="L24:M24"/>
    <mergeCell ref="H60:I60"/>
    <mergeCell ref="J89:K89"/>
    <mergeCell ref="L89:M89"/>
    <mergeCell ref="P67:Q67"/>
    <mergeCell ref="D33:F33"/>
    <mergeCell ref="J26:K26"/>
    <mergeCell ref="L88:M88"/>
    <mergeCell ref="L126:M126"/>
    <mergeCell ref="L26:M26"/>
    <mergeCell ref="P82:Q82"/>
    <mergeCell ref="D35:F35"/>
    <mergeCell ref="H57:I57"/>
    <mergeCell ref="D59:F59"/>
    <mergeCell ref="H84:I84"/>
    <mergeCell ref="H22:I22"/>
    <mergeCell ref="P75:Q75"/>
    <mergeCell ref="J113:K113"/>
    <mergeCell ref="L113:M113"/>
    <mergeCell ref="D34:F34"/>
    <mergeCell ref="L100:M100"/>
    <mergeCell ref="A130:R130"/>
    <mergeCell ref="D99:F99"/>
    <mergeCell ref="J50:K50"/>
    <mergeCell ref="H86:I86"/>
    <mergeCell ref="J115:K115"/>
    <mergeCell ref="H42:I42"/>
    <mergeCell ref="L115:M115"/>
    <mergeCell ref="J42:K42"/>
    <mergeCell ref="D36:F36"/>
    <mergeCell ref="D101:F101"/>
    <mergeCell ref="J52:K52"/>
    <mergeCell ref="L77:M77"/>
    <mergeCell ref="L108:M108"/>
    <mergeCell ref="J39:K39"/>
    <mergeCell ref="F11:G11"/>
    <mergeCell ref="J44:K44"/>
    <mergeCell ref="L95:M95"/>
    <mergeCell ref="D61:F61"/>
    <mergeCell ref="J116:K116"/>
    <mergeCell ref="D48:F48"/>
    <mergeCell ref="J37:K37"/>
    <mergeCell ref="L37:M37"/>
    <mergeCell ref="L97:M97"/>
    <mergeCell ref="D125:F125"/>
    <mergeCell ref="F12:G12"/>
    <mergeCell ref="B18:R18"/>
    <mergeCell ref="P72:Q72"/>
    <mergeCell ref="D112:F112"/>
    <mergeCell ref="D62:F62"/>
    <mergeCell ref="D56:F56"/>
    <mergeCell ref="D127:F127"/>
    <mergeCell ref="P65:Q65"/>
    <mergeCell ref="D114:F114"/>
    <mergeCell ref="B8:C8"/>
    <mergeCell ref="H70:I70"/>
    <mergeCell ref="J70:K70"/>
    <mergeCell ref="A20:R20"/>
    <mergeCell ref="D64:F64"/>
    <mergeCell ref="H32:I32"/>
    <mergeCell ref="H7:I7"/>
    <mergeCell ref="J32:K32"/>
    <mergeCell ref="J7:K7"/>
    <mergeCell ref="B10:C10"/>
    <mergeCell ref="J63:K63"/>
    <mergeCell ref="L63:M63"/>
    <mergeCell ref="P74:Q74"/>
    <mergeCell ref="H99:I99"/>
    <mergeCell ref="J124:K124"/>
    <mergeCell ref="H47:I47"/>
    <mergeCell ref="J109:K109"/>
    <mergeCell ref="J47:K47"/>
    <mergeCell ref="J96:K96"/>
    <mergeCell ref="J90:K90"/>
    <mergeCell ref="L96:M96"/>
    <mergeCell ref="L90:M90"/>
    <mergeCell ref="H101:I101"/>
    <mergeCell ref="H76:I76"/>
    <mergeCell ref="J76:K76"/>
    <mergeCell ref="L27:M27"/>
    <mergeCell ref="P83:Q83"/>
    <mergeCell ref="D49:F49"/>
    <mergeCell ref="L91:M91"/>
    <mergeCell ref="P85:Q85"/>
    <mergeCell ref="D75:F75"/>
    <mergeCell ref="P84:Q84"/>
    <mergeCell ref="J60:K60"/>
    <mergeCell ref="P22:Q22"/>
    <mergeCell ref="L116:M116"/>
    <mergeCell ref="D102:F102"/>
    <mergeCell ref="J53:K53"/>
    <mergeCell ref="P80:Q80"/>
    <mergeCell ref="H94:I94"/>
    <mergeCell ref="L118:M118"/>
    <mergeCell ref="J45:K45"/>
    <mergeCell ref="D39:F39"/>
    <mergeCell ref="L45:M45"/>
    <mergeCell ref="A122:R122"/>
    <mergeCell ref="L38:M38"/>
    <mergeCell ref="L109:M109"/>
    <mergeCell ref="F13:G13"/>
    <mergeCell ref="H13:I13"/>
    <mergeCell ref="L40:M40"/>
    <mergeCell ref="H105:I105"/>
    <mergeCell ref="D128:F128"/>
    <mergeCell ref="N15:O15"/>
    <mergeCell ref="H15:I15"/>
    <mergeCell ref="H71:I71"/>
    <mergeCell ref="H120:I120"/>
    <mergeCell ref="P58:Q58"/>
    <mergeCell ref="P33:Q33"/>
    <mergeCell ref="J71:K71"/>
    <mergeCell ref="H107:I107"/>
    <mergeCell ref="J58:K58"/>
    <mergeCell ref="D57:F57"/>
    <mergeCell ref="P79:Q79"/>
    <mergeCell ref="P73:Q73"/>
    <mergeCell ref="J73:K73"/>
    <mergeCell ref="P35:Q35"/>
    <mergeCell ref="L98:M98"/>
    <mergeCell ref="H102:I102"/>
    <mergeCell ref="J102:K102"/>
    <mergeCell ref="A1:N1"/>
    <mergeCell ref="H25:I25"/>
    <mergeCell ref="J77:K77"/>
    <mergeCell ref="L106:M106"/>
    <mergeCell ref="B11:C11"/>
    <mergeCell ref="D11:E11"/>
    <mergeCell ref="L93:M93"/>
    <mergeCell ref="D83:F83"/>
    <mergeCell ref="P86:Q86"/>
    <mergeCell ref="D110:F110"/>
    <mergeCell ref="D85:F85"/>
    <mergeCell ref="P28:Q28"/>
    <mergeCell ref="D60:F60"/>
    <mergeCell ref="H28:I28"/>
    <mergeCell ref="B6:C6"/>
    <mergeCell ref="L59:M59"/>
    <mergeCell ref="H95:I95"/>
    <mergeCell ref="P30:Q30"/>
    <mergeCell ref="J46:K46"/>
    <mergeCell ref="L46:M46"/>
    <mergeCell ref="L111:M111"/>
    <mergeCell ref="H5:I5"/>
    <mergeCell ref="J61:K61"/>
    <mergeCell ref="L61:M61"/>
    <mergeCell ref="H97:I97"/>
    <mergeCell ref="J48:K48"/>
    <mergeCell ref="J97:K97"/>
    <mergeCell ref="L48:M48"/>
    <mergeCell ref="P104:Q104"/>
    <mergeCell ref="L125:M125"/>
    <mergeCell ref="L112:M112"/>
    <mergeCell ref="P41:Q41"/>
    <mergeCell ref="D78:F78"/>
    <mergeCell ref="H21:I21"/>
    <mergeCell ref="L43:M43"/>
    <mergeCell ref="P56:Q56"/>
    <mergeCell ref="P105:Q105"/>
    <mergeCell ref="D71:F71"/>
    <mergeCell ref="P99:Q99"/>
    <mergeCell ref="D58:F58"/>
    <mergeCell ref="P49:Q49"/>
    <mergeCell ref="H123:I123"/>
    <mergeCell ref="J74:K74"/>
    <mergeCell ref="L74:M74"/>
    <mergeCell ref="P107:Q107"/>
    <mergeCell ref="D73:F73"/>
    <mergeCell ref="P101:Q101"/>
    <mergeCell ref="H110:I110"/>
    <mergeCell ref="L114:M114"/>
    <mergeCell ref="L76:M76"/>
    <mergeCell ref="J118:K118"/>
    <mergeCell ref="L9:M9"/>
    <mergeCell ref="D12:E12"/>
    <mergeCell ref="N9:O9"/>
    <mergeCell ref="D84:F84"/>
    <mergeCell ref="D22:F22"/>
    <mergeCell ref="L11:M11"/>
    <mergeCell ref="D14:E14"/>
    <mergeCell ref="F14:G14"/>
    <mergeCell ref="D124:F124"/>
    <mergeCell ref="H92:I92"/>
    <mergeCell ref="H30:I30"/>
    <mergeCell ref="J92:K92"/>
    <mergeCell ref="P54:Q54"/>
    <mergeCell ref="H67:I67"/>
    <mergeCell ref="J67:K67"/>
    <mergeCell ref="P29:Q29"/>
    <mergeCell ref="J5:K5"/>
    <mergeCell ref="L67:M67"/>
    <mergeCell ref="H29:I29"/>
    <mergeCell ref="H78:I78"/>
    <mergeCell ref="P100:Q100"/>
    <mergeCell ref="H103:I103"/>
    <mergeCell ref="D126:F126"/>
    <mergeCell ref="P44:Q44"/>
    <mergeCell ref="H44:I44"/>
    <mergeCell ref="J69:K69"/>
    <mergeCell ref="P31:Q31"/>
    <mergeCell ref="J87:K87"/>
    <mergeCell ref="L87:M87"/>
    <mergeCell ref="H6:I6"/>
    <mergeCell ref="J123:K123"/>
    <mergeCell ref="J6:K6"/>
    <mergeCell ref="L62:M62"/>
    <mergeCell ref="P95:Q95"/>
    <mergeCell ref="H98:I98"/>
    <mergeCell ref="J98:K98"/>
    <mergeCell ref="L127:M127"/>
    <mergeCell ref="L64:M64"/>
    <mergeCell ref="L51:M51"/>
    <mergeCell ref="P120:Q120"/>
    <mergeCell ref="D79:F79"/>
    <mergeCell ref="L128:M128"/>
    <mergeCell ref="P57:Q57"/>
    <mergeCell ref="D8:E8"/>
    <mergeCell ref="D81:F81"/>
    <mergeCell ref="H124:I124"/>
    <mergeCell ref="H24:I24"/>
    <mergeCell ref="P42:Q42"/>
    <mergeCell ref="H116:I116"/>
    <mergeCell ref="P123:Q123"/>
    <mergeCell ref="H126:I126"/>
    <mergeCell ref="H26:I26"/>
    <mergeCell ref="H82:I82"/>
    <mergeCell ref="H53:I53"/>
    <mergeCell ref="J126:K126"/>
    <mergeCell ref="J82:K82"/>
    <mergeCell ref="P110:Q110"/>
    <mergeCell ref="D76:F76"/>
    <mergeCell ref="L82:M82"/>
    <mergeCell ref="N11:O11"/>
    <mergeCell ref="H55:I55"/>
    <mergeCell ref="L75:M75"/>
    <mergeCell ref="H113:I113"/>
    <mergeCell ref="D28:F28"/>
    <mergeCell ref="L12:M12"/>
    <mergeCell ref="N12:O12"/>
    <mergeCell ref="F15:G15"/>
    <mergeCell ref="D13:E13"/>
    <mergeCell ref="D92:F92"/>
    <mergeCell ref="D30:F30"/>
    <mergeCell ref="L14:M14"/>
    <mergeCell ref="L39:M39"/>
    <mergeCell ref="H52:I52"/>
    <mergeCell ref="N14:O14"/>
    <mergeCell ref="H79:I79"/>
    <mergeCell ref="P39:Q39"/>
    <mergeCell ref="H108:I108"/>
    <mergeCell ref="P70:Q70"/>
    <mergeCell ref="J108:K108"/>
    <mergeCell ref="D29:F29"/>
    <mergeCell ref="J95:K95"/>
    <mergeCell ref="D23:F23"/>
    <mergeCell ref="D94:F94"/>
    <mergeCell ref="H45:I45"/>
    <mergeCell ref="P116:Q116"/>
    <mergeCell ref="P32:Q32"/>
    <mergeCell ref="P103:Q103"/>
    <mergeCell ref="H81:I81"/>
    <mergeCell ref="P97:Q97"/>
    <mergeCell ref="H37:I37"/>
    <mergeCell ref="P47:Q47"/>
    <mergeCell ref="O1:R1"/>
    <mergeCell ref="L72:M72"/>
    <mergeCell ref="L65:M65"/>
    <mergeCell ref="D105:F105"/>
    <mergeCell ref="L7:M7"/>
    <mergeCell ref="D10:E10"/>
    <mergeCell ref="D120:F120"/>
    <mergeCell ref="N7:O7"/>
    <mergeCell ref="F10:G10"/>
    <mergeCell ref="D107:F107"/>
    <mergeCell ref="P63:Q63"/>
    <mergeCell ref="H63:I63"/>
    <mergeCell ref="J88:K88"/>
    <mergeCell ref="P50:Q50"/>
    <mergeCell ref="P25:Q25"/>
    <mergeCell ref="H50:I50"/>
    <mergeCell ref="P60:Q60"/>
    <mergeCell ref="H74:I74"/>
    <mergeCell ref="H68:I68"/>
    <mergeCell ref="H117:I117"/>
    <mergeCell ref="P52:Q52"/>
    <mergeCell ref="J117:K117"/>
    <mergeCell ref="F5:G5"/>
    <mergeCell ref="P124:Q124"/>
    <mergeCell ref="J27:K27"/>
    <mergeCell ref="J83:K83"/>
    <mergeCell ref="D25:F25"/>
    <mergeCell ref="L83:M83"/>
    <mergeCell ref="H119:I119"/>
    <mergeCell ref="J119:K119"/>
    <mergeCell ref="H69:I69"/>
    <mergeCell ref="P126:Q126"/>
    <mergeCell ref="J85:K85"/>
    <mergeCell ref="L85:M85"/>
    <mergeCell ref="D54:F54"/>
    <mergeCell ref="J22:K22"/>
    <mergeCell ref="L84:M84"/>
    <mergeCell ref="N13:O13"/>
    <mergeCell ref="L22:M22"/>
    <mergeCell ref="D100:F100"/>
    <mergeCell ref="J114:K114"/>
    <mergeCell ref="P78:Q78"/>
    <mergeCell ref="D31:F31"/>
    <mergeCell ref="J51:K51"/>
    <mergeCell ref="L80:M80"/>
    <mergeCell ref="P71:Q71"/>
    <mergeCell ref="D108:F108"/>
    <mergeCell ref="D95:F95"/>
    <mergeCell ref="P117:Q117"/>
    <mergeCell ref="P55:Q55"/>
    <mergeCell ref="J111:K111"/>
    <mergeCell ref="H38:I38"/>
    <mergeCell ref="J38:K38"/>
    <mergeCell ref="D32:F32"/>
    <mergeCell ref="D97:F97"/>
    <mergeCell ref="P119:Q119"/>
    <mergeCell ref="H40:I40"/>
    <mergeCell ref="F7:G7"/>
    <mergeCell ref="J40:K40"/>
    <mergeCell ref="L33:M33"/>
    <mergeCell ref="L8:M8"/>
    <mergeCell ref="N8:O8"/>
    <mergeCell ref="F8:G8"/>
    <mergeCell ref="D42:F42"/>
    <mergeCell ref="J35:K35"/>
    <mergeCell ref="D113:F113"/>
    <mergeCell ref="L35:M35"/>
    <mergeCell ref="H100:I100"/>
    <mergeCell ref="L10:M10"/>
    <mergeCell ref="D123:F123"/>
    <mergeCell ref="N10:O10"/>
    <mergeCell ref="D50:F50"/>
    <mergeCell ref="D44:F44"/>
    <mergeCell ref="P66:Q66"/>
    <mergeCell ref="D115:F115"/>
    <mergeCell ref="H66:I66"/>
    <mergeCell ref="B9:C9"/>
    <mergeCell ref="J91:K91"/>
    <mergeCell ref="P53:Q53"/>
    <mergeCell ref="J66:K66"/>
    <mergeCell ref="H77:I77"/>
    <mergeCell ref="J106:K106"/>
    <mergeCell ref="P68:Q68"/>
    <mergeCell ref="D45:F45"/>
    <mergeCell ref="L86:M86"/>
    <mergeCell ref="J72:K72"/>
    <mergeCell ref="L101:M101"/>
    <mergeCell ref="D70:F70"/>
    <mergeCell ref="D103:F103"/>
    <mergeCell ref="J30:K30"/>
    <mergeCell ref="H59:I59"/>
    <mergeCell ref="P21:Q21"/>
    <mergeCell ref="H46:I46"/>
    <mergeCell ref="P81:Q81"/>
    <mergeCell ref="D118:F118"/>
    <mergeCell ref="L23:M23"/>
    <mergeCell ref="H61:I61"/>
    <mergeCell ref="H88:I88"/>
    <mergeCell ref="P23:Q23"/>
    <mergeCell ref="D38:F38"/>
    <mergeCell ref="J104:K104"/>
    <mergeCell ref="D98:F98"/>
    <mergeCell ref="L104:M104"/>
    <mergeCell ref="H115:I115"/>
    <mergeCell ref="J54:K54"/>
    <mergeCell ref="A121:R121"/>
    <mergeCell ref="L54:M54"/>
    <mergeCell ref="H90:I90"/>
    <mergeCell ref="J41:K41"/>
    <mergeCell ref="L41:M41"/>
    <mergeCell ref="H27:I27"/>
    <mergeCell ref="D63:F63"/>
    <mergeCell ref="J56:K56"/>
    <mergeCell ref="L56:M56"/>
    <mergeCell ref="J105:K105"/>
    <mergeCell ref="L34:M34"/>
    <mergeCell ref="J43:K43"/>
    <mergeCell ref="L105:M105"/>
    <mergeCell ref="L99:M99"/>
    <mergeCell ref="L49:M49"/>
    <mergeCell ref="D52:F52"/>
    <mergeCell ref="L36:M36"/>
    <mergeCell ref="P92:Q92"/>
  </mergeCells>
  <conditionalFormatting sqref="A3">
    <cfRule type="expression" priority="1" dxfId="1" stopIfTrue="1">
      <formula>LEFT($A$3,3)="MÊS"</formula>
    </cfRule>
  </conditionalFormatting>
  <conditionalFormatting sqref="H6:I7">
    <cfRule type="expression" priority="2" dxfId="3" stopIfTrue="1">
      <formula>AND(H6&lt;&gt;"",H6=TODAY())</formula>
    </cfRule>
    <cfRule type="expression" priority="3" dxfId="4">
      <formula>AND(H6&lt;&gt;"",COUNTIFS($C$22:$C$210,H6,$O$22:$O$210,"&lt;&gt;Cancelada")&gt;0)</formula>
    </cfRule>
  </conditionalFormatting>
  <conditionalFormatting sqref="J6:K7">
    <cfRule type="expression" priority="4" dxfId="3" stopIfTrue="1">
      <formula>AND(J6&lt;&gt;"",J6=TODAY())</formula>
    </cfRule>
    <cfRule type="expression" priority="5" dxfId="4">
      <formula>AND(J6&lt;&gt;"",COUNTIFS($C$22:$C$210,J6,$O$22:$O$210,"&lt;&gt;Cancelada")&gt;0)</formula>
    </cfRule>
  </conditionalFormatting>
  <conditionalFormatting sqref="L6:M7">
    <cfRule type="expression" priority="6" dxfId="3" stopIfTrue="1">
      <formula>AND(L6&lt;&gt;"",L6=TODAY())</formula>
    </cfRule>
    <cfRule type="expression" priority="7" dxfId="4">
      <formula>AND(L6&lt;&gt;"",COUNTIFS($C$22:$C$210,L6,$O$22:$O$210,"&lt;&gt;Cancelada")&gt;0)</formula>
    </cfRule>
  </conditionalFormatting>
  <conditionalFormatting sqref="N6:O7">
    <cfRule type="expression" priority="8" dxfId="3" stopIfTrue="1">
      <formula>AND(N6&lt;&gt;"",N6=TODAY())</formula>
    </cfRule>
    <cfRule type="expression" priority="9" dxfId="4">
      <formula>AND(N6&lt;&gt;"",COUNTIFS($C$22:$C$210,N6,$O$22:$O$210,"&lt;&gt;Cancelada")&gt;0)</formula>
    </cfRule>
  </conditionalFormatting>
  <conditionalFormatting sqref="B8:C9">
    <cfRule type="expression" priority="10" dxfId="3" stopIfTrue="1">
      <formula>AND(B8&lt;&gt;"",B8=TODAY())</formula>
    </cfRule>
    <cfRule type="expression" priority="11" dxfId="4">
      <formula>AND(B8&lt;&gt;"",COUNTIFS($C$22:$C$210,B8,$O$22:$O$210,"&lt;&gt;Cancelada")&gt;0)</formula>
    </cfRule>
  </conditionalFormatting>
  <conditionalFormatting sqref="D8:E9">
    <cfRule type="expression" priority="12" dxfId="3" stopIfTrue="1">
      <formula>AND(D8&lt;&gt;"",D8=TODAY())</formula>
    </cfRule>
    <cfRule type="expression" priority="13" dxfId="4">
      <formula>AND(D8&lt;&gt;"",COUNTIFS($C$22:$C$210,D8,$O$22:$O$210,"&lt;&gt;Cancelada")&gt;0)</formula>
    </cfRule>
  </conditionalFormatting>
  <conditionalFormatting sqref="F8:G9">
    <cfRule type="expression" priority="14" dxfId="3" stopIfTrue="1">
      <formula>AND(F8&lt;&gt;"",F8=TODAY())</formula>
    </cfRule>
    <cfRule type="expression" priority="15" dxfId="4">
      <formula>AND(F8&lt;&gt;"",COUNTIFS($C$22:$C$210,F8,$O$22:$O$210,"&lt;&gt;Cancelada")&gt;0)</formula>
    </cfRule>
  </conditionalFormatting>
  <conditionalFormatting sqref="H8:I9">
    <cfRule type="expression" priority="16" dxfId="3" stopIfTrue="1">
      <formula>AND(H8&lt;&gt;"",H8=TODAY())</formula>
    </cfRule>
    <cfRule type="expression" priority="17" dxfId="4">
      <formula>AND(H8&lt;&gt;"",COUNTIFS($C$22:$C$210,H8,$O$22:$O$210,"&lt;&gt;Cancelada")&gt;0)</formula>
    </cfRule>
  </conditionalFormatting>
  <conditionalFormatting sqref="J8:K9">
    <cfRule type="expression" priority="18" dxfId="3" stopIfTrue="1">
      <formula>AND(J8&lt;&gt;"",J8=TODAY())</formula>
    </cfRule>
    <cfRule type="expression" priority="19" dxfId="4">
      <formula>AND(J8&lt;&gt;"",COUNTIFS($C$22:$C$210,J8,$O$22:$O$210,"&lt;&gt;Cancelada")&gt;0)</formula>
    </cfRule>
  </conditionalFormatting>
  <conditionalFormatting sqref="L8:M9">
    <cfRule type="expression" priority="20" dxfId="3" stopIfTrue="1">
      <formula>AND(L8&lt;&gt;"",L8=TODAY())</formula>
    </cfRule>
    <cfRule type="expression" priority="21" dxfId="4">
      <formula>AND(L8&lt;&gt;"",COUNTIFS($C$22:$C$210,L8,$O$22:$O$210,"&lt;&gt;Cancelada")&gt;0)</formula>
    </cfRule>
  </conditionalFormatting>
  <conditionalFormatting sqref="N8:O9">
    <cfRule type="expression" priority="22" dxfId="3" stopIfTrue="1">
      <formula>AND(N8&lt;&gt;"",N8=TODAY())</formula>
    </cfRule>
    <cfRule type="expression" priority="23" dxfId="4">
      <formula>AND(N8&lt;&gt;"",COUNTIFS($C$22:$C$210,N8,$O$22:$O$210,"&lt;&gt;Cancelada")&gt;0)</formula>
    </cfRule>
  </conditionalFormatting>
  <conditionalFormatting sqref="B10:C11">
    <cfRule type="expression" priority="24" dxfId="3" stopIfTrue="1">
      <formula>AND(B10&lt;&gt;"",B10=TODAY())</formula>
    </cfRule>
    <cfRule type="expression" priority="25" dxfId="4">
      <formula>AND(B10&lt;&gt;"",COUNTIFS($C$22:$C$210,B10,$O$22:$O$210,"&lt;&gt;Cancelada")&gt;0)</formula>
    </cfRule>
  </conditionalFormatting>
  <conditionalFormatting sqref="D10:E11">
    <cfRule type="expression" priority="26" dxfId="3" stopIfTrue="1">
      <formula>AND(D10&lt;&gt;"",D10=TODAY())</formula>
    </cfRule>
    <cfRule type="expression" priority="27" dxfId="4">
      <formula>AND(D10&lt;&gt;"",COUNTIFS($C$22:$C$210,D10,$O$22:$O$210,"&lt;&gt;Cancelada")&gt;0)</formula>
    </cfRule>
  </conditionalFormatting>
  <conditionalFormatting sqref="F10:G11">
    <cfRule type="expression" priority="28" dxfId="3" stopIfTrue="1">
      <formula>AND(F10&lt;&gt;"",F10=TODAY())</formula>
    </cfRule>
    <cfRule type="expression" priority="29" dxfId="4">
      <formula>AND(F10&lt;&gt;"",COUNTIFS($C$22:$C$210,F10,$O$22:$O$210,"&lt;&gt;Cancelada")&gt;0)</formula>
    </cfRule>
  </conditionalFormatting>
  <conditionalFormatting sqref="H10:I11">
    <cfRule type="expression" priority="30" dxfId="3" stopIfTrue="1">
      <formula>AND(H10&lt;&gt;"",H10=TODAY())</formula>
    </cfRule>
    <cfRule type="expression" priority="31" dxfId="4">
      <formula>AND(H10&lt;&gt;"",COUNTIFS($C$22:$C$210,H10,$O$22:$O$210,"&lt;&gt;Cancelada")&gt;0)</formula>
    </cfRule>
  </conditionalFormatting>
  <conditionalFormatting sqref="J10:K11">
    <cfRule type="expression" priority="32" dxfId="3" stopIfTrue="1">
      <formula>AND(J10&lt;&gt;"",J10=TODAY())</formula>
    </cfRule>
    <cfRule type="expression" priority="33" dxfId="4">
      <formula>AND(J10&lt;&gt;"",COUNTIFS($C$22:$C$210,J10,$O$22:$O$210,"&lt;&gt;Cancelada")&gt;0)</formula>
    </cfRule>
  </conditionalFormatting>
  <conditionalFormatting sqref="L10:M11">
    <cfRule type="expression" priority="34" dxfId="3" stopIfTrue="1">
      <formula>AND(L10&lt;&gt;"",L10=TODAY())</formula>
    </cfRule>
    <cfRule type="expression" priority="35" dxfId="4">
      <formula>AND(L10&lt;&gt;"",COUNTIFS($C$22:$C$210,L10,$O$22:$O$210,"&lt;&gt;Cancelada")&gt;0)</formula>
    </cfRule>
  </conditionalFormatting>
  <conditionalFormatting sqref="N10:O11">
    <cfRule type="expression" priority="36" dxfId="3" stopIfTrue="1">
      <formula>AND(N10&lt;&gt;"",N10=TODAY())</formula>
    </cfRule>
    <cfRule type="expression" priority="37" dxfId="4">
      <formula>AND(N10&lt;&gt;"",COUNTIFS($C$22:$C$210,N10,$O$22:$O$210,"&lt;&gt;Cancelada")&gt;0)</formula>
    </cfRule>
  </conditionalFormatting>
  <conditionalFormatting sqref="B12:C13">
    <cfRule type="expression" priority="38" dxfId="3" stopIfTrue="1">
      <formula>AND(B12&lt;&gt;"",B12=TODAY())</formula>
    </cfRule>
    <cfRule type="expression" priority="39" dxfId="4">
      <formula>AND(B12&lt;&gt;"",COUNTIFS($C$22:$C$210,B12,$O$22:$O$210,"&lt;&gt;Cancelada")&gt;0)</formula>
    </cfRule>
  </conditionalFormatting>
  <conditionalFormatting sqref="D12:E13">
    <cfRule type="expression" priority="40" dxfId="3" stopIfTrue="1">
      <formula>AND(D12&lt;&gt;"",D12=TODAY())</formula>
    </cfRule>
    <cfRule type="expression" priority="41" dxfId="4">
      <formula>AND(D12&lt;&gt;"",COUNTIFS($C$22:$C$210,D12,$O$22:$O$210,"&lt;&gt;Cancelada")&gt;0)</formula>
    </cfRule>
  </conditionalFormatting>
  <conditionalFormatting sqref="F12:G13">
    <cfRule type="expression" priority="42" dxfId="3" stopIfTrue="1">
      <formula>AND(F12&lt;&gt;"",F12=TODAY())</formula>
    </cfRule>
    <cfRule type="expression" priority="43" dxfId="4">
      <formula>AND(F12&lt;&gt;"",COUNTIFS($C$22:$C$210,F12,$O$22:$O$210,"&lt;&gt;Cancelada")&gt;0)</formula>
    </cfRule>
  </conditionalFormatting>
  <conditionalFormatting sqref="H12:I13">
    <cfRule type="expression" priority="44" dxfId="3" stopIfTrue="1">
      <formula>AND(H12&lt;&gt;"",H12=TODAY())</formula>
    </cfRule>
    <cfRule type="expression" priority="45" dxfId="4">
      <formula>AND(H12&lt;&gt;"",COUNTIFS($C$22:$C$210,H12,$O$22:$O$210,"&lt;&gt;Cancelada")&gt;0)</formula>
    </cfRule>
  </conditionalFormatting>
  <conditionalFormatting sqref="J12:K13">
    <cfRule type="expression" priority="46" dxfId="3" stopIfTrue="1">
      <formula>AND(J12&lt;&gt;"",J12=TODAY())</formula>
    </cfRule>
    <cfRule type="expression" priority="47" dxfId="4">
      <formula>AND(J12&lt;&gt;"",COUNTIFS($C$22:$C$210,J12,$O$22:$O$210,"&lt;&gt;Cancelada")&gt;0)</formula>
    </cfRule>
  </conditionalFormatting>
  <conditionalFormatting sqref="L12:M13">
    <cfRule type="expression" priority="48" dxfId="3" stopIfTrue="1">
      <formula>AND(L12&lt;&gt;"",L12=TODAY())</formula>
    </cfRule>
    <cfRule type="expression" priority="49" dxfId="4">
      <formula>AND(L12&lt;&gt;"",COUNTIFS($C$22:$C$210,L12,$O$22:$O$210,"&lt;&gt;Cancelada")&gt;0)</formula>
    </cfRule>
  </conditionalFormatting>
  <conditionalFormatting sqref="N12:O13">
    <cfRule type="expression" priority="50" dxfId="3" stopIfTrue="1">
      <formula>AND(N12&lt;&gt;"",N12=TODAY())</formula>
    </cfRule>
    <cfRule type="expression" priority="51" dxfId="4">
      <formula>AND(N12&lt;&gt;"",COUNTIFS($C$22:$C$210,N12,$O$22:$O$210,"&lt;&gt;Cancelada")&gt;0)</formula>
    </cfRule>
  </conditionalFormatting>
  <conditionalFormatting sqref="B14:C15">
    <cfRule type="expression" priority="52" dxfId="3" stopIfTrue="1">
      <formula>AND(B14&lt;&gt;"",B14=TODAY())</formula>
    </cfRule>
    <cfRule type="expression" priority="53" dxfId="4">
      <formula>AND(B14&lt;&gt;"",COUNTIFS($C$22:$C$210,B14,$O$22:$O$210,"&lt;&gt;Cancelada")&gt;0)</formula>
    </cfRule>
  </conditionalFormatting>
  <conditionalFormatting sqref="D14:E15">
    <cfRule type="expression" priority="54" dxfId="3" stopIfTrue="1">
      <formula>AND(D14&lt;&gt;"",D14=TODAY())</formula>
    </cfRule>
    <cfRule type="expression" priority="55" dxfId="4">
      <formula>AND(D14&lt;&gt;"",COUNTIFS($C$22:$C$210,D14,$O$22:$O$210,"&lt;&gt;Cancelada")&gt;0)</formula>
    </cfRule>
  </conditionalFormatting>
  <conditionalFormatting sqref="F14:G15">
    <cfRule type="expression" priority="56" dxfId="3" stopIfTrue="1">
      <formula>AND(F14&lt;&gt;"",F14=TODAY())</formula>
    </cfRule>
    <cfRule type="expression" priority="57" dxfId="4">
      <formula>AND(F14&lt;&gt;"",COUNTIFS($C$22:$C$210,F14,$O$22:$O$210,"&lt;&gt;Cancelada")&gt;0)</formula>
    </cfRule>
  </conditionalFormatting>
  <conditionalFormatting sqref="H14:I15">
    <cfRule type="expression" priority="58" dxfId="3" stopIfTrue="1">
      <formula>AND(H14&lt;&gt;"",H14=TODAY())</formula>
    </cfRule>
    <cfRule type="expression" priority="59" dxfId="4">
      <formula>AND(H14&lt;&gt;"",COUNTIFS($C$22:$C$210,H14,$O$22:$O$210,"&lt;&gt;Cancelada")&gt;0)</formula>
    </cfRule>
  </conditionalFormatting>
  <conditionalFormatting sqref="J14:K15">
    <cfRule type="expression" priority="60" dxfId="3" stopIfTrue="1">
      <formula>AND(J14&lt;&gt;"",J14=TODAY())</formula>
    </cfRule>
    <cfRule type="expression" priority="61" dxfId="4">
      <formula>AND(J14&lt;&gt;"",COUNTIFS($C$22:$C$210,J14,$O$22:$O$210,"&lt;&gt;Cancelada")&gt;0)</formula>
    </cfRule>
  </conditionalFormatting>
  <conditionalFormatting sqref="L14:M15">
    <cfRule type="expression" priority="62" dxfId="3" stopIfTrue="1">
      <formula>AND(L14&lt;&gt;"",L14=TODAY())</formula>
    </cfRule>
    <cfRule type="expression" priority="63" dxfId="4">
      <formula>AND(L14&lt;&gt;"",COUNTIFS($C$22:$C$210,L14,$O$22:$O$210,"&lt;&gt;Cancelada")&gt;0)</formula>
    </cfRule>
  </conditionalFormatting>
  <conditionalFormatting sqref="R22:R128">
    <cfRule type="expression" priority="64" dxfId="5">
      <formula>$R22="Aprovada"</formula>
    </cfRule>
    <cfRule type="expression" priority="65" dxfId="6">
      <formula>$R22="Atrasada"</formula>
    </cfRule>
    <cfRule type="expression" priority="66" dxfId="7">
      <formula>$R22="Reprovada"</formula>
    </cfRule>
    <cfRule type="expression" priority="67" dxfId="8">
      <formula>$R22="Entregue"</formula>
    </cfRule>
    <cfRule type="expression" priority="68" dxfId="9">
      <formula>$R22="Pendente"</formula>
    </cfRule>
    <cfRule type="expression" priority="69" dxfId="10">
      <formula>$R22="Cancelada"</formula>
    </cfRule>
    <cfRule type="expression" priority="70" dxfId="11">
      <formula>$R22="Não agendado"</formula>
    </cfRule>
  </conditionalFormatting>
  <dataValidations count="3">
    <dataValidation sqref="O22:O128" showDropDown="0" showInputMessage="0" showErrorMessage="0" allowBlank="1" type="list">
      <formula1>"Aprovado,Reprovado,Cancelada"</formula1>
    </dataValidation>
    <dataValidation sqref="J22:J120" showDropDown="0" showInputMessage="0" showErrorMessage="0" allowBlank="1" type="list">
      <formula1>=Setores</formula1>
    </dataValidation>
    <dataValidation sqref="G123:G128" showDropDown="0" showInputMessage="0" showErrorMessage="0" allowBlank="1" type="list">
      <formula1>"A,B,C,Todos"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C36AE"/>
    <outlinePr summaryBelow="1" summaryRight="1"/>
    <pageSetUpPr/>
  </sheetPr>
  <dimension ref="A1:U111"/>
  <sheetViews>
    <sheetView showGridLines="0" workbookViewId="0">
      <selection activeCell="A1" sqref="A1"/>
    </sheetView>
  </sheetViews>
  <sheetFormatPr baseColWidth="8" defaultRowHeight="15"/>
  <cols>
    <col hidden="1"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3" customWidth="1" min="18" max="18"/>
    <col hidden="1" width="4" customWidth="1" min="19" max="19"/>
    <col hidden="1" width="4" customWidth="1" min="20" max="20"/>
    <col hidden="1" width="4" customWidth="1" min="21" max="21"/>
  </cols>
  <sheetData>
    <row r="1" ht="30" customHeight="1">
      <c r="A1" s="16" t="inlineStr">
        <is>
          <t>08 · AGOSTO 2026</t>
        </is>
      </c>
      <c r="O1" s="50" t="inlineStr">
        <is>
          <t>GSL BARTOFIL</t>
        </is>
      </c>
    </row>
    <row r="2" ht="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>
      <c r="A3" s="51">
        <f>IF((COUNTIF($R$22:$R$210,"Aprovada")+COUNTIF($R$22:$R$210,"Entregue")+COUNTIF($R$22:$R$210,"Pendente")+COUNTIF($R$22:$R$210,"Atrasada")+COUNTIF($R$22:$R$210,"Reprovada"))=0,"",IF(COUNTIF($R$22:$R$210,"Aprovada")=(COUNTIF($R$22:$R$210,"Aprovada")+COUNTIF($R$22:$R$210,"Entregue")+COUNTIF($R$22:$R$210,"Pendente")+COUNTIF($R$22:$R$210,"Atrasada")+COUNTIF($R$22:$R$210,"Reprovada")),"MÊS CONCLUÍDO — todas as atividades aprovadas","EM ANDAMENTO — "&amp;COUNTIF($R$22:$R$210,"Aprovada")&amp;" de "&amp;(COUNTIF($R$22:$R$210,"Aprovada")+COUNTIF($R$22:$R$210,"Entregue")+COUNTIF($R$22:$R$210,"Pendente")+COUNTIF($R$22:$R$210,"Atrasada")+COUNTIF($R$22:$R$210,"Reprovada"))&amp;" atividades aprovadas"))</f>
        <v/>
      </c>
    </row>
    <row r="5">
      <c r="B5" s="52" t="inlineStr">
        <is>
          <t>DOM</t>
        </is>
      </c>
      <c r="C5" s="53" t="n"/>
      <c r="D5" s="52" t="inlineStr">
        <is>
          <t>SEG</t>
        </is>
      </c>
      <c r="E5" s="53" t="n"/>
      <c r="F5" s="52" t="inlineStr">
        <is>
          <t>TER</t>
        </is>
      </c>
      <c r="G5" s="53" t="n"/>
      <c r="H5" s="52" t="inlineStr">
        <is>
          <t>QUA</t>
        </is>
      </c>
      <c r="I5" s="53" t="n"/>
      <c r="J5" s="52" t="inlineStr">
        <is>
          <t>QUI</t>
        </is>
      </c>
      <c r="K5" s="53" t="n"/>
      <c r="L5" s="54" t="inlineStr">
        <is>
          <t>SEX</t>
        </is>
      </c>
      <c r="M5" s="53" t="n"/>
      <c r="N5" s="52" t="inlineStr">
        <is>
          <t>SÁB</t>
        </is>
      </c>
      <c r="O5" s="53" t="n"/>
    </row>
    <row r="6" ht="20" customHeight="1">
      <c r="B6" s="55" t="n"/>
      <c r="C6" s="56" t="n"/>
      <c r="D6" s="55" t="n"/>
      <c r="E6" s="56" t="n"/>
      <c r="F6" s="55" t="n"/>
      <c r="G6" s="56" t="n"/>
      <c r="H6" s="55" t="n"/>
      <c r="I6" s="56" t="n"/>
      <c r="J6" s="55" t="n"/>
      <c r="K6" s="56" t="n"/>
      <c r="L6" s="55" t="n"/>
      <c r="M6" s="56" t="n"/>
      <c r="N6" s="57" t="n">
        <v>46235</v>
      </c>
      <c r="O6" s="58" t="n"/>
    </row>
    <row r="7" ht="26" customHeight="1">
      <c r="B7" s="59" t="n"/>
      <c r="C7" s="60" t="n"/>
      <c r="D7" s="59" t="n"/>
      <c r="E7" s="60" t="n"/>
      <c r="F7" s="59" t="n"/>
      <c r="G7" s="60" t="n"/>
      <c r="H7" s="59" t="n"/>
      <c r="I7" s="60" t="n"/>
      <c r="J7" s="59" t="n"/>
      <c r="K7" s="60" t="n"/>
      <c r="L7" s="59" t="n"/>
      <c r="M7" s="60" t="n"/>
      <c r="N7" s="61">
        <f>IF(N6="","",TRIM(IF(COUNTIFS($C$22:$C$210,N6,$D$22:$D$210,"*Erros*",$O$22:$O$210,"&lt;&gt;Cancelada")&gt;0,"Erros ","")&amp;IF(COUNTIFS($C$22:$C$210,N6,$D$22:$D$210,"*Suporte*",$O$22:$O$210,"&lt;&gt;Cancelada")&gt;0,"Suporte ","")&amp;IF(COUNTIFS($C$22:$C$210,N6,$D$22:$D$210,"*Vistoria*",$O$22:$O$210,"&lt;&gt;Cancelada")&gt;0,"Vistoria ","")&amp;IF(COUNTIFS($C$22:$C$210,N6,$D$22:$D$210,"*Metas*",$O$22:$O$210,"&lt;&gt;Cancelada")&gt;0,"Metas ","")&amp;IF(COUNTIFS($C$22:$C$210,N6,$D$22:$D$210,"*Faltas*",$O$22:$O$210,"&lt;&gt;Cancelada")&gt;0,"Faltas ","")&amp;IF(COUNTIFS($C$22:$C$210,N6,$D$22:$D$210,"*Semanal c/*",$O$22:$O$210,"&lt;&gt;Cancelada")&gt;0,"Acomp. ","")&amp;IF(COUNTIFS($C$22:$C$210,N6,$D$22:$D$210,"*Reunião*",$O$22:$O$210,"&lt;&gt;Cancelada")&gt;0,"Reunião ","")&amp;IF(COUNTIFS($C$22:$C$210,N6,$D$22:$D$210,"*Férias*",$O$22:$O$210,"&lt;&gt;Cancelada")&gt;0,"Férias ","")&amp;IF(COUNTIFS($C$22:$C$210,N6,$D$22:$D$210,"*Mudança*",$O$22:$O$210,"&lt;&gt;Cancelada")&gt;0,"M.Função ","")&amp;IF(COUNTIFS($C$22:$C$210,N6,$D$22:$D$210,"*Treinamento*",$O$22:$O$210,"&lt;&gt;Cancelada")&gt;0,"Trein. ","")))</f>
        <v/>
      </c>
      <c r="O7" s="62" t="n"/>
    </row>
    <row r="8" ht="20" customHeight="1">
      <c r="B8" s="57" t="n">
        <v>46236</v>
      </c>
      <c r="C8" s="58" t="n"/>
      <c r="D8" s="57" t="n">
        <v>46237</v>
      </c>
      <c r="E8" s="58" t="n"/>
      <c r="F8" s="57" t="n">
        <v>46238</v>
      </c>
      <c r="G8" s="58" t="n"/>
      <c r="H8" s="57" t="n">
        <v>46239</v>
      </c>
      <c r="I8" s="58" t="n"/>
      <c r="J8" s="57" t="n">
        <v>46240</v>
      </c>
      <c r="K8" s="58" t="n"/>
      <c r="L8" s="57" t="n">
        <v>46241</v>
      </c>
      <c r="M8" s="58" t="n"/>
      <c r="N8" s="57" t="n">
        <v>46242</v>
      </c>
      <c r="O8" s="58" t="n"/>
    </row>
    <row r="9" ht="26" customHeight="1">
      <c r="B9" s="61">
        <f>IF(B8="","",TRIM(IF(COUNTIFS($C$22:$C$210,B8,$D$22:$D$210,"*Erros*",$O$22:$O$210,"&lt;&gt;Cancelada")&gt;0,"Erros ","")&amp;IF(COUNTIFS($C$22:$C$210,B8,$D$22:$D$210,"*Suporte*",$O$22:$O$210,"&lt;&gt;Cancelada")&gt;0,"Suporte ","")&amp;IF(COUNTIFS($C$22:$C$210,B8,$D$22:$D$210,"*Vistoria*",$O$22:$O$210,"&lt;&gt;Cancelada")&gt;0,"Vistoria ","")&amp;IF(COUNTIFS($C$22:$C$210,B8,$D$22:$D$210,"*Metas*",$O$22:$O$210,"&lt;&gt;Cancelada")&gt;0,"Metas ","")&amp;IF(COUNTIFS($C$22:$C$210,B8,$D$22:$D$210,"*Faltas*",$O$22:$O$210,"&lt;&gt;Cancelada")&gt;0,"Faltas ","")&amp;IF(COUNTIFS($C$22:$C$210,B8,$D$22:$D$210,"*Semanal c/*",$O$22:$O$210,"&lt;&gt;Cancelada")&gt;0,"Acomp. ","")&amp;IF(COUNTIFS($C$22:$C$210,B8,$D$22:$D$210,"*Reunião*",$O$22:$O$210,"&lt;&gt;Cancelada")&gt;0,"Reunião ","")&amp;IF(COUNTIFS($C$22:$C$210,B8,$D$22:$D$210,"*Férias*",$O$22:$O$210,"&lt;&gt;Cancelada")&gt;0,"Férias ","")&amp;IF(COUNTIFS($C$22:$C$210,B8,$D$22:$D$210,"*Mudança*",$O$22:$O$210,"&lt;&gt;Cancelada")&gt;0,"M.Função ","")&amp;IF(COUNTIFS($C$22:$C$210,B8,$D$22:$D$210,"*Treinamento*",$O$22:$O$210,"&lt;&gt;Cancelada")&gt;0,"Trein. ","")))</f>
        <v/>
      </c>
      <c r="C9" s="62" t="n"/>
      <c r="D9" s="61">
        <f>IF(D8="","",TRIM(IF(COUNTIFS($C$22:$C$210,D8,$D$22:$D$210,"*Erros*",$O$22:$O$210,"&lt;&gt;Cancelada")&gt;0,"Erros ","")&amp;IF(COUNTIFS($C$22:$C$210,D8,$D$22:$D$210,"*Suporte*",$O$22:$O$210,"&lt;&gt;Cancelada")&gt;0,"Suporte ","")&amp;IF(COUNTIFS($C$22:$C$210,D8,$D$22:$D$210,"*Vistoria*",$O$22:$O$210,"&lt;&gt;Cancelada")&gt;0,"Vistoria ","")&amp;IF(COUNTIFS($C$22:$C$210,D8,$D$22:$D$210,"*Metas*",$O$22:$O$210,"&lt;&gt;Cancelada")&gt;0,"Metas ","")&amp;IF(COUNTIFS($C$22:$C$210,D8,$D$22:$D$210,"*Faltas*",$O$22:$O$210,"&lt;&gt;Cancelada")&gt;0,"Faltas ","")&amp;IF(COUNTIFS($C$22:$C$210,D8,$D$22:$D$210,"*Semanal c/*",$O$22:$O$210,"&lt;&gt;Cancelada")&gt;0,"Acomp. ","")&amp;IF(COUNTIFS($C$22:$C$210,D8,$D$22:$D$210,"*Reunião*",$O$22:$O$210,"&lt;&gt;Cancelada")&gt;0,"Reunião ","")&amp;IF(COUNTIFS($C$22:$C$210,D8,$D$22:$D$210,"*Férias*",$O$22:$O$210,"&lt;&gt;Cancelada")&gt;0,"Férias ","")&amp;IF(COUNTIFS($C$22:$C$210,D8,$D$22:$D$210,"*Mudança*",$O$22:$O$210,"&lt;&gt;Cancelada")&gt;0,"M.Função ","")&amp;IF(COUNTIFS($C$22:$C$210,D8,$D$22:$D$210,"*Treinamento*",$O$22:$O$210,"&lt;&gt;Cancelada")&gt;0,"Trein. ","")))</f>
        <v/>
      </c>
      <c r="E9" s="62" t="n"/>
      <c r="F9" s="61">
        <f>IF(F8="","",TRIM(IF(COUNTIFS($C$22:$C$210,F8,$D$22:$D$210,"*Erros*",$O$22:$O$210,"&lt;&gt;Cancelada")&gt;0,"Erros ","")&amp;IF(COUNTIFS($C$22:$C$210,F8,$D$22:$D$210,"*Suporte*",$O$22:$O$210,"&lt;&gt;Cancelada")&gt;0,"Suporte ","")&amp;IF(COUNTIFS($C$22:$C$210,F8,$D$22:$D$210,"*Vistoria*",$O$22:$O$210,"&lt;&gt;Cancelada")&gt;0,"Vistoria ","")&amp;IF(COUNTIFS($C$22:$C$210,F8,$D$22:$D$210,"*Metas*",$O$22:$O$210,"&lt;&gt;Cancelada")&gt;0,"Metas ","")&amp;IF(COUNTIFS($C$22:$C$210,F8,$D$22:$D$210,"*Faltas*",$O$22:$O$210,"&lt;&gt;Cancelada")&gt;0,"Faltas ","")&amp;IF(COUNTIFS($C$22:$C$210,F8,$D$22:$D$210,"*Semanal c/*",$O$22:$O$210,"&lt;&gt;Cancelada")&gt;0,"Acomp. ","")&amp;IF(COUNTIFS($C$22:$C$210,F8,$D$22:$D$210,"*Reunião*",$O$22:$O$210,"&lt;&gt;Cancelada")&gt;0,"Reunião ","")&amp;IF(COUNTIFS($C$22:$C$210,F8,$D$22:$D$210,"*Férias*",$O$22:$O$210,"&lt;&gt;Cancelada")&gt;0,"Férias ","")&amp;IF(COUNTIFS($C$22:$C$210,F8,$D$22:$D$210,"*Mudança*",$O$22:$O$210,"&lt;&gt;Cancelada")&gt;0,"M.Função ","")&amp;IF(COUNTIFS($C$22:$C$210,F8,$D$22:$D$210,"*Treinamento*",$O$22:$O$210,"&lt;&gt;Cancelada")&gt;0,"Trein. ","")))</f>
        <v/>
      </c>
      <c r="G9" s="62" t="n"/>
      <c r="H9" s="61">
        <f>IF(H8="","",TRIM(IF(COUNTIFS($C$22:$C$210,H8,$D$22:$D$210,"*Erros*",$O$22:$O$210,"&lt;&gt;Cancelada")&gt;0,"Erros ","")&amp;IF(COUNTIFS($C$22:$C$210,H8,$D$22:$D$210,"*Suporte*",$O$22:$O$210,"&lt;&gt;Cancelada")&gt;0,"Suporte ","")&amp;IF(COUNTIFS($C$22:$C$210,H8,$D$22:$D$210,"*Vistoria*",$O$22:$O$210,"&lt;&gt;Cancelada")&gt;0,"Vistoria ","")&amp;IF(COUNTIFS($C$22:$C$210,H8,$D$22:$D$210,"*Metas*",$O$22:$O$210,"&lt;&gt;Cancelada")&gt;0,"Metas ","")&amp;IF(COUNTIFS($C$22:$C$210,H8,$D$22:$D$210,"*Faltas*",$O$22:$O$210,"&lt;&gt;Cancelada")&gt;0,"Faltas ","")&amp;IF(COUNTIFS($C$22:$C$210,H8,$D$22:$D$210,"*Semanal c/*",$O$22:$O$210,"&lt;&gt;Cancelada")&gt;0,"Acomp. ","")&amp;IF(COUNTIFS($C$22:$C$210,H8,$D$22:$D$210,"*Reunião*",$O$22:$O$210,"&lt;&gt;Cancelada")&gt;0,"Reunião ","")&amp;IF(COUNTIFS($C$22:$C$210,H8,$D$22:$D$210,"*Férias*",$O$22:$O$210,"&lt;&gt;Cancelada")&gt;0,"Férias ","")&amp;IF(COUNTIFS($C$22:$C$210,H8,$D$22:$D$210,"*Mudança*",$O$22:$O$210,"&lt;&gt;Cancelada")&gt;0,"M.Função ","")&amp;IF(COUNTIFS($C$22:$C$210,H8,$D$22:$D$210,"*Treinamento*",$O$22:$O$210,"&lt;&gt;Cancelada")&gt;0,"Trein. ","")))</f>
        <v/>
      </c>
      <c r="I9" s="62" t="n"/>
      <c r="J9" s="61">
        <f>IF(J8="","",TRIM(IF(COUNTIFS($C$22:$C$210,J8,$D$22:$D$210,"*Erros*",$O$22:$O$210,"&lt;&gt;Cancelada")&gt;0,"Erros ","")&amp;IF(COUNTIFS($C$22:$C$210,J8,$D$22:$D$210,"*Suporte*",$O$22:$O$210,"&lt;&gt;Cancelada")&gt;0,"Suporte ","")&amp;IF(COUNTIFS($C$22:$C$210,J8,$D$22:$D$210,"*Vistoria*",$O$22:$O$210,"&lt;&gt;Cancelada")&gt;0,"Vistoria ","")&amp;IF(COUNTIFS($C$22:$C$210,J8,$D$22:$D$210,"*Metas*",$O$22:$O$210,"&lt;&gt;Cancelada")&gt;0,"Metas ","")&amp;IF(COUNTIFS($C$22:$C$210,J8,$D$22:$D$210,"*Faltas*",$O$22:$O$210,"&lt;&gt;Cancelada")&gt;0,"Faltas ","")&amp;IF(COUNTIFS($C$22:$C$210,J8,$D$22:$D$210,"*Semanal c/*",$O$22:$O$210,"&lt;&gt;Cancelada")&gt;0,"Acomp. ","")&amp;IF(COUNTIFS($C$22:$C$210,J8,$D$22:$D$210,"*Reunião*",$O$22:$O$210,"&lt;&gt;Cancelada")&gt;0,"Reunião ","")&amp;IF(COUNTIFS($C$22:$C$210,J8,$D$22:$D$210,"*Férias*",$O$22:$O$210,"&lt;&gt;Cancelada")&gt;0,"Férias ","")&amp;IF(COUNTIFS($C$22:$C$210,J8,$D$22:$D$210,"*Mudança*",$O$22:$O$210,"&lt;&gt;Cancelada")&gt;0,"M.Função ","")&amp;IF(COUNTIFS($C$22:$C$210,J8,$D$22:$D$210,"*Treinamento*",$O$22:$O$210,"&lt;&gt;Cancelada")&gt;0,"Trein. ","")))</f>
        <v/>
      </c>
      <c r="K9" s="62" t="n"/>
      <c r="L9" s="61">
        <f>IF(L8="","",TRIM(IF(COUNTIFS($C$22:$C$210,L8,$D$22:$D$210,"*Erros*",$O$22:$O$210,"&lt;&gt;Cancelada")&gt;0,"Erros ","")&amp;IF(COUNTIFS($C$22:$C$210,L8,$D$22:$D$210,"*Suporte*",$O$22:$O$210,"&lt;&gt;Cancelada")&gt;0,"Suporte ","")&amp;IF(COUNTIFS($C$22:$C$210,L8,$D$22:$D$210,"*Vistoria*",$O$22:$O$210,"&lt;&gt;Cancelada")&gt;0,"Vistoria ","")&amp;IF(COUNTIFS($C$22:$C$210,L8,$D$22:$D$210,"*Metas*",$O$22:$O$210,"&lt;&gt;Cancelada")&gt;0,"Metas ","")&amp;IF(COUNTIFS($C$22:$C$210,L8,$D$22:$D$210,"*Faltas*",$O$22:$O$210,"&lt;&gt;Cancelada")&gt;0,"Faltas ","")&amp;IF(COUNTIFS($C$22:$C$210,L8,$D$22:$D$210,"*Semanal c/*",$O$22:$O$210,"&lt;&gt;Cancelada")&gt;0,"Acomp. ","")&amp;IF(COUNTIFS($C$22:$C$210,L8,$D$22:$D$210,"*Reunião*",$O$22:$O$210,"&lt;&gt;Cancelada")&gt;0,"Reunião ","")&amp;IF(COUNTIFS($C$22:$C$210,L8,$D$22:$D$210,"*Férias*",$O$22:$O$210,"&lt;&gt;Cancelada")&gt;0,"Férias ","")&amp;IF(COUNTIFS($C$22:$C$210,L8,$D$22:$D$210,"*Mudança*",$O$22:$O$210,"&lt;&gt;Cancelada")&gt;0,"M.Função ","")&amp;IF(COUNTIFS($C$22:$C$210,L8,$D$22:$D$210,"*Treinamento*",$O$22:$O$210,"&lt;&gt;Cancelada")&gt;0,"Trein. ","")))</f>
        <v/>
      </c>
      <c r="M9" s="62" t="n"/>
      <c r="N9" s="61">
        <f>IF(N8="","",TRIM(IF(COUNTIFS($C$22:$C$210,N8,$D$22:$D$210,"*Erros*",$O$22:$O$210,"&lt;&gt;Cancelada")&gt;0,"Erros ","")&amp;IF(COUNTIFS($C$22:$C$210,N8,$D$22:$D$210,"*Suporte*",$O$22:$O$210,"&lt;&gt;Cancelada")&gt;0,"Suporte ","")&amp;IF(COUNTIFS($C$22:$C$210,N8,$D$22:$D$210,"*Vistoria*",$O$22:$O$210,"&lt;&gt;Cancelada")&gt;0,"Vistoria ","")&amp;IF(COUNTIFS($C$22:$C$210,N8,$D$22:$D$210,"*Metas*",$O$22:$O$210,"&lt;&gt;Cancelada")&gt;0,"Metas ","")&amp;IF(COUNTIFS($C$22:$C$210,N8,$D$22:$D$210,"*Faltas*",$O$22:$O$210,"&lt;&gt;Cancelada")&gt;0,"Faltas ","")&amp;IF(COUNTIFS($C$22:$C$210,N8,$D$22:$D$210,"*Semanal c/*",$O$22:$O$210,"&lt;&gt;Cancelada")&gt;0,"Acomp. ","")&amp;IF(COUNTIFS($C$22:$C$210,N8,$D$22:$D$210,"*Reunião*",$O$22:$O$210,"&lt;&gt;Cancelada")&gt;0,"Reunião ","")&amp;IF(COUNTIFS($C$22:$C$210,N8,$D$22:$D$210,"*Férias*",$O$22:$O$210,"&lt;&gt;Cancelada")&gt;0,"Férias ","")&amp;IF(COUNTIFS($C$22:$C$210,N8,$D$22:$D$210,"*Mudança*",$O$22:$O$210,"&lt;&gt;Cancelada")&gt;0,"M.Função ","")&amp;IF(COUNTIFS($C$22:$C$210,N8,$D$22:$D$210,"*Treinamento*",$O$22:$O$210,"&lt;&gt;Cancelada")&gt;0,"Trein. ","")))</f>
        <v/>
      </c>
      <c r="O9" s="62" t="n"/>
    </row>
    <row r="10" ht="20" customHeight="1">
      <c r="B10" s="57" t="n">
        <v>46243</v>
      </c>
      <c r="C10" s="58" t="n"/>
      <c r="D10" s="57" t="n">
        <v>46244</v>
      </c>
      <c r="E10" s="58" t="n"/>
      <c r="F10" s="57" t="n">
        <v>46245</v>
      </c>
      <c r="G10" s="58" t="n"/>
      <c r="H10" s="57" t="n">
        <v>46246</v>
      </c>
      <c r="I10" s="58" t="n"/>
      <c r="J10" s="57" t="n">
        <v>46247</v>
      </c>
      <c r="K10" s="58" t="n"/>
      <c r="L10" s="57" t="n">
        <v>46248</v>
      </c>
      <c r="M10" s="58" t="n"/>
      <c r="N10" s="57" t="n">
        <v>46249</v>
      </c>
      <c r="O10" s="58" t="n"/>
    </row>
    <row r="11" ht="26" customHeight="1">
      <c r="B11" s="61">
        <f>IF(B10="","",TRIM(IF(COUNTIFS($C$22:$C$210,B10,$D$22:$D$210,"*Erros*",$O$22:$O$210,"&lt;&gt;Cancelada")&gt;0,"Erros ","")&amp;IF(COUNTIFS($C$22:$C$210,B10,$D$22:$D$210,"*Suporte*",$O$22:$O$210,"&lt;&gt;Cancelada")&gt;0,"Suporte ","")&amp;IF(COUNTIFS($C$22:$C$210,B10,$D$22:$D$210,"*Vistoria*",$O$22:$O$210,"&lt;&gt;Cancelada")&gt;0,"Vistoria ","")&amp;IF(COUNTIFS($C$22:$C$210,B10,$D$22:$D$210,"*Metas*",$O$22:$O$210,"&lt;&gt;Cancelada")&gt;0,"Metas ","")&amp;IF(COUNTIFS($C$22:$C$210,B10,$D$22:$D$210,"*Faltas*",$O$22:$O$210,"&lt;&gt;Cancelada")&gt;0,"Faltas ","")&amp;IF(COUNTIFS($C$22:$C$210,B10,$D$22:$D$210,"*Semanal c/*",$O$22:$O$210,"&lt;&gt;Cancelada")&gt;0,"Acomp. ","")&amp;IF(COUNTIFS($C$22:$C$210,B10,$D$22:$D$210,"*Reunião*",$O$22:$O$210,"&lt;&gt;Cancelada")&gt;0,"Reunião ","")&amp;IF(COUNTIFS($C$22:$C$210,B10,$D$22:$D$210,"*Férias*",$O$22:$O$210,"&lt;&gt;Cancelada")&gt;0,"Férias ","")&amp;IF(COUNTIFS($C$22:$C$210,B10,$D$22:$D$210,"*Mudança*",$O$22:$O$210,"&lt;&gt;Cancelada")&gt;0,"M.Função ","")&amp;IF(COUNTIFS($C$22:$C$210,B10,$D$22:$D$210,"*Treinamento*",$O$22:$O$210,"&lt;&gt;Cancelada")&gt;0,"Trein. ","")))</f>
        <v/>
      </c>
      <c r="C11" s="62" t="n"/>
      <c r="D11" s="61">
        <f>IF(D10="","",TRIM(IF(COUNTIFS($C$22:$C$210,D10,$D$22:$D$210,"*Erros*",$O$22:$O$210,"&lt;&gt;Cancelada")&gt;0,"Erros ","")&amp;IF(COUNTIFS($C$22:$C$210,D10,$D$22:$D$210,"*Suporte*",$O$22:$O$210,"&lt;&gt;Cancelada")&gt;0,"Suporte ","")&amp;IF(COUNTIFS($C$22:$C$210,D10,$D$22:$D$210,"*Vistoria*",$O$22:$O$210,"&lt;&gt;Cancelada")&gt;0,"Vistoria ","")&amp;IF(COUNTIFS($C$22:$C$210,D10,$D$22:$D$210,"*Metas*",$O$22:$O$210,"&lt;&gt;Cancelada")&gt;0,"Metas ","")&amp;IF(COUNTIFS($C$22:$C$210,D10,$D$22:$D$210,"*Faltas*",$O$22:$O$210,"&lt;&gt;Cancelada")&gt;0,"Faltas ","")&amp;IF(COUNTIFS($C$22:$C$210,D10,$D$22:$D$210,"*Semanal c/*",$O$22:$O$210,"&lt;&gt;Cancelada")&gt;0,"Acomp. ","")&amp;IF(COUNTIFS($C$22:$C$210,D10,$D$22:$D$210,"*Reunião*",$O$22:$O$210,"&lt;&gt;Cancelada")&gt;0,"Reunião ","")&amp;IF(COUNTIFS($C$22:$C$210,D10,$D$22:$D$210,"*Férias*",$O$22:$O$210,"&lt;&gt;Cancelada")&gt;0,"Férias ","")&amp;IF(COUNTIFS($C$22:$C$210,D10,$D$22:$D$210,"*Mudança*",$O$22:$O$210,"&lt;&gt;Cancelada")&gt;0,"M.Função ","")&amp;IF(COUNTIFS($C$22:$C$210,D10,$D$22:$D$210,"*Treinamento*",$O$22:$O$210,"&lt;&gt;Cancelada")&gt;0,"Trein. ","")))</f>
        <v/>
      </c>
      <c r="E11" s="62" t="n"/>
      <c r="F11" s="61">
        <f>IF(F10="","",TRIM(IF(COUNTIFS($C$22:$C$210,F10,$D$22:$D$210,"*Erros*",$O$22:$O$210,"&lt;&gt;Cancelada")&gt;0,"Erros ","")&amp;IF(COUNTIFS($C$22:$C$210,F10,$D$22:$D$210,"*Suporte*",$O$22:$O$210,"&lt;&gt;Cancelada")&gt;0,"Suporte ","")&amp;IF(COUNTIFS($C$22:$C$210,F10,$D$22:$D$210,"*Vistoria*",$O$22:$O$210,"&lt;&gt;Cancelada")&gt;0,"Vistoria ","")&amp;IF(COUNTIFS($C$22:$C$210,F10,$D$22:$D$210,"*Metas*",$O$22:$O$210,"&lt;&gt;Cancelada")&gt;0,"Metas ","")&amp;IF(COUNTIFS($C$22:$C$210,F10,$D$22:$D$210,"*Faltas*",$O$22:$O$210,"&lt;&gt;Cancelada")&gt;0,"Faltas ","")&amp;IF(COUNTIFS($C$22:$C$210,F10,$D$22:$D$210,"*Semanal c/*",$O$22:$O$210,"&lt;&gt;Cancelada")&gt;0,"Acomp. ","")&amp;IF(COUNTIFS($C$22:$C$210,F10,$D$22:$D$210,"*Reunião*",$O$22:$O$210,"&lt;&gt;Cancelada")&gt;0,"Reunião ","")&amp;IF(COUNTIFS($C$22:$C$210,F10,$D$22:$D$210,"*Férias*",$O$22:$O$210,"&lt;&gt;Cancelada")&gt;0,"Férias ","")&amp;IF(COUNTIFS($C$22:$C$210,F10,$D$22:$D$210,"*Mudança*",$O$22:$O$210,"&lt;&gt;Cancelada")&gt;0,"M.Função ","")&amp;IF(COUNTIFS($C$22:$C$210,F10,$D$22:$D$210,"*Treinamento*",$O$22:$O$210,"&lt;&gt;Cancelada")&gt;0,"Trein. ","")))</f>
        <v/>
      </c>
      <c r="G11" s="62" t="n"/>
      <c r="H11" s="61">
        <f>IF(H10="","",TRIM(IF(COUNTIFS($C$22:$C$210,H10,$D$22:$D$210,"*Erros*",$O$22:$O$210,"&lt;&gt;Cancelada")&gt;0,"Erros ","")&amp;IF(COUNTIFS($C$22:$C$210,H10,$D$22:$D$210,"*Suporte*",$O$22:$O$210,"&lt;&gt;Cancelada")&gt;0,"Suporte ","")&amp;IF(COUNTIFS($C$22:$C$210,H10,$D$22:$D$210,"*Vistoria*",$O$22:$O$210,"&lt;&gt;Cancelada")&gt;0,"Vistoria ","")&amp;IF(COUNTIFS($C$22:$C$210,H10,$D$22:$D$210,"*Metas*",$O$22:$O$210,"&lt;&gt;Cancelada")&gt;0,"Metas ","")&amp;IF(COUNTIFS($C$22:$C$210,H10,$D$22:$D$210,"*Faltas*",$O$22:$O$210,"&lt;&gt;Cancelada")&gt;0,"Faltas ","")&amp;IF(COUNTIFS($C$22:$C$210,H10,$D$22:$D$210,"*Semanal c/*",$O$22:$O$210,"&lt;&gt;Cancelada")&gt;0,"Acomp. ","")&amp;IF(COUNTIFS($C$22:$C$210,H10,$D$22:$D$210,"*Reunião*",$O$22:$O$210,"&lt;&gt;Cancelada")&gt;0,"Reunião ","")&amp;IF(COUNTIFS($C$22:$C$210,H10,$D$22:$D$210,"*Férias*",$O$22:$O$210,"&lt;&gt;Cancelada")&gt;0,"Férias ","")&amp;IF(COUNTIFS($C$22:$C$210,H10,$D$22:$D$210,"*Mudança*",$O$22:$O$210,"&lt;&gt;Cancelada")&gt;0,"M.Função ","")&amp;IF(COUNTIFS($C$22:$C$210,H10,$D$22:$D$210,"*Treinamento*",$O$22:$O$210,"&lt;&gt;Cancelada")&gt;0,"Trein. ","")))</f>
        <v/>
      </c>
      <c r="I11" s="62" t="n"/>
      <c r="J11" s="61">
        <f>IF(J10="","",TRIM(IF(COUNTIFS($C$22:$C$210,J10,$D$22:$D$210,"*Erros*",$O$22:$O$210,"&lt;&gt;Cancelada")&gt;0,"Erros ","")&amp;IF(COUNTIFS($C$22:$C$210,J10,$D$22:$D$210,"*Suporte*",$O$22:$O$210,"&lt;&gt;Cancelada")&gt;0,"Suporte ","")&amp;IF(COUNTIFS($C$22:$C$210,J10,$D$22:$D$210,"*Vistoria*",$O$22:$O$210,"&lt;&gt;Cancelada")&gt;0,"Vistoria ","")&amp;IF(COUNTIFS($C$22:$C$210,J10,$D$22:$D$210,"*Metas*",$O$22:$O$210,"&lt;&gt;Cancelada")&gt;0,"Metas ","")&amp;IF(COUNTIFS($C$22:$C$210,J10,$D$22:$D$210,"*Faltas*",$O$22:$O$210,"&lt;&gt;Cancelada")&gt;0,"Faltas ","")&amp;IF(COUNTIFS($C$22:$C$210,J10,$D$22:$D$210,"*Semanal c/*",$O$22:$O$210,"&lt;&gt;Cancelada")&gt;0,"Acomp. ","")&amp;IF(COUNTIFS($C$22:$C$210,J10,$D$22:$D$210,"*Reunião*",$O$22:$O$210,"&lt;&gt;Cancelada")&gt;0,"Reunião ","")&amp;IF(COUNTIFS($C$22:$C$210,J10,$D$22:$D$210,"*Férias*",$O$22:$O$210,"&lt;&gt;Cancelada")&gt;0,"Férias ","")&amp;IF(COUNTIFS($C$22:$C$210,J10,$D$22:$D$210,"*Mudança*",$O$22:$O$210,"&lt;&gt;Cancelada")&gt;0,"M.Função ","")&amp;IF(COUNTIFS($C$22:$C$210,J10,$D$22:$D$210,"*Treinamento*",$O$22:$O$210,"&lt;&gt;Cancelada")&gt;0,"Trein. ","")))</f>
        <v/>
      </c>
      <c r="K11" s="62" t="n"/>
      <c r="L11" s="61">
        <f>IF(L10="","",TRIM(IF(COUNTIFS($C$22:$C$210,L10,$D$22:$D$210,"*Erros*",$O$22:$O$210,"&lt;&gt;Cancelada")&gt;0,"Erros ","")&amp;IF(COUNTIFS($C$22:$C$210,L10,$D$22:$D$210,"*Suporte*",$O$22:$O$210,"&lt;&gt;Cancelada")&gt;0,"Suporte ","")&amp;IF(COUNTIFS($C$22:$C$210,L10,$D$22:$D$210,"*Vistoria*",$O$22:$O$210,"&lt;&gt;Cancelada")&gt;0,"Vistoria ","")&amp;IF(COUNTIFS($C$22:$C$210,L10,$D$22:$D$210,"*Metas*",$O$22:$O$210,"&lt;&gt;Cancelada")&gt;0,"Metas ","")&amp;IF(COUNTIFS($C$22:$C$210,L10,$D$22:$D$210,"*Faltas*",$O$22:$O$210,"&lt;&gt;Cancelada")&gt;0,"Faltas ","")&amp;IF(COUNTIFS($C$22:$C$210,L10,$D$22:$D$210,"*Semanal c/*",$O$22:$O$210,"&lt;&gt;Cancelada")&gt;0,"Acomp. ","")&amp;IF(COUNTIFS($C$22:$C$210,L10,$D$22:$D$210,"*Reunião*",$O$22:$O$210,"&lt;&gt;Cancelada")&gt;0,"Reunião ","")&amp;IF(COUNTIFS($C$22:$C$210,L10,$D$22:$D$210,"*Férias*",$O$22:$O$210,"&lt;&gt;Cancelada")&gt;0,"Férias ","")&amp;IF(COUNTIFS($C$22:$C$210,L10,$D$22:$D$210,"*Mudança*",$O$22:$O$210,"&lt;&gt;Cancelada")&gt;0,"M.Função ","")&amp;IF(COUNTIFS($C$22:$C$210,L10,$D$22:$D$210,"*Treinamento*",$O$22:$O$210,"&lt;&gt;Cancelada")&gt;0,"Trein. ","")))</f>
        <v/>
      </c>
      <c r="M11" s="62" t="n"/>
      <c r="N11" s="61">
        <f>IF(N10="","",TRIM(IF(COUNTIFS($C$22:$C$210,N10,$D$22:$D$210,"*Erros*",$O$22:$O$210,"&lt;&gt;Cancelada")&gt;0,"Erros ","")&amp;IF(COUNTIFS($C$22:$C$210,N10,$D$22:$D$210,"*Suporte*",$O$22:$O$210,"&lt;&gt;Cancelada")&gt;0,"Suporte ","")&amp;IF(COUNTIFS($C$22:$C$210,N10,$D$22:$D$210,"*Vistoria*",$O$22:$O$210,"&lt;&gt;Cancelada")&gt;0,"Vistoria ","")&amp;IF(COUNTIFS($C$22:$C$210,N10,$D$22:$D$210,"*Metas*",$O$22:$O$210,"&lt;&gt;Cancelada")&gt;0,"Metas ","")&amp;IF(COUNTIFS($C$22:$C$210,N10,$D$22:$D$210,"*Faltas*",$O$22:$O$210,"&lt;&gt;Cancelada")&gt;0,"Faltas ","")&amp;IF(COUNTIFS($C$22:$C$210,N10,$D$22:$D$210,"*Semanal c/*",$O$22:$O$210,"&lt;&gt;Cancelada")&gt;0,"Acomp. ","")&amp;IF(COUNTIFS($C$22:$C$210,N10,$D$22:$D$210,"*Reunião*",$O$22:$O$210,"&lt;&gt;Cancelada")&gt;0,"Reunião ","")&amp;IF(COUNTIFS($C$22:$C$210,N10,$D$22:$D$210,"*Férias*",$O$22:$O$210,"&lt;&gt;Cancelada")&gt;0,"Férias ","")&amp;IF(COUNTIFS($C$22:$C$210,N10,$D$22:$D$210,"*Mudança*",$O$22:$O$210,"&lt;&gt;Cancelada")&gt;0,"M.Função ","")&amp;IF(COUNTIFS($C$22:$C$210,N10,$D$22:$D$210,"*Treinamento*",$O$22:$O$210,"&lt;&gt;Cancelada")&gt;0,"Trein. ","")))</f>
        <v/>
      </c>
      <c r="O11" s="62" t="n"/>
    </row>
    <row r="12" ht="20" customHeight="1">
      <c r="B12" s="57" t="n">
        <v>46250</v>
      </c>
      <c r="C12" s="58" t="n"/>
      <c r="D12" s="57" t="n">
        <v>46251</v>
      </c>
      <c r="E12" s="58" t="n"/>
      <c r="F12" s="57" t="n">
        <v>46252</v>
      </c>
      <c r="G12" s="58" t="n"/>
      <c r="H12" s="57" t="n">
        <v>46253</v>
      </c>
      <c r="I12" s="58" t="n"/>
      <c r="J12" s="57" t="n">
        <v>46254</v>
      </c>
      <c r="K12" s="58" t="n"/>
      <c r="L12" s="57" t="n">
        <v>46255</v>
      </c>
      <c r="M12" s="58" t="n"/>
      <c r="N12" s="57" t="n">
        <v>46256</v>
      </c>
      <c r="O12" s="58" t="n"/>
    </row>
    <row r="13" ht="26" customHeight="1">
      <c r="B13" s="61">
        <f>IF(B12="","",TRIM(IF(COUNTIFS($C$22:$C$210,B12,$D$22:$D$210,"*Erros*",$O$22:$O$210,"&lt;&gt;Cancelada")&gt;0,"Erros ","")&amp;IF(COUNTIFS($C$22:$C$210,B12,$D$22:$D$210,"*Suporte*",$O$22:$O$210,"&lt;&gt;Cancelada")&gt;0,"Suporte ","")&amp;IF(COUNTIFS($C$22:$C$210,B12,$D$22:$D$210,"*Vistoria*",$O$22:$O$210,"&lt;&gt;Cancelada")&gt;0,"Vistoria ","")&amp;IF(COUNTIFS($C$22:$C$210,B12,$D$22:$D$210,"*Metas*",$O$22:$O$210,"&lt;&gt;Cancelada")&gt;0,"Metas ","")&amp;IF(COUNTIFS($C$22:$C$210,B12,$D$22:$D$210,"*Faltas*",$O$22:$O$210,"&lt;&gt;Cancelada")&gt;0,"Faltas ","")&amp;IF(COUNTIFS($C$22:$C$210,B12,$D$22:$D$210,"*Semanal c/*",$O$22:$O$210,"&lt;&gt;Cancelada")&gt;0,"Acomp. ","")&amp;IF(COUNTIFS($C$22:$C$210,B12,$D$22:$D$210,"*Reunião*",$O$22:$O$210,"&lt;&gt;Cancelada")&gt;0,"Reunião ","")&amp;IF(COUNTIFS($C$22:$C$210,B12,$D$22:$D$210,"*Férias*",$O$22:$O$210,"&lt;&gt;Cancelada")&gt;0,"Férias ","")&amp;IF(COUNTIFS($C$22:$C$210,B12,$D$22:$D$210,"*Mudança*",$O$22:$O$210,"&lt;&gt;Cancelada")&gt;0,"M.Função ","")&amp;IF(COUNTIFS($C$22:$C$210,B12,$D$22:$D$210,"*Treinamento*",$O$22:$O$210,"&lt;&gt;Cancelada")&gt;0,"Trein. ","")))</f>
        <v/>
      </c>
      <c r="C13" s="62" t="n"/>
      <c r="D13" s="61">
        <f>IF(D12="","",TRIM(IF(COUNTIFS($C$22:$C$210,D12,$D$22:$D$210,"*Erros*",$O$22:$O$210,"&lt;&gt;Cancelada")&gt;0,"Erros ","")&amp;IF(COUNTIFS($C$22:$C$210,D12,$D$22:$D$210,"*Suporte*",$O$22:$O$210,"&lt;&gt;Cancelada")&gt;0,"Suporte ","")&amp;IF(COUNTIFS($C$22:$C$210,D12,$D$22:$D$210,"*Vistoria*",$O$22:$O$210,"&lt;&gt;Cancelada")&gt;0,"Vistoria ","")&amp;IF(COUNTIFS($C$22:$C$210,D12,$D$22:$D$210,"*Metas*",$O$22:$O$210,"&lt;&gt;Cancelada")&gt;0,"Metas ","")&amp;IF(COUNTIFS($C$22:$C$210,D12,$D$22:$D$210,"*Faltas*",$O$22:$O$210,"&lt;&gt;Cancelada")&gt;0,"Faltas ","")&amp;IF(COUNTIFS($C$22:$C$210,D12,$D$22:$D$210,"*Semanal c/*",$O$22:$O$210,"&lt;&gt;Cancelada")&gt;0,"Acomp. ","")&amp;IF(COUNTIFS($C$22:$C$210,D12,$D$22:$D$210,"*Reunião*",$O$22:$O$210,"&lt;&gt;Cancelada")&gt;0,"Reunião ","")&amp;IF(COUNTIFS($C$22:$C$210,D12,$D$22:$D$210,"*Férias*",$O$22:$O$210,"&lt;&gt;Cancelada")&gt;0,"Férias ","")&amp;IF(COUNTIFS($C$22:$C$210,D12,$D$22:$D$210,"*Mudança*",$O$22:$O$210,"&lt;&gt;Cancelada")&gt;0,"M.Função ","")&amp;IF(COUNTIFS($C$22:$C$210,D12,$D$22:$D$210,"*Treinamento*",$O$22:$O$210,"&lt;&gt;Cancelada")&gt;0,"Trein. ","")))</f>
        <v/>
      </c>
      <c r="E13" s="62" t="n"/>
      <c r="F13" s="61">
        <f>IF(F12="","",TRIM(IF(COUNTIFS($C$22:$C$210,F12,$D$22:$D$210,"*Erros*",$O$22:$O$210,"&lt;&gt;Cancelada")&gt;0,"Erros ","")&amp;IF(COUNTIFS($C$22:$C$210,F12,$D$22:$D$210,"*Suporte*",$O$22:$O$210,"&lt;&gt;Cancelada")&gt;0,"Suporte ","")&amp;IF(COUNTIFS($C$22:$C$210,F12,$D$22:$D$210,"*Vistoria*",$O$22:$O$210,"&lt;&gt;Cancelada")&gt;0,"Vistoria ","")&amp;IF(COUNTIFS($C$22:$C$210,F12,$D$22:$D$210,"*Metas*",$O$22:$O$210,"&lt;&gt;Cancelada")&gt;0,"Metas ","")&amp;IF(COUNTIFS($C$22:$C$210,F12,$D$22:$D$210,"*Faltas*",$O$22:$O$210,"&lt;&gt;Cancelada")&gt;0,"Faltas ","")&amp;IF(COUNTIFS($C$22:$C$210,F12,$D$22:$D$210,"*Semanal c/*",$O$22:$O$210,"&lt;&gt;Cancelada")&gt;0,"Acomp. ","")&amp;IF(COUNTIFS($C$22:$C$210,F12,$D$22:$D$210,"*Reunião*",$O$22:$O$210,"&lt;&gt;Cancelada")&gt;0,"Reunião ","")&amp;IF(COUNTIFS($C$22:$C$210,F12,$D$22:$D$210,"*Férias*",$O$22:$O$210,"&lt;&gt;Cancelada")&gt;0,"Férias ","")&amp;IF(COUNTIFS($C$22:$C$210,F12,$D$22:$D$210,"*Mudança*",$O$22:$O$210,"&lt;&gt;Cancelada")&gt;0,"M.Função ","")&amp;IF(COUNTIFS($C$22:$C$210,F12,$D$22:$D$210,"*Treinamento*",$O$22:$O$210,"&lt;&gt;Cancelada")&gt;0,"Trein. ","")))</f>
        <v/>
      </c>
      <c r="G13" s="62" t="n"/>
      <c r="H13" s="61">
        <f>IF(H12="","",TRIM(IF(COUNTIFS($C$22:$C$210,H12,$D$22:$D$210,"*Erros*",$O$22:$O$210,"&lt;&gt;Cancelada")&gt;0,"Erros ","")&amp;IF(COUNTIFS($C$22:$C$210,H12,$D$22:$D$210,"*Suporte*",$O$22:$O$210,"&lt;&gt;Cancelada")&gt;0,"Suporte ","")&amp;IF(COUNTIFS($C$22:$C$210,H12,$D$22:$D$210,"*Vistoria*",$O$22:$O$210,"&lt;&gt;Cancelada")&gt;0,"Vistoria ","")&amp;IF(COUNTIFS($C$22:$C$210,H12,$D$22:$D$210,"*Metas*",$O$22:$O$210,"&lt;&gt;Cancelada")&gt;0,"Metas ","")&amp;IF(COUNTIFS($C$22:$C$210,H12,$D$22:$D$210,"*Faltas*",$O$22:$O$210,"&lt;&gt;Cancelada")&gt;0,"Faltas ","")&amp;IF(COUNTIFS($C$22:$C$210,H12,$D$22:$D$210,"*Semanal c/*",$O$22:$O$210,"&lt;&gt;Cancelada")&gt;0,"Acomp. ","")&amp;IF(COUNTIFS($C$22:$C$210,H12,$D$22:$D$210,"*Reunião*",$O$22:$O$210,"&lt;&gt;Cancelada")&gt;0,"Reunião ","")&amp;IF(COUNTIFS($C$22:$C$210,H12,$D$22:$D$210,"*Férias*",$O$22:$O$210,"&lt;&gt;Cancelada")&gt;0,"Férias ","")&amp;IF(COUNTIFS($C$22:$C$210,H12,$D$22:$D$210,"*Mudança*",$O$22:$O$210,"&lt;&gt;Cancelada")&gt;0,"M.Função ","")&amp;IF(COUNTIFS($C$22:$C$210,H12,$D$22:$D$210,"*Treinamento*",$O$22:$O$210,"&lt;&gt;Cancelada")&gt;0,"Trein. ","")))</f>
        <v/>
      </c>
      <c r="I13" s="62" t="n"/>
      <c r="J13" s="61">
        <f>IF(J12="","",TRIM(IF(COUNTIFS($C$22:$C$210,J12,$D$22:$D$210,"*Erros*",$O$22:$O$210,"&lt;&gt;Cancelada")&gt;0,"Erros ","")&amp;IF(COUNTIFS($C$22:$C$210,J12,$D$22:$D$210,"*Suporte*",$O$22:$O$210,"&lt;&gt;Cancelada")&gt;0,"Suporte ","")&amp;IF(COUNTIFS($C$22:$C$210,J12,$D$22:$D$210,"*Vistoria*",$O$22:$O$210,"&lt;&gt;Cancelada")&gt;0,"Vistoria ","")&amp;IF(COUNTIFS($C$22:$C$210,J12,$D$22:$D$210,"*Metas*",$O$22:$O$210,"&lt;&gt;Cancelada")&gt;0,"Metas ","")&amp;IF(COUNTIFS($C$22:$C$210,J12,$D$22:$D$210,"*Faltas*",$O$22:$O$210,"&lt;&gt;Cancelada")&gt;0,"Faltas ","")&amp;IF(COUNTIFS($C$22:$C$210,J12,$D$22:$D$210,"*Semanal c/*",$O$22:$O$210,"&lt;&gt;Cancelada")&gt;0,"Acomp. ","")&amp;IF(COUNTIFS($C$22:$C$210,J12,$D$22:$D$210,"*Reunião*",$O$22:$O$210,"&lt;&gt;Cancelada")&gt;0,"Reunião ","")&amp;IF(COUNTIFS($C$22:$C$210,J12,$D$22:$D$210,"*Férias*",$O$22:$O$210,"&lt;&gt;Cancelada")&gt;0,"Férias ","")&amp;IF(COUNTIFS($C$22:$C$210,J12,$D$22:$D$210,"*Mudança*",$O$22:$O$210,"&lt;&gt;Cancelada")&gt;0,"M.Função ","")&amp;IF(COUNTIFS($C$22:$C$210,J12,$D$22:$D$210,"*Treinamento*",$O$22:$O$210,"&lt;&gt;Cancelada")&gt;0,"Trein. ","")))</f>
        <v/>
      </c>
      <c r="K13" s="62" t="n"/>
      <c r="L13" s="61">
        <f>IF(L12="","",TRIM(IF(COUNTIFS($C$22:$C$210,L12,$D$22:$D$210,"*Erros*",$O$22:$O$210,"&lt;&gt;Cancelada")&gt;0,"Erros ","")&amp;IF(COUNTIFS($C$22:$C$210,L12,$D$22:$D$210,"*Suporte*",$O$22:$O$210,"&lt;&gt;Cancelada")&gt;0,"Suporte ","")&amp;IF(COUNTIFS($C$22:$C$210,L12,$D$22:$D$210,"*Vistoria*",$O$22:$O$210,"&lt;&gt;Cancelada")&gt;0,"Vistoria ","")&amp;IF(COUNTIFS($C$22:$C$210,L12,$D$22:$D$210,"*Metas*",$O$22:$O$210,"&lt;&gt;Cancelada")&gt;0,"Metas ","")&amp;IF(COUNTIFS($C$22:$C$210,L12,$D$22:$D$210,"*Faltas*",$O$22:$O$210,"&lt;&gt;Cancelada")&gt;0,"Faltas ","")&amp;IF(COUNTIFS($C$22:$C$210,L12,$D$22:$D$210,"*Semanal c/*",$O$22:$O$210,"&lt;&gt;Cancelada")&gt;0,"Acomp. ","")&amp;IF(COUNTIFS($C$22:$C$210,L12,$D$22:$D$210,"*Reunião*",$O$22:$O$210,"&lt;&gt;Cancelada")&gt;0,"Reunião ","")&amp;IF(COUNTIFS($C$22:$C$210,L12,$D$22:$D$210,"*Férias*",$O$22:$O$210,"&lt;&gt;Cancelada")&gt;0,"Férias ","")&amp;IF(COUNTIFS($C$22:$C$210,L12,$D$22:$D$210,"*Mudança*",$O$22:$O$210,"&lt;&gt;Cancelada")&gt;0,"M.Função ","")&amp;IF(COUNTIFS($C$22:$C$210,L12,$D$22:$D$210,"*Treinamento*",$O$22:$O$210,"&lt;&gt;Cancelada")&gt;0,"Trein. ","")))</f>
        <v/>
      </c>
      <c r="M13" s="62" t="n"/>
      <c r="N13" s="61">
        <f>IF(N12="","",TRIM(IF(COUNTIFS($C$22:$C$210,N12,$D$22:$D$210,"*Erros*",$O$22:$O$210,"&lt;&gt;Cancelada")&gt;0,"Erros ","")&amp;IF(COUNTIFS($C$22:$C$210,N12,$D$22:$D$210,"*Suporte*",$O$22:$O$210,"&lt;&gt;Cancelada")&gt;0,"Suporte ","")&amp;IF(COUNTIFS($C$22:$C$210,N12,$D$22:$D$210,"*Vistoria*",$O$22:$O$210,"&lt;&gt;Cancelada")&gt;0,"Vistoria ","")&amp;IF(COUNTIFS($C$22:$C$210,N12,$D$22:$D$210,"*Metas*",$O$22:$O$210,"&lt;&gt;Cancelada")&gt;0,"Metas ","")&amp;IF(COUNTIFS($C$22:$C$210,N12,$D$22:$D$210,"*Faltas*",$O$22:$O$210,"&lt;&gt;Cancelada")&gt;0,"Faltas ","")&amp;IF(COUNTIFS($C$22:$C$210,N12,$D$22:$D$210,"*Semanal c/*",$O$22:$O$210,"&lt;&gt;Cancelada")&gt;0,"Acomp. ","")&amp;IF(COUNTIFS($C$22:$C$210,N12,$D$22:$D$210,"*Reunião*",$O$22:$O$210,"&lt;&gt;Cancelada")&gt;0,"Reunião ","")&amp;IF(COUNTIFS($C$22:$C$210,N12,$D$22:$D$210,"*Férias*",$O$22:$O$210,"&lt;&gt;Cancelada")&gt;0,"Férias ","")&amp;IF(COUNTIFS($C$22:$C$210,N12,$D$22:$D$210,"*Mudança*",$O$22:$O$210,"&lt;&gt;Cancelada")&gt;0,"M.Função ","")&amp;IF(COUNTIFS($C$22:$C$210,N12,$D$22:$D$210,"*Treinamento*",$O$22:$O$210,"&lt;&gt;Cancelada")&gt;0,"Trein. ","")))</f>
        <v/>
      </c>
      <c r="O13" s="62" t="n"/>
    </row>
    <row r="14" ht="20" customHeight="1">
      <c r="B14" s="57" t="n">
        <v>46257</v>
      </c>
      <c r="C14" s="58" t="n"/>
      <c r="D14" s="57" t="n">
        <v>46258</v>
      </c>
      <c r="E14" s="58" t="n"/>
      <c r="F14" s="57" t="n">
        <v>46259</v>
      </c>
      <c r="G14" s="58" t="n"/>
      <c r="H14" s="57" t="n">
        <v>46260</v>
      </c>
      <c r="I14" s="58" t="n"/>
      <c r="J14" s="57" t="n">
        <v>46261</v>
      </c>
      <c r="K14" s="58" t="n"/>
      <c r="L14" s="57" t="n">
        <v>46262</v>
      </c>
      <c r="M14" s="58" t="n"/>
      <c r="N14" s="57" t="n">
        <v>46263</v>
      </c>
      <c r="O14" s="58" t="n"/>
    </row>
    <row r="15" ht="26" customHeight="1">
      <c r="B15" s="61">
        <f>IF(B14="","",TRIM(IF(COUNTIFS($C$22:$C$210,B14,$D$22:$D$210,"*Erros*",$O$22:$O$210,"&lt;&gt;Cancelada")&gt;0,"Erros ","")&amp;IF(COUNTIFS($C$22:$C$210,B14,$D$22:$D$210,"*Suporte*",$O$22:$O$210,"&lt;&gt;Cancelada")&gt;0,"Suporte ","")&amp;IF(COUNTIFS($C$22:$C$210,B14,$D$22:$D$210,"*Vistoria*",$O$22:$O$210,"&lt;&gt;Cancelada")&gt;0,"Vistoria ","")&amp;IF(COUNTIFS($C$22:$C$210,B14,$D$22:$D$210,"*Metas*",$O$22:$O$210,"&lt;&gt;Cancelada")&gt;0,"Metas ","")&amp;IF(COUNTIFS($C$22:$C$210,B14,$D$22:$D$210,"*Faltas*",$O$22:$O$210,"&lt;&gt;Cancelada")&gt;0,"Faltas ","")&amp;IF(COUNTIFS($C$22:$C$210,B14,$D$22:$D$210,"*Semanal c/*",$O$22:$O$210,"&lt;&gt;Cancelada")&gt;0,"Acomp. ","")&amp;IF(COUNTIFS($C$22:$C$210,B14,$D$22:$D$210,"*Reunião*",$O$22:$O$210,"&lt;&gt;Cancelada")&gt;0,"Reunião ","")&amp;IF(COUNTIFS($C$22:$C$210,B14,$D$22:$D$210,"*Férias*",$O$22:$O$210,"&lt;&gt;Cancelada")&gt;0,"Férias ","")&amp;IF(COUNTIFS($C$22:$C$210,B14,$D$22:$D$210,"*Mudança*",$O$22:$O$210,"&lt;&gt;Cancelada")&gt;0,"M.Função ","")&amp;IF(COUNTIFS($C$22:$C$210,B14,$D$22:$D$210,"*Treinamento*",$O$22:$O$210,"&lt;&gt;Cancelada")&gt;0,"Trein. ","")))</f>
        <v/>
      </c>
      <c r="C15" s="62" t="n"/>
      <c r="D15" s="61">
        <f>IF(D14="","",TRIM(IF(COUNTIFS($C$22:$C$210,D14,$D$22:$D$210,"*Erros*",$O$22:$O$210,"&lt;&gt;Cancelada")&gt;0,"Erros ","")&amp;IF(COUNTIFS($C$22:$C$210,D14,$D$22:$D$210,"*Suporte*",$O$22:$O$210,"&lt;&gt;Cancelada")&gt;0,"Suporte ","")&amp;IF(COUNTIFS($C$22:$C$210,D14,$D$22:$D$210,"*Vistoria*",$O$22:$O$210,"&lt;&gt;Cancelada")&gt;0,"Vistoria ","")&amp;IF(COUNTIFS($C$22:$C$210,D14,$D$22:$D$210,"*Metas*",$O$22:$O$210,"&lt;&gt;Cancelada")&gt;0,"Metas ","")&amp;IF(COUNTIFS($C$22:$C$210,D14,$D$22:$D$210,"*Faltas*",$O$22:$O$210,"&lt;&gt;Cancelada")&gt;0,"Faltas ","")&amp;IF(COUNTIFS($C$22:$C$210,D14,$D$22:$D$210,"*Semanal c/*",$O$22:$O$210,"&lt;&gt;Cancelada")&gt;0,"Acomp. ","")&amp;IF(COUNTIFS($C$22:$C$210,D14,$D$22:$D$210,"*Reunião*",$O$22:$O$210,"&lt;&gt;Cancelada")&gt;0,"Reunião ","")&amp;IF(COUNTIFS($C$22:$C$210,D14,$D$22:$D$210,"*Férias*",$O$22:$O$210,"&lt;&gt;Cancelada")&gt;0,"Férias ","")&amp;IF(COUNTIFS($C$22:$C$210,D14,$D$22:$D$210,"*Mudança*",$O$22:$O$210,"&lt;&gt;Cancelada")&gt;0,"M.Função ","")&amp;IF(COUNTIFS($C$22:$C$210,D14,$D$22:$D$210,"*Treinamento*",$O$22:$O$210,"&lt;&gt;Cancelada")&gt;0,"Trein. ","")))</f>
        <v/>
      </c>
      <c r="E15" s="62" t="n"/>
      <c r="F15" s="61">
        <f>IF(F14="","",TRIM(IF(COUNTIFS($C$22:$C$210,F14,$D$22:$D$210,"*Erros*",$O$22:$O$210,"&lt;&gt;Cancelada")&gt;0,"Erros ","")&amp;IF(COUNTIFS($C$22:$C$210,F14,$D$22:$D$210,"*Suporte*",$O$22:$O$210,"&lt;&gt;Cancelada")&gt;0,"Suporte ","")&amp;IF(COUNTIFS($C$22:$C$210,F14,$D$22:$D$210,"*Vistoria*",$O$22:$O$210,"&lt;&gt;Cancelada")&gt;0,"Vistoria ","")&amp;IF(COUNTIFS($C$22:$C$210,F14,$D$22:$D$210,"*Metas*",$O$22:$O$210,"&lt;&gt;Cancelada")&gt;0,"Metas ","")&amp;IF(COUNTIFS($C$22:$C$210,F14,$D$22:$D$210,"*Faltas*",$O$22:$O$210,"&lt;&gt;Cancelada")&gt;0,"Faltas ","")&amp;IF(COUNTIFS($C$22:$C$210,F14,$D$22:$D$210,"*Semanal c/*",$O$22:$O$210,"&lt;&gt;Cancelada")&gt;0,"Acomp. ","")&amp;IF(COUNTIFS($C$22:$C$210,F14,$D$22:$D$210,"*Reunião*",$O$22:$O$210,"&lt;&gt;Cancelada")&gt;0,"Reunião ","")&amp;IF(COUNTIFS($C$22:$C$210,F14,$D$22:$D$210,"*Férias*",$O$22:$O$210,"&lt;&gt;Cancelada")&gt;0,"Férias ","")&amp;IF(COUNTIFS($C$22:$C$210,F14,$D$22:$D$210,"*Mudança*",$O$22:$O$210,"&lt;&gt;Cancelada")&gt;0,"M.Função ","")&amp;IF(COUNTIFS($C$22:$C$210,F14,$D$22:$D$210,"*Treinamento*",$O$22:$O$210,"&lt;&gt;Cancelada")&gt;0,"Trein. ","")))</f>
        <v/>
      </c>
      <c r="G15" s="62" t="n"/>
      <c r="H15" s="61">
        <f>IF(H14="","",TRIM(IF(COUNTIFS($C$22:$C$210,H14,$D$22:$D$210,"*Erros*",$O$22:$O$210,"&lt;&gt;Cancelada")&gt;0,"Erros ","")&amp;IF(COUNTIFS($C$22:$C$210,H14,$D$22:$D$210,"*Suporte*",$O$22:$O$210,"&lt;&gt;Cancelada")&gt;0,"Suporte ","")&amp;IF(COUNTIFS($C$22:$C$210,H14,$D$22:$D$210,"*Vistoria*",$O$22:$O$210,"&lt;&gt;Cancelada")&gt;0,"Vistoria ","")&amp;IF(COUNTIFS($C$22:$C$210,H14,$D$22:$D$210,"*Metas*",$O$22:$O$210,"&lt;&gt;Cancelada")&gt;0,"Metas ","")&amp;IF(COUNTIFS($C$22:$C$210,H14,$D$22:$D$210,"*Faltas*",$O$22:$O$210,"&lt;&gt;Cancelada")&gt;0,"Faltas ","")&amp;IF(COUNTIFS($C$22:$C$210,H14,$D$22:$D$210,"*Semanal c/*",$O$22:$O$210,"&lt;&gt;Cancelada")&gt;0,"Acomp. ","")&amp;IF(COUNTIFS($C$22:$C$210,H14,$D$22:$D$210,"*Reunião*",$O$22:$O$210,"&lt;&gt;Cancelada")&gt;0,"Reunião ","")&amp;IF(COUNTIFS($C$22:$C$210,H14,$D$22:$D$210,"*Férias*",$O$22:$O$210,"&lt;&gt;Cancelada")&gt;0,"Férias ","")&amp;IF(COUNTIFS($C$22:$C$210,H14,$D$22:$D$210,"*Mudança*",$O$22:$O$210,"&lt;&gt;Cancelada")&gt;0,"M.Função ","")&amp;IF(COUNTIFS($C$22:$C$210,H14,$D$22:$D$210,"*Treinamento*",$O$22:$O$210,"&lt;&gt;Cancelada")&gt;0,"Trein. ","")))</f>
        <v/>
      </c>
      <c r="I15" s="62" t="n"/>
      <c r="J15" s="61">
        <f>IF(J14="","",TRIM(IF(COUNTIFS($C$22:$C$210,J14,$D$22:$D$210,"*Erros*",$O$22:$O$210,"&lt;&gt;Cancelada")&gt;0,"Erros ","")&amp;IF(COUNTIFS($C$22:$C$210,J14,$D$22:$D$210,"*Suporte*",$O$22:$O$210,"&lt;&gt;Cancelada")&gt;0,"Suporte ","")&amp;IF(COUNTIFS($C$22:$C$210,J14,$D$22:$D$210,"*Vistoria*",$O$22:$O$210,"&lt;&gt;Cancelada")&gt;0,"Vistoria ","")&amp;IF(COUNTIFS($C$22:$C$210,J14,$D$22:$D$210,"*Metas*",$O$22:$O$210,"&lt;&gt;Cancelada")&gt;0,"Metas ","")&amp;IF(COUNTIFS($C$22:$C$210,J14,$D$22:$D$210,"*Faltas*",$O$22:$O$210,"&lt;&gt;Cancelada")&gt;0,"Faltas ","")&amp;IF(COUNTIFS($C$22:$C$210,J14,$D$22:$D$210,"*Semanal c/*",$O$22:$O$210,"&lt;&gt;Cancelada")&gt;0,"Acomp. ","")&amp;IF(COUNTIFS($C$22:$C$210,J14,$D$22:$D$210,"*Reunião*",$O$22:$O$210,"&lt;&gt;Cancelada")&gt;0,"Reunião ","")&amp;IF(COUNTIFS($C$22:$C$210,J14,$D$22:$D$210,"*Férias*",$O$22:$O$210,"&lt;&gt;Cancelada")&gt;0,"Férias ","")&amp;IF(COUNTIFS($C$22:$C$210,J14,$D$22:$D$210,"*Mudança*",$O$22:$O$210,"&lt;&gt;Cancelada")&gt;0,"M.Função ","")&amp;IF(COUNTIFS($C$22:$C$210,J14,$D$22:$D$210,"*Treinamento*",$O$22:$O$210,"&lt;&gt;Cancelada")&gt;0,"Trein. ","")))</f>
        <v/>
      </c>
      <c r="K15" s="62" t="n"/>
      <c r="L15" s="61">
        <f>IF(L14="","",TRIM(IF(COUNTIFS($C$22:$C$210,L14,$D$22:$D$210,"*Erros*",$O$22:$O$210,"&lt;&gt;Cancelada")&gt;0,"Erros ","")&amp;IF(COUNTIFS($C$22:$C$210,L14,$D$22:$D$210,"*Suporte*",$O$22:$O$210,"&lt;&gt;Cancelada")&gt;0,"Suporte ","")&amp;IF(COUNTIFS($C$22:$C$210,L14,$D$22:$D$210,"*Vistoria*",$O$22:$O$210,"&lt;&gt;Cancelada")&gt;0,"Vistoria ","")&amp;IF(COUNTIFS($C$22:$C$210,L14,$D$22:$D$210,"*Metas*",$O$22:$O$210,"&lt;&gt;Cancelada")&gt;0,"Metas ","")&amp;IF(COUNTIFS($C$22:$C$210,L14,$D$22:$D$210,"*Faltas*",$O$22:$O$210,"&lt;&gt;Cancelada")&gt;0,"Faltas ","")&amp;IF(COUNTIFS($C$22:$C$210,L14,$D$22:$D$210,"*Semanal c/*",$O$22:$O$210,"&lt;&gt;Cancelada")&gt;0,"Acomp. ","")&amp;IF(COUNTIFS($C$22:$C$210,L14,$D$22:$D$210,"*Reunião*",$O$22:$O$210,"&lt;&gt;Cancelada")&gt;0,"Reunião ","")&amp;IF(COUNTIFS($C$22:$C$210,L14,$D$22:$D$210,"*Férias*",$O$22:$O$210,"&lt;&gt;Cancelada")&gt;0,"Férias ","")&amp;IF(COUNTIFS($C$22:$C$210,L14,$D$22:$D$210,"*Mudança*",$O$22:$O$210,"&lt;&gt;Cancelada")&gt;0,"M.Função ","")&amp;IF(COUNTIFS($C$22:$C$210,L14,$D$22:$D$210,"*Treinamento*",$O$22:$O$210,"&lt;&gt;Cancelada")&gt;0,"Trein. ","")))</f>
        <v/>
      </c>
      <c r="M15" s="62" t="n"/>
      <c r="N15" s="61">
        <f>IF(N14="","",TRIM(IF(COUNTIFS($C$22:$C$210,N14,$D$22:$D$210,"*Erros*",$O$22:$O$210,"&lt;&gt;Cancelada")&gt;0,"Erros ","")&amp;IF(COUNTIFS($C$22:$C$210,N14,$D$22:$D$210,"*Suporte*",$O$22:$O$210,"&lt;&gt;Cancelada")&gt;0,"Suporte ","")&amp;IF(COUNTIFS($C$22:$C$210,N14,$D$22:$D$210,"*Vistoria*",$O$22:$O$210,"&lt;&gt;Cancelada")&gt;0,"Vistoria ","")&amp;IF(COUNTIFS($C$22:$C$210,N14,$D$22:$D$210,"*Metas*",$O$22:$O$210,"&lt;&gt;Cancelada")&gt;0,"Metas ","")&amp;IF(COUNTIFS($C$22:$C$210,N14,$D$22:$D$210,"*Faltas*",$O$22:$O$210,"&lt;&gt;Cancelada")&gt;0,"Faltas ","")&amp;IF(COUNTIFS($C$22:$C$210,N14,$D$22:$D$210,"*Semanal c/*",$O$22:$O$210,"&lt;&gt;Cancelada")&gt;0,"Acomp. ","")&amp;IF(COUNTIFS($C$22:$C$210,N14,$D$22:$D$210,"*Reunião*",$O$22:$O$210,"&lt;&gt;Cancelada")&gt;0,"Reunião ","")&amp;IF(COUNTIFS($C$22:$C$210,N14,$D$22:$D$210,"*Férias*",$O$22:$O$210,"&lt;&gt;Cancelada")&gt;0,"Férias ","")&amp;IF(COUNTIFS($C$22:$C$210,N14,$D$22:$D$210,"*Mudança*",$O$22:$O$210,"&lt;&gt;Cancelada")&gt;0,"M.Função ","")&amp;IF(COUNTIFS($C$22:$C$210,N14,$D$22:$D$210,"*Treinamento*",$O$22:$O$210,"&lt;&gt;Cancelada")&gt;0,"Trein. ","")))</f>
        <v/>
      </c>
      <c r="O15" s="62" t="n"/>
    </row>
    <row r="16" ht="20" customHeight="1">
      <c r="B16" s="57" t="n">
        <v>46264</v>
      </c>
      <c r="C16" s="58" t="n"/>
      <c r="D16" s="57" t="n">
        <v>46265</v>
      </c>
      <c r="E16" s="58" t="n"/>
      <c r="F16" s="55" t="n"/>
      <c r="G16" s="56" t="n"/>
      <c r="H16" s="55" t="n"/>
      <c r="I16" s="56" t="n"/>
      <c r="J16" s="55" t="n"/>
      <c r="K16" s="56" t="n"/>
      <c r="L16" s="55" t="n"/>
      <c r="M16" s="56" t="n"/>
      <c r="N16" s="55" t="n"/>
      <c r="O16" s="56" t="n"/>
    </row>
    <row r="17" ht="26" customHeight="1">
      <c r="B17" s="61">
        <f>IF(B16="","",TRIM(IF(COUNTIFS($C$22:$C$210,B16,$D$22:$D$210,"*Erros*",$O$22:$O$210,"&lt;&gt;Cancelada")&gt;0,"Erros ","")&amp;IF(COUNTIFS($C$22:$C$210,B16,$D$22:$D$210,"*Suporte*",$O$22:$O$210,"&lt;&gt;Cancelada")&gt;0,"Suporte ","")&amp;IF(COUNTIFS($C$22:$C$210,B16,$D$22:$D$210,"*Vistoria*",$O$22:$O$210,"&lt;&gt;Cancelada")&gt;0,"Vistoria ","")&amp;IF(COUNTIFS($C$22:$C$210,B16,$D$22:$D$210,"*Metas*",$O$22:$O$210,"&lt;&gt;Cancelada")&gt;0,"Metas ","")&amp;IF(COUNTIFS($C$22:$C$210,B16,$D$22:$D$210,"*Faltas*",$O$22:$O$210,"&lt;&gt;Cancelada")&gt;0,"Faltas ","")&amp;IF(COUNTIFS($C$22:$C$210,B16,$D$22:$D$210,"*Semanal c/*",$O$22:$O$210,"&lt;&gt;Cancelada")&gt;0,"Acomp. ","")&amp;IF(COUNTIFS($C$22:$C$210,B16,$D$22:$D$210,"*Reunião*",$O$22:$O$210,"&lt;&gt;Cancelada")&gt;0,"Reunião ","")&amp;IF(COUNTIFS($C$22:$C$210,B16,$D$22:$D$210,"*Férias*",$O$22:$O$210,"&lt;&gt;Cancelada")&gt;0,"Férias ","")&amp;IF(COUNTIFS($C$22:$C$210,B16,$D$22:$D$210,"*Mudança*",$O$22:$O$210,"&lt;&gt;Cancelada")&gt;0,"M.Função ","")&amp;IF(COUNTIFS($C$22:$C$210,B16,$D$22:$D$210,"*Treinamento*",$O$22:$O$210,"&lt;&gt;Cancelada")&gt;0,"Trein. ","")))</f>
        <v/>
      </c>
      <c r="C17" s="62" t="n"/>
      <c r="D17" s="61">
        <f>IF(D16="","",TRIM(IF(COUNTIFS($C$22:$C$210,D16,$D$22:$D$210,"*Erros*",$O$22:$O$210,"&lt;&gt;Cancelada")&gt;0,"Erros ","")&amp;IF(COUNTIFS($C$22:$C$210,D16,$D$22:$D$210,"*Suporte*",$O$22:$O$210,"&lt;&gt;Cancelada")&gt;0,"Suporte ","")&amp;IF(COUNTIFS($C$22:$C$210,D16,$D$22:$D$210,"*Vistoria*",$O$22:$O$210,"&lt;&gt;Cancelada")&gt;0,"Vistoria ","")&amp;IF(COUNTIFS($C$22:$C$210,D16,$D$22:$D$210,"*Metas*",$O$22:$O$210,"&lt;&gt;Cancelada")&gt;0,"Metas ","")&amp;IF(COUNTIFS($C$22:$C$210,D16,$D$22:$D$210,"*Faltas*",$O$22:$O$210,"&lt;&gt;Cancelada")&gt;0,"Faltas ","")&amp;IF(COUNTIFS($C$22:$C$210,D16,$D$22:$D$210,"*Semanal c/*",$O$22:$O$210,"&lt;&gt;Cancelada")&gt;0,"Acomp. ","")&amp;IF(COUNTIFS($C$22:$C$210,D16,$D$22:$D$210,"*Reunião*",$O$22:$O$210,"&lt;&gt;Cancelada")&gt;0,"Reunião ","")&amp;IF(COUNTIFS($C$22:$C$210,D16,$D$22:$D$210,"*Férias*",$O$22:$O$210,"&lt;&gt;Cancelada")&gt;0,"Férias ","")&amp;IF(COUNTIFS($C$22:$C$210,D16,$D$22:$D$210,"*Mudança*",$O$22:$O$210,"&lt;&gt;Cancelada")&gt;0,"M.Função ","")&amp;IF(COUNTIFS($C$22:$C$210,D16,$D$22:$D$210,"*Treinamento*",$O$22:$O$210,"&lt;&gt;Cancelada")&gt;0,"Trein. ","")))</f>
        <v/>
      </c>
      <c r="E17" s="62" t="n"/>
      <c r="F17" s="59" t="n"/>
      <c r="G17" s="60" t="n"/>
      <c r="H17" s="59" t="n"/>
      <c r="I17" s="60" t="n"/>
      <c r="J17" s="59" t="n"/>
      <c r="K17" s="60" t="n"/>
      <c r="L17" s="59" t="n"/>
      <c r="M17" s="60" t="n"/>
      <c r="N17" s="59" t="n"/>
      <c r="O17" s="60" t="n"/>
    </row>
    <row r="18">
      <c r="B18" s="63" t="inlineStr">
        <is>
          <t>Amarelo = hoje - Azul = dia com prazo - SEX = reunião com a gerência - Acomp. = Acompanhamento c/ Supervisores - M.Função = Mudança de Função - Trein. = Treinamento programado</t>
        </is>
      </c>
    </row>
    <row r="20">
      <c r="A20" s="26" t="inlineStr">
        <is>
          <t>GESTÃO DE ATIVIDADES — coordenador: selecione a linha e use o menu GSL Bartofil &gt; Anexar entrega (ou cole o link na coluna LINK DO ANEXO)</t>
        </is>
      </c>
    </row>
    <row r="21">
      <c r="A21" s="27" t="inlineStr">
        <is>
          <t>ID</t>
        </is>
      </c>
      <c r="B21" s="27" t="inlineStr">
        <is>
          <t>SEMANA</t>
        </is>
      </c>
      <c r="C21" s="27" t="inlineStr">
        <is>
          <t>PRAZO</t>
        </is>
      </c>
      <c r="D21" s="27" t="inlineStr">
        <is>
          <t>ATIVIDADE</t>
        </is>
      </c>
      <c r="E21" s="53" t="n"/>
      <c r="F21" s="53" t="n"/>
      <c r="G21" s="27" t="inlineStr">
        <is>
          <t>TURNO</t>
        </is>
      </c>
      <c r="H21" s="27" t="inlineStr">
        <is>
          <t>COORDENADOR</t>
        </is>
      </c>
      <c r="I21" s="53" t="n"/>
      <c r="J21" s="27" t="inlineStr">
        <is>
          <t>SETOR (vistoria)</t>
        </is>
      </c>
      <c r="K21" s="53" t="n"/>
      <c r="L21" s="27" t="inlineStr">
        <is>
          <t>LINK DO ANEXO (ENTREGA)</t>
        </is>
      </c>
      <c r="M21" s="53" t="n"/>
      <c r="N21" s="27" t="inlineStr">
        <is>
          <t>ENTREGUE EM</t>
        </is>
      </c>
      <c r="O21" s="27" t="inlineStr">
        <is>
          <t>VALIDAÇÃO</t>
        </is>
      </c>
      <c r="P21" s="27" t="inlineStr">
        <is>
          <t>MOTIVO REPROV. / CANCEL.</t>
        </is>
      </c>
      <c r="Q21" s="53" t="n"/>
      <c r="R21" s="27" t="inlineStr">
        <is>
          <t>STATUS</t>
        </is>
      </c>
      <c r="S21" s="64" t="inlineStr">
        <is>
          <t>fL</t>
        </is>
      </c>
      <c r="T21" s="64" t="inlineStr">
        <is>
          <t>fA</t>
        </is>
      </c>
      <c r="U21" s="64" t="inlineStr">
        <is>
          <t>fE</t>
        </is>
      </c>
    </row>
    <row r="22">
      <c r="A22" s="65" t="inlineStr">
        <is>
          <t>AGO-S32-ERR-A</t>
        </is>
      </c>
      <c r="B22" s="66" t="inlineStr">
        <is>
          <t>S32</t>
        </is>
      </c>
      <c r="C22" s="67" t="n">
        <v>46237</v>
      </c>
      <c r="D22" s="68" t="inlineStr">
        <is>
          <t>Levantamento de Erros Operacionais</t>
        </is>
      </c>
      <c r="E22" s="53" t="n"/>
      <c r="F22" s="53" t="n"/>
      <c r="G22" s="69" t="inlineStr">
        <is>
          <t>A</t>
        </is>
      </c>
      <c r="H22" s="70">
        <f>IF($G22="A",CONFIG!$B$5,IF($G22="B",CONFIG!$B$6,IF($G22="C",CONFIG!$B$7,IF($G22="Todos","Todos os turnos",""))))</f>
        <v/>
      </c>
      <c r="I22" s="53" t="n"/>
      <c r="J22" s="71" t="inlineStr">
        <is>
          <t>—</t>
        </is>
      </c>
      <c r="K22" s="53" t="n"/>
      <c r="L22" s="72" t="n"/>
      <c r="M22" s="53" t="n"/>
      <c r="N22" s="73" t="n"/>
      <c r="O22" s="74" t="n"/>
      <c r="P22" s="75" t="n"/>
      <c r="Q22" s="53" t="n"/>
      <c r="R22" s="76">
        <f>IF($C22="","",IF($O22="Cancelada","Cancelada",IF($O22="Reprovado","Reprovada",IF($O22="Aprovado","Aprovada",IF($L22&lt;&gt;"","Entregue",IF(TODAY()&gt;$C22,"Atrasada","Pendente"))))))</f>
        <v/>
      </c>
    </row>
    <row r="23">
      <c r="A23" s="65" t="inlineStr">
        <is>
          <t>AGO-S32-ERR-B</t>
        </is>
      </c>
      <c r="B23" s="66" t="inlineStr">
        <is>
          <t>S32</t>
        </is>
      </c>
      <c r="C23" s="67" t="n">
        <v>46237</v>
      </c>
      <c r="D23" s="68" t="inlineStr">
        <is>
          <t>Levantamento de Erros Operacionais</t>
        </is>
      </c>
      <c r="E23" s="53" t="n"/>
      <c r="F23" s="53" t="n"/>
      <c r="G23" s="69" t="inlineStr">
        <is>
          <t>B</t>
        </is>
      </c>
      <c r="H23" s="70">
        <f>IF($G23="A",CONFIG!$B$5,IF($G23="B",CONFIG!$B$6,IF($G23="C",CONFIG!$B$7,IF($G23="Todos","Todos os turnos",""))))</f>
        <v/>
      </c>
      <c r="I23" s="53" t="n"/>
      <c r="J23" s="71" t="inlineStr">
        <is>
          <t>—</t>
        </is>
      </c>
      <c r="K23" s="53" t="n"/>
      <c r="L23" s="72" t="n"/>
      <c r="M23" s="53" t="n"/>
      <c r="N23" s="73" t="n"/>
      <c r="O23" s="74" t="n"/>
      <c r="P23" s="75" t="n"/>
      <c r="Q23" s="53" t="n"/>
      <c r="R23" s="76">
        <f>IF($C23="","",IF($O23="Cancelada","Cancelada",IF($O23="Reprovado","Reprovada",IF($O23="Aprovado","Aprovada",IF($L23&lt;&gt;"","Entregue",IF(TODAY()&gt;$C23,"Atrasada","Pendente"))))))</f>
        <v/>
      </c>
    </row>
    <row r="24">
      <c r="A24" s="65" t="inlineStr">
        <is>
          <t>AGO-S32-ERR-C</t>
        </is>
      </c>
      <c r="B24" s="66" t="inlineStr">
        <is>
          <t>S32</t>
        </is>
      </c>
      <c r="C24" s="67" t="n">
        <v>46237</v>
      </c>
      <c r="D24" s="68" t="inlineStr">
        <is>
          <t>Levantamento de Erros Operacionais</t>
        </is>
      </c>
      <c r="E24" s="53" t="n"/>
      <c r="F24" s="53" t="n"/>
      <c r="G24" s="69" t="inlineStr">
        <is>
          <t>C</t>
        </is>
      </c>
      <c r="H24" s="70">
        <f>IF($G24="A",CONFIG!$B$5,IF($G24="B",CONFIG!$B$6,IF($G24="C",CONFIG!$B$7,IF($G24="Todos","Todos os turnos",""))))</f>
        <v/>
      </c>
      <c r="I24" s="53" t="n"/>
      <c r="J24" s="71" t="inlineStr">
        <is>
          <t>—</t>
        </is>
      </c>
      <c r="K24" s="53" t="n"/>
      <c r="L24" s="72" t="n"/>
      <c r="M24" s="53" t="n"/>
      <c r="N24" s="73" t="n"/>
      <c r="O24" s="74" t="n"/>
      <c r="P24" s="75" t="n"/>
      <c r="Q24" s="53" t="n"/>
      <c r="R24" s="76">
        <f>IF($C24="","",IF($O24="Cancelada","Cancelada",IF($O24="Reprovado","Reprovada",IF($O24="Aprovado","Aprovada",IF($L24&lt;&gt;"","Entregue",IF(TODAY()&gt;$C24,"Atrasada","Pendente"))))))</f>
        <v/>
      </c>
    </row>
    <row r="25">
      <c r="A25" s="65" t="inlineStr">
        <is>
          <t>AGO-S32-SUP-A</t>
        </is>
      </c>
      <c r="B25" s="66" t="inlineStr">
        <is>
          <t>S32</t>
        </is>
      </c>
      <c r="C25" s="67" t="n">
        <v>46238</v>
      </c>
      <c r="D25" s="68" t="inlineStr">
        <is>
          <t>Suporte de Supervisores</t>
        </is>
      </c>
      <c r="E25" s="53" t="n"/>
      <c r="F25" s="53" t="n"/>
      <c r="G25" s="69" t="inlineStr">
        <is>
          <t>A</t>
        </is>
      </c>
      <c r="H25" s="70">
        <f>IF($G25="A",CONFIG!$B$5,IF($G25="B",CONFIG!$B$6,IF($G25="C",CONFIG!$B$7,IF($G25="Todos","Todos os turnos",""))))</f>
        <v/>
      </c>
      <c r="I25" s="53" t="n"/>
      <c r="J25" s="71" t="inlineStr">
        <is>
          <t>—</t>
        </is>
      </c>
      <c r="K25" s="53" t="n"/>
      <c r="L25" s="72" t="n"/>
      <c r="M25" s="53" t="n"/>
      <c r="N25" s="73" t="n"/>
      <c r="O25" s="74" t="n"/>
      <c r="P25" s="75" t="n"/>
      <c r="Q25" s="53" t="n"/>
      <c r="R25" s="76">
        <f>IF($C25="","",IF($O25="Cancelada","Cancelada",IF($O25="Reprovado","Reprovada",IF($O25="Aprovado","Aprovada",IF($L25&lt;&gt;"","Entregue",IF(TODAY()&gt;$C25,"Atrasada","Pendente"))))))</f>
        <v/>
      </c>
    </row>
    <row r="26">
      <c r="A26" s="65" t="inlineStr">
        <is>
          <t>AGO-S32-SUP-B</t>
        </is>
      </c>
      <c r="B26" s="66" t="inlineStr">
        <is>
          <t>S32</t>
        </is>
      </c>
      <c r="C26" s="67" t="n">
        <v>46238</v>
      </c>
      <c r="D26" s="68" t="inlineStr">
        <is>
          <t>Suporte de Supervisores</t>
        </is>
      </c>
      <c r="E26" s="53" t="n"/>
      <c r="F26" s="53" t="n"/>
      <c r="G26" s="69" t="inlineStr">
        <is>
          <t>B</t>
        </is>
      </c>
      <c r="H26" s="70">
        <f>IF($G26="A",CONFIG!$B$5,IF($G26="B",CONFIG!$B$6,IF($G26="C",CONFIG!$B$7,IF($G26="Todos","Todos os turnos",""))))</f>
        <v/>
      </c>
      <c r="I26" s="53" t="n"/>
      <c r="J26" s="71" t="inlineStr">
        <is>
          <t>—</t>
        </is>
      </c>
      <c r="K26" s="53" t="n"/>
      <c r="L26" s="72" t="n"/>
      <c r="M26" s="53" t="n"/>
      <c r="N26" s="73" t="n"/>
      <c r="O26" s="74" t="n"/>
      <c r="P26" s="75" t="n"/>
      <c r="Q26" s="53" t="n"/>
      <c r="R26" s="76">
        <f>IF($C26="","",IF($O26="Cancelada","Cancelada",IF($O26="Reprovado","Reprovada",IF($O26="Aprovado","Aprovada",IF($L26&lt;&gt;"","Entregue",IF(TODAY()&gt;$C26,"Atrasada","Pendente"))))))</f>
        <v/>
      </c>
    </row>
    <row r="27">
      <c r="A27" s="65" t="inlineStr">
        <is>
          <t>AGO-S32-SUP-C</t>
        </is>
      </c>
      <c r="B27" s="66" t="inlineStr">
        <is>
          <t>S32</t>
        </is>
      </c>
      <c r="C27" s="67" t="n">
        <v>46238</v>
      </c>
      <c r="D27" s="68" t="inlineStr">
        <is>
          <t>Suporte de Supervisores</t>
        </is>
      </c>
      <c r="E27" s="53" t="n"/>
      <c r="F27" s="53" t="n"/>
      <c r="G27" s="69" t="inlineStr">
        <is>
          <t>C</t>
        </is>
      </c>
      <c r="H27" s="70">
        <f>IF($G27="A",CONFIG!$B$5,IF($G27="B",CONFIG!$B$6,IF($G27="C",CONFIG!$B$7,IF($G27="Todos","Todos os turnos",""))))</f>
        <v/>
      </c>
      <c r="I27" s="53" t="n"/>
      <c r="J27" s="71" t="inlineStr">
        <is>
          <t>—</t>
        </is>
      </c>
      <c r="K27" s="53" t="n"/>
      <c r="L27" s="72" t="n"/>
      <c r="M27" s="53" t="n"/>
      <c r="N27" s="73" t="n"/>
      <c r="O27" s="74" t="n"/>
      <c r="P27" s="75" t="n"/>
      <c r="Q27" s="53" t="n"/>
      <c r="R27" s="76">
        <f>IF($C27="","",IF($O27="Cancelada","Cancelada",IF($O27="Reprovado","Reprovada",IF($O27="Aprovado","Aprovada",IF($L27&lt;&gt;"","Entregue",IF(TODAY()&gt;$C27,"Atrasada","Pendente"))))))</f>
        <v/>
      </c>
    </row>
    <row r="28">
      <c r="A28" s="65" t="inlineStr">
        <is>
          <t>AGO-S32-VIS-A</t>
        </is>
      </c>
      <c r="B28" s="66" t="inlineStr">
        <is>
          <t>S32</t>
        </is>
      </c>
      <c r="C28" s="67" t="n">
        <v>46239</v>
      </c>
      <c r="D28" s="68" t="inlineStr">
        <is>
          <t>Acomp. Organizacional Setorial (Vistoria)</t>
        </is>
      </c>
      <c r="E28" s="53" t="n"/>
      <c r="F28" s="53" t="n"/>
      <c r="G28" s="69" t="inlineStr">
        <is>
          <t>A</t>
        </is>
      </c>
      <c r="H28" s="70">
        <f>IF($G28="A",CONFIG!$B$5,IF($G28="B",CONFIG!$B$6,IF($G28="C",CONFIG!$B$7,IF($G28="Todos","Todos os turnos",""))))</f>
        <v/>
      </c>
      <c r="I28" s="53" t="n"/>
      <c r="J28" s="77" t="n"/>
      <c r="K28" s="53" t="n"/>
      <c r="L28" s="72" t="n"/>
      <c r="M28" s="53" t="n"/>
      <c r="N28" s="73" t="n"/>
      <c r="O28" s="74" t="n"/>
      <c r="P28" s="75" t="n"/>
      <c r="Q28" s="53" t="n"/>
      <c r="R28" s="76">
        <f>IF($C28="","",IF($O28="Cancelada","Cancelada",IF($O28="Reprovado","Reprovada",IF($O28="Aprovado","Aprovada",IF($L28&lt;&gt;"","Entregue",IF(TODAY()&gt;$C28,"Atrasada","Pendente"))))))</f>
        <v/>
      </c>
    </row>
    <row r="29">
      <c r="A29" s="65" t="inlineStr">
        <is>
          <t>AGO-S32-VIS-B</t>
        </is>
      </c>
      <c r="B29" s="66" t="inlineStr">
        <is>
          <t>S32</t>
        </is>
      </c>
      <c r="C29" s="67" t="n">
        <v>46239</v>
      </c>
      <c r="D29" s="68" t="inlineStr">
        <is>
          <t>Acomp. Organizacional Setorial (Vistoria)</t>
        </is>
      </c>
      <c r="E29" s="53" t="n"/>
      <c r="F29" s="53" t="n"/>
      <c r="G29" s="69" t="inlineStr">
        <is>
          <t>B</t>
        </is>
      </c>
      <c r="H29" s="70">
        <f>IF($G29="A",CONFIG!$B$5,IF($G29="B",CONFIG!$B$6,IF($G29="C",CONFIG!$B$7,IF($G29="Todos","Todos os turnos",""))))</f>
        <v/>
      </c>
      <c r="I29" s="53" t="n"/>
      <c r="J29" s="77" t="n"/>
      <c r="K29" s="53" t="n"/>
      <c r="L29" s="72" t="n"/>
      <c r="M29" s="53" t="n"/>
      <c r="N29" s="73" t="n"/>
      <c r="O29" s="74" t="n"/>
      <c r="P29" s="75" t="n"/>
      <c r="Q29" s="53" t="n"/>
      <c r="R29" s="76">
        <f>IF($C29="","",IF($O29="Cancelada","Cancelada",IF($O29="Reprovado","Reprovada",IF($O29="Aprovado","Aprovada",IF($L29&lt;&gt;"","Entregue",IF(TODAY()&gt;$C29,"Atrasada","Pendente"))))))</f>
        <v/>
      </c>
    </row>
    <row r="30">
      <c r="A30" s="65" t="inlineStr">
        <is>
          <t>AGO-S32-VIS-C</t>
        </is>
      </c>
      <c r="B30" s="66" t="inlineStr">
        <is>
          <t>S32</t>
        </is>
      </c>
      <c r="C30" s="67" t="n">
        <v>46239</v>
      </c>
      <c r="D30" s="68" t="inlineStr">
        <is>
          <t>Acomp. Organizacional Setorial (Vistoria)</t>
        </is>
      </c>
      <c r="E30" s="53" t="n"/>
      <c r="F30" s="53" t="n"/>
      <c r="G30" s="69" t="inlineStr">
        <is>
          <t>C</t>
        </is>
      </c>
      <c r="H30" s="70">
        <f>IF($G30="A",CONFIG!$B$5,IF($G30="B",CONFIG!$B$6,IF($G30="C",CONFIG!$B$7,IF($G30="Todos","Todos os turnos",""))))</f>
        <v/>
      </c>
      <c r="I30" s="53" t="n"/>
      <c r="J30" s="77" t="n"/>
      <c r="K30" s="53" t="n"/>
      <c r="L30" s="72" t="n"/>
      <c r="M30" s="53" t="n"/>
      <c r="N30" s="73" t="n"/>
      <c r="O30" s="74" t="n"/>
      <c r="P30" s="75" t="n"/>
      <c r="Q30" s="53" t="n"/>
      <c r="R30" s="76">
        <f>IF($C30="","",IF($O30="Cancelada","Cancelada",IF($O30="Reprovado","Reprovada",IF($O30="Aprovado","Aprovada",IF($L30&lt;&gt;"","Entregue",IF(TODAY()&gt;$C30,"Atrasada","Pendente"))))))</f>
        <v/>
      </c>
    </row>
    <row r="31">
      <c r="A31" s="65" t="inlineStr">
        <is>
          <t>AGO-S32-MET-A</t>
        </is>
      </c>
      <c r="B31" s="66" t="inlineStr">
        <is>
          <t>S32</t>
        </is>
      </c>
      <c r="C31" s="67" t="n">
        <v>46240</v>
      </c>
      <c r="D31" s="68" t="inlineStr">
        <is>
          <t>Metas</t>
        </is>
      </c>
      <c r="E31" s="53" t="n"/>
      <c r="F31" s="53" t="n"/>
      <c r="G31" s="69" t="inlineStr">
        <is>
          <t>A</t>
        </is>
      </c>
      <c r="H31" s="70">
        <f>IF($G31="A",CONFIG!$B$5,IF($G31="B",CONFIG!$B$6,IF($G31="C",CONFIG!$B$7,IF($G31="Todos","Todos os turnos",""))))</f>
        <v/>
      </c>
      <c r="I31" s="53" t="n"/>
      <c r="J31" s="71" t="inlineStr">
        <is>
          <t>—</t>
        </is>
      </c>
      <c r="K31" s="53" t="n"/>
      <c r="L31" s="72" t="n"/>
      <c r="M31" s="53" t="n"/>
      <c r="N31" s="73" t="n"/>
      <c r="O31" s="74" t="n"/>
      <c r="P31" s="75" t="n"/>
      <c r="Q31" s="53" t="n"/>
      <c r="R31" s="76">
        <f>IF($C31="","",IF($O31="Cancelada","Cancelada",IF($O31="Reprovado","Reprovada",IF($O31="Aprovado","Aprovada",IF($L31&lt;&gt;"","Entregue",IF(TODAY()&gt;$C31,"Atrasada","Pendente"))))))</f>
        <v/>
      </c>
    </row>
    <row r="32">
      <c r="A32" s="65" t="inlineStr">
        <is>
          <t>AGO-S32-MET-B</t>
        </is>
      </c>
      <c r="B32" s="66" t="inlineStr">
        <is>
          <t>S32</t>
        </is>
      </c>
      <c r="C32" s="67" t="n">
        <v>46240</v>
      </c>
      <c r="D32" s="68" t="inlineStr">
        <is>
          <t>Metas</t>
        </is>
      </c>
      <c r="E32" s="53" t="n"/>
      <c r="F32" s="53" t="n"/>
      <c r="G32" s="69" t="inlineStr">
        <is>
          <t>B</t>
        </is>
      </c>
      <c r="H32" s="70">
        <f>IF($G32="A",CONFIG!$B$5,IF($G32="B",CONFIG!$B$6,IF($G32="C",CONFIG!$B$7,IF($G32="Todos","Todos os turnos",""))))</f>
        <v/>
      </c>
      <c r="I32" s="53" t="n"/>
      <c r="J32" s="71" t="inlineStr">
        <is>
          <t>—</t>
        </is>
      </c>
      <c r="K32" s="53" t="n"/>
      <c r="L32" s="72" t="n"/>
      <c r="M32" s="53" t="n"/>
      <c r="N32" s="73" t="n"/>
      <c r="O32" s="74" t="n"/>
      <c r="P32" s="75" t="n"/>
      <c r="Q32" s="53" t="n"/>
      <c r="R32" s="76">
        <f>IF($C32="","",IF($O32="Cancelada","Cancelada",IF($O32="Reprovado","Reprovada",IF($O32="Aprovado","Aprovada",IF($L32&lt;&gt;"","Entregue",IF(TODAY()&gt;$C32,"Atrasada","Pendente"))))))</f>
        <v/>
      </c>
    </row>
    <row r="33">
      <c r="A33" s="65" t="inlineStr">
        <is>
          <t>AGO-S32-MET-C</t>
        </is>
      </c>
      <c r="B33" s="66" t="inlineStr">
        <is>
          <t>S32</t>
        </is>
      </c>
      <c r="C33" s="67" t="n">
        <v>46240</v>
      </c>
      <c r="D33" s="68" t="inlineStr">
        <is>
          <t>Metas</t>
        </is>
      </c>
      <c r="E33" s="53" t="n"/>
      <c r="F33" s="53" t="n"/>
      <c r="G33" s="69" t="inlineStr">
        <is>
          <t>C</t>
        </is>
      </c>
      <c r="H33" s="70">
        <f>IF($G33="A",CONFIG!$B$5,IF($G33="B",CONFIG!$B$6,IF($G33="C",CONFIG!$B$7,IF($G33="Todos","Todos os turnos",""))))</f>
        <v/>
      </c>
      <c r="I33" s="53" t="n"/>
      <c r="J33" s="71" t="inlineStr">
        <is>
          <t>—</t>
        </is>
      </c>
      <c r="K33" s="53" t="n"/>
      <c r="L33" s="72" t="n"/>
      <c r="M33" s="53" t="n"/>
      <c r="N33" s="73" t="n"/>
      <c r="O33" s="74" t="n"/>
      <c r="P33" s="75" t="n"/>
      <c r="Q33" s="53" t="n"/>
      <c r="R33" s="76">
        <f>IF($C33="","",IF($O33="Cancelada","Cancelada",IF($O33="Reprovado","Reprovada",IF($O33="Aprovado","Aprovada",IF($L33&lt;&gt;"","Entregue",IF(TODAY()&gt;$C33,"Atrasada","Pendente"))))))</f>
        <v/>
      </c>
    </row>
    <row r="34">
      <c r="A34" s="65" t="inlineStr">
        <is>
          <t>AGO-S32-ACO-A</t>
        </is>
      </c>
      <c r="B34" s="66" t="inlineStr">
        <is>
          <t>S32</t>
        </is>
      </c>
      <c r="C34" s="67" t="n">
        <v>46241</v>
      </c>
      <c r="D34" s="68" t="inlineStr">
        <is>
          <t>Acompanhamento Semanal c/ Supervisores</t>
        </is>
      </c>
      <c r="E34" s="53" t="n"/>
      <c r="F34" s="53" t="n"/>
      <c r="G34" s="69" t="inlineStr">
        <is>
          <t>A</t>
        </is>
      </c>
      <c r="H34" s="70">
        <f>IF($G34="A",CONFIG!$B$5,IF($G34="B",CONFIG!$B$6,IF($G34="C",CONFIG!$B$7,IF($G34="Todos","Todos os turnos",""))))</f>
        <v/>
      </c>
      <c r="I34" s="53" t="n"/>
      <c r="J34" s="71" t="inlineStr">
        <is>
          <t>—</t>
        </is>
      </c>
      <c r="K34" s="53" t="n"/>
      <c r="L34" s="72" t="n"/>
      <c r="M34" s="53" t="n"/>
      <c r="N34" s="73" t="n"/>
      <c r="O34" s="74" t="n"/>
      <c r="P34" s="75" t="n"/>
      <c r="Q34" s="53" t="n"/>
      <c r="R34" s="76">
        <f>IF($C34="","",IF($O34="Cancelada","Cancelada",IF($O34="Reprovado","Reprovada",IF($O34="Aprovado","Aprovada",IF($L34&lt;&gt;"","Entregue",IF(TODAY()&gt;$C34,"Atrasada","Pendente"))))))</f>
        <v/>
      </c>
    </row>
    <row r="35">
      <c r="A35" s="65" t="inlineStr">
        <is>
          <t>AGO-S32-ACO-B</t>
        </is>
      </c>
      <c r="B35" s="66" t="inlineStr">
        <is>
          <t>S32</t>
        </is>
      </c>
      <c r="C35" s="67" t="n">
        <v>46241</v>
      </c>
      <c r="D35" s="68" t="inlineStr">
        <is>
          <t>Acompanhamento Semanal c/ Supervisores</t>
        </is>
      </c>
      <c r="E35" s="53" t="n"/>
      <c r="F35" s="53" t="n"/>
      <c r="G35" s="69" t="inlineStr">
        <is>
          <t>B</t>
        </is>
      </c>
      <c r="H35" s="70">
        <f>IF($G35="A",CONFIG!$B$5,IF($G35="B",CONFIG!$B$6,IF($G35="C",CONFIG!$B$7,IF($G35="Todos","Todos os turnos",""))))</f>
        <v/>
      </c>
      <c r="I35" s="53" t="n"/>
      <c r="J35" s="71" t="inlineStr">
        <is>
          <t>—</t>
        </is>
      </c>
      <c r="K35" s="53" t="n"/>
      <c r="L35" s="72" t="n"/>
      <c r="M35" s="53" t="n"/>
      <c r="N35" s="73" t="n"/>
      <c r="O35" s="74" t="n"/>
      <c r="P35" s="75" t="n"/>
      <c r="Q35" s="53" t="n"/>
      <c r="R35" s="76">
        <f>IF($C35="","",IF($O35="Cancelada","Cancelada",IF($O35="Reprovado","Reprovada",IF($O35="Aprovado","Aprovada",IF($L35&lt;&gt;"","Entregue",IF(TODAY()&gt;$C35,"Atrasada","Pendente"))))))</f>
        <v/>
      </c>
    </row>
    <row r="36">
      <c r="A36" s="65" t="inlineStr">
        <is>
          <t>AGO-S32-ACO-C</t>
        </is>
      </c>
      <c r="B36" s="66" t="inlineStr">
        <is>
          <t>S32</t>
        </is>
      </c>
      <c r="C36" s="67" t="n">
        <v>46241</v>
      </c>
      <c r="D36" s="68" t="inlineStr">
        <is>
          <t>Acompanhamento Semanal c/ Supervisores</t>
        </is>
      </c>
      <c r="E36" s="53" t="n"/>
      <c r="F36" s="53" t="n"/>
      <c r="G36" s="69" t="inlineStr">
        <is>
          <t>C</t>
        </is>
      </c>
      <c r="H36" s="70">
        <f>IF($G36="A",CONFIG!$B$5,IF($G36="B",CONFIG!$B$6,IF($G36="C",CONFIG!$B$7,IF($G36="Todos","Todos os turnos",""))))</f>
        <v/>
      </c>
      <c r="I36" s="53" t="n"/>
      <c r="J36" s="71" t="inlineStr">
        <is>
          <t>—</t>
        </is>
      </c>
      <c r="K36" s="53" t="n"/>
      <c r="L36" s="72" t="n"/>
      <c r="M36" s="53" t="n"/>
      <c r="N36" s="73" t="n"/>
      <c r="O36" s="74" t="n"/>
      <c r="P36" s="75" t="n"/>
      <c r="Q36" s="53" t="n"/>
      <c r="R36" s="76">
        <f>IF($C36="","",IF($O36="Cancelada","Cancelada",IF($O36="Reprovado","Reprovada",IF($O36="Aprovado","Aprovada",IF($L36&lt;&gt;"","Entregue",IF(TODAY()&gt;$C36,"Atrasada","Pendente"))))))</f>
        <v/>
      </c>
    </row>
    <row r="37">
      <c r="A37" s="65" t="inlineStr">
        <is>
          <t>AGO-S32-FAL-A</t>
        </is>
      </c>
      <c r="B37" s="66" t="inlineStr">
        <is>
          <t>S32</t>
        </is>
      </c>
      <c r="C37" s="67" t="n">
        <v>46241</v>
      </c>
      <c r="D37" s="68" t="inlineStr">
        <is>
          <t>Faltas e Atestados</t>
        </is>
      </c>
      <c r="E37" s="53" t="n"/>
      <c r="F37" s="53" t="n"/>
      <c r="G37" s="69" t="inlineStr">
        <is>
          <t>A</t>
        </is>
      </c>
      <c r="H37" s="70">
        <f>IF($G37="A",CONFIG!$B$5,IF($G37="B",CONFIG!$B$6,IF($G37="C",CONFIG!$B$7,IF($G37="Todos","Todos os turnos",""))))</f>
        <v/>
      </c>
      <c r="I37" s="53" t="n"/>
      <c r="J37" s="71" t="inlineStr">
        <is>
          <t>—</t>
        </is>
      </c>
      <c r="K37" s="53" t="n"/>
      <c r="L37" s="72" t="n"/>
      <c r="M37" s="53" t="n"/>
      <c r="N37" s="73" t="n"/>
      <c r="O37" s="74" t="n"/>
      <c r="P37" s="75" t="n"/>
      <c r="Q37" s="53" t="n"/>
      <c r="R37" s="76">
        <f>IF($C37="","",IF($O37="Cancelada","Cancelada",IF($O37="Reprovado","Reprovada",IF($O37="Aprovado","Aprovada",IF($L37&lt;&gt;"","Entregue",IF(TODAY()&gt;$C37,"Atrasada","Pendente"))))))</f>
        <v/>
      </c>
    </row>
    <row r="38">
      <c r="A38" s="65" t="inlineStr">
        <is>
          <t>AGO-S32-FAL-B</t>
        </is>
      </c>
      <c r="B38" s="66" t="inlineStr">
        <is>
          <t>S32</t>
        </is>
      </c>
      <c r="C38" s="67" t="n">
        <v>46241</v>
      </c>
      <c r="D38" s="68" t="inlineStr">
        <is>
          <t>Faltas e Atestados</t>
        </is>
      </c>
      <c r="E38" s="53" t="n"/>
      <c r="F38" s="53" t="n"/>
      <c r="G38" s="69" t="inlineStr">
        <is>
          <t>B</t>
        </is>
      </c>
      <c r="H38" s="70">
        <f>IF($G38="A",CONFIG!$B$5,IF($G38="B",CONFIG!$B$6,IF($G38="C",CONFIG!$B$7,IF($G38="Todos","Todos os turnos",""))))</f>
        <v/>
      </c>
      <c r="I38" s="53" t="n"/>
      <c r="J38" s="71" t="inlineStr">
        <is>
          <t>—</t>
        </is>
      </c>
      <c r="K38" s="53" t="n"/>
      <c r="L38" s="72" t="n"/>
      <c r="M38" s="53" t="n"/>
      <c r="N38" s="73" t="n"/>
      <c r="O38" s="74" t="n"/>
      <c r="P38" s="75" t="n"/>
      <c r="Q38" s="53" t="n"/>
      <c r="R38" s="76">
        <f>IF($C38="","",IF($O38="Cancelada","Cancelada",IF($O38="Reprovado","Reprovada",IF($O38="Aprovado","Aprovada",IF($L38&lt;&gt;"","Entregue",IF(TODAY()&gt;$C38,"Atrasada","Pendente"))))))</f>
        <v/>
      </c>
    </row>
    <row r="39">
      <c r="A39" s="65" t="inlineStr">
        <is>
          <t>AGO-S32-FAL-C</t>
        </is>
      </c>
      <c r="B39" s="66" t="inlineStr">
        <is>
          <t>S32</t>
        </is>
      </c>
      <c r="C39" s="67" t="n">
        <v>46241</v>
      </c>
      <c r="D39" s="68" t="inlineStr">
        <is>
          <t>Faltas e Atestados</t>
        </is>
      </c>
      <c r="E39" s="53" t="n"/>
      <c r="F39" s="53" t="n"/>
      <c r="G39" s="69" t="inlineStr">
        <is>
          <t>C</t>
        </is>
      </c>
      <c r="H39" s="70">
        <f>IF($G39="A",CONFIG!$B$5,IF($G39="B",CONFIG!$B$6,IF($G39="C",CONFIG!$B$7,IF($G39="Todos","Todos os turnos",""))))</f>
        <v/>
      </c>
      <c r="I39" s="53" t="n"/>
      <c r="J39" s="71" t="inlineStr">
        <is>
          <t>—</t>
        </is>
      </c>
      <c r="K39" s="53" t="n"/>
      <c r="L39" s="72" t="n"/>
      <c r="M39" s="53" t="n"/>
      <c r="N39" s="73" t="n"/>
      <c r="O39" s="74" t="n"/>
      <c r="P39" s="75" t="n"/>
      <c r="Q39" s="53" t="n"/>
      <c r="R39" s="76">
        <f>IF($C39="","",IF($O39="Cancelada","Cancelada",IF($O39="Reprovado","Reprovada",IF($O39="Aprovado","Aprovada",IF($L39&lt;&gt;"","Entregue",IF(TODAY()&gt;$C39,"Atrasada","Pendente"))))))</f>
        <v/>
      </c>
    </row>
    <row r="40">
      <c r="A40" s="65" t="inlineStr">
        <is>
          <t>AGO-S32-REU-T</t>
        </is>
      </c>
      <c r="B40" s="66" t="inlineStr">
        <is>
          <t>S32</t>
        </is>
      </c>
      <c r="C40" s="67" t="n">
        <v>46241</v>
      </c>
      <c r="D40" s="68" t="inlineStr">
        <is>
          <t>Reunião Semanal com a Gerência</t>
        </is>
      </c>
      <c r="E40" s="53" t="n"/>
      <c r="F40" s="53" t="n"/>
      <c r="G40" s="69" t="inlineStr">
        <is>
          <t>Todos</t>
        </is>
      </c>
      <c r="H40" s="70">
        <f>IF($G40="A",CONFIG!$B$5,IF($G40="B",CONFIG!$B$6,IF($G40="C",CONFIG!$B$7,IF($G40="Todos","Todos os turnos",""))))</f>
        <v/>
      </c>
      <c r="I40" s="53" t="n"/>
      <c r="J40" s="71" t="inlineStr">
        <is>
          <t>—</t>
        </is>
      </c>
      <c r="K40" s="53" t="n"/>
      <c r="L40" s="72" t="n"/>
      <c r="M40" s="53" t="n"/>
      <c r="N40" s="73" t="n"/>
      <c r="O40" s="74" t="n"/>
      <c r="P40" s="75" t="n"/>
      <c r="Q40" s="53" t="n"/>
      <c r="R40" s="76">
        <f>IF($C40="","",IF($O40="Cancelada","Cancelada",IF($O40="Reprovado","Reprovada",IF($O40="Aprovado","Aprovada",IF($L40&lt;&gt;"","Entregue",IF(TODAY()&gt;$C40,"Atrasada","Pendente"))))))</f>
        <v/>
      </c>
    </row>
    <row r="41">
      <c r="A41" s="65" t="inlineStr">
        <is>
          <t>AGO-S32-FER-A</t>
        </is>
      </c>
      <c r="B41" s="66" t="inlineStr">
        <is>
          <t>S32</t>
        </is>
      </c>
      <c r="C41" s="67" t="n">
        <v>46237</v>
      </c>
      <c r="D41" s="68" t="inlineStr">
        <is>
          <t>Programação de Férias (mensal)</t>
        </is>
      </c>
      <c r="E41" s="53" t="n"/>
      <c r="F41" s="53" t="n"/>
      <c r="G41" s="69" t="inlineStr">
        <is>
          <t>A</t>
        </is>
      </c>
      <c r="H41" s="70">
        <f>IF($G41="A",CONFIG!$B$5,IF($G41="B",CONFIG!$B$6,IF($G41="C",CONFIG!$B$7,IF($G41="Todos","Todos os turnos",""))))</f>
        <v/>
      </c>
      <c r="I41" s="53" t="n"/>
      <c r="J41" s="71" t="inlineStr">
        <is>
          <t>—</t>
        </is>
      </c>
      <c r="K41" s="53" t="n"/>
      <c r="L41" s="72" t="n"/>
      <c r="M41" s="53" t="n"/>
      <c r="N41" s="73" t="n"/>
      <c r="O41" s="74" t="n"/>
      <c r="P41" s="75" t="n"/>
      <c r="Q41" s="53" t="n"/>
      <c r="R41" s="76">
        <f>IF($C41="","",IF($O41="Cancelada","Cancelada",IF($O41="Reprovado","Reprovada",IF($O41="Aprovado","Aprovada",IF($L41&lt;&gt;"","Entregue",IF(TODAY()&gt;$C41,"Atrasada","Pendente"))))))</f>
        <v/>
      </c>
    </row>
    <row r="42">
      <c r="A42" s="65" t="inlineStr">
        <is>
          <t>AGO-S32-FER-B</t>
        </is>
      </c>
      <c r="B42" s="66" t="inlineStr">
        <is>
          <t>S32</t>
        </is>
      </c>
      <c r="C42" s="67" t="n">
        <v>46237</v>
      </c>
      <c r="D42" s="68" t="inlineStr">
        <is>
          <t>Programação de Férias (mensal)</t>
        </is>
      </c>
      <c r="E42" s="53" t="n"/>
      <c r="F42" s="53" t="n"/>
      <c r="G42" s="69" t="inlineStr">
        <is>
          <t>B</t>
        </is>
      </c>
      <c r="H42" s="70">
        <f>IF($G42="A",CONFIG!$B$5,IF($G42="B",CONFIG!$B$6,IF($G42="C",CONFIG!$B$7,IF($G42="Todos","Todos os turnos",""))))</f>
        <v/>
      </c>
      <c r="I42" s="53" t="n"/>
      <c r="J42" s="71" t="inlineStr">
        <is>
          <t>—</t>
        </is>
      </c>
      <c r="K42" s="53" t="n"/>
      <c r="L42" s="72" t="n"/>
      <c r="M42" s="53" t="n"/>
      <c r="N42" s="73" t="n"/>
      <c r="O42" s="74" t="n"/>
      <c r="P42" s="75" t="n"/>
      <c r="Q42" s="53" t="n"/>
      <c r="R42" s="76">
        <f>IF($C42="","",IF($O42="Cancelada","Cancelada",IF($O42="Reprovado","Reprovada",IF($O42="Aprovado","Aprovada",IF($L42&lt;&gt;"","Entregue",IF(TODAY()&gt;$C42,"Atrasada","Pendente"))))))</f>
        <v/>
      </c>
    </row>
    <row r="43">
      <c r="A43" s="65" t="inlineStr">
        <is>
          <t>AGO-S32-FER-C</t>
        </is>
      </c>
      <c r="B43" s="66" t="inlineStr">
        <is>
          <t>S32</t>
        </is>
      </c>
      <c r="C43" s="67" t="n">
        <v>46237</v>
      </c>
      <c r="D43" s="68" t="inlineStr">
        <is>
          <t>Programação de Férias (mensal)</t>
        </is>
      </c>
      <c r="E43" s="53" t="n"/>
      <c r="F43" s="53" t="n"/>
      <c r="G43" s="69" t="inlineStr">
        <is>
          <t>C</t>
        </is>
      </c>
      <c r="H43" s="70">
        <f>IF($G43="A",CONFIG!$B$5,IF($G43="B",CONFIG!$B$6,IF($G43="C",CONFIG!$B$7,IF($G43="Todos","Todos os turnos",""))))</f>
        <v/>
      </c>
      <c r="I43" s="53" t="n"/>
      <c r="J43" s="71" t="inlineStr">
        <is>
          <t>—</t>
        </is>
      </c>
      <c r="K43" s="53" t="n"/>
      <c r="L43" s="72" t="n"/>
      <c r="M43" s="53" t="n"/>
      <c r="N43" s="73" t="n"/>
      <c r="O43" s="74" t="n"/>
      <c r="P43" s="75" t="n"/>
      <c r="Q43" s="53" t="n"/>
      <c r="R43" s="76">
        <f>IF($C43="","",IF($O43="Cancelada","Cancelada",IF($O43="Reprovado","Reprovada",IF($O43="Aprovado","Aprovada",IF($L43&lt;&gt;"","Entregue",IF(TODAY()&gt;$C43,"Atrasada","Pendente"))))))</f>
        <v/>
      </c>
    </row>
    <row r="44">
      <c r="A44" s="65" t="inlineStr">
        <is>
          <t>AGO-S33-ERR-A</t>
        </is>
      </c>
      <c r="B44" s="66" t="inlineStr">
        <is>
          <t>S33</t>
        </is>
      </c>
      <c r="C44" s="67" t="n">
        <v>46244</v>
      </c>
      <c r="D44" s="68" t="inlineStr">
        <is>
          <t>Levantamento de Erros Operacionais</t>
        </is>
      </c>
      <c r="E44" s="53" t="n"/>
      <c r="F44" s="53" t="n"/>
      <c r="G44" s="69" t="inlineStr">
        <is>
          <t>A</t>
        </is>
      </c>
      <c r="H44" s="70">
        <f>IF($G44="A",CONFIG!$B$5,IF($G44="B",CONFIG!$B$6,IF($G44="C",CONFIG!$B$7,IF($G44="Todos","Todos os turnos",""))))</f>
        <v/>
      </c>
      <c r="I44" s="53" t="n"/>
      <c r="J44" s="71" t="inlineStr">
        <is>
          <t>—</t>
        </is>
      </c>
      <c r="K44" s="53" t="n"/>
      <c r="L44" s="72" t="n"/>
      <c r="M44" s="53" t="n"/>
      <c r="N44" s="73" t="n"/>
      <c r="O44" s="74" t="n"/>
      <c r="P44" s="75" t="n"/>
      <c r="Q44" s="53" t="n"/>
      <c r="R44" s="76">
        <f>IF($C44="","",IF($O44="Cancelada","Cancelada",IF($O44="Reprovado","Reprovada",IF($O44="Aprovado","Aprovada",IF($L44&lt;&gt;"","Entregue",IF(TODAY()&gt;$C44,"Atrasada","Pendente"))))))</f>
        <v/>
      </c>
    </row>
    <row r="45">
      <c r="A45" s="65" t="inlineStr">
        <is>
          <t>AGO-S33-ERR-B</t>
        </is>
      </c>
      <c r="B45" s="66" t="inlineStr">
        <is>
          <t>S33</t>
        </is>
      </c>
      <c r="C45" s="67" t="n">
        <v>46244</v>
      </c>
      <c r="D45" s="68" t="inlineStr">
        <is>
          <t>Levantamento de Erros Operacionais</t>
        </is>
      </c>
      <c r="E45" s="53" t="n"/>
      <c r="F45" s="53" t="n"/>
      <c r="G45" s="69" t="inlineStr">
        <is>
          <t>B</t>
        </is>
      </c>
      <c r="H45" s="70">
        <f>IF($G45="A",CONFIG!$B$5,IF($G45="B",CONFIG!$B$6,IF($G45="C",CONFIG!$B$7,IF($G45="Todos","Todos os turnos",""))))</f>
        <v/>
      </c>
      <c r="I45" s="53" t="n"/>
      <c r="J45" s="71" t="inlineStr">
        <is>
          <t>—</t>
        </is>
      </c>
      <c r="K45" s="53" t="n"/>
      <c r="L45" s="72" t="n"/>
      <c r="M45" s="53" t="n"/>
      <c r="N45" s="73" t="n"/>
      <c r="O45" s="74" t="n"/>
      <c r="P45" s="75" t="n"/>
      <c r="Q45" s="53" t="n"/>
      <c r="R45" s="76">
        <f>IF($C45="","",IF($O45="Cancelada","Cancelada",IF($O45="Reprovado","Reprovada",IF($O45="Aprovado","Aprovada",IF($L45&lt;&gt;"","Entregue",IF(TODAY()&gt;$C45,"Atrasada","Pendente"))))))</f>
        <v/>
      </c>
    </row>
    <row r="46">
      <c r="A46" s="65" t="inlineStr">
        <is>
          <t>AGO-S33-ERR-C</t>
        </is>
      </c>
      <c r="B46" s="66" t="inlineStr">
        <is>
          <t>S33</t>
        </is>
      </c>
      <c r="C46" s="67" t="n">
        <v>46244</v>
      </c>
      <c r="D46" s="68" t="inlineStr">
        <is>
          <t>Levantamento de Erros Operacionais</t>
        </is>
      </c>
      <c r="E46" s="53" t="n"/>
      <c r="F46" s="53" t="n"/>
      <c r="G46" s="69" t="inlineStr">
        <is>
          <t>C</t>
        </is>
      </c>
      <c r="H46" s="70">
        <f>IF($G46="A",CONFIG!$B$5,IF($G46="B",CONFIG!$B$6,IF($G46="C",CONFIG!$B$7,IF($G46="Todos","Todos os turnos",""))))</f>
        <v/>
      </c>
      <c r="I46" s="53" t="n"/>
      <c r="J46" s="71" t="inlineStr">
        <is>
          <t>—</t>
        </is>
      </c>
      <c r="K46" s="53" t="n"/>
      <c r="L46" s="72" t="n"/>
      <c r="M46" s="53" t="n"/>
      <c r="N46" s="73" t="n"/>
      <c r="O46" s="74" t="n"/>
      <c r="P46" s="75" t="n"/>
      <c r="Q46" s="53" t="n"/>
      <c r="R46" s="76">
        <f>IF($C46="","",IF($O46="Cancelada","Cancelada",IF($O46="Reprovado","Reprovada",IF($O46="Aprovado","Aprovada",IF($L46&lt;&gt;"","Entregue",IF(TODAY()&gt;$C46,"Atrasada","Pendente"))))))</f>
        <v/>
      </c>
    </row>
    <row r="47">
      <c r="A47" s="65" t="inlineStr">
        <is>
          <t>AGO-S33-SUP-A</t>
        </is>
      </c>
      <c r="B47" s="66" t="inlineStr">
        <is>
          <t>S33</t>
        </is>
      </c>
      <c r="C47" s="67" t="n">
        <v>46245</v>
      </c>
      <c r="D47" s="68" t="inlineStr">
        <is>
          <t>Suporte de Supervisores</t>
        </is>
      </c>
      <c r="E47" s="53" t="n"/>
      <c r="F47" s="53" t="n"/>
      <c r="G47" s="69" t="inlineStr">
        <is>
          <t>A</t>
        </is>
      </c>
      <c r="H47" s="70">
        <f>IF($G47="A",CONFIG!$B$5,IF($G47="B",CONFIG!$B$6,IF($G47="C",CONFIG!$B$7,IF($G47="Todos","Todos os turnos",""))))</f>
        <v/>
      </c>
      <c r="I47" s="53" t="n"/>
      <c r="J47" s="71" t="inlineStr">
        <is>
          <t>—</t>
        </is>
      </c>
      <c r="K47" s="53" t="n"/>
      <c r="L47" s="72" t="n"/>
      <c r="M47" s="53" t="n"/>
      <c r="N47" s="73" t="n"/>
      <c r="O47" s="74" t="n"/>
      <c r="P47" s="75" t="n"/>
      <c r="Q47" s="53" t="n"/>
      <c r="R47" s="76">
        <f>IF($C47="","",IF($O47="Cancelada","Cancelada",IF($O47="Reprovado","Reprovada",IF($O47="Aprovado","Aprovada",IF($L47&lt;&gt;"","Entregue",IF(TODAY()&gt;$C47,"Atrasada","Pendente"))))))</f>
        <v/>
      </c>
    </row>
    <row r="48">
      <c r="A48" s="65" t="inlineStr">
        <is>
          <t>AGO-S33-SUP-B</t>
        </is>
      </c>
      <c r="B48" s="66" t="inlineStr">
        <is>
          <t>S33</t>
        </is>
      </c>
      <c r="C48" s="67" t="n">
        <v>46245</v>
      </c>
      <c r="D48" s="68" t="inlineStr">
        <is>
          <t>Suporte de Supervisores</t>
        </is>
      </c>
      <c r="E48" s="53" t="n"/>
      <c r="F48" s="53" t="n"/>
      <c r="G48" s="69" t="inlineStr">
        <is>
          <t>B</t>
        </is>
      </c>
      <c r="H48" s="70">
        <f>IF($G48="A",CONFIG!$B$5,IF($G48="B",CONFIG!$B$6,IF($G48="C",CONFIG!$B$7,IF($G48="Todos","Todos os turnos",""))))</f>
        <v/>
      </c>
      <c r="I48" s="53" t="n"/>
      <c r="J48" s="71" t="inlineStr">
        <is>
          <t>—</t>
        </is>
      </c>
      <c r="K48" s="53" t="n"/>
      <c r="L48" s="72" t="n"/>
      <c r="M48" s="53" t="n"/>
      <c r="N48" s="73" t="n"/>
      <c r="O48" s="74" t="n"/>
      <c r="P48" s="75" t="n"/>
      <c r="Q48" s="53" t="n"/>
      <c r="R48" s="76">
        <f>IF($C48="","",IF($O48="Cancelada","Cancelada",IF($O48="Reprovado","Reprovada",IF($O48="Aprovado","Aprovada",IF($L48&lt;&gt;"","Entregue",IF(TODAY()&gt;$C48,"Atrasada","Pendente"))))))</f>
        <v/>
      </c>
    </row>
    <row r="49">
      <c r="A49" s="65" t="inlineStr">
        <is>
          <t>AGO-S33-SUP-C</t>
        </is>
      </c>
      <c r="B49" s="66" t="inlineStr">
        <is>
          <t>S33</t>
        </is>
      </c>
      <c r="C49" s="67" t="n">
        <v>46245</v>
      </c>
      <c r="D49" s="68" t="inlineStr">
        <is>
          <t>Suporte de Supervisores</t>
        </is>
      </c>
      <c r="E49" s="53" t="n"/>
      <c r="F49" s="53" t="n"/>
      <c r="G49" s="69" t="inlineStr">
        <is>
          <t>C</t>
        </is>
      </c>
      <c r="H49" s="70">
        <f>IF($G49="A",CONFIG!$B$5,IF($G49="B",CONFIG!$B$6,IF($G49="C",CONFIG!$B$7,IF($G49="Todos","Todos os turnos",""))))</f>
        <v/>
      </c>
      <c r="I49" s="53" t="n"/>
      <c r="J49" s="71" t="inlineStr">
        <is>
          <t>—</t>
        </is>
      </c>
      <c r="K49" s="53" t="n"/>
      <c r="L49" s="72" t="n"/>
      <c r="M49" s="53" t="n"/>
      <c r="N49" s="73" t="n"/>
      <c r="O49" s="74" t="n"/>
      <c r="P49" s="75" t="n"/>
      <c r="Q49" s="53" t="n"/>
      <c r="R49" s="76">
        <f>IF($C49="","",IF($O49="Cancelada","Cancelada",IF($O49="Reprovado","Reprovada",IF($O49="Aprovado","Aprovada",IF($L49&lt;&gt;"","Entregue",IF(TODAY()&gt;$C49,"Atrasada","Pendente"))))))</f>
        <v/>
      </c>
    </row>
    <row r="50">
      <c r="A50" s="65" t="inlineStr">
        <is>
          <t>AGO-S33-VIS-A</t>
        </is>
      </c>
      <c r="B50" s="66" t="inlineStr">
        <is>
          <t>S33</t>
        </is>
      </c>
      <c r="C50" s="67" t="n">
        <v>46246</v>
      </c>
      <c r="D50" s="68" t="inlineStr">
        <is>
          <t>Acomp. Organizacional Setorial (Vistoria)</t>
        </is>
      </c>
      <c r="E50" s="53" t="n"/>
      <c r="F50" s="53" t="n"/>
      <c r="G50" s="69" t="inlineStr">
        <is>
          <t>A</t>
        </is>
      </c>
      <c r="H50" s="70">
        <f>IF($G50="A",CONFIG!$B$5,IF($G50="B",CONFIG!$B$6,IF($G50="C",CONFIG!$B$7,IF($G50="Todos","Todos os turnos",""))))</f>
        <v/>
      </c>
      <c r="I50" s="53" t="n"/>
      <c r="J50" s="77" t="n"/>
      <c r="K50" s="53" t="n"/>
      <c r="L50" s="72" t="n"/>
      <c r="M50" s="53" t="n"/>
      <c r="N50" s="73" t="n"/>
      <c r="O50" s="74" t="n"/>
      <c r="P50" s="75" t="n"/>
      <c r="Q50" s="53" t="n"/>
      <c r="R50" s="76">
        <f>IF($C50="","",IF($O50="Cancelada","Cancelada",IF($O50="Reprovado","Reprovada",IF($O50="Aprovado","Aprovada",IF($L50&lt;&gt;"","Entregue",IF(TODAY()&gt;$C50,"Atrasada","Pendente"))))))</f>
        <v/>
      </c>
    </row>
    <row r="51">
      <c r="A51" s="65" t="inlineStr">
        <is>
          <t>AGO-S33-VIS-B</t>
        </is>
      </c>
      <c r="B51" s="66" t="inlineStr">
        <is>
          <t>S33</t>
        </is>
      </c>
      <c r="C51" s="67" t="n">
        <v>46246</v>
      </c>
      <c r="D51" s="68" t="inlineStr">
        <is>
          <t>Acomp. Organizacional Setorial (Vistoria)</t>
        </is>
      </c>
      <c r="E51" s="53" t="n"/>
      <c r="F51" s="53" t="n"/>
      <c r="G51" s="69" t="inlineStr">
        <is>
          <t>B</t>
        </is>
      </c>
      <c r="H51" s="70">
        <f>IF($G51="A",CONFIG!$B$5,IF($G51="B",CONFIG!$B$6,IF($G51="C",CONFIG!$B$7,IF($G51="Todos","Todos os turnos",""))))</f>
        <v/>
      </c>
      <c r="I51" s="53" t="n"/>
      <c r="J51" s="77" t="n"/>
      <c r="K51" s="53" t="n"/>
      <c r="L51" s="72" t="n"/>
      <c r="M51" s="53" t="n"/>
      <c r="N51" s="73" t="n"/>
      <c r="O51" s="74" t="n"/>
      <c r="P51" s="75" t="n"/>
      <c r="Q51" s="53" t="n"/>
      <c r="R51" s="76">
        <f>IF($C51="","",IF($O51="Cancelada","Cancelada",IF($O51="Reprovado","Reprovada",IF($O51="Aprovado","Aprovada",IF($L51&lt;&gt;"","Entregue",IF(TODAY()&gt;$C51,"Atrasada","Pendente"))))))</f>
        <v/>
      </c>
    </row>
    <row r="52">
      <c r="A52" s="65" t="inlineStr">
        <is>
          <t>AGO-S33-VIS-C</t>
        </is>
      </c>
      <c r="B52" s="66" t="inlineStr">
        <is>
          <t>S33</t>
        </is>
      </c>
      <c r="C52" s="67" t="n">
        <v>46246</v>
      </c>
      <c r="D52" s="68" t="inlineStr">
        <is>
          <t>Acomp. Organizacional Setorial (Vistoria)</t>
        </is>
      </c>
      <c r="E52" s="53" t="n"/>
      <c r="F52" s="53" t="n"/>
      <c r="G52" s="69" t="inlineStr">
        <is>
          <t>C</t>
        </is>
      </c>
      <c r="H52" s="70">
        <f>IF($G52="A",CONFIG!$B$5,IF($G52="B",CONFIG!$B$6,IF($G52="C",CONFIG!$B$7,IF($G52="Todos","Todos os turnos",""))))</f>
        <v/>
      </c>
      <c r="I52" s="53" t="n"/>
      <c r="J52" s="77" t="n"/>
      <c r="K52" s="53" t="n"/>
      <c r="L52" s="72" t="n"/>
      <c r="M52" s="53" t="n"/>
      <c r="N52" s="73" t="n"/>
      <c r="O52" s="74" t="n"/>
      <c r="P52" s="75" t="n"/>
      <c r="Q52" s="53" t="n"/>
      <c r="R52" s="76">
        <f>IF($C52="","",IF($O52="Cancelada","Cancelada",IF($O52="Reprovado","Reprovada",IF($O52="Aprovado","Aprovada",IF($L52&lt;&gt;"","Entregue",IF(TODAY()&gt;$C52,"Atrasada","Pendente"))))))</f>
        <v/>
      </c>
    </row>
    <row r="53">
      <c r="A53" s="65" t="inlineStr">
        <is>
          <t>AGO-S33-MET-A</t>
        </is>
      </c>
      <c r="B53" s="66" t="inlineStr">
        <is>
          <t>S33</t>
        </is>
      </c>
      <c r="C53" s="67" t="n">
        <v>46247</v>
      </c>
      <c r="D53" s="68" t="inlineStr">
        <is>
          <t>Metas</t>
        </is>
      </c>
      <c r="E53" s="53" t="n"/>
      <c r="F53" s="53" t="n"/>
      <c r="G53" s="69" t="inlineStr">
        <is>
          <t>A</t>
        </is>
      </c>
      <c r="H53" s="70">
        <f>IF($G53="A",CONFIG!$B$5,IF($G53="B",CONFIG!$B$6,IF($G53="C",CONFIG!$B$7,IF($G53="Todos","Todos os turnos",""))))</f>
        <v/>
      </c>
      <c r="I53" s="53" t="n"/>
      <c r="J53" s="71" t="inlineStr">
        <is>
          <t>—</t>
        </is>
      </c>
      <c r="K53" s="53" t="n"/>
      <c r="L53" s="72" t="n"/>
      <c r="M53" s="53" t="n"/>
      <c r="N53" s="73" t="n"/>
      <c r="O53" s="74" t="n"/>
      <c r="P53" s="75" t="n"/>
      <c r="Q53" s="53" t="n"/>
      <c r="R53" s="76">
        <f>IF($C53="","",IF($O53="Cancelada","Cancelada",IF($O53="Reprovado","Reprovada",IF($O53="Aprovado","Aprovada",IF($L53&lt;&gt;"","Entregue",IF(TODAY()&gt;$C53,"Atrasada","Pendente"))))))</f>
        <v/>
      </c>
    </row>
    <row r="54">
      <c r="A54" s="65" t="inlineStr">
        <is>
          <t>AGO-S33-MET-B</t>
        </is>
      </c>
      <c r="B54" s="66" t="inlineStr">
        <is>
          <t>S33</t>
        </is>
      </c>
      <c r="C54" s="67" t="n">
        <v>46247</v>
      </c>
      <c r="D54" s="68" t="inlineStr">
        <is>
          <t>Metas</t>
        </is>
      </c>
      <c r="E54" s="53" t="n"/>
      <c r="F54" s="53" t="n"/>
      <c r="G54" s="69" t="inlineStr">
        <is>
          <t>B</t>
        </is>
      </c>
      <c r="H54" s="70">
        <f>IF($G54="A",CONFIG!$B$5,IF($G54="B",CONFIG!$B$6,IF($G54="C",CONFIG!$B$7,IF($G54="Todos","Todos os turnos",""))))</f>
        <v/>
      </c>
      <c r="I54" s="53" t="n"/>
      <c r="J54" s="71" t="inlineStr">
        <is>
          <t>—</t>
        </is>
      </c>
      <c r="K54" s="53" t="n"/>
      <c r="L54" s="72" t="n"/>
      <c r="M54" s="53" t="n"/>
      <c r="N54" s="73" t="n"/>
      <c r="O54" s="74" t="n"/>
      <c r="P54" s="75" t="n"/>
      <c r="Q54" s="53" t="n"/>
      <c r="R54" s="76">
        <f>IF($C54="","",IF($O54="Cancelada","Cancelada",IF($O54="Reprovado","Reprovada",IF($O54="Aprovado","Aprovada",IF($L54&lt;&gt;"","Entregue",IF(TODAY()&gt;$C54,"Atrasada","Pendente"))))))</f>
        <v/>
      </c>
    </row>
    <row r="55">
      <c r="A55" s="65" t="inlineStr">
        <is>
          <t>AGO-S33-MET-C</t>
        </is>
      </c>
      <c r="B55" s="66" t="inlineStr">
        <is>
          <t>S33</t>
        </is>
      </c>
      <c r="C55" s="67" t="n">
        <v>46247</v>
      </c>
      <c r="D55" s="68" t="inlineStr">
        <is>
          <t>Metas</t>
        </is>
      </c>
      <c r="E55" s="53" t="n"/>
      <c r="F55" s="53" t="n"/>
      <c r="G55" s="69" t="inlineStr">
        <is>
          <t>C</t>
        </is>
      </c>
      <c r="H55" s="70">
        <f>IF($G55="A",CONFIG!$B$5,IF($G55="B",CONFIG!$B$6,IF($G55="C",CONFIG!$B$7,IF($G55="Todos","Todos os turnos",""))))</f>
        <v/>
      </c>
      <c r="I55" s="53" t="n"/>
      <c r="J55" s="71" t="inlineStr">
        <is>
          <t>—</t>
        </is>
      </c>
      <c r="K55" s="53" t="n"/>
      <c r="L55" s="72" t="n"/>
      <c r="M55" s="53" t="n"/>
      <c r="N55" s="73" t="n"/>
      <c r="O55" s="74" t="n"/>
      <c r="P55" s="75" t="n"/>
      <c r="Q55" s="53" t="n"/>
      <c r="R55" s="76">
        <f>IF($C55="","",IF($O55="Cancelada","Cancelada",IF($O55="Reprovado","Reprovada",IF($O55="Aprovado","Aprovada",IF($L55&lt;&gt;"","Entregue",IF(TODAY()&gt;$C55,"Atrasada","Pendente"))))))</f>
        <v/>
      </c>
    </row>
    <row r="56">
      <c r="A56" s="65" t="inlineStr">
        <is>
          <t>AGO-S33-ACO-A</t>
        </is>
      </c>
      <c r="B56" s="66" t="inlineStr">
        <is>
          <t>S33</t>
        </is>
      </c>
      <c r="C56" s="67" t="n">
        <v>46248</v>
      </c>
      <c r="D56" s="68" t="inlineStr">
        <is>
          <t>Acompanhamento Semanal c/ Supervisores</t>
        </is>
      </c>
      <c r="E56" s="53" t="n"/>
      <c r="F56" s="53" t="n"/>
      <c r="G56" s="69" t="inlineStr">
        <is>
          <t>A</t>
        </is>
      </c>
      <c r="H56" s="70">
        <f>IF($G56="A",CONFIG!$B$5,IF($G56="B",CONFIG!$B$6,IF($G56="C",CONFIG!$B$7,IF($G56="Todos","Todos os turnos",""))))</f>
        <v/>
      </c>
      <c r="I56" s="53" t="n"/>
      <c r="J56" s="71" t="inlineStr">
        <is>
          <t>—</t>
        </is>
      </c>
      <c r="K56" s="53" t="n"/>
      <c r="L56" s="72" t="n"/>
      <c r="M56" s="53" t="n"/>
      <c r="N56" s="73" t="n"/>
      <c r="O56" s="74" t="n"/>
      <c r="P56" s="75" t="n"/>
      <c r="Q56" s="53" t="n"/>
      <c r="R56" s="76">
        <f>IF($C56="","",IF($O56="Cancelada","Cancelada",IF($O56="Reprovado","Reprovada",IF($O56="Aprovado","Aprovada",IF($L56&lt;&gt;"","Entregue",IF(TODAY()&gt;$C56,"Atrasada","Pendente"))))))</f>
        <v/>
      </c>
    </row>
    <row r="57">
      <c r="A57" s="65" t="inlineStr">
        <is>
          <t>AGO-S33-ACO-B</t>
        </is>
      </c>
      <c r="B57" s="66" t="inlineStr">
        <is>
          <t>S33</t>
        </is>
      </c>
      <c r="C57" s="67" t="n">
        <v>46248</v>
      </c>
      <c r="D57" s="68" t="inlineStr">
        <is>
          <t>Acompanhamento Semanal c/ Supervisores</t>
        </is>
      </c>
      <c r="E57" s="53" t="n"/>
      <c r="F57" s="53" t="n"/>
      <c r="G57" s="69" t="inlineStr">
        <is>
          <t>B</t>
        </is>
      </c>
      <c r="H57" s="70">
        <f>IF($G57="A",CONFIG!$B$5,IF($G57="B",CONFIG!$B$6,IF($G57="C",CONFIG!$B$7,IF($G57="Todos","Todos os turnos",""))))</f>
        <v/>
      </c>
      <c r="I57" s="53" t="n"/>
      <c r="J57" s="71" t="inlineStr">
        <is>
          <t>—</t>
        </is>
      </c>
      <c r="K57" s="53" t="n"/>
      <c r="L57" s="72" t="n"/>
      <c r="M57" s="53" t="n"/>
      <c r="N57" s="73" t="n"/>
      <c r="O57" s="74" t="n"/>
      <c r="P57" s="75" t="n"/>
      <c r="Q57" s="53" t="n"/>
      <c r="R57" s="76">
        <f>IF($C57="","",IF($O57="Cancelada","Cancelada",IF($O57="Reprovado","Reprovada",IF($O57="Aprovado","Aprovada",IF($L57&lt;&gt;"","Entregue",IF(TODAY()&gt;$C57,"Atrasada","Pendente"))))))</f>
        <v/>
      </c>
    </row>
    <row r="58">
      <c r="A58" s="65" t="inlineStr">
        <is>
          <t>AGO-S33-ACO-C</t>
        </is>
      </c>
      <c r="B58" s="66" t="inlineStr">
        <is>
          <t>S33</t>
        </is>
      </c>
      <c r="C58" s="67" t="n">
        <v>46248</v>
      </c>
      <c r="D58" s="68" t="inlineStr">
        <is>
          <t>Acompanhamento Semanal c/ Supervisores</t>
        </is>
      </c>
      <c r="E58" s="53" t="n"/>
      <c r="F58" s="53" t="n"/>
      <c r="G58" s="69" t="inlineStr">
        <is>
          <t>C</t>
        </is>
      </c>
      <c r="H58" s="70">
        <f>IF($G58="A",CONFIG!$B$5,IF($G58="B",CONFIG!$B$6,IF($G58="C",CONFIG!$B$7,IF($G58="Todos","Todos os turnos",""))))</f>
        <v/>
      </c>
      <c r="I58" s="53" t="n"/>
      <c r="J58" s="71" t="inlineStr">
        <is>
          <t>—</t>
        </is>
      </c>
      <c r="K58" s="53" t="n"/>
      <c r="L58" s="72" t="n"/>
      <c r="M58" s="53" t="n"/>
      <c r="N58" s="73" t="n"/>
      <c r="O58" s="74" t="n"/>
      <c r="P58" s="75" t="n"/>
      <c r="Q58" s="53" t="n"/>
      <c r="R58" s="76">
        <f>IF($C58="","",IF($O58="Cancelada","Cancelada",IF($O58="Reprovado","Reprovada",IF($O58="Aprovado","Aprovada",IF($L58&lt;&gt;"","Entregue",IF(TODAY()&gt;$C58,"Atrasada","Pendente"))))))</f>
        <v/>
      </c>
    </row>
    <row r="59">
      <c r="A59" s="65" t="inlineStr">
        <is>
          <t>AGO-S33-FAL-A</t>
        </is>
      </c>
      <c r="B59" s="66" t="inlineStr">
        <is>
          <t>S33</t>
        </is>
      </c>
      <c r="C59" s="67" t="n">
        <v>46248</v>
      </c>
      <c r="D59" s="68" t="inlineStr">
        <is>
          <t>Faltas e Atestados</t>
        </is>
      </c>
      <c r="E59" s="53" t="n"/>
      <c r="F59" s="53" t="n"/>
      <c r="G59" s="69" t="inlineStr">
        <is>
          <t>A</t>
        </is>
      </c>
      <c r="H59" s="70">
        <f>IF($G59="A",CONFIG!$B$5,IF($G59="B",CONFIG!$B$6,IF($G59="C",CONFIG!$B$7,IF($G59="Todos","Todos os turnos",""))))</f>
        <v/>
      </c>
      <c r="I59" s="53" t="n"/>
      <c r="J59" s="71" t="inlineStr">
        <is>
          <t>—</t>
        </is>
      </c>
      <c r="K59" s="53" t="n"/>
      <c r="L59" s="72" t="n"/>
      <c r="M59" s="53" t="n"/>
      <c r="N59" s="73" t="n"/>
      <c r="O59" s="74" t="n"/>
      <c r="P59" s="75" t="n"/>
      <c r="Q59" s="53" t="n"/>
      <c r="R59" s="76">
        <f>IF($C59="","",IF($O59="Cancelada","Cancelada",IF($O59="Reprovado","Reprovada",IF($O59="Aprovado","Aprovada",IF($L59&lt;&gt;"","Entregue",IF(TODAY()&gt;$C59,"Atrasada","Pendente"))))))</f>
        <v/>
      </c>
    </row>
    <row r="60">
      <c r="A60" s="65" t="inlineStr">
        <is>
          <t>AGO-S33-FAL-B</t>
        </is>
      </c>
      <c r="B60" s="66" t="inlineStr">
        <is>
          <t>S33</t>
        </is>
      </c>
      <c r="C60" s="67" t="n">
        <v>46248</v>
      </c>
      <c r="D60" s="68" t="inlineStr">
        <is>
          <t>Faltas e Atestados</t>
        </is>
      </c>
      <c r="E60" s="53" t="n"/>
      <c r="F60" s="53" t="n"/>
      <c r="G60" s="69" t="inlineStr">
        <is>
          <t>B</t>
        </is>
      </c>
      <c r="H60" s="70">
        <f>IF($G60="A",CONFIG!$B$5,IF($G60="B",CONFIG!$B$6,IF($G60="C",CONFIG!$B$7,IF($G60="Todos","Todos os turnos",""))))</f>
        <v/>
      </c>
      <c r="I60" s="53" t="n"/>
      <c r="J60" s="71" t="inlineStr">
        <is>
          <t>—</t>
        </is>
      </c>
      <c r="K60" s="53" t="n"/>
      <c r="L60" s="72" t="n"/>
      <c r="M60" s="53" t="n"/>
      <c r="N60" s="73" t="n"/>
      <c r="O60" s="74" t="n"/>
      <c r="P60" s="75" t="n"/>
      <c r="Q60" s="53" t="n"/>
      <c r="R60" s="76">
        <f>IF($C60="","",IF($O60="Cancelada","Cancelada",IF($O60="Reprovado","Reprovada",IF($O60="Aprovado","Aprovada",IF($L60&lt;&gt;"","Entregue",IF(TODAY()&gt;$C60,"Atrasada","Pendente"))))))</f>
        <v/>
      </c>
    </row>
    <row r="61">
      <c r="A61" s="65" t="inlineStr">
        <is>
          <t>AGO-S33-FAL-C</t>
        </is>
      </c>
      <c r="B61" s="66" t="inlineStr">
        <is>
          <t>S33</t>
        </is>
      </c>
      <c r="C61" s="67" t="n">
        <v>46248</v>
      </c>
      <c r="D61" s="68" t="inlineStr">
        <is>
          <t>Faltas e Atestados</t>
        </is>
      </c>
      <c r="E61" s="53" t="n"/>
      <c r="F61" s="53" t="n"/>
      <c r="G61" s="69" t="inlineStr">
        <is>
          <t>C</t>
        </is>
      </c>
      <c r="H61" s="70">
        <f>IF($G61="A",CONFIG!$B$5,IF($G61="B",CONFIG!$B$6,IF($G61="C",CONFIG!$B$7,IF($G61="Todos","Todos os turnos",""))))</f>
        <v/>
      </c>
      <c r="I61" s="53" t="n"/>
      <c r="J61" s="71" t="inlineStr">
        <is>
          <t>—</t>
        </is>
      </c>
      <c r="K61" s="53" t="n"/>
      <c r="L61" s="72" t="n"/>
      <c r="M61" s="53" t="n"/>
      <c r="N61" s="73" t="n"/>
      <c r="O61" s="74" t="n"/>
      <c r="P61" s="75" t="n"/>
      <c r="Q61" s="53" t="n"/>
      <c r="R61" s="76">
        <f>IF($C61="","",IF($O61="Cancelada","Cancelada",IF($O61="Reprovado","Reprovada",IF($O61="Aprovado","Aprovada",IF($L61&lt;&gt;"","Entregue",IF(TODAY()&gt;$C61,"Atrasada","Pendente"))))))</f>
        <v/>
      </c>
    </row>
    <row r="62">
      <c r="A62" s="65" t="inlineStr">
        <is>
          <t>AGO-S33-REU-T</t>
        </is>
      </c>
      <c r="B62" s="66" t="inlineStr">
        <is>
          <t>S33</t>
        </is>
      </c>
      <c r="C62" s="67" t="n">
        <v>46248</v>
      </c>
      <c r="D62" s="68" t="inlineStr">
        <is>
          <t>Reunião Semanal com a Gerência</t>
        </is>
      </c>
      <c r="E62" s="53" t="n"/>
      <c r="F62" s="53" t="n"/>
      <c r="G62" s="69" t="inlineStr">
        <is>
          <t>Todos</t>
        </is>
      </c>
      <c r="H62" s="70">
        <f>IF($G62="A",CONFIG!$B$5,IF($G62="B",CONFIG!$B$6,IF($G62="C",CONFIG!$B$7,IF($G62="Todos","Todos os turnos",""))))</f>
        <v/>
      </c>
      <c r="I62" s="53" t="n"/>
      <c r="J62" s="71" t="inlineStr">
        <is>
          <t>—</t>
        </is>
      </c>
      <c r="K62" s="53" t="n"/>
      <c r="L62" s="72" t="n"/>
      <c r="M62" s="53" t="n"/>
      <c r="N62" s="73" t="n"/>
      <c r="O62" s="74" t="n"/>
      <c r="P62" s="75" t="n"/>
      <c r="Q62" s="53" t="n"/>
      <c r="R62" s="76">
        <f>IF($C62="","",IF($O62="Cancelada","Cancelada",IF($O62="Reprovado","Reprovada",IF($O62="Aprovado","Aprovada",IF($L62&lt;&gt;"","Entregue",IF(TODAY()&gt;$C62,"Atrasada","Pendente"))))))</f>
        <v/>
      </c>
    </row>
    <row r="63">
      <c r="A63" s="65" t="inlineStr">
        <is>
          <t>AGO-S34-ERR-A</t>
        </is>
      </c>
      <c r="B63" s="66" t="inlineStr">
        <is>
          <t>S34</t>
        </is>
      </c>
      <c r="C63" s="67" t="n">
        <v>46251</v>
      </c>
      <c r="D63" s="68" t="inlineStr">
        <is>
          <t>Levantamento de Erros Operacionais</t>
        </is>
      </c>
      <c r="E63" s="53" t="n"/>
      <c r="F63" s="53" t="n"/>
      <c r="G63" s="69" t="inlineStr">
        <is>
          <t>A</t>
        </is>
      </c>
      <c r="H63" s="70">
        <f>IF($G63="A",CONFIG!$B$5,IF($G63="B",CONFIG!$B$6,IF($G63="C",CONFIG!$B$7,IF($G63="Todos","Todos os turnos",""))))</f>
        <v/>
      </c>
      <c r="I63" s="53" t="n"/>
      <c r="J63" s="71" t="inlineStr">
        <is>
          <t>—</t>
        </is>
      </c>
      <c r="K63" s="53" t="n"/>
      <c r="L63" s="72" t="n"/>
      <c r="M63" s="53" t="n"/>
      <c r="N63" s="73" t="n"/>
      <c r="O63" s="74" t="n"/>
      <c r="P63" s="75" t="n"/>
      <c r="Q63" s="53" t="n"/>
      <c r="R63" s="76">
        <f>IF($C63="","",IF($O63="Cancelada","Cancelada",IF($O63="Reprovado","Reprovada",IF($O63="Aprovado","Aprovada",IF($L63&lt;&gt;"","Entregue",IF(TODAY()&gt;$C63,"Atrasada","Pendente"))))))</f>
        <v/>
      </c>
    </row>
    <row r="64">
      <c r="A64" s="65" t="inlineStr">
        <is>
          <t>AGO-S34-ERR-B</t>
        </is>
      </c>
      <c r="B64" s="66" t="inlineStr">
        <is>
          <t>S34</t>
        </is>
      </c>
      <c r="C64" s="67" t="n">
        <v>46251</v>
      </c>
      <c r="D64" s="68" t="inlineStr">
        <is>
          <t>Levantamento de Erros Operacionais</t>
        </is>
      </c>
      <c r="E64" s="53" t="n"/>
      <c r="F64" s="53" t="n"/>
      <c r="G64" s="69" t="inlineStr">
        <is>
          <t>B</t>
        </is>
      </c>
      <c r="H64" s="70">
        <f>IF($G64="A",CONFIG!$B$5,IF($G64="B",CONFIG!$B$6,IF($G64="C",CONFIG!$B$7,IF($G64="Todos","Todos os turnos",""))))</f>
        <v/>
      </c>
      <c r="I64" s="53" t="n"/>
      <c r="J64" s="71" t="inlineStr">
        <is>
          <t>—</t>
        </is>
      </c>
      <c r="K64" s="53" t="n"/>
      <c r="L64" s="72" t="n"/>
      <c r="M64" s="53" t="n"/>
      <c r="N64" s="73" t="n"/>
      <c r="O64" s="74" t="n"/>
      <c r="P64" s="75" t="n"/>
      <c r="Q64" s="53" t="n"/>
      <c r="R64" s="76">
        <f>IF($C64="","",IF($O64="Cancelada","Cancelada",IF($O64="Reprovado","Reprovada",IF($O64="Aprovado","Aprovada",IF($L64&lt;&gt;"","Entregue",IF(TODAY()&gt;$C64,"Atrasada","Pendente"))))))</f>
        <v/>
      </c>
    </row>
    <row r="65">
      <c r="A65" s="65" t="inlineStr">
        <is>
          <t>AGO-S34-ERR-C</t>
        </is>
      </c>
      <c r="B65" s="66" t="inlineStr">
        <is>
          <t>S34</t>
        </is>
      </c>
      <c r="C65" s="67" t="n">
        <v>46251</v>
      </c>
      <c r="D65" s="68" t="inlineStr">
        <is>
          <t>Levantamento de Erros Operacionais</t>
        </is>
      </c>
      <c r="E65" s="53" t="n"/>
      <c r="F65" s="53" t="n"/>
      <c r="G65" s="69" t="inlineStr">
        <is>
          <t>C</t>
        </is>
      </c>
      <c r="H65" s="70">
        <f>IF($G65="A",CONFIG!$B$5,IF($G65="B",CONFIG!$B$6,IF($G65="C",CONFIG!$B$7,IF($G65="Todos","Todos os turnos",""))))</f>
        <v/>
      </c>
      <c r="I65" s="53" t="n"/>
      <c r="J65" s="71" t="inlineStr">
        <is>
          <t>—</t>
        </is>
      </c>
      <c r="K65" s="53" t="n"/>
      <c r="L65" s="72" t="n"/>
      <c r="M65" s="53" t="n"/>
      <c r="N65" s="73" t="n"/>
      <c r="O65" s="74" t="n"/>
      <c r="P65" s="75" t="n"/>
      <c r="Q65" s="53" t="n"/>
      <c r="R65" s="76">
        <f>IF($C65="","",IF($O65="Cancelada","Cancelada",IF($O65="Reprovado","Reprovada",IF($O65="Aprovado","Aprovada",IF($L65&lt;&gt;"","Entregue",IF(TODAY()&gt;$C65,"Atrasada","Pendente"))))))</f>
        <v/>
      </c>
    </row>
    <row r="66">
      <c r="A66" s="65" t="inlineStr">
        <is>
          <t>AGO-S34-SUP-A</t>
        </is>
      </c>
      <c r="B66" s="66" t="inlineStr">
        <is>
          <t>S34</t>
        </is>
      </c>
      <c r="C66" s="67" t="n">
        <v>46252</v>
      </c>
      <c r="D66" s="68" t="inlineStr">
        <is>
          <t>Suporte de Supervisores</t>
        </is>
      </c>
      <c r="E66" s="53" t="n"/>
      <c r="F66" s="53" t="n"/>
      <c r="G66" s="69" t="inlineStr">
        <is>
          <t>A</t>
        </is>
      </c>
      <c r="H66" s="70">
        <f>IF($G66="A",CONFIG!$B$5,IF($G66="B",CONFIG!$B$6,IF($G66="C",CONFIG!$B$7,IF($G66="Todos","Todos os turnos",""))))</f>
        <v/>
      </c>
      <c r="I66" s="53" t="n"/>
      <c r="J66" s="71" t="inlineStr">
        <is>
          <t>—</t>
        </is>
      </c>
      <c r="K66" s="53" t="n"/>
      <c r="L66" s="72" t="n"/>
      <c r="M66" s="53" t="n"/>
      <c r="N66" s="73" t="n"/>
      <c r="O66" s="74" t="n"/>
      <c r="P66" s="75" t="n"/>
      <c r="Q66" s="53" t="n"/>
      <c r="R66" s="76">
        <f>IF($C66="","",IF($O66="Cancelada","Cancelada",IF($O66="Reprovado","Reprovada",IF($O66="Aprovado","Aprovada",IF($L66&lt;&gt;"","Entregue",IF(TODAY()&gt;$C66,"Atrasada","Pendente"))))))</f>
        <v/>
      </c>
    </row>
    <row r="67">
      <c r="A67" s="65" t="inlineStr">
        <is>
          <t>AGO-S34-SUP-B</t>
        </is>
      </c>
      <c r="B67" s="66" t="inlineStr">
        <is>
          <t>S34</t>
        </is>
      </c>
      <c r="C67" s="67" t="n">
        <v>46252</v>
      </c>
      <c r="D67" s="68" t="inlineStr">
        <is>
          <t>Suporte de Supervisores</t>
        </is>
      </c>
      <c r="E67" s="53" t="n"/>
      <c r="F67" s="53" t="n"/>
      <c r="G67" s="69" t="inlineStr">
        <is>
          <t>B</t>
        </is>
      </c>
      <c r="H67" s="70">
        <f>IF($G67="A",CONFIG!$B$5,IF($G67="B",CONFIG!$B$6,IF($G67="C",CONFIG!$B$7,IF($G67="Todos","Todos os turnos",""))))</f>
        <v/>
      </c>
      <c r="I67" s="53" t="n"/>
      <c r="J67" s="71" t="inlineStr">
        <is>
          <t>—</t>
        </is>
      </c>
      <c r="K67" s="53" t="n"/>
      <c r="L67" s="72" t="n"/>
      <c r="M67" s="53" t="n"/>
      <c r="N67" s="73" t="n"/>
      <c r="O67" s="74" t="n"/>
      <c r="P67" s="75" t="n"/>
      <c r="Q67" s="53" t="n"/>
      <c r="R67" s="76">
        <f>IF($C67="","",IF($O67="Cancelada","Cancelada",IF($O67="Reprovado","Reprovada",IF($O67="Aprovado","Aprovada",IF($L67&lt;&gt;"","Entregue",IF(TODAY()&gt;$C67,"Atrasada","Pendente"))))))</f>
        <v/>
      </c>
    </row>
    <row r="68">
      <c r="A68" s="65" t="inlineStr">
        <is>
          <t>AGO-S34-SUP-C</t>
        </is>
      </c>
      <c r="B68" s="66" t="inlineStr">
        <is>
          <t>S34</t>
        </is>
      </c>
      <c r="C68" s="67" t="n">
        <v>46252</v>
      </c>
      <c r="D68" s="68" t="inlineStr">
        <is>
          <t>Suporte de Supervisores</t>
        </is>
      </c>
      <c r="E68" s="53" t="n"/>
      <c r="F68" s="53" t="n"/>
      <c r="G68" s="69" t="inlineStr">
        <is>
          <t>C</t>
        </is>
      </c>
      <c r="H68" s="70">
        <f>IF($G68="A",CONFIG!$B$5,IF($G68="B",CONFIG!$B$6,IF($G68="C",CONFIG!$B$7,IF($G68="Todos","Todos os turnos",""))))</f>
        <v/>
      </c>
      <c r="I68" s="53" t="n"/>
      <c r="J68" s="71" t="inlineStr">
        <is>
          <t>—</t>
        </is>
      </c>
      <c r="K68" s="53" t="n"/>
      <c r="L68" s="72" t="n"/>
      <c r="M68" s="53" t="n"/>
      <c r="N68" s="73" t="n"/>
      <c r="O68" s="74" t="n"/>
      <c r="P68" s="75" t="n"/>
      <c r="Q68" s="53" t="n"/>
      <c r="R68" s="76">
        <f>IF($C68="","",IF($O68="Cancelada","Cancelada",IF($O68="Reprovado","Reprovada",IF($O68="Aprovado","Aprovada",IF($L68&lt;&gt;"","Entregue",IF(TODAY()&gt;$C68,"Atrasada","Pendente"))))))</f>
        <v/>
      </c>
    </row>
    <row r="69">
      <c r="A69" s="65" t="inlineStr">
        <is>
          <t>AGO-S34-VIS-A</t>
        </is>
      </c>
      <c r="B69" s="66" t="inlineStr">
        <is>
          <t>S34</t>
        </is>
      </c>
      <c r="C69" s="67" t="n">
        <v>46253</v>
      </c>
      <c r="D69" s="68" t="inlineStr">
        <is>
          <t>Acomp. Organizacional Setorial (Vistoria)</t>
        </is>
      </c>
      <c r="E69" s="53" t="n"/>
      <c r="F69" s="53" t="n"/>
      <c r="G69" s="69" t="inlineStr">
        <is>
          <t>A</t>
        </is>
      </c>
      <c r="H69" s="70">
        <f>IF($G69="A",CONFIG!$B$5,IF($G69="B",CONFIG!$B$6,IF($G69="C",CONFIG!$B$7,IF($G69="Todos","Todos os turnos",""))))</f>
        <v/>
      </c>
      <c r="I69" s="53" t="n"/>
      <c r="J69" s="77" t="n"/>
      <c r="K69" s="53" t="n"/>
      <c r="L69" s="72" t="n"/>
      <c r="M69" s="53" t="n"/>
      <c r="N69" s="73" t="n"/>
      <c r="O69" s="74" t="n"/>
      <c r="P69" s="75" t="n"/>
      <c r="Q69" s="53" t="n"/>
      <c r="R69" s="76">
        <f>IF($C69="","",IF($O69="Cancelada","Cancelada",IF($O69="Reprovado","Reprovada",IF($O69="Aprovado","Aprovada",IF($L69&lt;&gt;"","Entregue",IF(TODAY()&gt;$C69,"Atrasada","Pendente"))))))</f>
        <v/>
      </c>
    </row>
    <row r="70">
      <c r="A70" s="65" t="inlineStr">
        <is>
          <t>AGO-S34-VIS-B</t>
        </is>
      </c>
      <c r="B70" s="66" t="inlineStr">
        <is>
          <t>S34</t>
        </is>
      </c>
      <c r="C70" s="67" t="n">
        <v>46253</v>
      </c>
      <c r="D70" s="68" t="inlineStr">
        <is>
          <t>Acomp. Organizacional Setorial (Vistoria)</t>
        </is>
      </c>
      <c r="E70" s="53" t="n"/>
      <c r="F70" s="53" t="n"/>
      <c r="G70" s="69" t="inlineStr">
        <is>
          <t>B</t>
        </is>
      </c>
      <c r="H70" s="70">
        <f>IF($G70="A",CONFIG!$B$5,IF($G70="B",CONFIG!$B$6,IF($G70="C",CONFIG!$B$7,IF($G70="Todos","Todos os turnos",""))))</f>
        <v/>
      </c>
      <c r="I70" s="53" t="n"/>
      <c r="J70" s="77" t="n"/>
      <c r="K70" s="53" t="n"/>
      <c r="L70" s="72" t="n"/>
      <c r="M70" s="53" t="n"/>
      <c r="N70" s="73" t="n"/>
      <c r="O70" s="74" t="n"/>
      <c r="P70" s="75" t="n"/>
      <c r="Q70" s="53" t="n"/>
      <c r="R70" s="76">
        <f>IF($C70="","",IF($O70="Cancelada","Cancelada",IF($O70="Reprovado","Reprovada",IF($O70="Aprovado","Aprovada",IF($L70&lt;&gt;"","Entregue",IF(TODAY()&gt;$C70,"Atrasada","Pendente"))))))</f>
        <v/>
      </c>
    </row>
    <row r="71">
      <c r="A71" s="65" t="inlineStr">
        <is>
          <t>AGO-S34-VIS-C</t>
        </is>
      </c>
      <c r="B71" s="66" t="inlineStr">
        <is>
          <t>S34</t>
        </is>
      </c>
      <c r="C71" s="67" t="n">
        <v>46253</v>
      </c>
      <c r="D71" s="68" t="inlineStr">
        <is>
          <t>Acomp. Organizacional Setorial (Vistoria)</t>
        </is>
      </c>
      <c r="E71" s="53" t="n"/>
      <c r="F71" s="53" t="n"/>
      <c r="G71" s="69" t="inlineStr">
        <is>
          <t>C</t>
        </is>
      </c>
      <c r="H71" s="70">
        <f>IF($G71="A",CONFIG!$B$5,IF($G71="B",CONFIG!$B$6,IF($G71="C",CONFIG!$B$7,IF($G71="Todos","Todos os turnos",""))))</f>
        <v/>
      </c>
      <c r="I71" s="53" t="n"/>
      <c r="J71" s="77" t="n"/>
      <c r="K71" s="53" t="n"/>
      <c r="L71" s="72" t="n"/>
      <c r="M71" s="53" t="n"/>
      <c r="N71" s="73" t="n"/>
      <c r="O71" s="74" t="n"/>
      <c r="P71" s="75" t="n"/>
      <c r="Q71" s="53" t="n"/>
      <c r="R71" s="76">
        <f>IF($C71="","",IF($O71="Cancelada","Cancelada",IF($O71="Reprovado","Reprovada",IF($O71="Aprovado","Aprovada",IF($L71&lt;&gt;"","Entregue",IF(TODAY()&gt;$C71,"Atrasada","Pendente"))))))</f>
        <v/>
      </c>
    </row>
    <row r="72">
      <c r="A72" s="65" t="inlineStr">
        <is>
          <t>AGO-S34-MET-A</t>
        </is>
      </c>
      <c r="B72" s="66" t="inlineStr">
        <is>
          <t>S34</t>
        </is>
      </c>
      <c r="C72" s="67" t="n">
        <v>46254</v>
      </c>
      <c r="D72" s="68" t="inlineStr">
        <is>
          <t>Metas</t>
        </is>
      </c>
      <c r="E72" s="53" t="n"/>
      <c r="F72" s="53" t="n"/>
      <c r="G72" s="69" t="inlineStr">
        <is>
          <t>A</t>
        </is>
      </c>
      <c r="H72" s="70">
        <f>IF($G72="A",CONFIG!$B$5,IF($G72="B",CONFIG!$B$6,IF($G72="C",CONFIG!$B$7,IF($G72="Todos","Todos os turnos",""))))</f>
        <v/>
      </c>
      <c r="I72" s="53" t="n"/>
      <c r="J72" s="71" t="inlineStr">
        <is>
          <t>—</t>
        </is>
      </c>
      <c r="K72" s="53" t="n"/>
      <c r="L72" s="72" t="n"/>
      <c r="M72" s="53" t="n"/>
      <c r="N72" s="73" t="n"/>
      <c r="O72" s="74" t="n"/>
      <c r="P72" s="75" t="n"/>
      <c r="Q72" s="53" t="n"/>
      <c r="R72" s="76">
        <f>IF($C72="","",IF($O72="Cancelada","Cancelada",IF($O72="Reprovado","Reprovada",IF($O72="Aprovado","Aprovada",IF($L72&lt;&gt;"","Entregue",IF(TODAY()&gt;$C72,"Atrasada","Pendente"))))))</f>
        <v/>
      </c>
    </row>
    <row r="73">
      <c r="A73" s="65" t="inlineStr">
        <is>
          <t>AGO-S34-MET-B</t>
        </is>
      </c>
      <c r="B73" s="66" t="inlineStr">
        <is>
          <t>S34</t>
        </is>
      </c>
      <c r="C73" s="67" t="n">
        <v>46254</v>
      </c>
      <c r="D73" s="68" t="inlineStr">
        <is>
          <t>Metas</t>
        </is>
      </c>
      <c r="E73" s="53" t="n"/>
      <c r="F73" s="53" t="n"/>
      <c r="G73" s="69" t="inlineStr">
        <is>
          <t>B</t>
        </is>
      </c>
      <c r="H73" s="70">
        <f>IF($G73="A",CONFIG!$B$5,IF($G73="B",CONFIG!$B$6,IF($G73="C",CONFIG!$B$7,IF($G73="Todos","Todos os turnos",""))))</f>
        <v/>
      </c>
      <c r="I73" s="53" t="n"/>
      <c r="J73" s="71" t="inlineStr">
        <is>
          <t>—</t>
        </is>
      </c>
      <c r="K73" s="53" t="n"/>
      <c r="L73" s="72" t="n"/>
      <c r="M73" s="53" t="n"/>
      <c r="N73" s="73" t="n"/>
      <c r="O73" s="74" t="n"/>
      <c r="P73" s="75" t="n"/>
      <c r="Q73" s="53" t="n"/>
      <c r="R73" s="76">
        <f>IF($C73="","",IF($O73="Cancelada","Cancelada",IF($O73="Reprovado","Reprovada",IF($O73="Aprovado","Aprovada",IF($L73&lt;&gt;"","Entregue",IF(TODAY()&gt;$C73,"Atrasada","Pendente"))))))</f>
        <v/>
      </c>
    </row>
    <row r="74">
      <c r="A74" s="65" t="inlineStr">
        <is>
          <t>AGO-S34-MET-C</t>
        </is>
      </c>
      <c r="B74" s="66" t="inlineStr">
        <is>
          <t>S34</t>
        </is>
      </c>
      <c r="C74" s="67" t="n">
        <v>46254</v>
      </c>
      <c r="D74" s="68" t="inlineStr">
        <is>
          <t>Metas</t>
        </is>
      </c>
      <c r="E74" s="53" t="n"/>
      <c r="F74" s="53" t="n"/>
      <c r="G74" s="69" t="inlineStr">
        <is>
          <t>C</t>
        </is>
      </c>
      <c r="H74" s="70">
        <f>IF($G74="A",CONFIG!$B$5,IF($G74="B",CONFIG!$B$6,IF($G74="C",CONFIG!$B$7,IF($G74="Todos","Todos os turnos",""))))</f>
        <v/>
      </c>
      <c r="I74" s="53" t="n"/>
      <c r="J74" s="71" t="inlineStr">
        <is>
          <t>—</t>
        </is>
      </c>
      <c r="K74" s="53" t="n"/>
      <c r="L74" s="72" t="n"/>
      <c r="M74" s="53" t="n"/>
      <c r="N74" s="73" t="n"/>
      <c r="O74" s="74" t="n"/>
      <c r="P74" s="75" t="n"/>
      <c r="Q74" s="53" t="n"/>
      <c r="R74" s="76">
        <f>IF($C74="","",IF($O74="Cancelada","Cancelada",IF($O74="Reprovado","Reprovada",IF($O74="Aprovado","Aprovada",IF($L74&lt;&gt;"","Entregue",IF(TODAY()&gt;$C74,"Atrasada","Pendente"))))))</f>
        <v/>
      </c>
    </row>
    <row r="75">
      <c r="A75" s="65" t="inlineStr">
        <is>
          <t>AGO-S34-ACO-A</t>
        </is>
      </c>
      <c r="B75" s="66" t="inlineStr">
        <is>
          <t>S34</t>
        </is>
      </c>
      <c r="C75" s="67" t="n">
        <v>46255</v>
      </c>
      <c r="D75" s="68" t="inlineStr">
        <is>
          <t>Acompanhamento Semanal c/ Supervisores</t>
        </is>
      </c>
      <c r="E75" s="53" t="n"/>
      <c r="F75" s="53" t="n"/>
      <c r="G75" s="69" t="inlineStr">
        <is>
          <t>A</t>
        </is>
      </c>
      <c r="H75" s="70">
        <f>IF($G75="A",CONFIG!$B$5,IF($G75="B",CONFIG!$B$6,IF($G75="C",CONFIG!$B$7,IF($G75="Todos","Todos os turnos",""))))</f>
        <v/>
      </c>
      <c r="I75" s="53" t="n"/>
      <c r="J75" s="71" t="inlineStr">
        <is>
          <t>—</t>
        </is>
      </c>
      <c r="K75" s="53" t="n"/>
      <c r="L75" s="72" t="n"/>
      <c r="M75" s="53" t="n"/>
      <c r="N75" s="73" t="n"/>
      <c r="O75" s="74" t="n"/>
      <c r="P75" s="75" t="n"/>
      <c r="Q75" s="53" t="n"/>
      <c r="R75" s="76">
        <f>IF($C75="","",IF($O75="Cancelada","Cancelada",IF($O75="Reprovado","Reprovada",IF($O75="Aprovado","Aprovada",IF($L75&lt;&gt;"","Entregue",IF(TODAY()&gt;$C75,"Atrasada","Pendente"))))))</f>
        <v/>
      </c>
    </row>
    <row r="76">
      <c r="A76" s="65" t="inlineStr">
        <is>
          <t>AGO-S34-ACO-B</t>
        </is>
      </c>
      <c r="B76" s="66" t="inlineStr">
        <is>
          <t>S34</t>
        </is>
      </c>
      <c r="C76" s="67" t="n">
        <v>46255</v>
      </c>
      <c r="D76" s="68" t="inlineStr">
        <is>
          <t>Acompanhamento Semanal c/ Supervisores</t>
        </is>
      </c>
      <c r="E76" s="53" t="n"/>
      <c r="F76" s="53" t="n"/>
      <c r="G76" s="69" t="inlineStr">
        <is>
          <t>B</t>
        </is>
      </c>
      <c r="H76" s="70">
        <f>IF($G76="A",CONFIG!$B$5,IF($G76="B",CONFIG!$B$6,IF($G76="C",CONFIG!$B$7,IF($G76="Todos","Todos os turnos",""))))</f>
        <v/>
      </c>
      <c r="I76" s="53" t="n"/>
      <c r="J76" s="71" t="inlineStr">
        <is>
          <t>—</t>
        </is>
      </c>
      <c r="K76" s="53" t="n"/>
      <c r="L76" s="72" t="n"/>
      <c r="M76" s="53" t="n"/>
      <c r="N76" s="73" t="n"/>
      <c r="O76" s="74" t="n"/>
      <c r="P76" s="75" t="n"/>
      <c r="Q76" s="53" t="n"/>
      <c r="R76" s="76">
        <f>IF($C76="","",IF($O76="Cancelada","Cancelada",IF($O76="Reprovado","Reprovada",IF($O76="Aprovado","Aprovada",IF($L76&lt;&gt;"","Entregue",IF(TODAY()&gt;$C76,"Atrasada","Pendente"))))))</f>
        <v/>
      </c>
    </row>
    <row r="77">
      <c r="A77" s="65" t="inlineStr">
        <is>
          <t>AGO-S34-ACO-C</t>
        </is>
      </c>
      <c r="B77" s="66" t="inlineStr">
        <is>
          <t>S34</t>
        </is>
      </c>
      <c r="C77" s="67" t="n">
        <v>46255</v>
      </c>
      <c r="D77" s="68" t="inlineStr">
        <is>
          <t>Acompanhamento Semanal c/ Supervisores</t>
        </is>
      </c>
      <c r="E77" s="53" t="n"/>
      <c r="F77" s="53" t="n"/>
      <c r="G77" s="69" t="inlineStr">
        <is>
          <t>C</t>
        </is>
      </c>
      <c r="H77" s="70">
        <f>IF($G77="A",CONFIG!$B$5,IF($G77="B",CONFIG!$B$6,IF($G77="C",CONFIG!$B$7,IF($G77="Todos","Todos os turnos",""))))</f>
        <v/>
      </c>
      <c r="I77" s="53" t="n"/>
      <c r="J77" s="71" t="inlineStr">
        <is>
          <t>—</t>
        </is>
      </c>
      <c r="K77" s="53" t="n"/>
      <c r="L77" s="72" t="n"/>
      <c r="M77" s="53" t="n"/>
      <c r="N77" s="73" t="n"/>
      <c r="O77" s="74" t="n"/>
      <c r="P77" s="75" t="n"/>
      <c r="Q77" s="53" t="n"/>
      <c r="R77" s="76">
        <f>IF($C77="","",IF($O77="Cancelada","Cancelada",IF($O77="Reprovado","Reprovada",IF($O77="Aprovado","Aprovada",IF($L77&lt;&gt;"","Entregue",IF(TODAY()&gt;$C77,"Atrasada","Pendente"))))))</f>
        <v/>
      </c>
    </row>
    <row r="78">
      <c r="A78" s="65" t="inlineStr">
        <is>
          <t>AGO-S34-FAL-A</t>
        </is>
      </c>
      <c r="B78" s="66" t="inlineStr">
        <is>
          <t>S34</t>
        </is>
      </c>
      <c r="C78" s="67" t="n">
        <v>46255</v>
      </c>
      <c r="D78" s="68" t="inlineStr">
        <is>
          <t>Faltas e Atestados</t>
        </is>
      </c>
      <c r="E78" s="53" t="n"/>
      <c r="F78" s="53" t="n"/>
      <c r="G78" s="69" t="inlineStr">
        <is>
          <t>A</t>
        </is>
      </c>
      <c r="H78" s="70">
        <f>IF($G78="A",CONFIG!$B$5,IF($G78="B",CONFIG!$B$6,IF($G78="C",CONFIG!$B$7,IF($G78="Todos","Todos os turnos",""))))</f>
        <v/>
      </c>
      <c r="I78" s="53" t="n"/>
      <c r="J78" s="71" t="inlineStr">
        <is>
          <t>—</t>
        </is>
      </c>
      <c r="K78" s="53" t="n"/>
      <c r="L78" s="72" t="n"/>
      <c r="M78" s="53" t="n"/>
      <c r="N78" s="73" t="n"/>
      <c r="O78" s="74" t="n"/>
      <c r="P78" s="75" t="n"/>
      <c r="Q78" s="53" t="n"/>
      <c r="R78" s="76">
        <f>IF($C78="","",IF($O78="Cancelada","Cancelada",IF($O78="Reprovado","Reprovada",IF($O78="Aprovado","Aprovada",IF($L78&lt;&gt;"","Entregue",IF(TODAY()&gt;$C78,"Atrasada","Pendente"))))))</f>
        <v/>
      </c>
    </row>
    <row r="79">
      <c r="A79" s="65" t="inlineStr">
        <is>
          <t>AGO-S34-FAL-B</t>
        </is>
      </c>
      <c r="B79" s="66" t="inlineStr">
        <is>
          <t>S34</t>
        </is>
      </c>
      <c r="C79" s="67" t="n">
        <v>46255</v>
      </c>
      <c r="D79" s="68" t="inlineStr">
        <is>
          <t>Faltas e Atestados</t>
        </is>
      </c>
      <c r="E79" s="53" t="n"/>
      <c r="F79" s="53" t="n"/>
      <c r="G79" s="69" t="inlineStr">
        <is>
          <t>B</t>
        </is>
      </c>
      <c r="H79" s="70">
        <f>IF($G79="A",CONFIG!$B$5,IF($G79="B",CONFIG!$B$6,IF($G79="C",CONFIG!$B$7,IF($G79="Todos","Todos os turnos",""))))</f>
        <v/>
      </c>
      <c r="I79" s="53" t="n"/>
      <c r="J79" s="71" t="inlineStr">
        <is>
          <t>—</t>
        </is>
      </c>
      <c r="K79" s="53" t="n"/>
      <c r="L79" s="72" t="n"/>
      <c r="M79" s="53" t="n"/>
      <c r="N79" s="73" t="n"/>
      <c r="O79" s="74" t="n"/>
      <c r="P79" s="75" t="n"/>
      <c r="Q79" s="53" t="n"/>
      <c r="R79" s="76">
        <f>IF($C79="","",IF($O79="Cancelada","Cancelada",IF($O79="Reprovado","Reprovada",IF($O79="Aprovado","Aprovada",IF($L79&lt;&gt;"","Entregue",IF(TODAY()&gt;$C79,"Atrasada","Pendente"))))))</f>
        <v/>
      </c>
    </row>
    <row r="80">
      <c r="A80" s="65" t="inlineStr">
        <is>
          <t>AGO-S34-FAL-C</t>
        </is>
      </c>
      <c r="B80" s="66" t="inlineStr">
        <is>
          <t>S34</t>
        </is>
      </c>
      <c r="C80" s="67" t="n">
        <v>46255</v>
      </c>
      <c r="D80" s="68" t="inlineStr">
        <is>
          <t>Faltas e Atestados</t>
        </is>
      </c>
      <c r="E80" s="53" t="n"/>
      <c r="F80" s="53" t="n"/>
      <c r="G80" s="69" t="inlineStr">
        <is>
          <t>C</t>
        </is>
      </c>
      <c r="H80" s="70">
        <f>IF($G80="A",CONFIG!$B$5,IF($G80="B",CONFIG!$B$6,IF($G80="C",CONFIG!$B$7,IF($G80="Todos","Todos os turnos",""))))</f>
        <v/>
      </c>
      <c r="I80" s="53" t="n"/>
      <c r="J80" s="71" t="inlineStr">
        <is>
          <t>—</t>
        </is>
      </c>
      <c r="K80" s="53" t="n"/>
      <c r="L80" s="72" t="n"/>
      <c r="M80" s="53" t="n"/>
      <c r="N80" s="73" t="n"/>
      <c r="O80" s="74" t="n"/>
      <c r="P80" s="75" t="n"/>
      <c r="Q80" s="53" t="n"/>
      <c r="R80" s="76">
        <f>IF($C80="","",IF($O80="Cancelada","Cancelada",IF($O80="Reprovado","Reprovada",IF($O80="Aprovado","Aprovada",IF($L80&lt;&gt;"","Entregue",IF(TODAY()&gt;$C80,"Atrasada","Pendente"))))))</f>
        <v/>
      </c>
    </row>
    <row r="81">
      <c r="A81" s="65" t="inlineStr">
        <is>
          <t>AGO-S34-REU-T</t>
        </is>
      </c>
      <c r="B81" s="66" t="inlineStr">
        <is>
          <t>S34</t>
        </is>
      </c>
      <c r="C81" s="67" t="n">
        <v>46255</v>
      </c>
      <c r="D81" s="68" t="inlineStr">
        <is>
          <t>Reunião Semanal com a Gerência</t>
        </is>
      </c>
      <c r="E81" s="53" t="n"/>
      <c r="F81" s="53" t="n"/>
      <c r="G81" s="69" t="inlineStr">
        <is>
          <t>Todos</t>
        </is>
      </c>
      <c r="H81" s="70">
        <f>IF($G81="A",CONFIG!$B$5,IF($G81="B",CONFIG!$B$6,IF($G81="C",CONFIG!$B$7,IF($G81="Todos","Todos os turnos",""))))</f>
        <v/>
      </c>
      <c r="I81" s="53" t="n"/>
      <c r="J81" s="71" t="inlineStr">
        <is>
          <t>—</t>
        </is>
      </c>
      <c r="K81" s="53" t="n"/>
      <c r="L81" s="72" t="n"/>
      <c r="M81" s="53" t="n"/>
      <c r="N81" s="73" t="n"/>
      <c r="O81" s="74" t="n"/>
      <c r="P81" s="75" t="n"/>
      <c r="Q81" s="53" t="n"/>
      <c r="R81" s="76">
        <f>IF($C81="","",IF($O81="Cancelada","Cancelada",IF($O81="Reprovado","Reprovada",IF($O81="Aprovado","Aprovada",IF($L81&lt;&gt;"","Entregue",IF(TODAY()&gt;$C81,"Atrasada","Pendente"))))))</f>
        <v/>
      </c>
    </row>
    <row r="82">
      <c r="A82" s="65" t="inlineStr">
        <is>
          <t>AGO-S35-ERR-A</t>
        </is>
      </c>
      <c r="B82" s="66" t="inlineStr">
        <is>
          <t>S35</t>
        </is>
      </c>
      <c r="C82" s="67" t="n">
        <v>46258</v>
      </c>
      <c r="D82" s="68" t="inlineStr">
        <is>
          <t>Levantamento de Erros Operacionais</t>
        </is>
      </c>
      <c r="E82" s="53" t="n"/>
      <c r="F82" s="53" t="n"/>
      <c r="G82" s="69" t="inlineStr">
        <is>
          <t>A</t>
        </is>
      </c>
      <c r="H82" s="70">
        <f>IF($G82="A",CONFIG!$B$5,IF($G82="B",CONFIG!$B$6,IF($G82="C",CONFIG!$B$7,IF($G82="Todos","Todos os turnos",""))))</f>
        <v/>
      </c>
      <c r="I82" s="53" t="n"/>
      <c r="J82" s="71" t="inlineStr">
        <is>
          <t>—</t>
        </is>
      </c>
      <c r="K82" s="53" t="n"/>
      <c r="L82" s="72" t="n"/>
      <c r="M82" s="53" t="n"/>
      <c r="N82" s="73" t="n"/>
      <c r="O82" s="74" t="n"/>
      <c r="P82" s="75" t="n"/>
      <c r="Q82" s="53" t="n"/>
      <c r="R82" s="76">
        <f>IF($C82="","",IF($O82="Cancelada","Cancelada",IF($O82="Reprovado","Reprovada",IF($O82="Aprovado","Aprovada",IF($L82&lt;&gt;"","Entregue",IF(TODAY()&gt;$C82,"Atrasada","Pendente"))))))</f>
        <v/>
      </c>
    </row>
    <row r="83">
      <c r="A83" s="65" t="inlineStr">
        <is>
          <t>AGO-S35-ERR-B</t>
        </is>
      </c>
      <c r="B83" s="66" t="inlineStr">
        <is>
          <t>S35</t>
        </is>
      </c>
      <c r="C83" s="67" t="n">
        <v>46258</v>
      </c>
      <c r="D83" s="68" t="inlineStr">
        <is>
          <t>Levantamento de Erros Operacionais</t>
        </is>
      </c>
      <c r="E83" s="53" t="n"/>
      <c r="F83" s="53" t="n"/>
      <c r="G83" s="69" t="inlineStr">
        <is>
          <t>B</t>
        </is>
      </c>
      <c r="H83" s="70">
        <f>IF($G83="A",CONFIG!$B$5,IF($G83="B",CONFIG!$B$6,IF($G83="C",CONFIG!$B$7,IF($G83="Todos","Todos os turnos",""))))</f>
        <v/>
      </c>
      <c r="I83" s="53" t="n"/>
      <c r="J83" s="71" t="inlineStr">
        <is>
          <t>—</t>
        </is>
      </c>
      <c r="K83" s="53" t="n"/>
      <c r="L83" s="72" t="n"/>
      <c r="M83" s="53" t="n"/>
      <c r="N83" s="73" t="n"/>
      <c r="O83" s="74" t="n"/>
      <c r="P83" s="75" t="n"/>
      <c r="Q83" s="53" t="n"/>
      <c r="R83" s="76">
        <f>IF($C83="","",IF($O83="Cancelada","Cancelada",IF($O83="Reprovado","Reprovada",IF($O83="Aprovado","Aprovada",IF($L83&lt;&gt;"","Entregue",IF(TODAY()&gt;$C83,"Atrasada","Pendente"))))))</f>
        <v/>
      </c>
    </row>
    <row r="84">
      <c r="A84" s="65" t="inlineStr">
        <is>
          <t>AGO-S35-ERR-C</t>
        </is>
      </c>
      <c r="B84" s="66" t="inlineStr">
        <is>
          <t>S35</t>
        </is>
      </c>
      <c r="C84" s="67" t="n">
        <v>46258</v>
      </c>
      <c r="D84" s="68" t="inlineStr">
        <is>
          <t>Levantamento de Erros Operacionais</t>
        </is>
      </c>
      <c r="E84" s="53" t="n"/>
      <c r="F84" s="53" t="n"/>
      <c r="G84" s="69" t="inlineStr">
        <is>
          <t>C</t>
        </is>
      </c>
      <c r="H84" s="70">
        <f>IF($G84="A",CONFIG!$B$5,IF($G84="B",CONFIG!$B$6,IF($G84="C",CONFIG!$B$7,IF($G84="Todos","Todos os turnos",""))))</f>
        <v/>
      </c>
      <c r="I84" s="53" t="n"/>
      <c r="J84" s="71" t="inlineStr">
        <is>
          <t>—</t>
        </is>
      </c>
      <c r="K84" s="53" t="n"/>
      <c r="L84" s="72" t="n"/>
      <c r="M84" s="53" t="n"/>
      <c r="N84" s="73" t="n"/>
      <c r="O84" s="74" t="n"/>
      <c r="P84" s="75" t="n"/>
      <c r="Q84" s="53" t="n"/>
      <c r="R84" s="76">
        <f>IF($C84="","",IF($O84="Cancelada","Cancelada",IF($O84="Reprovado","Reprovada",IF($O84="Aprovado","Aprovada",IF($L84&lt;&gt;"","Entregue",IF(TODAY()&gt;$C84,"Atrasada","Pendente"))))))</f>
        <v/>
      </c>
    </row>
    <row r="85">
      <c r="A85" s="65" t="inlineStr">
        <is>
          <t>AGO-S35-SUP-A</t>
        </is>
      </c>
      <c r="B85" s="66" t="inlineStr">
        <is>
          <t>S35</t>
        </is>
      </c>
      <c r="C85" s="67" t="n">
        <v>46259</v>
      </c>
      <c r="D85" s="68" t="inlineStr">
        <is>
          <t>Suporte de Supervisores</t>
        </is>
      </c>
      <c r="E85" s="53" t="n"/>
      <c r="F85" s="53" t="n"/>
      <c r="G85" s="69" t="inlineStr">
        <is>
          <t>A</t>
        </is>
      </c>
      <c r="H85" s="70">
        <f>IF($G85="A",CONFIG!$B$5,IF($G85="B",CONFIG!$B$6,IF($G85="C",CONFIG!$B$7,IF($G85="Todos","Todos os turnos",""))))</f>
        <v/>
      </c>
      <c r="I85" s="53" t="n"/>
      <c r="J85" s="71" t="inlineStr">
        <is>
          <t>—</t>
        </is>
      </c>
      <c r="K85" s="53" t="n"/>
      <c r="L85" s="72" t="n"/>
      <c r="M85" s="53" t="n"/>
      <c r="N85" s="73" t="n"/>
      <c r="O85" s="74" t="n"/>
      <c r="P85" s="75" t="n"/>
      <c r="Q85" s="53" t="n"/>
      <c r="R85" s="76">
        <f>IF($C85="","",IF($O85="Cancelada","Cancelada",IF($O85="Reprovado","Reprovada",IF($O85="Aprovado","Aprovada",IF($L85&lt;&gt;"","Entregue",IF(TODAY()&gt;$C85,"Atrasada","Pendente"))))))</f>
        <v/>
      </c>
    </row>
    <row r="86">
      <c r="A86" s="65" t="inlineStr">
        <is>
          <t>AGO-S35-SUP-B</t>
        </is>
      </c>
      <c r="B86" s="66" t="inlineStr">
        <is>
          <t>S35</t>
        </is>
      </c>
      <c r="C86" s="67" t="n">
        <v>46259</v>
      </c>
      <c r="D86" s="68" t="inlineStr">
        <is>
          <t>Suporte de Supervisores</t>
        </is>
      </c>
      <c r="E86" s="53" t="n"/>
      <c r="F86" s="53" t="n"/>
      <c r="G86" s="69" t="inlineStr">
        <is>
          <t>B</t>
        </is>
      </c>
      <c r="H86" s="70">
        <f>IF($G86="A",CONFIG!$B$5,IF($G86="B",CONFIG!$B$6,IF($G86="C",CONFIG!$B$7,IF($G86="Todos","Todos os turnos",""))))</f>
        <v/>
      </c>
      <c r="I86" s="53" t="n"/>
      <c r="J86" s="71" t="inlineStr">
        <is>
          <t>—</t>
        </is>
      </c>
      <c r="K86" s="53" t="n"/>
      <c r="L86" s="72" t="n"/>
      <c r="M86" s="53" t="n"/>
      <c r="N86" s="73" t="n"/>
      <c r="O86" s="74" t="n"/>
      <c r="P86" s="75" t="n"/>
      <c r="Q86" s="53" t="n"/>
      <c r="R86" s="76">
        <f>IF($C86="","",IF($O86="Cancelada","Cancelada",IF($O86="Reprovado","Reprovada",IF($O86="Aprovado","Aprovada",IF($L86&lt;&gt;"","Entregue",IF(TODAY()&gt;$C86,"Atrasada","Pendente"))))))</f>
        <v/>
      </c>
    </row>
    <row r="87">
      <c r="A87" s="65" t="inlineStr">
        <is>
          <t>AGO-S35-SUP-C</t>
        </is>
      </c>
      <c r="B87" s="66" t="inlineStr">
        <is>
          <t>S35</t>
        </is>
      </c>
      <c r="C87" s="67" t="n">
        <v>46259</v>
      </c>
      <c r="D87" s="68" t="inlineStr">
        <is>
          <t>Suporte de Supervisores</t>
        </is>
      </c>
      <c r="E87" s="53" t="n"/>
      <c r="F87" s="53" t="n"/>
      <c r="G87" s="69" t="inlineStr">
        <is>
          <t>C</t>
        </is>
      </c>
      <c r="H87" s="70">
        <f>IF($G87="A",CONFIG!$B$5,IF($G87="B",CONFIG!$B$6,IF($G87="C",CONFIG!$B$7,IF($G87="Todos","Todos os turnos",""))))</f>
        <v/>
      </c>
      <c r="I87" s="53" t="n"/>
      <c r="J87" s="71" t="inlineStr">
        <is>
          <t>—</t>
        </is>
      </c>
      <c r="K87" s="53" t="n"/>
      <c r="L87" s="72" t="n"/>
      <c r="M87" s="53" t="n"/>
      <c r="N87" s="73" t="n"/>
      <c r="O87" s="74" t="n"/>
      <c r="P87" s="75" t="n"/>
      <c r="Q87" s="53" t="n"/>
      <c r="R87" s="76">
        <f>IF($C87="","",IF($O87="Cancelada","Cancelada",IF($O87="Reprovado","Reprovada",IF($O87="Aprovado","Aprovada",IF($L87&lt;&gt;"","Entregue",IF(TODAY()&gt;$C87,"Atrasada","Pendente"))))))</f>
        <v/>
      </c>
    </row>
    <row r="88">
      <c r="A88" s="65" t="inlineStr">
        <is>
          <t>AGO-S35-VIS-A</t>
        </is>
      </c>
      <c r="B88" s="66" t="inlineStr">
        <is>
          <t>S35</t>
        </is>
      </c>
      <c r="C88" s="67" t="n">
        <v>46260</v>
      </c>
      <c r="D88" s="68" t="inlineStr">
        <is>
          <t>Acomp. Organizacional Setorial (Vistoria)</t>
        </is>
      </c>
      <c r="E88" s="53" t="n"/>
      <c r="F88" s="53" t="n"/>
      <c r="G88" s="69" t="inlineStr">
        <is>
          <t>A</t>
        </is>
      </c>
      <c r="H88" s="70">
        <f>IF($G88="A",CONFIG!$B$5,IF($G88="B",CONFIG!$B$6,IF($G88="C",CONFIG!$B$7,IF($G88="Todos","Todos os turnos",""))))</f>
        <v/>
      </c>
      <c r="I88" s="53" t="n"/>
      <c r="J88" s="77" t="n"/>
      <c r="K88" s="53" t="n"/>
      <c r="L88" s="72" t="n"/>
      <c r="M88" s="53" t="n"/>
      <c r="N88" s="73" t="n"/>
      <c r="O88" s="74" t="n"/>
      <c r="P88" s="75" t="n"/>
      <c r="Q88" s="53" t="n"/>
      <c r="R88" s="76">
        <f>IF($C88="","",IF($O88="Cancelada","Cancelada",IF($O88="Reprovado","Reprovada",IF($O88="Aprovado","Aprovada",IF($L88&lt;&gt;"","Entregue",IF(TODAY()&gt;$C88,"Atrasada","Pendente"))))))</f>
        <v/>
      </c>
    </row>
    <row r="89">
      <c r="A89" s="65" t="inlineStr">
        <is>
          <t>AGO-S35-VIS-B</t>
        </is>
      </c>
      <c r="B89" s="66" t="inlineStr">
        <is>
          <t>S35</t>
        </is>
      </c>
      <c r="C89" s="67" t="n">
        <v>46260</v>
      </c>
      <c r="D89" s="68" t="inlineStr">
        <is>
          <t>Acomp. Organizacional Setorial (Vistoria)</t>
        </is>
      </c>
      <c r="E89" s="53" t="n"/>
      <c r="F89" s="53" t="n"/>
      <c r="G89" s="69" t="inlineStr">
        <is>
          <t>B</t>
        </is>
      </c>
      <c r="H89" s="70">
        <f>IF($G89="A",CONFIG!$B$5,IF($G89="B",CONFIG!$B$6,IF($G89="C",CONFIG!$B$7,IF($G89="Todos","Todos os turnos",""))))</f>
        <v/>
      </c>
      <c r="I89" s="53" t="n"/>
      <c r="J89" s="77" t="n"/>
      <c r="K89" s="53" t="n"/>
      <c r="L89" s="72" t="n"/>
      <c r="M89" s="53" t="n"/>
      <c r="N89" s="73" t="n"/>
      <c r="O89" s="74" t="n"/>
      <c r="P89" s="75" t="n"/>
      <c r="Q89" s="53" t="n"/>
      <c r="R89" s="76">
        <f>IF($C89="","",IF($O89="Cancelada","Cancelada",IF($O89="Reprovado","Reprovada",IF($O89="Aprovado","Aprovada",IF($L89&lt;&gt;"","Entregue",IF(TODAY()&gt;$C89,"Atrasada","Pendente"))))))</f>
        <v/>
      </c>
    </row>
    <row r="90">
      <c r="A90" s="65" t="inlineStr">
        <is>
          <t>AGO-S35-VIS-C</t>
        </is>
      </c>
      <c r="B90" s="66" t="inlineStr">
        <is>
          <t>S35</t>
        </is>
      </c>
      <c r="C90" s="67" t="n">
        <v>46260</v>
      </c>
      <c r="D90" s="68" t="inlineStr">
        <is>
          <t>Acomp. Organizacional Setorial (Vistoria)</t>
        </is>
      </c>
      <c r="E90" s="53" t="n"/>
      <c r="F90" s="53" t="n"/>
      <c r="G90" s="69" t="inlineStr">
        <is>
          <t>C</t>
        </is>
      </c>
      <c r="H90" s="70">
        <f>IF($G90="A",CONFIG!$B$5,IF($G90="B",CONFIG!$B$6,IF($G90="C",CONFIG!$B$7,IF($G90="Todos","Todos os turnos",""))))</f>
        <v/>
      </c>
      <c r="I90" s="53" t="n"/>
      <c r="J90" s="77" t="n"/>
      <c r="K90" s="53" t="n"/>
      <c r="L90" s="72" t="n"/>
      <c r="M90" s="53" t="n"/>
      <c r="N90" s="73" t="n"/>
      <c r="O90" s="74" t="n"/>
      <c r="P90" s="75" t="n"/>
      <c r="Q90" s="53" t="n"/>
      <c r="R90" s="76">
        <f>IF($C90="","",IF($O90="Cancelada","Cancelada",IF($O90="Reprovado","Reprovada",IF($O90="Aprovado","Aprovada",IF($L90&lt;&gt;"","Entregue",IF(TODAY()&gt;$C90,"Atrasada","Pendente"))))))</f>
        <v/>
      </c>
    </row>
    <row r="91">
      <c r="A91" s="65" t="inlineStr">
        <is>
          <t>AGO-S35-MET-A</t>
        </is>
      </c>
      <c r="B91" s="66" t="inlineStr">
        <is>
          <t>S35</t>
        </is>
      </c>
      <c r="C91" s="67" t="n">
        <v>46261</v>
      </c>
      <c r="D91" s="68" t="inlineStr">
        <is>
          <t>Metas</t>
        </is>
      </c>
      <c r="E91" s="53" t="n"/>
      <c r="F91" s="53" t="n"/>
      <c r="G91" s="69" t="inlineStr">
        <is>
          <t>A</t>
        </is>
      </c>
      <c r="H91" s="70">
        <f>IF($G91="A",CONFIG!$B$5,IF($G91="B",CONFIG!$B$6,IF($G91="C",CONFIG!$B$7,IF($G91="Todos","Todos os turnos",""))))</f>
        <v/>
      </c>
      <c r="I91" s="53" t="n"/>
      <c r="J91" s="71" t="inlineStr">
        <is>
          <t>—</t>
        </is>
      </c>
      <c r="K91" s="53" t="n"/>
      <c r="L91" s="72" t="n"/>
      <c r="M91" s="53" t="n"/>
      <c r="N91" s="73" t="n"/>
      <c r="O91" s="74" t="n"/>
      <c r="P91" s="75" t="n"/>
      <c r="Q91" s="53" t="n"/>
      <c r="R91" s="76">
        <f>IF($C91="","",IF($O91="Cancelada","Cancelada",IF($O91="Reprovado","Reprovada",IF($O91="Aprovado","Aprovada",IF($L91&lt;&gt;"","Entregue",IF(TODAY()&gt;$C91,"Atrasada","Pendente"))))))</f>
        <v/>
      </c>
    </row>
    <row r="92">
      <c r="A92" s="65" t="inlineStr">
        <is>
          <t>AGO-S35-MET-B</t>
        </is>
      </c>
      <c r="B92" s="66" t="inlineStr">
        <is>
          <t>S35</t>
        </is>
      </c>
      <c r="C92" s="67" t="n">
        <v>46261</v>
      </c>
      <c r="D92" s="68" t="inlineStr">
        <is>
          <t>Metas</t>
        </is>
      </c>
      <c r="E92" s="53" t="n"/>
      <c r="F92" s="53" t="n"/>
      <c r="G92" s="69" t="inlineStr">
        <is>
          <t>B</t>
        </is>
      </c>
      <c r="H92" s="70">
        <f>IF($G92="A",CONFIG!$B$5,IF($G92="B",CONFIG!$B$6,IF($G92="C",CONFIG!$B$7,IF($G92="Todos","Todos os turnos",""))))</f>
        <v/>
      </c>
      <c r="I92" s="53" t="n"/>
      <c r="J92" s="71" t="inlineStr">
        <is>
          <t>—</t>
        </is>
      </c>
      <c r="K92" s="53" t="n"/>
      <c r="L92" s="72" t="n"/>
      <c r="M92" s="53" t="n"/>
      <c r="N92" s="73" t="n"/>
      <c r="O92" s="74" t="n"/>
      <c r="P92" s="75" t="n"/>
      <c r="Q92" s="53" t="n"/>
      <c r="R92" s="76">
        <f>IF($C92="","",IF($O92="Cancelada","Cancelada",IF($O92="Reprovado","Reprovada",IF($O92="Aprovado","Aprovada",IF($L92&lt;&gt;"","Entregue",IF(TODAY()&gt;$C92,"Atrasada","Pendente"))))))</f>
        <v/>
      </c>
    </row>
    <row r="93">
      <c r="A93" s="65" t="inlineStr">
        <is>
          <t>AGO-S35-MET-C</t>
        </is>
      </c>
      <c r="B93" s="66" t="inlineStr">
        <is>
          <t>S35</t>
        </is>
      </c>
      <c r="C93" s="67" t="n">
        <v>46261</v>
      </c>
      <c r="D93" s="68" t="inlineStr">
        <is>
          <t>Metas</t>
        </is>
      </c>
      <c r="E93" s="53" t="n"/>
      <c r="F93" s="53" t="n"/>
      <c r="G93" s="69" t="inlineStr">
        <is>
          <t>C</t>
        </is>
      </c>
      <c r="H93" s="70">
        <f>IF($G93="A",CONFIG!$B$5,IF($G93="B",CONFIG!$B$6,IF($G93="C",CONFIG!$B$7,IF($G93="Todos","Todos os turnos",""))))</f>
        <v/>
      </c>
      <c r="I93" s="53" t="n"/>
      <c r="J93" s="71" t="inlineStr">
        <is>
          <t>—</t>
        </is>
      </c>
      <c r="K93" s="53" t="n"/>
      <c r="L93" s="72" t="n"/>
      <c r="M93" s="53" t="n"/>
      <c r="N93" s="73" t="n"/>
      <c r="O93" s="74" t="n"/>
      <c r="P93" s="75" t="n"/>
      <c r="Q93" s="53" t="n"/>
      <c r="R93" s="76">
        <f>IF($C93="","",IF($O93="Cancelada","Cancelada",IF($O93="Reprovado","Reprovada",IF($O93="Aprovado","Aprovada",IF($L93&lt;&gt;"","Entregue",IF(TODAY()&gt;$C93,"Atrasada","Pendente"))))))</f>
        <v/>
      </c>
    </row>
    <row r="94">
      <c r="A94" s="65" t="inlineStr">
        <is>
          <t>AGO-S35-ACO-A</t>
        </is>
      </c>
      <c r="B94" s="66" t="inlineStr">
        <is>
          <t>S35</t>
        </is>
      </c>
      <c r="C94" s="67" t="n">
        <v>46262</v>
      </c>
      <c r="D94" s="68" t="inlineStr">
        <is>
          <t>Acompanhamento Semanal c/ Supervisores</t>
        </is>
      </c>
      <c r="E94" s="53" t="n"/>
      <c r="F94" s="53" t="n"/>
      <c r="G94" s="69" t="inlineStr">
        <is>
          <t>A</t>
        </is>
      </c>
      <c r="H94" s="70">
        <f>IF($G94="A",CONFIG!$B$5,IF($G94="B",CONFIG!$B$6,IF($G94="C",CONFIG!$B$7,IF($G94="Todos","Todos os turnos",""))))</f>
        <v/>
      </c>
      <c r="I94" s="53" t="n"/>
      <c r="J94" s="71" t="inlineStr">
        <is>
          <t>—</t>
        </is>
      </c>
      <c r="K94" s="53" t="n"/>
      <c r="L94" s="72" t="n"/>
      <c r="M94" s="53" t="n"/>
      <c r="N94" s="73" t="n"/>
      <c r="O94" s="74" t="n"/>
      <c r="P94" s="75" t="n"/>
      <c r="Q94" s="53" t="n"/>
      <c r="R94" s="76">
        <f>IF($C94="","",IF($O94="Cancelada","Cancelada",IF($O94="Reprovado","Reprovada",IF($O94="Aprovado","Aprovada",IF($L94&lt;&gt;"","Entregue",IF(TODAY()&gt;$C94,"Atrasada","Pendente"))))))</f>
        <v/>
      </c>
    </row>
    <row r="95">
      <c r="A95" s="65" t="inlineStr">
        <is>
          <t>AGO-S35-ACO-B</t>
        </is>
      </c>
      <c r="B95" s="66" t="inlineStr">
        <is>
          <t>S35</t>
        </is>
      </c>
      <c r="C95" s="67" t="n">
        <v>46262</v>
      </c>
      <c r="D95" s="68" t="inlineStr">
        <is>
          <t>Acompanhamento Semanal c/ Supervisores</t>
        </is>
      </c>
      <c r="E95" s="53" t="n"/>
      <c r="F95" s="53" t="n"/>
      <c r="G95" s="69" t="inlineStr">
        <is>
          <t>B</t>
        </is>
      </c>
      <c r="H95" s="70">
        <f>IF($G95="A",CONFIG!$B$5,IF($G95="B",CONFIG!$B$6,IF($G95="C",CONFIG!$B$7,IF($G95="Todos","Todos os turnos",""))))</f>
        <v/>
      </c>
      <c r="I95" s="53" t="n"/>
      <c r="J95" s="71" t="inlineStr">
        <is>
          <t>—</t>
        </is>
      </c>
      <c r="K95" s="53" t="n"/>
      <c r="L95" s="72" t="n"/>
      <c r="M95" s="53" t="n"/>
      <c r="N95" s="73" t="n"/>
      <c r="O95" s="74" t="n"/>
      <c r="P95" s="75" t="n"/>
      <c r="Q95" s="53" t="n"/>
      <c r="R95" s="76">
        <f>IF($C95="","",IF($O95="Cancelada","Cancelada",IF($O95="Reprovado","Reprovada",IF($O95="Aprovado","Aprovada",IF($L95&lt;&gt;"","Entregue",IF(TODAY()&gt;$C95,"Atrasada","Pendente"))))))</f>
        <v/>
      </c>
    </row>
    <row r="96">
      <c r="A96" s="65" t="inlineStr">
        <is>
          <t>AGO-S35-ACO-C</t>
        </is>
      </c>
      <c r="B96" s="66" t="inlineStr">
        <is>
          <t>S35</t>
        </is>
      </c>
      <c r="C96" s="67" t="n">
        <v>46262</v>
      </c>
      <c r="D96" s="68" t="inlineStr">
        <is>
          <t>Acompanhamento Semanal c/ Supervisores</t>
        </is>
      </c>
      <c r="E96" s="53" t="n"/>
      <c r="F96" s="53" t="n"/>
      <c r="G96" s="69" t="inlineStr">
        <is>
          <t>C</t>
        </is>
      </c>
      <c r="H96" s="70">
        <f>IF($G96="A",CONFIG!$B$5,IF($G96="B",CONFIG!$B$6,IF($G96="C",CONFIG!$B$7,IF($G96="Todos","Todos os turnos",""))))</f>
        <v/>
      </c>
      <c r="I96" s="53" t="n"/>
      <c r="J96" s="71" t="inlineStr">
        <is>
          <t>—</t>
        </is>
      </c>
      <c r="K96" s="53" t="n"/>
      <c r="L96" s="72" t="n"/>
      <c r="M96" s="53" t="n"/>
      <c r="N96" s="73" t="n"/>
      <c r="O96" s="74" t="n"/>
      <c r="P96" s="75" t="n"/>
      <c r="Q96" s="53" t="n"/>
      <c r="R96" s="76">
        <f>IF($C96="","",IF($O96="Cancelada","Cancelada",IF($O96="Reprovado","Reprovada",IF($O96="Aprovado","Aprovada",IF($L96&lt;&gt;"","Entregue",IF(TODAY()&gt;$C96,"Atrasada","Pendente"))))))</f>
        <v/>
      </c>
    </row>
    <row r="97">
      <c r="A97" s="65" t="inlineStr">
        <is>
          <t>AGO-S35-FAL-A</t>
        </is>
      </c>
      <c r="B97" s="66" t="inlineStr">
        <is>
          <t>S35</t>
        </is>
      </c>
      <c r="C97" s="67" t="n">
        <v>46262</v>
      </c>
      <c r="D97" s="68" t="inlineStr">
        <is>
          <t>Faltas e Atestados</t>
        </is>
      </c>
      <c r="E97" s="53" t="n"/>
      <c r="F97" s="53" t="n"/>
      <c r="G97" s="69" t="inlineStr">
        <is>
          <t>A</t>
        </is>
      </c>
      <c r="H97" s="70">
        <f>IF($G97="A",CONFIG!$B$5,IF($G97="B",CONFIG!$B$6,IF($G97="C",CONFIG!$B$7,IF($G97="Todos","Todos os turnos",""))))</f>
        <v/>
      </c>
      <c r="I97" s="53" t="n"/>
      <c r="J97" s="71" t="inlineStr">
        <is>
          <t>—</t>
        </is>
      </c>
      <c r="K97" s="53" t="n"/>
      <c r="L97" s="72" t="n"/>
      <c r="M97" s="53" t="n"/>
      <c r="N97" s="73" t="n"/>
      <c r="O97" s="74" t="n"/>
      <c r="P97" s="75" t="n"/>
      <c r="Q97" s="53" t="n"/>
      <c r="R97" s="76">
        <f>IF($C97="","",IF($O97="Cancelada","Cancelada",IF($O97="Reprovado","Reprovada",IF($O97="Aprovado","Aprovada",IF($L97&lt;&gt;"","Entregue",IF(TODAY()&gt;$C97,"Atrasada","Pendente"))))))</f>
        <v/>
      </c>
    </row>
    <row r="98">
      <c r="A98" s="65" t="inlineStr">
        <is>
          <t>AGO-S35-FAL-B</t>
        </is>
      </c>
      <c r="B98" s="66" t="inlineStr">
        <is>
          <t>S35</t>
        </is>
      </c>
      <c r="C98" s="67" t="n">
        <v>46262</v>
      </c>
      <c r="D98" s="68" t="inlineStr">
        <is>
          <t>Faltas e Atestados</t>
        </is>
      </c>
      <c r="E98" s="53" t="n"/>
      <c r="F98" s="53" t="n"/>
      <c r="G98" s="69" t="inlineStr">
        <is>
          <t>B</t>
        </is>
      </c>
      <c r="H98" s="70">
        <f>IF($G98="A",CONFIG!$B$5,IF($G98="B",CONFIG!$B$6,IF($G98="C",CONFIG!$B$7,IF($G98="Todos","Todos os turnos",""))))</f>
        <v/>
      </c>
      <c r="I98" s="53" t="n"/>
      <c r="J98" s="71" t="inlineStr">
        <is>
          <t>—</t>
        </is>
      </c>
      <c r="K98" s="53" t="n"/>
      <c r="L98" s="72" t="n"/>
      <c r="M98" s="53" t="n"/>
      <c r="N98" s="73" t="n"/>
      <c r="O98" s="74" t="n"/>
      <c r="P98" s="75" t="n"/>
      <c r="Q98" s="53" t="n"/>
      <c r="R98" s="76">
        <f>IF($C98="","",IF($O98="Cancelada","Cancelada",IF($O98="Reprovado","Reprovada",IF($O98="Aprovado","Aprovada",IF($L98&lt;&gt;"","Entregue",IF(TODAY()&gt;$C98,"Atrasada","Pendente"))))))</f>
        <v/>
      </c>
    </row>
    <row r="99">
      <c r="A99" s="65" t="inlineStr">
        <is>
          <t>AGO-S35-FAL-C</t>
        </is>
      </c>
      <c r="B99" s="66" t="inlineStr">
        <is>
          <t>S35</t>
        </is>
      </c>
      <c r="C99" s="67" t="n">
        <v>46262</v>
      </c>
      <c r="D99" s="68" t="inlineStr">
        <is>
          <t>Faltas e Atestados</t>
        </is>
      </c>
      <c r="E99" s="53" t="n"/>
      <c r="F99" s="53" t="n"/>
      <c r="G99" s="69" t="inlineStr">
        <is>
          <t>C</t>
        </is>
      </c>
      <c r="H99" s="70">
        <f>IF($G99="A",CONFIG!$B$5,IF($G99="B",CONFIG!$B$6,IF($G99="C",CONFIG!$B$7,IF($G99="Todos","Todos os turnos",""))))</f>
        <v/>
      </c>
      <c r="I99" s="53" t="n"/>
      <c r="J99" s="71" t="inlineStr">
        <is>
          <t>—</t>
        </is>
      </c>
      <c r="K99" s="53" t="n"/>
      <c r="L99" s="72" t="n"/>
      <c r="M99" s="53" t="n"/>
      <c r="N99" s="73" t="n"/>
      <c r="O99" s="74" t="n"/>
      <c r="P99" s="75" t="n"/>
      <c r="Q99" s="53" t="n"/>
      <c r="R99" s="76">
        <f>IF($C99="","",IF($O99="Cancelada","Cancelada",IF($O99="Reprovado","Reprovada",IF($O99="Aprovado","Aprovada",IF($L99&lt;&gt;"","Entregue",IF(TODAY()&gt;$C99,"Atrasada","Pendente"))))))</f>
        <v/>
      </c>
    </row>
    <row r="100">
      <c r="A100" s="65" t="inlineStr">
        <is>
          <t>AGO-S35-REU-T</t>
        </is>
      </c>
      <c r="B100" s="66" t="inlineStr">
        <is>
          <t>S35</t>
        </is>
      </c>
      <c r="C100" s="67" t="n">
        <v>46262</v>
      </c>
      <c r="D100" s="68" t="inlineStr">
        <is>
          <t>Reunião Semanal com a Gerência</t>
        </is>
      </c>
      <c r="E100" s="53" t="n"/>
      <c r="F100" s="53" t="n"/>
      <c r="G100" s="69" t="inlineStr">
        <is>
          <t>Todos</t>
        </is>
      </c>
      <c r="H100" s="70">
        <f>IF($G100="A",CONFIG!$B$5,IF($G100="B",CONFIG!$B$6,IF($G100="C",CONFIG!$B$7,IF($G100="Todos","Todos os turnos",""))))</f>
        <v/>
      </c>
      <c r="I100" s="53" t="n"/>
      <c r="J100" s="71" t="inlineStr">
        <is>
          <t>—</t>
        </is>
      </c>
      <c r="K100" s="53" t="n"/>
      <c r="L100" s="72" t="n"/>
      <c r="M100" s="53" t="n"/>
      <c r="N100" s="73" t="n"/>
      <c r="O100" s="74" t="n"/>
      <c r="P100" s="75" t="n"/>
      <c r="Q100" s="53" t="n"/>
      <c r="R100" s="76">
        <f>IF($C100="","",IF($O100="Cancelada","Cancelada",IF($O100="Reprovado","Reprovada",IF($O100="Aprovado","Aprovada",IF($L100&lt;&gt;"","Entregue",IF(TODAY()&gt;$C100,"Atrasada","Pendente"))))))</f>
        <v/>
      </c>
    </row>
    <row r="101">
      <c r="A101" s="65" t="inlineStr">
        <is>
          <t>AGO-S35-MDF-T</t>
        </is>
      </c>
      <c r="B101" s="66" t="inlineStr">
        <is>
          <t>S35</t>
        </is>
      </c>
      <c r="C101" s="67" t="n">
        <v>46262</v>
      </c>
      <c r="D101" s="68" t="inlineStr">
        <is>
          <t>Mudança de Função — reunião mensal</t>
        </is>
      </c>
      <c r="E101" s="53" t="n"/>
      <c r="F101" s="53" t="n"/>
      <c r="G101" s="69" t="inlineStr">
        <is>
          <t>Todos</t>
        </is>
      </c>
      <c r="H101" s="70">
        <f>IF($G101="A",CONFIG!$B$5,IF($G101="B",CONFIG!$B$6,IF($G101="C",CONFIG!$B$7,IF($G101="Todos","Todos os turnos",""))))</f>
        <v/>
      </c>
      <c r="I101" s="53" t="n"/>
      <c r="J101" s="71" t="inlineStr">
        <is>
          <t>—</t>
        </is>
      </c>
      <c r="K101" s="53" t="n"/>
      <c r="L101" s="72" t="n"/>
      <c r="M101" s="53" t="n"/>
      <c r="N101" s="73" t="n"/>
      <c r="O101" s="74" t="n"/>
      <c r="P101" s="75" t="n"/>
      <c r="Q101" s="53" t="n"/>
      <c r="R101" s="76">
        <f>IF($C101="","",IF($O101="Cancelada","Cancelada",IF($O101="Reprovado","Reprovada",IF($O101="Aprovado","Aprovada",IF($L101&lt;&gt;"","Entregue",IF(TODAY()&gt;$C101,"Atrasada","Pendente"))))))</f>
        <v/>
      </c>
    </row>
    <row r="102">
      <c r="A102" s="78" t="inlineStr">
        <is>
          <t>TREINAMENTOS PROGRAMADOS PELO GERENTE — preencha PRAZO + tema; os coordenadores serão avisados por e-mail</t>
        </is>
      </c>
    </row>
    <row r="103" ht="14" customHeight="1">
      <c r="A103" s="79" t="inlineStr">
        <is>
          <t>Como usar: o gerente preenche apenas o PRAZO (data), completa o tema em ATIVIDADE e escolhe o TURNO. O resto fica em branco até o treinamento ocorrer; depois o coordenador anexa a lista de presença em LINK DO ANEXO e o gerente valida.</t>
        </is>
      </c>
    </row>
    <row r="104">
      <c r="A104" s="65" t="inlineStr">
        <is>
          <t>AGO-TRE-1</t>
        </is>
      </c>
      <c r="B104" s="66">
        <f>IF($C104="","","S"&amp;ISOWEEKNUM($C104))</f>
        <v/>
      </c>
      <c r="C104" s="67" t="n"/>
      <c r="D104" s="80" t="inlineStr">
        <is>
          <t xml:space="preserve">Treinamento com Colaboradores — tema: </t>
        </is>
      </c>
      <c r="E104" s="53" t="n"/>
      <c r="F104" s="53" t="n"/>
      <c r="G104" s="81" t="inlineStr">
        <is>
          <t>Todos</t>
        </is>
      </c>
      <c r="H104" s="70">
        <f>IF($G104="A",CONFIG!$B$5,IF($G104="B",CONFIG!$B$6,IF($G104="C",CONFIG!$B$7,IF($G104="Todos","Todos os turnos",""))))</f>
        <v/>
      </c>
      <c r="I104" s="53" t="n"/>
      <c r="J104" s="71" t="inlineStr">
        <is>
          <t>—</t>
        </is>
      </c>
      <c r="K104" s="53" t="n"/>
      <c r="L104" s="72" t="n"/>
      <c r="M104" s="53" t="n"/>
      <c r="N104" s="73" t="n"/>
      <c r="O104" s="74" t="n"/>
      <c r="P104" s="75" t="n"/>
      <c r="Q104" s="53" t="n"/>
      <c r="R104" s="76">
        <f>IF($C104="","Não agendado",IF($O104="Cancelada","Cancelada",IF($O104="Reprovado","Reprovada",IF($O104="Aprovado","Aprovada",IF($L104&lt;&gt;"","Entregue",IF(TODAY()&gt;$C104,"Atrasada","Pendente"))))))</f>
        <v/>
      </c>
    </row>
    <row r="105">
      <c r="A105" s="65" t="inlineStr">
        <is>
          <t>AGO-TRE-2</t>
        </is>
      </c>
      <c r="B105" s="66">
        <f>IF($C105="","","S"&amp;ISOWEEKNUM($C105))</f>
        <v/>
      </c>
      <c r="C105" s="67" t="n"/>
      <c r="D105" s="80" t="inlineStr">
        <is>
          <t xml:space="preserve">Treinamento com Colaboradores — tema: </t>
        </is>
      </c>
      <c r="E105" s="53" t="n"/>
      <c r="F105" s="53" t="n"/>
      <c r="G105" s="81" t="inlineStr">
        <is>
          <t>Todos</t>
        </is>
      </c>
      <c r="H105" s="70">
        <f>IF($G105="A",CONFIG!$B$5,IF($G105="B",CONFIG!$B$6,IF($G105="C",CONFIG!$B$7,IF($G105="Todos","Todos os turnos",""))))</f>
        <v/>
      </c>
      <c r="I105" s="53" t="n"/>
      <c r="J105" s="71" t="inlineStr">
        <is>
          <t>—</t>
        </is>
      </c>
      <c r="K105" s="53" t="n"/>
      <c r="L105" s="72" t="n"/>
      <c r="M105" s="53" t="n"/>
      <c r="N105" s="73" t="n"/>
      <c r="O105" s="74" t="n"/>
      <c r="P105" s="75" t="n"/>
      <c r="Q105" s="53" t="n"/>
      <c r="R105" s="76">
        <f>IF($C105="","Não agendado",IF($O105="Cancelada","Cancelada",IF($O105="Reprovado","Reprovada",IF($O105="Aprovado","Aprovada",IF($L105&lt;&gt;"","Entregue",IF(TODAY()&gt;$C105,"Atrasada","Pendente"))))))</f>
        <v/>
      </c>
    </row>
    <row r="106">
      <c r="A106" s="65" t="inlineStr">
        <is>
          <t>AGO-TRE-3</t>
        </is>
      </c>
      <c r="B106" s="66">
        <f>IF($C106="","","S"&amp;ISOWEEKNUM($C106))</f>
        <v/>
      </c>
      <c r="C106" s="67" t="n"/>
      <c r="D106" s="80" t="inlineStr">
        <is>
          <t xml:space="preserve">Treinamento com Colaboradores — tema: </t>
        </is>
      </c>
      <c r="E106" s="53" t="n"/>
      <c r="F106" s="53" t="n"/>
      <c r="G106" s="81" t="inlineStr">
        <is>
          <t>Todos</t>
        </is>
      </c>
      <c r="H106" s="70">
        <f>IF($G106="A",CONFIG!$B$5,IF($G106="B",CONFIG!$B$6,IF($G106="C",CONFIG!$B$7,IF($G106="Todos","Todos os turnos",""))))</f>
        <v/>
      </c>
      <c r="I106" s="53" t="n"/>
      <c r="J106" s="71" t="inlineStr">
        <is>
          <t>—</t>
        </is>
      </c>
      <c r="K106" s="53" t="n"/>
      <c r="L106" s="72" t="n"/>
      <c r="M106" s="53" t="n"/>
      <c r="N106" s="73" t="n"/>
      <c r="O106" s="74" t="n"/>
      <c r="P106" s="75" t="n"/>
      <c r="Q106" s="53" t="n"/>
      <c r="R106" s="76">
        <f>IF($C106="","Não agendado",IF($O106="Cancelada","Cancelada",IF($O106="Reprovado","Reprovada",IF($O106="Aprovado","Aprovada",IF($L106&lt;&gt;"","Entregue",IF(TODAY()&gt;$C106,"Atrasada","Pendente"))))))</f>
        <v/>
      </c>
    </row>
    <row r="107">
      <c r="A107" s="65" t="inlineStr">
        <is>
          <t>AGO-TRE-4</t>
        </is>
      </c>
      <c r="B107" s="66">
        <f>IF($C107="","","S"&amp;ISOWEEKNUM($C107))</f>
        <v/>
      </c>
      <c r="C107" s="67" t="n"/>
      <c r="D107" s="80" t="inlineStr">
        <is>
          <t xml:space="preserve">Treinamento com Colaboradores — tema: </t>
        </is>
      </c>
      <c r="E107" s="53" t="n"/>
      <c r="F107" s="53" t="n"/>
      <c r="G107" s="81" t="inlineStr">
        <is>
          <t>Todos</t>
        </is>
      </c>
      <c r="H107" s="70">
        <f>IF($G107="A",CONFIG!$B$5,IF($G107="B",CONFIG!$B$6,IF($G107="C",CONFIG!$B$7,IF($G107="Todos","Todos os turnos",""))))</f>
        <v/>
      </c>
      <c r="I107" s="53" t="n"/>
      <c r="J107" s="71" t="inlineStr">
        <is>
          <t>—</t>
        </is>
      </c>
      <c r="K107" s="53" t="n"/>
      <c r="L107" s="72" t="n"/>
      <c r="M107" s="53" t="n"/>
      <c r="N107" s="73" t="n"/>
      <c r="O107" s="74" t="n"/>
      <c r="P107" s="75" t="n"/>
      <c r="Q107" s="53" t="n"/>
      <c r="R107" s="76">
        <f>IF($C107="","Não agendado",IF($O107="Cancelada","Cancelada",IF($O107="Reprovado","Reprovada",IF($O107="Aprovado","Aprovada",IF($L107&lt;&gt;"","Entregue",IF(TODAY()&gt;$C107,"Atrasada","Pendente"))))))</f>
        <v/>
      </c>
    </row>
    <row r="108">
      <c r="A108" s="65" t="inlineStr">
        <is>
          <t>AGO-TRE-5</t>
        </is>
      </c>
      <c r="B108" s="66">
        <f>IF($C108="","","S"&amp;ISOWEEKNUM($C108))</f>
        <v/>
      </c>
      <c r="C108" s="67" t="n"/>
      <c r="D108" s="80" t="inlineStr">
        <is>
          <t xml:space="preserve">Treinamento com Colaboradores — tema: </t>
        </is>
      </c>
      <c r="E108" s="53" t="n"/>
      <c r="F108" s="53" t="n"/>
      <c r="G108" s="81" t="inlineStr">
        <is>
          <t>Todos</t>
        </is>
      </c>
      <c r="H108" s="70">
        <f>IF($G108="A",CONFIG!$B$5,IF($G108="B",CONFIG!$B$6,IF($G108="C",CONFIG!$B$7,IF($G108="Todos","Todos os turnos",""))))</f>
        <v/>
      </c>
      <c r="I108" s="53" t="n"/>
      <c r="J108" s="71" t="inlineStr">
        <is>
          <t>—</t>
        </is>
      </c>
      <c r="K108" s="53" t="n"/>
      <c r="L108" s="72" t="n"/>
      <c r="M108" s="53" t="n"/>
      <c r="N108" s="73" t="n"/>
      <c r="O108" s="74" t="n"/>
      <c r="P108" s="75" t="n"/>
      <c r="Q108" s="53" t="n"/>
      <c r="R108" s="76">
        <f>IF($C108="","Não agendado",IF($O108="Cancelada","Cancelada",IF($O108="Reprovado","Reprovada",IF($O108="Aprovado","Aprovada",IF($L108&lt;&gt;"","Entregue",IF(TODAY()&gt;$C108,"Atrasada","Pendente"))))))</f>
        <v/>
      </c>
    </row>
    <row r="109">
      <c r="A109" s="65" t="inlineStr">
        <is>
          <t>AGO-TRE-6</t>
        </is>
      </c>
      <c r="B109" s="66">
        <f>IF($C109="","","S"&amp;ISOWEEKNUM($C109))</f>
        <v/>
      </c>
      <c r="C109" s="67" t="n"/>
      <c r="D109" s="80" t="inlineStr">
        <is>
          <t xml:space="preserve">Treinamento com Colaboradores — tema: </t>
        </is>
      </c>
      <c r="E109" s="53" t="n"/>
      <c r="F109" s="53" t="n"/>
      <c r="G109" s="81" t="inlineStr">
        <is>
          <t>Todos</t>
        </is>
      </c>
      <c r="H109" s="70">
        <f>IF($G109="A",CONFIG!$B$5,IF($G109="B",CONFIG!$B$6,IF($G109="C",CONFIG!$B$7,IF($G109="Todos","Todos os turnos",""))))</f>
        <v/>
      </c>
      <c r="I109" s="53" t="n"/>
      <c r="J109" s="71" t="inlineStr">
        <is>
          <t>—</t>
        </is>
      </c>
      <c r="K109" s="53" t="n"/>
      <c r="L109" s="72" t="n"/>
      <c r="M109" s="53" t="n"/>
      <c r="N109" s="73" t="n"/>
      <c r="O109" s="74" t="n"/>
      <c r="P109" s="75" t="n"/>
      <c r="Q109" s="53" t="n"/>
      <c r="R109" s="76">
        <f>IF($C109="","Não agendado",IF($O109="Cancelada","Cancelada",IF($O109="Reprovado","Reprovada",IF($O109="Aprovado","Aprovada",IF($L109&lt;&gt;"","Entregue",IF(TODAY()&gt;$C109,"Atrasada","Pendente"))))))</f>
        <v/>
      </c>
    </row>
    <row r="111">
      <c r="A111" s="11" t="inlineStr">
        <is>
          <t>Amarelo = o GERENTE/ADM edita (prazo, setor da vistoria, validação, motivo, treinamentos) - Azul-claro = entrega do COORDENADOR (menu Anexar entrega ou link manual) - demais células são automáticas</t>
        </is>
      </c>
    </row>
  </sheetData>
  <mergeCells count="534">
    <mergeCell ref="F16:G16"/>
    <mergeCell ref="P76:Q76"/>
    <mergeCell ref="D66:F66"/>
    <mergeCell ref="P94:Q94"/>
    <mergeCell ref="J59:K59"/>
    <mergeCell ref="D53:F53"/>
    <mergeCell ref="D47:F47"/>
    <mergeCell ref="H9:I9"/>
    <mergeCell ref="P69:Q69"/>
    <mergeCell ref="J9:K9"/>
    <mergeCell ref="B12:C12"/>
    <mergeCell ref="B14:C14"/>
    <mergeCell ref="B13:C13"/>
    <mergeCell ref="L29:M29"/>
    <mergeCell ref="D7:E7"/>
    <mergeCell ref="J31:K31"/>
    <mergeCell ref="L31:M31"/>
    <mergeCell ref="H96:I96"/>
    <mergeCell ref="P87:Q87"/>
    <mergeCell ref="H87:I87"/>
    <mergeCell ref="H62:I62"/>
    <mergeCell ref="J62:K62"/>
    <mergeCell ref="P24:Q24"/>
    <mergeCell ref="P89:Q89"/>
    <mergeCell ref="P88:Q88"/>
    <mergeCell ref="J64:K64"/>
    <mergeCell ref="P26:Q26"/>
    <mergeCell ref="H91:I91"/>
    <mergeCell ref="D41:F41"/>
    <mergeCell ref="L107:M107"/>
    <mergeCell ref="J57:K57"/>
    <mergeCell ref="L57:M57"/>
    <mergeCell ref="H93:I93"/>
    <mergeCell ref="J93:K93"/>
    <mergeCell ref="D43:F43"/>
    <mergeCell ref="L42:M42"/>
    <mergeCell ref="D74:F74"/>
    <mergeCell ref="D68:F68"/>
    <mergeCell ref="F17:G17"/>
    <mergeCell ref="D55:F55"/>
    <mergeCell ref="H17:I17"/>
    <mergeCell ref="P77:Q77"/>
    <mergeCell ref="H11:I11"/>
    <mergeCell ref="J11:K11"/>
    <mergeCell ref="D67:F67"/>
    <mergeCell ref="H109:I109"/>
    <mergeCell ref="H75:I75"/>
    <mergeCell ref="J75:K75"/>
    <mergeCell ref="P37:Q37"/>
    <mergeCell ref="D69:F69"/>
    <mergeCell ref="H12:I12"/>
    <mergeCell ref="J12:K12"/>
    <mergeCell ref="B15:C15"/>
    <mergeCell ref="D15:E15"/>
    <mergeCell ref="H48:I48"/>
    <mergeCell ref="H104:I104"/>
    <mergeCell ref="H14:I14"/>
    <mergeCell ref="D21:F21"/>
    <mergeCell ref="L70:M70"/>
    <mergeCell ref="H106:I106"/>
    <mergeCell ref="J81:K81"/>
    <mergeCell ref="L32:M32"/>
    <mergeCell ref="H43:I43"/>
    <mergeCell ref="L47:M47"/>
    <mergeCell ref="D87:F87"/>
    <mergeCell ref="P96:Q96"/>
    <mergeCell ref="P90:Q90"/>
    <mergeCell ref="J65:K65"/>
    <mergeCell ref="P27:Q27"/>
    <mergeCell ref="D51:F51"/>
    <mergeCell ref="D82:F82"/>
    <mergeCell ref="L58:M58"/>
    <mergeCell ref="P91:Q91"/>
    <mergeCell ref="J25:K25"/>
    <mergeCell ref="L50:M50"/>
    <mergeCell ref="L25:M25"/>
    <mergeCell ref="L60:M60"/>
    <mergeCell ref="L52:M52"/>
    <mergeCell ref="B5:C5"/>
    <mergeCell ref="P108:Q108"/>
    <mergeCell ref="D5:E5"/>
    <mergeCell ref="P45:Q45"/>
    <mergeCell ref="D77:F77"/>
    <mergeCell ref="P38:Q38"/>
    <mergeCell ref="J14:K14"/>
    <mergeCell ref="P109:Q109"/>
    <mergeCell ref="J13:K13"/>
    <mergeCell ref="J84:K84"/>
    <mergeCell ref="L13:M13"/>
    <mergeCell ref="J78:K78"/>
    <mergeCell ref="P40:Q40"/>
    <mergeCell ref="D72:F72"/>
    <mergeCell ref="A3:R3"/>
    <mergeCell ref="L78:M78"/>
    <mergeCell ref="H64:I64"/>
    <mergeCell ref="J15:K15"/>
    <mergeCell ref="L15:M15"/>
    <mergeCell ref="H51:I51"/>
    <mergeCell ref="L71:M71"/>
    <mergeCell ref="J80:K80"/>
    <mergeCell ref="J107:K107"/>
    <mergeCell ref="J55:K55"/>
    <mergeCell ref="L55:M55"/>
    <mergeCell ref="D24:F24"/>
    <mergeCell ref="J79:K79"/>
    <mergeCell ref="D16:E16"/>
    <mergeCell ref="D89:F89"/>
    <mergeCell ref="L73:M73"/>
    <mergeCell ref="P98:Q98"/>
    <mergeCell ref="D88:F88"/>
    <mergeCell ref="D26:F26"/>
    <mergeCell ref="D90:F90"/>
    <mergeCell ref="P106:Q106"/>
    <mergeCell ref="D65:F65"/>
    <mergeCell ref="P93:Q93"/>
    <mergeCell ref="H33:I33"/>
    <mergeCell ref="J33:K33"/>
    <mergeCell ref="H8:I8"/>
    <mergeCell ref="J8:K8"/>
    <mergeCell ref="H35:I35"/>
    <mergeCell ref="H10:I10"/>
    <mergeCell ref="J10:K10"/>
    <mergeCell ref="L66:M66"/>
    <mergeCell ref="J28:K28"/>
    <mergeCell ref="L53:M53"/>
    <mergeCell ref="L28:M28"/>
    <mergeCell ref="D6:E6"/>
    <mergeCell ref="H39:I39"/>
    <mergeCell ref="J68:K68"/>
    <mergeCell ref="L68:M68"/>
    <mergeCell ref="D37:F37"/>
    <mergeCell ref="P59:Q59"/>
    <mergeCell ref="P46:Q46"/>
    <mergeCell ref="H89:I89"/>
    <mergeCell ref="L5:M5"/>
    <mergeCell ref="N5:O5"/>
    <mergeCell ref="P61:Q61"/>
    <mergeCell ref="J86:K86"/>
    <mergeCell ref="P48:Q48"/>
    <mergeCell ref="H72:I72"/>
    <mergeCell ref="L79:M79"/>
    <mergeCell ref="H65:I65"/>
    <mergeCell ref="J21:K21"/>
    <mergeCell ref="L21:M21"/>
    <mergeCell ref="P43:Q43"/>
    <mergeCell ref="L81:M81"/>
    <mergeCell ref="D80:F80"/>
    <mergeCell ref="H23:I23"/>
    <mergeCell ref="D96:F96"/>
    <mergeCell ref="J23:K23"/>
    <mergeCell ref="D27:F27"/>
    <mergeCell ref="L16:M16"/>
    <mergeCell ref="H54:I54"/>
    <mergeCell ref="N16:O16"/>
    <mergeCell ref="H41:I41"/>
    <mergeCell ref="F6:G6"/>
    <mergeCell ref="D91:F91"/>
    <mergeCell ref="P34:Q34"/>
    <mergeCell ref="H56:I56"/>
    <mergeCell ref="H34:I34"/>
    <mergeCell ref="H83:I83"/>
    <mergeCell ref="J34:K34"/>
    <mergeCell ref="D106:F106"/>
    <mergeCell ref="J99:K99"/>
    <mergeCell ref="D93:F93"/>
    <mergeCell ref="H49:I49"/>
    <mergeCell ref="P36:Q36"/>
    <mergeCell ref="J49:K49"/>
    <mergeCell ref="H36:I36"/>
    <mergeCell ref="H85:I85"/>
    <mergeCell ref="J36:K36"/>
    <mergeCell ref="L92:M92"/>
    <mergeCell ref="J101:K101"/>
    <mergeCell ref="L30:M30"/>
    <mergeCell ref="J100:K100"/>
    <mergeCell ref="J94:K94"/>
    <mergeCell ref="L94:M94"/>
    <mergeCell ref="A111:R111"/>
    <mergeCell ref="L69:M69"/>
    <mergeCell ref="D9:E9"/>
    <mergeCell ref="L44:M44"/>
    <mergeCell ref="H80:I80"/>
    <mergeCell ref="F9:G9"/>
    <mergeCell ref="D109:F109"/>
    <mergeCell ref="L6:M6"/>
    <mergeCell ref="N6:O6"/>
    <mergeCell ref="D46:F46"/>
    <mergeCell ref="D40:F40"/>
    <mergeCell ref="P62:Q62"/>
    <mergeCell ref="D86:F86"/>
    <mergeCell ref="D104:F104"/>
    <mergeCell ref="P64:Q64"/>
    <mergeCell ref="J29:K29"/>
    <mergeCell ref="B7:C7"/>
    <mergeCell ref="P51:Q51"/>
    <mergeCell ref="H31:I31"/>
    <mergeCell ref="H58:I58"/>
    <mergeCell ref="H73:I73"/>
    <mergeCell ref="J24:K24"/>
    <mergeCell ref="L24:M24"/>
    <mergeCell ref="H60:I60"/>
    <mergeCell ref="J89:K89"/>
    <mergeCell ref="L89:M89"/>
    <mergeCell ref="P67:Q67"/>
    <mergeCell ref="D33:F33"/>
    <mergeCell ref="J26:K26"/>
    <mergeCell ref="L88:M88"/>
    <mergeCell ref="N17:O17"/>
    <mergeCell ref="L26:M26"/>
    <mergeCell ref="P82:Q82"/>
    <mergeCell ref="D35:F35"/>
    <mergeCell ref="H57:I57"/>
    <mergeCell ref="D59:F59"/>
    <mergeCell ref="H84:I84"/>
    <mergeCell ref="H22:I22"/>
    <mergeCell ref="P75:Q75"/>
    <mergeCell ref="D34:F34"/>
    <mergeCell ref="L100:M100"/>
    <mergeCell ref="D99:F99"/>
    <mergeCell ref="J50:K50"/>
    <mergeCell ref="H86:I86"/>
    <mergeCell ref="H42:I42"/>
    <mergeCell ref="J42:K42"/>
    <mergeCell ref="D36:F36"/>
    <mergeCell ref="D101:F101"/>
    <mergeCell ref="J52:K52"/>
    <mergeCell ref="L77:M77"/>
    <mergeCell ref="L108:M108"/>
    <mergeCell ref="J39:K39"/>
    <mergeCell ref="F11:G11"/>
    <mergeCell ref="J44:K44"/>
    <mergeCell ref="L95:M95"/>
    <mergeCell ref="D61:F61"/>
    <mergeCell ref="D48:F48"/>
    <mergeCell ref="J37:K37"/>
    <mergeCell ref="L37:M37"/>
    <mergeCell ref="L97:M97"/>
    <mergeCell ref="F12:G12"/>
    <mergeCell ref="B18:R18"/>
    <mergeCell ref="P72:Q72"/>
    <mergeCell ref="D62:F62"/>
    <mergeCell ref="D56:F56"/>
    <mergeCell ref="P65:Q65"/>
    <mergeCell ref="B8:C8"/>
    <mergeCell ref="H70:I70"/>
    <mergeCell ref="J70:K70"/>
    <mergeCell ref="A20:R20"/>
    <mergeCell ref="D64:F64"/>
    <mergeCell ref="H32:I32"/>
    <mergeCell ref="H7:I7"/>
    <mergeCell ref="J32:K32"/>
    <mergeCell ref="J7:K7"/>
    <mergeCell ref="B10:C10"/>
    <mergeCell ref="J63:K63"/>
    <mergeCell ref="L63:M63"/>
    <mergeCell ref="P74:Q74"/>
    <mergeCell ref="H99:I99"/>
    <mergeCell ref="H47:I47"/>
    <mergeCell ref="J109:K109"/>
    <mergeCell ref="J47:K47"/>
    <mergeCell ref="J96:K96"/>
    <mergeCell ref="J90:K90"/>
    <mergeCell ref="L96:M96"/>
    <mergeCell ref="L90:M90"/>
    <mergeCell ref="H101:I101"/>
    <mergeCell ref="H76:I76"/>
    <mergeCell ref="J76:K76"/>
    <mergeCell ref="L27:M27"/>
    <mergeCell ref="P83:Q83"/>
    <mergeCell ref="D49:F49"/>
    <mergeCell ref="L91:M91"/>
    <mergeCell ref="P85:Q85"/>
    <mergeCell ref="D75:F75"/>
    <mergeCell ref="P84:Q84"/>
    <mergeCell ref="J60:K60"/>
    <mergeCell ref="P22:Q22"/>
    <mergeCell ref="J53:K53"/>
    <mergeCell ref="P80:Q80"/>
    <mergeCell ref="H94:I94"/>
    <mergeCell ref="J45:K45"/>
    <mergeCell ref="D39:F39"/>
    <mergeCell ref="L45:M45"/>
    <mergeCell ref="L38:M38"/>
    <mergeCell ref="L109:M109"/>
    <mergeCell ref="F13:G13"/>
    <mergeCell ref="H13:I13"/>
    <mergeCell ref="L40:M40"/>
    <mergeCell ref="H105:I105"/>
    <mergeCell ref="N15:O15"/>
    <mergeCell ref="H15:I15"/>
    <mergeCell ref="H71:I71"/>
    <mergeCell ref="P58:Q58"/>
    <mergeCell ref="P33:Q33"/>
    <mergeCell ref="J71:K71"/>
    <mergeCell ref="H107:I107"/>
    <mergeCell ref="J58:K58"/>
    <mergeCell ref="D57:F57"/>
    <mergeCell ref="P79:Q79"/>
    <mergeCell ref="P73:Q73"/>
    <mergeCell ref="B16:C16"/>
    <mergeCell ref="J73:K73"/>
    <mergeCell ref="P35:Q35"/>
    <mergeCell ref="L98:M98"/>
    <mergeCell ref="A1:N1"/>
    <mergeCell ref="H25:I25"/>
    <mergeCell ref="J77:K77"/>
    <mergeCell ref="L106:M106"/>
    <mergeCell ref="B11:C11"/>
    <mergeCell ref="D11:E11"/>
    <mergeCell ref="L93:M93"/>
    <mergeCell ref="D83:F83"/>
    <mergeCell ref="P86:Q86"/>
    <mergeCell ref="D85:F85"/>
    <mergeCell ref="P28:Q28"/>
    <mergeCell ref="D60:F60"/>
    <mergeCell ref="H28:I28"/>
    <mergeCell ref="B6:C6"/>
    <mergeCell ref="L59:M59"/>
    <mergeCell ref="H95:I95"/>
    <mergeCell ref="P30:Q30"/>
    <mergeCell ref="J46:K46"/>
    <mergeCell ref="L46:M46"/>
    <mergeCell ref="H5:I5"/>
    <mergeCell ref="J61:K61"/>
    <mergeCell ref="L61:M61"/>
    <mergeCell ref="H97:I97"/>
    <mergeCell ref="J48:K48"/>
    <mergeCell ref="J97:K97"/>
    <mergeCell ref="L48:M48"/>
    <mergeCell ref="P104:Q104"/>
    <mergeCell ref="P41:Q41"/>
    <mergeCell ref="D78:F78"/>
    <mergeCell ref="H21:I21"/>
    <mergeCell ref="L43:M43"/>
    <mergeCell ref="P56:Q56"/>
    <mergeCell ref="P105:Q105"/>
    <mergeCell ref="D71:F71"/>
    <mergeCell ref="P99:Q99"/>
    <mergeCell ref="D58:F58"/>
    <mergeCell ref="P49:Q49"/>
    <mergeCell ref="B17:C17"/>
    <mergeCell ref="J74:K74"/>
    <mergeCell ref="D17:E17"/>
    <mergeCell ref="L74:M74"/>
    <mergeCell ref="P107:Q107"/>
    <mergeCell ref="D73:F73"/>
    <mergeCell ref="P101:Q101"/>
    <mergeCell ref="H16:I16"/>
    <mergeCell ref="J16:K16"/>
    <mergeCell ref="L76:M76"/>
    <mergeCell ref="L9:M9"/>
    <mergeCell ref="D12:E12"/>
    <mergeCell ref="N9:O9"/>
    <mergeCell ref="D84:F84"/>
    <mergeCell ref="D22:F22"/>
    <mergeCell ref="L11:M11"/>
    <mergeCell ref="D14:E14"/>
    <mergeCell ref="F14:G14"/>
    <mergeCell ref="H92:I92"/>
    <mergeCell ref="H30:I30"/>
    <mergeCell ref="J92:K92"/>
    <mergeCell ref="P54:Q54"/>
    <mergeCell ref="H67:I67"/>
    <mergeCell ref="J67:K67"/>
    <mergeCell ref="P29:Q29"/>
    <mergeCell ref="J5:K5"/>
    <mergeCell ref="L67:M67"/>
    <mergeCell ref="H29:I29"/>
    <mergeCell ref="H78:I78"/>
    <mergeCell ref="P100:Q100"/>
    <mergeCell ref="P44:Q44"/>
    <mergeCell ref="H44:I44"/>
    <mergeCell ref="J69:K69"/>
    <mergeCell ref="P31:Q31"/>
    <mergeCell ref="J87:K87"/>
    <mergeCell ref="L87:M87"/>
    <mergeCell ref="H6:I6"/>
    <mergeCell ref="J6:K6"/>
    <mergeCell ref="L62:M62"/>
    <mergeCell ref="P95:Q95"/>
    <mergeCell ref="H98:I98"/>
    <mergeCell ref="J98:K98"/>
    <mergeCell ref="L64:M64"/>
    <mergeCell ref="L51:M51"/>
    <mergeCell ref="D79:F79"/>
    <mergeCell ref="P57:Q57"/>
    <mergeCell ref="D8:E8"/>
    <mergeCell ref="D81:F81"/>
    <mergeCell ref="H24:I24"/>
    <mergeCell ref="P42:Q42"/>
    <mergeCell ref="J17:K17"/>
    <mergeCell ref="H26:I26"/>
    <mergeCell ref="H82:I82"/>
    <mergeCell ref="L17:M17"/>
    <mergeCell ref="H53:I53"/>
    <mergeCell ref="J82:K82"/>
    <mergeCell ref="D76:F76"/>
    <mergeCell ref="L82:M82"/>
    <mergeCell ref="N11:O11"/>
    <mergeCell ref="H55:I55"/>
    <mergeCell ref="L75:M75"/>
    <mergeCell ref="D28:F28"/>
    <mergeCell ref="L12:M12"/>
    <mergeCell ref="N12:O12"/>
    <mergeCell ref="F15:G15"/>
    <mergeCell ref="D13:E13"/>
    <mergeCell ref="D92:F92"/>
    <mergeCell ref="D30:F30"/>
    <mergeCell ref="L14:M14"/>
    <mergeCell ref="L39:M39"/>
    <mergeCell ref="H52:I52"/>
    <mergeCell ref="N14:O14"/>
    <mergeCell ref="H79:I79"/>
    <mergeCell ref="P39:Q39"/>
    <mergeCell ref="H108:I108"/>
    <mergeCell ref="P70:Q70"/>
    <mergeCell ref="J108:K108"/>
    <mergeCell ref="D29:F29"/>
    <mergeCell ref="J95:K95"/>
    <mergeCell ref="D23:F23"/>
    <mergeCell ref="D94:F94"/>
    <mergeCell ref="H45:I45"/>
    <mergeCell ref="P32:Q32"/>
    <mergeCell ref="H81:I81"/>
    <mergeCell ref="P97:Q97"/>
    <mergeCell ref="H37:I37"/>
    <mergeCell ref="P47:Q47"/>
    <mergeCell ref="O1:R1"/>
    <mergeCell ref="L72:M72"/>
    <mergeCell ref="L65:M65"/>
    <mergeCell ref="D105:F105"/>
    <mergeCell ref="L7:M7"/>
    <mergeCell ref="D10:E10"/>
    <mergeCell ref="N7:O7"/>
    <mergeCell ref="F10:G10"/>
    <mergeCell ref="D107:F107"/>
    <mergeCell ref="P63:Q63"/>
    <mergeCell ref="H63:I63"/>
    <mergeCell ref="J88:K88"/>
    <mergeCell ref="P50:Q50"/>
    <mergeCell ref="P25:Q25"/>
    <mergeCell ref="H50:I50"/>
    <mergeCell ref="P60:Q60"/>
    <mergeCell ref="H74:I74"/>
    <mergeCell ref="H68:I68"/>
    <mergeCell ref="P52:Q52"/>
    <mergeCell ref="F5:G5"/>
    <mergeCell ref="J27:K27"/>
    <mergeCell ref="J83:K83"/>
    <mergeCell ref="D25:F25"/>
    <mergeCell ref="L83:M83"/>
    <mergeCell ref="H69:I69"/>
    <mergeCell ref="J85:K85"/>
    <mergeCell ref="L85:M85"/>
    <mergeCell ref="D54:F54"/>
    <mergeCell ref="A102:R102"/>
    <mergeCell ref="J22:K22"/>
    <mergeCell ref="L84:M84"/>
    <mergeCell ref="N13:O13"/>
    <mergeCell ref="L22:M22"/>
    <mergeCell ref="D100:F100"/>
    <mergeCell ref="P78:Q78"/>
    <mergeCell ref="D31:F31"/>
    <mergeCell ref="J51:K51"/>
    <mergeCell ref="L80:M80"/>
    <mergeCell ref="P71:Q71"/>
    <mergeCell ref="A103:R103"/>
    <mergeCell ref="D108:F108"/>
    <mergeCell ref="D95:F95"/>
    <mergeCell ref="P55:Q55"/>
    <mergeCell ref="H38:I38"/>
    <mergeCell ref="J38:K38"/>
    <mergeCell ref="D32:F32"/>
    <mergeCell ref="D97:F97"/>
    <mergeCell ref="H40:I40"/>
    <mergeCell ref="F7:G7"/>
    <mergeCell ref="J40:K40"/>
    <mergeCell ref="L33:M33"/>
    <mergeCell ref="L8:M8"/>
    <mergeCell ref="N8:O8"/>
    <mergeCell ref="F8:G8"/>
    <mergeCell ref="D42:F42"/>
    <mergeCell ref="J35:K35"/>
    <mergeCell ref="L35:M35"/>
    <mergeCell ref="H100:I100"/>
    <mergeCell ref="L10:M10"/>
    <mergeCell ref="N10:O10"/>
    <mergeCell ref="D50:F50"/>
    <mergeCell ref="D44:F44"/>
    <mergeCell ref="P66:Q66"/>
    <mergeCell ref="H66:I66"/>
    <mergeCell ref="B9:C9"/>
    <mergeCell ref="J91:K91"/>
    <mergeCell ref="P53:Q53"/>
    <mergeCell ref="J66:K66"/>
    <mergeCell ref="H77:I77"/>
    <mergeCell ref="J106:K106"/>
    <mergeCell ref="P68:Q68"/>
    <mergeCell ref="D45:F45"/>
    <mergeCell ref="L86:M86"/>
    <mergeCell ref="J72:K72"/>
    <mergeCell ref="L101:M101"/>
    <mergeCell ref="D70:F70"/>
    <mergeCell ref="J30:K30"/>
    <mergeCell ref="H59:I59"/>
    <mergeCell ref="P21:Q21"/>
    <mergeCell ref="H46:I46"/>
    <mergeCell ref="P81:Q81"/>
    <mergeCell ref="L23:M23"/>
    <mergeCell ref="H61:I61"/>
    <mergeCell ref="H88:I88"/>
    <mergeCell ref="P23:Q23"/>
    <mergeCell ref="D38:F38"/>
    <mergeCell ref="J104:K104"/>
    <mergeCell ref="D98:F98"/>
    <mergeCell ref="L104:M104"/>
    <mergeCell ref="J54:K54"/>
    <mergeCell ref="L54:M54"/>
    <mergeCell ref="H90:I90"/>
    <mergeCell ref="J41:K41"/>
    <mergeCell ref="L41:M41"/>
    <mergeCell ref="H27:I27"/>
    <mergeCell ref="D63:F63"/>
    <mergeCell ref="J56:K56"/>
    <mergeCell ref="L56:M56"/>
    <mergeCell ref="J105:K105"/>
    <mergeCell ref="L34:M34"/>
    <mergeCell ref="J43:K43"/>
    <mergeCell ref="L105:M105"/>
    <mergeCell ref="L99:M99"/>
    <mergeCell ref="L49:M49"/>
    <mergeCell ref="D52:F52"/>
    <mergeCell ref="L36:M36"/>
    <mergeCell ref="P92:Q92"/>
  </mergeCells>
  <conditionalFormatting sqref="A3">
    <cfRule type="expression" priority="1" dxfId="1" stopIfTrue="1">
      <formula>LEFT($A$3,3)="MÊS"</formula>
    </cfRule>
  </conditionalFormatting>
  <conditionalFormatting sqref="N6:O7">
    <cfRule type="expression" priority="2" dxfId="3" stopIfTrue="1">
      <formula>AND(N6&lt;&gt;"",N6=TODAY())</formula>
    </cfRule>
    <cfRule type="expression" priority="3" dxfId="4">
      <formula>AND(N6&lt;&gt;"",COUNTIFS($C$22:$C$210,N6,$O$22:$O$210,"&lt;&gt;Cancelada")&gt;0)</formula>
    </cfRule>
  </conditionalFormatting>
  <conditionalFormatting sqref="B8:C9">
    <cfRule type="expression" priority="4" dxfId="3" stopIfTrue="1">
      <formula>AND(B8&lt;&gt;"",B8=TODAY())</formula>
    </cfRule>
    <cfRule type="expression" priority="5" dxfId="4">
      <formula>AND(B8&lt;&gt;"",COUNTIFS($C$22:$C$210,B8,$O$22:$O$210,"&lt;&gt;Cancelada")&gt;0)</formula>
    </cfRule>
  </conditionalFormatting>
  <conditionalFormatting sqref="D8:E9">
    <cfRule type="expression" priority="6" dxfId="3" stopIfTrue="1">
      <formula>AND(D8&lt;&gt;"",D8=TODAY())</formula>
    </cfRule>
    <cfRule type="expression" priority="7" dxfId="4">
      <formula>AND(D8&lt;&gt;"",COUNTIFS($C$22:$C$210,D8,$O$22:$O$210,"&lt;&gt;Cancelada")&gt;0)</formula>
    </cfRule>
  </conditionalFormatting>
  <conditionalFormatting sqref="F8:G9">
    <cfRule type="expression" priority="8" dxfId="3" stopIfTrue="1">
      <formula>AND(F8&lt;&gt;"",F8=TODAY())</formula>
    </cfRule>
    <cfRule type="expression" priority="9" dxfId="4">
      <formula>AND(F8&lt;&gt;"",COUNTIFS($C$22:$C$210,F8,$O$22:$O$210,"&lt;&gt;Cancelada")&gt;0)</formula>
    </cfRule>
  </conditionalFormatting>
  <conditionalFormatting sqref="H8:I9">
    <cfRule type="expression" priority="10" dxfId="3" stopIfTrue="1">
      <formula>AND(H8&lt;&gt;"",H8=TODAY())</formula>
    </cfRule>
    <cfRule type="expression" priority="11" dxfId="4">
      <formula>AND(H8&lt;&gt;"",COUNTIFS($C$22:$C$210,H8,$O$22:$O$210,"&lt;&gt;Cancelada")&gt;0)</formula>
    </cfRule>
  </conditionalFormatting>
  <conditionalFormatting sqref="J8:K9">
    <cfRule type="expression" priority="12" dxfId="3" stopIfTrue="1">
      <formula>AND(J8&lt;&gt;"",J8=TODAY())</formula>
    </cfRule>
    <cfRule type="expression" priority="13" dxfId="4">
      <formula>AND(J8&lt;&gt;"",COUNTIFS($C$22:$C$210,J8,$O$22:$O$210,"&lt;&gt;Cancelada")&gt;0)</formula>
    </cfRule>
  </conditionalFormatting>
  <conditionalFormatting sqref="L8:M9">
    <cfRule type="expression" priority="14" dxfId="3" stopIfTrue="1">
      <formula>AND(L8&lt;&gt;"",L8=TODAY())</formula>
    </cfRule>
    <cfRule type="expression" priority="15" dxfId="4">
      <formula>AND(L8&lt;&gt;"",COUNTIFS($C$22:$C$210,L8,$O$22:$O$210,"&lt;&gt;Cancelada")&gt;0)</formula>
    </cfRule>
  </conditionalFormatting>
  <conditionalFormatting sqref="N8:O9">
    <cfRule type="expression" priority="16" dxfId="3" stopIfTrue="1">
      <formula>AND(N8&lt;&gt;"",N8=TODAY())</formula>
    </cfRule>
    <cfRule type="expression" priority="17" dxfId="4">
      <formula>AND(N8&lt;&gt;"",COUNTIFS($C$22:$C$210,N8,$O$22:$O$210,"&lt;&gt;Cancelada")&gt;0)</formula>
    </cfRule>
  </conditionalFormatting>
  <conditionalFormatting sqref="B10:C11">
    <cfRule type="expression" priority="18" dxfId="3" stopIfTrue="1">
      <formula>AND(B10&lt;&gt;"",B10=TODAY())</formula>
    </cfRule>
    <cfRule type="expression" priority="19" dxfId="4">
      <formula>AND(B10&lt;&gt;"",COUNTIFS($C$22:$C$210,B10,$O$22:$O$210,"&lt;&gt;Cancelada")&gt;0)</formula>
    </cfRule>
  </conditionalFormatting>
  <conditionalFormatting sqref="D10:E11">
    <cfRule type="expression" priority="20" dxfId="3" stopIfTrue="1">
      <formula>AND(D10&lt;&gt;"",D10=TODAY())</formula>
    </cfRule>
    <cfRule type="expression" priority="21" dxfId="4">
      <formula>AND(D10&lt;&gt;"",COUNTIFS($C$22:$C$210,D10,$O$22:$O$210,"&lt;&gt;Cancelada")&gt;0)</formula>
    </cfRule>
  </conditionalFormatting>
  <conditionalFormatting sqref="F10:G11">
    <cfRule type="expression" priority="22" dxfId="3" stopIfTrue="1">
      <formula>AND(F10&lt;&gt;"",F10=TODAY())</formula>
    </cfRule>
    <cfRule type="expression" priority="23" dxfId="4">
      <formula>AND(F10&lt;&gt;"",COUNTIFS($C$22:$C$210,F10,$O$22:$O$210,"&lt;&gt;Cancelada")&gt;0)</formula>
    </cfRule>
  </conditionalFormatting>
  <conditionalFormatting sqref="H10:I11">
    <cfRule type="expression" priority="24" dxfId="3" stopIfTrue="1">
      <formula>AND(H10&lt;&gt;"",H10=TODAY())</formula>
    </cfRule>
    <cfRule type="expression" priority="25" dxfId="4">
      <formula>AND(H10&lt;&gt;"",COUNTIFS($C$22:$C$210,H10,$O$22:$O$210,"&lt;&gt;Cancelada")&gt;0)</formula>
    </cfRule>
  </conditionalFormatting>
  <conditionalFormatting sqref="J10:K11">
    <cfRule type="expression" priority="26" dxfId="3" stopIfTrue="1">
      <formula>AND(J10&lt;&gt;"",J10=TODAY())</formula>
    </cfRule>
    <cfRule type="expression" priority="27" dxfId="4">
      <formula>AND(J10&lt;&gt;"",COUNTIFS($C$22:$C$210,J10,$O$22:$O$210,"&lt;&gt;Cancelada")&gt;0)</formula>
    </cfRule>
  </conditionalFormatting>
  <conditionalFormatting sqref="L10:M11">
    <cfRule type="expression" priority="28" dxfId="3" stopIfTrue="1">
      <formula>AND(L10&lt;&gt;"",L10=TODAY())</formula>
    </cfRule>
    <cfRule type="expression" priority="29" dxfId="4">
      <formula>AND(L10&lt;&gt;"",COUNTIFS($C$22:$C$210,L10,$O$22:$O$210,"&lt;&gt;Cancelada")&gt;0)</formula>
    </cfRule>
  </conditionalFormatting>
  <conditionalFormatting sqref="N10:O11">
    <cfRule type="expression" priority="30" dxfId="3" stopIfTrue="1">
      <formula>AND(N10&lt;&gt;"",N10=TODAY())</formula>
    </cfRule>
    <cfRule type="expression" priority="31" dxfId="4">
      <formula>AND(N10&lt;&gt;"",COUNTIFS($C$22:$C$210,N10,$O$22:$O$210,"&lt;&gt;Cancelada")&gt;0)</formula>
    </cfRule>
  </conditionalFormatting>
  <conditionalFormatting sqref="B12:C13">
    <cfRule type="expression" priority="32" dxfId="3" stopIfTrue="1">
      <formula>AND(B12&lt;&gt;"",B12=TODAY())</formula>
    </cfRule>
    <cfRule type="expression" priority="33" dxfId="4">
      <formula>AND(B12&lt;&gt;"",COUNTIFS($C$22:$C$210,B12,$O$22:$O$210,"&lt;&gt;Cancelada")&gt;0)</formula>
    </cfRule>
  </conditionalFormatting>
  <conditionalFormatting sqref="D12:E13">
    <cfRule type="expression" priority="34" dxfId="3" stopIfTrue="1">
      <formula>AND(D12&lt;&gt;"",D12=TODAY())</formula>
    </cfRule>
    <cfRule type="expression" priority="35" dxfId="4">
      <formula>AND(D12&lt;&gt;"",COUNTIFS($C$22:$C$210,D12,$O$22:$O$210,"&lt;&gt;Cancelada")&gt;0)</formula>
    </cfRule>
  </conditionalFormatting>
  <conditionalFormatting sqref="F12:G13">
    <cfRule type="expression" priority="36" dxfId="3" stopIfTrue="1">
      <formula>AND(F12&lt;&gt;"",F12=TODAY())</formula>
    </cfRule>
    <cfRule type="expression" priority="37" dxfId="4">
      <formula>AND(F12&lt;&gt;"",COUNTIFS($C$22:$C$210,F12,$O$22:$O$210,"&lt;&gt;Cancelada")&gt;0)</formula>
    </cfRule>
  </conditionalFormatting>
  <conditionalFormatting sqref="H12:I13">
    <cfRule type="expression" priority="38" dxfId="3" stopIfTrue="1">
      <formula>AND(H12&lt;&gt;"",H12=TODAY())</formula>
    </cfRule>
    <cfRule type="expression" priority="39" dxfId="4">
      <formula>AND(H12&lt;&gt;"",COUNTIFS($C$22:$C$210,H12,$O$22:$O$210,"&lt;&gt;Cancelada")&gt;0)</formula>
    </cfRule>
  </conditionalFormatting>
  <conditionalFormatting sqref="J12:K13">
    <cfRule type="expression" priority="40" dxfId="3" stopIfTrue="1">
      <formula>AND(J12&lt;&gt;"",J12=TODAY())</formula>
    </cfRule>
    <cfRule type="expression" priority="41" dxfId="4">
      <formula>AND(J12&lt;&gt;"",COUNTIFS($C$22:$C$210,J12,$O$22:$O$210,"&lt;&gt;Cancelada")&gt;0)</formula>
    </cfRule>
  </conditionalFormatting>
  <conditionalFormatting sqref="L12:M13">
    <cfRule type="expression" priority="42" dxfId="3" stopIfTrue="1">
      <formula>AND(L12&lt;&gt;"",L12=TODAY())</formula>
    </cfRule>
    <cfRule type="expression" priority="43" dxfId="4">
      <formula>AND(L12&lt;&gt;"",COUNTIFS($C$22:$C$210,L12,$O$22:$O$210,"&lt;&gt;Cancelada")&gt;0)</formula>
    </cfRule>
  </conditionalFormatting>
  <conditionalFormatting sqref="N12:O13">
    <cfRule type="expression" priority="44" dxfId="3" stopIfTrue="1">
      <formula>AND(N12&lt;&gt;"",N12=TODAY())</formula>
    </cfRule>
    <cfRule type="expression" priority="45" dxfId="4">
      <formula>AND(N12&lt;&gt;"",COUNTIFS($C$22:$C$210,N12,$O$22:$O$210,"&lt;&gt;Cancelada")&gt;0)</formula>
    </cfRule>
  </conditionalFormatting>
  <conditionalFormatting sqref="B14:C15">
    <cfRule type="expression" priority="46" dxfId="3" stopIfTrue="1">
      <formula>AND(B14&lt;&gt;"",B14=TODAY())</formula>
    </cfRule>
    <cfRule type="expression" priority="47" dxfId="4">
      <formula>AND(B14&lt;&gt;"",COUNTIFS($C$22:$C$210,B14,$O$22:$O$210,"&lt;&gt;Cancelada")&gt;0)</formula>
    </cfRule>
  </conditionalFormatting>
  <conditionalFormatting sqref="D14:E15">
    <cfRule type="expression" priority="48" dxfId="3" stopIfTrue="1">
      <formula>AND(D14&lt;&gt;"",D14=TODAY())</formula>
    </cfRule>
    <cfRule type="expression" priority="49" dxfId="4">
      <formula>AND(D14&lt;&gt;"",COUNTIFS($C$22:$C$210,D14,$O$22:$O$210,"&lt;&gt;Cancelada")&gt;0)</formula>
    </cfRule>
  </conditionalFormatting>
  <conditionalFormatting sqref="F14:G15">
    <cfRule type="expression" priority="50" dxfId="3" stopIfTrue="1">
      <formula>AND(F14&lt;&gt;"",F14=TODAY())</formula>
    </cfRule>
    <cfRule type="expression" priority="51" dxfId="4">
      <formula>AND(F14&lt;&gt;"",COUNTIFS($C$22:$C$210,F14,$O$22:$O$210,"&lt;&gt;Cancelada")&gt;0)</formula>
    </cfRule>
  </conditionalFormatting>
  <conditionalFormatting sqref="H14:I15">
    <cfRule type="expression" priority="52" dxfId="3" stopIfTrue="1">
      <formula>AND(H14&lt;&gt;"",H14=TODAY())</formula>
    </cfRule>
    <cfRule type="expression" priority="53" dxfId="4">
      <formula>AND(H14&lt;&gt;"",COUNTIFS($C$22:$C$210,H14,$O$22:$O$210,"&lt;&gt;Cancelada")&gt;0)</formula>
    </cfRule>
  </conditionalFormatting>
  <conditionalFormatting sqref="J14:K15">
    <cfRule type="expression" priority="54" dxfId="3" stopIfTrue="1">
      <formula>AND(J14&lt;&gt;"",J14=TODAY())</formula>
    </cfRule>
    <cfRule type="expression" priority="55" dxfId="4">
      <formula>AND(J14&lt;&gt;"",COUNTIFS($C$22:$C$210,J14,$O$22:$O$210,"&lt;&gt;Cancelada")&gt;0)</formula>
    </cfRule>
  </conditionalFormatting>
  <conditionalFormatting sqref="L14:M15">
    <cfRule type="expression" priority="56" dxfId="3" stopIfTrue="1">
      <formula>AND(L14&lt;&gt;"",L14=TODAY())</formula>
    </cfRule>
    <cfRule type="expression" priority="57" dxfId="4">
      <formula>AND(L14&lt;&gt;"",COUNTIFS($C$22:$C$210,L14,$O$22:$O$210,"&lt;&gt;Cancelada")&gt;0)</formula>
    </cfRule>
  </conditionalFormatting>
  <conditionalFormatting sqref="N14:O15">
    <cfRule type="expression" priority="58" dxfId="3" stopIfTrue="1">
      <formula>AND(N14&lt;&gt;"",N14=TODAY())</formula>
    </cfRule>
    <cfRule type="expression" priority="59" dxfId="4">
      <formula>AND(N14&lt;&gt;"",COUNTIFS($C$22:$C$210,N14,$O$22:$O$210,"&lt;&gt;Cancelada")&gt;0)</formula>
    </cfRule>
  </conditionalFormatting>
  <conditionalFormatting sqref="B16:C17">
    <cfRule type="expression" priority="60" dxfId="3" stopIfTrue="1">
      <formula>AND(B16&lt;&gt;"",B16=TODAY())</formula>
    </cfRule>
    <cfRule type="expression" priority="61" dxfId="4">
      <formula>AND(B16&lt;&gt;"",COUNTIFS($C$22:$C$210,B16,$O$22:$O$210,"&lt;&gt;Cancelada")&gt;0)</formula>
    </cfRule>
  </conditionalFormatting>
  <conditionalFormatting sqref="D16:E17">
    <cfRule type="expression" priority="62" dxfId="3" stopIfTrue="1">
      <formula>AND(D16&lt;&gt;"",D16=TODAY())</formula>
    </cfRule>
    <cfRule type="expression" priority="63" dxfId="4">
      <formula>AND(D16&lt;&gt;"",COUNTIFS($C$22:$C$210,D16,$O$22:$O$210,"&lt;&gt;Cancelada")&gt;0)</formula>
    </cfRule>
  </conditionalFormatting>
  <conditionalFormatting sqref="R22:R109">
    <cfRule type="expression" priority="64" dxfId="5">
      <formula>$R22="Aprovada"</formula>
    </cfRule>
    <cfRule type="expression" priority="65" dxfId="6">
      <formula>$R22="Atrasada"</formula>
    </cfRule>
    <cfRule type="expression" priority="66" dxfId="7">
      <formula>$R22="Reprovada"</formula>
    </cfRule>
    <cfRule type="expression" priority="67" dxfId="8">
      <formula>$R22="Entregue"</formula>
    </cfRule>
    <cfRule type="expression" priority="68" dxfId="9">
      <formula>$R22="Pendente"</formula>
    </cfRule>
    <cfRule type="expression" priority="69" dxfId="10">
      <formula>$R22="Cancelada"</formula>
    </cfRule>
    <cfRule type="expression" priority="70" dxfId="11">
      <formula>$R22="Não agendado"</formula>
    </cfRule>
  </conditionalFormatting>
  <dataValidations count="3">
    <dataValidation sqref="O22:O109" showDropDown="0" showInputMessage="0" showErrorMessage="0" allowBlank="1" type="list">
      <formula1>"Aprovado,Reprovado,Cancelada"</formula1>
    </dataValidation>
    <dataValidation sqref="J22:J101" showDropDown="0" showInputMessage="0" showErrorMessage="0" allowBlank="1" type="list">
      <formula1>=Setores</formula1>
    </dataValidation>
    <dataValidation sqref="G104:G109" showDropDown="0" showInputMessage="0" showErrorMessage="0" allowBlank="1" type="list">
      <formula1>"A,B,C,Todos"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C36AE"/>
    <outlinePr summaryBelow="1" summaryRight="1"/>
    <pageSetUpPr/>
  </sheetPr>
  <dimension ref="A1:U111"/>
  <sheetViews>
    <sheetView showGridLines="0" workbookViewId="0">
      <selection activeCell="A1" sqref="A1"/>
    </sheetView>
  </sheetViews>
  <sheetFormatPr baseColWidth="8" defaultRowHeight="15"/>
  <cols>
    <col hidden="1"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3" customWidth="1" min="18" max="18"/>
    <col hidden="1" width="4" customWidth="1" min="19" max="19"/>
    <col hidden="1" width="4" customWidth="1" min="20" max="20"/>
    <col hidden="1" width="4" customWidth="1" min="21" max="21"/>
  </cols>
  <sheetData>
    <row r="1" ht="30" customHeight="1">
      <c r="A1" s="16" t="inlineStr">
        <is>
          <t>09 · SETEMBRO 2026</t>
        </is>
      </c>
      <c r="O1" s="50" t="inlineStr">
        <is>
          <t>GSL BARTOFIL</t>
        </is>
      </c>
    </row>
    <row r="2" ht="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>
      <c r="A3" s="51">
        <f>IF((COUNTIF($R$22:$R$210,"Aprovada")+COUNTIF($R$22:$R$210,"Entregue")+COUNTIF($R$22:$R$210,"Pendente")+COUNTIF($R$22:$R$210,"Atrasada")+COUNTIF($R$22:$R$210,"Reprovada"))=0,"",IF(COUNTIF($R$22:$R$210,"Aprovada")=(COUNTIF($R$22:$R$210,"Aprovada")+COUNTIF($R$22:$R$210,"Entregue")+COUNTIF($R$22:$R$210,"Pendente")+COUNTIF($R$22:$R$210,"Atrasada")+COUNTIF($R$22:$R$210,"Reprovada")),"MÊS CONCLUÍDO — todas as atividades aprovadas","EM ANDAMENTO — "&amp;COUNTIF($R$22:$R$210,"Aprovada")&amp;" de "&amp;(COUNTIF($R$22:$R$210,"Aprovada")+COUNTIF($R$22:$R$210,"Entregue")+COUNTIF($R$22:$R$210,"Pendente")+COUNTIF($R$22:$R$210,"Atrasada")+COUNTIF($R$22:$R$210,"Reprovada"))&amp;" atividades aprovadas"))</f>
        <v/>
      </c>
    </row>
    <row r="5">
      <c r="B5" s="52" t="inlineStr">
        <is>
          <t>DOM</t>
        </is>
      </c>
      <c r="C5" s="53" t="n"/>
      <c r="D5" s="52" t="inlineStr">
        <is>
          <t>SEG</t>
        </is>
      </c>
      <c r="E5" s="53" t="n"/>
      <c r="F5" s="52" t="inlineStr">
        <is>
          <t>TER</t>
        </is>
      </c>
      <c r="G5" s="53" t="n"/>
      <c r="H5" s="52" t="inlineStr">
        <is>
          <t>QUA</t>
        </is>
      </c>
      <c r="I5" s="53" t="n"/>
      <c r="J5" s="52" t="inlineStr">
        <is>
          <t>QUI</t>
        </is>
      </c>
      <c r="K5" s="53" t="n"/>
      <c r="L5" s="54" t="inlineStr">
        <is>
          <t>SEX</t>
        </is>
      </c>
      <c r="M5" s="53" t="n"/>
      <c r="N5" s="52" t="inlineStr">
        <is>
          <t>SÁB</t>
        </is>
      </c>
      <c r="O5" s="53" t="n"/>
    </row>
    <row r="6" ht="20" customHeight="1">
      <c r="B6" s="55" t="n"/>
      <c r="C6" s="56" t="n"/>
      <c r="D6" s="55" t="n"/>
      <c r="E6" s="56" t="n"/>
      <c r="F6" s="57" t="n">
        <v>46266</v>
      </c>
      <c r="G6" s="58" t="n"/>
      <c r="H6" s="57" t="n">
        <v>46267</v>
      </c>
      <c r="I6" s="58" t="n"/>
      <c r="J6" s="57" t="n">
        <v>46268</v>
      </c>
      <c r="K6" s="58" t="n"/>
      <c r="L6" s="57" t="n">
        <v>46269</v>
      </c>
      <c r="M6" s="58" t="n"/>
      <c r="N6" s="57" t="n">
        <v>46270</v>
      </c>
      <c r="O6" s="58" t="n"/>
    </row>
    <row r="7" ht="26" customHeight="1">
      <c r="B7" s="59" t="n"/>
      <c r="C7" s="60" t="n"/>
      <c r="D7" s="59" t="n"/>
      <c r="E7" s="60" t="n"/>
      <c r="F7" s="61">
        <f>IF(F6="","",TRIM(IF(COUNTIFS($C$22:$C$210,F6,$D$22:$D$210,"*Erros*",$O$22:$O$210,"&lt;&gt;Cancelada")&gt;0,"Erros ","")&amp;IF(COUNTIFS($C$22:$C$210,F6,$D$22:$D$210,"*Suporte*",$O$22:$O$210,"&lt;&gt;Cancelada")&gt;0,"Suporte ","")&amp;IF(COUNTIFS($C$22:$C$210,F6,$D$22:$D$210,"*Vistoria*",$O$22:$O$210,"&lt;&gt;Cancelada")&gt;0,"Vistoria ","")&amp;IF(COUNTIFS($C$22:$C$210,F6,$D$22:$D$210,"*Metas*",$O$22:$O$210,"&lt;&gt;Cancelada")&gt;0,"Metas ","")&amp;IF(COUNTIFS($C$22:$C$210,F6,$D$22:$D$210,"*Faltas*",$O$22:$O$210,"&lt;&gt;Cancelada")&gt;0,"Faltas ","")&amp;IF(COUNTIFS($C$22:$C$210,F6,$D$22:$D$210,"*Semanal c/*",$O$22:$O$210,"&lt;&gt;Cancelada")&gt;0,"Acomp. ","")&amp;IF(COUNTIFS($C$22:$C$210,F6,$D$22:$D$210,"*Reunião*",$O$22:$O$210,"&lt;&gt;Cancelada")&gt;0,"Reunião ","")&amp;IF(COUNTIFS($C$22:$C$210,F6,$D$22:$D$210,"*Férias*",$O$22:$O$210,"&lt;&gt;Cancelada")&gt;0,"Férias ","")&amp;IF(COUNTIFS($C$22:$C$210,F6,$D$22:$D$210,"*Mudança*",$O$22:$O$210,"&lt;&gt;Cancelada")&gt;0,"M.Função ","")&amp;IF(COUNTIFS($C$22:$C$210,F6,$D$22:$D$210,"*Treinamento*",$O$22:$O$210,"&lt;&gt;Cancelada")&gt;0,"Trein. ","")))</f>
        <v/>
      </c>
      <c r="G7" s="62" t="n"/>
      <c r="H7" s="61">
        <f>IF(H6="","",TRIM(IF(COUNTIFS($C$22:$C$210,H6,$D$22:$D$210,"*Erros*",$O$22:$O$210,"&lt;&gt;Cancelada")&gt;0,"Erros ","")&amp;IF(COUNTIFS($C$22:$C$210,H6,$D$22:$D$210,"*Suporte*",$O$22:$O$210,"&lt;&gt;Cancelada")&gt;0,"Suporte ","")&amp;IF(COUNTIFS($C$22:$C$210,H6,$D$22:$D$210,"*Vistoria*",$O$22:$O$210,"&lt;&gt;Cancelada")&gt;0,"Vistoria ","")&amp;IF(COUNTIFS($C$22:$C$210,H6,$D$22:$D$210,"*Metas*",$O$22:$O$210,"&lt;&gt;Cancelada")&gt;0,"Metas ","")&amp;IF(COUNTIFS($C$22:$C$210,H6,$D$22:$D$210,"*Faltas*",$O$22:$O$210,"&lt;&gt;Cancelada")&gt;0,"Faltas ","")&amp;IF(COUNTIFS($C$22:$C$210,H6,$D$22:$D$210,"*Semanal c/*",$O$22:$O$210,"&lt;&gt;Cancelada")&gt;0,"Acomp. ","")&amp;IF(COUNTIFS($C$22:$C$210,H6,$D$22:$D$210,"*Reunião*",$O$22:$O$210,"&lt;&gt;Cancelada")&gt;0,"Reunião ","")&amp;IF(COUNTIFS($C$22:$C$210,H6,$D$22:$D$210,"*Férias*",$O$22:$O$210,"&lt;&gt;Cancelada")&gt;0,"Férias ","")&amp;IF(COUNTIFS($C$22:$C$210,H6,$D$22:$D$210,"*Mudança*",$O$22:$O$210,"&lt;&gt;Cancelada")&gt;0,"M.Função ","")&amp;IF(COUNTIFS($C$22:$C$210,H6,$D$22:$D$210,"*Treinamento*",$O$22:$O$210,"&lt;&gt;Cancelada")&gt;0,"Trein. ","")))</f>
        <v/>
      </c>
      <c r="I7" s="62" t="n"/>
      <c r="J7" s="61">
        <f>IF(J6="","",TRIM(IF(COUNTIFS($C$22:$C$210,J6,$D$22:$D$210,"*Erros*",$O$22:$O$210,"&lt;&gt;Cancelada")&gt;0,"Erros ","")&amp;IF(COUNTIFS($C$22:$C$210,J6,$D$22:$D$210,"*Suporte*",$O$22:$O$210,"&lt;&gt;Cancelada")&gt;0,"Suporte ","")&amp;IF(COUNTIFS($C$22:$C$210,J6,$D$22:$D$210,"*Vistoria*",$O$22:$O$210,"&lt;&gt;Cancelada")&gt;0,"Vistoria ","")&amp;IF(COUNTIFS($C$22:$C$210,J6,$D$22:$D$210,"*Metas*",$O$22:$O$210,"&lt;&gt;Cancelada")&gt;0,"Metas ","")&amp;IF(COUNTIFS($C$22:$C$210,J6,$D$22:$D$210,"*Faltas*",$O$22:$O$210,"&lt;&gt;Cancelada")&gt;0,"Faltas ","")&amp;IF(COUNTIFS($C$22:$C$210,J6,$D$22:$D$210,"*Semanal c/*",$O$22:$O$210,"&lt;&gt;Cancelada")&gt;0,"Acomp. ","")&amp;IF(COUNTIFS($C$22:$C$210,J6,$D$22:$D$210,"*Reunião*",$O$22:$O$210,"&lt;&gt;Cancelada")&gt;0,"Reunião ","")&amp;IF(COUNTIFS($C$22:$C$210,J6,$D$22:$D$210,"*Férias*",$O$22:$O$210,"&lt;&gt;Cancelada")&gt;0,"Férias ","")&amp;IF(COUNTIFS($C$22:$C$210,J6,$D$22:$D$210,"*Mudança*",$O$22:$O$210,"&lt;&gt;Cancelada")&gt;0,"M.Função ","")&amp;IF(COUNTIFS($C$22:$C$210,J6,$D$22:$D$210,"*Treinamento*",$O$22:$O$210,"&lt;&gt;Cancelada")&gt;0,"Trein. ","")))</f>
        <v/>
      </c>
      <c r="K7" s="62" t="n"/>
      <c r="L7" s="61">
        <f>IF(L6="","",TRIM(IF(COUNTIFS($C$22:$C$210,L6,$D$22:$D$210,"*Erros*",$O$22:$O$210,"&lt;&gt;Cancelada")&gt;0,"Erros ","")&amp;IF(COUNTIFS($C$22:$C$210,L6,$D$22:$D$210,"*Suporte*",$O$22:$O$210,"&lt;&gt;Cancelada")&gt;0,"Suporte ","")&amp;IF(COUNTIFS($C$22:$C$210,L6,$D$22:$D$210,"*Vistoria*",$O$22:$O$210,"&lt;&gt;Cancelada")&gt;0,"Vistoria ","")&amp;IF(COUNTIFS($C$22:$C$210,L6,$D$22:$D$210,"*Metas*",$O$22:$O$210,"&lt;&gt;Cancelada")&gt;0,"Metas ","")&amp;IF(COUNTIFS($C$22:$C$210,L6,$D$22:$D$210,"*Faltas*",$O$22:$O$210,"&lt;&gt;Cancelada")&gt;0,"Faltas ","")&amp;IF(COUNTIFS($C$22:$C$210,L6,$D$22:$D$210,"*Semanal c/*",$O$22:$O$210,"&lt;&gt;Cancelada")&gt;0,"Acomp. ","")&amp;IF(COUNTIFS($C$22:$C$210,L6,$D$22:$D$210,"*Reunião*",$O$22:$O$210,"&lt;&gt;Cancelada")&gt;0,"Reunião ","")&amp;IF(COUNTIFS($C$22:$C$210,L6,$D$22:$D$210,"*Férias*",$O$22:$O$210,"&lt;&gt;Cancelada")&gt;0,"Férias ","")&amp;IF(COUNTIFS($C$22:$C$210,L6,$D$22:$D$210,"*Mudança*",$O$22:$O$210,"&lt;&gt;Cancelada")&gt;0,"M.Função ","")&amp;IF(COUNTIFS($C$22:$C$210,L6,$D$22:$D$210,"*Treinamento*",$O$22:$O$210,"&lt;&gt;Cancelada")&gt;0,"Trein. ","")))</f>
        <v/>
      </c>
      <c r="M7" s="62" t="n"/>
      <c r="N7" s="61">
        <f>IF(N6="","",TRIM(IF(COUNTIFS($C$22:$C$210,N6,$D$22:$D$210,"*Erros*",$O$22:$O$210,"&lt;&gt;Cancelada")&gt;0,"Erros ","")&amp;IF(COUNTIFS($C$22:$C$210,N6,$D$22:$D$210,"*Suporte*",$O$22:$O$210,"&lt;&gt;Cancelada")&gt;0,"Suporte ","")&amp;IF(COUNTIFS($C$22:$C$210,N6,$D$22:$D$210,"*Vistoria*",$O$22:$O$210,"&lt;&gt;Cancelada")&gt;0,"Vistoria ","")&amp;IF(COUNTIFS($C$22:$C$210,N6,$D$22:$D$210,"*Metas*",$O$22:$O$210,"&lt;&gt;Cancelada")&gt;0,"Metas ","")&amp;IF(COUNTIFS($C$22:$C$210,N6,$D$22:$D$210,"*Faltas*",$O$22:$O$210,"&lt;&gt;Cancelada")&gt;0,"Faltas ","")&amp;IF(COUNTIFS($C$22:$C$210,N6,$D$22:$D$210,"*Semanal c/*",$O$22:$O$210,"&lt;&gt;Cancelada")&gt;0,"Acomp. ","")&amp;IF(COUNTIFS($C$22:$C$210,N6,$D$22:$D$210,"*Reunião*",$O$22:$O$210,"&lt;&gt;Cancelada")&gt;0,"Reunião ","")&amp;IF(COUNTIFS($C$22:$C$210,N6,$D$22:$D$210,"*Férias*",$O$22:$O$210,"&lt;&gt;Cancelada")&gt;0,"Férias ","")&amp;IF(COUNTIFS($C$22:$C$210,N6,$D$22:$D$210,"*Mudança*",$O$22:$O$210,"&lt;&gt;Cancelada")&gt;0,"M.Função ","")&amp;IF(COUNTIFS($C$22:$C$210,N6,$D$22:$D$210,"*Treinamento*",$O$22:$O$210,"&lt;&gt;Cancelada")&gt;0,"Trein. ","")))</f>
        <v/>
      </c>
      <c r="O7" s="62" t="n"/>
    </row>
    <row r="8" ht="20" customHeight="1">
      <c r="B8" s="57" t="n">
        <v>46271</v>
      </c>
      <c r="C8" s="58" t="n"/>
      <c r="D8" s="57" t="n">
        <v>46272</v>
      </c>
      <c r="E8" s="58" t="n"/>
      <c r="F8" s="57" t="n">
        <v>46273</v>
      </c>
      <c r="G8" s="58" t="n"/>
      <c r="H8" s="57" t="n">
        <v>46274</v>
      </c>
      <c r="I8" s="58" t="n"/>
      <c r="J8" s="57" t="n">
        <v>46275</v>
      </c>
      <c r="K8" s="58" t="n"/>
      <c r="L8" s="57" t="n">
        <v>46276</v>
      </c>
      <c r="M8" s="58" t="n"/>
      <c r="N8" s="57" t="n">
        <v>46277</v>
      </c>
      <c r="O8" s="58" t="n"/>
    </row>
    <row r="9" ht="26" customHeight="1">
      <c r="B9" s="61">
        <f>IF(B8="","",TRIM(IF(COUNTIFS($C$22:$C$210,B8,$D$22:$D$210,"*Erros*",$O$22:$O$210,"&lt;&gt;Cancelada")&gt;0,"Erros ","")&amp;IF(COUNTIFS($C$22:$C$210,B8,$D$22:$D$210,"*Suporte*",$O$22:$O$210,"&lt;&gt;Cancelada")&gt;0,"Suporte ","")&amp;IF(COUNTIFS($C$22:$C$210,B8,$D$22:$D$210,"*Vistoria*",$O$22:$O$210,"&lt;&gt;Cancelada")&gt;0,"Vistoria ","")&amp;IF(COUNTIFS($C$22:$C$210,B8,$D$22:$D$210,"*Metas*",$O$22:$O$210,"&lt;&gt;Cancelada")&gt;0,"Metas ","")&amp;IF(COUNTIFS($C$22:$C$210,B8,$D$22:$D$210,"*Faltas*",$O$22:$O$210,"&lt;&gt;Cancelada")&gt;0,"Faltas ","")&amp;IF(COUNTIFS($C$22:$C$210,B8,$D$22:$D$210,"*Semanal c/*",$O$22:$O$210,"&lt;&gt;Cancelada")&gt;0,"Acomp. ","")&amp;IF(COUNTIFS($C$22:$C$210,B8,$D$22:$D$210,"*Reunião*",$O$22:$O$210,"&lt;&gt;Cancelada")&gt;0,"Reunião ","")&amp;IF(COUNTIFS($C$22:$C$210,B8,$D$22:$D$210,"*Férias*",$O$22:$O$210,"&lt;&gt;Cancelada")&gt;0,"Férias ","")&amp;IF(COUNTIFS($C$22:$C$210,B8,$D$22:$D$210,"*Mudança*",$O$22:$O$210,"&lt;&gt;Cancelada")&gt;0,"M.Função ","")&amp;IF(COUNTIFS($C$22:$C$210,B8,$D$22:$D$210,"*Treinamento*",$O$22:$O$210,"&lt;&gt;Cancelada")&gt;0,"Trein. ","")))</f>
        <v/>
      </c>
      <c r="C9" s="62" t="n"/>
      <c r="D9" s="61">
        <f>IF(D8="","",TRIM(IF(COUNTIFS($C$22:$C$210,D8,$D$22:$D$210,"*Erros*",$O$22:$O$210,"&lt;&gt;Cancelada")&gt;0,"Erros ","")&amp;IF(COUNTIFS($C$22:$C$210,D8,$D$22:$D$210,"*Suporte*",$O$22:$O$210,"&lt;&gt;Cancelada")&gt;0,"Suporte ","")&amp;IF(COUNTIFS($C$22:$C$210,D8,$D$22:$D$210,"*Vistoria*",$O$22:$O$210,"&lt;&gt;Cancelada")&gt;0,"Vistoria ","")&amp;IF(COUNTIFS($C$22:$C$210,D8,$D$22:$D$210,"*Metas*",$O$22:$O$210,"&lt;&gt;Cancelada")&gt;0,"Metas ","")&amp;IF(COUNTIFS($C$22:$C$210,D8,$D$22:$D$210,"*Faltas*",$O$22:$O$210,"&lt;&gt;Cancelada")&gt;0,"Faltas ","")&amp;IF(COUNTIFS($C$22:$C$210,D8,$D$22:$D$210,"*Semanal c/*",$O$22:$O$210,"&lt;&gt;Cancelada")&gt;0,"Acomp. ","")&amp;IF(COUNTIFS($C$22:$C$210,D8,$D$22:$D$210,"*Reunião*",$O$22:$O$210,"&lt;&gt;Cancelada")&gt;0,"Reunião ","")&amp;IF(COUNTIFS($C$22:$C$210,D8,$D$22:$D$210,"*Férias*",$O$22:$O$210,"&lt;&gt;Cancelada")&gt;0,"Férias ","")&amp;IF(COUNTIFS($C$22:$C$210,D8,$D$22:$D$210,"*Mudança*",$O$22:$O$210,"&lt;&gt;Cancelada")&gt;0,"M.Função ","")&amp;IF(COUNTIFS($C$22:$C$210,D8,$D$22:$D$210,"*Treinamento*",$O$22:$O$210,"&lt;&gt;Cancelada")&gt;0,"Trein. ","")))</f>
        <v/>
      </c>
      <c r="E9" s="62" t="n"/>
      <c r="F9" s="61">
        <f>IF(F8="","",TRIM(IF(COUNTIFS($C$22:$C$210,F8,$D$22:$D$210,"*Erros*",$O$22:$O$210,"&lt;&gt;Cancelada")&gt;0,"Erros ","")&amp;IF(COUNTIFS($C$22:$C$210,F8,$D$22:$D$210,"*Suporte*",$O$22:$O$210,"&lt;&gt;Cancelada")&gt;0,"Suporte ","")&amp;IF(COUNTIFS($C$22:$C$210,F8,$D$22:$D$210,"*Vistoria*",$O$22:$O$210,"&lt;&gt;Cancelada")&gt;0,"Vistoria ","")&amp;IF(COUNTIFS($C$22:$C$210,F8,$D$22:$D$210,"*Metas*",$O$22:$O$210,"&lt;&gt;Cancelada")&gt;0,"Metas ","")&amp;IF(COUNTIFS($C$22:$C$210,F8,$D$22:$D$210,"*Faltas*",$O$22:$O$210,"&lt;&gt;Cancelada")&gt;0,"Faltas ","")&amp;IF(COUNTIFS($C$22:$C$210,F8,$D$22:$D$210,"*Semanal c/*",$O$22:$O$210,"&lt;&gt;Cancelada")&gt;0,"Acomp. ","")&amp;IF(COUNTIFS($C$22:$C$210,F8,$D$22:$D$210,"*Reunião*",$O$22:$O$210,"&lt;&gt;Cancelada")&gt;0,"Reunião ","")&amp;IF(COUNTIFS($C$22:$C$210,F8,$D$22:$D$210,"*Férias*",$O$22:$O$210,"&lt;&gt;Cancelada")&gt;0,"Férias ","")&amp;IF(COUNTIFS($C$22:$C$210,F8,$D$22:$D$210,"*Mudança*",$O$22:$O$210,"&lt;&gt;Cancelada")&gt;0,"M.Função ","")&amp;IF(COUNTIFS($C$22:$C$210,F8,$D$22:$D$210,"*Treinamento*",$O$22:$O$210,"&lt;&gt;Cancelada")&gt;0,"Trein. ","")))</f>
        <v/>
      </c>
      <c r="G9" s="62" t="n"/>
      <c r="H9" s="61">
        <f>IF(H8="","",TRIM(IF(COUNTIFS($C$22:$C$210,H8,$D$22:$D$210,"*Erros*",$O$22:$O$210,"&lt;&gt;Cancelada")&gt;0,"Erros ","")&amp;IF(COUNTIFS($C$22:$C$210,H8,$D$22:$D$210,"*Suporte*",$O$22:$O$210,"&lt;&gt;Cancelada")&gt;0,"Suporte ","")&amp;IF(COUNTIFS($C$22:$C$210,H8,$D$22:$D$210,"*Vistoria*",$O$22:$O$210,"&lt;&gt;Cancelada")&gt;0,"Vistoria ","")&amp;IF(COUNTIFS($C$22:$C$210,H8,$D$22:$D$210,"*Metas*",$O$22:$O$210,"&lt;&gt;Cancelada")&gt;0,"Metas ","")&amp;IF(COUNTIFS($C$22:$C$210,H8,$D$22:$D$210,"*Faltas*",$O$22:$O$210,"&lt;&gt;Cancelada")&gt;0,"Faltas ","")&amp;IF(COUNTIFS($C$22:$C$210,H8,$D$22:$D$210,"*Semanal c/*",$O$22:$O$210,"&lt;&gt;Cancelada")&gt;0,"Acomp. ","")&amp;IF(COUNTIFS($C$22:$C$210,H8,$D$22:$D$210,"*Reunião*",$O$22:$O$210,"&lt;&gt;Cancelada")&gt;0,"Reunião ","")&amp;IF(COUNTIFS($C$22:$C$210,H8,$D$22:$D$210,"*Férias*",$O$22:$O$210,"&lt;&gt;Cancelada")&gt;0,"Férias ","")&amp;IF(COUNTIFS($C$22:$C$210,H8,$D$22:$D$210,"*Mudança*",$O$22:$O$210,"&lt;&gt;Cancelada")&gt;0,"M.Função ","")&amp;IF(COUNTIFS($C$22:$C$210,H8,$D$22:$D$210,"*Treinamento*",$O$22:$O$210,"&lt;&gt;Cancelada")&gt;0,"Trein. ","")))</f>
        <v/>
      </c>
      <c r="I9" s="62" t="n"/>
      <c r="J9" s="61">
        <f>IF(J8="","",TRIM(IF(COUNTIFS($C$22:$C$210,J8,$D$22:$D$210,"*Erros*",$O$22:$O$210,"&lt;&gt;Cancelada")&gt;0,"Erros ","")&amp;IF(COUNTIFS($C$22:$C$210,J8,$D$22:$D$210,"*Suporte*",$O$22:$O$210,"&lt;&gt;Cancelada")&gt;0,"Suporte ","")&amp;IF(COUNTIFS($C$22:$C$210,J8,$D$22:$D$210,"*Vistoria*",$O$22:$O$210,"&lt;&gt;Cancelada")&gt;0,"Vistoria ","")&amp;IF(COUNTIFS($C$22:$C$210,J8,$D$22:$D$210,"*Metas*",$O$22:$O$210,"&lt;&gt;Cancelada")&gt;0,"Metas ","")&amp;IF(COUNTIFS($C$22:$C$210,J8,$D$22:$D$210,"*Faltas*",$O$22:$O$210,"&lt;&gt;Cancelada")&gt;0,"Faltas ","")&amp;IF(COUNTIFS($C$22:$C$210,J8,$D$22:$D$210,"*Semanal c/*",$O$22:$O$210,"&lt;&gt;Cancelada")&gt;0,"Acomp. ","")&amp;IF(COUNTIFS($C$22:$C$210,J8,$D$22:$D$210,"*Reunião*",$O$22:$O$210,"&lt;&gt;Cancelada")&gt;0,"Reunião ","")&amp;IF(COUNTIFS($C$22:$C$210,J8,$D$22:$D$210,"*Férias*",$O$22:$O$210,"&lt;&gt;Cancelada")&gt;0,"Férias ","")&amp;IF(COUNTIFS($C$22:$C$210,J8,$D$22:$D$210,"*Mudança*",$O$22:$O$210,"&lt;&gt;Cancelada")&gt;0,"M.Função ","")&amp;IF(COUNTIFS($C$22:$C$210,J8,$D$22:$D$210,"*Treinamento*",$O$22:$O$210,"&lt;&gt;Cancelada")&gt;0,"Trein. ","")))</f>
        <v/>
      </c>
      <c r="K9" s="62" t="n"/>
      <c r="L9" s="61">
        <f>IF(L8="","",TRIM(IF(COUNTIFS($C$22:$C$210,L8,$D$22:$D$210,"*Erros*",$O$22:$O$210,"&lt;&gt;Cancelada")&gt;0,"Erros ","")&amp;IF(COUNTIFS($C$22:$C$210,L8,$D$22:$D$210,"*Suporte*",$O$22:$O$210,"&lt;&gt;Cancelada")&gt;0,"Suporte ","")&amp;IF(COUNTIFS($C$22:$C$210,L8,$D$22:$D$210,"*Vistoria*",$O$22:$O$210,"&lt;&gt;Cancelada")&gt;0,"Vistoria ","")&amp;IF(COUNTIFS($C$22:$C$210,L8,$D$22:$D$210,"*Metas*",$O$22:$O$210,"&lt;&gt;Cancelada")&gt;0,"Metas ","")&amp;IF(COUNTIFS($C$22:$C$210,L8,$D$22:$D$210,"*Faltas*",$O$22:$O$210,"&lt;&gt;Cancelada")&gt;0,"Faltas ","")&amp;IF(COUNTIFS($C$22:$C$210,L8,$D$22:$D$210,"*Semanal c/*",$O$22:$O$210,"&lt;&gt;Cancelada")&gt;0,"Acomp. ","")&amp;IF(COUNTIFS($C$22:$C$210,L8,$D$22:$D$210,"*Reunião*",$O$22:$O$210,"&lt;&gt;Cancelada")&gt;0,"Reunião ","")&amp;IF(COUNTIFS($C$22:$C$210,L8,$D$22:$D$210,"*Férias*",$O$22:$O$210,"&lt;&gt;Cancelada")&gt;0,"Férias ","")&amp;IF(COUNTIFS($C$22:$C$210,L8,$D$22:$D$210,"*Mudança*",$O$22:$O$210,"&lt;&gt;Cancelada")&gt;0,"M.Função ","")&amp;IF(COUNTIFS($C$22:$C$210,L8,$D$22:$D$210,"*Treinamento*",$O$22:$O$210,"&lt;&gt;Cancelada")&gt;0,"Trein. ","")))</f>
        <v/>
      </c>
      <c r="M9" s="62" t="n"/>
      <c r="N9" s="61">
        <f>IF(N8="","",TRIM(IF(COUNTIFS($C$22:$C$210,N8,$D$22:$D$210,"*Erros*",$O$22:$O$210,"&lt;&gt;Cancelada")&gt;0,"Erros ","")&amp;IF(COUNTIFS($C$22:$C$210,N8,$D$22:$D$210,"*Suporte*",$O$22:$O$210,"&lt;&gt;Cancelada")&gt;0,"Suporte ","")&amp;IF(COUNTIFS($C$22:$C$210,N8,$D$22:$D$210,"*Vistoria*",$O$22:$O$210,"&lt;&gt;Cancelada")&gt;0,"Vistoria ","")&amp;IF(COUNTIFS($C$22:$C$210,N8,$D$22:$D$210,"*Metas*",$O$22:$O$210,"&lt;&gt;Cancelada")&gt;0,"Metas ","")&amp;IF(COUNTIFS($C$22:$C$210,N8,$D$22:$D$210,"*Faltas*",$O$22:$O$210,"&lt;&gt;Cancelada")&gt;0,"Faltas ","")&amp;IF(COUNTIFS($C$22:$C$210,N8,$D$22:$D$210,"*Semanal c/*",$O$22:$O$210,"&lt;&gt;Cancelada")&gt;0,"Acomp. ","")&amp;IF(COUNTIFS($C$22:$C$210,N8,$D$22:$D$210,"*Reunião*",$O$22:$O$210,"&lt;&gt;Cancelada")&gt;0,"Reunião ","")&amp;IF(COUNTIFS($C$22:$C$210,N8,$D$22:$D$210,"*Férias*",$O$22:$O$210,"&lt;&gt;Cancelada")&gt;0,"Férias ","")&amp;IF(COUNTIFS($C$22:$C$210,N8,$D$22:$D$210,"*Mudança*",$O$22:$O$210,"&lt;&gt;Cancelada")&gt;0,"M.Função ","")&amp;IF(COUNTIFS($C$22:$C$210,N8,$D$22:$D$210,"*Treinamento*",$O$22:$O$210,"&lt;&gt;Cancelada")&gt;0,"Trein. ","")))</f>
        <v/>
      </c>
      <c r="O9" s="62" t="n"/>
    </row>
    <row r="10" ht="20" customHeight="1">
      <c r="B10" s="57" t="n">
        <v>46278</v>
      </c>
      <c r="C10" s="58" t="n"/>
      <c r="D10" s="57" t="n">
        <v>46279</v>
      </c>
      <c r="E10" s="58" t="n"/>
      <c r="F10" s="57" t="n">
        <v>46280</v>
      </c>
      <c r="G10" s="58" t="n"/>
      <c r="H10" s="57" t="n">
        <v>46281</v>
      </c>
      <c r="I10" s="58" t="n"/>
      <c r="J10" s="57" t="n">
        <v>46282</v>
      </c>
      <c r="K10" s="58" t="n"/>
      <c r="L10" s="57" t="n">
        <v>46283</v>
      </c>
      <c r="M10" s="58" t="n"/>
      <c r="N10" s="57" t="n">
        <v>46284</v>
      </c>
      <c r="O10" s="58" t="n"/>
    </row>
    <row r="11" ht="26" customHeight="1">
      <c r="B11" s="61">
        <f>IF(B10="","",TRIM(IF(COUNTIFS($C$22:$C$210,B10,$D$22:$D$210,"*Erros*",$O$22:$O$210,"&lt;&gt;Cancelada")&gt;0,"Erros ","")&amp;IF(COUNTIFS($C$22:$C$210,B10,$D$22:$D$210,"*Suporte*",$O$22:$O$210,"&lt;&gt;Cancelada")&gt;0,"Suporte ","")&amp;IF(COUNTIFS($C$22:$C$210,B10,$D$22:$D$210,"*Vistoria*",$O$22:$O$210,"&lt;&gt;Cancelada")&gt;0,"Vistoria ","")&amp;IF(COUNTIFS($C$22:$C$210,B10,$D$22:$D$210,"*Metas*",$O$22:$O$210,"&lt;&gt;Cancelada")&gt;0,"Metas ","")&amp;IF(COUNTIFS($C$22:$C$210,B10,$D$22:$D$210,"*Faltas*",$O$22:$O$210,"&lt;&gt;Cancelada")&gt;0,"Faltas ","")&amp;IF(COUNTIFS($C$22:$C$210,B10,$D$22:$D$210,"*Semanal c/*",$O$22:$O$210,"&lt;&gt;Cancelada")&gt;0,"Acomp. ","")&amp;IF(COUNTIFS($C$22:$C$210,B10,$D$22:$D$210,"*Reunião*",$O$22:$O$210,"&lt;&gt;Cancelada")&gt;0,"Reunião ","")&amp;IF(COUNTIFS($C$22:$C$210,B10,$D$22:$D$210,"*Férias*",$O$22:$O$210,"&lt;&gt;Cancelada")&gt;0,"Férias ","")&amp;IF(COUNTIFS($C$22:$C$210,B10,$D$22:$D$210,"*Mudança*",$O$22:$O$210,"&lt;&gt;Cancelada")&gt;0,"M.Função ","")&amp;IF(COUNTIFS($C$22:$C$210,B10,$D$22:$D$210,"*Treinamento*",$O$22:$O$210,"&lt;&gt;Cancelada")&gt;0,"Trein. ","")))</f>
        <v/>
      </c>
      <c r="C11" s="62" t="n"/>
      <c r="D11" s="61">
        <f>IF(D10="","",TRIM(IF(COUNTIFS($C$22:$C$210,D10,$D$22:$D$210,"*Erros*",$O$22:$O$210,"&lt;&gt;Cancelada")&gt;0,"Erros ","")&amp;IF(COUNTIFS($C$22:$C$210,D10,$D$22:$D$210,"*Suporte*",$O$22:$O$210,"&lt;&gt;Cancelada")&gt;0,"Suporte ","")&amp;IF(COUNTIFS($C$22:$C$210,D10,$D$22:$D$210,"*Vistoria*",$O$22:$O$210,"&lt;&gt;Cancelada")&gt;0,"Vistoria ","")&amp;IF(COUNTIFS($C$22:$C$210,D10,$D$22:$D$210,"*Metas*",$O$22:$O$210,"&lt;&gt;Cancelada")&gt;0,"Metas ","")&amp;IF(COUNTIFS($C$22:$C$210,D10,$D$22:$D$210,"*Faltas*",$O$22:$O$210,"&lt;&gt;Cancelada")&gt;0,"Faltas ","")&amp;IF(COUNTIFS($C$22:$C$210,D10,$D$22:$D$210,"*Semanal c/*",$O$22:$O$210,"&lt;&gt;Cancelada")&gt;0,"Acomp. ","")&amp;IF(COUNTIFS($C$22:$C$210,D10,$D$22:$D$210,"*Reunião*",$O$22:$O$210,"&lt;&gt;Cancelada")&gt;0,"Reunião ","")&amp;IF(COUNTIFS($C$22:$C$210,D10,$D$22:$D$210,"*Férias*",$O$22:$O$210,"&lt;&gt;Cancelada")&gt;0,"Férias ","")&amp;IF(COUNTIFS($C$22:$C$210,D10,$D$22:$D$210,"*Mudança*",$O$22:$O$210,"&lt;&gt;Cancelada")&gt;0,"M.Função ","")&amp;IF(COUNTIFS($C$22:$C$210,D10,$D$22:$D$210,"*Treinamento*",$O$22:$O$210,"&lt;&gt;Cancelada")&gt;0,"Trein. ","")))</f>
        <v/>
      </c>
      <c r="E11" s="62" t="n"/>
      <c r="F11" s="61">
        <f>IF(F10="","",TRIM(IF(COUNTIFS($C$22:$C$210,F10,$D$22:$D$210,"*Erros*",$O$22:$O$210,"&lt;&gt;Cancelada")&gt;0,"Erros ","")&amp;IF(COUNTIFS($C$22:$C$210,F10,$D$22:$D$210,"*Suporte*",$O$22:$O$210,"&lt;&gt;Cancelada")&gt;0,"Suporte ","")&amp;IF(COUNTIFS($C$22:$C$210,F10,$D$22:$D$210,"*Vistoria*",$O$22:$O$210,"&lt;&gt;Cancelada")&gt;0,"Vistoria ","")&amp;IF(COUNTIFS($C$22:$C$210,F10,$D$22:$D$210,"*Metas*",$O$22:$O$210,"&lt;&gt;Cancelada")&gt;0,"Metas ","")&amp;IF(COUNTIFS($C$22:$C$210,F10,$D$22:$D$210,"*Faltas*",$O$22:$O$210,"&lt;&gt;Cancelada")&gt;0,"Faltas ","")&amp;IF(COUNTIFS($C$22:$C$210,F10,$D$22:$D$210,"*Semanal c/*",$O$22:$O$210,"&lt;&gt;Cancelada")&gt;0,"Acomp. ","")&amp;IF(COUNTIFS($C$22:$C$210,F10,$D$22:$D$210,"*Reunião*",$O$22:$O$210,"&lt;&gt;Cancelada")&gt;0,"Reunião ","")&amp;IF(COUNTIFS($C$22:$C$210,F10,$D$22:$D$210,"*Férias*",$O$22:$O$210,"&lt;&gt;Cancelada")&gt;0,"Férias ","")&amp;IF(COUNTIFS($C$22:$C$210,F10,$D$22:$D$210,"*Mudança*",$O$22:$O$210,"&lt;&gt;Cancelada")&gt;0,"M.Função ","")&amp;IF(COUNTIFS($C$22:$C$210,F10,$D$22:$D$210,"*Treinamento*",$O$22:$O$210,"&lt;&gt;Cancelada")&gt;0,"Trein. ","")))</f>
        <v/>
      </c>
      <c r="G11" s="62" t="n"/>
      <c r="H11" s="61">
        <f>IF(H10="","",TRIM(IF(COUNTIFS($C$22:$C$210,H10,$D$22:$D$210,"*Erros*",$O$22:$O$210,"&lt;&gt;Cancelada")&gt;0,"Erros ","")&amp;IF(COUNTIFS($C$22:$C$210,H10,$D$22:$D$210,"*Suporte*",$O$22:$O$210,"&lt;&gt;Cancelada")&gt;0,"Suporte ","")&amp;IF(COUNTIFS($C$22:$C$210,H10,$D$22:$D$210,"*Vistoria*",$O$22:$O$210,"&lt;&gt;Cancelada")&gt;0,"Vistoria ","")&amp;IF(COUNTIFS($C$22:$C$210,H10,$D$22:$D$210,"*Metas*",$O$22:$O$210,"&lt;&gt;Cancelada")&gt;0,"Metas ","")&amp;IF(COUNTIFS($C$22:$C$210,H10,$D$22:$D$210,"*Faltas*",$O$22:$O$210,"&lt;&gt;Cancelada")&gt;0,"Faltas ","")&amp;IF(COUNTIFS($C$22:$C$210,H10,$D$22:$D$210,"*Semanal c/*",$O$22:$O$210,"&lt;&gt;Cancelada")&gt;0,"Acomp. ","")&amp;IF(COUNTIFS($C$22:$C$210,H10,$D$22:$D$210,"*Reunião*",$O$22:$O$210,"&lt;&gt;Cancelada")&gt;0,"Reunião ","")&amp;IF(COUNTIFS($C$22:$C$210,H10,$D$22:$D$210,"*Férias*",$O$22:$O$210,"&lt;&gt;Cancelada")&gt;0,"Férias ","")&amp;IF(COUNTIFS($C$22:$C$210,H10,$D$22:$D$210,"*Mudança*",$O$22:$O$210,"&lt;&gt;Cancelada")&gt;0,"M.Função ","")&amp;IF(COUNTIFS($C$22:$C$210,H10,$D$22:$D$210,"*Treinamento*",$O$22:$O$210,"&lt;&gt;Cancelada")&gt;0,"Trein. ","")))</f>
        <v/>
      </c>
      <c r="I11" s="62" t="n"/>
      <c r="J11" s="61">
        <f>IF(J10="","",TRIM(IF(COUNTIFS($C$22:$C$210,J10,$D$22:$D$210,"*Erros*",$O$22:$O$210,"&lt;&gt;Cancelada")&gt;0,"Erros ","")&amp;IF(COUNTIFS($C$22:$C$210,J10,$D$22:$D$210,"*Suporte*",$O$22:$O$210,"&lt;&gt;Cancelada")&gt;0,"Suporte ","")&amp;IF(COUNTIFS($C$22:$C$210,J10,$D$22:$D$210,"*Vistoria*",$O$22:$O$210,"&lt;&gt;Cancelada")&gt;0,"Vistoria ","")&amp;IF(COUNTIFS($C$22:$C$210,J10,$D$22:$D$210,"*Metas*",$O$22:$O$210,"&lt;&gt;Cancelada")&gt;0,"Metas ","")&amp;IF(COUNTIFS($C$22:$C$210,J10,$D$22:$D$210,"*Faltas*",$O$22:$O$210,"&lt;&gt;Cancelada")&gt;0,"Faltas ","")&amp;IF(COUNTIFS($C$22:$C$210,J10,$D$22:$D$210,"*Semanal c/*",$O$22:$O$210,"&lt;&gt;Cancelada")&gt;0,"Acomp. ","")&amp;IF(COUNTIFS($C$22:$C$210,J10,$D$22:$D$210,"*Reunião*",$O$22:$O$210,"&lt;&gt;Cancelada")&gt;0,"Reunião ","")&amp;IF(COUNTIFS($C$22:$C$210,J10,$D$22:$D$210,"*Férias*",$O$22:$O$210,"&lt;&gt;Cancelada")&gt;0,"Férias ","")&amp;IF(COUNTIFS($C$22:$C$210,J10,$D$22:$D$210,"*Mudança*",$O$22:$O$210,"&lt;&gt;Cancelada")&gt;0,"M.Função ","")&amp;IF(COUNTIFS($C$22:$C$210,J10,$D$22:$D$210,"*Treinamento*",$O$22:$O$210,"&lt;&gt;Cancelada")&gt;0,"Trein. ","")))</f>
        <v/>
      </c>
      <c r="K11" s="62" t="n"/>
      <c r="L11" s="61">
        <f>IF(L10="","",TRIM(IF(COUNTIFS($C$22:$C$210,L10,$D$22:$D$210,"*Erros*",$O$22:$O$210,"&lt;&gt;Cancelada")&gt;0,"Erros ","")&amp;IF(COUNTIFS($C$22:$C$210,L10,$D$22:$D$210,"*Suporte*",$O$22:$O$210,"&lt;&gt;Cancelada")&gt;0,"Suporte ","")&amp;IF(COUNTIFS($C$22:$C$210,L10,$D$22:$D$210,"*Vistoria*",$O$22:$O$210,"&lt;&gt;Cancelada")&gt;0,"Vistoria ","")&amp;IF(COUNTIFS($C$22:$C$210,L10,$D$22:$D$210,"*Metas*",$O$22:$O$210,"&lt;&gt;Cancelada")&gt;0,"Metas ","")&amp;IF(COUNTIFS($C$22:$C$210,L10,$D$22:$D$210,"*Faltas*",$O$22:$O$210,"&lt;&gt;Cancelada")&gt;0,"Faltas ","")&amp;IF(COUNTIFS($C$22:$C$210,L10,$D$22:$D$210,"*Semanal c/*",$O$22:$O$210,"&lt;&gt;Cancelada")&gt;0,"Acomp. ","")&amp;IF(COUNTIFS($C$22:$C$210,L10,$D$22:$D$210,"*Reunião*",$O$22:$O$210,"&lt;&gt;Cancelada")&gt;0,"Reunião ","")&amp;IF(COUNTIFS($C$22:$C$210,L10,$D$22:$D$210,"*Férias*",$O$22:$O$210,"&lt;&gt;Cancelada")&gt;0,"Férias ","")&amp;IF(COUNTIFS($C$22:$C$210,L10,$D$22:$D$210,"*Mudança*",$O$22:$O$210,"&lt;&gt;Cancelada")&gt;0,"M.Função ","")&amp;IF(COUNTIFS($C$22:$C$210,L10,$D$22:$D$210,"*Treinamento*",$O$22:$O$210,"&lt;&gt;Cancelada")&gt;0,"Trein. ","")))</f>
        <v/>
      </c>
      <c r="M11" s="62" t="n"/>
      <c r="N11" s="61">
        <f>IF(N10="","",TRIM(IF(COUNTIFS($C$22:$C$210,N10,$D$22:$D$210,"*Erros*",$O$22:$O$210,"&lt;&gt;Cancelada")&gt;0,"Erros ","")&amp;IF(COUNTIFS($C$22:$C$210,N10,$D$22:$D$210,"*Suporte*",$O$22:$O$210,"&lt;&gt;Cancelada")&gt;0,"Suporte ","")&amp;IF(COUNTIFS($C$22:$C$210,N10,$D$22:$D$210,"*Vistoria*",$O$22:$O$210,"&lt;&gt;Cancelada")&gt;0,"Vistoria ","")&amp;IF(COUNTIFS($C$22:$C$210,N10,$D$22:$D$210,"*Metas*",$O$22:$O$210,"&lt;&gt;Cancelada")&gt;0,"Metas ","")&amp;IF(COUNTIFS($C$22:$C$210,N10,$D$22:$D$210,"*Faltas*",$O$22:$O$210,"&lt;&gt;Cancelada")&gt;0,"Faltas ","")&amp;IF(COUNTIFS($C$22:$C$210,N10,$D$22:$D$210,"*Semanal c/*",$O$22:$O$210,"&lt;&gt;Cancelada")&gt;0,"Acomp. ","")&amp;IF(COUNTIFS($C$22:$C$210,N10,$D$22:$D$210,"*Reunião*",$O$22:$O$210,"&lt;&gt;Cancelada")&gt;0,"Reunião ","")&amp;IF(COUNTIFS($C$22:$C$210,N10,$D$22:$D$210,"*Férias*",$O$22:$O$210,"&lt;&gt;Cancelada")&gt;0,"Férias ","")&amp;IF(COUNTIFS($C$22:$C$210,N10,$D$22:$D$210,"*Mudança*",$O$22:$O$210,"&lt;&gt;Cancelada")&gt;0,"M.Função ","")&amp;IF(COUNTIFS($C$22:$C$210,N10,$D$22:$D$210,"*Treinamento*",$O$22:$O$210,"&lt;&gt;Cancelada")&gt;0,"Trein. ","")))</f>
        <v/>
      </c>
      <c r="O11" s="62" t="n"/>
    </row>
    <row r="12" ht="20" customHeight="1">
      <c r="B12" s="57" t="n">
        <v>46285</v>
      </c>
      <c r="C12" s="58" t="n"/>
      <c r="D12" s="57" t="n">
        <v>46286</v>
      </c>
      <c r="E12" s="58" t="n"/>
      <c r="F12" s="57" t="n">
        <v>46287</v>
      </c>
      <c r="G12" s="58" t="n"/>
      <c r="H12" s="57" t="n">
        <v>46288</v>
      </c>
      <c r="I12" s="58" t="n"/>
      <c r="J12" s="57" t="n">
        <v>46289</v>
      </c>
      <c r="K12" s="58" t="n"/>
      <c r="L12" s="57" t="n">
        <v>46290</v>
      </c>
      <c r="M12" s="58" t="n"/>
      <c r="N12" s="57" t="n">
        <v>46291</v>
      </c>
      <c r="O12" s="58" t="n"/>
    </row>
    <row r="13" ht="26" customHeight="1">
      <c r="B13" s="61">
        <f>IF(B12="","",TRIM(IF(COUNTIFS($C$22:$C$210,B12,$D$22:$D$210,"*Erros*",$O$22:$O$210,"&lt;&gt;Cancelada")&gt;0,"Erros ","")&amp;IF(COUNTIFS($C$22:$C$210,B12,$D$22:$D$210,"*Suporte*",$O$22:$O$210,"&lt;&gt;Cancelada")&gt;0,"Suporte ","")&amp;IF(COUNTIFS($C$22:$C$210,B12,$D$22:$D$210,"*Vistoria*",$O$22:$O$210,"&lt;&gt;Cancelada")&gt;0,"Vistoria ","")&amp;IF(COUNTIFS($C$22:$C$210,B12,$D$22:$D$210,"*Metas*",$O$22:$O$210,"&lt;&gt;Cancelada")&gt;0,"Metas ","")&amp;IF(COUNTIFS($C$22:$C$210,B12,$D$22:$D$210,"*Faltas*",$O$22:$O$210,"&lt;&gt;Cancelada")&gt;0,"Faltas ","")&amp;IF(COUNTIFS($C$22:$C$210,B12,$D$22:$D$210,"*Semanal c/*",$O$22:$O$210,"&lt;&gt;Cancelada")&gt;0,"Acomp. ","")&amp;IF(COUNTIFS($C$22:$C$210,B12,$D$22:$D$210,"*Reunião*",$O$22:$O$210,"&lt;&gt;Cancelada")&gt;0,"Reunião ","")&amp;IF(COUNTIFS($C$22:$C$210,B12,$D$22:$D$210,"*Férias*",$O$22:$O$210,"&lt;&gt;Cancelada")&gt;0,"Férias ","")&amp;IF(COUNTIFS($C$22:$C$210,B12,$D$22:$D$210,"*Mudança*",$O$22:$O$210,"&lt;&gt;Cancelada")&gt;0,"M.Função ","")&amp;IF(COUNTIFS($C$22:$C$210,B12,$D$22:$D$210,"*Treinamento*",$O$22:$O$210,"&lt;&gt;Cancelada")&gt;0,"Trein. ","")))</f>
        <v/>
      </c>
      <c r="C13" s="62" t="n"/>
      <c r="D13" s="61">
        <f>IF(D12="","",TRIM(IF(COUNTIFS($C$22:$C$210,D12,$D$22:$D$210,"*Erros*",$O$22:$O$210,"&lt;&gt;Cancelada")&gt;0,"Erros ","")&amp;IF(COUNTIFS($C$22:$C$210,D12,$D$22:$D$210,"*Suporte*",$O$22:$O$210,"&lt;&gt;Cancelada")&gt;0,"Suporte ","")&amp;IF(COUNTIFS($C$22:$C$210,D12,$D$22:$D$210,"*Vistoria*",$O$22:$O$210,"&lt;&gt;Cancelada")&gt;0,"Vistoria ","")&amp;IF(COUNTIFS($C$22:$C$210,D12,$D$22:$D$210,"*Metas*",$O$22:$O$210,"&lt;&gt;Cancelada")&gt;0,"Metas ","")&amp;IF(COUNTIFS($C$22:$C$210,D12,$D$22:$D$210,"*Faltas*",$O$22:$O$210,"&lt;&gt;Cancelada")&gt;0,"Faltas ","")&amp;IF(COUNTIFS($C$22:$C$210,D12,$D$22:$D$210,"*Semanal c/*",$O$22:$O$210,"&lt;&gt;Cancelada")&gt;0,"Acomp. ","")&amp;IF(COUNTIFS($C$22:$C$210,D12,$D$22:$D$210,"*Reunião*",$O$22:$O$210,"&lt;&gt;Cancelada")&gt;0,"Reunião ","")&amp;IF(COUNTIFS($C$22:$C$210,D12,$D$22:$D$210,"*Férias*",$O$22:$O$210,"&lt;&gt;Cancelada")&gt;0,"Férias ","")&amp;IF(COUNTIFS($C$22:$C$210,D12,$D$22:$D$210,"*Mudança*",$O$22:$O$210,"&lt;&gt;Cancelada")&gt;0,"M.Função ","")&amp;IF(COUNTIFS($C$22:$C$210,D12,$D$22:$D$210,"*Treinamento*",$O$22:$O$210,"&lt;&gt;Cancelada")&gt;0,"Trein. ","")))</f>
        <v/>
      </c>
      <c r="E13" s="62" t="n"/>
      <c r="F13" s="61">
        <f>IF(F12="","",TRIM(IF(COUNTIFS($C$22:$C$210,F12,$D$22:$D$210,"*Erros*",$O$22:$O$210,"&lt;&gt;Cancelada")&gt;0,"Erros ","")&amp;IF(COUNTIFS($C$22:$C$210,F12,$D$22:$D$210,"*Suporte*",$O$22:$O$210,"&lt;&gt;Cancelada")&gt;0,"Suporte ","")&amp;IF(COUNTIFS($C$22:$C$210,F12,$D$22:$D$210,"*Vistoria*",$O$22:$O$210,"&lt;&gt;Cancelada")&gt;0,"Vistoria ","")&amp;IF(COUNTIFS($C$22:$C$210,F12,$D$22:$D$210,"*Metas*",$O$22:$O$210,"&lt;&gt;Cancelada")&gt;0,"Metas ","")&amp;IF(COUNTIFS($C$22:$C$210,F12,$D$22:$D$210,"*Faltas*",$O$22:$O$210,"&lt;&gt;Cancelada")&gt;0,"Faltas ","")&amp;IF(COUNTIFS($C$22:$C$210,F12,$D$22:$D$210,"*Semanal c/*",$O$22:$O$210,"&lt;&gt;Cancelada")&gt;0,"Acomp. ","")&amp;IF(COUNTIFS($C$22:$C$210,F12,$D$22:$D$210,"*Reunião*",$O$22:$O$210,"&lt;&gt;Cancelada")&gt;0,"Reunião ","")&amp;IF(COUNTIFS($C$22:$C$210,F12,$D$22:$D$210,"*Férias*",$O$22:$O$210,"&lt;&gt;Cancelada")&gt;0,"Férias ","")&amp;IF(COUNTIFS($C$22:$C$210,F12,$D$22:$D$210,"*Mudança*",$O$22:$O$210,"&lt;&gt;Cancelada")&gt;0,"M.Função ","")&amp;IF(COUNTIFS($C$22:$C$210,F12,$D$22:$D$210,"*Treinamento*",$O$22:$O$210,"&lt;&gt;Cancelada")&gt;0,"Trein. ","")))</f>
        <v/>
      </c>
      <c r="G13" s="62" t="n"/>
      <c r="H13" s="61">
        <f>IF(H12="","",TRIM(IF(COUNTIFS($C$22:$C$210,H12,$D$22:$D$210,"*Erros*",$O$22:$O$210,"&lt;&gt;Cancelada")&gt;0,"Erros ","")&amp;IF(COUNTIFS($C$22:$C$210,H12,$D$22:$D$210,"*Suporte*",$O$22:$O$210,"&lt;&gt;Cancelada")&gt;0,"Suporte ","")&amp;IF(COUNTIFS($C$22:$C$210,H12,$D$22:$D$210,"*Vistoria*",$O$22:$O$210,"&lt;&gt;Cancelada")&gt;0,"Vistoria ","")&amp;IF(COUNTIFS($C$22:$C$210,H12,$D$22:$D$210,"*Metas*",$O$22:$O$210,"&lt;&gt;Cancelada")&gt;0,"Metas ","")&amp;IF(COUNTIFS($C$22:$C$210,H12,$D$22:$D$210,"*Faltas*",$O$22:$O$210,"&lt;&gt;Cancelada")&gt;0,"Faltas ","")&amp;IF(COUNTIFS($C$22:$C$210,H12,$D$22:$D$210,"*Semanal c/*",$O$22:$O$210,"&lt;&gt;Cancelada")&gt;0,"Acomp. ","")&amp;IF(COUNTIFS($C$22:$C$210,H12,$D$22:$D$210,"*Reunião*",$O$22:$O$210,"&lt;&gt;Cancelada")&gt;0,"Reunião ","")&amp;IF(COUNTIFS($C$22:$C$210,H12,$D$22:$D$210,"*Férias*",$O$22:$O$210,"&lt;&gt;Cancelada")&gt;0,"Férias ","")&amp;IF(COUNTIFS($C$22:$C$210,H12,$D$22:$D$210,"*Mudança*",$O$22:$O$210,"&lt;&gt;Cancelada")&gt;0,"M.Função ","")&amp;IF(COUNTIFS($C$22:$C$210,H12,$D$22:$D$210,"*Treinamento*",$O$22:$O$210,"&lt;&gt;Cancelada")&gt;0,"Trein. ","")))</f>
        <v/>
      </c>
      <c r="I13" s="62" t="n"/>
      <c r="J13" s="61">
        <f>IF(J12="","",TRIM(IF(COUNTIFS($C$22:$C$210,J12,$D$22:$D$210,"*Erros*",$O$22:$O$210,"&lt;&gt;Cancelada")&gt;0,"Erros ","")&amp;IF(COUNTIFS($C$22:$C$210,J12,$D$22:$D$210,"*Suporte*",$O$22:$O$210,"&lt;&gt;Cancelada")&gt;0,"Suporte ","")&amp;IF(COUNTIFS($C$22:$C$210,J12,$D$22:$D$210,"*Vistoria*",$O$22:$O$210,"&lt;&gt;Cancelada")&gt;0,"Vistoria ","")&amp;IF(COUNTIFS($C$22:$C$210,J12,$D$22:$D$210,"*Metas*",$O$22:$O$210,"&lt;&gt;Cancelada")&gt;0,"Metas ","")&amp;IF(COUNTIFS($C$22:$C$210,J12,$D$22:$D$210,"*Faltas*",$O$22:$O$210,"&lt;&gt;Cancelada")&gt;0,"Faltas ","")&amp;IF(COUNTIFS($C$22:$C$210,J12,$D$22:$D$210,"*Semanal c/*",$O$22:$O$210,"&lt;&gt;Cancelada")&gt;0,"Acomp. ","")&amp;IF(COUNTIFS($C$22:$C$210,J12,$D$22:$D$210,"*Reunião*",$O$22:$O$210,"&lt;&gt;Cancelada")&gt;0,"Reunião ","")&amp;IF(COUNTIFS($C$22:$C$210,J12,$D$22:$D$210,"*Férias*",$O$22:$O$210,"&lt;&gt;Cancelada")&gt;0,"Férias ","")&amp;IF(COUNTIFS($C$22:$C$210,J12,$D$22:$D$210,"*Mudança*",$O$22:$O$210,"&lt;&gt;Cancelada")&gt;0,"M.Função ","")&amp;IF(COUNTIFS($C$22:$C$210,J12,$D$22:$D$210,"*Treinamento*",$O$22:$O$210,"&lt;&gt;Cancelada")&gt;0,"Trein. ","")))</f>
        <v/>
      </c>
      <c r="K13" s="62" t="n"/>
      <c r="L13" s="61">
        <f>IF(L12="","",TRIM(IF(COUNTIFS($C$22:$C$210,L12,$D$22:$D$210,"*Erros*",$O$22:$O$210,"&lt;&gt;Cancelada")&gt;0,"Erros ","")&amp;IF(COUNTIFS($C$22:$C$210,L12,$D$22:$D$210,"*Suporte*",$O$22:$O$210,"&lt;&gt;Cancelada")&gt;0,"Suporte ","")&amp;IF(COUNTIFS($C$22:$C$210,L12,$D$22:$D$210,"*Vistoria*",$O$22:$O$210,"&lt;&gt;Cancelada")&gt;0,"Vistoria ","")&amp;IF(COUNTIFS($C$22:$C$210,L12,$D$22:$D$210,"*Metas*",$O$22:$O$210,"&lt;&gt;Cancelada")&gt;0,"Metas ","")&amp;IF(COUNTIFS($C$22:$C$210,L12,$D$22:$D$210,"*Faltas*",$O$22:$O$210,"&lt;&gt;Cancelada")&gt;0,"Faltas ","")&amp;IF(COUNTIFS($C$22:$C$210,L12,$D$22:$D$210,"*Semanal c/*",$O$22:$O$210,"&lt;&gt;Cancelada")&gt;0,"Acomp. ","")&amp;IF(COUNTIFS($C$22:$C$210,L12,$D$22:$D$210,"*Reunião*",$O$22:$O$210,"&lt;&gt;Cancelada")&gt;0,"Reunião ","")&amp;IF(COUNTIFS($C$22:$C$210,L12,$D$22:$D$210,"*Férias*",$O$22:$O$210,"&lt;&gt;Cancelada")&gt;0,"Férias ","")&amp;IF(COUNTIFS($C$22:$C$210,L12,$D$22:$D$210,"*Mudança*",$O$22:$O$210,"&lt;&gt;Cancelada")&gt;0,"M.Função ","")&amp;IF(COUNTIFS($C$22:$C$210,L12,$D$22:$D$210,"*Treinamento*",$O$22:$O$210,"&lt;&gt;Cancelada")&gt;0,"Trein. ","")))</f>
        <v/>
      </c>
      <c r="M13" s="62" t="n"/>
      <c r="N13" s="61">
        <f>IF(N12="","",TRIM(IF(COUNTIFS($C$22:$C$210,N12,$D$22:$D$210,"*Erros*",$O$22:$O$210,"&lt;&gt;Cancelada")&gt;0,"Erros ","")&amp;IF(COUNTIFS($C$22:$C$210,N12,$D$22:$D$210,"*Suporte*",$O$22:$O$210,"&lt;&gt;Cancelada")&gt;0,"Suporte ","")&amp;IF(COUNTIFS($C$22:$C$210,N12,$D$22:$D$210,"*Vistoria*",$O$22:$O$210,"&lt;&gt;Cancelada")&gt;0,"Vistoria ","")&amp;IF(COUNTIFS($C$22:$C$210,N12,$D$22:$D$210,"*Metas*",$O$22:$O$210,"&lt;&gt;Cancelada")&gt;0,"Metas ","")&amp;IF(COUNTIFS($C$22:$C$210,N12,$D$22:$D$210,"*Faltas*",$O$22:$O$210,"&lt;&gt;Cancelada")&gt;0,"Faltas ","")&amp;IF(COUNTIFS($C$22:$C$210,N12,$D$22:$D$210,"*Semanal c/*",$O$22:$O$210,"&lt;&gt;Cancelada")&gt;0,"Acomp. ","")&amp;IF(COUNTIFS($C$22:$C$210,N12,$D$22:$D$210,"*Reunião*",$O$22:$O$210,"&lt;&gt;Cancelada")&gt;0,"Reunião ","")&amp;IF(COUNTIFS($C$22:$C$210,N12,$D$22:$D$210,"*Férias*",$O$22:$O$210,"&lt;&gt;Cancelada")&gt;0,"Férias ","")&amp;IF(COUNTIFS($C$22:$C$210,N12,$D$22:$D$210,"*Mudança*",$O$22:$O$210,"&lt;&gt;Cancelada")&gt;0,"M.Função ","")&amp;IF(COUNTIFS($C$22:$C$210,N12,$D$22:$D$210,"*Treinamento*",$O$22:$O$210,"&lt;&gt;Cancelada")&gt;0,"Trein. ","")))</f>
        <v/>
      </c>
      <c r="O13" s="62" t="n"/>
    </row>
    <row r="14" ht="20" customHeight="1">
      <c r="B14" s="57" t="n">
        <v>46292</v>
      </c>
      <c r="C14" s="58" t="n"/>
      <c r="D14" s="57" t="n">
        <v>46293</v>
      </c>
      <c r="E14" s="58" t="n"/>
      <c r="F14" s="57" t="n">
        <v>46294</v>
      </c>
      <c r="G14" s="58" t="n"/>
      <c r="H14" s="57" t="n">
        <v>46295</v>
      </c>
      <c r="I14" s="58" t="n"/>
      <c r="J14" s="55" t="n"/>
      <c r="K14" s="56" t="n"/>
      <c r="L14" s="55" t="n"/>
      <c r="M14" s="56" t="n"/>
      <c r="N14" s="55" t="n"/>
      <c r="O14" s="56" t="n"/>
    </row>
    <row r="15" ht="26" customHeight="1">
      <c r="B15" s="61">
        <f>IF(B14="","",TRIM(IF(COUNTIFS($C$22:$C$210,B14,$D$22:$D$210,"*Erros*",$O$22:$O$210,"&lt;&gt;Cancelada")&gt;0,"Erros ","")&amp;IF(COUNTIFS($C$22:$C$210,B14,$D$22:$D$210,"*Suporte*",$O$22:$O$210,"&lt;&gt;Cancelada")&gt;0,"Suporte ","")&amp;IF(COUNTIFS($C$22:$C$210,B14,$D$22:$D$210,"*Vistoria*",$O$22:$O$210,"&lt;&gt;Cancelada")&gt;0,"Vistoria ","")&amp;IF(COUNTIFS($C$22:$C$210,B14,$D$22:$D$210,"*Metas*",$O$22:$O$210,"&lt;&gt;Cancelada")&gt;0,"Metas ","")&amp;IF(COUNTIFS($C$22:$C$210,B14,$D$22:$D$210,"*Faltas*",$O$22:$O$210,"&lt;&gt;Cancelada")&gt;0,"Faltas ","")&amp;IF(COUNTIFS($C$22:$C$210,B14,$D$22:$D$210,"*Semanal c/*",$O$22:$O$210,"&lt;&gt;Cancelada")&gt;0,"Acomp. ","")&amp;IF(COUNTIFS($C$22:$C$210,B14,$D$22:$D$210,"*Reunião*",$O$22:$O$210,"&lt;&gt;Cancelada")&gt;0,"Reunião ","")&amp;IF(COUNTIFS($C$22:$C$210,B14,$D$22:$D$210,"*Férias*",$O$22:$O$210,"&lt;&gt;Cancelada")&gt;0,"Férias ","")&amp;IF(COUNTIFS($C$22:$C$210,B14,$D$22:$D$210,"*Mudança*",$O$22:$O$210,"&lt;&gt;Cancelada")&gt;0,"M.Função ","")&amp;IF(COUNTIFS($C$22:$C$210,B14,$D$22:$D$210,"*Treinamento*",$O$22:$O$210,"&lt;&gt;Cancelada")&gt;0,"Trein. ","")))</f>
        <v/>
      </c>
      <c r="C15" s="62" t="n"/>
      <c r="D15" s="61">
        <f>IF(D14="","",TRIM(IF(COUNTIFS($C$22:$C$210,D14,$D$22:$D$210,"*Erros*",$O$22:$O$210,"&lt;&gt;Cancelada")&gt;0,"Erros ","")&amp;IF(COUNTIFS($C$22:$C$210,D14,$D$22:$D$210,"*Suporte*",$O$22:$O$210,"&lt;&gt;Cancelada")&gt;0,"Suporte ","")&amp;IF(COUNTIFS($C$22:$C$210,D14,$D$22:$D$210,"*Vistoria*",$O$22:$O$210,"&lt;&gt;Cancelada")&gt;0,"Vistoria ","")&amp;IF(COUNTIFS($C$22:$C$210,D14,$D$22:$D$210,"*Metas*",$O$22:$O$210,"&lt;&gt;Cancelada")&gt;0,"Metas ","")&amp;IF(COUNTIFS($C$22:$C$210,D14,$D$22:$D$210,"*Faltas*",$O$22:$O$210,"&lt;&gt;Cancelada")&gt;0,"Faltas ","")&amp;IF(COUNTIFS($C$22:$C$210,D14,$D$22:$D$210,"*Semanal c/*",$O$22:$O$210,"&lt;&gt;Cancelada")&gt;0,"Acomp. ","")&amp;IF(COUNTIFS($C$22:$C$210,D14,$D$22:$D$210,"*Reunião*",$O$22:$O$210,"&lt;&gt;Cancelada")&gt;0,"Reunião ","")&amp;IF(COUNTIFS($C$22:$C$210,D14,$D$22:$D$210,"*Férias*",$O$22:$O$210,"&lt;&gt;Cancelada")&gt;0,"Férias ","")&amp;IF(COUNTIFS($C$22:$C$210,D14,$D$22:$D$210,"*Mudança*",$O$22:$O$210,"&lt;&gt;Cancelada")&gt;0,"M.Função ","")&amp;IF(COUNTIFS($C$22:$C$210,D14,$D$22:$D$210,"*Treinamento*",$O$22:$O$210,"&lt;&gt;Cancelada")&gt;0,"Trein. ","")))</f>
        <v/>
      </c>
      <c r="E15" s="62" t="n"/>
      <c r="F15" s="61">
        <f>IF(F14="","",TRIM(IF(COUNTIFS($C$22:$C$210,F14,$D$22:$D$210,"*Erros*",$O$22:$O$210,"&lt;&gt;Cancelada")&gt;0,"Erros ","")&amp;IF(COUNTIFS($C$22:$C$210,F14,$D$22:$D$210,"*Suporte*",$O$22:$O$210,"&lt;&gt;Cancelada")&gt;0,"Suporte ","")&amp;IF(COUNTIFS($C$22:$C$210,F14,$D$22:$D$210,"*Vistoria*",$O$22:$O$210,"&lt;&gt;Cancelada")&gt;0,"Vistoria ","")&amp;IF(COUNTIFS($C$22:$C$210,F14,$D$22:$D$210,"*Metas*",$O$22:$O$210,"&lt;&gt;Cancelada")&gt;0,"Metas ","")&amp;IF(COUNTIFS($C$22:$C$210,F14,$D$22:$D$210,"*Faltas*",$O$22:$O$210,"&lt;&gt;Cancelada")&gt;0,"Faltas ","")&amp;IF(COUNTIFS($C$22:$C$210,F14,$D$22:$D$210,"*Semanal c/*",$O$22:$O$210,"&lt;&gt;Cancelada")&gt;0,"Acomp. ","")&amp;IF(COUNTIFS($C$22:$C$210,F14,$D$22:$D$210,"*Reunião*",$O$22:$O$210,"&lt;&gt;Cancelada")&gt;0,"Reunião ","")&amp;IF(COUNTIFS($C$22:$C$210,F14,$D$22:$D$210,"*Férias*",$O$22:$O$210,"&lt;&gt;Cancelada")&gt;0,"Férias ","")&amp;IF(COUNTIFS($C$22:$C$210,F14,$D$22:$D$210,"*Mudança*",$O$22:$O$210,"&lt;&gt;Cancelada")&gt;0,"M.Função ","")&amp;IF(COUNTIFS($C$22:$C$210,F14,$D$22:$D$210,"*Treinamento*",$O$22:$O$210,"&lt;&gt;Cancelada")&gt;0,"Trein. ","")))</f>
        <v/>
      </c>
      <c r="G15" s="62" t="n"/>
      <c r="H15" s="61">
        <f>IF(H14="","",TRIM(IF(COUNTIFS($C$22:$C$210,H14,$D$22:$D$210,"*Erros*",$O$22:$O$210,"&lt;&gt;Cancelada")&gt;0,"Erros ","")&amp;IF(COUNTIFS($C$22:$C$210,H14,$D$22:$D$210,"*Suporte*",$O$22:$O$210,"&lt;&gt;Cancelada")&gt;0,"Suporte ","")&amp;IF(COUNTIFS($C$22:$C$210,H14,$D$22:$D$210,"*Vistoria*",$O$22:$O$210,"&lt;&gt;Cancelada")&gt;0,"Vistoria ","")&amp;IF(COUNTIFS($C$22:$C$210,H14,$D$22:$D$210,"*Metas*",$O$22:$O$210,"&lt;&gt;Cancelada")&gt;0,"Metas ","")&amp;IF(COUNTIFS($C$22:$C$210,H14,$D$22:$D$210,"*Faltas*",$O$22:$O$210,"&lt;&gt;Cancelada")&gt;0,"Faltas ","")&amp;IF(COUNTIFS($C$22:$C$210,H14,$D$22:$D$210,"*Semanal c/*",$O$22:$O$210,"&lt;&gt;Cancelada")&gt;0,"Acomp. ","")&amp;IF(COUNTIFS($C$22:$C$210,H14,$D$22:$D$210,"*Reunião*",$O$22:$O$210,"&lt;&gt;Cancelada")&gt;0,"Reunião ","")&amp;IF(COUNTIFS($C$22:$C$210,H14,$D$22:$D$210,"*Férias*",$O$22:$O$210,"&lt;&gt;Cancelada")&gt;0,"Férias ","")&amp;IF(COUNTIFS($C$22:$C$210,H14,$D$22:$D$210,"*Mudança*",$O$22:$O$210,"&lt;&gt;Cancelada")&gt;0,"M.Função ","")&amp;IF(COUNTIFS($C$22:$C$210,H14,$D$22:$D$210,"*Treinamento*",$O$22:$O$210,"&lt;&gt;Cancelada")&gt;0,"Trein. ","")))</f>
        <v/>
      </c>
      <c r="I15" s="62" t="n"/>
      <c r="J15" s="59" t="n"/>
      <c r="K15" s="60" t="n"/>
      <c r="L15" s="59" t="n"/>
      <c r="M15" s="60" t="n"/>
      <c r="N15" s="59" t="n"/>
      <c r="O15" s="60" t="n"/>
    </row>
    <row r="16" ht="6" customHeight="1"/>
    <row r="17" ht="6" customHeight="1"/>
    <row r="18">
      <c r="B18" s="63" t="inlineStr">
        <is>
          <t>Amarelo = hoje - Azul = dia com prazo - SEX = reunião com a gerência - Acomp. = Acompanhamento c/ Supervisores - M.Função = Mudança de Função - Trein. = Treinamento programado</t>
        </is>
      </c>
    </row>
    <row r="20">
      <c r="A20" s="26" t="inlineStr">
        <is>
          <t>GESTÃO DE ATIVIDADES — coordenador: selecione a linha e use o menu GSL Bartofil &gt; Anexar entrega (ou cole o link na coluna LINK DO ANEXO)</t>
        </is>
      </c>
    </row>
    <row r="21">
      <c r="A21" s="27" t="inlineStr">
        <is>
          <t>ID</t>
        </is>
      </c>
      <c r="B21" s="27" t="inlineStr">
        <is>
          <t>SEMANA</t>
        </is>
      </c>
      <c r="C21" s="27" t="inlineStr">
        <is>
          <t>PRAZO</t>
        </is>
      </c>
      <c r="D21" s="27" t="inlineStr">
        <is>
          <t>ATIVIDADE</t>
        </is>
      </c>
      <c r="E21" s="53" t="n"/>
      <c r="F21" s="53" t="n"/>
      <c r="G21" s="27" t="inlineStr">
        <is>
          <t>TURNO</t>
        </is>
      </c>
      <c r="H21" s="27" t="inlineStr">
        <is>
          <t>COORDENADOR</t>
        </is>
      </c>
      <c r="I21" s="53" t="n"/>
      <c r="J21" s="27" t="inlineStr">
        <is>
          <t>SETOR (vistoria)</t>
        </is>
      </c>
      <c r="K21" s="53" t="n"/>
      <c r="L21" s="27" t="inlineStr">
        <is>
          <t>LINK DO ANEXO (ENTREGA)</t>
        </is>
      </c>
      <c r="M21" s="53" t="n"/>
      <c r="N21" s="27" t="inlineStr">
        <is>
          <t>ENTREGUE EM</t>
        </is>
      </c>
      <c r="O21" s="27" t="inlineStr">
        <is>
          <t>VALIDAÇÃO</t>
        </is>
      </c>
      <c r="P21" s="27" t="inlineStr">
        <is>
          <t>MOTIVO REPROV. / CANCEL.</t>
        </is>
      </c>
      <c r="Q21" s="53" t="n"/>
      <c r="R21" s="27" t="inlineStr">
        <is>
          <t>STATUS</t>
        </is>
      </c>
      <c r="S21" s="64" t="inlineStr">
        <is>
          <t>fL</t>
        </is>
      </c>
      <c r="T21" s="64" t="inlineStr">
        <is>
          <t>fA</t>
        </is>
      </c>
      <c r="U21" s="64" t="inlineStr">
        <is>
          <t>fE</t>
        </is>
      </c>
    </row>
    <row r="22">
      <c r="A22" s="65" t="inlineStr">
        <is>
          <t>SET-S36-ERR-A</t>
        </is>
      </c>
      <c r="B22" s="66" t="inlineStr">
        <is>
          <t>S36</t>
        </is>
      </c>
      <c r="C22" s="67" t="n">
        <v>46266</v>
      </c>
      <c r="D22" s="68" t="inlineStr">
        <is>
          <t>Levantamento de Erros Operacionais</t>
        </is>
      </c>
      <c r="E22" s="53" t="n"/>
      <c r="F22" s="53" t="n"/>
      <c r="G22" s="69" t="inlineStr">
        <is>
          <t>A</t>
        </is>
      </c>
      <c r="H22" s="70">
        <f>IF($G22="A",CONFIG!$B$5,IF($G22="B",CONFIG!$B$6,IF($G22="C",CONFIG!$B$7,IF($G22="Todos","Todos os turnos",""))))</f>
        <v/>
      </c>
      <c r="I22" s="53" t="n"/>
      <c r="J22" s="71" t="inlineStr">
        <is>
          <t>—</t>
        </is>
      </c>
      <c r="K22" s="53" t="n"/>
      <c r="L22" s="72" t="n"/>
      <c r="M22" s="53" t="n"/>
      <c r="N22" s="73" t="n"/>
      <c r="O22" s="74" t="n"/>
      <c r="P22" s="75" t="n"/>
      <c r="Q22" s="53" t="n"/>
      <c r="R22" s="76">
        <f>IF($C22="","",IF($O22="Cancelada","Cancelada",IF($O22="Reprovado","Reprovada",IF($O22="Aprovado","Aprovada",IF($L22&lt;&gt;"","Entregue",IF(TODAY()&gt;$C22,"Atrasada","Pendente"))))))</f>
        <v/>
      </c>
    </row>
    <row r="23">
      <c r="A23" s="65" t="inlineStr">
        <is>
          <t>SET-S36-ERR-B</t>
        </is>
      </c>
      <c r="B23" s="66" t="inlineStr">
        <is>
          <t>S36</t>
        </is>
      </c>
      <c r="C23" s="67" t="n">
        <v>46266</v>
      </c>
      <c r="D23" s="68" t="inlineStr">
        <is>
          <t>Levantamento de Erros Operacionais</t>
        </is>
      </c>
      <c r="E23" s="53" t="n"/>
      <c r="F23" s="53" t="n"/>
      <c r="G23" s="69" t="inlineStr">
        <is>
          <t>B</t>
        </is>
      </c>
      <c r="H23" s="70">
        <f>IF($G23="A",CONFIG!$B$5,IF($G23="B",CONFIG!$B$6,IF($G23="C",CONFIG!$B$7,IF($G23="Todos","Todos os turnos",""))))</f>
        <v/>
      </c>
      <c r="I23" s="53" t="n"/>
      <c r="J23" s="71" t="inlineStr">
        <is>
          <t>—</t>
        </is>
      </c>
      <c r="K23" s="53" t="n"/>
      <c r="L23" s="72" t="n"/>
      <c r="M23" s="53" t="n"/>
      <c r="N23" s="73" t="n"/>
      <c r="O23" s="74" t="n"/>
      <c r="P23" s="75" t="n"/>
      <c r="Q23" s="53" t="n"/>
      <c r="R23" s="76">
        <f>IF($C23="","",IF($O23="Cancelada","Cancelada",IF($O23="Reprovado","Reprovada",IF($O23="Aprovado","Aprovada",IF($L23&lt;&gt;"","Entregue",IF(TODAY()&gt;$C23,"Atrasada","Pendente"))))))</f>
        <v/>
      </c>
    </row>
    <row r="24">
      <c r="A24" s="65" t="inlineStr">
        <is>
          <t>SET-S36-ERR-C</t>
        </is>
      </c>
      <c r="B24" s="66" t="inlineStr">
        <is>
          <t>S36</t>
        </is>
      </c>
      <c r="C24" s="67" t="n">
        <v>46266</v>
      </c>
      <c r="D24" s="68" t="inlineStr">
        <is>
          <t>Levantamento de Erros Operacionais</t>
        </is>
      </c>
      <c r="E24" s="53" t="n"/>
      <c r="F24" s="53" t="n"/>
      <c r="G24" s="69" t="inlineStr">
        <is>
          <t>C</t>
        </is>
      </c>
      <c r="H24" s="70">
        <f>IF($G24="A",CONFIG!$B$5,IF($G24="B",CONFIG!$B$6,IF($G24="C",CONFIG!$B$7,IF($G24="Todos","Todos os turnos",""))))</f>
        <v/>
      </c>
      <c r="I24" s="53" t="n"/>
      <c r="J24" s="71" t="inlineStr">
        <is>
          <t>—</t>
        </is>
      </c>
      <c r="K24" s="53" t="n"/>
      <c r="L24" s="72" t="n"/>
      <c r="M24" s="53" t="n"/>
      <c r="N24" s="73" t="n"/>
      <c r="O24" s="74" t="n"/>
      <c r="P24" s="75" t="n"/>
      <c r="Q24" s="53" t="n"/>
      <c r="R24" s="76">
        <f>IF($C24="","",IF($O24="Cancelada","Cancelada",IF($O24="Reprovado","Reprovada",IF($O24="Aprovado","Aprovada",IF($L24&lt;&gt;"","Entregue",IF(TODAY()&gt;$C24,"Atrasada","Pendente"))))))</f>
        <v/>
      </c>
    </row>
    <row r="25">
      <c r="A25" s="65" t="inlineStr">
        <is>
          <t>SET-S36-SUP-A</t>
        </is>
      </c>
      <c r="B25" s="66" t="inlineStr">
        <is>
          <t>S36</t>
        </is>
      </c>
      <c r="C25" s="67" t="n">
        <v>46266</v>
      </c>
      <c r="D25" s="68" t="inlineStr">
        <is>
          <t>Suporte de Supervisores</t>
        </is>
      </c>
      <c r="E25" s="53" t="n"/>
      <c r="F25" s="53" t="n"/>
      <c r="G25" s="69" t="inlineStr">
        <is>
          <t>A</t>
        </is>
      </c>
      <c r="H25" s="70">
        <f>IF($G25="A",CONFIG!$B$5,IF($G25="B",CONFIG!$B$6,IF($G25="C",CONFIG!$B$7,IF($G25="Todos","Todos os turnos",""))))</f>
        <v/>
      </c>
      <c r="I25" s="53" t="n"/>
      <c r="J25" s="71" t="inlineStr">
        <is>
          <t>—</t>
        </is>
      </c>
      <c r="K25" s="53" t="n"/>
      <c r="L25" s="72" t="n"/>
      <c r="M25" s="53" t="n"/>
      <c r="N25" s="73" t="n"/>
      <c r="O25" s="74" t="n"/>
      <c r="P25" s="75" t="n"/>
      <c r="Q25" s="53" t="n"/>
      <c r="R25" s="76">
        <f>IF($C25="","",IF($O25="Cancelada","Cancelada",IF($O25="Reprovado","Reprovada",IF($O25="Aprovado","Aprovada",IF($L25&lt;&gt;"","Entregue",IF(TODAY()&gt;$C25,"Atrasada","Pendente"))))))</f>
        <v/>
      </c>
    </row>
    <row r="26">
      <c r="A26" s="65" t="inlineStr">
        <is>
          <t>SET-S36-SUP-B</t>
        </is>
      </c>
      <c r="B26" s="66" t="inlineStr">
        <is>
          <t>S36</t>
        </is>
      </c>
      <c r="C26" s="67" t="n">
        <v>46266</v>
      </c>
      <c r="D26" s="68" t="inlineStr">
        <is>
          <t>Suporte de Supervisores</t>
        </is>
      </c>
      <c r="E26" s="53" t="n"/>
      <c r="F26" s="53" t="n"/>
      <c r="G26" s="69" t="inlineStr">
        <is>
          <t>B</t>
        </is>
      </c>
      <c r="H26" s="70">
        <f>IF($G26="A",CONFIG!$B$5,IF($G26="B",CONFIG!$B$6,IF($G26="C",CONFIG!$B$7,IF($G26="Todos","Todos os turnos",""))))</f>
        <v/>
      </c>
      <c r="I26" s="53" t="n"/>
      <c r="J26" s="71" t="inlineStr">
        <is>
          <t>—</t>
        </is>
      </c>
      <c r="K26" s="53" t="n"/>
      <c r="L26" s="72" t="n"/>
      <c r="M26" s="53" t="n"/>
      <c r="N26" s="73" t="n"/>
      <c r="O26" s="74" t="n"/>
      <c r="P26" s="75" t="n"/>
      <c r="Q26" s="53" t="n"/>
      <c r="R26" s="76">
        <f>IF($C26="","",IF($O26="Cancelada","Cancelada",IF($O26="Reprovado","Reprovada",IF($O26="Aprovado","Aprovada",IF($L26&lt;&gt;"","Entregue",IF(TODAY()&gt;$C26,"Atrasada","Pendente"))))))</f>
        <v/>
      </c>
    </row>
    <row r="27">
      <c r="A27" s="65" t="inlineStr">
        <is>
          <t>SET-S36-SUP-C</t>
        </is>
      </c>
      <c r="B27" s="66" t="inlineStr">
        <is>
          <t>S36</t>
        </is>
      </c>
      <c r="C27" s="67" t="n">
        <v>46266</v>
      </c>
      <c r="D27" s="68" t="inlineStr">
        <is>
          <t>Suporte de Supervisores</t>
        </is>
      </c>
      <c r="E27" s="53" t="n"/>
      <c r="F27" s="53" t="n"/>
      <c r="G27" s="69" t="inlineStr">
        <is>
          <t>C</t>
        </is>
      </c>
      <c r="H27" s="70">
        <f>IF($G27="A",CONFIG!$B$5,IF($G27="B",CONFIG!$B$6,IF($G27="C",CONFIG!$B$7,IF($G27="Todos","Todos os turnos",""))))</f>
        <v/>
      </c>
      <c r="I27" s="53" t="n"/>
      <c r="J27" s="71" t="inlineStr">
        <is>
          <t>—</t>
        </is>
      </c>
      <c r="K27" s="53" t="n"/>
      <c r="L27" s="72" t="n"/>
      <c r="M27" s="53" t="n"/>
      <c r="N27" s="73" t="n"/>
      <c r="O27" s="74" t="n"/>
      <c r="P27" s="75" t="n"/>
      <c r="Q27" s="53" t="n"/>
      <c r="R27" s="76">
        <f>IF($C27="","",IF($O27="Cancelada","Cancelada",IF($O27="Reprovado","Reprovada",IF($O27="Aprovado","Aprovada",IF($L27&lt;&gt;"","Entregue",IF(TODAY()&gt;$C27,"Atrasada","Pendente"))))))</f>
        <v/>
      </c>
    </row>
    <row r="28">
      <c r="A28" s="65" t="inlineStr">
        <is>
          <t>SET-S36-VIS-A</t>
        </is>
      </c>
      <c r="B28" s="66" t="inlineStr">
        <is>
          <t>S36</t>
        </is>
      </c>
      <c r="C28" s="67" t="n">
        <v>46267</v>
      </c>
      <c r="D28" s="68" t="inlineStr">
        <is>
          <t>Acomp. Organizacional Setorial (Vistoria)</t>
        </is>
      </c>
      <c r="E28" s="53" t="n"/>
      <c r="F28" s="53" t="n"/>
      <c r="G28" s="69" t="inlineStr">
        <is>
          <t>A</t>
        </is>
      </c>
      <c r="H28" s="70">
        <f>IF($G28="A",CONFIG!$B$5,IF($G28="B",CONFIG!$B$6,IF($G28="C",CONFIG!$B$7,IF($G28="Todos","Todos os turnos",""))))</f>
        <v/>
      </c>
      <c r="I28" s="53" t="n"/>
      <c r="J28" s="77" t="n"/>
      <c r="K28" s="53" t="n"/>
      <c r="L28" s="72" t="n"/>
      <c r="M28" s="53" t="n"/>
      <c r="N28" s="73" t="n"/>
      <c r="O28" s="74" t="n"/>
      <c r="P28" s="75" t="n"/>
      <c r="Q28" s="53" t="n"/>
      <c r="R28" s="76">
        <f>IF($C28="","",IF($O28="Cancelada","Cancelada",IF($O28="Reprovado","Reprovada",IF($O28="Aprovado","Aprovada",IF($L28&lt;&gt;"","Entregue",IF(TODAY()&gt;$C28,"Atrasada","Pendente"))))))</f>
        <v/>
      </c>
    </row>
    <row r="29">
      <c r="A29" s="65" t="inlineStr">
        <is>
          <t>SET-S36-VIS-B</t>
        </is>
      </c>
      <c r="B29" s="66" t="inlineStr">
        <is>
          <t>S36</t>
        </is>
      </c>
      <c r="C29" s="67" t="n">
        <v>46267</v>
      </c>
      <c r="D29" s="68" t="inlineStr">
        <is>
          <t>Acomp. Organizacional Setorial (Vistoria)</t>
        </is>
      </c>
      <c r="E29" s="53" t="n"/>
      <c r="F29" s="53" t="n"/>
      <c r="G29" s="69" t="inlineStr">
        <is>
          <t>B</t>
        </is>
      </c>
      <c r="H29" s="70">
        <f>IF($G29="A",CONFIG!$B$5,IF($G29="B",CONFIG!$B$6,IF($G29="C",CONFIG!$B$7,IF($G29="Todos","Todos os turnos",""))))</f>
        <v/>
      </c>
      <c r="I29" s="53" t="n"/>
      <c r="J29" s="77" t="n"/>
      <c r="K29" s="53" t="n"/>
      <c r="L29" s="72" t="n"/>
      <c r="M29" s="53" t="n"/>
      <c r="N29" s="73" t="n"/>
      <c r="O29" s="74" t="n"/>
      <c r="P29" s="75" t="n"/>
      <c r="Q29" s="53" t="n"/>
      <c r="R29" s="76">
        <f>IF($C29="","",IF($O29="Cancelada","Cancelada",IF($O29="Reprovado","Reprovada",IF($O29="Aprovado","Aprovada",IF($L29&lt;&gt;"","Entregue",IF(TODAY()&gt;$C29,"Atrasada","Pendente"))))))</f>
        <v/>
      </c>
    </row>
    <row r="30">
      <c r="A30" s="65" t="inlineStr">
        <is>
          <t>SET-S36-VIS-C</t>
        </is>
      </c>
      <c r="B30" s="66" t="inlineStr">
        <is>
          <t>S36</t>
        </is>
      </c>
      <c r="C30" s="67" t="n">
        <v>46267</v>
      </c>
      <c r="D30" s="68" t="inlineStr">
        <is>
          <t>Acomp. Organizacional Setorial (Vistoria)</t>
        </is>
      </c>
      <c r="E30" s="53" t="n"/>
      <c r="F30" s="53" t="n"/>
      <c r="G30" s="69" t="inlineStr">
        <is>
          <t>C</t>
        </is>
      </c>
      <c r="H30" s="70">
        <f>IF($G30="A",CONFIG!$B$5,IF($G30="B",CONFIG!$B$6,IF($G30="C",CONFIG!$B$7,IF($G30="Todos","Todos os turnos",""))))</f>
        <v/>
      </c>
      <c r="I30" s="53" t="n"/>
      <c r="J30" s="77" t="n"/>
      <c r="K30" s="53" t="n"/>
      <c r="L30" s="72" t="n"/>
      <c r="M30" s="53" t="n"/>
      <c r="N30" s="73" t="n"/>
      <c r="O30" s="74" t="n"/>
      <c r="P30" s="75" t="n"/>
      <c r="Q30" s="53" t="n"/>
      <c r="R30" s="76">
        <f>IF($C30="","",IF($O30="Cancelada","Cancelada",IF($O30="Reprovado","Reprovada",IF($O30="Aprovado","Aprovada",IF($L30&lt;&gt;"","Entregue",IF(TODAY()&gt;$C30,"Atrasada","Pendente"))))))</f>
        <v/>
      </c>
    </row>
    <row r="31">
      <c r="A31" s="65" t="inlineStr">
        <is>
          <t>SET-S36-MET-A</t>
        </is>
      </c>
      <c r="B31" s="66" t="inlineStr">
        <is>
          <t>S36</t>
        </is>
      </c>
      <c r="C31" s="67" t="n">
        <v>46268</v>
      </c>
      <c r="D31" s="68" t="inlineStr">
        <is>
          <t>Metas</t>
        </is>
      </c>
      <c r="E31" s="53" t="n"/>
      <c r="F31" s="53" t="n"/>
      <c r="G31" s="69" t="inlineStr">
        <is>
          <t>A</t>
        </is>
      </c>
      <c r="H31" s="70">
        <f>IF($G31="A",CONFIG!$B$5,IF($G31="B",CONFIG!$B$6,IF($G31="C",CONFIG!$B$7,IF($G31="Todos","Todos os turnos",""))))</f>
        <v/>
      </c>
      <c r="I31" s="53" t="n"/>
      <c r="J31" s="71" t="inlineStr">
        <is>
          <t>—</t>
        </is>
      </c>
      <c r="K31" s="53" t="n"/>
      <c r="L31" s="72" t="n"/>
      <c r="M31" s="53" t="n"/>
      <c r="N31" s="73" t="n"/>
      <c r="O31" s="74" t="n"/>
      <c r="P31" s="75" t="n"/>
      <c r="Q31" s="53" t="n"/>
      <c r="R31" s="76">
        <f>IF($C31="","",IF($O31="Cancelada","Cancelada",IF($O31="Reprovado","Reprovada",IF($O31="Aprovado","Aprovada",IF($L31&lt;&gt;"","Entregue",IF(TODAY()&gt;$C31,"Atrasada","Pendente"))))))</f>
        <v/>
      </c>
    </row>
    <row r="32">
      <c r="A32" s="65" t="inlineStr">
        <is>
          <t>SET-S36-MET-B</t>
        </is>
      </c>
      <c r="B32" s="66" t="inlineStr">
        <is>
          <t>S36</t>
        </is>
      </c>
      <c r="C32" s="67" t="n">
        <v>46268</v>
      </c>
      <c r="D32" s="68" t="inlineStr">
        <is>
          <t>Metas</t>
        </is>
      </c>
      <c r="E32" s="53" t="n"/>
      <c r="F32" s="53" t="n"/>
      <c r="G32" s="69" t="inlineStr">
        <is>
          <t>B</t>
        </is>
      </c>
      <c r="H32" s="70">
        <f>IF($G32="A",CONFIG!$B$5,IF($G32="B",CONFIG!$B$6,IF($G32="C",CONFIG!$B$7,IF($G32="Todos","Todos os turnos",""))))</f>
        <v/>
      </c>
      <c r="I32" s="53" t="n"/>
      <c r="J32" s="71" t="inlineStr">
        <is>
          <t>—</t>
        </is>
      </c>
      <c r="K32" s="53" t="n"/>
      <c r="L32" s="72" t="n"/>
      <c r="M32" s="53" t="n"/>
      <c r="N32" s="73" t="n"/>
      <c r="O32" s="74" t="n"/>
      <c r="P32" s="75" t="n"/>
      <c r="Q32" s="53" t="n"/>
      <c r="R32" s="76">
        <f>IF($C32="","",IF($O32="Cancelada","Cancelada",IF($O32="Reprovado","Reprovada",IF($O32="Aprovado","Aprovada",IF($L32&lt;&gt;"","Entregue",IF(TODAY()&gt;$C32,"Atrasada","Pendente"))))))</f>
        <v/>
      </c>
    </row>
    <row r="33">
      <c r="A33" s="65" t="inlineStr">
        <is>
          <t>SET-S36-MET-C</t>
        </is>
      </c>
      <c r="B33" s="66" t="inlineStr">
        <is>
          <t>S36</t>
        </is>
      </c>
      <c r="C33" s="67" t="n">
        <v>46268</v>
      </c>
      <c r="D33" s="68" t="inlineStr">
        <is>
          <t>Metas</t>
        </is>
      </c>
      <c r="E33" s="53" t="n"/>
      <c r="F33" s="53" t="n"/>
      <c r="G33" s="69" t="inlineStr">
        <is>
          <t>C</t>
        </is>
      </c>
      <c r="H33" s="70">
        <f>IF($G33="A",CONFIG!$B$5,IF($G33="B",CONFIG!$B$6,IF($G33="C",CONFIG!$B$7,IF($G33="Todos","Todos os turnos",""))))</f>
        <v/>
      </c>
      <c r="I33" s="53" t="n"/>
      <c r="J33" s="71" t="inlineStr">
        <is>
          <t>—</t>
        </is>
      </c>
      <c r="K33" s="53" t="n"/>
      <c r="L33" s="72" t="n"/>
      <c r="M33" s="53" t="n"/>
      <c r="N33" s="73" t="n"/>
      <c r="O33" s="74" t="n"/>
      <c r="P33" s="75" t="n"/>
      <c r="Q33" s="53" t="n"/>
      <c r="R33" s="76">
        <f>IF($C33="","",IF($O33="Cancelada","Cancelada",IF($O33="Reprovado","Reprovada",IF($O33="Aprovado","Aprovada",IF($L33&lt;&gt;"","Entregue",IF(TODAY()&gt;$C33,"Atrasada","Pendente"))))))</f>
        <v/>
      </c>
    </row>
    <row r="34">
      <c r="A34" s="65" t="inlineStr">
        <is>
          <t>SET-S36-ACO-A</t>
        </is>
      </c>
      <c r="B34" s="66" t="inlineStr">
        <is>
          <t>S36</t>
        </is>
      </c>
      <c r="C34" s="67" t="n">
        <v>46269</v>
      </c>
      <c r="D34" s="68" t="inlineStr">
        <is>
          <t>Acompanhamento Semanal c/ Supervisores</t>
        </is>
      </c>
      <c r="E34" s="53" t="n"/>
      <c r="F34" s="53" t="n"/>
      <c r="G34" s="69" t="inlineStr">
        <is>
          <t>A</t>
        </is>
      </c>
      <c r="H34" s="70">
        <f>IF($G34="A",CONFIG!$B$5,IF($G34="B",CONFIG!$B$6,IF($G34="C",CONFIG!$B$7,IF($G34="Todos","Todos os turnos",""))))</f>
        <v/>
      </c>
      <c r="I34" s="53" t="n"/>
      <c r="J34" s="71" t="inlineStr">
        <is>
          <t>—</t>
        </is>
      </c>
      <c r="K34" s="53" t="n"/>
      <c r="L34" s="72" t="n"/>
      <c r="M34" s="53" t="n"/>
      <c r="N34" s="73" t="n"/>
      <c r="O34" s="74" t="n"/>
      <c r="P34" s="75" t="n"/>
      <c r="Q34" s="53" t="n"/>
      <c r="R34" s="76">
        <f>IF($C34="","",IF($O34="Cancelada","Cancelada",IF($O34="Reprovado","Reprovada",IF($O34="Aprovado","Aprovada",IF($L34&lt;&gt;"","Entregue",IF(TODAY()&gt;$C34,"Atrasada","Pendente"))))))</f>
        <v/>
      </c>
    </row>
    <row r="35">
      <c r="A35" s="65" t="inlineStr">
        <is>
          <t>SET-S36-ACO-B</t>
        </is>
      </c>
      <c r="B35" s="66" t="inlineStr">
        <is>
          <t>S36</t>
        </is>
      </c>
      <c r="C35" s="67" t="n">
        <v>46269</v>
      </c>
      <c r="D35" s="68" t="inlineStr">
        <is>
          <t>Acompanhamento Semanal c/ Supervisores</t>
        </is>
      </c>
      <c r="E35" s="53" t="n"/>
      <c r="F35" s="53" t="n"/>
      <c r="G35" s="69" t="inlineStr">
        <is>
          <t>B</t>
        </is>
      </c>
      <c r="H35" s="70">
        <f>IF($G35="A",CONFIG!$B$5,IF($G35="B",CONFIG!$B$6,IF($G35="C",CONFIG!$B$7,IF($G35="Todos","Todos os turnos",""))))</f>
        <v/>
      </c>
      <c r="I35" s="53" t="n"/>
      <c r="J35" s="71" t="inlineStr">
        <is>
          <t>—</t>
        </is>
      </c>
      <c r="K35" s="53" t="n"/>
      <c r="L35" s="72" t="n"/>
      <c r="M35" s="53" t="n"/>
      <c r="N35" s="73" t="n"/>
      <c r="O35" s="74" t="n"/>
      <c r="P35" s="75" t="n"/>
      <c r="Q35" s="53" t="n"/>
      <c r="R35" s="76">
        <f>IF($C35="","",IF($O35="Cancelada","Cancelada",IF($O35="Reprovado","Reprovada",IF($O35="Aprovado","Aprovada",IF($L35&lt;&gt;"","Entregue",IF(TODAY()&gt;$C35,"Atrasada","Pendente"))))))</f>
        <v/>
      </c>
    </row>
    <row r="36">
      <c r="A36" s="65" t="inlineStr">
        <is>
          <t>SET-S36-ACO-C</t>
        </is>
      </c>
      <c r="B36" s="66" t="inlineStr">
        <is>
          <t>S36</t>
        </is>
      </c>
      <c r="C36" s="67" t="n">
        <v>46269</v>
      </c>
      <c r="D36" s="68" t="inlineStr">
        <is>
          <t>Acompanhamento Semanal c/ Supervisores</t>
        </is>
      </c>
      <c r="E36" s="53" t="n"/>
      <c r="F36" s="53" t="n"/>
      <c r="G36" s="69" t="inlineStr">
        <is>
          <t>C</t>
        </is>
      </c>
      <c r="H36" s="70">
        <f>IF($G36="A",CONFIG!$B$5,IF($G36="B",CONFIG!$B$6,IF($G36="C",CONFIG!$B$7,IF($G36="Todos","Todos os turnos",""))))</f>
        <v/>
      </c>
      <c r="I36" s="53" t="n"/>
      <c r="J36" s="71" t="inlineStr">
        <is>
          <t>—</t>
        </is>
      </c>
      <c r="K36" s="53" t="n"/>
      <c r="L36" s="72" t="n"/>
      <c r="M36" s="53" t="n"/>
      <c r="N36" s="73" t="n"/>
      <c r="O36" s="74" t="n"/>
      <c r="P36" s="75" t="n"/>
      <c r="Q36" s="53" t="n"/>
      <c r="R36" s="76">
        <f>IF($C36="","",IF($O36="Cancelada","Cancelada",IF($O36="Reprovado","Reprovada",IF($O36="Aprovado","Aprovada",IF($L36&lt;&gt;"","Entregue",IF(TODAY()&gt;$C36,"Atrasada","Pendente"))))))</f>
        <v/>
      </c>
    </row>
    <row r="37">
      <c r="A37" s="65" t="inlineStr">
        <is>
          <t>SET-S36-FAL-A</t>
        </is>
      </c>
      <c r="B37" s="66" t="inlineStr">
        <is>
          <t>S36</t>
        </is>
      </c>
      <c r="C37" s="67" t="n">
        <v>46269</v>
      </c>
      <c r="D37" s="68" t="inlineStr">
        <is>
          <t>Faltas e Atestados</t>
        </is>
      </c>
      <c r="E37" s="53" t="n"/>
      <c r="F37" s="53" t="n"/>
      <c r="G37" s="69" t="inlineStr">
        <is>
          <t>A</t>
        </is>
      </c>
      <c r="H37" s="70">
        <f>IF($G37="A",CONFIG!$B$5,IF($G37="B",CONFIG!$B$6,IF($G37="C",CONFIG!$B$7,IF($G37="Todos","Todos os turnos",""))))</f>
        <v/>
      </c>
      <c r="I37" s="53" t="n"/>
      <c r="J37" s="71" t="inlineStr">
        <is>
          <t>—</t>
        </is>
      </c>
      <c r="K37" s="53" t="n"/>
      <c r="L37" s="72" t="n"/>
      <c r="M37" s="53" t="n"/>
      <c r="N37" s="73" t="n"/>
      <c r="O37" s="74" t="n"/>
      <c r="P37" s="75" t="n"/>
      <c r="Q37" s="53" t="n"/>
      <c r="R37" s="76">
        <f>IF($C37="","",IF($O37="Cancelada","Cancelada",IF($O37="Reprovado","Reprovada",IF($O37="Aprovado","Aprovada",IF($L37&lt;&gt;"","Entregue",IF(TODAY()&gt;$C37,"Atrasada","Pendente"))))))</f>
        <v/>
      </c>
    </row>
    <row r="38">
      <c r="A38" s="65" t="inlineStr">
        <is>
          <t>SET-S36-FAL-B</t>
        </is>
      </c>
      <c r="B38" s="66" t="inlineStr">
        <is>
          <t>S36</t>
        </is>
      </c>
      <c r="C38" s="67" t="n">
        <v>46269</v>
      </c>
      <c r="D38" s="68" t="inlineStr">
        <is>
          <t>Faltas e Atestados</t>
        </is>
      </c>
      <c r="E38" s="53" t="n"/>
      <c r="F38" s="53" t="n"/>
      <c r="G38" s="69" t="inlineStr">
        <is>
          <t>B</t>
        </is>
      </c>
      <c r="H38" s="70">
        <f>IF($G38="A",CONFIG!$B$5,IF($G38="B",CONFIG!$B$6,IF($G38="C",CONFIG!$B$7,IF($G38="Todos","Todos os turnos",""))))</f>
        <v/>
      </c>
      <c r="I38" s="53" t="n"/>
      <c r="J38" s="71" t="inlineStr">
        <is>
          <t>—</t>
        </is>
      </c>
      <c r="K38" s="53" t="n"/>
      <c r="L38" s="72" t="n"/>
      <c r="M38" s="53" t="n"/>
      <c r="N38" s="73" t="n"/>
      <c r="O38" s="74" t="n"/>
      <c r="P38" s="75" t="n"/>
      <c r="Q38" s="53" t="n"/>
      <c r="R38" s="76">
        <f>IF($C38="","",IF($O38="Cancelada","Cancelada",IF($O38="Reprovado","Reprovada",IF($O38="Aprovado","Aprovada",IF($L38&lt;&gt;"","Entregue",IF(TODAY()&gt;$C38,"Atrasada","Pendente"))))))</f>
        <v/>
      </c>
    </row>
    <row r="39">
      <c r="A39" s="65" t="inlineStr">
        <is>
          <t>SET-S36-FAL-C</t>
        </is>
      </c>
      <c r="B39" s="66" t="inlineStr">
        <is>
          <t>S36</t>
        </is>
      </c>
      <c r="C39" s="67" t="n">
        <v>46269</v>
      </c>
      <c r="D39" s="68" t="inlineStr">
        <is>
          <t>Faltas e Atestados</t>
        </is>
      </c>
      <c r="E39" s="53" t="n"/>
      <c r="F39" s="53" t="n"/>
      <c r="G39" s="69" t="inlineStr">
        <is>
          <t>C</t>
        </is>
      </c>
      <c r="H39" s="70">
        <f>IF($G39="A",CONFIG!$B$5,IF($G39="B",CONFIG!$B$6,IF($G39="C",CONFIG!$B$7,IF($G39="Todos","Todos os turnos",""))))</f>
        <v/>
      </c>
      <c r="I39" s="53" t="n"/>
      <c r="J39" s="71" t="inlineStr">
        <is>
          <t>—</t>
        </is>
      </c>
      <c r="K39" s="53" t="n"/>
      <c r="L39" s="72" t="n"/>
      <c r="M39" s="53" t="n"/>
      <c r="N39" s="73" t="n"/>
      <c r="O39" s="74" t="n"/>
      <c r="P39" s="75" t="n"/>
      <c r="Q39" s="53" t="n"/>
      <c r="R39" s="76">
        <f>IF($C39="","",IF($O39="Cancelada","Cancelada",IF($O39="Reprovado","Reprovada",IF($O39="Aprovado","Aprovada",IF($L39&lt;&gt;"","Entregue",IF(TODAY()&gt;$C39,"Atrasada","Pendente"))))))</f>
        <v/>
      </c>
    </row>
    <row r="40">
      <c r="A40" s="65" t="inlineStr">
        <is>
          <t>SET-S36-REU-T</t>
        </is>
      </c>
      <c r="B40" s="66" t="inlineStr">
        <is>
          <t>S36</t>
        </is>
      </c>
      <c r="C40" s="67" t="n">
        <v>46269</v>
      </c>
      <c r="D40" s="68" t="inlineStr">
        <is>
          <t>Reunião Semanal com a Gerência</t>
        </is>
      </c>
      <c r="E40" s="53" t="n"/>
      <c r="F40" s="53" t="n"/>
      <c r="G40" s="69" t="inlineStr">
        <is>
          <t>Todos</t>
        </is>
      </c>
      <c r="H40" s="70">
        <f>IF($G40="A",CONFIG!$B$5,IF($G40="B",CONFIG!$B$6,IF($G40="C",CONFIG!$B$7,IF($G40="Todos","Todos os turnos",""))))</f>
        <v/>
      </c>
      <c r="I40" s="53" t="n"/>
      <c r="J40" s="71" t="inlineStr">
        <is>
          <t>—</t>
        </is>
      </c>
      <c r="K40" s="53" t="n"/>
      <c r="L40" s="72" t="n"/>
      <c r="M40" s="53" t="n"/>
      <c r="N40" s="73" t="n"/>
      <c r="O40" s="74" t="n"/>
      <c r="P40" s="75" t="n"/>
      <c r="Q40" s="53" t="n"/>
      <c r="R40" s="76">
        <f>IF($C40="","",IF($O40="Cancelada","Cancelada",IF($O40="Reprovado","Reprovada",IF($O40="Aprovado","Aprovada",IF($L40&lt;&gt;"","Entregue",IF(TODAY()&gt;$C40,"Atrasada","Pendente"))))))</f>
        <v/>
      </c>
    </row>
    <row r="41">
      <c r="A41" s="65" t="inlineStr">
        <is>
          <t>SET-S37-FER-A</t>
        </is>
      </c>
      <c r="B41" s="66" t="inlineStr">
        <is>
          <t>S37</t>
        </is>
      </c>
      <c r="C41" s="67" t="n">
        <v>46272</v>
      </c>
      <c r="D41" s="68" t="inlineStr">
        <is>
          <t>Programação de Férias (mensal)</t>
        </is>
      </c>
      <c r="E41" s="53" t="n"/>
      <c r="F41" s="53" t="n"/>
      <c r="G41" s="69" t="inlineStr">
        <is>
          <t>A</t>
        </is>
      </c>
      <c r="H41" s="70">
        <f>IF($G41="A",CONFIG!$B$5,IF($G41="B",CONFIG!$B$6,IF($G41="C",CONFIG!$B$7,IF($G41="Todos","Todos os turnos",""))))</f>
        <v/>
      </c>
      <c r="I41" s="53" t="n"/>
      <c r="J41" s="71" t="inlineStr">
        <is>
          <t>—</t>
        </is>
      </c>
      <c r="K41" s="53" t="n"/>
      <c r="L41" s="72" t="n"/>
      <c r="M41" s="53" t="n"/>
      <c r="N41" s="73" t="n"/>
      <c r="O41" s="74" t="n"/>
      <c r="P41" s="75" t="n"/>
      <c r="Q41" s="53" t="n"/>
      <c r="R41" s="76">
        <f>IF($C41="","",IF($O41="Cancelada","Cancelada",IF($O41="Reprovado","Reprovada",IF($O41="Aprovado","Aprovada",IF($L41&lt;&gt;"","Entregue",IF(TODAY()&gt;$C41,"Atrasada","Pendente"))))))</f>
        <v/>
      </c>
    </row>
    <row r="42">
      <c r="A42" s="65" t="inlineStr">
        <is>
          <t>SET-S37-FER-B</t>
        </is>
      </c>
      <c r="B42" s="66" t="inlineStr">
        <is>
          <t>S37</t>
        </is>
      </c>
      <c r="C42" s="67" t="n">
        <v>46272</v>
      </c>
      <c r="D42" s="68" t="inlineStr">
        <is>
          <t>Programação de Férias (mensal)</t>
        </is>
      </c>
      <c r="E42" s="53" t="n"/>
      <c r="F42" s="53" t="n"/>
      <c r="G42" s="69" t="inlineStr">
        <is>
          <t>B</t>
        </is>
      </c>
      <c r="H42" s="70">
        <f>IF($G42="A",CONFIG!$B$5,IF($G42="B",CONFIG!$B$6,IF($G42="C",CONFIG!$B$7,IF($G42="Todos","Todos os turnos",""))))</f>
        <v/>
      </c>
      <c r="I42" s="53" t="n"/>
      <c r="J42" s="71" t="inlineStr">
        <is>
          <t>—</t>
        </is>
      </c>
      <c r="K42" s="53" t="n"/>
      <c r="L42" s="72" t="n"/>
      <c r="M42" s="53" t="n"/>
      <c r="N42" s="73" t="n"/>
      <c r="O42" s="74" t="n"/>
      <c r="P42" s="75" t="n"/>
      <c r="Q42" s="53" t="n"/>
      <c r="R42" s="76">
        <f>IF($C42="","",IF($O42="Cancelada","Cancelada",IF($O42="Reprovado","Reprovada",IF($O42="Aprovado","Aprovada",IF($L42&lt;&gt;"","Entregue",IF(TODAY()&gt;$C42,"Atrasada","Pendente"))))))</f>
        <v/>
      </c>
    </row>
    <row r="43">
      <c r="A43" s="65" t="inlineStr">
        <is>
          <t>SET-S37-FER-C</t>
        </is>
      </c>
      <c r="B43" s="66" t="inlineStr">
        <is>
          <t>S37</t>
        </is>
      </c>
      <c r="C43" s="67" t="n">
        <v>46272</v>
      </c>
      <c r="D43" s="68" t="inlineStr">
        <is>
          <t>Programação de Férias (mensal)</t>
        </is>
      </c>
      <c r="E43" s="53" t="n"/>
      <c r="F43" s="53" t="n"/>
      <c r="G43" s="69" t="inlineStr">
        <is>
          <t>C</t>
        </is>
      </c>
      <c r="H43" s="70">
        <f>IF($G43="A",CONFIG!$B$5,IF($G43="B",CONFIG!$B$6,IF($G43="C",CONFIG!$B$7,IF($G43="Todos","Todos os turnos",""))))</f>
        <v/>
      </c>
      <c r="I43" s="53" t="n"/>
      <c r="J43" s="71" t="inlineStr">
        <is>
          <t>—</t>
        </is>
      </c>
      <c r="K43" s="53" t="n"/>
      <c r="L43" s="72" t="n"/>
      <c r="M43" s="53" t="n"/>
      <c r="N43" s="73" t="n"/>
      <c r="O43" s="74" t="n"/>
      <c r="P43" s="75" t="n"/>
      <c r="Q43" s="53" t="n"/>
      <c r="R43" s="76">
        <f>IF($C43="","",IF($O43="Cancelada","Cancelada",IF($O43="Reprovado","Reprovada",IF($O43="Aprovado","Aprovada",IF($L43&lt;&gt;"","Entregue",IF(TODAY()&gt;$C43,"Atrasada","Pendente"))))))</f>
        <v/>
      </c>
    </row>
    <row r="44">
      <c r="A44" s="65" t="inlineStr">
        <is>
          <t>SET-S37-ERR-A</t>
        </is>
      </c>
      <c r="B44" s="66" t="inlineStr">
        <is>
          <t>S37</t>
        </is>
      </c>
      <c r="C44" s="67" t="n">
        <v>46272</v>
      </c>
      <c r="D44" s="68" t="inlineStr">
        <is>
          <t>Levantamento de Erros Operacionais</t>
        </is>
      </c>
      <c r="E44" s="53" t="n"/>
      <c r="F44" s="53" t="n"/>
      <c r="G44" s="69" t="inlineStr">
        <is>
          <t>A</t>
        </is>
      </c>
      <c r="H44" s="70">
        <f>IF($G44="A",CONFIG!$B$5,IF($G44="B",CONFIG!$B$6,IF($G44="C",CONFIG!$B$7,IF($G44="Todos","Todos os turnos",""))))</f>
        <v/>
      </c>
      <c r="I44" s="53" t="n"/>
      <c r="J44" s="71" t="inlineStr">
        <is>
          <t>—</t>
        </is>
      </c>
      <c r="K44" s="53" t="n"/>
      <c r="L44" s="72" t="n"/>
      <c r="M44" s="53" t="n"/>
      <c r="N44" s="73" t="n"/>
      <c r="O44" s="74" t="n"/>
      <c r="P44" s="75" t="n"/>
      <c r="Q44" s="53" t="n"/>
      <c r="R44" s="76">
        <f>IF($C44="","",IF($O44="Cancelada","Cancelada",IF($O44="Reprovado","Reprovada",IF($O44="Aprovado","Aprovada",IF($L44&lt;&gt;"","Entregue",IF(TODAY()&gt;$C44,"Atrasada","Pendente"))))))</f>
        <v/>
      </c>
    </row>
    <row r="45">
      <c r="A45" s="65" t="inlineStr">
        <is>
          <t>SET-S37-ERR-B</t>
        </is>
      </c>
      <c r="B45" s="66" t="inlineStr">
        <is>
          <t>S37</t>
        </is>
      </c>
      <c r="C45" s="67" t="n">
        <v>46272</v>
      </c>
      <c r="D45" s="68" t="inlineStr">
        <is>
          <t>Levantamento de Erros Operacionais</t>
        </is>
      </c>
      <c r="E45" s="53" t="n"/>
      <c r="F45" s="53" t="n"/>
      <c r="G45" s="69" t="inlineStr">
        <is>
          <t>B</t>
        </is>
      </c>
      <c r="H45" s="70">
        <f>IF($G45="A",CONFIG!$B$5,IF($G45="B",CONFIG!$B$6,IF($G45="C",CONFIG!$B$7,IF($G45="Todos","Todos os turnos",""))))</f>
        <v/>
      </c>
      <c r="I45" s="53" t="n"/>
      <c r="J45" s="71" t="inlineStr">
        <is>
          <t>—</t>
        </is>
      </c>
      <c r="K45" s="53" t="n"/>
      <c r="L45" s="72" t="n"/>
      <c r="M45" s="53" t="n"/>
      <c r="N45" s="73" t="n"/>
      <c r="O45" s="74" t="n"/>
      <c r="P45" s="75" t="n"/>
      <c r="Q45" s="53" t="n"/>
      <c r="R45" s="76">
        <f>IF($C45="","",IF($O45="Cancelada","Cancelada",IF($O45="Reprovado","Reprovada",IF($O45="Aprovado","Aprovada",IF($L45&lt;&gt;"","Entregue",IF(TODAY()&gt;$C45,"Atrasada","Pendente"))))))</f>
        <v/>
      </c>
    </row>
    <row r="46">
      <c r="A46" s="65" t="inlineStr">
        <is>
          <t>SET-S37-ERR-C</t>
        </is>
      </c>
      <c r="B46" s="66" t="inlineStr">
        <is>
          <t>S37</t>
        </is>
      </c>
      <c r="C46" s="67" t="n">
        <v>46272</v>
      </c>
      <c r="D46" s="68" t="inlineStr">
        <is>
          <t>Levantamento de Erros Operacionais</t>
        </is>
      </c>
      <c r="E46" s="53" t="n"/>
      <c r="F46" s="53" t="n"/>
      <c r="G46" s="69" t="inlineStr">
        <is>
          <t>C</t>
        </is>
      </c>
      <c r="H46" s="70">
        <f>IF($G46="A",CONFIG!$B$5,IF($G46="B",CONFIG!$B$6,IF($G46="C",CONFIG!$B$7,IF($G46="Todos","Todos os turnos",""))))</f>
        <v/>
      </c>
      <c r="I46" s="53" t="n"/>
      <c r="J46" s="71" t="inlineStr">
        <is>
          <t>—</t>
        </is>
      </c>
      <c r="K46" s="53" t="n"/>
      <c r="L46" s="72" t="n"/>
      <c r="M46" s="53" t="n"/>
      <c r="N46" s="73" t="n"/>
      <c r="O46" s="74" t="n"/>
      <c r="P46" s="75" t="n"/>
      <c r="Q46" s="53" t="n"/>
      <c r="R46" s="76">
        <f>IF($C46="","",IF($O46="Cancelada","Cancelada",IF($O46="Reprovado","Reprovada",IF($O46="Aprovado","Aprovada",IF($L46&lt;&gt;"","Entregue",IF(TODAY()&gt;$C46,"Atrasada","Pendente"))))))</f>
        <v/>
      </c>
    </row>
    <row r="47">
      <c r="A47" s="65" t="inlineStr">
        <is>
          <t>SET-S37-SUP-A</t>
        </is>
      </c>
      <c r="B47" s="66" t="inlineStr">
        <is>
          <t>S37</t>
        </is>
      </c>
      <c r="C47" s="67" t="n">
        <v>46273</v>
      </c>
      <c r="D47" s="68" t="inlineStr">
        <is>
          <t>Suporte de Supervisores</t>
        </is>
      </c>
      <c r="E47" s="53" t="n"/>
      <c r="F47" s="53" t="n"/>
      <c r="G47" s="69" t="inlineStr">
        <is>
          <t>A</t>
        </is>
      </c>
      <c r="H47" s="70">
        <f>IF($G47="A",CONFIG!$B$5,IF($G47="B",CONFIG!$B$6,IF($G47="C",CONFIG!$B$7,IF($G47="Todos","Todos os turnos",""))))</f>
        <v/>
      </c>
      <c r="I47" s="53" t="n"/>
      <c r="J47" s="71" t="inlineStr">
        <is>
          <t>—</t>
        </is>
      </c>
      <c r="K47" s="53" t="n"/>
      <c r="L47" s="72" t="n"/>
      <c r="M47" s="53" t="n"/>
      <c r="N47" s="73" t="n"/>
      <c r="O47" s="74" t="n"/>
      <c r="P47" s="75" t="n"/>
      <c r="Q47" s="53" t="n"/>
      <c r="R47" s="76">
        <f>IF($C47="","",IF($O47="Cancelada","Cancelada",IF($O47="Reprovado","Reprovada",IF($O47="Aprovado","Aprovada",IF($L47&lt;&gt;"","Entregue",IF(TODAY()&gt;$C47,"Atrasada","Pendente"))))))</f>
        <v/>
      </c>
    </row>
    <row r="48">
      <c r="A48" s="65" t="inlineStr">
        <is>
          <t>SET-S37-SUP-B</t>
        </is>
      </c>
      <c r="B48" s="66" t="inlineStr">
        <is>
          <t>S37</t>
        </is>
      </c>
      <c r="C48" s="67" t="n">
        <v>46273</v>
      </c>
      <c r="D48" s="68" t="inlineStr">
        <is>
          <t>Suporte de Supervisores</t>
        </is>
      </c>
      <c r="E48" s="53" t="n"/>
      <c r="F48" s="53" t="n"/>
      <c r="G48" s="69" t="inlineStr">
        <is>
          <t>B</t>
        </is>
      </c>
      <c r="H48" s="70">
        <f>IF($G48="A",CONFIG!$B$5,IF($G48="B",CONFIG!$B$6,IF($G48="C",CONFIG!$B$7,IF($G48="Todos","Todos os turnos",""))))</f>
        <v/>
      </c>
      <c r="I48" s="53" t="n"/>
      <c r="J48" s="71" t="inlineStr">
        <is>
          <t>—</t>
        </is>
      </c>
      <c r="K48" s="53" t="n"/>
      <c r="L48" s="72" t="n"/>
      <c r="M48" s="53" t="n"/>
      <c r="N48" s="73" t="n"/>
      <c r="O48" s="74" t="n"/>
      <c r="P48" s="75" t="n"/>
      <c r="Q48" s="53" t="n"/>
      <c r="R48" s="76">
        <f>IF($C48="","",IF($O48="Cancelada","Cancelada",IF($O48="Reprovado","Reprovada",IF($O48="Aprovado","Aprovada",IF($L48&lt;&gt;"","Entregue",IF(TODAY()&gt;$C48,"Atrasada","Pendente"))))))</f>
        <v/>
      </c>
    </row>
    <row r="49">
      <c r="A49" s="65" t="inlineStr">
        <is>
          <t>SET-S37-SUP-C</t>
        </is>
      </c>
      <c r="B49" s="66" t="inlineStr">
        <is>
          <t>S37</t>
        </is>
      </c>
      <c r="C49" s="67" t="n">
        <v>46273</v>
      </c>
      <c r="D49" s="68" t="inlineStr">
        <is>
          <t>Suporte de Supervisores</t>
        </is>
      </c>
      <c r="E49" s="53" t="n"/>
      <c r="F49" s="53" t="n"/>
      <c r="G49" s="69" t="inlineStr">
        <is>
          <t>C</t>
        </is>
      </c>
      <c r="H49" s="70">
        <f>IF($G49="A",CONFIG!$B$5,IF($G49="B",CONFIG!$B$6,IF($G49="C",CONFIG!$B$7,IF($G49="Todos","Todos os turnos",""))))</f>
        <v/>
      </c>
      <c r="I49" s="53" t="n"/>
      <c r="J49" s="71" t="inlineStr">
        <is>
          <t>—</t>
        </is>
      </c>
      <c r="K49" s="53" t="n"/>
      <c r="L49" s="72" t="n"/>
      <c r="M49" s="53" t="n"/>
      <c r="N49" s="73" t="n"/>
      <c r="O49" s="74" t="n"/>
      <c r="P49" s="75" t="n"/>
      <c r="Q49" s="53" t="n"/>
      <c r="R49" s="76">
        <f>IF($C49="","",IF($O49="Cancelada","Cancelada",IF($O49="Reprovado","Reprovada",IF($O49="Aprovado","Aprovada",IF($L49&lt;&gt;"","Entregue",IF(TODAY()&gt;$C49,"Atrasada","Pendente"))))))</f>
        <v/>
      </c>
    </row>
    <row r="50">
      <c r="A50" s="65" t="inlineStr">
        <is>
          <t>SET-S37-VIS-A</t>
        </is>
      </c>
      <c r="B50" s="66" t="inlineStr">
        <is>
          <t>S37</t>
        </is>
      </c>
      <c r="C50" s="67" t="n">
        <v>46274</v>
      </c>
      <c r="D50" s="68" t="inlineStr">
        <is>
          <t>Acomp. Organizacional Setorial (Vistoria)</t>
        </is>
      </c>
      <c r="E50" s="53" t="n"/>
      <c r="F50" s="53" t="n"/>
      <c r="G50" s="69" t="inlineStr">
        <is>
          <t>A</t>
        </is>
      </c>
      <c r="H50" s="70">
        <f>IF($G50="A",CONFIG!$B$5,IF($G50="B",CONFIG!$B$6,IF($G50="C",CONFIG!$B$7,IF($G50="Todos","Todos os turnos",""))))</f>
        <v/>
      </c>
      <c r="I50" s="53" t="n"/>
      <c r="J50" s="77" t="n"/>
      <c r="K50" s="53" t="n"/>
      <c r="L50" s="72" t="n"/>
      <c r="M50" s="53" t="n"/>
      <c r="N50" s="73" t="n"/>
      <c r="O50" s="74" t="n"/>
      <c r="P50" s="75" t="n"/>
      <c r="Q50" s="53" t="n"/>
      <c r="R50" s="76">
        <f>IF($C50="","",IF($O50="Cancelada","Cancelada",IF($O50="Reprovado","Reprovada",IF($O50="Aprovado","Aprovada",IF($L50&lt;&gt;"","Entregue",IF(TODAY()&gt;$C50,"Atrasada","Pendente"))))))</f>
        <v/>
      </c>
    </row>
    <row r="51">
      <c r="A51" s="65" t="inlineStr">
        <is>
          <t>SET-S37-VIS-B</t>
        </is>
      </c>
      <c r="B51" s="66" t="inlineStr">
        <is>
          <t>S37</t>
        </is>
      </c>
      <c r="C51" s="67" t="n">
        <v>46274</v>
      </c>
      <c r="D51" s="68" t="inlineStr">
        <is>
          <t>Acomp. Organizacional Setorial (Vistoria)</t>
        </is>
      </c>
      <c r="E51" s="53" t="n"/>
      <c r="F51" s="53" t="n"/>
      <c r="G51" s="69" t="inlineStr">
        <is>
          <t>B</t>
        </is>
      </c>
      <c r="H51" s="70">
        <f>IF($G51="A",CONFIG!$B$5,IF($G51="B",CONFIG!$B$6,IF($G51="C",CONFIG!$B$7,IF($G51="Todos","Todos os turnos",""))))</f>
        <v/>
      </c>
      <c r="I51" s="53" t="n"/>
      <c r="J51" s="77" t="n"/>
      <c r="K51" s="53" t="n"/>
      <c r="L51" s="72" t="n"/>
      <c r="M51" s="53" t="n"/>
      <c r="N51" s="73" t="n"/>
      <c r="O51" s="74" t="n"/>
      <c r="P51" s="75" t="n"/>
      <c r="Q51" s="53" t="n"/>
      <c r="R51" s="76">
        <f>IF($C51="","",IF($O51="Cancelada","Cancelada",IF($O51="Reprovado","Reprovada",IF($O51="Aprovado","Aprovada",IF($L51&lt;&gt;"","Entregue",IF(TODAY()&gt;$C51,"Atrasada","Pendente"))))))</f>
        <v/>
      </c>
    </row>
    <row r="52">
      <c r="A52" s="65" t="inlineStr">
        <is>
          <t>SET-S37-VIS-C</t>
        </is>
      </c>
      <c r="B52" s="66" t="inlineStr">
        <is>
          <t>S37</t>
        </is>
      </c>
      <c r="C52" s="67" t="n">
        <v>46274</v>
      </c>
      <c r="D52" s="68" t="inlineStr">
        <is>
          <t>Acomp. Organizacional Setorial (Vistoria)</t>
        </is>
      </c>
      <c r="E52" s="53" t="n"/>
      <c r="F52" s="53" t="n"/>
      <c r="G52" s="69" t="inlineStr">
        <is>
          <t>C</t>
        </is>
      </c>
      <c r="H52" s="70">
        <f>IF($G52="A",CONFIG!$B$5,IF($G52="B",CONFIG!$B$6,IF($G52="C",CONFIG!$B$7,IF($G52="Todos","Todos os turnos",""))))</f>
        <v/>
      </c>
      <c r="I52" s="53" t="n"/>
      <c r="J52" s="77" t="n"/>
      <c r="K52" s="53" t="n"/>
      <c r="L52" s="72" t="n"/>
      <c r="M52" s="53" t="n"/>
      <c r="N52" s="73" t="n"/>
      <c r="O52" s="74" t="n"/>
      <c r="P52" s="75" t="n"/>
      <c r="Q52" s="53" t="n"/>
      <c r="R52" s="76">
        <f>IF($C52="","",IF($O52="Cancelada","Cancelada",IF($O52="Reprovado","Reprovada",IF($O52="Aprovado","Aprovada",IF($L52&lt;&gt;"","Entregue",IF(TODAY()&gt;$C52,"Atrasada","Pendente"))))))</f>
        <v/>
      </c>
    </row>
    <row r="53">
      <c r="A53" s="65" t="inlineStr">
        <is>
          <t>SET-S37-MET-A</t>
        </is>
      </c>
      <c r="B53" s="66" t="inlineStr">
        <is>
          <t>S37</t>
        </is>
      </c>
      <c r="C53" s="67" t="n">
        <v>46275</v>
      </c>
      <c r="D53" s="68" t="inlineStr">
        <is>
          <t>Metas</t>
        </is>
      </c>
      <c r="E53" s="53" t="n"/>
      <c r="F53" s="53" t="n"/>
      <c r="G53" s="69" t="inlineStr">
        <is>
          <t>A</t>
        </is>
      </c>
      <c r="H53" s="70">
        <f>IF($G53="A",CONFIG!$B$5,IF($G53="B",CONFIG!$B$6,IF($G53="C",CONFIG!$B$7,IF($G53="Todos","Todos os turnos",""))))</f>
        <v/>
      </c>
      <c r="I53" s="53" t="n"/>
      <c r="J53" s="71" t="inlineStr">
        <is>
          <t>—</t>
        </is>
      </c>
      <c r="K53" s="53" t="n"/>
      <c r="L53" s="72" t="n"/>
      <c r="M53" s="53" t="n"/>
      <c r="N53" s="73" t="n"/>
      <c r="O53" s="74" t="n"/>
      <c r="P53" s="75" t="n"/>
      <c r="Q53" s="53" t="n"/>
      <c r="R53" s="76">
        <f>IF($C53="","",IF($O53="Cancelada","Cancelada",IF($O53="Reprovado","Reprovada",IF($O53="Aprovado","Aprovada",IF($L53&lt;&gt;"","Entregue",IF(TODAY()&gt;$C53,"Atrasada","Pendente"))))))</f>
        <v/>
      </c>
    </row>
    <row r="54">
      <c r="A54" s="65" t="inlineStr">
        <is>
          <t>SET-S37-MET-B</t>
        </is>
      </c>
      <c r="B54" s="66" t="inlineStr">
        <is>
          <t>S37</t>
        </is>
      </c>
      <c r="C54" s="67" t="n">
        <v>46275</v>
      </c>
      <c r="D54" s="68" t="inlineStr">
        <is>
          <t>Metas</t>
        </is>
      </c>
      <c r="E54" s="53" t="n"/>
      <c r="F54" s="53" t="n"/>
      <c r="G54" s="69" t="inlineStr">
        <is>
          <t>B</t>
        </is>
      </c>
      <c r="H54" s="70">
        <f>IF($G54="A",CONFIG!$B$5,IF($G54="B",CONFIG!$B$6,IF($G54="C",CONFIG!$B$7,IF($G54="Todos","Todos os turnos",""))))</f>
        <v/>
      </c>
      <c r="I54" s="53" t="n"/>
      <c r="J54" s="71" t="inlineStr">
        <is>
          <t>—</t>
        </is>
      </c>
      <c r="K54" s="53" t="n"/>
      <c r="L54" s="72" t="n"/>
      <c r="M54" s="53" t="n"/>
      <c r="N54" s="73" t="n"/>
      <c r="O54" s="74" t="n"/>
      <c r="P54" s="75" t="n"/>
      <c r="Q54" s="53" t="n"/>
      <c r="R54" s="76">
        <f>IF($C54="","",IF($O54="Cancelada","Cancelada",IF($O54="Reprovado","Reprovada",IF($O54="Aprovado","Aprovada",IF($L54&lt;&gt;"","Entregue",IF(TODAY()&gt;$C54,"Atrasada","Pendente"))))))</f>
        <v/>
      </c>
    </row>
    <row r="55">
      <c r="A55" s="65" t="inlineStr">
        <is>
          <t>SET-S37-MET-C</t>
        </is>
      </c>
      <c r="B55" s="66" t="inlineStr">
        <is>
          <t>S37</t>
        </is>
      </c>
      <c r="C55" s="67" t="n">
        <v>46275</v>
      </c>
      <c r="D55" s="68" t="inlineStr">
        <is>
          <t>Metas</t>
        </is>
      </c>
      <c r="E55" s="53" t="n"/>
      <c r="F55" s="53" t="n"/>
      <c r="G55" s="69" t="inlineStr">
        <is>
          <t>C</t>
        </is>
      </c>
      <c r="H55" s="70">
        <f>IF($G55="A",CONFIG!$B$5,IF($G55="B",CONFIG!$B$6,IF($G55="C",CONFIG!$B$7,IF($G55="Todos","Todos os turnos",""))))</f>
        <v/>
      </c>
      <c r="I55" s="53" t="n"/>
      <c r="J55" s="71" t="inlineStr">
        <is>
          <t>—</t>
        </is>
      </c>
      <c r="K55" s="53" t="n"/>
      <c r="L55" s="72" t="n"/>
      <c r="M55" s="53" t="n"/>
      <c r="N55" s="73" t="n"/>
      <c r="O55" s="74" t="n"/>
      <c r="P55" s="75" t="n"/>
      <c r="Q55" s="53" t="n"/>
      <c r="R55" s="76">
        <f>IF($C55="","",IF($O55="Cancelada","Cancelada",IF($O55="Reprovado","Reprovada",IF($O55="Aprovado","Aprovada",IF($L55&lt;&gt;"","Entregue",IF(TODAY()&gt;$C55,"Atrasada","Pendente"))))))</f>
        <v/>
      </c>
    </row>
    <row r="56">
      <c r="A56" s="65" t="inlineStr">
        <is>
          <t>SET-S37-ACO-A</t>
        </is>
      </c>
      <c r="B56" s="66" t="inlineStr">
        <is>
          <t>S37</t>
        </is>
      </c>
      <c r="C56" s="67" t="n">
        <v>46276</v>
      </c>
      <c r="D56" s="68" t="inlineStr">
        <is>
          <t>Acompanhamento Semanal c/ Supervisores</t>
        </is>
      </c>
      <c r="E56" s="53" t="n"/>
      <c r="F56" s="53" t="n"/>
      <c r="G56" s="69" t="inlineStr">
        <is>
          <t>A</t>
        </is>
      </c>
      <c r="H56" s="70">
        <f>IF($G56="A",CONFIG!$B$5,IF($G56="B",CONFIG!$B$6,IF($G56="C",CONFIG!$B$7,IF($G56="Todos","Todos os turnos",""))))</f>
        <v/>
      </c>
      <c r="I56" s="53" t="n"/>
      <c r="J56" s="71" t="inlineStr">
        <is>
          <t>—</t>
        </is>
      </c>
      <c r="K56" s="53" t="n"/>
      <c r="L56" s="72" t="n"/>
      <c r="M56" s="53" t="n"/>
      <c r="N56" s="73" t="n"/>
      <c r="O56" s="74" t="n"/>
      <c r="P56" s="75" t="n"/>
      <c r="Q56" s="53" t="n"/>
      <c r="R56" s="76">
        <f>IF($C56="","",IF($O56="Cancelada","Cancelada",IF($O56="Reprovado","Reprovada",IF($O56="Aprovado","Aprovada",IF($L56&lt;&gt;"","Entregue",IF(TODAY()&gt;$C56,"Atrasada","Pendente"))))))</f>
        <v/>
      </c>
    </row>
    <row r="57">
      <c r="A57" s="65" t="inlineStr">
        <is>
          <t>SET-S37-ACO-B</t>
        </is>
      </c>
      <c r="B57" s="66" t="inlineStr">
        <is>
          <t>S37</t>
        </is>
      </c>
      <c r="C57" s="67" t="n">
        <v>46276</v>
      </c>
      <c r="D57" s="68" t="inlineStr">
        <is>
          <t>Acompanhamento Semanal c/ Supervisores</t>
        </is>
      </c>
      <c r="E57" s="53" t="n"/>
      <c r="F57" s="53" t="n"/>
      <c r="G57" s="69" t="inlineStr">
        <is>
          <t>B</t>
        </is>
      </c>
      <c r="H57" s="70">
        <f>IF($G57="A",CONFIG!$B$5,IF($G57="B",CONFIG!$B$6,IF($G57="C",CONFIG!$B$7,IF($G57="Todos","Todos os turnos",""))))</f>
        <v/>
      </c>
      <c r="I57" s="53" t="n"/>
      <c r="J57" s="71" t="inlineStr">
        <is>
          <t>—</t>
        </is>
      </c>
      <c r="K57" s="53" t="n"/>
      <c r="L57" s="72" t="n"/>
      <c r="M57" s="53" t="n"/>
      <c r="N57" s="73" t="n"/>
      <c r="O57" s="74" t="n"/>
      <c r="P57" s="75" t="n"/>
      <c r="Q57" s="53" t="n"/>
      <c r="R57" s="76">
        <f>IF($C57="","",IF($O57="Cancelada","Cancelada",IF($O57="Reprovado","Reprovada",IF($O57="Aprovado","Aprovada",IF($L57&lt;&gt;"","Entregue",IF(TODAY()&gt;$C57,"Atrasada","Pendente"))))))</f>
        <v/>
      </c>
    </row>
    <row r="58">
      <c r="A58" s="65" t="inlineStr">
        <is>
          <t>SET-S37-ACO-C</t>
        </is>
      </c>
      <c r="B58" s="66" t="inlineStr">
        <is>
          <t>S37</t>
        </is>
      </c>
      <c r="C58" s="67" t="n">
        <v>46276</v>
      </c>
      <c r="D58" s="68" t="inlineStr">
        <is>
          <t>Acompanhamento Semanal c/ Supervisores</t>
        </is>
      </c>
      <c r="E58" s="53" t="n"/>
      <c r="F58" s="53" t="n"/>
      <c r="G58" s="69" t="inlineStr">
        <is>
          <t>C</t>
        </is>
      </c>
      <c r="H58" s="70">
        <f>IF($G58="A",CONFIG!$B$5,IF($G58="B",CONFIG!$B$6,IF($G58="C",CONFIG!$B$7,IF($G58="Todos","Todos os turnos",""))))</f>
        <v/>
      </c>
      <c r="I58" s="53" t="n"/>
      <c r="J58" s="71" t="inlineStr">
        <is>
          <t>—</t>
        </is>
      </c>
      <c r="K58" s="53" t="n"/>
      <c r="L58" s="72" t="n"/>
      <c r="M58" s="53" t="n"/>
      <c r="N58" s="73" t="n"/>
      <c r="O58" s="74" t="n"/>
      <c r="P58" s="75" t="n"/>
      <c r="Q58" s="53" t="n"/>
      <c r="R58" s="76">
        <f>IF($C58="","",IF($O58="Cancelada","Cancelada",IF($O58="Reprovado","Reprovada",IF($O58="Aprovado","Aprovada",IF($L58&lt;&gt;"","Entregue",IF(TODAY()&gt;$C58,"Atrasada","Pendente"))))))</f>
        <v/>
      </c>
    </row>
    <row r="59">
      <c r="A59" s="65" t="inlineStr">
        <is>
          <t>SET-S37-FAL-A</t>
        </is>
      </c>
      <c r="B59" s="66" t="inlineStr">
        <is>
          <t>S37</t>
        </is>
      </c>
      <c r="C59" s="67" t="n">
        <v>46276</v>
      </c>
      <c r="D59" s="68" t="inlineStr">
        <is>
          <t>Faltas e Atestados</t>
        </is>
      </c>
      <c r="E59" s="53" t="n"/>
      <c r="F59" s="53" t="n"/>
      <c r="G59" s="69" t="inlineStr">
        <is>
          <t>A</t>
        </is>
      </c>
      <c r="H59" s="70">
        <f>IF($G59="A",CONFIG!$B$5,IF($G59="B",CONFIG!$B$6,IF($G59="C",CONFIG!$B$7,IF($G59="Todos","Todos os turnos",""))))</f>
        <v/>
      </c>
      <c r="I59" s="53" t="n"/>
      <c r="J59" s="71" t="inlineStr">
        <is>
          <t>—</t>
        </is>
      </c>
      <c r="K59" s="53" t="n"/>
      <c r="L59" s="72" t="n"/>
      <c r="M59" s="53" t="n"/>
      <c r="N59" s="73" t="n"/>
      <c r="O59" s="74" t="n"/>
      <c r="P59" s="75" t="n"/>
      <c r="Q59" s="53" t="n"/>
      <c r="R59" s="76">
        <f>IF($C59="","",IF($O59="Cancelada","Cancelada",IF($O59="Reprovado","Reprovada",IF($O59="Aprovado","Aprovada",IF($L59&lt;&gt;"","Entregue",IF(TODAY()&gt;$C59,"Atrasada","Pendente"))))))</f>
        <v/>
      </c>
    </row>
    <row r="60">
      <c r="A60" s="65" t="inlineStr">
        <is>
          <t>SET-S37-FAL-B</t>
        </is>
      </c>
      <c r="B60" s="66" t="inlineStr">
        <is>
          <t>S37</t>
        </is>
      </c>
      <c r="C60" s="67" t="n">
        <v>46276</v>
      </c>
      <c r="D60" s="68" t="inlineStr">
        <is>
          <t>Faltas e Atestados</t>
        </is>
      </c>
      <c r="E60" s="53" t="n"/>
      <c r="F60" s="53" t="n"/>
      <c r="G60" s="69" t="inlineStr">
        <is>
          <t>B</t>
        </is>
      </c>
      <c r="H60" s="70">
        <f>IF($G60="A",CONFIG!$B$5,IF($G60="B",CONFIG!$B$6,IF($G60="C",CONFIG!$B$7,IF($G60="Todos","Todos os turnos",""))))</f>
        <v/>
      </c>
      <c r="I60" s="53" t="n"/>
      <c r="J60" s="71" t="inlineStr">
        <is>
          <t>—</t>
        </is>
      </c>
      <c r="K60" s="53" t="n"/>
      <c r="L60" s="72" t="n"/>
      <c r="M60" s="53" t="n"/>
      <c r="N60" s="73" t="n"/>
      <c r="O60" s="74" t="n"/>
      <c r="P60" s="75" t="n"/>
      <c r="Q60" s="53" t="n"/>
      <c r="R60" s="76">
        <f>IF($C60="","",IF($O60="Cancelada","Cancelada",IF($O60="Reprovado","Reprovada",IF($O60="Aprovado","Aprovada",IF($L60&lt;&gt;"","Entregue",IF(TODAY()&gt;$C60,"Atrasada","Pendente"))))))</f>
        <v/>
      </c>
    </row>
    <row r="61">
      <c r="A61" s="65" t="inlineStr">
        <is>
          <t>SET-S37-FAL-C</t>
        </is>
      </c>
      <c r="B61" s="66" t="inlineStr">
        <is>
          <t>S37</t>
        </is>
      </c>
      <c r="C61" s="67" t="n">
        <v>46276</v>
      </c>
      <c r="D61" s="68" t="inlineStr">
        <is>
          <t>Faltas e Atestados</t>
        </is>
      </c>
      <c r="E61" s="53" t="n"/>
      <c r="F61" s="53" t="n"/>
      <c r="G61" s="69" t="inlineStr">
        <is>
          <t>C</t>
        </is>
      </c>
      <c r="H61" s="70">
        <f>IF($G61="A",CONFIG!$B$5,IF($G61="B",CONFIG!$B$6,IF($G61="C",CONFIG!$B$7,IF($G61="Todos","Todos os turnos",""))))</f>
        <v/>
      </c>
      <c r="I61" s="53" t="n"/>
      <c r="J61" s="71" t="inlineStr">
        <is>
          <t>—</t>
        </is>
      </c>
      <c r="K61" s="53" t="n"/>
      <c r="L61" s="72" t="n"/>
      <c r="M61" s="53" t="n"/>
      <c r="N61" s="73" t="n"/>
      <c r="O61" s="74" t="n"/>
      <c r="P61" s="75" t="n"/>
      <c r="Q61" s="53" t="n"/>
      <c r="R61" s="76">
        <f>IF($C61="","",IF($O61="Cancelada","Cancelada",IF($O61="Reprovado","Reprovada",IF($O61="Aprovado","Aprovada",IF($L61&lt;&gt;"","Entregue",IF(TODAY()&gt;$C61,"Atrasada","Pendente"))))))</f>
        <v/>
      </c>
    </row>
    <row r="62">
      <c r="A62" s="65" t="inlineStr">
        <is>
          <t>SET-S37-REU-T</t>
        </is>
      </c>
      <c r="B62" s="66" t="inlineStr">
        <is>
          <t>S37</t>
        </is>
      </c>
      <c r="C62" s="67" t="n">
        <v>46276</v>
      </c>
      <c r="D62" s="68" t="inlineStr">
        <is>
          <t>Reunião Semanal com a Gerência</t>
        </is>
      </c>
      <c r="E62" s="53" t="n"/>
      <c r="F62" s="53" t="n"/>
      <c r="G62" s="69" t="inlineStr">
        <is>
          <t>Todos</t>
        </is>
      </c>
      <c r="H62" s="70">
        <f>IF($G62="A",CONFIG!$B$5,IF($G62="B",CONFIG!$B$6,IF($G62="C",CONFIG!$B$7,IF($G62="Todos","Todos os turnos",""))))</f>
        <v/>
      </c>
      <c r="I62" s="53" t="n"/>
      <c r="J62" s="71" t="inlineStr">
        <is>
          <t>—</t>
        </is>
      </c>
      <c r="K62" s="53" t="n"/>
      <c r="L62" s="72" t="n"/>
      <c r="M62" s="53" t="n"/>
      <c r="N62" s="73" t="n"/>
      <c r="O62" s="74" t="n"/>
      <c r="P62" s="75" t="n"/>
      <c r="Q62" s="53" t="n"/>
      <c r="R62" s="76">
        <f>IF($C62="","",IF($O62="Cancelada","Cancelada",IF($O62="Reprovado","Reprovada",IF($O62="Aprovado","Aprovada",IF($L62&lt;&gt;"","Entregue",IF(TODAY()&gt;$C62,"Atrasada","Pendente"))))))</f>
        <v/>
      </c>
    </row>
    <row r="63">
      <c r="A63" s="65" t="inlineStr">
        <is>
          <t>SET-S38-ERR-A</t>
        </is>
      </c>
      <c r="B63" s="66" t="inlineStr">
        <is>
          <t>S38</t>
        </is>
      </c>
      <c r="C63" s="67" t="n">
        <v>46279</v>
      </c>
      <c r="D63" s="68" t="inlineStr">
        <is>
          <t>Levantamento de Erros Operacionais</t>
        </is>
      </c>
      <c r="E63" s="53" t="n"/>
      <c r="F63" s="53" t="n"/>
      <c r="G63" s="69" t="inlineStr">
        <is>
          <t>A</t>
        </is>
      </c>
      <c r="H63" s="70">
        <f>IF($G63="A",CONFIG!$B$5,IF($G63="B",CONFIG!$B$6,IF($G63="C",CONFIG!$B$7,IF($G63="Todos","Todos os turnos",""))))</f>
        <v/>
      </c>
      <c r="I63" s="53" t="n"/>
      <c r="J63" s="71" t="inlineStr">
        <is>
          <t>—</t>
        </is>
      </c>
      <c r="K63" s="53" t="n"/>
      <c r="L63" s="72" t="n"/>
      <c r="M63" s="53" t="n"/>
      <c r="N63" s="73" t="n"/>
      <c r="O63" s="74" t="n"/>
      <c r="P63" s="75" t="n"/>
      <c r="Q63" s="53" t="n"/>
      <c r="R63" s="76">
        <f>IF($C63="","",IF($O63="Cancelada","Cancelada",IF($O63="Reprovado","Reprovada",IF($O63="Aprovado","Aprovada",IF($L63&lt;&gt;"","Entregue",IF(TODAY()&gt;$C63,"Atrasada","Pendente"))))))</f>
        <v/>
      </c>
    </row>
    <row r="64">
      <c r="A64" s="65" t="inlineStr">
        <is>
          <t>SET-S38-ERR-B</t>
        </is>
      </c>
      <c r="B64" s="66" t="inlineStr">
        <is>
          <t>S38</t>
        </is>
      </c>
      <c r="C64" s="67" t="n">
        <v>46279</v>
      </c>
      <c r="D64" s="68" t="inlineStr">
        <is>
          <t>Levantamento de Erros Operacionais</t>
        </is>
      </c>
      <c r="E64" s="53" t="n"/>
      <c r="F64" s="53" t="n"/>
      <c r="G64" s="69" t="inlineStr">
        <is>
          <t>B</t>
        </is>
      </c>
      <c r="H64" s="70">
        <f>IF($G64="A",CONFIG!$B$5,IF($G64="B",CONFIG!$B$6,IF($G64="C",CONFIG!$B$7,IF($G64="Todos","Todos os turnos",""))))</f>
        <v/>
      </c>
      <c r="I64" s="53" t="n"/>
      <c r="J64" s="71" t="inlineStr">
        <is>
          <t>—</t>
        </is>
      </c>
      <c r="K64" s="53" t="n"/>
      <c r="L64" s="72" t="n"/>
      <c r="M64" s="53" t="n"/>
      <c r="N64" s="73" t="n"/>
      <c r="O64" s="74" t="n"/>
      <c r="P64" s="75" t="n"/>
      <c r="Q64" s="53" t="n"/>
      <c r="R64" s="76">
        <f>IF($C64="","",IF($O64="Cancelada","Cancelada",IF($O64="Reprovado","Reprovada",IF($O64="Aprovado","Aprovada",IF($L64&lt;&gt;"","Entregue",IF(TODAY()&gt;$C64,"Atrasada","Pendente"))))))</f>
        <v/>
      </c>
    </row>
    <row r="65">
      <c r="A65" s="65" t="inlineStr">
        <is>
          <t>SET-S38-ERR-C</t>
        </is>
      </c>
      <c r="B65" s="66" t="inlineStr">
        <is>
          <t>S38</t>
        </is>
      </c>
      <c r="C65" s="67" t="n">
        <v>46279</v>
      </c>
      <c r="D65" s="68" t="inlineStr">
        <is>
          <t>Levantamento de Erros Operacionais</t>
        </is>
      </c>
      <c r="E65" s="53" t="n"/>
      <c r="F65" s="53" t="n"/>
      <c r="G65" s="69" t="inlineStr">
        <is>
          <t>C</t>
        </is>
      </c>
      <c r="H65" s="70">
        <f>IF($G65="A",CONFIG!$B$5,IF($G65="B",CONFIG!$B$6,IF($G65="C",CONFIG!$B$7,IF($G65="Todos","Todos os turnos",""))))</f>
        <v/>
      </c>
      <c r="I65" s="53" t="n"/>
      <c r="J65" s="71" t="inlineStr">
        <is>
          <t>—</t>
        </is>
      </c>
      <c r="K65" s="53" t="n"/>
      <c r="L65" s="72" t="n"/>
      <c r="M65" s="53" t="n"/>
      <c r="N65" s="73" t="n"/>
      <c r="O65" s="74" t="n"/>
      <c r="P65" s="75" t="n"/>
      <c r="Q65" s="53" t="n"/>
      <c r="R65" s="76">
        <f>IF($C65="","",IF($O65="Cancelada","Cancelada",IF($O65="Reprovado","Reprovada",IF($O65="Aprovado","Aprovada",IF($L65&lt;&gt;"","Entregue",IF(TODAY()&gt;$C65,"Atrasada","Pendente"))))))</f>
        <v/>
      </c>
    </row>
    <row r="66">
      <c r="A66" s="65" t="inlineStr">
        <is>
          <t>SET-S38-SUP-A</t>
        </is>
      </c>
      <c r="B66" s="66" t="inlineStr">
        <is>
          <t>S38</t>
        </is>
      </c>
      <c r="C66" s="67" t="n">
        <v>46280</v>
      </c>
      <c r="D66" s="68" t="inlineStr">
        <is>
          <t>Suporte de Supervisores</t>
        </is>
      </c>
      <c r="E66" s="53" t="n"/>
      <c r="F66" s="53" t="n"/>
      <c r="G66" s="69" t="inlineStr">
        <is>
          <t>A</t>
        </is>
      </c>
      <c r="H66" s="70">
        <f>IF($G66="A",CONFIG!$B$5,IF($G66="B",CONFIG!$B$6,IF($G66="C",CONFIG!$B$7,IF($G66="Todos","Todos os turnos",""))))</f>
        <v/>
      </c>
      <c r="I66" s="53" t="n"/>
      <c r="J66" s="71" t="inlineStr">
        <is>
          <t>—</t>
        </is>
      </c>
      <c r="K66" s="53" t="n"/>
      <c r="L66" s="72" t="n"/>
      <c r="M66" s="53" t="n"/>
      <c r="N66" s="73" t="n"/>
      <c r="O66" s="74" t="n"/>
      <c r="P66" s="75" t="n"/>
      <c r="Q66" s="53" t="n"/>
      <c r="R66" s="76">
        <f>IF($C66="","",IF($O66="Cancelada","Cancelada",IF($O66="Reprovado","Reprovada",IF($O66="Aprovado","Aprovada",IF($L66&lt;&gt;"","Entregue",IF(TODAY()&gt;$C66,"Atrasada","Pendente"))))))</f>
        <v/>
      </c>
    </row>
    <row r="67">
      <c r="A67" s="65" t="inlineStr">
        <is>
          <t>SET-S38-SUP-B</t>
        </is>
      </c>
      <c r="B67" s="66" t="inlineStr">
        <is>
          <t>S38</t>
        </is>
      </c>
      <c r="C67" s="67" t="n">
        <v>46280</v>
      </c>
      <c r="D67" s="68" t="inlineStr">
        <is>
          <t>Suporte de Supervisores</t>
        </is>
      </c>
      <c r="E67" s="53" t="n"/>
      <c r="F67" s="53" t="n"/>
      <c r="G67" s="69" t="inlineStr">
        <is>
          <t>B</t>
        </is>
      </c>
      <c r="H67" s="70">
        <f>IF($G67="A",CONFIG!$B$5,IF($G67="B",CONFIG!$B$6,IF($G67="C",CONFIG!$B$7,IF($G67="Todos","Todos os turnos",""))))</f>
        <v/>
      </c>
      <c r="I67" s="53" t="n"/>
      <c r="J67" s="71" t="inlineStr">
        <is>
          <t>—</t>
        </is>
      </c>
      <c r="K67" s="53" t="n"/>
      <c r="L67" s="72" t="n"/>
      <c r="M67" s="53" t="n"/>
      <c r="N67" s="73" t="n"/>
      <c r="O67" s="74" t="n"/>
      <c r="P67" s="75" t="n"/>
      <c r="Q67" s="53" t="n"/>
      <c r="R67" s="76">
        <f>IF($C67="","",IF($O67="Cancelada","Cancelada",IF($O67="Reprovado","Reprovada",IF($O67="Aprovado","Aprovada",IF($L67&lt;&gt;"","Entregue",IF(TODAY()&gt;$C67,"Atrasada","Pendente"))))))</f>
        <v/>
      </c>
    </row>
    <row r="68">
      <c r="A68" s="65" t="inlineStr">
        <is>
          <t>SET-S38-SUP-C</t>
        </is>
      </c>
      <c r="B68" s="66" t="inlineStr">
        <is>
          <t>S38</t>
        </is>
      </c>
      <c r="C68" s="67" t="n">
        <v>46280</v>
      </c>
      <c r="D68" s="68" t="inlineStr">
        <is>
          <t>Suporte de Supervisores</t>
        </is>
      </c>
      <c r="E68" s="53" t="n"/>
      <c r="F68" s="53" t="n"/>
      <c r="G68" s="69" t="inlineStr">
        <is>
          <t>C</t>
        </is>
      </c>
      <c r="H68" s="70">
        <f>IF($G68="A",CONFIG!$B$5,IF($G68="B",CONFIG!$B$6,IF($G68="C",CONFIG!$B$7,IF($G68="Todos","Todos os turnos",""))))</f>
        <v/>
      </c>
      <c r="I68" s="53" t="n"/>
      <c r="J68" s="71" t="inlineStr">
        <is>
          <t>—</t>
        </is>
      </c>
      <c r="K68" s="53" t="n"/>
      <c r="L68" s="72" t="n"/>
      <c r="M68" s="53" t="n"/>
      <c r="N68" s="73" t="n"/>
      <c r="O68" s="74" t="n"/>
      <c r="P68" s="75" t="n"/>
      <c r="Q68" s="53" t="n"/>
      <c r="R68" s="76">
        <f>IF($C68="","",IF($O68="Cancelada","Cancelada",IF($O68="Reprovado","Reprovada",IF($O68="Aprovado","Aprovada",IF($L68&lt;&gt;"","Entregue",IF(TODAY()&gt;$C68,"Atrasada","Pendente"))))))</f>
        <v/>
      </c>
    </row>
    <row r="69">
      <c r="A69" s="65" t="inlineStr">
        <is>
          <t>SET-S38-VIS-A</t>
        </is>
      </c>
      <c r="B69" s="66" t="inlineStr">
        <is>
          <t>S38</t>
        </is>
      </c>
      <c r="C69" s="67" t="n">
        <v>46281</v>
      </c>
      <c r="D69" s="68" t="inlineStr">
        <is>
          <t>Acomp. Organizacional Setorial (Vistoria)</t>
        </is>
      </c>
      <c r="E69" s="53" t="n"/>
      <c r="F69" s="53" t="n"/>
      <c r="G69" s="69" t="inlineStr">
        <is>
          <t>A</t>
        </is>
      </c>
      <c r="H69" s="70">
        <f>IF($G69="A",CONFIG!$B$5,IF($G69="B",CONFIG!$B$6,IF($G69="C",CONFIG!$B$7,IF($G69="Todos","Todos os turnos",""))))</f>
        <v/>
      </c>
      <c r="I69" s="53" t="n"/>
      <c r="J69" s="77" t="n"/>
      <c r="K69" s="53" t="n"/>
      <c r="L69" s="72" t="n"/>
      <c r="M69" s="53" t="n"/>
      <c r="N69" s="73" t="n"/>
      <c r="O69" s="74" t="n"/>
      <c r="P69" s="75" t="n"/>
      <c r="Q69" s="53" t="n"/>
      <c r="R69" s="76">
        <f>IF($C69="","",IF($O69="Cancelada","Cancelada",IF($O69="Reprovado","Reprovada",IF($O69="Aprovado","Aprovada",IF($L69&lt;&gt;"","Entregue",IF(TODAY()&gt;$C69,"Atrasada","Pendente"))))))</f>
        <v/>
      </c>
    </row>
    <row r="70">
      <c r="A70" s="65" t="inlineStr">
        <is>
          <t>SET-S38-VIS-B</t>
        </is>
      </c>
      <c r="B70" s="66" t="inlineStr">
        <is>
          <t>S38</t>
        </is>
      </c>
      <c r="C70" s="67" t="n">
        <v>46281</v>
      </c>
      <c r="D70" s="68" t="inlineStr">
        <is>
          <t>Acomp. Organizacional Setorial (Vistoria)</t>
        </is>
      </c>
      <c r="E70" s="53" t="n"/>
      <c r="F70" s="53" t="n"/>
      <c r="G70" s="69" t="inlineStr">
        <is>
          <t>B</t>
        </is>
      </c>
      <c r="H70" s="70">
        <f>IF($G70="A",CONFIG!$B$5,IF($G70="B",CONFIG!$B$6,IF($G70="C",CONFIG!$B$7,IF($G70="Todos","Todos os turnos",""))))</f>
        <v/>
      </c>
      <c r="I70" s="53" t="n"/>
      <c r="J70" s="77" t="n"/>
      <c r="K70" s="53" t="n"/>
      <c r="L70" s="72" t="n"/>
      <c r="M70" s="53" t="n"/>
      <c r="N70" s="73" t="n"/>
      <c r="O70" s="74" t="n"/>
      <c r="P70" s="75" t="n"/>
      <c r="Q70" s="53" t="n"/>
      <c r="R70" s="76">
        <f>IF($C70="","",IF($O70="Cancelada","Cancelada",IF($O70="Reprovado","Reprovada",IF($O70="Aprovado","Aprovada",IF($L70&lt;&gt;"","Entregue",IF(TODAY()&gt;$C70,"Atrasada","Pendente"))))))</f>
        <v/>
      </c>
    </row>
    <row r="71">
      <c r="A71" s="65" t="inlineStr">
        <is>
          <t>SET-S38-VIS-C</t>
        </is>
      </c>
      <c r="B71" s="66" t="inlineStr">
        <is>
          <t>S38</t>
        </is>
      </c>
      <c r="C71" s="67" t="n">
        <v>46281</v>
      </c>
      <c r="D71" s="68" t="inlineStr">
        <is>
          <t>Acomp. Organizacional Setorial (Vistoria)</t>
        </is>
      </c>
      <c r="E71" s="53" t="n"/>
      <c r="F71" s="53" t="n"/>
      <c r="G71" s="69" t="inlineStr">
        <is>
          <t>C</t>
        </is>
      </c>
      <c r="H71" s="70">
        <f>IF($G71="A",CONFIG!$B$5,IF($G71="B",CONFIG!$B$6,IF($G71="C",CONFIG!$B$7,IF($G71="Todos","Todos os turnos",""))))</f>
        <v/>
      </c>
      <c r="I71" s="53" t="n"/>
      <c r="J71" s="77" t="n"/>
      <c r="K71" s="53" t="n"/>
      <c r="L71" s="72" t="n"/>
      <c r="M71" s="53" t="n"/>
      <c r="N71" s="73" t="n"/>
      <c r="O71" s="74" t="n"/>
      <c r="P71" s="75" t="n"/>
      <c r="Q71" s="53" t="n"/>
      <c r="R71" s="76">
        <f>IF($C71="","",IF($O71="Cancelada","Cancelada",IF($O71="Reprovado","Reprovada",IF($O71="Aprovado","Aprovada",IF($L71&lt;&gt;"","Entregue",IF(TODAY()&gt;$C71,"Atrasada","Pendente"))))))</f>
        <v/>
      </c>
    </row>
    <row r="72">
      <c r="A72" s="65" t="inlineStr">
        <is>
          <t>SET-S38-MET-A</t>
        </is>
      </c>
      <c r="B72" s="66" t="inlineStr">
        <is>
          <t>S38</t>
        </is>
      </c>
      <c r="C72" s="67" t="n">
        <v>46282</v>
      </c>
      <c r="D72" s="68" t="inlineStr">
        <is>
          <t>Metas</t>
        </is>
      </c>
      <c r="E72" s="53" t="n"/>
      <c r="F72" s="53" t="n"/>
      <c r="G72" s="69" t="inlineStr">
        <is>
          <t>A</t>
        </is>
      </c>
      <c r="H72" s="70">
        <f>IF($G72="A",CONFIG!$B$5,IF($G72="B",CONFIG!$B$6,IF($G72="C",CONFIG!$B$7,IF($G72="Todos","Todos os turnos",""))))</f>
        <v/>
      </c>
      <c r="I72" s="53" t="n"/>
      <c r="J72" s="71" t="inlineStr">
        <is>
          <t>—</t>
        </is>
      </c>
      <c r="K72" s="53" t="n"/>
      <c r="L72" s="72" t="n"/>
      <c r="M72" s="53" t="n"/>
      <c r="N72" s="73" t="n"/>
      <c r="O72" s="74" t="n"/>
      <c r="P72" s="75" t="n"/>
      <c r="Q72" s="53" t="n"/>
      <c r="R72" s="76">
        <f>IF($C72="","",IF($O72="Cancelada","Cancelada",IF($O72="Reprovado","Reprovada",IF($O72="Aprovado","Aprovada",IF($L72&lt;&gt;"","Entregue",IF(TODAY()&gt;$C72,"Atrasada","Pendente"))))))</f>
        <v/>
      </c>
    </row>
    <row r="73">
      <c r="A73" s="65" t="inlineStr">
        <is>
          <t>SET-S38-MET-B</t>
        </is>
      </c>
      <c r="B73" s="66" t="inlineStr">
        <is>
          <t>S38</t>
        </is>
      </c>
      <c r="C73" s="67" t="n">
        <v>46282</v>
      </c>
      <c r="D73" s="68" t="inlineStr">
        <is>
          <t>Metas</t>
        </is>
      </c>
      <c r="E73" s="53" t="n"/>
      <c r="F73" s="53" t="n"/>
      <c r="G73" s="69" t="inlineStr">
        <is>
          <t>B</t>
        </is>
      </c>
      <c r="H73" s="70">
        <f>IF($G73="A",CONFIG!$B$5,IF($G73="B",CONFIG!$B$6,IF($G73="C",CONFIG!$B$7,IF($G73="Todos","Todos os turnos",""))))</f>
        <v/>
      </c>
      <c r="I73" s="53" t="n"/>
      <c r="J73" s="71" t="inlineStr">
        <is>
          <t>—</t>
        </is>
      </c>
      <c r="K73" s="53" t="n"/>
      <c r="L73" s="72" t="n"/>
      <c r="M73" s="53" t="n"/>
      <c r="N73" s="73" t="n"/>
      <c r="O73" s="74" t="n"/>
      <c r="P73" s="75" t="n"/>
      <c r="Q73" s="53" t="n"/>
      <c r="R73" s="76">
        <f>IF($C73="","",IF($O73="Cancelada","Cancelada",IF($O73="Reprovado","Reprovada",IF($O73="Aprovado","Aprovada",IF($L73&lt;&gt;"","Entregue",IF(TODAY()&gt;$C73,"Atrasada","Pendente"))))))</f>
        <v/>
      </c>
    </row>
    <row r="74">
      <c r="A74" s="65" t="inlineStr">
        <is>
          <t>SET-S38-MET-C</t>
        </is>
      </c>
      <c r="B74" s="66" t="inlineStr">
        <is>
          <t>S38</t>
        </is>
      </c>
      <c r="C74" s="67" t="n">
        <v>46282</v>
      </c>
      <c r="D74" s="68" t="inlineStr">
        <is>
          <t>Metas</t>
        </is>
      </c>
      <c r="E74" s="53" t="n"/>
      <c r="F74" s="53" t="n"/>
      <c r="G74" s="69" t="inlineStr">
        <is>
          <t>C</t>
        </is>
      </c>
      <c r="H74" s="70">
        <f>IF($G74="A",CONFIG!$B$5,IF($G74="B",CONFIG!$B$6,IF($G74="C",CONFIG!$B$7,IF($G74="Todos","Todos os turnos",""))))</f>
        <v/>
      </c>
      <c r="I74" s="53" t="n"/>
      <c r="J74" s="71" t="inlineStr">
        <is>
          <t>—</t>
        </is>
      </c>
      <c r="K74" s="53" t="n"/>
      <c r="L74" s="72" t="n"/>
      <c r="M74" s="53" t="n"/>
      <c r="N74" s="73" t="n"/>
      <c r="O74" s="74" t="n"/>
      <c r="P74" s="75" t="n"/>
      <c r="Q74" s="53" t="n"/>
      <c r="R74" s="76">
        <f>IF($C74="","",IF($O74="Cancelada","Cancelada",IF($O74="Reprovado","Reprovada",IF($O74="Aprovado","Aprovada",IF($L74&lt;&gt;"","Entregue",IF(TODAY()&gt;$C74,"Atrasada","Pendente"))))))</f>
        <v/>
      </c>
    </row>
    <row r="75">
      <c r="A75" s="65" t="inlineStr">
        <is>
          <t>SET-S38-ACO-A</t>
        </is>
      </c>
      <c r="B75" s="66" t="inlineStr">
        <is>
          <t>S38</t>
        </is>
      </c>
      <c r="C75" s="67" t="n">
        <v>46283</v>
      </c>
      <c r="D75" s="68" t="inlineStr">
        <is>
          <t>Acompanhamento Semanal c/ Supervisores</t>
        </is>
      </c>
      <c r="E75" s="53" t="n"/>
      <c r="F75" s="53" t="n"/>
      <c r="G75" s="69" t="inlineStr">
        <is>
          <t>A</t>
        </is>
      </c>
      <c r="H75" s="70">
        <f>IF($G75="A",CONFIG!$B$5,IF($G75="B",CONFIG!$B$6,IF($G75="C",CONFIG!$B$7,IF($G75="Todos","Todos os turnos",""))))</f>
        <v/>
      </c>
      <c r="I75" s="53" t="n"/>
      <c r="J75" s="71" t="inlineStr">
        <is>
          <t>—</t>
        </is>
      </c>
      <c r="K75" s="53" t="n"/>
      <c r="L75" s="72" t="n"/>
      <c r="M75" s="53" t="n"/>
      <c r="N75" s="73" t="n"/>
      <c r="O75" s="74" t="n"/>
      <c r="P75" s="75" t="n"/>
      <c r="Q75" s="53" t="n"/>
      <c r="R75" s="76">
        <f>IF($C75="","",IF($O75="Cancelada","Cancelada",IF($O75="Reprovado","Reprovada",IF($O75="Aprovado","Aprovada",IF($L75&lt;&gt;"","Entregue",IF(TODAY()&gt;$C75,"Atrasada","Pendente"))))))</f>
        <v/>
      </c>
    </row>
    <row r="76">
      <c r="A76" s="65" t="inlineStr">
        <is>
          <t>SET-S38-ACO-B</t>
        </is>
      </c>
      <c r="B76" s="66" t="inlineStr">
        <is>
          <t>S38</t>
        </is>
      </c>
      <c r="C76" s="67" t="n">
        <v>46283</v>
      </c>
      <c r="D76" s="68" t="inlineStr">
        <is>
          <t>Acompanhamento Semanal c/ Supervisores</t>
        </is>
      </c>
      <c r="E76" s="53" t="n"/>
      <c r="F76" s="53" t="n"/>
      <c r="G76" s="69" t="inlineStr">
        <is>
          <t>B</t>
        </is>
      </c>
      <c r="H76" s="70">
        <f>IF($G76="A",CONFIG!$B$5,IF($G76="B",CONFIG!$B$6,IF($G76="C",CONFIG!$B$7,IF($G76="Todos","Todos os turnos",""))))</f>
        <v/>
      </c>
      <c r="I76" s="53" t="n"/>
      <c r="J76" s="71" t="inlineStr">
        <is>
          <t>—</t>
        </is>
      </c>
      <c r="K76" s="53" t="n"/>
      <c r="L76" s="72" t="n"/>
      <c r="M76" s="53" t="n"/>
      <c r="N76" s="73" t="n"/>
      <c r="O76" s="74" t="n"/>
      <c r="P76" s="75" t="n"/>
      <c r="Q76" s="53" t="n"/>
      <c r="R76" s="76">
        <f>IF($C76="","",IF($O76="Cancelada","Cancelada",IF($O76="Reprovado","Reprovada",IF($O76="Aprovado","Aprovada",IF($L76&lt;&gt;"","Entregue",IF(TODAY()&gt;$C76,"Atrasada","Pendente"))))))</f>
        <v/>
      </c>
    </row>
    <row r="77">
      <c r="A77" s="65" t="inlineStr">
        <is>
          <t>SET-S38-ACO-C</t>
        </is>
      </c>
      <c r="B77" s="66" t="inlineStr">
        <is>
          <t>S38</t>
        </is>
      </c>
      <c r="C77" s="67" t="n">
        <v>46283</v>
      </c>
      <c r="D77" s="68" t="inlineStr">
        <is>
          <t>Acompanhamento Semanal c/ Supervisores</t>
        </is>
      </c>
      <c r="E77" s="53" t="n"/>
      <c r="F77" s="53" t="n"/>
      <c r="G77" s="69" t="inlineStr">
        <is>
          <t>C</t>
        </is>
      </c>
      <c r="H77" s="70">
        <f>IF($G77="A",CONFIG!$B$5,IF($G77="B",CONFIG!$B$6,IF($G77="C",CONFIG!$B$7,IF($G77="Todos","Todos os turnos",""))))</f>
        <v/>
      </c>
      <c r="I77" s="53" t="n"/>
      <c r="J77" s="71" t="inlineStr">
        <is>
          <t>—</t>
        </is>
      </c>
      <c r="K77" s="53" t="n"/>
      <c r="L77" s="72" t="n"/>
      <c r="M77" s="53" t="n"/>
      <c r="N77" s="73" t="n"/>
      <c r="O77" s="74" t="n"/>
      <c r="P77" s="75" t="n"/>
      <c r="Q77" s="53" t="n"/>
      <c r="R77" s="76">
        <f>IF($C77="","",IF($O77="Cancelada","Cancelada",IF($O77="Reprovado","Reprovada",IF($O77="Aprovado","Aprovada",IF($L77&lt;&gt;"","Entregue",IF(TODAY()&gt;$C77,"Atrasada","Pendente"))))))</f>
        <v/>
      </c>
    </row>
    <row r="78">
      <c r="A78" s="65" t="inlineStr">
        <is>
          <t>SET-S38-FAL-A</t>
        </is>
      </c>
      <c r="B78" s="66" t="inlineStr">
        <is>
          <t>S38</t>
        </is>
      </c>
      <c r="C78" s="67" t="n">
        <v>46283</v>
      </c>
      <c r="D78" s="68" t="inlineStr">
        <is>
          <t>Faltas e Atestados</t>
        </is>
      </c>
      <c r="E78" s="53" t="n"/>
      <c r="F78" s="53" t="n"/>
      <c r="G78" s="69" t="inlineStr">
        <is>
          <t>A</t>
        </is>
      </c>
      <c r="H78" s="70">
        <f>IF($G78="A",CONFIG!$B$5,IF($G78="B",CONFIG!$B$6,IF($G78="C",CONFIG!$B$7,IF($G78="Todos","Todos os turnos",""))))</f>
        <v/>
      </c>
      <c r="I78" s="53" t="n"/>
      <c r="J78" s="71" t="inlineStr">
        <is>
          <t>—</t>
        </is>
      </c>
      <c r="K78" s="53" t="n"/>
      <c r="L78" s="72" t="n"/>
      <c r="M78" s="53" t="n"/>
      <c r="N78" s="73" t="n"/>
      <c r="O78" s="74" t="n"/>
      <c r="P78" s="75" t="n"/>
      <c r="Q78" s="53" t="n"/>
      <c r="R78" s="76">
        <f>IF($C78="","",IF($O78="Cancelada","Cancelada",IF($O78="Reprovado","Reprovada",IF($O78="Aprovado","Aprovada",IF($L78&lt;&gt;"","Entregue",IF(TODAY()&gt;$C78,"Atrasada","Pendente"))))))</f>
        <v/>
      </c>
    </row>
    <row r="79">
      <c r="A79" s="65" t="inlineStr">
        <is>
          <t>SET-S38-FAL-B</t>
        </is>
      </c>
      <c r="B79" s="66" t="inlineStr">
        <is>
          <t>S38</t>
        </is>
      </c>
      <c r="C79" s="67" t="n">
        <v>46283</v>
      </c>
      <c r="D79" s="68" t="inlineStr">
        <is>
          <t>Faltas e Atestados</t>
        </is>
      </c>
      <c r="E79" s="53" t="n"/>
      <c r="F79" s="53" t="n"/>
      <c r="G79" s="69" t="inlineStr">
        <is>
          <t>B</t>
        </is>
      </c>
      <c r="H79" s="70">
        <f>IF($G79="A",CONFIG!$B$5,IF($G79="B",CONFIG!$B$6,IF($G79="C",CONFIG!$B$7,IF($G79="Todos","Todos os turnos",""))))</f>
        <v/>
      </c>
      <c r="I79" s="53" t="n"/>
      <c r="J79" s="71" t="inlineStr">
        <is>
          <t>—</t>
        </is>
      </c>
      <c r="K79" s="53" t="n"/>
      <c r="L79" s="72" t="n"/>
      <c r="M79" s="53" t="n"/>
      <c r="N79" s="73" t="n"/>
      <c r="O79" s="74" t="n"/>
      <c r="P79" s="75" t="n"/>
      <c r="Q79" s="53" t="n"/>
      <c r="R79" s="76">
        <f>IF($C79="","",IF($O79="Cancelada","Cancelada",IF($O79="Reprovado","Reprovada",IF($O79="Aprovado","Aprovada",IF($L79&lt;&gt;"","Entregue",IF(TODAY()&gt;$C79,"Atrasada","Pendente"))))))</f>
        <v/>
      </c>
    </row>
    <row r="80">
      <c r="A80" s="65" t="inlineStr">
        <is>
          <t>SET-S38-FAL-C</t>
        </is>
      </c>
      <c r="B80" s="66" t="inlineStr">
        <is>
          <t>S38</t>
        </is>
      </c>
      <c r="C80" s="67" t="n">
        <v>46283</v>
      </c>
      <c r="D80" s="68" t="inlineStr">
        <is>
          <t>Faltas e Atestados</t>
        </is>
      </c>
      <c r="E80" s="53" t="n"/>
      <c r="F80" s="53" t="n"/>
      <c r="G80" s="69" t="inlineStr">
        <is>
          <t>C</t>
        </is>
      </c>
      <c r="H80" s="70">
        <f>IF($G80="A",CONFIG!$B$5,IF($G80="B",CONFIG!$B$6,IF($G80="C",CONFIG!$B$7,IF($G80="Todos","Todos os turnos",""))))</f>
        <v/>
      </c>
      <c r="I80" s="53" t="n"/>
      <c r="J80" s="71" t="inlineStr">
        <is>
          <t>—</t>
        </is>
      </c>
      <c r="K80" s="53" t="n"/>
      <c r="L80" s="72" t="n"/>
      <c r="M80" s="53" t="n"/>
      <c r="N80" s="73" t="n"/>
      <c r="O80" s="74" t="n"/>
      <c r="P80" s="75" t="n"/>
      <c r="Q80" s="53" t="n"/>
      <c r="R80" s="76">
        <f>IF($C80="","",IF($O80="Cancelada","Cancelada",IF($O80="Reprovado","Reprovada",IF($O80="Aprovado","Aprovada",IF($L80&lt;&gt;"","Entregue",IF(TODAY()&gt;$C80,"Atrasada","Pendente"))))))</f>
        <v/>
      </c>
    </row>
    <row r="81">
      <c r="A81" s="65" t="inlineStr">
        <is>
          <t>SET-S38-REU-T</t>
        </is>
      </c>
      <c r="B81" s="66" t="inlineStr">
        <is>
          <t>S38</t>
        </is>
      </c>
      <c r="C81" s="67" t="n">
        <v>46283</v>
      </c>
      <c r="D81" s="68" t="inlineStr">
        <is>
          <t>Reunião Semanal com a Gerência</t>
        </is>
      </c>
      <c r="E81" s="53" t="n"/>
      <c r="F81" s="53" t="n"/>
      <c r="G81" s="69" t="inlineStr">
        <is>
          <t>Todos</t>
        </is>
      </c>
      <c r="H81" s="70">
        <f>IF($G81="A",CONFIG!$B$5,IF($G81="B",CONFIG!$B$6,IF($G81="C",CONFIG!$B$7,IF($G81="Todos","Todos os turnos",""))))</f>
        <v/>
      </c>
      <c r="I81" s="53" t="n"/>
      <c r="J81" s="71" t="inlineStr">
        <is>
          <t>—</t>
        </is>
      </c>
      <c r="K81" s="53" t="n"/>
      <c r="L81" s="72" t="n"/>
      <c r="M81" s="53" t="n"/>
      <c r="N81" s="73" t="n"/>
      <c r="O81" s="74" t="n"/>
      <c r="P81" s="75" t="n"/>
      <c r="Q81" s="53" t="n"/>
      <c r="R81" s="76">
        <f>IF($C81="","",IF($O81="Cancelada","Cancelada",IF($O81="Reprovado","Reprovada",IF($O81="Aprovado","Aprovada",IF($L81&lt;&gt;"","Entregue",IF(TODAY()&gt;$C81,"Atrasada","Pendente"))))))</f>
        <v/>
      </c>
    </row>
    <row r="82">
      <c r="A82" s="65" t="inlineStr">
        <is>
          <t>SET-S39-ERR-A</t>
        </is>
      </c>
      <c r="B82" s="66" t="inlineStr">
        <is>
          <t>S39</t>
        </is>
      </c>
      <c r="C82" s="67" t="n">
        <v>46286</v>
      </c>
      <c r="D82" s="68" t="inlineStr">
        <is>
          <t>Levantamento de Erros Operacionais</t>
        </is>
      </c>
      <c r="E82" s="53" t="n"/>
      <c r="F82" s="53" t="n"/>
      <c r="G82" s="69" t="inlineStr">
        <is>
          <t>A</t>
        </is>
      </c>
      <c r="H82" s="70">
        <f>IF($G82="A",CONFIG!$B$5,IF($G82="B",CONFIG!$B$6,IF($G82="C",CONFIG!$B$7,IF($G82="Todos","Todos os turnos",""))))</f>
        <v/>
      </c>
      <c r="I82" s="53" t="n"/>
      <c r="J82" s="71" t="inlineStr">
        <is>
          <t>—</t>
        </is>
      </c>
      <c r="K82" s="53" t="n"/>
      <c r="L82" s="72" t="n"/>
      <c r="M82" s="53" t="n"/>
      <c r="N82" s="73" t="n"/>
      <c r="O82" s="74" t="n"/>
      <c r="P82" s="75" t="n"/>
      <c r="Q82" s="53" t="n"/>
      <c r="R82" s="76">
        <f>IF($C82="","",IF($O82="Cancelada","Cancelada",IF($O82="Reprovado","Reprovada",IF($O82="Aprovado","Aprovada",IF($L82&lt;&gt;"","Entregue",IF(TODAY()&gt;$C82,"Atrasada","Pendente"))))))</f>
        <v/>
      </c>
    </row>
    <row r="83">
      <c r="A83" s="65" t="inlineStr">
        <is>
          <t>SET-S39-ERR-B</t>
        </is>
      </c>
      <c r="B83" s="66" t="inlineStr">
        <is>
          <t>S39</t>
        </is>
      </c>
      <c r="C83" s="67" t="n">
        <v>46286</v>
      </c>
      <c r="D83" s="68" t="inlineStr">
        <is>
          <t>Levantamento de Erros Operacionais</t>
        </is>
      </c>
      <c r="E83" s="53" t="n"/>
      <c r="F83" s="53" t="n"/>
      <c r="G83" s="69" t="inlineStr">
        <is>
          <t>B</t>
        </is>
      </c>
      <c r="H83" s="70">
        <f>IF($G83="A",CONFIG!$B$5,IF($G83="B",CONFIG!$B$6,IF($G83="C",CONFIG!$B$7,IF($G83="Todos","Todos os turnos",""))))</f>
        <v/>
      </c>
      <c r="I83" s="53" t="n"/>
      <c r="J83" s="71" t="inlineStr">
        <is>
          <t>—</t>
        </is>
      </c>
      <c r="K83" s="53" t="n"/>
      <c r="L83" s="72" t="n"/>
      <c r="M83" s="53" t="n"/>
      <c r="N83" s="73" t="n"/>
      <c r="O83" s="74" t="n"/>
      <c r="P83" s="75" t="n"/>
      <c r="Q83" s="53" t="n"/>
      <c r="R83" s="76">
        <f>IF($C83="","",IF($O83="Cancelada","Cancelada",IF($O83="Reprovado","Reprovada",IF($O83="Aprovado","Aprovada",IF($L83&lt;&gt;"","Entregue",IF(TODAY()&gt;$C83,"Atrasada","Pendente"))))))</f>
        <v/>
      </c>
    </row>
    <row r="84">
      <c r="A84" s="65" t="inlineStr">
        <is>
          <t>SET-S39-ERR-C</t>
        </is>
      </c>
      <c r="B84" s="66" t="inlineStr">
        <is>
          <t>S39</t>
        </is>
      </c>
      <c r="C84" s="67" t="n">
        <v>46286</v>
      </c>
      <c r="D84" s="68" t="inlineStr">
        <is>
          <t>Levantamento de Erros Operacionais</t>
        </is>
      </c>
      <c r="E84" s="53" t="n"/>
      <c r="F84" s="53" t="n"/>
      <c r="G84" s="69" t="inlineStr">
        <is>
          <t>C</t>
        </is>
      </c>
      <c r="H84" s="70">
        <f>IF($G84="A",CONFIG!$B$5,IF($G84="B",CONFIG!$B$6,IF($G84="C",CONFIG!$B$7,IF($G84="Todos","Todos os turnos",""))))</f>
        <v/>
      </c>
      <c r="I84" s="53" t="n"/>
      <c r="J84" s="71" t="inlineStr">
        <is>
          <t>—</t>
        </is>
      </c>
      <c r="K84" s="53" t="n"/>
      <c r="L84" s="72" t="n"/>
      <c r="M84" s="53" t="n"/>
      <c r="N84" s="73" t="n"/>
      <c r="O84" s="74" t="n"/>
      <c r="P84" s="75" t="n"/>
      <c r="Q84" s="53" t="n"/>
      <c r="R84" s="76">
        <f>IF($C84="","",IF($O84="Cancelada","Cancelada",IF($O84="Reprovado","Reprovada",IF($O84="Aprovado","Aprovada",IF($L84&lt;&gt;"","Entregue",IF(TODAY()&gt;$C84,"Atrasada","Pendente"))))))</f>
        <v/>
      </c>
    </row>
    <row r="85">
      <c r="A85" s="65" t="inlineStr">
        <is>
          <t>SET-S39-SUP-A</t>
        </is>
      </c>
      <c r="B85" s="66" t="inlineStr">
        <is>
          <t>S39</t>
        </is>
      </c>
      <c r="C85" s="67" t="n">
        <v>46287</v>
      </c>
      <c r="D85" s="68" t="inlineStr">
        <is>
          <t>Suporte de Supervisores</t>
        </is>
      </c>
      <c r="E85" s="53" t="n"/>
      <c r="F85" s="53" t="n"/>
      <c r="G85" s="69" t="inlineStr">
        <is>
          <t>A</t>
        </is>
      </c>
      <c r="H85" s="70">
        <f>IF($G85="A",CONFIG!$B$5,IF($G85="B",CONFIG!$B$6,IF($G85="C",CONFIG!$B$7,IF($G85="Todos","Todos os turnos",""))))</f>
        <v/>
      </c>
      <c r="I85" s="53" t="n"/>
      <c r="J85" s="71" t="inlineStr">
        <is>
          <t>—</t>
        </is>
      </c>
      <c r="K85" s="53" t="n"/>
      <c r="L85" s="72" t="n"/>
      <c r="M85" s="53" t="n"/>
      <c r="N85" s="73" t="n"/>
      <c r="O85" s="74" t="n"/>
      <c r="P85" s="75" t="n"/>
      <c r="Q85" s="53" t="n"/>
      <c r="R85" s="76">
        <f>IF($C85="","",IF($O85="Cancelada","Cancelada",IF($O85="Reprovado","Reprovada",IF($O85="Aprovado","Aprovada",IF($L85&lt;&gt;"","Entregue",IF(TODAY()&gt;$C85,"Atrasada","Pendente"))))))</f>
        <v/>
      </c>
    </row>
    <row r="86">
      <c r="A86" s="65" t="inlineStr">
        <is>
          <t>SET-S39-SUP-B</t>
        </is>
      </c>
      <c r="B86" s="66" t="inlineStr">
        <is>
          <t>S39</t>
        </is>
      </c>
      <c r="C86" s="67" t="n">
        <v>46287</v>
      </c>
      <c r="D86" s="68" t="inlineStr">
        <is>
          <t>Suporte de Supervisores</t>
        </is>
      </c>
      <c r="E86" s="53" t="n"/>
      <c r="F86" s="53" t="n"/>
      <c r="G86" s="69" t="inlineStr">
        <is>
          <t>B</t>
        </is>
      </c>
      <c r="H86" s="70">
        <f>IF($G86="A",CONFIG!$B$5,IF($G86="B",CONFIG!$B$6,IF($G86="C",CONFIG!$B$7,IF($G86="Todos","Todos os turnos",""))))</f>
        <v/>
      </c>
      <c r="I86" s="53" t="n"/>
      <c r="J86" s="71" t="inlineStr">
        <is>
          <t>—</t>
        </is>
      </c>
      <c r="K86" s="53" t="n"/>
      <c r="L86" s="72" t="n"/>
      <c r="M86" s="53" t="n"/>
      <c r="N86" s="73" t="n"/>
      <c r="O86" s="74" t="n"/>
      <c r="P86" s="75" t="n"/>
      <c r="Q86" s="53" t="n"/>
      <c r="R86" s="76">
        <f>IF($C86="","",IF($O86="Cancelada","Cancelada",IF($O86="Reprovado","Reprovada",IF($O86="Aprovado","Aprovada",IF($L86&lt;&gt;"","Entregue",IF(TODAY()&gt;$C86,"Atrasada","Pendente"))))))</f>
        <v/>
      </c>
    </row>
    <row r="87">
      <c r="A87" s="65" t="inlineStr">
        <is>
          <t>SET-S39-SUP-C</t>
        </is>
      </c>
      <c r="B87" s="66" t="inlineStr">
        <is>
          <t>S39</t>
        </is>
      </c>
      <c r="C87" s="67" t="n">
        <v>46287</v>
      </c>
      <c r="D87" s="68" t="inlineStr">
        <is>
          <t>Suporte de Supervisores</t>
        </is>
      </c>
      <c r="E87" s="53" t="n"/>
      <c r="F87" s="53" t="n"/>
      <c r="G87" s="69" t="inlineStr">
        <is>
          <t>C</t>
        </is>
      </c>
      <c r="H87" s="70">
        <f>IF($G87="A",CONFIG!$B$5,IF($G87="B",CONFIG!$B$6,IF($G87="C",CONFIG!$B$7,IF($G87="Todos","Todos os turnos",""))))</f>
        <v/>
      </c>
      <c r="I87" s="53" t="n"/>
      <c r="J87" s="71" t="inlineStr">
        <is>
          <t>—</t>
        </is>
      </c>
      <c r="K87" s="53" t="n"/>
      <c r="L87" s="72" t="n"/>
      <c r="M87" s="53" t="n"/>
      <c r="N87" s="73" t="n"/>
      <c r="O87" s="74" t="n"/>
      <c r="P87" s="75" t="n"/>
      <c r="Q87" s="53" t="n"/>
      <c r="R87" s="76">
        <f>IF($C87="","",IF($O87="Cancelada","Cancelada",IF($O87="Reprovado","Reprovada",IF($O87="Aprovado","Aprovada",IF($L87&lt;&gt;"","Entregue",IF(TODAY()&gt;$C87,"Atrasada","Pendente"))))))</f>
        <v/>
      </c>
    </row>
    <row r="88">
      <c r="A88" s="65" t="inlineStr">
        <is>
          <t>SET-S39-VIS-A</t>
        </is>
      </c>
      <c r="B88" s="66" t="inlineStr">
        <is>
          <t>S39</t>
        </is>
      </c>
      <c r="C88" s="67" t="n">
        <v>46288</v>
      </c>
      <c r="D88" s="68" t="inlineStr">
        <is>
          <t>Acomp. Organizacional Setorial (Vistoria)</t>
        </is>
      </c>
      <c r="E88" s="53" t="n"/>
      <c r="F88" s="53" t="n"/>
      <c r="G88" s="69" t="inlineStr">
        <is>
          <t>A</t>
        </is>
      </c>
      <c r="H88" s="70">
        <f>IF($G88="A",CONFIG!$B$5,IF($G88="B",CONFIG!$B$6,IF($G88="C",CONFIG!$B$7,IF($G88="Todos","Todos os turnos",""))))</f>
        <v/>
      </c>
      <c r="I88" s="53" t="n"/>
      <c r="J88" s="77" t="n"/>
      <c r="K88" s="53" t="n"/>
      <c r="L88" s="72" t="n"/>
      <c r="M88" s="53" t="n"/>
      <c r="N88" s="73" t="n"/>
      <c r="O88" s="74" t="n"/>
      <c r="P88" s="75" t="n"/>
      <c r="Q88" s="53" t="n"/>
      <c r="R88" s="76">
        <f>IF($C88="","",IF($O88="Cancelada","Cancelada",IF($O88="Reprovado","Reprovada",IF($O88="Aprovado","Aprovada",IF($L88&lt;&gt;"","Entregue",IF(TODAY()&gt;$C88,"Atrasada","Pendente"))))))</f>
        <v/>
      </c>
    </row>
    <row r="89">
      <c r="A89" s="65" t="inlineStr">
        <is>
          <t>SET-S39-VIS-B</t>
        </is>
      </c>
      <c r="B89" s="66" t="inlineStr">
        <is>
          <t>S39</t>
        </is>
      </c>
      <c r="C89" s="67" t="n">
        <v>46288</v>
      </c>
      <c r="D89" s="68" t="inlineStr">
        <is>
          <t>Acomp. Organizacional Setorial (Vistoria)</t>
        </is>
      </c>
      <c r="E89" s="53" t="n"/>
      <c r="F89" s="53" t="n"/>
      <c r="G89" s="69" t="inlineStr">
        <is>
          <t>B</t>
        </is>
      </c>
      <c r="H89" s="70">
        <f>IF($G89="A",CONFIG!$B$5,IF($G89="B",CONFIG!$B$6,IF($G89="C",CONFIG!$B$7,IF($G89="Todos","Todos os turnos",""))))</f>
        <v/>
      </c>
      <c r="I89" s="53" t="n"/>
      <c r="J89" s="77" t="n"/>
      <c r="K89" s="53" t="n"/>
      <c r="L89" s="72" t="n"/>
      <c r="M89" s="53" t="n"/>
      <c r="N89" s="73" t="n"/>
      <c r="O89" s="74" t="n"/>
      <c r="P89" s="75" t="n"/>
      <c r="Q89" s="53" t="n"/>
      <c r="R89" s="76">
        <f>IF($C89="","",IF($O89="Cancelada","Cancelada",IF($O89="Reprovado","Reprovada",IF($O89="Aprovado","Aprovada",IF($L89&lt;&gt;"","Entregue",IF(TODAY()&gt;$C89,"Atrasada","Pendente"))))))</f>
        <v/>
      </c>
    </row>
    <row r="90">
      <c r="A90" s="65" t="inlineStr">
        <is>
          <t>SET-S39-VIS-C</t>
        </is>
      </c>
      <c r="B90" s="66" t="inlineStr">
        <is>
          <t>S39</t>
        </is>
      </c>
      <c r="C90" s="67" t="n">
        <v>46288</v>
      </c>
      <c r="D90" s="68" t="inlineStr">
        <is>
          <t>Acomp. Organizacional Setorial (Vistoria)</t>
        </is>
      </c>
      <c r="E90" s="53" t="n"/>
      <c r="F90" s="53" t="n"/>
      <c r="G90" s="69" t="inlineStr">
        <is>
          <t>C</t>
        </is>
      </c>
      <c r="H90" s="70">
        <f>IF($G90="A",CONFIG!$B$5,IF($G90="B",CONFIG!$B$6,IF($G90="C",CONFIG!$B$7,IF($G90="Todos","Todos os turnos",""))))</f>
        <v/>
      </c>
      <c r="I90" s="53" t="n"/>
      <c r="J90" s="77" t="n"/>
      <c r="K90" s="53" t="n"/>
      <c r="L90" s="72" t="n"/>
      <c r="M90" s="53" t="n"/>
      <c r="N90" s="73" t="n"/>
      <c r="O90" s="74" t="n"/>
      <c r="P90" s="75" t="n"/>
      <c r="Q90" s="53" t="n"/>
      <c r="R90" s="76">
        <f>IF($C90="","",IF($O90="Cancelada","Cancelada",IF($O90="Reprovado","Reprovada",IF($O90="Aprovado","Aprovada",IF($L90&lt;&gt;"","Entregue",IF(TODAY()&gt;$C90,"Atrasada","Pendente"))))))</f>
        <v/>
      </c>
    </row>
    <row r="91">
      <c r="A91" s="65" t="inlineStr">
        <is>
          <t>SET-S39-MET-A</t>
        </is>
      </c>
      <c r="B91" s="66" t="inlineStr">
        <is>
          <t>S39</t>
        </is>
      </c>
      <c r="C91" s="67" t="n">
        <v>46289</v>
      </c>
      <c r="D91" s="68" t="inlineStr">
        <is>
          <t>Metas</t>
        </is>
      </c>
      <c r="E91" s="53" t="n"/>
      <c r="F91" s="53" t="n"/>
      <c r="G91" s="69" t="inlineStr">
        <is>
          <t>A</t>
        </is>
      </c>
      <c r="H91" s="70">
        <f>IF($G91="A",CONFIG!$B$5,IF($G91="B",CONFIG!$B$6,IF($G91="C",CONFIG!$B$7,IF($G91="Todos","Todos os turnos",""))))</f>
        <v/>
      </c>
      <c r="I91" s="53" t="n"/>
      <c r="J91" s="71" t="inlineStr">
        <is>
          <t>—</t>
        </is>
      </c>
      <c r="K91" s="53" t="n"/>
      <c r="L91" s="72" t="n"/>
      <c r="M91" s="53" t="n"/>
      <c r="N91" s="73" t="n"/>
      <c r="O91" s="74" t="n"/>
      <c r="P91" s="75" t="n"/>
      <c r="Q91" s="53" t="n"/>
      <c r="R91" s="76">
        <f>IF($C91="","",IF($O91="Cancelada","Cancelada",IF($O91="Reprovado","Reprovada",IF($O91="Aprovado","Aprovada",IF($L91&lt;&gt;"","Entregue",IF(TODAY()&gt;$C91,"Atrasada","Pendente"))))))</f>
        <v/>
      </c>
    </row>
    <row r="92">
      <c r="A92" s="65" t="inlineStr">
        <is>
          <t>SET-S39-MET-B</t>
        </is>
      </c>
      <c r="B92" s="66" t="inlineStr">
        <is>
          <t>S39</t>
        </is>
      </c>
      <c r="C92" s="67" t="n">
        <v>46289</v>
      </c>
      <c r="D92" s="68" t="inlineStr">
        <is>
          <t>Metas</t>
        </is>
      </c>
      <c r="E92" s="53" t="n"/>
      <c r="F92" s="53" t="n"/>
      <c r="G92" s="69" t="inlineStr">
        <is>
          <t>B</t>
        </is>
      </c>
      <c r="H92" s="70">
        <f>IF($G92="A",CONFIG!$B$5,IF($G92="B",CONFIG!$B$6,IF($G92="C",CONFIG!$B$7,IF($G92="Todos","Todos os turnos",""))))</f>
        <v/>
      </c>
      <c r="I92" s="53" t="n"/>
      <c r="J92" s="71" t="inlineStr">
        <is>
          <t>—</t>
        </is>
      </c>
      <c r="K92" s="53" t="n"/>
      <c r="L92" s="72" t="n"/>
      <c r="M92" s="53" t="n"/>
      <c r="N92" s="73" t="n"/>
      <c r="O92" s="74" t="n"/>
      <c r="P92" s="75" t="n"/>
      <c r="Q92" s="53" t="n"/>
      <c r="R92" s="76">
        <f>IF($C92="","",IF($O92="Cancelada","Cancelada",IF($O92="Reprovado","Reprovada",IF($O92="Aprovado","Aprovada",IF($L92&lt;&gt;"","Entregue",IF(TODAY()&gt;$C92,"Atrasada","Pendente"))))))</f>
        <v/>
      </c>
    </row>
    <row r="93">
      <c r="A93" s="65" t="inlineStr">
        <is>
          <t>SET-S39-MET-C</t>
        </is>
      </c>
      <c r="B93" s="66" t="inlineStr">
        <is>
          <t>S39</t>
        </is>
      </c>
      <c r="C93" s="67" t="n">
        <v>46289</v>
      </c>
      <c r="D93" s="68" t="inlineStr">
        <is>
          <t>Metas</t>
        </is>
      </c>
      <c r="E93" s="53" t="n"/>
      <c r="F93" s="53" t="n"/>
      <c r="G93" s="69" t="inlineStr">
        <is>
          <t>C</t>
        </is>
      </c>
      <c r="H93" s="70">
        <f>IF($G93="A",CONFIG!$B$5,IF($G93="B",CONFIG!$B$6,IF($G93="C",CONFIG!$B$7,IF($G93="Todos","Todos os turnos",""))))</f>
        <v/>
      </c>
      <c r="I93" s="53" t="n"/>
      <c r="J93" s="71" t="inlineStr">
        <is>
          <t>—</t>
        </is>
      </c>
      <c r="K93" s="53" t="n"/>
      <c r="L93" s="72" t="n"/>
      <c r="M93" s="53" t="n"/>
      <c r="N93" s="73" t="n"/>
      <c r="O93" s="74" t="n"/>
      <c r="P93" s="75" t="n"/>
      <c r="Q93" s="53" t="n"/>
      <c r="R93" s="76">
        <f>IF($C93="","",IF($O93="Cancelada","Cancelada",IF($O93="Reprovado","Reprovada",IF($O93="Aprovado","Aprovada",IF($L93&lt;&gt;"","Entregue",IF(TODAY()&gt;$C93,"Atrasada","Pendente"))))))</f>
        <v/>
      </c>
    </row>
    <row r="94">
      <c r="A94" s="65" t="inlineStr">
        <is>
          <t>SET-S39-ACO-A</t>
        </is>
      </c>
      <c r="B94" s="66" t="inlineStr">
        <is>
          <t>S39</t>
        </is>
      </c>
      <c r="C94" s="67" t="n">
        <v>46290</v>
      </c>
      <c r="D94" s="68" t="inlineStr">
        <is>
          <t>Acompanhamento Semanal c/ Supervisores</t>
        </is>
      </c>
      <c r="E94" s="53" t="n"/>
      <c r="F94" s="53" t="n"/>
      <c r="G94" s="69" t="inlineStr">
        <is>
          <t>A</t>
        </is>
      </c>
      <c r="H94" s="70">
        <f>IF($G94="A",CONFIG!$B$5,IF($G94="B",CONFIG!$B$6,IF($G94="C",CONFIG!$B$7,IF($G94="Todos","Todos os turnos",""))))</f>
        <v/>
      </c>
      <c r="I94" s="53" t="n"/>
      <c r="J94" s="71" t="inlineStr">
        <is>
          <t>—</t>
        </is>
      </c>
      <c r="K94" s="53" t="n"/>
      <c r="L94" s="72" t="n"/>
      <c r="M94" s="53" t="n"/>
      <c r="N94" s="73" t="n"/>
      <c r="O94" s="74" t="n"/>
      <c r="P94" s="75" t="n"/>
      <c r="Q94" s="53" t="n"/>
      <c r="R94" s="76">
        <f>IF($C94="","",IF($O94="Cancelada","Cancelada",IF($O94="Reprovado","Reprovada",IF($O94="Aprovado","Aprovada",IF($L94&lt;&gt;"","Entregue",IF(TODAY()&gt;$C94,"Atrasada","Pendente"))))))</f>
        <v/>
      </c>
    </row>
    <row r="95">
      <c r="A95" s="65" t="inlineStr">
        <is>
          <t>SET-S39-ACO-B</t>
        </is>
      </c>
      <c r="B95" s="66" t="inlineStr">
        <is>
          <t>S39</t>
        </is>
      </c>
      <c r="C95" s="67" t="n">
        <v>46290</v>
      </c>
      <c r="D95" s="68" t="inlineStr">
        <is>
          <t>Acompanhamento Semanal c/ Supervisores</t>
        </is>
      </c>
      <c r="E95" s="53" t="n"/>
      <c r="F95" s="53" t="n"/>
      <c r="G95" s="69" t="inlineStr">
        <is>
          <t>B</t>
        </is>
      </c>
      <c r="H95" s="70">
        <f>IF($G95="A",CONFIG!$B$5,IF($G95="B",CONFIG!$B$6,IF($G95="C",CONFIG!$B$7,IF($G95="Todos","Todos os turnos",""))))</f>
        <v/>
      </c>
      <c r="I95" s="53" t="n"/>
      <c r="J95" s="71" t="inlineStr">
        <is>
          <t>—</t>
        </is>
      </c>
      <c r="K95" s="53" t="n"/>
      <c r="L95" s="72" t="n"/>
      <c r="M95" s="53" t="n"/>
      <c r="N95" s="73" t="n"/>
      <c r="O95" s="74" t="n"/>
      <c r="P95" s="75" t="n"/>
      <c r="Q95" s="53" t="n"/>
      <c r="R95" s="76">
        <f>IF($C95="","",IF($O95="Cancelada","Cancelada",IF($O95="Reprovado","Reprovada",IF($O95="Aprovado","Aprovada",IF($L95&lt;&gt;"","Entregue",IF(TODAY()&gt;$C95,"Atrasada","Pendente"))))))</f>
        <v/>
      </c>
    </row>
    <row r="96">
      <c r="A96" s="65" t="inlineStr">
        <is>
          <t>SET-S39-ACO-C</t>
        </is>
      </c>
      <c r="B96" s="66" t="inlineStr">
        <is>
          <t>S39</t>
        </is>
      </c>
      <c r="C96" s="67" t="n">
        <v>46290</v>
      </c>
      <c r="D96" s="68" t="inlineStr">
        <is>
          <t>Acompanhamento Semanal c/ Supervisores</t>
        </is>
      </c>
      <c r="E96" s="53" t="n"/>
      <c r="F96" s="53" t="n"/>
      <c r="G96" s="69" t="inlineStr">
        <is>
          <t>C</t>
        </is>
      </c>
      <c r="H96" s="70">
        <f>IF($G96="A",CONFIG!$B$5,IF($G96="B",CONFIG!$B$6,IF($G96="C",CONFIG!$B$7,IF($G96="Todos","Todos os turnos",""))))</f>
        <v/>
      </c>
      <c r="I96" s="53" t="n"/>
      <c r="J96" s="71" t="inlineStr">
        <is>
          <t>—</t>
        </is>
      </c>
      <c r="K96" s="53" t="n"/>
      <c r="L96" s="72" t="n"/>
      <c r="M96" s="53" t="n"/>
      <c r="N96" s="73" t="n"/>
      <c r="O96" s="74" t="n"/>
      <c r="P96" s="75" t="n"/>
      <c r="Q96" s="53" t="n"/>
      <c r="R96" s="76">
        <f>IF($C96="","",IF($O96="Cancelada","Cancelada",IF($O96="Reprovado","Reprovada",IF($O96="Aprovado","Aprovada",IF($L96&lt;&gt;"","Entregue",IF(TODAY()&gt;$C96,"Atrasada","Pendente"))))))</f>
        <v/>
      </c>
    </row>
    <row r="97">
      <c r="A97" s="65" t="inlineStr">
        <is>
          <t>SET-S39-FAL-A</t>
        </is>
      </c>
      <c r="B97" s="66" t="inlineStr">
        <is>
          <t>S39</t>
        </is>
      </c>
      <c r="C97" s="67" t="n">
        <v>46290</v>
      </c>
      <c r="D97" s="68" t="inlineStr">
        <is>
          <t>Faltas e Atestados</t>
        </is>
      </c>
      <c r="E97" s="53" t="n"/>
      <c r="F97" s="53" t="n"/>
      <c r="G97" s="69" t="inlineStr">
        <is>
          <t>A</t>
        </is>
      </c>
      <c r="H97" s="70">
        <f>IF($G97="A",CONFIG!$B$5,IF($G97="B",CONFIG!$B$6,IF($G97="C",CONFIG!$B$7,IF($G97="Todos","Todos os turnos",""))))</f>
        <v/>
      </c>
      <c r="I97" s="53" t="n"/>
      <c r="J97" s="71" t="inlineStr">
        <is>
          <t>—</t>
        </is>
      </c>
      <c r="K97" s="53" t="n"/>
      <c r="L97" s="72" t="n"/>
      <c r="M97" s="53" t="n"/>
      <c r="N97" s="73" t="n"/>
      <c r="O97" s="74" t="n"/>
      <c r="P97" s="75" t="n"/>
      <c r="Q97" s="53" t="n"/>
      <c r="R97" s="76">
        <f>IF($C97="","",IF($O97="Cancelada","Cancelada",IF($O97="Reprovado","Reprovada",IF($O97="Aprovado","Aprovada",IF($L97&lt;&gt;"","Entregue",IF(TODAY()&gt;$C97,"Atrasada","Pendente"))))))</f>
        <v/>
      </c>
    </row>
    <row r="98">
      <c r="A98" s="65" t="inlineStr">
        <is>
          <t>SET-S39-FAL-B</t>
        </is>
      </c>
      <c r="B98" s="66" t="inlineStr">
        <is>
          <t>S39</t>
        </is>
      </c>
      <c r="C98" s="67" t="n">
        <v>46290</v>
      </c>
      <c r="D98" s="68" t="inlineStr">
        <is>
          <t>Faltas e Atestados</t>
        </is>
      </c>
      <c r="E98" s="53" t="n"/>
      <c r="F98" s="53" t="n"/>
      <c r="G98" s="69" t="inlineStr">
        <is>
          <t>B</t>
        </is>
      </c>
      <c r="H98" s="70">
        <f>IF($G98="A",CONFIG!$B$5,IF($G98="B",CONFIG!$B$6,IF($G98="C",CONFIG!$B$7,IF($G98="Todos","Todos os turnos",""))))</f>
        <v/>
      </c>
      <c r="I98" s="53" t="n"/>
      <c r="J98" s="71" t="inlineStr">
        <is>
          <t>—</t>
        </is>
      </c>
      <c r="K98" s="53" t="n"/>
      <c r="L98" s="72" t="n"/>
      <c r="M98" s="53" t="n"/>
      <c r="N98" s="73" t="n"/>
      <c r="O98" s="74" t="n"/>
      <c r="P98" s="75" t="n"/>
      <c r="Q98" s="53" t="n"/>
      <c r="R98" s="76">
        <f>IF($C98="","",IF($O98="Cancelada","Cancelada",IF($O98="Reprovado","Reprovada",IF($O98="Aprovado","Aprovada",IF($L98&lt;&gt;"","Entregue",IF(TODAY()&gt;$C98,"Atrasada","Pendente"))))))</f>
        <v/>
      </c>
    </row>
    <row r="99">
      <c r="A99" s="65" t="inlineStr">
        <is>
          <t>SET-S39-FAL-C</t>
        </is>
      </c>
      <c r="B99" s="66" t="inlineStr">
        <is>
          <t>S39</t>
        </is>
      </c>
      <c r="C99" s="67" t="n">
        <v>46290</v>
      </c>
      <c r="D99" s="68" t="inlineStr">
        <is>
          <t>Faltas e Atestados</t>
        </is>
      </c>
      <c r="E99" s="53" t="n"/>
      <c r="F99" s="53" t="n"/>
      <c r="G99" s="69" t="inlineStr">
        <is>
          <t>C</t>
        </is>
      </c>
      <c r="H99" s="70">
        <f>IF($G99="A",CONFIG!$B$5,IF($G99="B",CONFIG!$B$6,IF($G99="C",CONFIG!$B$7,IF($G99="Todos","Todos os turnos",""))))</f>
        <v/>
      </c>
      <c r="I99" s="53" t="n"/>
      <c r="J99" s="71" t="inlineStr">
        <is>
          <t>—</t>
        </is>
      </c>
      <c r="K99" s="53" t="n"/>
      <c r="L99" s="72" t="n"/>
      <c r="M99" s="53" t="n"/>
      <c r="N99" s="73" t="n"/>
      <c r="O99" s="74" t="n"/>
      <c r="P99" s="75" t="n"/>
      <c r="Q99" s="53" t="n"/>
      <c r="R99" s="76">
        <f>IF($C99="","",IF($O99="Cancelada","Cancelada",IF($O99="Reprovado","Reprovada",IF($O99="Aprovado","Aprovada",IF($L99&lt;&gt;"","Entregue",IF(TODAY()&gt;$C99,"Atrasada","Pendente"))))))</f>
        <v/>
      </c>
    </row>
    <row r="100">
      <c r="A100" s="65" t="inlineStr">
        <is>
          <t>SET-S39-REU-T</t>
        </is>
      </c>
      <c r="B100" s="66" t="inlineStr">
        <is>
          <t>S39</t>
        </is>
      </c>
      <c r="C100" s="67" t="n">
        <v>46290</v>
      </c>
      <c r="D100" s="68" t="inlineStr">
        <is>
          <t>Reunião Semanal com a Gerência</t>
        </is>
      </c>
      <c r="E100" s="53" t="n"/>
      <c r="F100" s="53" t="n"/>
      <c r="G100" s="69" t="inlineStr">
        <is>
          <t>Todos</t>
        </is>
      </c>
      <c r="H100" s="70">
        <f>IF($G100="A",CONFIG!$B$5,IF($G100="B",CONFIG!$B$6,IF($G100="C",CONFIG!$B$7,IF($G100="Todos","Todos os turnos",""))))</f>
        <v/>
      </c>
      <c r="I100" s="53" t="n"/>
      <c r="J100" s="71" t="inlineStr">
        <is>
          <t>—</t>
        </is>
      </c>
      <c r="K100" s="53" t="n"/>
      <c r="L100" s="72" t="n"/>
      <c r="M100" s="53" t="n"/>
      <c r="N100" s="73" t="n"/>
      <c r="O100" s="74" t="n"/>
      <c r="P100" s="75" t="n"/>
      <c r="Q100" s="53" t="n"/>
      <c r="R100" s="76">
        <f>IF($C100="","",IF($O100="Cancelada","Cancelada",IF($O100="Reprovado","Reprovada",IF($O100="Aprovado","Aprovada",IF($L100&lt;&gt;"","Entregue",IF(TODAY()&gt;$C100,"Atrasada","Pendente"))))))</f>
        <v/>
      </c>
    </row>
    <row r="101">
      <c r="A101" s="65" t="inlineStr">
        <is>
          <t>SET-S39-MDF-T</t>
        </is>
      </c>
      <c r="B101" s="66" t="inlineStr">
        <is>
          <t>S39</t>
        </is>
      </c>
      <c r="C101" s="67" t="n">
        <v>46290</v>
      </c>
      <c r="D101" s="68" t="inlineStr">
        <is>
          <t>Mudança de Função — reunião mensal</t>
        </is>
      </c>
      <c r="E101" s="53" t="n"/>
      <c r="F101" s="53" t="n"/>
      <c r="G101" s="69" t="inlineStr">
        <is>
          <t>Todos</t>
        </is>
      </c>
      <c r="H101" s="70">
        <f>IF($G101="A",CONFIG!$B$5,IF($G101="B",CONFIG!$B$6,IF($G101="C",CONFIG!$B$7,IF($G101="Todos","Todos os turnos",""))))</f>
        <v/>
      </c>
      <c r="I101" s="53" t="n"/>
      <c r="J101" s="71" t="inlineStr">
        <is>
          <t>—</t>
        </is>
      </c>
      <c r="K101" s="53" t="n"/>
      <c r="L101" s="72" t="n"/>
      <c r="M101" s="53" t="n"/>
      <c r="N101" s="73" t="n"/>
      <c r="O101" s="74" t="n"/>
      <c r="P101" s="75" t="n"/>
      <c r="Q101" s="53" t="n"/>
      <c r="R101" s="76">
        <f>IF($C101="","",IF($O101="Cancelada","Cancelada",IF($O101="Reprovado","Reprovada",IF($O101="Aprovado","Aprovada",IF($L101&lt;&gt;"","Entregue",IF(TODAY()&gt;$C101,"Atrasada","Pendente"))))))</f>
        <v/>
      </c>
    </row>
    <row r="102">
      <c r="A102" s="78" t="inlineStr">
        <is>
          <t>TREINAMENTOS PROGRAMADOS PELO GERENTE — preencha PRAZO + tema; os coordenadores serão avisados por e-mail</t>
        </is>
      </c>
    </row>
    <row r="103" ht="14" customHeight="1">
      <c r="A103" s="79" t="inlineStr">
        <is>
          <t>Como usar: o gerente preenche apenas o PRAZO (data), completa o tema em ATIVIDADE e escolhe o TURNO. O resto fica em branco até o treinamento ocorrer; depois o coordenador anexa a lista de presença em LINK DO ANEXO e o gerente valida.</t>
        </is>
      </c>
    </row>
    <row r="104">
      <c r="A104" s="65" t="inlineStr">
        <is>
          <t>SET-TRE-1</t>
        </is>
      </c>
      <c r="B104" s="66">
        <f>IF($C104="","","S"&amp;ISOWEEKNUM($C104))</f>
        <v/>
      </c>
      <c r="C104" s="67" t="n"/>
      <c r="D104" s="80" t="inlineStr">
        <is>
          <t xml:space="preserve">Treinamento com Colaboradores — tema: </t>
        </is>
      </c>
      <c r="E104" s="53" t="n"/>
      <c r="F104" s="53" t="n"/>
      <c r="G104" s="81" t="inlineStr">
        <is>
          <t>Todos</t>
        </is>
      </c>
      <c r="H104" s="70">
        <f>IF($G104="A",CONFIG!$B$5,IF($G104="B",CONFIG!$B$6,IF($G104="C",CONFIG!$B$7,IF($G104="Todos","Todos os turnos",""))))</f>
        <v/>
      </c>
      <c r="I104" s="53" t="n"/>
      <c r="J104" s="71" t="inlineStr">
        <is>
          <t>—</t>
        </is>
      </c>
      <c r="K104" s="53" t="n"/>
      <c r="L104" s="72" t="n"/>
      <c r="M104" s="53" t="n"/>
      <c r="N104" s="73" t="n"/>
      <c r="O104" s="74" t="n"/>
      <c r="P104" s="75" t="n"/>
      <c r="Q104" s="53" t="n"/>
      <c r="R104" s="76">
        <f>IF($C104="","Não agendado",IF($O104="Cancelada","Cancelada",IF($O104="Reprovado","Reprovada",IF($O104="Aprovado","Aprovada",IF($L104&lt;&gt;"","Entregue",IF(TODAY()&gt;$C104,"Atrasada","Pendente"))))))</f>
        <v/>
      </c>
    </row>
    <row r="105">
      <c r="A105" s="65" t="inlineStr">
        <is>
          <t>SET-TRE-2</t>
        </is>
      </c>
      <c r="B105" s="66">
        <f>IF($C105="","","S"&amp;ISOWEEKNUM($C105))</f>
        <v/>
      </c>
      <c r="C105" s="67" t="n"/>
      <c r="D105" s="80" t="inlineStr">
        <is>
          <t xml:space="preserve">Treinamento com Colaboradores — tema: </t>
        </is>
      </c>
      <c r="E105" s="53" t="n"/>
      <c r="F105" s="53" t="n"/>
      <c r="G105" s="81" t="inlineStr">
        <is>
          <t>Todos</t>
        </is>
      </c>
      <c r="H105" s="70">
        <f>IF($G105="A",CONFIG!$B$5,IF($G105="B",CONFIG!$B$6,IF($G105="C",CONFIG!$B$7,IF($G105="Todos","Todos os turnos",""))))</f>
        <v/>
      </c>
      <c r="I105" s="53" t="n"/>
      <c r="J105" s="71" t="inlineStr">
        <is>
          <t>—</t>
        </is>
      </c>
      <c r="K105" s="53" t="n"/>
      <c r="L105" s="72" t="n"/>
      <c r="M105" s="53" t="n"/>
      <c r="N105" s="73" t="n"/>
      <c r="O105" s="74" t="n"/>
      <c r="P105" s="75" t="n"/>
      <c r="Q105" s="53" t="n"/>
      <c r="R105" s="76">
        <f>IF($C105="","Não agendado",IF($O105="Cancelada","Cancelada",IF($O105="Reprovado","Reprovada",IF($O105="Aprovado","Aprovada",IF($L105&lt;&gt;"","Entregue",IF(TODAY()&gt;$C105,"Atrasada","Pendente"))))))</f>
        <v/>
      </c>
    </row>
    <row r="106">
      <c r="A106" s="65" t="inlineStr">
        <is>
          <t>SET-TRE-3</t>
        </is>
      </c>
      <c r="B106" s="66">
        <f>IF($C106="","","S"&amp;ISOWEEKNUM($C106))</f>
        <v/>
      </c>
      <c r="C106" s="67" t="n"/>
      <c r="D106" s="80" t="inlineStr">
        <is>
          <t xml:space="preserve">Treinamento com Colaboradores — tema: </t>
        </is>
      </c>
      <c r="E106" s="53" t="n"/>
      <c r="F106" s="53" t="n"/>
      <c r="G106" s="81" t="inlineStr">
        <is>
          <t>Todos</t>
        </is>
      </c>
      <c r="H106" s="70">
        <f>IF($G106="A",CONFIG!$B$5,IF($G106="B",CONFIG!$B$6,IF($G106="C",CONFIG!$B$7,IF($G106="Todos","Todos os turnos",""))))</f>
        <v/>
      </c>
      <c r="I106" s="53" t="n"/>
      <c r="J106" s="71" t="inlineStr">
        <is>
          <t>—</t>
        </is>
      </c>
      <c r="K106" s="53" t="n"/>
      <c r="L106" s="72" t="n"/>
      <c r="M106" s="53" t="n"/>
      <c r="N106" s="73" t="n"/>
      <c r="O106" s="74" t="n"/>
      <c r="P106" s="75" t="n"/>
      <c r="Q106" s="53" t="n"/>
      <c r="R106" s="76">
        <f>IF($C106="","Não agendado",IF($O106="Cancelada","Cancelada",IF($O106="Reprovado","Reprovada",IF($O106="Aprovado","Aprovada",IF($L106&lt;&gt;"","Entregue",IF(TODAY()&gt;$C106,"Atrasada","Pendente"))))))</f>
        <v/>
      </c>
    </row>
    <row r="107">
      <c r="A107" s="65" t="inlineStr">
        <is>
          <t>SET-TRE-4</t>
        </is>
      </c>
      <c r="B107" s="66">
        <f>IF($C107="","","S"&amp;ISOWEEKNUM($C107))</f>
        <v/>
      </c>
      <c r="C107" s="67" t="n"/>
      <c r="D107" s="80" t="inlineStr">
        <is>
          <t xml:space="preserve">Treinamento com Colaboradores — tema: </t>
        </is>
      </c>
      <c r="E107" s="53" t="n"/>
      <c r="F107" s="53" t="n"/>
      <c r="G107" s="81" t="inlineStr">
        <is>
          <t>Todos</t>
        </is>
      </c>
      <c r="H107" s="70">
        <f>IF($G107="A",CONFIG!$B$5,IF($G107="B",CONFIG!$B$6,IF($G107="C",CONFIG!$B$7,IF($G107="Todos","Todos os turnos",""))))</f>
        <v/>
      </c>
      <c r="I107" s="53" t="n"/>
      <c r="J107" s="71" t="inlineStr">
        <is>
          <t>—</t>
        </is>
      </c>
      <c r="K107" s="53" t="n"/>
      <c r="L107" s="72" t="n"/>
      <c r="M107" s="53" t="n"/>
      <c r="N107" s="73" t="n"/>
      <c r="O107" s="74" t="n"/>
      <c r="P107" s="75" t="n"/>
      <c r="Q107" s="53" t="n"/>
      <c r="R107" s="76">
        <f>IF($C107="","Não agendado",IF($O107="Cancelada","Cancelada",IF($O107="Reprovado","Reprovada",IF($O107="Aprovado","Aprovada",IF($L107&lt;&gt;"","Entregue",IF(TODAY()&gt;$C107,"Atrasada","Pendente"))))))</f>
        <v/>
      </c>
    </row>
    <row r="108">
      <c r="A108" s="65" t="inlineStr">
        <is>
          <t>SET-TRE-5</t>
        </is>
      </c>
      <c r="B108" s="66">
        <f>IF($C108="","","S"&amp;ISOWEEKNUM($C108))</f>
        <v/>
      </c>
      <c r="C108" s="67" t="n"/>
      <c r="D108" s="80" t="inlineStr">
        <is>
          <t xml:space="preserve">Treinamento com Colaboradores — tema: </t>
        </is>
      </c>
      <c r="E108" s="53" t="n"/>
      <c r="F108" s="53" t="n"/>
      <c r="G108" s="81" t="inlineStr">
        <is>
          <t>Todos</t>
        </is>
      </c>
      <c r="H108" s="70">
        <f>IF($G108="A",CONFIG!$B$5,IF($G108="B",CONFIG!$B$6,IF($G108="C",CONFIG!$B$7,IF($G108="Todos","Todos os turnos",""))))</f>
        <v/>
      </c>
      <c r="I108" s="53" t="n"/>
      <c r="J108" s="71" t="inlineStr">
        <is>
          <t>—</t>
        </is>
      </c>
      <c r="K108" s="53" t="n"/>
      <c r="L108" s="72" t="n"/>
      <c r="M108" s="53" t="n"/>
      <c r="N108" s="73" t="n"/>
      <c r="O108" s="74" t="n"/>
      <c r="P108" s="75" t="n"/>
      <c r="Q108" s="53" t="n"/>
      <c r="R108" s="76">
        <f>IF($C108="","Não agendado",IF($O108="Cancelada","Cancelada",IF($O108="Reprovado","Reprovada",IF($O108="Aprovado","Aprovada",IF($L108&lt;&gt;"","Entregue",IF(TODAY()&gt;$C108,"Atrasada","Pendente"))))))</f>
        <v/>
      </c>
    </row>
    <row r="109">
      <c r="A109" s="65" t="inlineStr">
        <is>
          <t>SET-TRE-6</t>
        </is>
      </c>
      <c r="B109" s="66">
        <f>IF($C109="","","S"&amp;ISOWEEKNUM($C109))</f>
        <v/>
      </c>
      <c r="C109" s="67" t="n"/>
      <c r="D109" s="80" t="inlineStr">
        <is>
          <t xml:space="preserve">Treinamento com Colaboradores — tema: </t>
        </is>
      </c>
      <c r="E109" s="53" t="n"/>
      <c r="F109" s="53" t="n"/>
      <c r="G109" s="81" t="inlineStr">
        <is>
          <t>Todos</t>
        </is>
      </c>
      <c r="H109" s="70">
        <f>IF($G109="A",CONFIG!$B$5,IF($G109="B",CONFIG!$B$6,IF($G109="C",CONFIG!$B$7,IF($G109="Todos","Todos os turnos",""))))</f>
        <v/>
      </c>
      <c r="I109" s="53" t="n"/>
      <c r="J109" s="71" t="inlineStr">
        <is>
          <t>—</t>
        </is>
      </c>
      <c r="K109" s="53" t="n"/>
      <c r="L109" s="72" t="n"/>
      <c r="M109" s="53" t="n"/>
      <c r="N109" s="73" t="n"/>
      <c r="O109" s="74" t="n"/>
      <c r="P109" s="75" t="n"/>
      <c r="Q109" s="53" t="n"/>
      <c r="R109" s="76">
        <f>IF($C109="","Não agendado",IF($O109="Cancelada","Cancelada",IF($O109="Reprovado","Reprovada",IF($O109="Aprovado","Aprovada",IF($L109&lt;&gt;"","Entregue",IF(TODAY()&gt;$C109,"Atrasada","Pendente"))))))</f>
        <v/>
      </c>
    </row>
    <row r="111">
      <c r="A111" s="11" t="inlineStr">
        <is>
          <t>Amarelo = o GERENTE/ADM edita (prazo, setor da vistoria, validação, motivo, treinamentos) - Azul-claro = entrega do COORDENADOR (menu Anexar entrega ou link manual) - demais células são automáticas</t>
        </is>
      </c>
    </row>
  </sheetData>
  <mergeCells count="520">
    <mergeCell ref="P76:Q76"/>
    <mergeCell ref="D66:F66"/>
    <mergeCell ref="P94:Q94"/>
    <mergeCell ref="J59:K59"/>
    <mergeCell ref="D53:F53"/>
    <mergeCell ref="D47:F47"/>
    <mergeCell ref="H9:I9"/>
    <mergeCell ref="P69:Q69"/>
    <mergeCell ref="J9:K9"/>
    <mergeCell ref="B12:C12"/>
    <mergeCell ref="B14:C14"/>
    <mergeCell ref="B13:C13"/>
    <mergeCell ref="L29:M29"/>
    <mergeCell ref="D7:E7"/>
    <mergeCell ref="J31:K31"/>
    <mergeCell ref="L31:M31"/>
    <mergeCell ref="H96:I96"/>
    <mergeCell ref="P87:Q87"/>
    <mergeCell ref="H87:I87"/>
    <mergeCell ref="H62:I62"/>
    <mergeCell ref="J62:K62"/>
    <mergeCell ref="P24:Q24"/>
    <mergeCell ref="P89:Q89"/>
    <mergeCell ref="P88:Q88"/>
    <mergeCell ref="J64:K64"/>
    <mergeCell ref="P26:Q26"/>
    <mergeCell ref="H91:I91"/>
    <mergeCell ref="D41:F41"/>
    <mergeCell ref="L107:M107"/>
    <mergeCell ref="J57:K57"/>
    <mergeCell ref="L57:M57"/>
    <mergeCell ref="H93:I93"/>
    <mergeCell ref="J93:K93"/>
    <mergeCell ref="D43:F43"/>
    <mergeCell ref="L42:M42"/>
    <mergeCell ref="D74:F74"/>
    <mergeCell ref="D68:F68"/>
    <mergeCell ref="D55:F55"/>
    <mergeCell ref="P77:Q77"/>
    <mergeCell ref="H11:I11"/>
    <mergeCell ref="J11:K11"/>
    <mergeCell ref="D67:F67"/>
    <mergeCell ref="H109:I109"/>
    <mergeCell ref="H75:I75"/>
    <mergeCell ref="J75:K75"/>
    <mergeCell ref="P37:Q37"/>
    <mergeCell ref="D69:F69"/>
    <mergeCell ref="H12:I12"/>
    <mergeCell ref="J12:K12"/>
    <mergeCell ref="B15:C15"/>
    <mergeCell ref="D15:E15"/>
    <mergeCell ref="H48:I48"/>
    <mergeCell ref="H104:I104"/>
    <mergeCell ref="H14:I14"/>
    <mergeCell ref="D21:F21"/>
    <mergeCell ref="L70:M70"/>
    <mergeCell ref="H106:I106"/>
    <mergeCell ref="J81:K81"/>
    <mergeCell ref="L32:M32"/>
    <mergeCell ref="H43:I43"/>
    <mergeCell ref="L47:M47"/>
    <mergeCell ref="D87:F87"/>
    <mergeCell ref="P96:Q96"/>
    <mergeCell ref="P90:Q90"/>
    <mergeCell ref="J65:K65"/>
    <mergeCell ref="P27:Q27"/>
    <mergeCell ref="D51:F51"/>
    <mergeCell ref="D82:F82"/>
    <mergeCell ref="L58:M58"/>
    <mergeCell ref="P91:Q91"/>
    <mergeCell ref="J25:K25"/>
    <mergeCell ref="L50:M50"/>
    <mergeCell ref="L25:M25"/>
    <mergeCell ref="L60:M60"/>
    <mergeCell ref="L52:M52"/>
    <mergeCell ref="B5:C5"/>
    <mergeCell ref="P108:Q108"/>
    <mergeCell ref="D5:E5"/>
    <mergeCell ref="P45:Q45"/>
    <mergeCell ref="D77:F77"/>
    <mergeCell ref="P38:Q38"/>
    <mergeCell ref="J14:K14"/>
    <mergeCell ref="P109:Q109"/>
    <mergeCell ref="J13:K13"/>
    <mergeCell ref="J84:K84"/>
    <mergeCell ref="L13:M13"/>
    <mergeCell ref="J78:K78"/>
    <mergeCell ref="P40:Q40"/>
    <mergeCell ref="D72:F72"/>
    <mergeCell ref="A3:R3"/>
    <mergeCell ref="L78:M78"/>
    <mergeCell ref="H64:I64"/>
    <mergeCell ref="J15:K15"/>
    <mergeCell ref="L15:M15"/>
    <mergeCell ref="H51:I51"/>
    <mergeCell ref="L71:M71"/>
    <mergeCell ref="J80:K80"/>
    <mergeCell ref="J107:K107"/>
    <mergeCell ref="J55:K55"/>
    <mergeCell ref="L55:M55"/>
    <mergeCell ref="D24:F24"/>
    <mergeCell ref="J79:K79"/>
    <mergeCell ref="D89:F89"/>
    <mergeCell ref="L73:M73"/>
    <mergeCell ref="P98:Q98"/>
    <mergeCell ref="D88:F88"/>
    <mergeCell ref="D26:F26"/>
    <mergeCell ref="D90:F90"/>
    <mergeCell ref="P106:Q106"/>
    <mergeCell ref="D65:F65"/>
    <mergeCell ref="P93:Q93"/>
    <mergeCell ref="H33:I33"/>
    <mergeCell ref="J33:K33"/>
    <mergeCell ref="H8:I8"/>
    <mergeCell ref="J8:K8"/>
    <mergeCell ref="H35:I35"/>
    <mergeCell ref="H10:I10"/>
    <mergeCell ref="J10:K10"/>
    <mergeCell ref="L66:M66"/>
    <mergeCell ref="J28:K28"/>
    <mergeCell ref="L53:M53"/>
    <mergeCell ref="L28:M28"/>
    <mergeCell ref="D6:E6"/>
    <mergeCell ref="H39:I39"/>
    <mergeCell ref="J68:K68"/>
    <mergeCell ref="L68:M68"/>
    <mergeCell ref="D37:F37"/>
    <mergeCell ref="P59:Q59"/>
    <mergeCell ref="P46:Q46"/>
    <mergeCell ref="H89:I89"/>
    <mergeCell ref="L5:M5"/>
    <mergeCell ref="N5:O5"/>
    <mergeCell ref="P61:Q61"/>
    <mergeCell ref="J86:K86"/>
    <mergeCell ref="P48:Q48"/>
    <mergeCell ref="H72:I72"/>
    <mergeCell ref="L79:M79"/>
    <mergeCell ref="H65:I65"/>
    <mergeCell ref="J21:K21"/>
    <mergeCell ref="L21:M21"/>
    <mergeCell ref="P43:Q43"/>
    <mergeCell ref="L81:M81"/>
    <mergeCell ref="D80:F80"/>
    <mergeCell ref="H23:I23"/>
    <mergeCell ref="D96:F96"/>
    <mergeCell ref="J23:K23"/>
    <mergeCell ref="D27:F27"/>
    <mergeCell ref="H54:I54"/>
    <mergeCell ref="H41:I41"/>
    <mergeCell ref="F6:G6"/>
    <mergeCell ref="D91:F91"/>
    <mergeCell ref="P34:Q34"/>
    <mergeCell ref="H56:I56"/>
    <mergeCell ref="H34:I34"/>
    <mergeCell ref="H83:I83"/>
    <mergeCell ref="J34:K34"/>
    <mergeCell ref="D106:F106"/>
    <mergeCell ref="J99:K99"/>
    <mergeCell ref="D93:F93"/>
    <mergeCell ref="H49:I49"/>
    <mergeCell ref="P36:Q36"/>
    <mergeCell ref="J49:K49"/>
    <mergeCell ref="H36:I36"/>
    <mergeCell ref="H85:I85"/>
    <mergeCell ref="J36:K36"/>
    <mergeCell ref="L92:M92"/>
    <mergeCell ref="J101:K101"/>
    <mergeCell ref="L30:M30"/>
    <mergeCell ref="J100:K100"/>
    <mergeCell ref="J94:K94"/>
    <mergeCell ref="L94:M94"/>
    <mergeCell ref="A111:R111"/>
    <mergeCell ref="L69:M69"/>
    <mergeCell ref="D9:E9"/>
    <mergeCell ref="L44:M44"/>
    <mergeCell ref="H80:I80"/>
    <mergeCell ref="F9:G9"/>
    <mergeCell ref="D109:F109"/>
    <mergeCell ref="L6:M6"/>
    <mergeCell ref="N6:O6"/>
    <mergeCell ref="D46:F46"/>
    <mergeCell ref="D40:F40"/>
    <mergeCell ref="P62:Q62"/>
    <mergeCell ref="D86:F86"/>
    <mergeCell ref="D104:F104"/>
    <mergeCell ref="P64:Q64"/>
    <mergeCell ref="J29:K29"/>
    <mergeCell ref="B7:C7"/>
    <mergeCell ref="P51:Q51"/>
    <mergeCell ref="H31:I31"/>
    <mergeCell ref="H58:I58"/>
    <mergeCell ref="H73:I73"/>
    <mergeCell ref="J24:K24"/>
    <mergeCell ref="L24:M24"/>
    <mergeCell ref="H60:I60"/>
    <mergeCell ref="J89:K89"/>
    <mergeCell ref="L89:M89"/>
    <mergeCell ref="P67:Q67"/>
    <mergeCell ref="D33:F33"/>
    <mergeCell ref="J26:K26"/>
    <mergeCell ref="L88:M88"/>
    <mergeCell ref="L26:M26"/>
    <mergeCell ref="P82:Q82"/>
    <mergeCell ref="D35:F35"/>
    <mergeCell ref="H57:I57"/>
    <mergeCell ref="D59:F59"/>
    <mergeCell ref="H84:I84"/>
    <mergeCell ref="H22:I22"/>
    <mergeCell ref="P75:Q75"/>
    <mergeCell ref="D34:F34"/>
    <mergeCell ref="L100:M100"/>
    <mergeCell ref="D99:F99"/>
    <mergeCell ref="J50:K50"/>
    <mergeCell ref="H86:I86"/>
    <mergeCell ref="H42:I42"/>
    <mergeCell ref="J42:K42"/>
    <mergeCell ref="D36:F36"/>
    <mergeCell ref="D101:F101"/>
    <mergeCell ref="J52:K52"/>
    <mergeCell ref="L77:M77"/>
    <mergeCell ref="L108:M108"/>
    <mergeCell ref="J39:K39"/>
    <mergeCell ref="F11:G11"/>
    <mergeCell ref="J44:K44"/>
    <mergeCell ref="L95:M95"/>
    <mergeCell ref="D61:F61"/>
    <mergeCell ref="D48:F48"/>
    <mergeCell ref="J37:K37"/>
    <mergeCell ref="L37:M37"/>
    <mergeCell ref="L97:M97"/>
    <mergeCell ref="F12:G12"/>
    <mergeCell ref="B18:R18"/>
    <mergeCell ref="P72:Q72"/>
    <mergeCell ref="D62:F62"/>
    <mergeCell ref="D56:F56"/>
    <mergeCell ref="P65:Q65"/>
    <mergeCell ref="B8:C8"/>
    <mergeCell ref="H70:I70"/>
    <mergeCell ref="J70:K70"/>
    <mergeCell ref="A20:R20"/>
    <mergeCell ref="D64:F64"/>
    <mergeCell ref="H32:I32"/>
    <mergeCell ref="H7:I7"/>
    <mergeCell ref="J32:K32"/>
    <mergeCell ref="J7:K7"/>
    <mergeCell ref="B10:C10"/>
    <mergeCell ref="J63:K63"/>
    <mergeCell ref="L63:M63"/>
    <mergeCell ref="P74:Q74"/>
    <mergeCell ref="H99:I99"/>
    <mergeCell ref="H47:I47"/>
    <mergeCell ref="J109:K109"/>
    <mergeCell ref="J47:K47"/>
    <mergeCell ref="J96:K96"/>
    <mergeCell ref="J90:K90"/>
    <mergeCell ref="L96:M96"/>
    <mergeCell ref="L90:M90"/>
    <mergeCell ref="H101:I101"/>
    <mergeCell ref="H76:I76"/>
    <mergeCell ref="J76:K76"/>
    <mergeCell ref="L27:M27"/>
    <mergeCell ref="P83:Q83"/>
    <mergeCell ref="D49:F49"/>
    <mergeCell ref="L91:M91"/>
    <mergeCell ref="P85:Q85"/>
    <mergeCell ref="D75:F75"/>
    <mergeCell ref="P84:Q84"/>
    <mergeCell ref="J60:K60"/>
    <mergeCell ref="P22:Q22"/>
    <mergeCell ref="J53:K53"/>
    <mergeCell ref="P80:Q80"/>
    <mergeCell ref="H94:I94"/>
    <mergeCell ref="J45:K45"/>
    <mergeCell ref="D39:F39"/>
    <mergeCell ref="L45:M45"/>
    <mergeCell ref="L38:M38"/>
    <mergeCell ref="L109:M109"/>
    <mergeCell ref="F13:G13"/>
    <mergeCell ref="H13:I13"/>
    <mergeCell ref="L40:M40"/>
    <mergeCell ref="H105:I105"/>
    <mergeCell ref="N15:O15"/>
    <mergeCell ref="H15:I15"/>
    <mergeCell ref="H71:I71"/>
    <mergeCell ref="P58:Q58"/>
    <mergeCell ref="P33:Q33"/>
    <mergeCell ref="J71:K71"/>
    <mergeCell ref="H107:I107"/>
    <mergeCell ref="J58:K58"/>
    <mergeCell ref="D57:F57"/>
    <mergeCell ref="P79:Q79"/>
    <mergeCell ref="P73:Q73"/>
    <mergeCell ref="J73:K73"/>
    <mergeCell ref="P35:Q35"/>
    <mergeCell ref="L98:M98"/>
    <mergeCell ref="A1:N1"/>
    <mergeCell ref="H25:I25"/>
    <mergeCell ref="J77:K77"/>
    <mergeCell ref="L106:M106"/>
    <mergeCell ref="B11:C11"/>
    <mergeCell ref="D11:E11"/>
    <mergeCell ref="L93:M93"/>
    <mergeCell ref="D83:F83"/>
    <mergeCell ref="P86:Q86"/>
    <mergeCell ref="D85:F85"/>
    <mergeCell ref="P28:Q28"/>
    <mergeCell ref="D60:F60"/>
    <mergeCell ref="H28:I28"/>
    <mergeCell ref="B6:C6"/>
    <mergeCell ref="L59:M59"/>
    <mergeCell ref="H95:I95"/>
    <mergeCell ref="P30:Q30"/>
    <mergeCell ref="J46:K46"/>
    <mergeCell ref="L46:M46"/>
    <mergeCell ref="H5:I5"/>
    <mergeCell ref="J61:K61"/>
    <mergeCell ref="L61:M61"/>
    <mergeCell ref="H97:I97"/>
    <mergeCell ref="J48:K48"/>
    <mergeCell ref="J97:K97"/>
    <mergeCell ref="L48:M48"/>
    <mergeCell ref="P104:Q104"/>
    <mergeCell ref="P41:Q41"/>
    <mergeCell ref="D78:F78"/>
    <mergeCell ref="H21:I21"/>
    <mergeCell ref="L43:M43"/>
    <mergeCell ref="P56:Q56"/>
    <mergeCell ref="P105:Q105"/>
    <mergeCell ref="D71:F71"/>
    <mergeCell ref="P99:Q99"/>
    <mergeCell ref="D58:F58"/>
    <mergeCell ref="P49:Q49"/>
    <mergeCell ref="J74:K74"/>
    <mergeCell ref="L74:M74"/>
    <mergeCell ref="P107:Q107"/>
    <mergeCell ref="D73:F73"/>
    <mergeCell ref="P101:Q101"/>
    <mergeCell ref="L76:M76"/>
    <mergeCell ref="L9:M9"/>
    <mergeCell ref="D12:E12"/>
    <mergeCell ref="N9:O9"/>
    <mergeCell ref="D84:F84"/>
    <mergeCell ref="D22:F22"/>
    <mergeCell ref="L11:M11"/>
    <mergeCell ref="D14:E14"/>
    <mergeCell ref="F14:G14"/>
    <mergeCell ref="H92:I92"/>
    <mergeCell ref="H30:I30"/>
    <mergeCell ref="J92:K92"/>
    <mergeCell ref="P54:Q54"/>
    <mergeCell ref="H67:I67"/>
    <mergeCell ref="J67:K67"/>
    <mergeCell ref="P29:Q29"/>
    <mergeCell ref="J5:K5"/>
    <mergeCell ref="L67:M67"/>
    <mergeCell ref="H29:I29"/>
    <mergeCell ref="H78:I78"/>
    <mergeCell ref="P100:Q100"/>
    <mergeCell ref="P44:Q44"/>
    <mergeCell ref="H44:I44"/>
    <mergeCell ref="J69:K69"/>
    <mergeCell ref="P31:Q31"/>
    <mergeCell ref="J87:K87"/>
    <mergeCell ref="L87:M87"/>
    <mergeCell ref="H6:I6"/>
    <mergeCell ref="J6:K6"/>
    <mergeCell ref="L62:M62"/>
    <mergeCell ref="P95:Q95"/>
    <mergeCell ref="H98:I98"/>
    <mergeCell ref="J98:K98"/>
    <mergeCell ref="L64:M64"/>
    <mergeCell ref="L51:M51"/>
    <mergeCell ref="D79:F79"/>
    <mergeCell ref="P57:Q57"/>
    <mergeCell ref="D8:E8"/>
    <mergeCell ref="D81:F81"/>
    <mergeCell ref="H24:I24"/>
    <mergeCell ref="P42:Q42"/>
    <mergeCell ref="H26:I26"/>
    <mergeCell ref="H82:I82"/>
    <mergeCell ref="H53:I53"/>
    <mergeCell ref="J82:K82"/>
    <mergeCell ref="D76:F76"/>
    <mergeCell ref="L82:M82"/>
    <mergeCell ref="N11:O11"/>
    <mergeCell ref="H55:I55"/>
    <mergeCell ref="L75:M75"/>
    <mergeCell ref="D28:F28"/>
    <mergeCell ref="L12:M12"/>
    <mergeCell ref="N12:O12"/>
    <mergeCell ref="F15:G15"/>
    <mergeCell ref="D13:E13"/>
    <mergeCell ref="D92:F92"/>
    <mergeCell ref="D30:F30"/>
    <mergeCell ref="L14:M14"/>
    <mergeCell ref="L39:M39"/>
    <mergeCell ref="H52:I52"/>
    <mergeCell ref="N14:O14"/>
    <mergeCell ref="H79:I79"/>
    <mergeCell ref="P39:Q39"/>
    <mergeCell ref="H108:I108"/>
    <mergeCell ref="P70:Q70"/>
    <mergeCell ref="J108:K108"/>
    <mergeCell ref="D29:F29"/>
    <mergeCell ref="J95:K95"/>
    <mergeCell ref="D23:F23"/>
    <mergeCell ref="D94:F94"/>
    <mergeCell ref="H45:I45"/>
    <mergeCell ref="P32:Q32"/>
    <mergeCell ref="H81:I81"/>
    <mergeCell ref="P97:Q97"/>
    <mergeCell ref="H37:I37"/>
    <mergeCell ref="P47:Q47"/>
    <mergeCell ref="O1:R1"/>
    <mergeCell ref="L72:M72"/>
    <mergeCell ref="L65:M65"/>
    <mergeCell ref="D105:F105"/>
    <mergeCell ref="L7:M7"/>
    <mergeCell ref="D10:E10"/>
    <mergeCell ref="N7:O7"/>
    <mergeCell ref="F10:G10"/>
    <mergeCell ref="D107:F107"/>
    <mergeCell ref="P63:Q63"/>
    <mergeCell ref="H63:I63"/>
    <mergeCell ref="J88:K88"/>
    <mergeCell ref="P50:Q50"/>
    <mergeCell ref="P25:Q25"/>
    <mergeCell ref="H50:I50"/>
    <mergeCell ref="P60:Q60"/>
    <mergeCell ref="H74:I74"/>
    <mergeCell ref="H68:I68"/>
    <mergeCell ref="P52:Q52"/>
    <mergeCell ref="F5:G5"/>
    <mergeCell ref="J27:K27"/>
    <mergeCell ref="J83:K83"/>
    <mergeCell ref="D25:F25"/>
    <mergeCell ref="L83:M83"/>
    <mergeCell ref="H69:I69"/>
    <mergeCell ref="J85:K85"/>
    <mergeCell ref="L85:M85"/>
    <mergeCell ref="D54:F54"/>
    <mergeCell ref="A102:R102"/>
    <mergeCell ref="J22:K22"/>
    <mergeCell ref="L84:M84"/>
    <mergeCell ref="N13:O13"/>
    <mergeCell ref="L22:M22"/>
    <mergeCell ref="D100:F100"/>
    <mergeCell ref="P78:Q78"/>
    <mergeCell ref="D31:F31"/>
    <mergeCell ref="J51:K51"/>
    <mergeCell ref="L80:M80"/>
    <mergeCell ref="P71:Q71"/>
    <mergeCell ref="A103:R103"/>
    <mergeCell ref="D108:F108"/>
    <mergeCell ref="D95:F95"/>
    <mergeCell ref="P55:Q55"/>
    <mergeCell ref="H38:I38"/>
    <mergeCell ref="J38:K38"/>
    <mergeCell ref="D32:F32"/>
    <mergeCell ref="D97:F97"/>
    <mergeCell ref="H40:I40"/>
    <mergeCell ref="F7:G7"/>
    <mergeCell ref="J40:K40"/>
    <mergeCell ref="L33:M33"/>
    <mergeCell ref="L8:M8"/>
    <mergeCell ref="N8:O8"/>
    <mergeCell ref="F8:G8"/>
    <mergeCell ref="D42:F42"/>
    <mergeCell ref="J35:K35"/>
    <mergeCell ref="L35:M35"/>
    <mergeCell ref="H100:I100"/>
    <mergeCell ref="L10:M10"/>
    <mergeCell ref="N10:O10"/>
    <mergeCell ref="D50:F50"/>
    <mergeCell ref="D44:F44"/>
    <mergeCell ref="P66:Q66"/>
    <mergeCell ref="H66:I66"/>
    <mergeCell ref="B9:C9"/>
    <mergeCell ref="J91:K91"/>
    <mergeCell ref="P53:Q53"/>
    <mergeCell ref="J66:K66"/>
    <mergeCell ref="H77:I77"/>
    <mergeCell ref="J106:K106"/>
    <mergeCell ref="P68:Q68"/>
    <mergeCell ref="D45:F45"/>
    <mergeCell ref="L86:M86"/>
    <mergeCell ref="J72:K72"/>
    <mergeCell ref="L101:M101"/>
    <mergeCell ref="D70:F70"/>
    <mergeCell ref="J30:K30"/>
    <mergeCell ref="H59:I59"/>
    <mergeCell ref="P21:Q21"/>
    <mergeCell ref="H46:I46"/>
    <mergeCell ref="P81:Q81"/>
    <mergeCell ref="L23:M23"/>
    <mergeCell ref="H61:I61"/>
    <mergeCell ref="H88:I88"/>
    <mergeCell ref="P23:Q23"/>
    <mergeCell ref="D38:F38"/>
    <mergeCell ref="J104:K104"/>
    <mergeCell ref="D98:F98"/>
    <mergeCell ref="L104:M104"/>
    <mergeCell ref="J54:K54"/>
    <mergeCell ref="L54:M54"/>
    <mergeCell ref="H90:I90"/>
    <mergeCell ref="J41:K41"/>
    <mergeCell ref="L41:M41"/>
    <mergeCell ref="H27:I27"/>
    <mergeCell ref="D63:F63"/>
    <mergeCell ref="J56:K56"/>
    <mergeCell ref="L56:M56"/>
    <mergeCell ref="J105:K105"/>
    <mergeCell ref="L34:M34"/>
    <mergeCell ref="J43:K43"/>
    <mergeCell ref="L105:M105"/>
    <mergeCell ref="L99:M99"/>
    <mergeCell ref="L49:M49"/>
    <mergeCell ref="D52:F52"/>
    <mergeCell ref="L36:M36"/>
    <mergeCell ref="P92:Q92"/>
  </mergeCells>
  <conditionalFormatting sqref="A3">
    <cfRule type="expression" priority="1" dxfId="1" stopIfTrue="1">
      <formula>LEFT($A$3,3)="MÊS"</formula>
    </cfRule>
  </conditionalFormatting>
  <conditionalFormatting sqref="F6:G7">
    <cfRule type="expression" priority="2" dxfId="3" stopIfTrue="1">
      <formula>AND(F6&lt;&gt;"",F6=TODAY())</formula>
    </cfRule>
    <cfRule type="expression" priority="3" dxfId="4">
      <formula>AND(F6&lt;&gt;"",COUNTIFS($C$22:$C$210,F6,$O$22:$O$210,"&lt;&gt;Cancelada")&gt;0)</formula>
    </cfRule>
  </conditionalFormatting>
  <conditionalFormatting sqref="H6:I7">
    <cfRule type="expression" priority="4" dxfId="3" stopIfTrue="1">
      <formula>AND(H6&lt;&gt;"",H6=TODAY())</formula>
    </cfRule>
    <cfRule type="expression" priority="5" dxfId="4">
      <formula>AND(H6&lt;&gt;"",COUNTIFS($C$22:$C$210,H6,$O$22:$O$210,"&lt;&gt;Cancelada")&gt;0)</formula>
    </cfRule>
  </conditionalFormatting>
  <conditionalFormatting sqref="J6:K7">
    <cfRule type="expression" priority="6" dxfId="3" stopIfTrue="1">
      <formula>AND(J6&lt;&gt;"",J6=TODAY())</formula>
    </cfRule>
    <cfRule type="expression" priority="7" dxfId="4">
      <formula>AND(J6&lt;&gt;"",COUNTIFS($C$22:$C$210,J6,$O$22:$O$210,"&lt;&gt;Cancelada")&gt;0)</formula>
    </cfRule>
  </conditionalFormatting>
  <conditionalFormatting sqref="L6:M7">
    <cfRule type="expression" priority="8" dxfId="3" stopIfTrue="1">
      <formula>AND(L6&lt;&gt;"",L6=TODAY())</formula>
    </cfRule>
    <cfRule type="expression" priority="9" dxfId="4">
      <formula>AND(L6&lt;&gt;"",COUNTIFS($C$22:$C$210,L6,$O$22:$O$210,"&lt;&gt;Cancelada")&gt;0)</formula>
    </cfRule>
  </conditionalFormatting>
  <conditionalFormatting sqref="N6:O7">
    <cfRule type="expression" priority="10" dxfId="3" stopIfTrue="1">
      <formula>AND(N6&lt;&gt;"",N6=TODAY())</formula>
    </cfRule>
    <cfRule type="expression" priority="11" dxfId="4">
      <formula>AND(N6&lt;&gt;"",COUNTIFS($C$22:$C$210,N6,$O$22:$O$210,"&lt;&gt;Cancelada")&gt;0)</formula>
    </cfRule>
  </conditionalFormatting>
  <conditionalFormatting sqref="B8:C9">
    <cfRule type="expression" priority="12" dxfId="3" stopIfTrue="1">
      <formula>AND(B8&lt;&gt;"",B8=TODAY())</formula>
    </cfRule>
    <cfRule type="expression" priority="13" dxfId="4">
      <formula>AND(B8&lt;&gt;"",COUNTIFS($C$22:$C$210,B8,$O$22:$O$210,"&lt;&gt;Cancelada")&gt;0)</formula>
    </cfRule>
  </conditionalFormatting>
  <conditionalFormatting sqref="D8:E9">
    <cfRule type="expression" priority="14" dxfId="3" stopIfTrue="1">
      <formula>AND(D8&lt;&gt;"",D8=TODAY())</formula>
    </cfRule>
    <cfRule type="expression" priority="15" dxfId="4">
      <formula>AND(D8&lt;&gt;"",COUNTIFS($C$22:$C$210,D8,$O$22:$O$210,"&lt;&gt;Cancelada")&gt;0)</formula>
    </cfRule>
  </conditionalFormatting>
  <conditionalFormatting sqref="F8:G9">
    <cfRule type="expression" priority="16" dxfId="3" stopIfTrue="1">
      <formula>AND(F8&lt;&gt;"",F8=TODAY())</formula>
    </cfRule>
    <cfRule type="expression" priority="17" dxfId="4">
      <formula>AND(F8&lt;&gt;"",COUNTIFS($C$22:$C$210,F8,$O$22:$O$210,"&lt;&gt;Cancelada")&gt;0)</formula>
    </cfRule>
  </conditionalFormatting>
  <conditionalFormatting sqref="H8:I9">
    <cfRule type="expression" priority="18" dxfId="3" stopIfTrue="1">
      <formula>AND(H8&lt;&gt;"",H8=TODAY())</formula>
    </cfRule>
    <cfRule type="expression" priority="19" dxfId="4">
      <formula>AND(H8&lt;&gt;"",COUNTIFS($C$22:$C$210,H8,$O$22:$O$210,"&lt;&gt;Cancelada")&gt;0)</formula>
    </cfRule>
  </conditionalFormatting>
  <conditionalFormatting sqref="J8:K9">
    <cfRule type="expression" priority="20" dxfId="3" stopIfTrue="1">
      <formula>AND(J8&lt;&gt;"",J8=TODAY())</formula>
    </cfRule>
    <cfRule type="expression" priority="21" dxfId="4">
      <formula>AND(J8&lt;&gt;"",COUNTIFS($C$22:$C$210,J8,$O$22:$O$210,"&lt;&gt;Cancelada")&gt;0)</formula>
    </cfRule>
  </conditionalFormatting>
  <conditionalFormatting sqref="L8:M9">
    <cfRule type="expression" priority="22" dxfId="3" stopIfTrue="1">
      <formula>AND(L8&lt;&gt;"",L8=TODAY())</formula>
    </cfRule>
    <cfRule type="expression" priority="23" dxfId="4">
      <formula>AND(L8&lt;&gt;"",COUNTIFS($C$22:$C$210,L8,$O$22:$O$210,"&lt;&gt;Cancelada")&gt;0)</formula>
    </cfRule>
  </conditionalFormatting>
  <conditionalFormatting sqref="N8:O9">
    <cfRule type="expression" priority="24" dxfId="3" stopIfTrue="1">
      <formula>AND(N8&lt;&gt;"",N8=TODAY())</formula>
    </cfRule>
    <cfRule type="expression" priority="25" dxfId="4">
      <formula>AND(N8&lt;&gt;"",COUNTIFS($C$22:$C$210,N8,$O$22:$O$210,"&lt;&gt;Cancelada")&gt;0)</formula>
    </cfRule>
  </conditionalFormatting>
  <conditionalFormatting sqref="B10:C11">
    <cfRule type="expression" priority="26" dxfId="3" stopIfTrue="1">
      <formula>AND(B10&lt;&gt;"",B10=TODAY())</formula>
    </cfRule>
    <cfRule type="expression" priority="27" dxfId="4">
      <formula>AND(B10&lt;&gt;"",COUNTIFS($C$22:$C$210,B10,$O$22:$O$210,"&lt;&gt;Cancelada")&gt;0)</formula>
    </cfRule>
  </conditionalFormatting>
  <conditionalFormatting sqref="D10:E11">
    <cfRule type="expression" priority="28" dxfId="3" stopIfTrue="1">
      <formula>AND(D10&lt;&gt;"",D10=TODAY())</formula>
    </cfRule>
    <cfRule type="expression" priority="29" dxfId="4">
      <formula>AND(D10&lt;&gt;"",COUNTIFS($C$22:$C$210,D10,$O$22:$O$210,"&lt;&gt;Cancelada")&gt;0)</formula>
    </cfRule>
  </conditionalFormatting>
  <conditionalFormatting sqref="F10:G11">
    <cfRule type="expression" priority="30" dxfId="3" stopIfTrue="1">
      <formula>AND(F10&lt;&gt;"",F10=TODAY())</formula>
    </cfRule>
    <cfRule type="expression" priority="31" dxfId="4">
      <formula>AND(F10&lt;&gt;"",COUNTIFS($C$22:$C$210,F10,$O$22:$O$210,"&lt;&gt;Cancelada")&gt;0)</formula>
    </cfRule>
  </conditionalFormatting>
  <conditionalFormatting sqref="H10:I11">
    <cfRule type="expression" priority="32" dxfId="3" stopIfTrue="1">
      <formula>AND(H10&lt;&gt;"",H10=TODAY())</formula>
    </cfRule>
    <cfRule type="expression" priority="33" dxfId="4">
      <formula>AND(H10&lt;&gt;"",COUNTIFS($C$22:$C$210,H10,$O$22:$O$210,"&lt;&gt;Cancelada")&gt;0)</formula>
    </cfRule>
  </conditionalFormatting>
  <conditionalFormatting sqref="J10:K11">
    <cfRule type="expression" priority="34" dxfId="3" stopIfTrue="1">
      <formula>AND(J10&lt;&gt;"",J10=TODAY())</formula>
    </cfRule>
    <cfRule type="expression" priority="35" dxfId="4">
      <formula>AND(J10&lt;&gt;"",COUNTIFS($C$22:$C$210,J10,$O$22:$O$210,"&lt;&gt;Cancelada")&gt;0)</formula>
    </cfRule>
  </conditionalFormatting>
  <conditionalFormatting sqref="L10:M11">
    <cfRule type="expression" priority="36" dxfId="3" stopIfTrue="1">
      <formula>AND(L10&lt;&gt;"",L10=TODAY())</formula>
    </cfRule>
    <cfRule type="expression" priority="37" dxfId="4">
      <formula>AND(L10&lt;&gt;"",COUNTIFS($C$22:$C$210,L10,$O$22:$O$210,"&lt;&gt;Cancelada")&gt;0)</formula>
    </cfRule>
  </conditionalFormatting>
  <conditionalFormatting sqref="N10:O11">
    <cfRule type="expression" priority="38" dxfId="3" stopIfTrue="1">
      <formula>AND(N10&lt;&gt;"",N10=TODAY())</formula>
    </cfRule>
    <cfRule type="expression" priority="39" dxfId="4">
      <formula>AND(N10&lt;&gt;"",COUNTIFS($C$22:$C$210,N10,$O$22:$O$210,"&lt;&gt;Cancelada")&gt;0)</formula>
    </cfRule>
  </conditionalFormatting>
  <conditionalFormatting sqref="B12:C13">
    <cfRule type="expression" priority="40" dxfId="3" stopIfTrue="1">
      <formula>AND(B12&lt;&gt;"",B12=TODAY())</formula>
    </cfRule>
    <cfRule type="expression" priority="41" dxfId="4">
      <formula>AND(B12&lt;&gt;"",COUNTIFS($C$22:$C$210,B12,$O$22:$O$210,"&lt;&gt;Cancelada")&gt;0)</formula>
    </cfRule>
  </conditionalFormatting>
  <conditionalFormatting sqref="D12:E13">
    <cfRule type="expression" priority="42" dxfId="3" stopIfTrue="1">
      <formula>AND(D12&lt;&gt;"",D12=TODAY())</formula>
    </cfRule>
    <cfRule type="expression" priority="43" dxfId="4">
      <formula>AND(D12&lt;&gt;"",COUNTIFS($C$22:$C$210,D12,$O$22:$O$210,"&lt;&gt;Cancelada")&gt;0)</formula>
    </cfRule>
  </conditionalFormatting>
  <conditionalFormatting sqref="F12:G13">
    <cfRule type="expression" priority="44" dxfId="3" stopIfTrue="1">
      <formula>AND(F12&lt;&gt;"",F12=TODAY())</formula>
    </cfRule>
    <cfRule type="expression" priority="45" dxfId="4">
      <formula>AND(F12&lt;&gt;"",COUNTIFS($C$22:$C$210,F12,$O$22:$O$210,"&lt;&gt;Cancelada")&gt;0)</formula>
    </cfRule>
  </conditionalFormatting>
  <conditionalFormatting sqref="H12:I13">
    <cfRule type="expression" priority="46" dxfId="3" stopIfTrue="1">
      <formula>AND(H12&lt;&gt;"",H12=TODAY())</formula>
    </cfRule>
    <cfRule type="expression" priority="47" dxfId="4">
      <formula>AND(H12&lt;&gt;"",COUNTIFS($C$22:$C$210,H12,$O$22:$O$210,"&lt;&gt;Cancelada")&gt;0)</formula>
    </cfRule>
  </conditionalFormatting>
  <conditionalFormatting sqref="J12:K13">
    <cfRule type="expression" priority="48" dxfId="3" stopIfTrue="1">
      <formula>AND(J12&lt;&gt;"",J12=TODAY())</formula>
    </cfRule>
    <cfRule type="expression" priority="49" dxfId="4">
      <formula>AND(J12&lt;&gt;"",COUNTIFS($C$22:$C$210,J12,$O$22:$O$210,"&lt;&gt;Cancelada")&gt;0)</formula>
    </cfRule>
  </conditionalFormatting>
  <conditionalFormatting sqref="L12:M13">
    <cfRule type="expression" priority="50" dxfId="3" stopIfTrue="1">
      <formula>AND(L12&lt;&gt;"",L12=TODAY())</formula>
    </cfRule>
    <cfRule type="expression" priority="51" dxfId="4">
      <formula>AND(L12&lt;&gt;"",COUNTIFS($C$22:$C$210,L12,$O$22:$O$210,"&lt;&gt;Cancelada")&gt;0)</formula>
    </cfRule>
  </conditionalFormatting>
  <conditionalFormatting sqref="N12:O13">
    <cfRule type="expression" priority="52" dxfId="3" stopIfTrue="1">
      <formula>AND(N12&lt;&gt;"",N12=TODAY())</formula>
    </cfRule>
    <cfRule type="expression" priority="53" dxfId="4">
      <formula>AND(N12&lt;&gt;"",COUNTIFS($C$22:$C$210,N12,$O$22:$O$210,"&lt;&gt;Cancelada")&gt;0)</formula>
    </cfRule>
  </conditionalFormatting>
  <conditionalFormatting sqref="B14:C15">
    <cfRule type="expression" priority="54" dxfId="3" stopIfTrue="1">
      <formula>AND(B14&lt;&gt;"",B14=TODAY())</formula>
    </cfRule>
    <cfRule type="expression" priority="55" dxfId="4">
      <formula>AND(B14&lt;&gt;"",COUNTIFS($C$22:$C$210,B14,$O$22:$O$210,"&lt;&gt;Cancelada")&gt;0)</formula>
    </cfRule>
  </conditionalFormatting>
  <conditionalFormatting sqref="D14:E15">
    <cfRule type="expression" priority="56" dxfId="3" stopIfTrue="1">
      <formula>AND(D14&lt;&gt;"",D14=TODAY())</formula>
    </cfRule>
    <cfRule type="expression" priority="57" dxfId="4">
      <formula>AND(D14&lt;&gt;"",COUNTIFS($C$22:$C$210,D14,$O$22:$O$210,"&lt;&gt;Cancelada")&gt;0)</formula>
    </cfRule>
  </conditionalFormatting>
  <conditionalFormatting sqref="F14:G15">
    <cfRule type="expression" priority="58" dxfId="3" stopIfTrue="1">
      <formula>AND(F14&lt;&gt;"",F14=TODAY())</formula>
    </cfRule>
    <cfRule type="expression" priority="59" dxfId="4">
      <formula>AND(F14&lt;&gt;"",COUNTIFS($C$22:$C$210,F14,$O$22:$O$210,"&lt;&gt;Cancelada")&gt;0)</formula>
    </cfRule>
  </conditionalFormatting>
  <conditionalFormatting sqref="H14:I15">
    <cfRule type="expression" priority="60" dxfId="3" stopIfTrue="1">
      <formula>AND(H14&lt;&gt;"",H14=TODAY())</formula>
    </cfRule>
    <cfRule type="expression" priority="61" dxfId="4">
      <formula>AND(H14&lt;&gt;"",COUNTIFS($C$22:$C$210,H14,$O$22:$O$210,"&lt;&gt;Cancelada")&gt;0)</formula>
    </cfRule>
  </conditionalFormatting>
  <conditionalFormatting sqref="R22:R109">
    <cfRule type="expression" priority="62" dxfId="5">
      <formula>$R22="Aprovada"</formula>
    </cfRule>
    <cfRule type="expression" priority="63" dxfId="6">
      <formula>$R22="Atrasada"</formula>
    </cfRule>
    <cfRule type="expression" priority="64" dxfId="7">
      <formula>$R22="Reprovada"</formula>
    </cfRule>
    <cfRule type="expression" priority="65" dxfId="8">
      <formula>$R22="Entregue"</formula>
    </cfRule>
    <cfRule type="expression" priority="66" dxfId="9">
      <formula>$R22="Pendente"</formula>
    </cfRule>
    <cfRule type="expression" priority="67" dxfId="10">
      <formula>$R22="Cancelada"</formula>
    </cfRule>
    <cfRule type="expression" priority="68" dxfId="11">
      <formula>$R22="Não agendado"</formula>
    </cfRule>
  </conditionalFormatting>
  <dataValidations count="3">
    <dataValidation sqref="O22:O109" showDropDown="0" showInputMessage="0" showErrorMessage="0" allowBlank="1" type="list">
      <formula1>"Aprovado,Reprovado,Cancelada"</formula1>
    </dataValidation>
    <dataValidation sqref="J22:J101" showDropDown="0" showInputMessage="0" showErrorMessage="0" allowBlank="1" type="list">
      <formula1>=Setores</formula1>
    </dataValidation>
    <dataValidation sqref="G104:G109" showDropDown="0" showInputMessage="0" showErrorMessage="0" allowBlank="1" type="list">
      <formula1>"A,B,C,Todos"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C36AE"/>
    <outlinePr summaryBelow="1" summaryRight="1"/>
    <pageSetUpPr/>
  </sheetPr>
  <dimension ref="A1:U130"/>
  <sheetViews>
    <sheetView showGridLines="0" workbookViewId="0">
      <selection activeCell="A1" sqref="A1"/>
    </sheetView>
  </sheetViews>
  <sheetFormatPr baseColWidth="8" defaultRowHeight="15"/>
  <cols>
    <col hidden="1"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3" customWidth="1" min="18" max="18"/>
    <col hidden="1" width="4" customWidth="1" min="19" max="19"/>
    <col hidden="1" width="4" customWidth="1" min="20" max="20"/>
    <col hidden="1" width="4" customWidth="1" min="21" max="21"/>
  </cols>
  <sheetData>
    <row r="1" ht="30" customHeight="1">
      <c r="A1" s="16" t="inlineStr">
        <is>
          <t>10 · OUTUBRO 2026</t>
        </is>
      </c>
      <c r="O1" s="50" t="inlineStr">
        <is>
          <t>GSL BARTOFIL</t>
        </is>
      </c>
    </row>
    <row r="2" ht="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>
      <c r="A3" s="51">
        <f>IF((COUNTIF($R$22:$R$210,"Aprovada")+COUNTIF($R$22:$R$210,"Entregue")+COUNTIF($R$22:$R$210,"Pendente")+COUNTIF($R$22:$R$210,"Atrasada")+COUNTIF($R$22:$R$210,"Reprovada"))=0,"",IF(COUNTIF($R$22:$R$210,"Aprovada")=(COUNTIF($R$22:$R$210,"Aprovada")+COUNTIF($R$22:$R$210,"Entregue")+COUNTIF($R$22:$R$210,"Pendente")+COUNTIF($R$22:$R$210,"Atrasada")+COUNTIF($R$22:$R$210,"Reprovada")),"MÊS CONCLUÍDO — todas as atividades aprovadas","EM ANDAMENTO — "&amp;COUNTIF($R$22:$R$210,"Aprovada")&amp;" de "&amp;(COUNTIF($R$22:$R$210,"Aprovada")+COUNTIF($R$22:$R$210,"Entregue")+COUNTIF($R$22:$R$210,"Pendente")+COUNTIF($R$22:$R$210,"Atrasada")+COUNTIF($R$22:$R$210,"Reprovada"))&amp;" atividades aprovadas"))</f>
        <v/>
      </c>
    </row>
    <row r="5">
      <c r="B5" s="52" t="inlineStr">
        <is>
          <t>DOM</t>
        </is>
      </c>
      <c r="C5" s="53" t="n"/>
      <c r="D5" s="52" t="inlineStr">
        <is>
          <t>SEG</t>
        </is>
      </c>
      <c r="E5" s="53" t="n"/>
      <c r="F5" s="52" t="inlineStr">
        <is>
          <t>TER</t>
        </is>
      </c>
      <c r="G5" s="53" t="n"/>
      <c r="H5" s="52" t="inlineStr">
        <is>
          <t>QUA</t>
        </is>
      </c>
      <c r="I5" s="53" t="n"/>
      <c r="J5" s="52" t="inlineStr">
        <is>
          <t>QUI</t>
        </is>
      </c>
      <c r="K5" s="53" t="n"/>
      <c r="L5" s="54" t="inlineStr">
        <is>
          <t>SEX</t>
        </is>
      </c>
      <c r="M5" s="53" t="n"/>
      <c r="N5" s="52" t="inlineStr">
        <is>
          <t>SÁB</t>
        </is>
      </c>
      <c r="O5" s="53" t="n"/>
    </row>
    <row r="6" ht="20" customHeight="1">
      <c r="B6" s="55" t="n"/>
      <c r="C6" s="56" t="n"/>
      <c r="D6" s="55" t="n"/>
      <c r="E6" s="56" t="n"/>
      <c r="F6" s="55" t="n"/>
      <c r="G6" s="56" t="n"/>
      <c r="H6" s="55" t="n"/>
      <c r="I6" s="56" t="n"/>
      <c r="J6" s="57" t="n">
        <v>46296</v>
      </c>
      <c r="K6" s="58" t="n"/>
      <c r="L6" s="57" t="n">
        <v>46297</v>
      </c>
      <c r="M6" s="58" t="n"/>
      <c r="N6" s="57" t="n">
        <v>46298</v>
      </c>
      <c r="O6" s="58" t="n"/>
    </row>
    <row r="7" ht="26" customHeight="1">
      <c r="B7" s="59" t="n"/>
      <c r="C7" s="60" t="n"/>
      <c r="D7" s="59" t="n"/>
      <c r="E7" s="60" t="n"/>
      <c r="F7" s="59" t="n"/>
      <c r="G7" s="60" t="n"/>
      <c r="H7" s="59" t="n"/>
      <c r="I7" s="60" t="n"/>
      <c r="J7" s="61">
        <f>IF(J6="","",TRIM(IF(COUNTIFS($C$22:$C$210,J6,$D$22:$D$210,"*Erros*",$O$22:$O$210,"&lt;&gt;Cancelada")&gt;0,"Erros ","")&amp;IF(COUNTIFS($C$22:$C$210,J6,$D$22:$D$210,"*Suporte*",$O$22:$O$210,"&lt;&gt;Cancelada")&gt;0,"Suporte ","")&amp;IF(COUNTIFS($C$22:$C$210,J6,$D$22:$D$210,"*Vistoria*",$O$22:$O$210,"&lt;&gt;Cancelada")&gt;0,"Vistoria ","")&amp;IF(COUNTIFS($C$22:$C$210,J6,$D$22:$D$210,"*Metas*",$O$22:$O$210,"&lt;&gt;Cancelada")&gt;0,"Metas ","")&amp;IF(COUNTIFS($C$22:$C$210,J6,$D$22:$D$210,"*Faltas*",$O$22:$O$210,"&lt;&gt;Cancelada")&gt;0,"Faltas ","")&amp;IF(COUNTIFS($C$22:$C$210,J6,$D$22:$D$210,"*Semanal c/*",$O$22:$O$210,"&lt;&gt;Cancelada")&gt;0,"Acomp. ","")&amp;IF(COUNTIFS($C$22:$C$210,J6,$D$22:$D$210,"*Reunião*",$O$22:$O$210,"&lt;&gt;Cancelada")&gt;0,"Reunião ","")&amp;IF(COUNTIFS($C$22:$C$210,J6,$D$22:$D$210,"*Férias*",$O$22:$O$210,"&lt;&gt;Cancelada")&gt;0,"Férias ","")&amp;IF(COUNTIFS($C$22:$C$210,J6,$D$22:$D$210,"*Mudança*",$O$22:$O$210,"&lt;&gt;Cancelada")&gt;0,"M.Função ","")&amp;IF(COUNTIFS($C$22:$C$210,J6,$D$22:$D$210,"*Treinamento*",$O$22:$O$210,"&lt;&gt;Cancelada")&gt;0,"Trein. ","")))</f>
        <v/>
      </c>
      <c r="K7" s="62" t="n"/>
      <c r="L7" s="61">
        <f>IF(L6="","",TRIM(IF(COUNTIFS($C$22:$C$210,L6,$D$22:$D$210,"*Erros*",$O$22:$O$210,"&lt;&gt;Cancelada")&gt;0,"Erros ","")&amp;IF(COUNTIFS($C$22:$C$210,L6,$D$22:$D$210,"*Suporte*",$O$22:$O$210,"&lt;&gt;Cancelada")&gt;0,"Suporte ","")&amp;IF(COUNTIFS($C$22:$C$210,L6,$D$22:$D$210,"*Vistoria*",$O$22:$O$210,"&lt;&gt;Cancelada")&gt;0,"Vistoria ","")&amp;IF(COUNTIFS($C$22:$C$210,L6,$D$22:$D$210,"*Metas*",$O$22:$O$210,"&lt;&gt;Cancelada")&gt;0,"Metas ","")&amp;IF(COUNTIFS($C$22:$C$210,L6,$D$22:$D$210,"*Faltas*",$O$22:$O$210,"&lt;&gt;Cancelada")&gt;0,"Faltas ","")&amp;IF(COUNTIFS($C$22:$C$210,L6,$D$22:$D$210,"*Semanal c/*",$O$22:$O$210,"&lt;&gt;Cancelada")&gt;0,"Acomp. ","")&amp;IF(COUNTIFS($C$22:$C$210,L6,$D$22:$D$210,"*Reunião*",$O$22:$O$210,"&lt;&gt;Cancelada")&gt;0,"Reunião ","")&amp;IF(COUNTIFS($C$22:$C$210,L6,$D$22:$D$210,"*Férias*",$O$22:$O$210,"&lt;&gt;Cancelada")&gt;0,"Férias ","")&amp;IF(COUNTIFS($C$22:$C$210,L6,$D$22:$D$210,"*Mudança*",$O$22:$O$210,"&lt;&gt;Cancelada")&gt;0,"M.Função ","")&amp;IF(COUNTIFS($C$22:$C$210,L6,$D$22:$D$210,"*Treinamento*",$O$22:$O$210,"&lt;&gt;Cancelada")&gt;0,"Trein. ","")))</f>
        <v/>
      </c>
      <c r="M7" s="62" t="n"/>
      <c r="N7" s="61">
        <f>IF(N6="","",TRIM(IF(COUNTIFS($C$22:$C$210,N6,$D$22:$D$210,"*Erros*",$O$22:$O$210,"&lt;&gt;Cancelada")&gt;0,"Erros ","")&amp;IF(COUNTIFS($C$22:$C$210,N6,$D$22:$D$210,"*Suporte*",$O$22:$O$210,"&lt;&gt;Cancelada")&gt;0,"Suporte ","")&amp;IF(COUNTIFS($C$22:$C$210,N6,$D$22:$D$210,"*Vistoria*",$O$22:$O$210,"&lt;&gt;Cancelada")&gt;0,"Vistoria ","")&amp;IF(COUNTIFS($C$22:$C$210,N6,$D$22:$D$210,"*Metas*",$O$22:$O$210,"&lt;&gt;Cancelada")&gt;0,"Metas ","")&amp;IF(COUNTIFS($C$22:$C$210,N6,$D$22:$D$210,"*Faltas*",$O$22:$O$210,"&lt;&gt;Cancelada")&gt;0,"Faltas ","")&amp;IF(COUNTIFS($C$22:$C$210,N6,$D$22:$D$210,"*Semanal c/*",$O$22:$O$210,"&lt;&gt;Cancelada")&gt;0,"Acomp. ","")&amp;IF(COUNTIFS($C$22:$C$210,N6,$D$22:$D$210,"*Reunião*",$O$22:$O$210,"&lt;&gt;Cancelada")&gt;0,"Reunião ","")&amp;IF(COUNTIFS($C$22:$C$210,N6,$D$22:$D$210,"*Férias*",$O$22:$O$210,"&lt;&gt;Cancelada")&gt;0,"Férias ","")&amp;IF(COUNTIFS($C$22:$C$210,N6,$D$22:$D$210,"*Mudança*",$O$22:$O$210,"&lt;&gt;Cancelada")&gt;0,"M.Função ","")&amp;IF(COUNTIFS($C$22:$C$210,N6,$D$22:$D$210,"*Treinamento*",$O$22:$O$210,"&lt;&gt;Cancelada")&gt;0,"Trein. ","")))</f>
        <v/>
      </c>
      <c r="O7" s="62" t="n"/>
    </row>
    <row r="8" ht="20" customHeight="1">
      <c r="B8" s="57" t="n">
        <v>46299</v>
      </c>
      <c r="C8" s="58" t="n"/>
      <c r="D8" s="57" t="n">
        <v>46300</v>
      </c>
      <c r="E8" s="58" t="n"/>
      <c r="F8" s="57" t="n">
        <v>46301</v>
      </c>
      <c r="G8" s="58" t="n"/>
      <c r="H8" s="57" t="n">
        <v>46302</v>
      </c>
      <c r="I8" s="58" t="n"/>
      <c r="J8" s="57" t="n">
        <v>46303</v>
      </c>
      <c r="K8" s="58" t="n"/>
      <c r="L8" s="57" t="n">
        <v>46304</v>
      </c>
      <c r="M8" s="58" t="n"/>
      <c r="N8" s="57" t="n">
        <v>46305</v>
      </c>
      <c r="O8" s="58" t="n"/>
    </row>
    <row r="9" ht="26" customHeight="1">
      <c r="B9" s="61">
        <f>IF(B8="","",TRIM(IF(COUNTIFS($C$22:$C$210,B8,$D$22:$D$210,"*Erros*",$O$22:$O$210,"&lt;&gt;Cancelada")&gt;0,"Erros ","")&amp;IF(COUNTIFS($C$22:$C$210,B8,$D$22:$D$210,"*Suporte*",$O$22:$O$210,"&lt;&gt;Cancelada")&gt;0,"Suporte ","")&amp;IF(COUNTIFS($C$22:$C$210,B8,$D$22:$D$210,"*Vistoria*",$O$22:$O$210,"&lt;&gt;Cancelada")&gt;0,"Vistoria ","")&amp;IF(COUNTIFS($C$22:$C$210,B8,$D$22:$D$210,"*Metas*",$O$22:$O$210,"&lt;&gt;Cancelada")&gt;0,"Metas ","")&amp;IF(COUNTIFS($C$22:$C$210,B8,$D$22:$D$210,"*Faltas*",$O$22:$O$210,"&lt;&gt;Cancelada")&gt;0,"Faltas ","")&amp;IF(COUNTIFS($C$22:$C$210,B8,$D$22:$D$210,"*Semanal c/*",$O$22:$O$210,"&lt;&gt;Cancelada")&gt;0,"Acomp. ","")&amp;IF(COUNTIFS($C$22:$C$210,B8,$D$22:$D$210,"*Reunião*",$O$22:$O$210,"&lt;&gt;Cancelada")&gt;0,"Reunião ","")&amp;IF(COUNTIFS($C$22:$C$210,B8,$D$22:$D$210,"*Férias*",$O$22:$O$210,"&lt;&gt;Cancelada")&gt;0,"Férias ","")&amp;IF(COUNTIFS($C$22:$C$210,B8,$D$22:$D$210,"*Mudança*",$O$22:$O$210,"&lt;&gt;Cancelada")&gt;0,"M.Função ","")&amp;IF(COUNTIFS($C$22:$C$210,B8,$D$22:$D$210,"*Treinamento*",$O$22:$O$210,"&lt;&gt;Cancelada")&gt;0,"Trein. ","")))</f>
        <v/>
      </c>
      <c r="C9" s="62" t="n"/>
      <c r="D9" s="61">
        <f>IF(D8="","",TRIM(IF(COUNTIFS($C$22:$C$210,D8,$D$22:$D$210,"*Erros*",$O$22:$O$210,"&lt;&gt;Cancelada")&gt;0,"Erros ","")&amp;IF(COUNTIFS($C$22:$C$210,D8,$D$22:$D$210,"*Suporte*",$O$22:$O$210,"&lt;&gt;Cancelada")&gt;0,"Suporte ","")&amp;IF(COUNTIFS($C$22:$C$210,D8,$D$22:$D$210,"*Vistoria*",$O$22:$O$210,"&lt;&gt;Cancelada")&gt;0,"Vistoria ","")&amp;IF(COUNTIFS($C$22:$C$210,D8,$D$22:$D$210,"*Metas*",$O$22:$O$210,"&lt;&gt;Cancelada")&gt;0,"Metas ","")&amp;IF(COUNTIFS($C$22:$C$210,D8,$D$22:$D$210,"*Faltas*",$O$22:$O$210,"&lt;&gt;Cancelada")&gt;0,"Faltas ","")&amp;IF(COUNTIFS($C$22:$C$210,D8,$D$22:$D$210,"*Semanal c/*",$O$22:$O$210,"&lt;&gt;Cancelada")&gt;0,"Acomp. ","")&amp;IF(COUNTIFS($C$22:$C$210,D8,$D$22:$D$210,"*Reunião*",$O$22:$O$210,"&lt;&gt;Cancelada")&gt;0,"Reunião ","")&amp;IF(COUNTIFS($C$22:$C$210,D8,$D$22:$D$210,"*Férias*",$O$22:$O$210,"&lt;&gt;Cancelada")&gt;0,"Férias ","")&amp;IF(COUNTIFS($C$22:$C$210,D8,$D$22:$D$210,"*Mudança*",$O$22:$O$210,"&lt;&gt;Cancelada")&gt;0,"M.Função ","")&amp;IF(COUNTIFS($C$22:$C$210,D8,$D$22:$D$210,"*Treinamento*",$O$22:$O$210,"&lt;&gt;Cancelada")&gt;0,"Trein. ","")))</f>
        <v/>
      </c>
      <c r="E9" s="62" t="n"/>
      <c r="F9" s="61">
        <f>IF(F8="","",TRIM(IF(COUNTIFS($C$22:$C$210,F8,$D$22:$D$210,"*Erros*",$O$22:$O$210,"&lt;&gt;Cancelada")&gt;0,"Erros ","")&amp;IF(COUNTIFS($C$22:$C$210,F8,$D$22:$D$210,"*Suporte*",$O$22:$O$210,"&lt;&gt;Cancelada")&gt;0,"Suporte ","")&amp;IF(COUNTIFS($C$22:$C$210,F8,$D$22:$D$210,"*Vistoria*",$O$22:$O$210,"&lt;&gt;Cancelada")&gt;0,"Vistoria ","")&amp;IF(COUNTIFS($C$22:$C$210,F8,$D$22:$D$210,"*Metas*",$O$22:$O$210,"&lt;&gt;Cancelada")&gt;0,"Metas ","")&amp;IF(COUNTIFS($C$22:$C$210,F8,$D$22:$D$210,"*Faltas*",$O$22:$O$210,"&lt;&gt;Cancelada")&gt;0,"Faltas ","")&amp;IF(COUNTIFS($C$22:$C$210,F8,$D$22:$D$210,"*Semanal c/*",$O$22:$O$210,"&lt;&gt;Cancelada")&gt;0,"Acomp. ","")&amp;IF(COUNTIFS($C$22:$C$210,F8,$D$22:$D$210,"*Reunião*",$O$22:$O$210,"&lt;&gt;Cancelada")&gt;0,"Reunião ","")&amp;IF(COUNTIFS($C$22:$C$210,F8,$D$22:$D$210,"*Férias*",$O$22:$O$210,"&lt;&gt;Cancelada")&gt;0,"Férias ","")&amp;IF(COUNTIFS($C$22:$C$210,F8,$D$22:$D$210,"*Mudança*",$O$22:$O$210,"&lt;&gt;Cancelada")&gt;0,"M.Função ","")&amp;IF(COUNTIFS($C$22:$C$210,F8,$D$22:$D$210,"*Treinamento*",$O$22:$O$210,"&lt;&gt;Cancelada")&gt;0,"Trein. ","")))</f>
        <v/>
      </c>
      <c r="G9" s="62" t="n"/>
      <c r="H9" s="61">
        <f>IF(H8="","",TRIM(IF(COUNTIFS($C$22:$C$210,H8,$D$22:$D$210,"*Erros*",$O$22:$O$210,"&lt;&gt;Cancelada")&gt;0,"Erros ","")&amp;IF(COUNTIFS($C$22:$C$210,H8,$D$22:$D$210,"*Suporte*",$O$22:$O$210,"&lt;&gt;Cancelada")&gt;0,"Suporte ","")&amp;IF(COUNTIFS($C$22:$C$210,H8,$D$22:$D$210,"*Vistoria*",$O$22:$O$210,"&lt;&gt;Cancelada")&gt;0,"Vistoria ","")&amp;IF(COUNTIFS($C$22:$C$210,H8,$D$22:$D$210,"*Metas*",$O$22:$O$210,"&lt;&gt;Cancelada")&gt;0,"Metas ","")&amp;IF(COUNTIFS($C$22:$C$210,H8,$D$22:$D$210,"*Faltas*",$O$22:$O$210,"&lt;&gt;Cancelada")&gt;0,"Faltas ","")&amp;IF(COUNTIFS($C$22:$C$210,H8,$D$22:$D$210,"*Semanal c/*",$O$22:$O$210,"&lt;&gt;Cancelada")&gt;0,"Acomp. ","")&amp;IF(COUNTIFS($C$22:$C$210,H8,$D$22:$D$210,"*Reunião*",$O$22:$O$210,"&lt;&gt;Cancelada")&gt;0,"Reunião ","")&amp;IF(COUNTIFS($C$22:$C$210,H8,$D$22:$D$210,"*Férias*",$O$22:$O$210,"&lt;&gt;Cancelada")&gt;0,"Férias ","")&amp;IF(COUNTIFS($C$22:$C$210,H8,$D$22:$D$210,"*Mudança*",$O$22:$O$210,"&lt;&gt;Cancelada")&gt;0,"M.Função ","")&amp;IF(COUNTIFS($C$22:$C$210,H8,$D$22:$D$210,"*Treinamento*",$O$22:$O$210,"&lt;&gt;Cancelada")&gt;0,"Trein. ","")))</f>
        <v/>
      </c>
      <c r="I9" s="62" t="n"/>
      <c r="J9" s="61">
        <f>IF(J8="","",TRIM(IF(COUNTIFS($C$22:$C$210,J8,$D$22:$D$210,"*Erros*",$O$22:$O$210,"&lt;&gt;Cancelada")&gt;0,"Erros ","")&amp;IF(COUNTIFS($C$22:$C$210,J8,$D$22:$D$210,"*Suporte*",$O$22:$O$210,"&lt;&gt;Cancelada")&gt;0,"Suporte ","")&amp;IF(COUNTIFS($C$22:$C$210,J8,$D$22:$D$210,"*Vistoria*",$O$22:$O$210,"&lt;&gt;Cancelada")&gt;0,"Vistoria ","")&amp;IF(COUNTIFS($C$22:$C$210,J8,$D$22:$D$210,"*Metas*",$O$22:$O$210,"&lt;&gt;Cancelada")&gt;0,"Metas ","")&amp;IF(COUNTIFS($C$22:$C$210,J8,$D$22:$D$210,"*Faltas*",$O$22:$O$210,"&lt;&gt;Cancelada")&gt;0,"Faltas ","")&amp;IF(COUNTIFS($C$22:$C$210,J8,$D$22:$D$210,"*Semanal c/*",$O$22:$O$210,"&lt;&gt;Cancelada")&gt;0,"Acomp. ","")&amp;IF(COUNTIFS($C$22:$C$210,J8,$D$22:$D$210,"*Reunião*",$O$22:$O$210,"&lt;&gt;Cancelada")&gt;0,"Reunião ","")&amp;IF(COUNTIFS($C$22:$C$210,J8,$D$22:$D$210,"*Férias*",$O$22:$O$210,"&lt;&gt;Cancelada")&gt;0,"Férias ","")&amp;IF(COUNTIFS($C$22:$C$210,J8,$D$22:$D$210,"*Mudança*",$O$22:$O$210,"&lt;&gt;Cancelada")&gt;0,"M.Função ","")&amp;IF(COUNTIFS($C$22:$C$210,J8,$D$22:$D$210,"*Treinamento*",$O$22:$O$210,"&lt;&gt;Cancelada")&gt;0,"Trein. ","")))</f>
        <v/>
      </c>
      <c r="K9" s="62" t="n"/>
      <c r="L9" s="61">
        <f>IF(L8="","",TRIM(IF(COUNTIFS($C$22:$C$210,L8,$D$22:$D$210,"*Erros*",$O$22:$O$210,"&lt;&gt;Cancelada")&gt;0,"Erros ","")&amp;IF(COUNTIFS($C$22:$C$210,L8,$D$22:$D$210,"*Suporte*",$O$22:$O$210,"&lt;&gt;Cancelada")&gt;0,"Suporte ","")&amp;IF(COUNTIFS($C$22:$C$210,L8,$D$22:$D$210,"*Vistoria*",$O$22:$O$210,"&lt;&gt;Cancelada")&gt;0,"Vistoria ","")&amp;IF(COUNTIFS($C$22:$C$210,L8,$D$22:$D$210,"*Metas*",$O$22:$O$210,"&lt;&gt;Cancelada")&gt;0,"Metas ","")&amp;IF(COUNTIFS($C$22:$C$210,L8,$D$22:$D$210,"*Faltas*",$O$22:$O$210,"&lt;&gt;Cancelada")&gt;0,"Faltas ","")&amp;IF(COUNTIFS($C$22:$C$210,L8,$D$22:$D$210,"*Semanal c/*",$O$22:$O$210,"&lt;&gt;Cancelada")&gt;0,"Acomp. ","")&amp;IF(COUNTIFS($C$22:$C$210,L8,$D$22:$D$210,"*Reunião*",$O$22:$O$210,"&lt;&gt;Cancelada")&gt;0,"Reunião ","")&amp;IF(COUNTIFS($C$22:$C$210,L8,$D$22:$D$210,"*Férias*",$O$22:$O$210,"&lt;&gt;Cancelada")&gt;0,"Férias ","")&amp;IF(COUNTIFS($C$22:$C$210,L8,$D$22:$D$210,"*Mudança*",$O$22:$O$210,"&lt;&gt;Cancelada")&gt;0,"M.Função ","")&amp;IF(COUNTIFS($C$22:$C$210,L8,$D$22:$D$210,"*Treinamento*",$O$22:$O$210,"&lt;&gt;Cancelada")&gt;0,"Trein. ","")))</f>
        <v/>
      </c>
      <c r="M9" s="62" t="n"/>
      <c r="N9" s="61">
        <f>IF(N8="","",TRIM(IF(COUNTIFS($C$22:$C$210,N8,$D$22:$D$210,"*Erros*",$O$22:$O$210,"&lt;&gt;Cancelada")&gt;0,"Erros ","")&amp;IF(COUNTIFS($C$22:$C$210,N8,$D$22:$D$210,"*Suporte*",$O$22:$O$210,"&lt;&gt;Cancelada")&gt;0,"Suporte ","")&amp;IF(COUNTIFS($C$22:$C$210,N8,$D$22:$D$210,"*Vistoria*",$O$22:$O$210,"&lt;&gt;Cancelada")&gt;0,"Vistoria ","")&amp;IF(COUNTIFS($C$22:$C$210,N8,$D$22:$D$210,"*Metas*",$O$22:$O$210,"&lt;&gt;Cancelada")&gt;0,"Metas ","")&amp;IF(COUNTIFS($C$22:$C$210,N8,$D$22:$D$210,"*Faltas*",$O$22:$O$210,"&lt;&gt;Cancelada")&gt;0,"Faltas ","")&amp;IF(COUNTIFS($C$22:$C$210,N8,$D$22:$D$210,"*Semanal c/*",$O$22:$O$210,"&lt;&gt;Cancelada")&gt;0,"Acomp. ","")&amp;IF(COUNTIFS($C$22:$C$210,N8,$D$22:$D$210,"*Reunião*",$O$22:$O$210,"&lt;&gt;Cancelada")&gt;0,"Reunião ","")&amp;IF(COUNTIFS($C$22:$C$210,N8,$D$22:$D$210,"*Férias*",$O$22:$O$210,"&lt;&gt;Cancelada")&gt;0,"Férias ","")&amp;IF(COUNTIFS($C$22:$C$210,N8,$D$22:$D$210,"*Mudança*",$O$22:$O$210,"&lt;&gt;Cancelada")&gt;0,"M.Função ","")&amp;IF(COUNTIFS($C$22:$C$210,N8,$D$22:$D$210,"*Treinamento*",$O$22:$O$210,"&lt;&gt;Cancelada")&gt;0,"Trein. ","")))</f>
        <v/>
      </c>
      <c r="O9" s="62" t="n"/>
    </row>
    <row r="10" ht="20" customHeight="1">
      <c r="B10" s="57" t="n">
        <v>46306</v>
      </c>
      <c r="C10" s="58" t="n"/>
      <c r="D10" s="57" t="n">
        <v>46307</v>
      </c>
      <c r="E10" s="58" t="n"/>
      <c r="F10" s="57" t="n">
        <v>46308</v>
      </c>
      <c r="G10" s="58" t="n"/>
      <c r="H10" s="57" t="n">
        <v>46309</v>
      </c>
      <c r="I10" s="58" t="n"/>
      <c r="J10" s="57" t="n">
        <v>46310</v>
      </c>
      <c r="K10" s="58" t="n"/>
      <c r="L10" s="57" t="n">
        <v>46311</v>
      </c>
      <c r="M10" s="58" t="n"/>
      <c r="N10" s="57" t="n">
        <v>46312</v>
      </c>
      <c r="O10" s="58" t="n"/>
    </row>
    <row r="11" ht="26" customHeight="1">
      <c r="B11" s="61">
        <f>IF(B10="","",TRIM(IF(COUNTIFS($C$22:$C$210,B10,$D$22:$D$210,"*Erros*",$O$22:$O$210,"&lt;&gt;Cancelada")&gt;0,"Erros ","")&amp;IF(COUNTIFS($C$22:$C$210,B10,$D$22:$D$210,"*Suporte*",$O$22:$O$210,"&lt;&gt;Cancelada")&gt;0,"Suporte ","")&amp;IF(COUNTIFS($C$22:$C$210,B10,$D$22:$D$210,"*Vistoria*",$O$22:$O$210,"&lt;&gt;Cancelada")&gt;0,"Vistoria ","")&amp;IF(COUNTIFS($C$22:$C$210,B10,$D$22:$D$210,"*Metas*",$O$22:$O$210,"&lt;&gt;Cancelada")&gt;0,"Metas ","")&amp;IF(COUNTIFS($C$22:$C$210,B10,$D$22:$D$210,"*Faltas*",$O$22:$O$210,"&lt;&gt;Cancelada")&gt;0,"Faltas ","")&amp;IF(COUNTIFS($C$22:$C$210,B10,$D$22:$D$210,"*Semanal c/*",$O$22:$O$210,"&lt;&gt;Cancelada")&gt;0,"Acomp. ","")&amp;IF(COUNTIFS($C$22:$C$210,B10,$D$22:$D$210,"*Reunião*",$O$22:$O$210,"&lt;&gt;Cancelada")&gt;0,"Reunião ","")&amp;IF(COUNTIFS($C$22:$C$210,B10,$D$22:$D$210,"*Férias*",$O$22:$O$210,"&lt;&gt;Cancelada")&gt;0,"Férias ","")&amp;IF(COUNTIFS($C$22:$C$210,B10,$D$22:$D$210,"*Mudança*",$O$22:$O$210,"&lt;&gt;Cancelada")&gt;0,"M.Função ","")&amp;IF(COUNTIFS($C$22:$C$210,B10,$D$22:$D$210,"*Treinamento*",$O$22:$O$210,"&lt;&gt;Cancelada")&gt;0,"Trein. ","")))</f>
        <v/>
      </c>
      <c r="C11" s="62" t="n"/>
      <c r="D11" s="61">
        <f>IF(D10="","",TRIM(IF(COUNTIFS($C$22:$C$210,D10,$D$22:$D$210,"*Erros*",$O$22:$O$210,"&lt;&gt;Cancelada")&gt;0,"Erros ","")&amp;IF(COUNTIFS($C$22:$C$210,D10,$D$22:$D$210,"*Suporte*",$O$22:$O$210,"&lt;&gt;Cancelada")&gt;0,"Suporte ","")&amp;IF(COUNTIFS($C$22:$C$210,D10,$D$22:$D$210,"*Vistoria*",$O$22:$O$210,"&lt;&gt;Cancelada")&gt;0,"Vistoria ","")&amp;IF(COUNTIFS($C$22:$C$210,D10,$D$22:$D$210,"*Metas*",$O$22:$O$210,"&lt;&gt;Cancelada")&gt;0,"Metas ","")&amp;IF(COUNTIFS($C$22:$C$210,D10,$D$22:$D$210,"*Faltas*",$O$22:$O$210,"&lt;&gt;Cancelada")&gt;0,"Faltas ","")&amp;IF(COUNTIFS($C$22:$C$210,D10,$D$22:$D$210,"*Semanal c/*",$O$22:$O$210,"&lt;&gt;Cancelada")&gt;0,"Acomp. ","")&amp;IF(COUNTIFS($C$22:$C$210,D10,$D$22:$D$210,"*Reunião*",$O$22:$O$210,"&lt;&gt;Cancelada")&gt;0,"Reunião ","")&amp;IF(COUNTIFS($C$22:$C$210,D10,$D$22:$D$210,"*Férias*",$O$22:$O$210,"&lt;&gt;Cancelada")&gt;0,"Férias ","")&amp;IF(COUNTIFS($C$22:$C$210,D10,$D$22:$D$210,"*Mudança*",$O$22:$O$210,"&lt;&gt;Cancelada")&gt;0,"M.Função ","")&amp;IF(COUNTIFS($C$22:$C$210,D10,$D$22:$D$210,"*Treinamento*",$O$22:$O$210,"&lt;&gt;Cancelada")&gt;0,"Trein. ","")))</f>
        <v/>
      </c>
      <c r="E11" s="62" t="n"/>
      <c r="F11" s="61">
        <f>IF(F10="","",TRIM(IF(COUNTIFS($C$22:$C$210,F10,$D$22:$D$210,"*Erros*",$O$22:$O$210,"&lt;&gt;Cancelada")&gt;0,"Erros ","")&amp;IF(COUNTIFS($C$22:$C$210,F10,$D$22:$D$210,"*Suporte*",$O$22:$O$210,"&lt;&gt;Cancelada")&gt;0,"Suporte ","")&amp;IF(COUNTIFS($C$22:$C$210,F10,$D$22:$D$210,"*Vistoria*",$O$22:$O$210,"&lt;&gt;Cancelada")&gt;0,"Vistoria ","")&amp;IF(COUNTIFS($C$22:$C$210,F10,$D$22:$D$210,"*Metas*",$O$22:$O$210,"&lt;&gt;Cancelada")&gt;0,"Metas ","")&amp;IF(COUNTIFS($C$22:$C$210,F10,$D$22:$D$210,"*Faltas*",$O$22:$O$210,"&lt;&gt;Cancelada")&gt;0,"Faltas ","")&amp;IF(COUNTIFS($C$22:$C$210,F10,$D$22:$D$210,"*Semanal c/*",$O$22:$O$210,"&lt;&gt;Cancelada")&gt;0,"Acomp. ","")&amp;IF(COUNTIFS($C$22:$C$210,F10,$D$22:$D$210,"*Reunião*",$O$22:$O$210,"&lt;&gt;Cancelada")&gt;0,"Reunião ","")&amp;IF(COUNTIFS($C$22:$C$210,F10,$D$22:$D$210,"*Férias*",$O$22:$O$210,"&lt;&gt;Cancelada")&gt;0,"Férias ","")&amp;IF(COUNTIFS($C$22:$C$210,F10,$D$22:$D$210,"*Mudança*",$O$22:$O$210,"&lt;&gt;Cancelada")&gt;0,"M.Função ","")&amp;IF(COUNTIFS($C$22:$C$210,F10,$D$22:$D$210,"*Treinamento*",$O$22:$O$210,"&lt;&gt;Cancelada")&gt;0,"Trein. ","")))</f>
        <v/>
      </c>
      <c r="G11" s="62" t="n"/>
      <c r="H11" s="61">
        <f>IF(H10="","",TRIM(IF(COUNTIFS($C$22:$C$210,H10,$D$22:$D$210,"*Erros*",$O$22:$O$210,"&lt;&gt;Cancelada")&gt;0,"Erros ","")&amp;IF(COUNTIFS($C$22:$C$210,H10,$D$22:$D$210,"*Suporte*",$O$22:$O$210,"&lt;&gt;Cancelada")&gt;0,"Suporte ","")&amp;IF(COUNTIFS($C$22:$C$210,H10,$D$22:$D$210,"*Vistoria*",$O$22:$O$210,"&lt;&gt;Cancelada")&gt;0,"Vistoria ","")&amp;IF(COUNTIFS($C$22:$C$210,H10,$D$22:$D$210,"*Metas*",$O$22:$O$210,"&lt;&gt;Cancelada")&gt;0,"Metas ","")&amp;IF(COUNTIFS($C$22:$C$210,H10,$D$22:$D$210,"*Faltas*",$O$22:$O$210,"&lt;&gt;Cancelada")&gt;0,"Faltas ","")&amp;IF(COUNTIFS($C$22:$C$210,H10,$D$22:$D$210,"*Semanal c/*",$O$22:$O$210,"&lt;&gt;Cancelada")&gt;0,"Acomp. ","")&amp;IF(COUNTIFS($C$22:$C$210,H10,$D$22:$D$210,"*Reunião*",$O$22:$O$210,"&lt;&gt;Cancelada")&gt;0,"Reunião ","")&amp;IF(COUNTIFS($C$22:$C$210,H10,$D$22:$D$210,"*Férias*",$O$22:$O$210,"&lt;&gt;Cancelada")&gt;0,"Férias ","")&amp;IF(COUNTIFS($C$22:$C$210,H10,$D$22:$D$210,"*Mudança*",$O$22:$O$210,"&lt;&gt;Cancelada")&gt;0,"M.Função ","")&amp;IF(COUNTIFS($C$22:$C$210,H10,$D$22:$D$210,"*Treinamento*",$O$22:$O$210,"&lt;&gt;Cancelada")&gt;0,"Trein. ","")))</f>
        <v/>
      </c>
      <c r="I11" s="62" t="n"/>
      <c r="J11" s="61">
        <f>IF(J10="","",TRIM(IF(COUNTIFS($C$22:$C$210,J10,$D$22:$D$210,"*Erros*",$O$22:$O$210,"&lt;&gt;Cancelada")&gt;0,"Erros ","")&amp;IF(COUNTIFS($C$22:$C$210,J10,$D$22:$D$210,"*Suporte*",$O$22:$O$210,"&lt;&gt;Cancelada")&gt;0,"Suporte ","")&amp;IF(COUNTIFS($C$22:$C$210,J10,$D$22:$D$210,"*Vistoria*",$O$22:$O$210,"&lt;&gt;Cancelada")&gt;0,"Vistoria ","")&amp;IF(COUNTIFS($C$22:$C$210,J10,$D$22:$D$210,"*Metas*",$O$22:$O$210,"&lt;&gt;Cancelada")&gt;0,"Metas ","")&amp;IF(COUNTIFS($C$22:$C$210,J10,$D$22:$D$210,"*Faltas*",$O$22:$O$210,"&lt;&gt;Cancelada")&gt;0,"Faltas ","")&amp;IF(COUNTIFS($C$22:$C$210,J10,$D$22:$D$210,"*Semanal c/*",$O$22:$O$210,"&lt;&gt;Cancelada")&gt;0,"Acomp. ","")&amp;IF(COUNTIFS($C$22:$C$210,J10,$D$22:$D$210,"*Reunião*",$O$22:$O$210,"&lt;&gt;Cancelada")&gt;0,"Reunião ","")&amp;IF(COUNTIFS($C$22:$C$210,J10,$D$22:$D$210,"*Férias*",$O$22:$O$210,"&lt;&gt;Cancelada")&gt;0,"Férias ","")&amp;IF(COUNTIFS($C$22:$C$210,J10,$D$22:$D$210,"*Mudança*",$O$22:$O$210,"&lt;&gt;Cancelada")&gt;0,"M.Função ","")&amp;IF(COUNTIFS($C$22:$C$210,J10,$D$22:$D$210,"*Treinamento*",$O$22:$O$210,"&lt;&gt;Cancelada")&gt;0,"Trein. ","")))</f>
        <v/>
      </c>
      <c r="K11" s="62" t="n"/>
      <c r="L11" s="61">
        <f>IF(L10="","",TRIM(IF(COUNTIFS($C$22:$C$210,L10,$D$22:$D$210,"*Erros*",$O$22:$O$210,"&lt;&gt;Cancelada")&gt;0,"Erros ","")&amp;IF(COUNTIFS($C$22:$C$210,L10,$D$22:$D$210,"*Suporte*",$O$22:$O$210,"&lt;&gt;Cancelada")&gt;0,"Suporte ","")&amp;IF(COUNTIFS($C$22:$C$210,L10,$D$22:$D$210,"*Vistoria*",$O$22:$O$210,"&lt;&gt;Cancelada")&gt;0,"Vistoria ","")&amp;IF(COUNTIFS($C$22:$C$210,L10,$D$22:$D$210,"*Metas*",$O$22:$O$210,"&lt;&gt;Cancelada")&gt;0,"Metas ","")&amp;IF(COUNTIFS($C$22:$C$210,L10,$D$22:$D$210,"*Faltas*",$O$22:$O$210,"&lt;&gt;Cancelada")&gt;0,"Faltas ","")&amp;IF(COUNTIFS($C$22:$C$210,L10,$D$22:$D$210,"*Semanal c/*",$O$22:$O$210,"&lt;&gt;Cancelada")&gt;0,"Acomp. ","")&amp;IF(COUNTIFS($C$22:$C$210,L10,$D$22:$D$210,"*Reunião*",$O$22:$O$210,"&lt;&gt;Cancelada")&gt;0,"Reunião ","")&amp;IF(COUNTIFS($C$22:$C$210,L10,$D$22:$D$210,"*Férias*",$O$22:$O$210,"&lt;&gt;Cancelada")&gt;0,"Férias ","")&amp;IF(COUNTIFS($C$22:$C$210,L10,$D$22:$D$210,"*Mudança*",$O$22:$O$210,"&lt;&gt;Cancelada")&gt;0,"M.Função ","")&amp;IF(COUNTIFS($C$22:$C$210,L10,$D$22:$D$210,"*Treinamento*",$O$22:$O$210,"&lt;&gt;Cancelada")&gt;0,"Trein. ","")))</f>
        <v/>
      </c>
      <c r="M11" s="62" t="n"/>
      <c r="N11" s="61">
        <f>IF(N10="","",TRIM(IF(COUNTIFS($C$22:$C$210,N10,$D$22:$D$210,"*Erros*",$O$22:$O$210,"&lt;&gt;Cancelada")&gt;0,"Erros ","")&amp;IF(COUNTIFS($C$22:$C$210,N10,$D$22:$D$210,"*Suporte*",$O$22:$O$210,"&lt;&gt;Cancelada")&gt;0,"Suporte ","")&amp;IF(COUNTIFS($C$22:$C$210,N10,$D$22:$D$210,"*Vistoria*",$O$22:$O$210,"&lt;&gt;Cancelada")&gt;0,"Vistoria ","")&amp;IF(COUNTIFS($C$22:$C$210,N10,$D$22:$D$210,"*Metas*",$O$22:$O$210,"&lt;&gt;Cancelada")&gt;0,"Metas ","")&amp;IF(COUNTIFS($C$22:$C$210,N10,$D$22:$D$210,"*Faltas*",$O$22:$O$210,"&lt;&gt;Cancelada")&gt;0,"Faltas ","")&amp;IF(COUNTIFS($C$22:$C$210,N10,$D$22:$D$210,"*Semanal c/*",$O$22:$O$210,"&lt;&gt;Cancelada")&gt;0,"Acomp. ","")&amp;IF(COUNTIFS($C$22:$C$210,N10,$D$22:$D$210,"*Reunião*",$O$22:$O$210,"&lt;&gt;Cancelada")&gt;0,"Reunião ","")&amp;IF(COUNTIFS($C$22:$C$210,N10,$D$22:$D$210,"*Férias*",$O$22:$O$210,"&lt;&gt;Cancelada")&gt;0,"Férias ","")&amp;IF(COUNTIFS($C$22:$C$210,N10,$D$22:$D$210,"*Mudança*",$O$22:$O$210,"&lt;&gt;Cancelada")&gt;0,"M.Função ","")&amp;IF(COUNTIFS($C$22:$C$210,N10,$D$22:$D$210,"*Treinamento*",$O$22:$O$210,"&lt;&gt;Cancelada")&gt;0,"Trein. ","")))</f>
        <v/>
      </c>
      <c r="O11" s="62" t="n"/>
    </row>
    <row r="12" ht="20" customHeight="1">
      <c r="B12" s="57" t="n">
        <v>46313</v>
      </c>
      <c r="C12" s="58" t="n"/>
      <c r="D12" s="57" t="n">
        <v>46314</v>
      </c>
      <c r="E12" s="58" t="n"/>
      <c r="F12" s="57" t="n">
        <v>46315</v>
      </c>
      <c r="G12" s="58" t="n"/>
      <c r="H12" s="57" t="n">
        <v>46316</v>
      </c>
      <c r="I12" s="58" t="n"/>
      <c r="J12" s="57" t="n">
        <v>46317</v>
      </c>
      <c r="K12" s="58" t="n"/>
      <c r="L12" s="57" t="n">
        <v>46318</v>
      </c>
      <c r="M12" s="58" t="n"/>
      <c r="N12" s="57" t="n">
        <v>46319</v>
      </c>
      <c r="O12" s="58" t="n"/>
    </row>
    <row r="13" ht="26" customHeight="1">
      <c r="B13" s="61">
        <f>IF(B12="","",TRIM(IF(COUNTIFS($C$22:$C$210,B12,$D$22:$D$210,"*Erros*",$O$22:$O$210,"&lt;&gt;Cancelada")&gt;0,"Erros ","")&amp;IF(COUNTIFS($C$22:$C$210,B12,$D$22:$D$210,"*Suporte*",$O$22:$O$210,"&lt;&gt;Cancelada")&gt;0,"Suporte ","")&amp;IF(COUNTIFS($C$22:$C$210,B12,$D$22:$D$210,"*Vistoria*",$O$22:$O$210,"&lt;&gt;Cancelada")&gt;0,"Vistoria ","")&amp;IF(COUNTIFS($C$22:$C$210,B12,$D$22:$D$210,"*Metas*",$O$22:$O$210,"&lt;&gt;Cancelada")&gt;0,"Metas ","")&amp;IF(COUNTIFS($C$22:$C$210,B12,$D$22:$D$210,"*Faltas*",$O$22:$O$210,"&lt;&gt;Cancelada")&gt;0,"Faltas ","")&amp;IF(COUNTIFS($C$22:$C$210,B12,$D$22:$D$210,"*Semanal c/*",$O$22:$O$210,"&lt;&gt;Cancelada")&gt;0,"Acomp. ","")&amp;IF(COUNTIFS($C$22:$C$210,B12,$D$22:$D$210,"*Reunião*",$O$22:$O$210,"&lt;&gt;Cancelada")&gt;0,"Reunião ","")&amp;IF(COUNTIFS($C$22:$C$210,B12,$D$22:$D$210,"*Férias*",$O$22:$O$210,"&lt;&gt;Cancelada")&gt;0,"Férias ","")&amp;IF(COUNTIFS($C$22:$C$210,B12,$D$22:$D$210,"*Mudança*",$O$22:$O$210,"&lt;&gt;Cancelada")&gt;0,"M.Função ","")&amp;IF(COUNTIFS($C$22:$C$210,B12,$D$22:$D$210,"*Treinamento*",$O$22:$O$210,"&lt;&gt;Cancelada")&gt;0,"Trein. ","")))</f>
        <v/>
      </c>
      <c r="C13" s="62" t="n"/>
      <c r="D13" s="61">
        <f>IF(D12="","",TRIM(IF(COUNTIFS($C$22:$C$210,D12,$D$22:$D$210,"*Erros*",$O$22:$O$210,"&lt;&gt;Cancelada")&gt;0,"Erros ","")&amp;IF(COUNTIFS($C$22:$C$210,D12,$D$22:$D$210,"*Suporte*",$O$22:$O$210,"&lt;&gt;Cancelada")&gt;0,"Suporte ","")&amp;IF(COUNTIFS($C$22:$C$210,D12,$D$22:$D$210,"*Vistoria*",$O$22:$O$210,"&lt;&gt;Cancelada")&gt;0,"Vistoria ","")&amp;IF(COUNTIFS($C$22:$C$210,D12,$D$22:$D$210,"*Metas*",$O$22:$O$210,"&lt;&gt;Cancelada")&gt;0,"Metas ","")&amp;IF(COUNTIFS($C$22:$C$210,D12,$D$22:$D$210,"*Faltas*",$O$22:$O$210,"&lt;&gt;Cancelada")&gt;0,"Faltas ","")&amp;IF(COUNTIFS($C$22:$C$210,D12,$D$22:$D$210,"*Semanal c/*",$O$22:$O$210,"&lt;&gt;Cancelada")&gt;0,"Acomp. ","")&amp;IF(COUNTIFS($C$22:$C$210,D12,$D$22:$D$210,"*Reunião*",$O$22:$O$210,"&lt;&gt;Cancelada")&gt;0,"Reunião ","")&amp;IF(COUNTIFS($C$22:$C$210,D12,$D$22:$D$210,"*Férias*",$O$22:$O$210,"&lt;&gt;Cancelada")&gt;0,"Férias ","")&amp;IF(COUNTIFS($C$22:$C$210,D12,$D$22:$D$210,"*Mudança*",$O$22:$O$210,"&lt;&gt;Cancelada")&gt;0,"M.Função ","")&amp;IF(COUNTIFS($C$22:$C$210,D12,$D$22:$D$210,"*Treinamento*",$O$22:$O$210,"&lt;&gt;Cancelada")&gt;0,"Trein. ","")))</f>
        <v/>
      </c>
      <c r="E13" s="62" t="n"/>
      <c r="F13" s="61">
        <f>IF(F12="","",TRIM(IF(COUNTIFS($C$22:$C$210,F12,$D$22:$D$210,"*Erros*",$O$22:$O$210,"&lt;&gt;Cancelada")&gt;0,"Erros ","")&amp;IF(COUNTIFS($C$22:$C$210,F12,$D$22:$D$210,"*Suporte*",$O$22:$O$210,"&lt;&gt;Cancelada")&gt;0,"Suporte ","")&amp;IF(COUNTIFS($C$22:$C$210,F12,$D$22:$D$210,"*Vistoria*",$O$22:$O$210,"&lt;&gt;Cancelada")&gt;0,"Vistoria ","")&amp;IF(COUNTIFS($C$22:$C$210,F12,$D$22:$D$210,"*Metas*",$O$22:$O$210,"&lt;&gt;Cancelada")&gt;0,"Metas ","")&amp;IF(COUNTIFS($C$22:$C$210,F12,$D$22:$D$210,"*Faltas*",$O$22:$O$210,"&lt;&gt;Cancelada")&gt;0,"Faltas ","")&amp;IF(COUNTIFS($C$22:$C$210,F12,$D$22:$D$210,"*Semanal c/*",$O$22:$O$210,"&lt;&gt;Cancelada")&gt;0,"Acomp. ","")&amp;IF(COUNTIFS($C$22:$C$210,F12,$D$22:$D$210,"*Reunião*",$O$22:$O$210,"&lt;&gt;Cancelada")&gt;0,"Reunião ","")&amp;IF(COUNTIFS($C$22:$C$210,F12,$D$22:$D$210,"*Férias*",$O$22:$O$210,"&lt;&gt;Cancelada")&gt;0,"Férias ","")&amp;IF(COUNTIFS($C$22:$C$210,F12,$D$22:$D$210,"*Mudança*",$O$22:$O$210,"&lt;&gt;Cancelada")&gt;0,"M.Função ","")&amp;IF(COUNTIFS($C$22:$C$210,F12,$D$22:$D$210,"*Treinamento*",$O$22:$O$210,"&lt;&gt;Cancelada")&gt;0,"Trein. ","")))</f>
        <v/>
      </c>
      <c r="G13" s="62" t="n"/>
      <c r="H13" s="61">
        <f>IF(H12="","",TRIM(IF(COUNTIFS($C$22:$C$210,H12,$D$22:$D$210,"*Erros*",$O$22:$O$210,"&lt;&gt;Cancelada")&gt;0,"Erros ","")&amp;IF(COUNTIFS($C$22:$C$210,H12,$D$22:$D$210,"*Suporte*",$O$22:$O$210,"&lt;&gt;Cancelada")&gt;0,"Suporte ","")&amp;IF(COUNTIFS($C$22:$C$210,H12,$D$22:$D$210,"*Vistoria*",$O$22:$O$210,"&lt;&gt;Cancelada")&gt;0,"Vistoria ","")&amp;IF(COUNTIFS($C$22:$C$210,H12,$D$22:$D$210,"*Metas*",$O$22:$O$210,"&lt;&gt;Cancelada")&gt;0,"Metas ","")&amp;IF(COUNTIFS($C$22:$C$210,H12,$D$22:$D$210,"*Faltas*",$O$22:$O$210,"&lt;&gt;Cancelada")&gt;0,"Faltas ","")&amp;IF(COUNTIFS($C$22:$C$210,H12,$D$22:$D$210,"*Semanal c/*",$O$22:$O$210,"&lt;&gt;Cancelada")&gt;0,"Acomp. ","")&amp;IF(COUNTIFS($C$22:$C$210,H12,$D$22:$D$210,"*Reunião*",$O$22:$O$210,"&lt;&gt;Cancelada")&gt;0,"Reunião ","")&amp;IF(COUNTIFS($C$22:$C$210,H12,$D$22:$D$210,"*Férias*",$O$22:$O$210,"&lt;&gt;Cancelada")&gt;0,"Férias ","")&amp;IF(COUNTIFS($C$22:$C$210,H12,$D$22:$D$210,"*Mudança*",$O$22:$O$210,"&lt;&gt;Cancelada")&gt;0,"M.Função ","")&amp;IF(COUNTIFS($C$22:$C$210,H12,$D$22:$D$210,"*Treinamento*",$O$22:$O$210,"&lt;&gt;Cancelada")&gt;0,"Trein. ","")))</f>
        <v/>
      </c>
      <c r="I13" s="62" t="n"/>
      <c r="J13" s="61">
        <f>IF(J12="","",TRIM(IF(COUNTIFS($C$22:$C$210,J12,$D$22:$D$210,"*Erros*",$O$22:$O$210,"&lt;&gt;Cancelada")&gt;0,"Erros ","")&amp;IF(COUNTIFS($C$22:$C$210,J12,$D$22:$D$210,"*Suporte*",$O$22:$O$210,"&lt;&gt;Cancelada")&gt;0,"Suporte ","")&amp;IF(COUNTIFS($C$22:$C$210,J12,$D$22:$D$210,"*Vistoria*",$O$22:$O$210,"&lt;&gt;Cancelada")&gt;0,"Vistoria ","")&amp;IF(COUNTIFS($C$22:$C$210,J12,$D$22:$D$210,"*Metas*",$O$22:$O$210,"&lt;&gt;Cancelada")&gt;0,"Metas ","")&amp;IF(COUNTIFS($C$22:$C$210,J12,$D$22:$D$210,"*Faltas*",$O$22:$O$210,"&lt;&gt;Cancelada")&gt;0,"Faltas ","")&amp;IF(COUNTIFS($C$22:$C$210,J12,$D$22:$D$210,"*Semanal c/*",$O$22:$O$210,"&lt;&gt;Cancelada")&gt;0,"Acomp. ","")&amp;IF(COUNTIFS($C$22:$C$210,J12,$D$22:$D$210,"*Reunião*",$O$22:$O$210,"&lt;&gt;Cancelada")&gt;0,"Reunião ","")&amp;IF(COUNTIFS($C$22:$C$210,J12,$D$22:$D$210,"*Férias*",$O$22:$O$210,"&lt;&gt;Cancelada")&gt;0,"Férias ","")&amp;IF(COUNTIFS($C$22:$C$210,J12,$D$22:$D$210,"*Mudança*",$O$22:$O$210,"&lt;&gt;Cancelada")&gt;0,"M.Função ","")&amp;IF(COUNTIFS($C$22:$C$210,J12,$D$22:$D$210,"*Treinamento*",$O$22:$O$210,"&lt;&gt;Cancelada")&gt;0,"Trein. ","")))</f>
        <v/>
      </c>
      <c r="K13" s="62" t="n"/>
      <c r="L13" s="61">
        <f>IF(L12="","",TRIM(IF(COUNTIFS($C$22:$C$210,L12,$D$22:$D$210,"*Erros*",$O$22:$O$210,"&lt;&gt;Cancelada")&gt;0,"Erros ","")&amp;IF(COUNTIFS($C$22:$C$210,L12,$D$22:$D$210,"*Suporte*",$O$22:$O$210,"&lt;&gt;Cancelada")&gt;0,"Suporte ","")&amp;IF(COUNTIFS($C$22:$C$210,L12,$D$22:$D$210,"*Vistoria*",$O$22:$O$210,"&lt;&gt;Cancelada")&gt;0,"Vistoria ","")&amp;IF(COUNTIFS($C$22:$C$210,L12,$D$22:$D$210,"*Metas*",$O$22:$O$210,"&lt;&gt;Cancelada")&gt;0,"Metas ","")&amp;IF(COUNTIFS($C$22:$C$210,L12,$D$22:$D$210,"*Faltas*",$O$22:$O$210,"&lt;&gt;Cancelada")&gt;0,"Faltas ","")&amp;IF(COUNTIFS($C$22:$C$210,L12,$D$22:$D$210,"*Semanal c/*",$O$22:$O$210,"&lt;&gt;Cancelada")&gt;0,"Acomp. ","")&amp;IF(COUNTIFS($C$22:$C$210,L12,$D$22:$D$210,"*Reunião*",$O$22:$O$210,"&lt;&gt;Cancelada")&gt;0,"Reunião ","")&amp;IF(COUNTIFS($C$22:$C$210,L12,$D$22:$D$210,"*Férias*",$O$22:$O$210,"&lt;&gt;Cancelada")&gt;0,"Férias ","")&amp;IF(COUNTIFS($C$22:$C$210,L12,$D$22:$D$210,"*Mudança*",$O$22:$O$210,"&lt;&gt;Cancelada")&gt;0,"M.Função ","")&amp;IF(COUNTIFS($C$22:$C$210,L12,$D$22:$D$210,"*Treinamento*",$O$22:$O$210,"&lt;&gt;Cancelada")&gt;0,"Trein. ","")))</f>
        <v/>
      </c>
      <c r="M13" s="62" t="n"/>
      <c r="N13" s="61">
        <f>IF(N12="","",TRIM(IF(COUNTIFS($C$22:$C$210,N12,$D$22:$D$210,"*Erros*",$O$22:$O$210,"&lt;&gt;Cancelada")&gt;0,"Erros ","")&amp;IF(COUNTIFS($C$22:$C$210,N12,$D$22:$D$210,"*Suporte*",$O$22:$O$210,"&lt;&gt;Cancelada")&gt;0,"Suporte ","")&amp;IF(COUNTIFS($C$22:$C$210,N12,$D$22:$D$210,"*Vistoria*",$O$22:$O$210,"&lt;&gt;Cancelada")&gt;0,"Vistoria ","")&amp;IF(COUNTIFS($C$22:$C$210,N12,$D$22:$D$210,"*Metas*",$O$22:$O$210,"&lt;&gt;Cancelada")&gt;0,"Metas ","")&amp;IF(COUNTIFS($C$22:$C$210,N12,$D$22:$D$210,"*Faltas*",$O$22:$O$210,"&lt;&gt;Cancelada")&gt;0,"Faltas ","")&amp;IF(COUNTIFS($C$22:$C$210,N12,$D$22:$D$210,"*Semanal c/*",$O$22:$O$210,"&lt;&gt;Cancelada")&gt;0,"Acomp. ","")&amp;IF(COUNTIFS($C$22:$C$210,N12,$D$22:$D$210,"*Reunião*",$O$22:$O$210,"&lt;&gt;Cancelada")&gt;0,"Reunião ","")&amp;IF(COUNTIFS($C$22:$C$210,N12,$D$22:$D$210,"*Férias*",$O$22:$O$210,"&lt;&gt;Cancelada")&gt;0,"Férias ","")&amp;IF(COUNTIFS($C$22:$C$210,N12,$D$22:$D$210,"*Mudança*",$O$22:$O$210,"&lt;&gt;Cancelada")&gt;0,"M.Função ","")&amp;IF(COUNTIFS($C$22:$C$210,N12,$D$22:$D$210,"*Treinamento*",$O$22:$O$210,"&lt;&gt;Cancelada")&gt;0,"Trein. ","")))</f>
        <v/>
      </c>
      <c r="O13" s="62" t="n"/>
    </row>
    <row r="14" ht="20" customHeight="1">
      <c r="B14" s="57" t="n">
        <v>46320</v>
      </c>
      <c r="C14" s="58" t="n"/>
      <c r="D14" s="57" t="n">
        <v>46321</v>
      </c>
      <c r="E14" s="58" t="n"/>
      <c r="F14" s="57" t="n">
        <v>46322</v>
      </c>
      <c r="G14" s="58" t="n"/>
      <c r="H14" s="57" t="n">
        <v>46323</v>
      </c>
      <c r="I14" s="58" t="n"/>
      <c r="J14" s="57" t="n">
        <v>46324</v>
      </c>
      <c r="K14" s="58" t="n"/>
      <c r="L14" s="57" t="n">
        <v>46325</v>
      </c>
      <c r="M14" s="58" t="n"/>
      <c r="N14" s="57" t="n">
        <v>46326</v>
      </c>
      <c r="O14" s="58" t="n"/>
    </row>
    <row r="15" ht="26" customHeight="1">
      <c r="B15" s="61">
        <f>IF(B14="","",TRIM(IF(COUNTIFS($C$22:$C$210,B14,$D$22:$D$210,"*Erros*",$O$22:$O$210,"&lt;&gt;Cancelada")&gt;0,"Erros ","")&amp;IF(COUNTIFS($C$22:$C$210,B14,$D$22:$D$210,"*Suporte*",$O$22:$O$210,"&lt;&gt;Cancelada")&gt;0,"Suporte ","")&amp;IF(COUNTIFS($C$22:$C$210,B14,$D$22:$D$210,"*Vistoria*",$O$22:$O$210,"&lt;&gt;Cancelada")&gt;0,"Vistoria ","")&amp;IF(COUNTIFS($C$22:$C$210,B14,$D$22:$D$210,"*Metas*",$O$22:$O$210,"&lt;&gt;Cancelada")&gt;0,"Metas ","")&amp;IF(COUNTIFS($C$22:$C$210,B14,$D$22:$D$210,"*Faltas*",$O$22:$O$210,"&lt;&gt;Cancelada")&gt;0,"Faltas ","")&amp;IF(COUNTIFS($C$22:$C$210,B14,$D$22:$D$210,"*Semanal c/*",$O$22:$O$210,"&lt;&gt;Cancelada")&gt;0,"Acomp. ","")&amp;IF(COUNTIFS($C$22:$C$210,B14,$D$22:$D$210,"*Reunião*",$O$22:$O$210,"&lt;&gt;Cancelada")&gt;0,"Reunião ","")&amp;IF(COUNTIFS($C$22:$C$210,B14,$D$22:$D$210,"*Férias*",$O$22:$O$210,"&lt;&gt;Cancelada")&gt;0,"Férias ","")&amp;IF(COUNTIFS($C$22:$C$210,B14,$D$22:$D$210,"*Mudança*",$O$22:$O$210,"&lt;&gt;Cancelada")&gt;0,"M.Função ","")&amp;IF(COUNTIFS($C$22:$C$210,B14,$D$22:$D$210,"*Treinamento*",$O$22:$O$210,"&lt;&gt;Cancelada")&gt;0,"Trein. ","")))</f>
        <v/>
      </c>
      <c r="C15" s="62" t="n"/>
      <c r="D15" s="61">
        <f>IF(D14="","",TRIM(IF(COUNTIFS($C$22:$C$210,D14,$D$22:$D$210,"*Erros*",$O$22:$O$210,"&lt;&gt;Cancelada")&gt;0,"Erros ","")&amp;IF(COUNTIFS($C$22:$C$210,D14,$D$22:$D$210,"*Suporte*",$O$22:$O$210,"&lt;&gt;Cancelada")&gt;0,"Suporte ","")&amp;IF(COUNTIFS($C$22:$C$210,D14,$D$22:$D$210,"*Vistoria*",$O$22:$O$210,"&lt;&gt;Cancelada")&gt;0,"Vistoria ","")&amp;IF(COUNTIFS($C$22:$C$210,D14,$D$22:$D$210,"*Metas*",$O$22:$O$210,"&lt;&gt;Cancelada")&gt;0,"Metas ","")&amp;IF(COUNTIFS($C$22:$C$210,D14,$D$22:$D$210,"*Faltas*",$O$22:$O$210,"&lt;&gt;Cancelada")&gt;0,"Faltas ","")&amp;IF(COUNTIFS($C$22:$C$210,D14,$D$22:$D$210,"*Semanal c/*",$O$22:$O$210,"&lt;&gt;Cancelada")&gt;0,"Acomp. ","")&amp;IF(COUNTIFS($C$22:$C$210,D14,$D$22:$D$210,"*Reunião*",$O$22:$O$210,"&lt;&gt;Cancelada")&gt;0,"Reunião ","")&amp;IF(COUNTIFS($C$22:$C$210,D14,$D$22:$D$210,"*Férias*",$O$22:$O$210,"&lt;&gt;Cancelada")&gt;0,"Férias ","")&amp;IF(COUNTIFS($C$22:$C$210,D14,$D$22:$D$210,"*Mudança*",$O$22:$O$210,"&lt;&gt;Cancelada")&gt;0,"M.Função ","")&amp;IF(COUNTIFS($C$22:$C$210,D14,$D$22:$D$210,"*Treinamento*",$O$22:$O$210,"&lt;&gt;Cancelada")&gt;0,"Trein. ","")))</f>
        <v/>
      </c>
      <c r="E15" s="62" t="n"/>
      <c r="F15" s="61">
        <f>IF(F14="","",TRIM(IF(COUNTIFS($C$22:$C$210,F14,$D$22:$D$210,"*Erros*",$O$22:$O$210,"&lt;&gt;Cancelada")&gt;0,"Erros ","")&amp;IF(COUNTIFS($C$22:$C$210,F14,$D$22:$D$210,"*Suporte*",$O$22:$O$210,"&lt;&gt;Cancelada")&gt;0,"Suporte ","")&amp;IF(COUNTIFS($C$22:$C$210,F14,$D$22:$D$210,"*Vistoria*",$O$22:$O$210,"&lt;&gt;Cancelada")&gt;0,"Vistoria ","")&amp;IF(COUNTIFS($C$22:$C$210,F14,$D$22:$D$210,"*Metas*",$O$22:$O$210,"&lt;&gt;Cancelada")&gt;0,"Metas ","")&amp;IF(COUNTIFS($C$22:$C$210,F14,$D$22:$D$210,"*Faltas*",$O$22:$O$210,"&lt;&gt;Cancelada")&gt;0,"Faltas ","")&amp;IF(COUNTIFS($C$22:$C$210,F14,$D$22:$D$210,"*Semanal c/*",$O$22:$O$210,"&lt;&gt;Cancelada")&gt;0,"Acomp. ","")&amp;IF(COUNTIFS($C$22:$C$210,F14,$D$22:$D$210,"*Reunião*",$O$22:$O$210,"&lt;&gt;Cancelada")&gt;0,"Reunião ","")&amp;IF(COUNTIFS($C$22:$C$210,F14,$D$22:$D$210,"*Férias*",$O$22:$O$210,"&lt;&gt;Cancelada")&gt;0,"Férias ","")&amp;IF(COUNTIFS($C$22:$C$210,F14,$D$22:$D$210,"*Mudança*",$O$22:$O$210,"&lt;&gt;Cancelada")&gt;0,"M.Função ","")&amp;IF(COUNTIFS($C$22:$C$210,F14,$D$22:$D$210,"*Treinamento*",$O$22:$O$210,"&lt;&gt;Cancelada")&gt;0,"Trein. ","")))</f>
        <v/>
      </c>
      <c r="G15" s="62" t="n"/>
      <c r="H15" s="61">
        <f>IF(H14="","",TRIM(IF(COUNTIFS($C$22:$C$210,H14,$D$22:$D$210,"*Erros*",$O$22:$O$210,"&lt;&gt;Cancelada")&gt;0,"Erros ","")&amp;IF(COUNTIFS($C$22:$C$210,H14,$D$22:$D$210,"*Suporte*",$O$22:$O$210,"&lt;&gt;Cancelada")&gt;0,"Suporte ","")&amp;IF(COUNTIFS($C$22:$C$210,H14,$D$22:$D$210,"*Vistoria*",$O$22:$O$210,"&lt;&gt;Cancelada")&gt;0,"Vistoria ","")&amp;IF(COUNTIFS($C$22:$C$210,H14,$D$22:$D$210,"*Metas*",$O$22:$O$210,"&lt;&gt;Cancelada")&gt;0,"Metas ","")&amp;IF(COUNTIFS($C$22:$C$210,H14,$D$22:$D$210,"*Faltas*",$O$22:$O$210,"&lt;&gt;Cancelada")&gt;0,"Faltas ","")&amp;IF(COUNTIFS($C$22:$C$210,H14,$D$22:$D$210,"*Semanal c/*",$O$22:$O$210,"&lt;&gt;Cancelada")&gt;0,"Acomp. ","")&amp;IF(COUNTIFS($C$22:$C$210,H14,$D$22:$D$210,"*Reunião*",$O$22:$O$210,"&lt;&gt;Cancelada")&gt;0,"Reunião ","")&amp;IF(COUNTIFS($C$22:$C$210,H14,$D$22:$D$210,"*Férias*",$O$22:$O$210,"&lt;&gt;Cancelada")&gt;0,"Férias ","")&amp;IF(COUNTIFS($C$22:$C$210,H14,$D$22:$D$210,"*Mudança*",$O$22:$O$210,"&lt;&gt;Cancelada")&gt;0,"M.Função ","")&amp;IF(COUNTIFS($C$22:$C$210,H14,$D$22:$D$210,"*Treinamento*",$O$22:$O$210,"&lt;&gt;Cancelada")&gt;0,"Trein. ","")))</f>
        <v/>
      </c>
      <c r="I15" s="62" t="n"/>
      <c r="J15" s="61">
        <f>IF(J14="","",TRIM(IF(COUNTIFS($C$22:$C$210,J14,$D$22:$D$210,"*Erros*",$O$22:$O$210,"&lt;&gt;Cancelada")&gt;0,"Erros ","")&amp;IF(COUNTIFS($C$22:$C$210,J14,$D$22:$D$210,"*Suporte*",$O$22:$O$210,"&lt;&gt;Cancelada")&gt;0,"Suporte ","")&amp;IF(COUNTIFS($C$22:$C$210,J14,$D$22:$D$210,"*Vistoria*",$O$22:$O$210,"&lt;&gt;Cancelada")&gt;0,"Vistoria ","")&amp;IF(COUNTIFS($C$22:$C$210,J14,$D$22:$D$210,"*Metas*",$O$22:$O$210,"&lt;&gt;Cancelada")&gt;0,"Metas ","")&amp;IF(COUNTIFS($C$22:$C$210,J14,$D$22:$D$210,"*Faltas*",$O$22:$O$210,"&lt;&gt;Cancelada")&gt;0,"Faltas ","")&amp;IF(COUNTIFS($C$22:$C$210,J14,$D$22:$D$210,"*Semanal c/*",$O$22:$O$210,"&lt;&gt;Cancelada")&gt;0,"Acomp. ","")&amp;IF(COUNTIFS($C$22:$C$210,J14,$D$22:$D$210,"*Reunião*",$O$22:$O$210,"&lt;&gt;Cancelada")&gt;0,"Reunião ","")&amp;IF(COUNTIFS($C$22:$C$210,J14,$D$22:$D$210,"*Férias*",$O$22:$O$210,"&lt;&gt;Cancelada")&gt;0,"Férias ","")&amp;IF(COUNTIFS($C$22:$C$210,J14,$D$22:$D$210,"*Mudança*",$O$22:$O$210,"&lt;&gt;Cancelada")&gt;0,"M.Função ","")&amp;IF(COUNTIFS($C$22:$C$210,J14,$D$22:$D$210,"*Treinamento*",$O$22:$O$210,"&lt;&gt;Cancelada")&gt;0,"Trein. ","")))</f>
        <v/>
      </c>
      <c r="K15" s="62" t="n"/>
      <c r="L15" s="61">
        <f>IF(L14="","",TRIM(IF(COUNTIFS($C$22:$C$210,L14,$D$22:$D$210,"*Erros*",$O$22:$O$210,"&lt;&gt;Cancelada")&gt;0,"Erros ","")&amp;IF(COUNTIFS($C$22:$C$210,L14,$D$22:$D$210,"*Suporte*",$O$22:$O$210,"&lt;&gt;Cancelada")&gt;0,"Suporte ","")&amp;IF(COUNTIFS($C$22:$C$210,L14,$D$22:$D$210,"*Vistoria*",$O$22:$O$210,"&lt;&gt;Cancelada")&gt;0,"Vistoria ","")&amp;IF(COUNTIFS($C$22:$C$210,L14,$D$22:$D$210,"*Metas*",$O$22:$O$210,"&lt;&gt;Cancelada")&gt;0,"Metas ","")&amp;IF(COUNTIFS($C$22:$C$210,L14,$D$22:$D$210,"*Faltas*",$O$22:$O$210,"&lt;&gt;Cancelada")&gt;0,"Faltas ","")&amp;IF(COUNTIFS($C$22:$C$210,L14,$D$22:$D$210,"*Semanal c/*",$O$22:$O$210,"&lt;&gt;Cancelada")&gt;0,"Acomp. ","")&amp;IF(COUNTIFS($C$22:$C$210,L14,$D$22:$D$210,"*Reunião*",$O$22:$O$210,"&lt;&gt;Cancelada")&gt;0,"Reunião ","")&amp;IF(COUNTIFS($C$22:$C$210,L14,$D$22:$D$210,"*Férias*",$O$22:$O$210,"&lt;&gt;Cancelada")&gt;0,"Férias ","")&amp;IF(COUNTIFS($C$22:$C$210,L14,$D$22:$D$210,"*Mudança*",$O$22:$O$210,"&lt;&gt;Cancelada")&gt;0,"M.Função ","")&amp;IF(COUNTIFS($C$22:$C$210,L14,$D$22:$D$210,"*Treinamento*",$O$22:$O$210,"&lt;&gt;Cancelada")&gt;0,"Trein. ","")))</f>
        <v/>
      </c>
      <c r="M15" s="62" t="n"/>
      <c r="N15" s="61">
        <f>IF(N14="","",TRIM(IF(COUNTIFS($C$22:$C$210,N14,$D$22:$D$210,"*Erros*",$O$22:$O$210,"&lt;&gt;Cancelada")&gt;0,"Erros ","")&amp;IF(COUNTIFS($C$22:$C$210,N14,$D$22:$D$210,"*Suporte*",$O$22:$O$210,"&lt;&gt;Cancelada")&gt;0,"Suporte ","")&amp;IF(COUNTIFS($C$22:$C$210,N14,$D$22:$D$210,"*Vistoria*",$O$22:$O$210,"&lt;&gt;Cancelada")&gt;0,"Vistoria ","")&amp;IF(COUNTIFS($C$22:$C$210,N14,$D$22:$D$210,"*Metas*",$O$22:$O$210,"&lt;&gt;Cancelada")&gt;0,"Metas ","")&amp;IF(COUNTIFS($C$22:$C$210,N14,$D$22:$D$210,"*Faltas*",$O$22:$O$210,"&lt;&gt;Cancelada")&gt;0,"Faltas ","")&amp;IF(COUNTIFS($C$22:$C$210,N14,$D$22:$D$210,"*Semanal c/*",$O$22:$O$210,"&lt;&gt;Cancelada")&gt;0,"Acomp. ","")&amp;IF(COUNTIFS($C$22:$C$210,N14,$D$22:$D$210,"*Reunião*",$O$22:$O$210,"&lt;&gt;Cancelada")&gt;0,"Reunião ","")&amp;IF(COUNTIFS($C$22:$C$210,N14,$D$22:$D$210,"*Férias*",$O$22:$O$210,"&lt;&gt;Cancelada")&gt;0,"Férias ","")&amp;IF(COUNTIFS($C$22:$C$210,N14,$D$22:$D$210,"*Mudança*",$O$22:$O$210,"&lt;&gt;Cancelada")&gt;0,"M.Função ","")&amp;IF(COUNTIFS($C$22:$C$210,N14,$D$22:$D$210,"*Treinamento*",$O$22:$O$210,"&lt;&gt;Cancelada")&gt;0,"Trein. ","")))</f>
        <v/>
      </c>
      <c r="O15" s="62" t="n"/>
    </row>
    <row r="16" ht="6" customHeight="1"/>
    <row r="17" ht="6" customHeight="1"/>
    <row r="18">
      <c r="B18" s="63" t="inlineStr">
        <is>
          <t>Amarelo = hoje - Azul = dia com prazo - SEX = reunião com a gerência - Acomp. = Acompanhamento c/ Supervisores - M.Função = Mudança de Função - Trein. = Treinamento programado</t>
        </is>
      </c>
    </row>
    <row r="20">
      <c r="A20" s="26" t="inlineStr">
        <is>
          <t>GESTÃO DE ATIVIDADES — coordenador: selecione a linha e use o menu GSL Bartofil &gt; Anexar entrega (ou cole o link na coluna LINK DO ANEXO)</t>
        </is>
      </c>
    </row>
    <row r="21">
      <c r="A21" s="27" t="inlineStr">
        <is>
          <t>ID</t>
        </is>
      </c>
      <c r="B21" s="27" t="inlineStr">
        <is>
          <t>SEMANA</t>
        </is>
      </c>
      <c r="C21" s="27" t="inlineStr">
        <is>
          <t>PRAZO</t>
        </is>
      </c>
      <c r="D21" s="27" t="inlineStr">
        <is>
          <t>ATIVIDADE</t>
        </is>
      </c>
      <c r="E21" s="53" t="n"/>
      <c r="F21" s="53" t="n"/>
      <c r="G21" s="27" t="inlineStr">
        <is>
          <t>TURNO</t>
        </is>
      </c>
      <c r="H21" s="27" t="inlineStr">
        <is>
          <t>COORDENADOR</t>
        </is>
      </c>
      <c r="I21" s="53" t="n"/>
      <c r="J21" s="27" t="inlineStr">
        <is>
          <t>SETOR (vistoria)</t>
        </is>
      </c>
      <c r="K21" s="53" t="n"/>
      <c r="L21" s="27" t="inlineStr">
        <is>
          <t>LINK DO ANEXO (ENTREGA)</t>
        </is>
      </c>
      <c r="M21" s="53" t="n"/>
      <c r="N21" s="27" t="inlineStr">
        <is>
          <t>ENTREGUE EM</t>
        </is>
      </c>
      <c r="O21" s="27" t="inlineStr">
        <is>
          <t>VALIDAÇÃO</t>
        </is>
      </c>
      <c r="P21" s="27" t="inlineStr">
        <is>
          <t>MOTIVO REPROV. / CANCEL.</t>
        </is>
      </c>
      <c r="Q21" s="53" t="n"/>
      <c r="R21" s="27" t="inlineStr">
        <is>
          <t>STATUS</t>
        </is>
      </c>
      <c r="S21" s="64" t="inlineStr">
        <is>
          <t>fL</t>
        </is>
      </c>
      <c r="T21" s="64" t="inlineStr">
        <is>
          <t>fA</t>
        </is>
      </c>
      <c r="U21" s="64" t="inlineStr">
        <is>
          <t>fE</t>
        </is>
      </c>
    </row>
    <row r="22">
      <c r="A22" s="65" t="inlineStr">
        <is>
          <t>OUT-S40-ERR-A</t>
        </is>
      </c>
      <c r="B22" s="66" t="inlineStr">
        <is>
          <t>S40</t>
        </is>
      </c>
      <c r="C22" s="67" t="n">
        <v>46296</v>
      </c>
      <c r="D22" s="68" t="inlineStr">
        <is>
          <t>Levantamento de Erros Operacionais</t>
        </is>
      </c>
      <c r="E22" s="53" t="n"/>
      <c r="F22" s="53" t="n"/>
      <c r="G22" s="69" t="inlineStr">
        <is>
          <t>A</t>
        </is>
      </c>
      <c r="H22" s="70">
        <f>IF($G22="A",CONFIG!$B$5,IF($G22="B",CONFIG!$B$6,IF($G22="C",CONFIG!$B$7,IF($G22="Todos","Todos os turnos",""))))</f>
        <v/>
      </c>
      <c r="I22" s="53" t="n"/>
      <c r="J22" s="71" t="inlineStr">
        <is>
          <t>—</t>
        </is>
      </c>
      <c r="K22" s="53" t="n"/>
      <c r="L22" s="72" t="n"/>
      <c r="M22" s="53" t="n"/>
      <c r="N22" s="73" t="n"/>
      <c r="O22" s="74" t="n"/>
      <c r="P22" s="75" t="n"/>
      <c r="Q22" s="53" t="n"/>
      <c r="R22" s="76">
        <f>IF($C22="","",IF($O22="Cancelada","Cancelada",IF($O22="Reprovado","Reprovada",IF($O22="Aprovado","Aprovada",IF($L22&lt;&gt;"","Entregue",IF(TODAY()&gt;$C22,"Atrasada","Pendente"))))))</f>
        <v/>
      </c>
    </row>
    <row r="23">
      <c r="A23" s="65" t="inlineStr">
        <is>
          <t>OUT-S40-ERR-B</t>
        </is>
      </c>
      <c r="B23" s="66" t="inlineStr">
        <is>
          <t>S40</t>
        </is>
      </c>
      <c r="C23" s="67" t="n">
        <v>46296</v>
      </c>
      <c r="D23" s="68" t="inlineStr">
        <is>
          <t>Levantamento de Erros Operacionais</t>
        </is>
      </c>
      <c r="E23" s="53" t="n"/>
      <c r="F23" s="53" t="n"/>
      <c r="G23" s="69" t="inlineStr">
        <is>
          <t>B</t>
        </is>
      </c>
      <c r="H23" s="70">
        <f>IF($G23="A",CONFIG!$B$5,IF($G23="B",CONFIG!$B$6,IF($G23="C",CONFIG!$B$7,IF($G23="Todos","Todos os turnos",""))))</f>
        <v/>
      </c>
      <c r="I23" s="53" t="n"/>
      <c r="J23" s="71" t="inlineStr">
        <is>
          <t>—</t>
        </is>
      </c>
      <c r="K23" s="53" t="n"/>
      <c r="L23" s="72" t="n"/>
      <c r="M23" s="53" t="n"/>
      <c r="N23" s="73" t="n"/>
      <c r="O23" s="74" t="n"/>
      <c r="P23" s="75" t="n"/>
      <c r="Q23" s="53" t="n"/>
      <c r="R23" s="76">
        <f>IF($C23="","",IF($O23="Cancelada","Cancelada",IF($O23="Reprovado","Reprovada",IF($O23="Aprovado","Aprovada",IF($L23&lt;&gt;"","Entregue",IF(TODAY()&gt;$C23,"Atrasada","Pendente"))))))</f>
        <v/>
      </c>
    </row>
    <row r="24">
      <c r="A24" s="65" t="inlineStr">
        <is>
          <t>OUT-S40-ERR-C</t>
        </is>
      </c>
      <c r="B24" s="66" t="inlineStr">
        <is>
          <t>S40</t>
        </is>
      </c>
      <c r="C24" s="67" t="n">
        <v>46296</v>
      </c>
      <c r="D24" s="68" t="inlineStr">
        <is>
          <t>Levantamento de Erros Operacionais</t>
        </is>
      </c>
      <c r="E24" s="53" t="n"/>
      <c r="F24" s="53" t="n"/>
      <c r="G24" s="69" t="inlineStr">
        <is>
          <t>C</t>
        </is>
      </c>
      <c r="H24" s="70">
        <f>IF($G24="A",CONFIG!$B$5,IF($G24="B",CONFIG!$B$6,IF($G24="C",CONFIG!$B$7,IF($G24="Todos","Todos os turnos",""))))</f>
        <v/>
      </c>
      <c r="I24" s="53" t="n"/>
      <c r="J24" s="71" t="inlineStr">
        <is>
          <t>—</t>
        </is>
      </c>
      <c r="K24" s="53" t="n"/>
      <c r="L24" s="72" t="n"/>
      <c r="M24" s="53" t="n"/>
      <c r="N24" s="73" t="n"/>
      <c r="O24" s="74" t="n"/>
      <c r="P24" s="75" t="n"/>
      <c r="Q24" s="53" t="n"/>
      <c r="R24" s="76">
        <f>IF($C24="","",IF($O24="Cancelada","Cancelada",IF($O24="Reprovado","Reprovada",IF($O24="Aprovado","Aprovada",IF($L24&lt;&gt;"","Entregue",IF(TODAY()&gt;$C24,"Atrasada","Pendente"))))))</f>
        <v/>
      </c>
    </row>
    <row r="25">
      <c r="A25" s="65" t="inlineStr">
        <is>
          <t>OUT-S40-MET-A</t>
        </is>
      </c>
      <c r="B25" s="66" t="inlineStr">
        <is>
          <t>S40</t>
        </is>
      </c>
      <c r="C25" s="67" t="n">
        <v>46296</v>
      </c>
      <c r="D25" s="68" t="inlineStr">
        <is>
          <t>Metas</t>
        </is>
      </c>
      <c r="E25" s="53" t="n"/>
      <c r="F25" s="53" t="n"/>
      <c r="G25" s="69" t="inlineStr">
        <is>
          <t>A</t>
        </is>
      </c>
      <c r="H25" s="70">
        <f>IF($G25="A",CONFIG!$B$5,IF($G25="B",CONFIG!$B$6,IF($G25="C",CONFIG!$B$7,IF($G25="Todos","Todos os turnos",""))))</f>
        <v/>
      </c>
      <c r="I25" s="53" t="n"/>
      <c r="J25" s="71" t="inlineStr">
        <is>
          <t>—</t>
        </is>
      </c>
      <c r="K25" s="53" t="n"/>
      <c r="L25" s="72" t="n"/>
      <c r="M25" s="53" t="n"/>
      <c r="N25" s="73" t="n"/>
      <c r="O25" s="74" t="n"/>
      <c r="P25" s="75" t="n"/>
      <c r="Q25" s="53" t="n"/>
      <c r="R25" s="76">
        <f>IF($C25="","",IF($O25="Cancelada","Cancelada",IF($O25="Reprovado","Reprovada",IF($O25="Aprovado","Aprovada",IF($L25&lt;&gt;"","Entregue",IF(TODAY()&gt;$C25,"Atrasada","Pendente"))))))</f>
        <v/>
      </c>
    </row>
    <row r="26">
      <c r="A26" s="65" t="inlineStr">
        <is>
          <t>OUT-S40-MET-B</t>
        </is>
      </c>
      <c r="B26" s="66" t="inlineStr">
        <is>
          <t>S40</t>
        </is>
      </c>
      <c r="C26" s="67" t="n">
        <v>46296</v>
      </c>
      <c r="D26" s="68" t="inlineStr">
        <is>
          <t>Metas</t>
        </is>
      </c>
      <c r="E26" s="53" t="n"/>
      <c r="F26" s="53" t="n"/>
      <c r="G26" s="69" t="inlineStr">
        <is>
          <t>B</t>
        </is>
      </c>
      <c r="H26" s="70">
        <f>IF($G26="A",CONFIG!$B$5,IF($G26="B",CONFIG!$B$6,IF($G26="C",CONFIG!$B$7,IF($G26="Todos","Todos os turnos",""))))</f>
        <v/>
      </c>
      <c r="I26" s="53" t="n"/>
      <c r="J26" s="71" t="inlineStr">
        <is>
          <t>—</t>
        </is>
      </c>
      <c r="K26" s="53" t="n"/>
      <c r="L26" s="72" t="n"/>
      <c r="M26" s="53" t="n"/>
      <c r="N26" s="73" t="n"/>
      <c r="O26" s="74" t="n"/>
      <c r="P26" s="75" t="n"/>
      <c r="Q26" s="53" t="n"/>
      <c r="R26" s="76">
        <f>IF($C26="","",IF($O26="Cancelada","Cancelada",IF($O26="Reprovado","Reprovada",IF($O26="Aprovado","Aprovada",IF($L26&lt;&gt;"","Entregue",IF(TODAY()&gt;$C26,"Atrasada","Pendente"))))))</f>
        <v/>
      </c>
    </row>
    <row r="27">
      <c r="A27" s="65" t="inlineStr">
        <is>
          <t>OUT-S40-MET-C</t>
        </is>
      </c>
      <c r="B27" s="66" t="inlineStr">
        <is>
          <t>S40</t>
        </is>
      </c>
      <c r="C27" s="67" t="n">
        <v>46296</v>
      </c>
      <c r="D27" s="68" t="inlineStr">
        <is>
          <t>Metas</t>
        </is>
      </c>
      <c r="E27" s="53" t="n"/>
      <c r="F27" s="53" t="n"/>
      <c r="G27" s="69" t="inlineStr">
        <is>
          <t>C</t>
        </is>
      </c>
      <c r="H27" s="70">
        <f>IF($G27="A",CONFIG!$B$5,IF($G27="B",CONFIG!$B$6,IF($G27="C",CONFIG!$B$7,IF($G27="Todos","Todos os turnos",""))))</f>
        <v/>
      </c>
      <c r="I27" s="53" t="n"/>
      <c r="J27" s="71" t="inlineStr">
        <is>
          <t>—</t>
        </is>
      </c>
      <c r="K27" s="53" t="n"/>
      <c r="L27" s="72" t="n"/>
      <c r="M27" s="53" t="n"/>
      <c r="N27" s="73" t="n"/>
      <c r="O27" s="74" t="n"/>
      <c r="P27" s="75" t="n"/>
      <c r="Q27" s="53" t="n"/>
      <c r="R27" s="76">
        <f>IF($C27="","",IF($O27="Cancelada","Cancelada",IF($O27="Reprovado","Reprovada",IF($O27="Aprovado","Aprovada",IF($L27&lt;&gt;"","Entregue",IF(TODAY()&gt;$C27,"Atrasada","Pendente"))))))</f>
        <v/>
      </c>
    </row>
    <row r="28">
      <c r="A28" s="65" t="inlineStr">
        <is>
          <t>OUT-S40-SUP-A</t>
        </is>
      </c>
      <c r="B28" s="66" t="inlineStr">
        <is>
          <t>S40</t>
        </is>
      </c>
      <c r="C28" s="67" t="n">
        <v>46296</v>
      </c>
      <c r="D28" s="68" t="inlineStr">
        <is>
          <t>Suporte de Supervisores</t>
        </is>
      </c>
      <c r="E28" s="53" t="n"/>
      <c r="F28" s="53" t="n"/>
      <c r="G28" s="69" t="inlineStr">
        <is>
          <t>A</t>
        </is>
      </c>
      <c r="H28" s="70">
        <f>IF($G28="A",CONFIG!$B$5,IF($G28="B",CONFIG!$B$6,IF($G28="C",CONFIG!$B$7,IF($G28="Todos","Todos os turnos",""))))</f>
        <v/>
      </c>
      <c r="I28" s="53" t="n"/>
      <c r="J28" s="71" t="inlineStr">
        <is>
          <t>—</t>
        </is>
      </c>
      <c r="K28" s="53" t="n"/>
      <c r="L28" s="72" t="n"/>
      <c r="M28" s="53" t="n"/>
      <c r="N28" s="73" t="n"/>
      <c r="O28" s="74" t="n"/>
      <c r="P28" s="75" t="n"/>
      <c r="Q28" s="53" t="n"/>
      <c r="R28" s="76">
        <f>IF($C28="","",IF($O28="Cancelada","Cancelada",IF($O28="Reprovado","Reprovada",IF($O28="Aprovado","Aprovada",IF($L28&lt;&gt;"","Entregue",IF(TODAY()&gt;$C28,"Atrasada","Pendente"))))))</f>
        <v/>
      </c>
    </row>
    <row r="29">
      <c r="A29" s="65" t="inlineStr">
        <is>
          <t>OUT-S40-SUP-B</t>
        </is>
      </c>
      <c r="B29" s="66" t="inlineStr">
        <is>
          <t>S40</t>
        </is>
      </c>
      <c r="C29" s="67" t="n">
        <v>46296</v>
      </c>
      <c r="D29" s="68" t="inlineStr">
        <is>
          <t>Suporte de Supervisores</t>
        </is>
      </c>
      <c r="E29" s="53" t="n"/>
      <c r="F29" s="53" t="n"/>
      <c r="G29" s="69" t="inlineStr">
        <is>
          <t>B</t>
        </is>
      </c>
      <c r="H29" s="70">
        <f>IF($G29="A",CONFIG!$B$5,IF($G29="B",CONFIG!$B$6,IF($G29="C",CONFIG!$B$7,IF($G29="Todos","Todos os turnos",""))))</f>
        <v/>
      </c>
      <c r="I29" s="53" t="n"/>
      <c r="J29" s="71" t="inlineStr">
        <is>
          <t>—</t>
        </is>
      </c>
      <c r="K29" s="53" t="n"/>
      <c r="L29" s="72" t="n"/>
      <c r="M29" s="53" t="n"/>
      <c r="N29" s="73" t="n"/>
      <c r="O29" s="74" t="n"/>
      <c r="P29" s="75" t="n"/>
      <c r="Q29" s="53" t="n"/>
      <c r="R29" s="76">
        <f>IF($C29="","",IF($O29="Cancelada","Cancelada",IF($O29="Reprovado","Reprovada",IF($O29="Aprovado","Aprovada",IF($L29&lt;&gt;"","Entregue",IF(TODAY()&gt;$C29,"Atrasada","Pendente"))))))</f>
        <v/>
      </c>
    </row>
    <row r="30">
      <c r="A30" s="65" t="inlineStr">
        <is>
          <t>OUT-S40-SUP-C</t>
        </is>
      </c>
      <c r="B30" s="66" t="inlineStr">
        <is>
          <t>S40</t>
        </is>
      </c>
      <c r="C30" s="67" t="n">
        <v>46296</v>
      </c>
      <c r="D30" s="68" t="inlineStr">
        <is>
          <t>Suporte de Supervisores</t>
        </is>
      </c>
      <c r="E30" s="53" t="n"/>
      <c r="F30" s="53" t="n"/>
      <c r="G30" s="69" t="inlineStr">
        <is>
          <t>C</t>
        </is>
      </c>
      <c r="H30" s="70">
        <f>IF($G30="A",CONFIG!$B$5,IF($G30="B",CONFIG!$B$6,IF($G30="C",CONFIG!$B$7,IF($G30="Todos","Todos os turnos",""))))</f>
        <v/>
      </c>
      <c r="I30" s="53" t="n"/>
      <c r="J30" s="71" t="inlineStr">
        <is>
          <t>—</t>
        </is>
      </c>
      <c r="K30" s="53" t="n"/>
      <c r="L30" s="72" t="n"/>
      <c r="M30" s="53" t="n"/>
      <c r="N30" s="73" t="n"/>
      <c r="O30" s="74" t="n"/>
      <c r="P30" s="75" t="n"/>
      <c r="Q30" s="53" t="n"/>
      <c r="R30" s="76">
        <f>IF($C30="","",IF($O30="Cancelada","Cancelada",IF($O30="Reprovado","Reprovada",IF($O30="Aprovado","Aprovada",IF($L30&lt;&gt;"","Entregue",IF(TODAY()&gt;$C30,"Atrasada","Pendente"))))))</f>
        <v/>
      </c>
    </row>
    <row r="31">
      <c r="A31" s="65" t="inlineStr">
        <is>
          <t>OUT-S40-VIS-A</t>
        </is>
      </c>
      <c r="B31" s="66" t="inlineStr">
        <is>
          <t>S40</t>
        </is>
      </c>
      <c r="C31" s="67" t="n">
        <v>46296</v>
      </c>
      <c r="D31" s="68" t="inlineStr">
        <is>
          <t>Acomp. Organizacional Setorial (Vistoria)</t>
        </is>
      </c>
      <c r="E31" s="53" t="n"/>
      <c r="F31" s="53" t="n"/>
      <c r="G31" s="69" t="inlineStr">
        <is>
          <t>A</t>
        </is>
      </c>
      <c r="H31" s="70">
        <f>IF($G31="A",CONFIG!$B$5,IF($G31="B",CONFIG!$B$6,IF($G31="C",CONFIG!$B$7,IF($G31="Todos","Todos os turnos",""))))</f>
        <v/>
      </c>
      <c r="I31" s="53" t="n"/>
      <c r="J31" s="77" t="n"/>
      <c r="K31" s="53" t="n"/>
      <c r="L31" s="72" t="n"/>
      <c r="M31" s="53" t="n"/>
      <c r="N31" s="73" t="n"/>
      <c r="O31" s="74" t="n"/>
      <c r="P31" s="75" t="n"/>
      <c r="Q31" s="53" t="n"/>
      <c r="R31" s="76">
        <f>IF($C31="","",IF($O31="Cancelada","Cancelada",IF($O31="Reprovado","Reprovada",IF($O31="Aprovado","Aprovada",IF($L31&lt;&gt;"","Entregue",IF(TODAY()&gt;$C31,"Atrasada","Pendente"))))))</f>
        <v/>
      </c>
    </row>
    <row r="32">
      <c r="A32" s="65" t="inlineStr">
        <is>
          <t>OUT-S40-VIS-B</t>
        </is>
      </c>
      <c r="B32" s="66" t="inlineStr">
        <is>
          <t>S40</t>
        </is>
      </c>
      <c r="C32" s="67" t="n">
        <v>46296</v>
      </c>
      <c r="D32" s="68" t="inlineStr">
        <is>
          <t>Acomp. Organizacional Setorial (Vistoria)</t>
        </is>
      </c>
      <c r="E32" s="53" t="n"/>
      <c r="F32" s="53" t="n"/>
      <c r="G32" s="69" t="inlineStr">
        <is>
          <t>B</t>
        </is>
      </c>
      <c r="H32" s="70">
        <f>IF($G32="A",CONFIG!$B$5,IF($G32="B",CONFIG!$B$6,IF($G32="C",CONFIG!$B$7,IF($G32="Todos","Todos os turnos",""))))</f>
        <v/>
      </c>
      <c r="I32" s="53" t="n"/>
      <c r="J32" s="77" t="n"/>
      <c r="K32" s="53" t="n"/>
      <c r="L32" s="72" t="n"/>
      <c r="M32" s="53" t="n"/>
      <c r="N32" s="73" t="n"/>
      <c r="O32" s="74" t="n"/>
      <c r="P32" s="75" t="n"/>
      <c r="Q32" s="53" t="n"/>
      <c r="R32" s="76">
        <f>IF($C32="","",IF($O32="Cancelada","Cancelada",IF($O32="Reprovado","Reprovada",IF($O32="Aprovado","Aprovada",IF($L32&lt;&gt;"","Entregue",IF(TODAY()&gt;$C32,"Atrasada","Pendente"))))))</f>
        <v/>
      </c>
    </row>
    <row r="33">
      <c r="A33" s="65" t="inlineStr">
        <is>
          <t>OUT-S40-VIS-C</t>
        </is>
      </c>
      <c r="B33" s="66" t="inlineStr">
        <is>
          <t>S40</t>
        </is>
      </c>
      <c r="C33" s="67" t="n">
        <v>46296</v>
      </c>
      <c r="D33" s="68" t="inlineStr">
        <is>
          <t>Acomp. Organizacional Setorial (Vistoria)</t>
        </is>
      </c>
      <c r="E33" s="53" t="n"/>
      <c r="F33" s="53" t="n"/>
      <c r="G33" s="69" t="inlineStr">
        <is>
          <t>C</t>
        </is>
      </c>
      <c r="H33" s="70">
        <f>IF($G33="A",CONFIG!$B$5,IF($G33="B",CONFIG!$B$6,IF($G33="C",CONFIG!$B$7,IF($G33="Todos","Todos os turnos",""))))</f>
        <v/>
      </c>
      <c r="I33" s="53" t="n"/>
      <c r="J33" s="77" t="n"/>
      <c r="K33" s="53" t="n"/>
      <c r="L33" s="72" t="n"/>
      <c r="M33" s="53" t="n"/>
      <c r="N33" s="73" t="n"/>
      <c r="O33" s="74" t="n"/>
      <c r="P33" s="75" t="n"/>
      <c r="Q33" s="53" t="n"/>
      <c r="R33" s="76">
        <f>IF($C33="","",IF($O33="Cancelada","Cancelada",IF($O33="Reprovado","Reprovada",IF($O33="Aprovado","Aprovada",IF($L33&lt;&gt;"","Entregue",IF(TODAY()&gt;$C33,"Atrasada","Pendente"))))))</f>
        <v/>
      </c>
    </row>
    <row r="34">
      <c r="A34" s="65" t="inlineStr">
        <is>
          <t>OUT-S40-ACO-A</t>
        </is>
      </c>
      <c r="B34" s="66" t="inlineStr">
        <is>
          <t>S40</t>
        </is>
      </c>
      <c r="C34" s="67" t="n">
        <v>46297</v>
      </c>
      <c r="D34" s="68" t="inlineStr">
        <is>
          <t>Acompanhamento Semanal c/ Supervisores</t>
        </is>
      </c>
      <c r="E34" s="53" t="n"/>
      <c r="F34" s="53" t="n"/>
      <c r="G34" s="69" t="inlineStr">
        <is>
          <t>A</t>
        </is>
      </c>
      <c r="H34" s="70">
        <f>IF($G34="A",CONFIG!$B$5,IF($G34="B",CONFIG!$B$6,IF($G34="C",CONFIG!$B$7,IF($G34="Todos","Todos os turnos",""))))</f>
        <v/>
      </c>
      <c r="I34" s="53" t="n"/>
      <c r="J34" s="71" t="inlineStr">
        <is>
          <t>—</t>
        </is>
      </c>
      <c r="K34" s="53" t="n"/>
      <c r="L34" s="72" t="n"/>
      <c r="M34" s="53" t="n"/>
      <c r="N34" s="73" t="n"/>
      <c r="O34" s="74" t="n"/>
      <c r="P34" s="75" t="n"/>
      <c r="Q34" s="53" t="n"/>
      <c r="R34" s="76">
        <f>IF($C34="","",IF($O34="Cancelada","Cancelada",IF($O34="Reprovado","Reprovada",IF($O34="Aprovado","Aprovada",IF($L34&lt;&gt;"","Entregue",IF(TODAY()&gt;$C34,"Atrasada","Pendente"))))))</f>
        <v/>
      </c>
    </row>
    <row r="35">
      <c r="A35" s="65" t="inlineStr">
        <is>
          <t>OUT-S40-ACO-B</t>
        </is>
      </c>
      <c r="B35" s="66" t="inlineStr">
        <is>
          <t>S40</t>
        </is>
      </c>
      <c r="C35" s="67" t="n">
        <v>46297</v>
      </c>
      <c r="D35" s="68" t="inlineStr">
        <is>
          <t>Acompanhamento Semanal c/ Supervisores</t>
        </is>
      </c>
      <c r="E35" s="53" t="n"/>
      <c r="F35" s="53" t="n"/>
      <c r="G35" s="69" t="inlineStr">
        <is>
          <t>B</t>
        </is>
      </c>
      <c r="H35" s="70">
        <f>IF($G35="A",CONFIG!$B$5,IF($G35="B",CONFIG!$B$6,IF($G35="C",CONFIG!$B$7,IF($G35="Todos","Todos os turnos",""))))</f>
        <v/>
      </c>
      <c r="I35" s="53" t="n"/>
      <c r="J35" s="71" t="inlineStr">
        <is>
          <t>—</t>
        </is>
      </c>
      <c r="K35" s="53" t="n"/>
      <c r="L35" s="72" t="n"/>
      <c r="M35" s="53" t="n"/>
      <c r="N35" s="73" t="n"/>
      <c r="O35" s="74" t="n"/>
      <c r="P35" s="75" t="n"/>
      <c r="Q35" s="53" t="n"/>
      <c r="R35" s="76">
        <f>IF($C35="","",IF($O35="Cancelada","Cancelada",IF($O35="Reprovado","Reprovada",IF($O35="Aprovado","Aprovada",IF($L35&lt;&gt;"","Entregue",IF(TODAY()&gt;$C35,"Atrasada","Pendente"))))))</f>
        <v/>
      </c>
    </row>
    <row r="36">
      <c r="A36" s="65" t="inlineStr">
        <is>
          <t>OUT-S40-ACO-C</t>
        </is>
      </c>
      <c r="B36" s="66" t="inlineStr">
        <is>
          <t>S40</t>
        </is>
      </c>
      <c r="C36" s="67" t="n">
        <v>46297</v>
      </c>
      <c r="D36" s="68" t="inlineStr">
        <is>
          <t>Acompanhamento Semanal c/ Supervisores</t>
        </is>
      </c>
      <c r="E36" s="53" t="n"/>
      <c r="F36" s="53" t="n"/>
      <c r="G36" s="69" t="inlineStr">
        <is>
          <t>C</t>
        </is>
      </c>
      <c r="H36" s="70">
        <f>IF($G36="A",CONFIG!$B$5,IF($G36="B",CONFIG!$B$6,IF($G36="C",CONFIG!$B$7,IF($G36="Todos","Todos os turnos",""))))</f>
        <v/>
      </c>
      <c r="I36" s="53" t="n"/>
      <c r="J36" s="71" t="inlineStr">
        <is>
          <t>—</t>
        </is>
      </c>
      <c r="K36" s="53" t="n"/>
      <c r="L36" s="72" t="n"/>
      <c r="M36" s="53" t="n"/>
      <c r="N36" s="73" t="n"/>
      <c r="O36" s="74" t="n"/>
      <c r="P36" s="75" t="n"/>
      <c r="Q36" s="53" t="n"/>
      <c r="R36" s="76">
        <f>IF($C36="","",IF($O36="Cancelada","Cancelada",IF($O36="Reprovado","Reprovada",IF($O36="Aprovado","Aprovada",IF($L36&lt;&gt;"","Entregue",IF(TODAY()&gt;$C36,"Atrasada","Pendente"))))))</f>
        <v/>
      </c>
    </row>
    <row r="37">
      <c r="A37" s="65" t="inlineStr">
        <is>
          <t>OUT-S40-FAL-A</t>
        </is>
      </c>
      <c r="B37" s="66" t="inlineStr">
        <is>
          <t>S40</t>
        </is>
      </c>
      <c r="C37" s="67" t="n">
        <v>46297</v>
      </c>
      <c r="D37" s="68" t="inlineStr">
        <is>
          <t>Faltas e Atestados</t>
        </is>
      </c>
      <c r="E37" s="53" t="n"/>
      <c r="F37" s="53" t="n"/>
      <c r="G37" s="69" t="inlineStr">
        <is>
          <t>A</t>
        </is>
      </c>
      <c r="H37" s="70">
        <f>IF($G37="A",CONFIG!$B$5,IF($G37="B",CONFIG!$B$6,IF($G37="C",CONFIG!$B$7,IF($G37="Todos","Todos os turnos",""))))</f>
        <v/>
      </c>
      <c r="I37" s="53" t="n"/>
      <c r="J37" s="71" t="inlineStr">
        <is>
          <t>—</t>
        </is>
      </c>
      <c r="K37" s="53" t="n"/>
      <c r="L37" s="72" t="n"/>
      <c r="M37" s="53" t="n"/>
      <c r="N37" s="73" t="n"/>
      <c r="O37" s="74" t="n"/>
      <c r="P37" s="75" t="n"/>
      <c r="Q37" s="53" t="n"/>
      <c r="R37" s="76">
        <f>IF($C37="","",IF($O37="Cancelada","Cancelada",IF($O37="Reprovado","Reprovada",IF($O37="Aprovado","Aprovada",IF($L37&lt;&gt;"","Entregue",IF(TODAY()&gt;$C37,"Atrasada","Pendente"))))))</f>
        <v/>
      </c>
    </row>
    <row r="38">
      <c r="A38" s="65" t="inlineStr">
        <is>
          <t>OUT-S40-FAL-B</t>
        </is>
      </c>
      <c r="B38" s="66" t="inlineStr">
        <is>
          <t>S40</t>
        </is>
      </c>
      <c r="C38" s="67" t="n">
        <v>46297</v>
      </c>
      <c r="D38" s="68" t="inlineStr">
        <is>
          <t>Faltas e Atestados</t>
        </is>
      </c>
      <c r="E38" s="53" t="n"/>
      <c r="F38" s="53" t="n"/>
      <c r="G38" s="69" t="inlineStr">
        <is>
          <t>B</t>
        </is>
      </c>
      <c r="H38" s="70">
        <f>IF($G38="A",CONFIG!$B$5,IF($G38="B",CONFIG!$B$6,IF($G38="C",CONFIG!$B$7,IF($G38="Todos","Todos os turnos",""))))</f>
        <v/>
      </c>
      <c r="I38" s="53" t="n"/>
      <c r="J38" s="71" t="inlineStr">
        <is>
          <t>—</t>
        </is>
      </c>
      <c r="K38" s="53" t="n"/>
      <c r="L38" s="72" t="n"/>
      <c r="M38" s="53" t="n"/>
      <c r="N38" s="73" t="n"/>
      <c r="O38" s="74" t="n"/>
      <c r="P38" s="75" t="n"/>
      <c r="Q38" s="53" t="n"/>
      <c r="R38" s="76">
        <f>IF($C38="","",IF($O38="Cancelada","Cancelada",IF($O38="Reprovado","Reprovada",IF($O38="Aprovado","Aprovada",IF($L38&lt;&gt;"","Entregue",IF(TODAY()&gt;$C38,"Atrasada","Pendente"))))))</f>
        <v/>
      </c>
    </row>
    <row r="39">
      <c r="A39" s="65" t="inlineStr">
        <is>
          <t>OUT-S40-FAL-C</t>
        </is>
      </c>
      <c r="B39" s="66" t="inlineStr">
        <is>
          <t>S40</t>
        </is>
      </c>
      <c r="C39" s="67" t="n">
        <v>46297</v>
      </c>
      <c r="D39" s="68" t="inlineStr">
        <is>
          <t>Faltas e Atestados</t>
        </is>
      </c>
      <c r="E39" s="53" t="n"/>
      <c r="F39" s="53" t="n"/>
      <c r="G39" s="69" t="inlineStr">
        <is>
          <t>C</t>
        </is>
      </c>
      <c r="H39" s="70">
        <f>IF($G39="A",CONFIG!$B$5,IF($G39="B",CONFIG!$B$6,IF($G39="C",CONFIG!$B$7,IF($G39="Todos","Todos os turnos",""))))</f>
        <v/>
      </c>
      <c r="I39" s="53" t="n"/>
      <c r="J39" s="71" t="inlineStr">
        <is>
          <t>—</t>
        </is>
      </c>
      <c r="K39" s="53" t="n"/>
      <c r="L39" s="72" t="n"/>
      <c r="M39" s="53" t="n"/>
      <c r="N39" s="73" t="n"/>
      <c r="O39" s="74" t="n"/>
      <c r="P39" s="75" t="n"/>
      <c r="Q39" s="53" t="n"/>
      <c r="R39" s="76">
        <f>IF($C39="","",IF($O39="Cancelada","Cancelada",IF($O39="Reprovado","Reprovada",IF($O39="Aprovado","Aprovada",IF($L39&lt;&gt;"","Entregue",IF(TODAY()&gt;$C39,"Atrasada","Pendente"))))))</f>
        <v/>
      </c>
    </row>
    <row r="40">
      <c r="A40" s="65" t="inlineStr">
        <is>
          <t>OUT-S40-REU-T</t>
        </is>
      </c>
      <c r="B40" s="66" t="inlineStr">
        <is>
          <t>S40</t>
        </is>
      </c>
      <c r="C40" s="67" t="n">
        <v>46297</v>
      </c>
      <c r="D40" s="68" t="inlineStr">
        <is>
          <t>Reunião Semanal com a Gerência</t>
        </is>
      </c>
      <c r="E40" s="53" t="n"/>
      <c r="F40" s="53" t="n"/>
      <c r="G40" s="69" t="inlineStr">
        <is>
          <t>Todos</t>
        </is>
      </c>
      <c r="H40" s="70">
        <f>IF($G40="A",CONFIG!$B$5,IF($G40="B",CONFIG!$B$6,IF($G40="C",CONFIG!$B$7,IF($G40="Todos","Todos os turnos",""))))</f>
        <v/>
      </c>
      <c r="I40" s="53" t="n"/>
      <c r="J40" s="71" t="inlineStr">
        <is>
          <t>—</t>
        </is>
      </c>
      <c r="K40" s="53" t="n"/>
      <c r="L40" s="72" t="n"/>
      <c r="M40" s="53" t="n"/>
      <c r="N40" s="73" t="n"/>
      <c r="O40" s="74" t="n"/>
      <c r="P40" s="75" t="n"/>
      <c r="Q40" s="53" t="n"/>
      <c r="R40" s="76">
        <f>IF($C40="","",IF($O40="Cancelada","Cancelada",IF($O40="Reprovado","Reprovada",IF($O40="Aprovado","Aprovada",IF($L40&lt;&gt;"","Entregue",IF(TODAY()&gt;$C40,"Atrasada","Pendente"))))))</f>
        <v/>
      </c>
    </row>
    <row r="41">
      <c r="A41" s="65" t="inlineStr">
        <is>
          <t>OUT-S41-FER-A</t>
        </is>
      </c>
      <c r="B41" s="66" t="inlineStr">
        <is>
          <t>S41</t>
        </is>
      </c>
      <c r="C41" s="67" t="n">
        <v>46300</v>
      </c>
      <c r="D41" s="68" t="inlineStr">
        <is>
          <t>Programação de Férias (mensal)</t>
        </is>
      </c>
      <c r="E41" s="53" t="n"/>
      <c r="F41" s="53" t="n"/>
      <c r="G41" s="69" t="inlineStr">
        <is>
          <t>A</t>
        </is>
      </c>
      <c r="H41" s="70">
        <f>IF($G41="A",CONFIG!$B$5,IF($G41="B",CONFIG!$B$6,IF($G41="C",CONFIG!$B$7,IF($G41="Todos","Todos os turnos",""))))</f>
        <v/>
      </c>
      <c r="I41" s="53" t="n"/>
      <c r="J41" s="71" t="inlineStr">
        <is>
          <t>—</t>
        </is>
      </c>
      <c r="K41" s="53" t="n"/>
      <c r="L41" s="72" t="n"/>
      <c r="M41" s="53" t="n"/>
      <c r="N41" s="73" t="n"/>
      <c r="O41" s="74" t="n"/>
      <c r="P41" s="75" t="n"/>
      <c r="Q41" s="53" t="n"/>
      <c r="R41" s="76">
        <f>IF($C41="","",IF($O41="Cancelada","Cancelada",IF($O41="Reprovado","Reprovada",IF($O41="Aprovado","Aprovada",IF($L41&lt;&gt;"","Entregue",IF(TODAY()&gt;$C41,"Atrasada","Pendente"))))))</f>
        <v/>
      </c>
    </row>
    <row r="42">
      <c r="A42" s="65" t="inlineStr">
        <is>
          <t>OUT-S41-FER-B</t>
        </is>
      </c>
      <c r="B42" s="66" t="inlineStr">
        <is>
          <t>S41</t>
        </is>
      </c>
      <c r="C42" s="67" t="n">
        <v>46300</v>
      </c>
      <c r="D42" s="68" t="inlineStr">
        <is>
          <t>Programação de Férias (mensal)</t>
        </is>
      </c>
      <c r="E42" s="53" t="n"/>
      <c r="F42" s="53" t="n"/>
      <c r="G42" s="69" t="inlineStr">
        <is>
          <t>B</t>
        </is>
      </c>
      <c r="H42" s="70">
        <f>IF($G42="A",CONFIG!$B$5,IF($G42="B",CONFIG!$B$6,IF($G42="C",CONFIG!$B$7,IF($G42="Todos","Todos os turnos",""))))</f>
        <v/>
      </c>
      <c r="I42" s="53" t="n"/>
      <c r="J42" s="71" t="inlineStr">
        <is>
          <t>—</t>
        </is>
      </c>
      <c r="K42" s="53" t="n"/>
      <c r="L42" s="72" t="n"/>
      <c r="M42" s="53" t="n"/>
      <c r="N42" s="73" t="n"/>
      <c r="O42" s="74" t="n"/>
      <c r="P42" s="75" t="n"/>
      <c r="Q42" s="53" t="n"/>
      <c r="R42" s="76">
        <f>IF($C42="","",IF($O42="Cancelada","Cancelada",IF($O42="Reprovado","Reprovada",IF($O42="Aprovado","Aprovada",IF($L42&lt;&gt;"","Entregue",IF(TODAY()&gt;$C42,"Atrasada","Pendente"))))))</f>
        <v/>
      </c>
    </row>
    <row r="43">
      <c r="A43" s="65" t="inlineStr">
        <is>
          <t>OUT-S41-FER-C</t>
        </is>
      </c>
      <c r="B43" s="66" t="inlineStr">
        <is>
          <t>S41</t>
        </is>
      </c>
      <c r="C43" s="67" t="n">
        <v>46300</v>
      </c>
      <c r="D43" s="68" t="inlineStr">
        <is>
          <t>Programação de Férias (mensal)</t>
        </is>
      </c>
      <c r="E43" s="53" t="n"/>
      <c r="F43" s="53" t="n"/>
      <c r="G43" s="69" t="inlineStr">
        <is>
          <t>C</t>
        </is>
      </c>
      <c r="H43" s="70">
        <f>IF($G43="A",CONFIG!$B$5,IF($G43="B",CONFIG!$B$6,IF($G43="C",CONFIG!$B$7,IF($G43="Todos","Todos os turnos",""))))</f>
        <v/>
      </c>
      <c r="I43" s="53" t="n"/>
      <c r="J43" s="71" t="inlineStr">
        <is>
          <t>—</t>
        </is>
      </c>
      <c r="K43" s="53" t="n"/>
      <c r="L43" s="72" t="n"/>
      <c r="M43" s="53" t="n"/>
      <c r="N43" s="73" t="n"/>
      <c r="O43" s="74" t="n"/>
      <c r="P43" s="75" t="n"/>
      <c r="Q43" s="53" t="n"/>
      <c r="R43" s="76">
        <f>IF($C43="","",IF($O43="Cancelada","Cancelada",IF($O43="Reprovado","Reprovada",IF($O43="Aprovado","Aprovada",IF($L43&lt;&gt;"","Entregue",IF(TODAY()&gt;$C43,"Atrasada","Pendente"))))))</f>
        <v/>
      </c>
    </row>
    <row r="44">
      <c r="A44" s="65" t="inlineStr">
        <is>
          <t>OUT-S41-ERR-A</t>
        </is>
      </c>
      <c r="B44" s="66" t="inlineStr">
        <is>
          <t>S41</t>
        </is>
      </c>
      <c r="C44" s="67" t="n">
        <v>46300</v>
      </c>
      <c r="D44" s="68" t="inlineStr">
        <is>
          <t>Levantamento de Erros Operacionais</t>
        </is>
      </c>
      <c r="E44" s="53" t="n"/>
      <c r="F44" s="53" t="n"/>
      <c r="G44" s="69" t="inlineStr">
        <is>
          <t>A</t>
        </is>
      </c>
      <c r="H44" s="70">
        <f>IF($G44="A",CONFIG!$B$5,IF($G44="B",CONFIG!$B$6,IF($G44="C",CONFIG!$B$7,IF($G44="Todos","Todos os turnos",""))))</f>
        <v/>
      </c>
      <c r="I44" s="53" t="n"/>
      <c r="J44" s="71" t="inlineStr">
        <is>
          <t>—</t>
        </is>
      </c>
      <c r="K44" s="53" t="n"/>
      <c r="L44" s="72" t="n"/>
      <c r="M44" s="53" t="n"/>
      <c r="N44" s="73" t="n"/>
      <c r="O44" s="74" t="n"/>
      <c r="P44" s="75" t="n"/>
      <c r="Q44" s="53" t="n"/>
      <c r="R44" s="76">
        <f>IF($C44="","",IF($O44="Cancelada","Cancelada",IF($O44="Reprovado","Reprovada",IF($O44="Aprovado","Aprovada",IF($L44&lt;&gt;"","Entregue",IF(TODAY()&gt;$C44,"Atrasada","Pendente"))))))</f>
        <v/>
      </c>
    </row>
    <row r="45">
      <c r="A45" s="65" t="inlineStr">
        <is>
          <t>OUT-S41-ERR-B</t>
        </is>
      </c>
      <c r="B45" s="66" t="inlineStr">
        <is>
          <t>S41</t>
        </is>
      </c>
      <c r="C45" s="67" t="n">
        <v>46300</v>
      </c>
      <c r="D45" s="68" t="inlineStr">
        <is>
          <t>Levantamento de Erros Operacionais</t>
        </is>
      </c>
      <c r="E45" s="53" t="n"/>
      <c r="F45" s="53" t="n"/>
      <c r="G45" s="69" t="inlineStr">
        <is>
          <t>B</t>
        </is>
      </c>
      <c r="H45" s="70">
        <f>IF($G45="A",CONFIG!$B$5,IF($G45="B",CONFIG!$B$6,IF($G45="C",CONFIG!$B$7,IF($G45="Todos","Todos os turnos",""))))</f>
        <v/>
      </c>
      <c r="I45" s="53" t="n"/>
      <c r="J45" s="71" t="inlineStr">
        <is>
          <t>—</t>
        </is>
      </c>
      <c r="K45" s="53" t="n"/>
      <c r="L45" s="72" t="n"/>
      <c r="M45" s="53" t="n"/>
      <c r="N45" s="73" t="n"/>
      <c r="O45" s="74" t="n"/>
      <c r="P45" s="75" t="n"/>
      <c r="Q45" s="53" t="n"/>
      <c r="R45" s="76">
        <f>IF($C45="","",IF($O45="Cancelada","Cancelada",IF($O45="Reprovado","Reprovada",IF($O45="Aprovado","Aprovada",IF($L45&lt;&gt;"","Entregue",IF(TODAY()&gt;$C45,"Atrasada","Pendente"))))))</f>
        <v/>
      </c>
    </row>
    <row r="46">
      <c r="A46" s="65" t="inlineStr">
        <is>
          <t>OUT-S41-ERR-C</t>
        </is>
      </c>
      <c r="B46" s="66" t="inlineStr">
        <is>
          <t>S41</t>
        </is>
      </c>
      <c r="C46" s="67" t="n">
        <v>46300</v>
      </c>
      <c r="D46" s="68" t="inlineStr">
        <is>
          <t>Levantamento de Erros Operacionais</t>
        </is>
      </c>
      <c r="E46" s="53" t="n"/>
      <c r="F46" s="53" t="n"/>
      <c r="G46" s="69" t="inlineStr">
        <is>
          <t>C</t>
        </is>
      </c>
      <c r="H46" s="70">
        <f>IF($G46="A",CONFIG!$B$5,IF($G46="B",CONFIG!$B$6,IF($G46="C",CONFIG!$B$7,IF($G46="Todos","Todos os turnos",""))))</f>
        <v/>
      </c>
      <c r="I46" s="53" t="n"/>
      <c r="J46" s="71" t="inlineStr">
        <is>
          <t>—</t>
        </is>
      </c>
      <c r="K46" s="53" t="n"/>
      <c r="L46" s="72" t="n"/>
      <c r="M46" s="53" t="n"/>
      <c r="N46" s="73" t="n"/>
      <c r="O46" s="74" t="n"/>
      <c r="P46" s="75" t="n"/>
      <c r="Q46" s="53" t="n"/>
      <c r="R46" s="76">
        <f>IF($C46="","",IF($O46="Cancelada","Cancelada",IF($O46="Reprovado","Reprovada",IF($O46="Aprovado","Aprovada",IF($L46&lt;&gt;"","Entregue",IF(TODAY()&gt;$C46,"Atrasada","Pendente"))))))</f>
        <v/>
      </c>
    </row>
    <row r="47">
      <c r="A47" s="65" t="inlineStr">
        <is>
          <t>OUT-S41-SUP-A</t>
        </is>
      </c>
      <c r="B47" s="66" t="inlineStr">
        <is>
          <t>S41</t>
        </is>
      </c>
      <c r="C47" s="67" t="n">
        <v>46301</v>
      </c>
      <c r="D47" s="68" t="inlineStr">
        <is>
          <t>Suporte de Supervisores</t>
        </is>
      </c>
      <c r="E47" s="53" t="n"/>
      <c r="F47" s="53" t="n"/>
      <c r="G47" s="69" t="inlineStr">
        <is>
          <t>A</t>
        </is>
      </c>
      <c r="H47" s="70">
        <f>IF($G47="A",CONFIG!$B$5,IF($G47="B",CONFIG!$B$6,IF($G47="C",CONFIG!$B$7,IF($G47="Todos","Todos os turnos",""))))</f>
        <v/>
      </c>
      <c r="I47" s="53" t="n"/>
      <c r="J47" s="71" t="inlineStr">
        <is>
          <t>—</t>
        </is>
      </c>
      <c r="K47" s="53" t="n"/>
      <c r="L47" s="72" t="n"/>
      <c r="M47" s="53" t="n"/>
      <c r="N47" s="73" t="n"/>
      <c r="O47" s="74" t="n"/>
      <c r="P47" s="75" t="n"/>
      <c r="Q47" s="53" t="n"/>
      <c r="R47" s="76">
        <f>IF($C47="","",IF($O47="Cancelada","Cancelada",IF($O47="Reprovado","Reprovada",IF($O47="Aprovado","Aprovada",IF($L47&lt;&gt;"","Entregue",IF(TODAY()&gt;$C47,"Atrasada","Pendente"))))))</f>
        <v/>
      </c>
    </row>
    <row r="48">
      <c r="A48" s="65" t="inlineStr">
        <is>
          <t>OUT-S41-SUP-B</t>
        </is>
      </c>
      <c r="B48" s="66" t="inlineStr">
        <is>
          <t>S41</t>
        </is>
      </c>
      <c r="C48" s="67" t="n">
        <v>46301</v>
      </c>
      <c r="D48" s="68" t="inlineStr">
        <is>
          <t>Suporte de Supervisores</t>
        </is>
      </c>
      <c r="E48" s="53" t="n"/>
      <c r="F48" s="53" t="n"/>
      <c r="G48" s="69" t="inlineStr">
        <is>
          <t>B</t>
        </is>
      </c>
      <c r="H48" s="70">
        <f>IF($G48="A",CONFIG!$B$5,IF($G48="B",CONFIG!$B$6,IF($G48="C",CONFIG!$B$7,IF($G48="Todos","Todos os turnos",""))))</f>
        <v/>
      </c>
      <c r="I48" s="53" t="n"/>
      <c r="J48" s="71" t="inlineStr">
        <is>
          <t>—</t>
        </is>
      </c>
      <c r="K48" s="53" t="n"/>
      <c r="L48" s="72" t="n"/>
      <c r="M48" s="53" t="n"/>
      <c r="N48" s="73" t="n"/>
      <c r="O48" s="74" t="n"/>
      <c r="P48" s="75" t="n"/>
      <c r="Q48" s="53" t="n"/>
      <c r="R48" s="76">
        <f>IF($C48="","",IF($O48="Cancelada","Cancelada",IF($O48="Reprovado","Reprovada",IF($O48="Aprovado","Aprovada",IF($L48&lt;&gt;"","Entregue",IF(TODAY()&gt;$C48,"Atrasada","Pendente"))))))</f>
        <v/>
      </c>
    </row>
    <row r="49">
      <c r="A49" s="65" t="inlineStr">
        <is>
          <t>OUT-S41-SUP-C</t>
        </is>
      </c>
      <c r="B49" s="66" t="inlineStr">
        <is>
          <t>S41</t>
        </is>
      </c>
      <c r="C49" s="67" t="n">
        <v>46301</v>
      </c>
      <c r="D49" s="68" t="inlineStr">
        <is>
          <t>Suporte de Supervisores</t>
        </is>
      </c>
      <c r="E49" s="53" t="n"/>
      <c r="F49" s="53" t="n"/>
      <c r="G49" s="69" t="inlineStr">
        <is>
          <t>C</t>
        </is>
      </c>
      <c r="H49" s="70">
        <f>IF($G49="A",CONFIG!$B$5,IF($G49="B",CONFIG!$B$6,IF($G49="C",CONFIG!$B$7,IF($G49="Todos","Todos os turnos",""))))</f>
        <v/>
      </c>
      <c r="I49" s="53" t="n"/>
      <c r="J49" s="71" t="inlineStr">
        <is>
          <t>—</t>
        </is>
      </c>
      <c r="K49" s="53" t="n"/>
      <c r="L49" s="72" t="n"/>
      <c r="M49" s="53" t="n"/>
      <c r="N49" s="73" t="n"/>
      <c r="O49" s="74" t="n"/>
      <c r="P49" s="75" t="n"/>
      <c r="Q49" s="53" t="n"/>
      <c r="R49" s="76">
        <f>IF($C49="","",IF($O49="Cancelada","Cancelada",IF($O49="Reprovado","Reprovada",IF($O49="Aprovado","Aprovada",IF($L49&lt;&gt;"","Entregue",IF(TODAY()&gt;$C49,"Atrasada","Pendente"))))))</f>
        <v/>
      </c>
    </row>
    <row r="50">
      <c r="A50" s="65" t="inlineStr">
        <is>
          <t>OUT-S41-VIS-A</t>
        </is>
      </c>
      <c r="B50" s="66" t="inlineStr">
        <is>
          <t>S41</t>
        </is>
      </c>
      <c r="C50" s="67" t="n">
        <v>46302</v>
      </c>
      <c r="D50" s="68" t="inlineStr">
        <is>
          <t>Acomp. Organizacional Setorial (Vistoria)</t>
        </is>
      </c>
      <c r="E50" s="53" t="n"/>
      <c r="F50" s="53" t="n"/>
      <c r="G50" s="69" t="inlineStr">
        <is>
          <t>A</t>
        </is>
      </c>
      <c r="H50" s="70">
        <f>IF($G50="A",CONFIG!$B$5,IF($G50="B",CONFIG!$B$6,IF($G50="C",CONFIG!$B$7,IF($G50="Todos","Todos os turnos",""))))</f>
        <v/>
      </c>
      <c r="I50" s="53" t="n"/>
      <c r="J50" s="77" t="n"/>
      <c r="K50" s="53" t="n"/>
      <c r="L50" s="72" t="n"/>
      <c r="M50" s="53" t="n"/>
      <c r="N50" s="73" t="n"/>
      <c r="O50" s="74" t="n"/>
      <c r="P50" s="75" t="n"/>
      <c r="Q50" s="53" t="n"/>
      <c r="R50" s="76">
        <f>IF($C50="","",IF($O50="Cancelada","Cancelada",IF($O50="Reprovado","Reprovada",IF($O50="Aprovado","Aprovada",IF($L50&lt;&gt;"","Entregue",IF(TODAY()&gt;$C50,"Atrasada","Pendente"))))))</f>
        <v/>
      </c>
    </row>
    <row r="51">
      <c r="A51" s="65" t="inlineStr">
        <is>
          <t>OUT-S41-VIS-B</t>
        </is>
      </c>
      <c r="B51" s="66" t="inlineStr">
        <is>
          <t>S41</t>
        </is>
      </c>
      <c r="C51" s="67" t="n">
        <v>46302</v>
      </c>
      <c r="D51" s="68" t="inlineStr">
        <is>
          <t>Acomp. Organizacional Setorial (Vistoria)</t>
        </is>
      </c>
      <c r="E51" s="53" t="n"/>
      <c r="F51" s="53" t="n"/>
      <c r="G51" s="69" t="inlineStr">
        <is>
          <t>B</t>
        </is>
      </c>
      <c r="H51" s="70">
        <f>IF($G51="A",CONFIG!$B$5,IF($G51="B",CONFIG!$B$6,IF($G51="C",CONFIG!$B$7,IF($G51="Todos","Todos os turnos",""))))</f>
        <v/>
      </c>
      <c r="I51" s="53" t="n"/>
      <c r="J51" s="77" t="n"/>
      <c r="K51" s="53" t="n"/>
      <c r="L51" s="72" t="n"/>
      <c r="M51" s="53" t="n"/>
      <c r="N51" s="73" t="n"/>
      <c r="O51" s="74" t="n"/>
      <c r="P51" s="75" t="n"/>
      <c r="Q51" s="53" t="n"/>
      <c r="R51" s="76">
        <f>IF($C51="","",IF($O51="Cancelada","Cancelada",IF($O51="Reprovado","Reprovada",IF($O51="Aprovado","Aprovada",IF($L51&lt;&gt;"","Entregue",IF(TODAY()&gt;$C51,"Atrasada","Pendente"))))))</f>
        <v/>
      </c>
    </row>
    <row r="52">
      <c r="A52" s="65" t="inlineStr">
        <is>
          <t>OUT-S41-VIS-C</t>
        </is>
      </c>
      <c r="B52" s="66" t="inlineStr">
        <is>
          <t>S41</t>
        </is>
      </c>
      <c r="C52" s="67" t="n">
        <v>46302</v>
      </c>
      <c r="D52" s="68" t="inlineStr">
        <is>
          <t>Acomp. Organizacional Setorial (Vistoria)</t>
        </is>
      </c>
      <c r="E52" s="53" t="n"/>
      <c r="F52" s="53" t="n"/>
      <c r="G52" s="69" t="inlineStr">
        <is>
          <t>C</t>
        </is>
      </c>
      <c r="H52" s="70">
        <f>IF($G52="A",CONFIG!$B$5,IF($G52="B",CONFIG!$B$6,IF($G52="C",CONFIG!$B$7,IF($G52="Todos","Todos os turnos",""))))</f>
        <v/>
      </c>
      <c r="I52" s="53" t="n"/>
      <c r="J52" s="77" t="n"/>
      <c r="K52" s="53" t="n"/>
      <c r="L52" s="72" t="n"/>
      <c r="M52" s="53" t="n"/>
      <c r="N52" s="73" t="n"/>
      <c r="O52" s="74" t="n"/>
      <c r="P52" s="75" t="n"/>
      <c r="Q52" s="53" t="n"/>
      <c r="R52" s="76">
        <f>IF($C52="","",IF($O52="Cancelada","Cancelada",IF($O52="Reprovado","Reprovada",IF($O52="Aprovado","Aprovada",IF($L52&lt;&gt;"","Entregue",IF(TODAY()&gt;$C52,"Atrasada","Pendente"))))))</f>
        <v/>
      </c>
    </row>
    <row r="53">
      <c r="A53" s="65" t="inlineStr">
        <is>
          <t>OUT-S41-MET-A</t>
        </is>
      </c>
      <c r="B53" s="66" t="inlineStr">
        <is>
          <t>S41</t>
        </is>
      </c>
      <c r="C53" s="67" t="n">
        <v>46303</v>
      </c>
      <c r="D53" s="68" t="inlineStr">
        <is>
          <t>Metas</t>
        </is>
      </c>
      <c r="E53" s="53" t="n"/>
      <c r="F53" s="53" t="n"/>
      <c r="G53" s="69" t="inlineStr">
        <is>
          <t>A</t>
        </is>
      </c>
      <c r="H53" s="70">
        <f>IF($G53="A",CONFIG!$B$5,IF($G53="B",CONFIG!$B$6,IF($G53="C",CONFIG!$B$7,IF($G53="Todos","Todos os turnos",""))))</f>
        <v/>
      </c>
      <c r="I53" s="53" t="n"/>
      <c r="J53" s="71" t="inlineStr">
        <is>
          <t>—</t>
        </is>
      </c>
      <c r="K53" s="53" t="n"/>
      <c r="L53" s="72" t="n"/>
      <c r="M53" s="53" t="n"/>
      <c r="N53" s="73" t="n"/>
      <c r="O53" s="74" t="n"/>
      <c r="P53" s="75" t="n"/>
      <c r="Q53" s="53" t="n"/>
      <c r="R53" s="76">
        <f>IF($C53="","",IF($O53="Cancelada","Cancelada",IF($O53="Reprovado","Reprovada",IF($O53="Aprovado","Aprovada",IF($L53&lt;&gt;"","Entregue",IF(TODAY()&gt;$C53,"Atrasada","Pendente"))))))</f>
        <v/>
      </c>
    </row>
    <row r="54">
      <c r="A54" s="65" t="inlineStr">
        <is>
          <t>OUT-S41-MET-B</t>
        </is>
      </c>
      <c r="B54" s="66" t="inlineStr">
        <is>
          <t>S41</t>
        </is>
      </c>
      <c r="C54" s="67" t="n">
        <v>46303</v>
      </c>
      <c r="D54" s="68" t="inlineStr">
        <is>
          <t>Metas</t>
        </is>
      </c>
      <c r="E54" s="53" t="n"/>
      <c r="F54" s="53" t="n"/>
      <c r="G54" s="69" t="inlineStr">
        <is>
          <t>B</t>
        </is>
      </c>
      <c r="H54" s="70">
        <f>IF($G54="A",CONFIG!$B$5,IF($G54="B",CONFIG!$B$6,IF($G54="C",CONFIG!$B$7,IF($G54="Todos","Todos os turnos",""))))</f>
        <v/>
      </c>
      <c r="I54" s="53" t="n"/>
      <c r="J54" s="71" t="inlineStr">
        <is>
          <t>—</t>
        </is>
      </c>
      <c r="K54" s="53" t="n"/>
      <c r="L54" s="72" t="n"/>
      <c r="M54" s="53" t="n"/>
      <c r="N54" s="73" t="n"/>
      <c r="O54" s="74" t="n"/>
      <c r="P54" s="75" t="n"/>
      <c r="Q54" s="53" t="n"/>
      <c r="R54" s="76">
        <f>IF($C54="","",IF($O54="Cancelada","Cancelada",IF($O54="Reprovado","Reprovada",IF($O54="Aprovado","Aprovada",IF($L54&lt;&gt;"","Entregue",IF(TODAY()&gt;$C54,"Atrasada","Pendente"))))))</f>
        <v/>
      </c>
    </row>
    <row r="55">
      <c r="A55" s="65" t="inlineStr">
        <is>
          <t>OUT-S41-MET-C</t>
        </is>
      </c>
      <c r="B55" s="66" t="inlineStr">
        <is>
          <t>S41</t>
        </is>
      </c>
      <c r="C55" s="67" t="n">
        <v>46303</v>
      </c>
      <c r="D55" s="68" t="inlineStr">
        <is>
          <t>Metas</t>
        </is>
      </c>
      <c r="E55" s="53" t="n"/>
      <c r="F55" s="53" t="n"/>
      <c r="G55" s="69" t="inlineStr">
        <is>
          <t>C</t>
        </is>
      </c>
      <c r="H55" s="70">
        <f>IF($G55="A",CONFIG!$B$5,IF($G55="B",CONFIG!$B$6,IF($G55="C",CONFIG!$B$7,IF($G55="Todos","Todos os turnos",""))))</f>
        <v/>
      </c>
      <c r="I55" s="53" t="n"/>
      <c r="J55" s="71" t="inlineStr">
        <is>
          <t>—</t>
        </is>
      </c>
      <c r="K55" s="53" t="n"/>
      <c r="L55" s="72" t="n"/>
      <c r="M55" s="53" t="n"/>
      <c r="N55" s="73" t="n"/>
      <c r="O55" s="74" t="n"/>
      <c r="P55" s="75" t="n"/>
      <c r="Q55" s="53" t="n"/>
      <c r="R55" s="76">
        <f>IF($C55="","",IF($O55="Cancelada","Cancelada",IF($O55="Reprovado","Reprovada",IF($O55="Aprovado","Aprovada",IF($L55&lt;&gt;"","Entregue",IF(TODAY()&gt;$C55,"Atrasada","Pendente"))))))</f>
        <v/>
      </c>
    </row>
    <row r="56">
      <c r="A56" s="65" t="inlineStr">
        <is>
          <t>OUT-S41-ACO-A</t>
        </is>
      </c>
      <c r="B56" s="66" t="inlineStr">
        <is>
          <t>S41</t>
        </is>
      </c>
      <c r="C56" s="67" t="n">
        <v>46304</v>
      </c>
      <c r="D56" s="68" t="inlineStr">
        <is>
          <t>Acompanhamento Semanal c/ Supervisores</t>
        </is>
      </c>
      <c r="E56" s="53" t="n"/>
      <c r="F56" s="53" t="n"/>
      <c r="G56" s="69" t="inlineStr">
        <is>
          <t>A</t>
        </is>
      </c>
      <c r="H56" s="70">
        <f>IF($G56="A",CONFIG!$B$5,IF($G56="B",CONFIG!$B$6,IF($G56="C",CONFIG!$B$7,IF($G56="Todos","Todos os turnos",""))))</f>
        <v/>
      </c>
      <c r="I56" s="53" t="n"/>
      <c r="J56" s="71" t="inlineStr">
        <is>
          <t>—</t>
        </is>
      </c>
      <c r="K56" s="53" t="n"/>
      <c r="L56" s="72" t="n"/>
      <c r="M56" s="53" t="n"/>
      <c r="N56" s="73" t="n"/>
      <c r="O56" s="74" t="n"/>
      <c r="P56" s="75" t="n"/>
      <c r="Q56" s="53" t="n"/>
      <c r="R56" s="76">
        <f>IF($C56="","",IF($O56="Cancelada","Cancelada",IF($O56="Reprovado","Reprovada",IF($O56="Aprovado","Aprovada",IF($L56&lt;&gt;"","Entregue",IF(TODAY()&gt;$C56,"Atrasada","Pendente"))))))</f>
        <v/>
      </c>
    </row>
    <row r="57">
      <c r="A57" s="65" t="inlineStr">
        <is>
          <t>OUT-S41-ACO-B</t>
        </is>
      </c>
      <c r="B57" s="66" t="inlineStr">
        <is>
          <t>S41</t>
        </is>
      </c>
      <c r="C57" s="67" t="n">
        <v>46304</v>
      </c>
      <c r="D57" s="68" t="inlineStr">
        <is>
          <t>Acompanhamento Semanal c/ Supervisores</t>
        </is>
      </c>
      <c r="E57" s="53" t="n"/>
      <c r="F57" s="53" t="n"/>
      <c r="G57" s="69" t="inlineStr">
        <is>
          <t>B</t>
        </is>
      </c>
      <c r="H57" s="70">
        <f>IF($G57="A",CONFIG!$B$5,IF($G57="B",CONFIG!$B$6,IF($G57="C",CONFIG!$B$7,IF($G57="Todos","Todos os turnos",""))))</f>
        <v/>
      </c>
      <c r="I57" s="53" t="n"/>
      <c r="J57" s="71" t="inlineStr">
        <is>
          <t>—</t>
        </is>
      </c>
      <c r="K57" s="53" t="n"/>
      <c r="L57" s="72" t="n"/>
      <c r="M57" s="53" t="n"/>
      <c r="N57" s="73" t="n"/>
      <c r="O57" s="74" t="n"/>
      <c r="P57" s="75" t="n"/>
      <c r="Q57" s="53" t="n"/>
      <c r="R57" s="76">
        <f>IF($C57="","",IF($O57="Cancelada","Cancelada",IF($O57="Reprovado","Reprovada",IF($O57="Aprovado","Aprovada",IF($L57&lt;&gt;"","Entregue",IF(TODAY()&gt;$C57,"Atrasada","Pendente"))))))</f>
        <v/>
      </c>
    </row>
    <row r="58">
      <c r="A58" s="65" t="inlineStr">
        <is>
          <t>OUT-S41-ACO-C</t>
        </is>
      </c>
      <c r="B58" s="66" t="inlineStr">
        <is>
          <t>S41</t>
        </is>
      </c>
      <c r="C58" s="67" t="n">
        <v>46304</v>
      </c>
      <c r="D58" s="68" t="inlineStr">
        <is>
          <t>Acompanhamento Semanal c/ Supervisores</t>
        </is>
      </c>
      <c r="E58" s="53" t="n"/>
      <c r="F58" s="53" t="n"/>
      <c r="G58" s="69" t="inlineStr">
        <is>
          <t>C</t>
        </is>
      </c>
      <c r="H58" s="70">
        <f>IF($G58="A",CONFIG!$B$5,IF($G58="B",CONFIG!$B$6,IF($G58="C",CONFIG!$B$7,IF($G58="Todos","Todos os turnos",""))))</f>
        <v/>
      </c>
      <c r="I58" s="53" t="n"/>
      <c r="J58" s="71" t="inlineStr">
        <is>
          <t>—</t>
        </is>
      </c>
      <c r="K58" s="53" t="n"/>
      <c r="L58" s="72" t="n"/>
      <c r="M58" s="53" t="n"/>
      <c r="N58" s="73" t="n"/>
      <c r="O58" s="74" t="n"/>
      <c r="P58" s="75" t="n"/>
      <c r="Q58" s="53" t="n"/>
      <c r="R58" s="76">
        <f>IF($C58="","",IF($O58="Cancelada","Cancelada",IF($O58="Reprovado","Reprovada",IF($O58="Aprovado","Aprovada",IF($L58&lt;&gt;"","Entregue",IF(TODAY()&gt;$C58,"Atrasada","Pendente"))))))</f>
        <v/>
      </c>
    </row>
    <row r="59">
      <c r="A59" s="65" t="inlineStr">
        <is>
          <t>OUT-S41-FAL-A</t>
        </is>
      </c>
      <c r="B59" s="66" t="inlineStr">
        <is>
          <t>S41</t>
        </is>
      </c>
      <c r="C59" s="67" t="n">
        <v>46304</v>
      </c>
      <c r="D59" s="68" t="inlineStr">
        <is>
          <t>Faltas e Atestados</t>
        </is>
      </c>
      <c r="E59" s="53" t="n"/>
      <c r="F59" s="53" t="n"/>
      <c r="G59" s="69" t="inlineStr">
        <is>
          <t>A</t>
        </is>
      </c>
      <c r="H59" s="70">
        <f>IF($G59="A",CONFIG!$B$5,IF($G59="B",CONFIG!$B$6,IF($G59="C",CONFIG!$B$7,IF($G59="Todos","Todos os turnos",""))))</f>
        <v/>
      </c>
      <c r="I59" s="53" t="n"/>
      <c r="J59" s="71" t="inlineStr">
        <is>
          <t>—</t>
        </is>
      </c>
      <c r="K59" s="53" t="n"/>
      <c r="L59" s="72" t="n"/>
      <c r="M59" s="53" t="n"/>
      <c r="N59" s="73" t="n"/>
      <c r="O59" s="74" t="n"/>
      <c r="P59" s="75" t="n"/>
      <c r="Q59" s="53" t="n"/>
      <c r="R59" s="76">
        <f>IF($C59="","",IF($O59="Cancelada","Cancelada",IF($O59="Reprovado","Reprovada",IF($O59="Aprovado","Aprovada",IF($L59&lt;&gt;"","Entregue",IF(TODAY()&gt;$C59,"Atrasada","Pendente"))))))</f>
        <v/>
      </c>
    </row>
    <row r="60">
      <c r="A60" s="65" t="inlineStr">
        <is>
          <t>OUT-S41-FAL-B</t>
        </is>
      </c>
      <c r="B60" s="66" t="inlineStr">
        <is>
          <t>S41</t>
        </is>
      </c>
      <c r="C60" s="67" t="n">
        <v>46304</v>
      </c>
      <c r="D60" s="68" t="inlineStr">
        <is>
          <t>Faltas e Atestados</t>
        </is>
      </c>
      <c r="E60" s="53" t="n"/>
      <c r="F60" s="53" t="n"/>
      <c r="G60" s="69" t="inlineStr">
        <is>
          <t>B</t>
        </is>
      </c>
      <c r="H60" s="70">
        <f>IF($G60="A",CONFIG!$B$5,IF($G60="B",CONFIG!$B$6,IF($G60="C",CONFIG!$B$7,IF($G60="Todos","Todos os turnos",""))))</f>
        <v/>
      </c>
      <c r="I60" s="53" t="n"/>
      <c r="J60" s="71" t="inlineStr">
        <is>
          <t>—</t>
        </is>
      </c>
      <c r="K60" s="53" t="n"/>
      <c r="L60" s="72" t="n"/>
      <c r="M60" s="53" t="n"/>
      <c r="N60" s="73" t="n"/>
      <c r="O60" s="74" t="n"/>
      <c r="P60" s="75" t="n"/>
      <c r="Q60" s="53" t="n"/>
      <c r="R60" s="76">
        <f>IF($C60="","",IF($O60="Cancelada","Cancelada",IF($O60="Reprovado","Reprovada",IF($O60="Aprovado","Aprovada",IF($L60&lt;&gt;"","Entregue",IF(TODAY()&gt;$C60,"Atrasada","Pendente"))))))</f>
        <v/>
      </c>
    </row>
    <row r="61">
      <c r="A61" s="65" t="inlineStr">
        <is>
          <t>OUT-S41-FAL-C</t>
        </is>
      </c>
      <c r="B61" s="66" t="inlineStr">
        <is>
          <t>S41</t>
        </is>
      </c>
      <c r="C61" s="67" t="n">
        <v>46304</v>
      </c>
      <c r="D61" s="68" t="inlineStr">
        <is>
          <t>Faltas e Atestados</t>
        </is>
      </c>
      <c r="E61" s="53" t="n"/>
      <c r="F61" s="53" t="n"/>
      <c r="G61" s="69" t="inlineStr">
        <is>
          <t>C</t>
        </is>
      </c>
      <c r="H61" s="70">
        <f>IF($G61="A",CONFIG!$B$5,IF($G61="B",CONFIG!$B$6,IF($G61="C",CONFIG!$B$7,IF($G61="Todos","Todos os turnos",""))))</f>
        <v/>
      </c>
      <c r="I61" s="53" t="n"/>
      <c r="J61" s="71" t="inlineStr">
        <is>
          <t>—</t>
        </is>
      </c>
      <c r="K61" s="53" t="n"/>
      <c r="L61" s="72" t="n"/>
      <c r="M61" s="53" t="n"/>
      <c r="N61" s="73" t="n"/>
      <c r="O61" s="74" t="n"/>
      <c r="P61" s="75" t="n"/>
      <c r="Q61" s="53" t="n"/>
      <c r="R61" s="76">
        <f>IF($C61="","",IF($O61="Cancelada","Cancelada",IF($O61="Reprovado","Reprovada",IF($O61="Aprovado","Aprovada",IF($L61&lt;&gt;"","Entregue",IF(TODAY()&gt;$C61,"Atrasada","Pendente"))))))</f>
        <v/>
      </c>
    </row>
    <row r="62">
      <c r="A62" s="65" t="inlineStr">
        <is>
          <t>OUT-S41-REU-T</t>
        </is>
      </c>
      <c r="B62" s="66" t="inlineStr">
        <is>
          <t>S41</t>
        </is>
      </c>
      <c r="C62" s="67" t="n">
        <v>46304</v>
      </c>
      <c r="D62" s="68" t="inlineStr">
        <is>
          <t>Reunião Semanal com a Gerência</t>
        </is>
      </c>
      <c r="E62" s="53" t="n"/>
      <c r="F62" s="53" t="n"/>
      <c r="G62" s="69" t="inlineStr">
        <is>
          <t>Todos</t>
        </is>
      </c>
      <c r="H62" s="70">
        <f>IF($G62="A",CONFIG!$B$5,IF($G62="B",CONFIG!$B$6,IF($G62="C",CONFIG!$B$7,IF($G62="Todos","Todos os turnos",""))))</f>
        <v/>
      </c>
      <c r="I62" s="53" t="n"/>
      <c r="J62" s="71" t="inlineStr">
        <is>
          <t>—</t>
        </is>
      </c>
      <c r="K62" s="53" t="n"/>
      <c r="L62" s="72" t="n"/>
      <c r="M62" s="53" t="n"/>
      <c r="N62" s="73" t="n"/>
      <c r="O62" s="74" t="n"/>
      <c r="P62" s="75" t="n"/>
      <c r="Q62" s="53" t="n"/>
      <c r="R62" s="76">
        <f>IF($C62="","",IF($O62="Cancelada","Cancelada",IF($O62="Reprovado","Reprovada",IF($O62="Aprovado","Aprovada",IF($L62&lt;&gt;"","Entregue",IF(TODAY()&gt;$C62,"Atrasada","Pendente"))))))</f>
        <v/>
      </c>
    </row>
    <row r="63">
      <c r="A63" s="65" t="inlineStr">
        <is>
          <t>OUT-S42-ERR-A</t>
        </is>
      </c>
      <c r="B63" s="66" t="inlineStr">
        <is>
          <t>S42</t>
        </is>
      </c>
      <c r="C63" s="67" t="n">
        <v>46307</v>
      </c>
      <c r="D63" s="68" t="inlineStr">
        <is>
          <t>Levantamento de Erros Operacionais</t>
        </is>
      </c>
      <c r="E63" s="53" t="n"/>
      <c r="F63" s="53" t="n"/>
      <c r="G63" s="69" t="inlineStr">
        <is>
          <t>A</t>
        </is>
      </c>
      <c r="H63" s="70">
        <f>IF($G63="A",CONFIG!$B$5,IF($G63="B",CONFIG!$B$6,IF($G63="C",CONFIG!$B$7,IF($G63="Todos","Todos os turnos",""))))</f>
        <v/>
      </c>
      <c r="I63" s="53" t="n"/>
      <c r="J63" s="71" t="inlineStr">
        <is>
          <t>—</t>
        </is>
      </c>
      <c r="K63" s="53" t="n"/>
      <c r="L63" s="72" t="n"/>
      <c r="M63" s="53" t="n"/>
      <c r="N63" s="73" t="n"/>
      <c r="O63" s="74" t="n"/>
      <c r="P63" s="75" t="n"/>
      <c r="Q63" s="53" t="n"/>
      <c r="R63" s="76">
        <f>IF($C63="","",IF($O63="Cancelada","Cancelada",IF($O63="Reprovado","Reprovada",IF($O63="Aprovado","Aprovada",IF($L63&lt;&gt;"","Entregue",IF(TODAY()&gt;$C63,"Atrasada","Pendente"))))))</f>
        <v/>
      </c>
    </row>
    <row r="64">
      <c r="A64" s="65" t="inlineStr">
        <is>
          <t>OUT-S42-ERR-B</t>
        </is>
      </c>
      <c r="B64" s="66" t="inlineStr">
        <is>
          <t>S42</t>
        </is>
      </c>
      <c r="C64" s="67" t="n">
        <v>46307</v>
      </c>
      <c r="D64" s="68" t="inlineStr">
        <is>
          <t>Levantamento de Erros Operacionais</t>
        </is>
      </c>
      <c r="E64" s="53" t="n"/>
      <c r="F64" s="53" t="n"/>
      <c r="G64" s="69" t="inlineStr">
        <is>
          <t>B</t>
        </is>
      </c>
      <c r="H64" s="70">
        <f>IF($G64="A",CONFIG!$B$5,IF($G64="B",CONFIG!$B$6,IF($G64="C",CONFIG!$B$7,IF($G64="Todos","Todos os turnos",""))))</f>
        <v/>
      </c>
      <c r="I64" s="53" t="n"/>
      <c r="J64" s="71" t="inlineStr">
        <is>
          <t>—</t>
        </is>
      </c>
      <c r="K64" s="53" t="n"/>
      <c r="L64" s="72" t="n"/>
      <c r="M64" s="53" t="n"/>
      <c r="N64" s="73" t="n"/>
      <c r="O64" s="74" t="n"/>
      <c r="P64" s="75" t="n"/>
      <c r="Q64" s="53" t="n"/>
      <c r="R64" s="76">
        <f>IF($C64="","",IF($O64="Cancelada","Cancelada",IF($O64="Reprovado","Reprovada",IF($O64="Aprovado","Aprovada",IF($L64&lt;&gt;"","Entregue",IF(TODAY()&gt;$C64,"Atrasada","Pendente"))))))</f>
        <v/>
      </c>
    </row>
    <row r="65">
      <c r="A65" s="65" t="inlineStr">
        <is>
          <t>OUT-S42-ERR-C</t>
        </is>
      </c>
      <c r="B65" s="66" t="inlineStr">
        <is>
          <t>S42</t>
        </is>
      </c>
      <c r="C65" s="67" t="n">
        <v>46307</v>
      </c>
      <c r="D65" s="68" t="inlineStr">
        <is>
          <t>Levantamento de Erros Operacionais</t>
        </is>
      </c>
      <c r="E65" s="53" t="n"/>
      <c r="F65" s="53" t="n"/>
      <c r="G65" s="69" t="inlineStr">
        <is>
          <t>C</t>
        </is>
      </c>
      <c r="H65" s="70">
        <f>IF($G65="A",CONFIG!$B$5,IF($G65="B",CONFIG!$B$6,IF($G65="C",CONFIG!$B$7,IF($G65="Todos","Todos os turnos",""))))</f>
        <v/>
      </c>
      <c r="I65" s="53" t="n"/>
      <c r="J65" s="71" t="inlineStr">
        <is>
          <t>—</t>
        </is>
      </c>
      <c r="K65" s="53" t="n"/>
      <c r="L65" s="72" t="n"/>
      <c r="M65" s="53" t="n"/>
      <c r="N65" s="73" t="n"/>
      <c r="O65" s="74" t="n"/>
      <c r="P65" s="75" t="n"/>
      <c r="Q65" s="53" t="n"/>
      <c r="R65" s="76">
        <f>IF($C65="","",IF($O65="Cancelada","Cancelada",IF($O65="Reprovado","Reprovada",IF($O65="Aprovado","Aprovada",IF($L65&lt;&gt;"","Entregue",IF(TODAY()&gt;$C65,"Atrasada","Pendente"))))))</f>
        <v/>
      </c>
    </row>
    <row r="66">
      <c r="A66" s="65" t="inlineStr">
        <is>
          <t>OUT-S42-SUP-A</t>
        </is>
      </c>
      <c r="B66" s="66" t="inlineStr">
        <is>
          <t>S42</t>
        </is>
      </c>
      <c r="C66" s="67" t="n">
        <v>46308</v>
      </c>
      <c r="D66" s="68" t="inlineStr">
        <is>
          <t>Suporte de Supervisores</t>
        </is>
      </c>
      <c r="E66" s="53" t="n"/>
      <c r="F66" s="53" t="n"/>
      <c r="G66" s="69" t="inlineStr">
        <is>
          <t>A</t>
        </is>
      </c>
      <c r="H66" s="70">
        <f>IF($G66="A",CONFIG!$B$5,IF($G66="B",CONFIG!$B$6,IF($G66="C",CONFIG!$B$7,IF($G66="Todos","Todos os turnos",""))))</f>
        <v/>
      </c>
      <c r="I66" s="53" t="n"/>
      <c r="J66" s="71" t="inlineStr">
        <is>
          <t>—</t>
        </is>
      </c>
      <c r="K66" s="53" t="n"/>
      <c r="L66" s="72" t="n"/>
      <c r="M66" s="53" t="n"/>
      <c r="N66" s="73" t="n"/>
      <c r="O66" s="74" t="n"/>
      <c r="P66" s="75" t="n"/>
      <c r="Q66" s="53" t="n"/>
      <c r="R66" s="76">
        <f>IF($C66="","",IF($O66="Cancelada","Cancelada",IF($O66="Reprovado","Reprovada",IF($O66="Aprovado","Aprovada",IF($L66&lt;&gt;"","Entregue",IF(TODAY()&gt;$C66,"Atrasada","Pendente"))))))</f>
        <v/>
      </c>
    </row>
    <row r="67">
      <c r="A67" s="65" t="inlineStr">
        <is>
          <t>OUT-S42-SUP-B</t>
        </is>
      </c>
      <c r="B67" s="66" t="inlineStr">
        <is>
          <t>S42</t>
        </is>
      </c>
      <c r="C67" s="67" t="n">
        <v>46308</v>
      </c>
      <c r="D67" s="68" t="inlineStr">
        <is>
          <t>Suporte de Supervisores</t>
        </is>
      </c>
      <c r="E67" s="53" t="n"/>
      <c r="F67" s="53" t="n"/>
      <c r="G67" s="69" t="inlineStr">
        <is>
          <t>B</t>
        </is>
      </c>
      <c r="H67" s="70">
        <f>IF($G67="A",CONFIG!$B$5,IF($G67="B",CONFIG!$B$6,IF($G67="C",CONFIG!$B$7,IF($G67="Todos","Todos os turnos",""))))</f>
        <v/>
      </c>
      <c r="I67" s="53" t="n"/>
      <c r="J67" s="71" t="inlineStr">
        <is>
          <t>—</t>
        </is>
      </c>
      <c r="K67" s="53" t="n"/>
      <c r="L67" s="72" t="n"/>
      <c r="M67" s="53" t="n"/>
      <c r="N67" s="73" t="n"/>
      <c r="O67" s="74" t="n"/>
      <c r="P67" s="75" t="n"/>
      <c r="Q67" s="53" t="n"/>
      <c r="R67" s="76">
        <f>IF($C67="","",IF($O67="Cancelada","Cancelada",IF($O67="Reprovado","Reprovada",IF($O67="Aprovado","Aprovada",IF($L67&lt;&gt;"","Entregue",IF(TODAY()&gt;$C67,"Atrasada","Pendente"))))))</f>
        <v/>
      </c>
    </row>
    <row r="68">
      <c r="A68" s="65" t="inlineStr">
        <is>
          <t>OUT-S42-SUP-C</t>
        </is>
      </c>
      <c r="B68" s="66" t="inlineStr">
        <is>
          <t>S42</t>
        </is>
      </c>
      <c r="C68" s="67" t="n">
        <v>46308</v>
      </c>
      <c r="D68" s="68" t="inlineStr">
        <is>
          <t>Suporte de Supervisores</t>
        </is>
      </c>
      <c r="E68" s="53" t="n"/>
      <c r="F68" s="53" t="n"/>
      <c r="G68" s="69" t="inlineStr">
        <is>
          <t>C</t>
        </is>
      </c>
      <c r="H68" s="70">
        <f>IF($G68="A",CONFIG!$B$5,IF($G68="B",CONFIG!$B$6,IF($G68="C",CONFIG!$B$7,IF($G68="Todos","Todos os turnos",""))))</f>
        <v/>
      </c>
      <c r="I68" s="53" t="n"/>
      <c r="J68" s="71" t="inlineStr">
        <is>
          <t>—</t>
        </is>
      </c>
      <c r="K68" s="53" t="n"/>
      <c r="L68" s="72" t="n"/>
      <c r="M68" s="53" t="n"/>
      <c r="N68" s="73" t="n"/>
      <c r="O68" s="74" t="n"/>
      <c r="P68" s="75" t="n"/>
      <c r="Q68" s="53" t="n"/>
      <c r="R68" s="76">
        <f>IF($C68="","",IF($O68="Cancelada","Cancelada",IF($O68="Reprovado","Reprovada",IF($O68="Aprovado","Aprovada",IF($L68&lt;&gt;"","Entregue",IF(TODAY()&gt;$C68,"Atrasada","Pendente"))))))</f>
        <v/>
      </c>
    </row>
    <row r="69">
      <c r="A69" s="65" t="inlineStr">
        <is>
          <t>OUT-S42-VIS-A</t>
        </is>
      </c>
      <c r="B69" s="66" t="inlineStr">
        <is>
          <t>S42</t>
        </is>
      </c>
      <c r="C69" s="67" t="n">
        <v>46309</v>
      </c>
      <c r="D69" s="68" t="inlineStr">
        <is>
          <t>Acomp. Organizacional Setorial (Vistoria)</t>
        </is>
      </c>
      <c r="E69" s="53" t="n"/>
      <c r="F69" s="53" t="n"/>
      <c r="G69" s="69" t="inlineStr">
        <is>
          <t>A</t>
        </is>
      </c>
      <c r="H69" s="70">
        <f>IF($G69="A",CONFIG!$B$5,IF($G69="B",CONFIG!$B$6,IF($G69="C",CONFIG!$B$7,IF($G69="Todos","Todos os turnos",""))))</f>
        <v/>
      </c>
      <c r="I69" s="53" t="n"/>
      <c r="J69" s="77" t="n"/>
      <c r="K69" s="53" t="n"/>
      <c r="L69" s="72" t="n"/>
      <c r="M69" s="53" t="n"/>
      <c r="N69" s="73" t="n"/>
      <c r="O69" s="74" t="n"/>
      <c r="P69" s="75" t="n"/>
      <c r="Q69" s="53" t="n"/>
      <c r="R69" s="76">
        <f>IF($C69="","",IF($O69="Cancelada","Cancelada",IF($O69="Reprovado","Reprovada",IF($O69="Aprovado","Aprovada",IF($L69&lt;&gt;"","Entregue",IF(TODAY()&gt;$C69,"Atrasada","Pendente"))))))</f>
        <v/>
      </c>
    </row>
    <row r="70">
      <c r="A70" s="65" t="inlineStr">
        <is>
          <t>OUT-S42-VIS-B</t>
        </is>
      </c>
      <c r="B70" s="66" t="inlineStr">
        <is>
          <t>S42</t>
        </is>
      </c>
      <c r="C70" s="67" t="n">
        <v>46309</v>
      </c>
      <c r="D70" s="68" t="inlineStr">
        <is>
          <t>Acomp. Organizacional Setorial (Vistoria)</t>
        </is>
      </c>
      <c r="E70" s="53" t="n"/>
      <c r="F70" s="53" t="n"/>
      <c r="G70" s="69" t="inlineStr">
        <is>
          <t>B</t>
        </is>
      </c>
      <c r="H70" s="70">
        <f>IF($G70="A",CONFIG!$B$5,IF($G70="B",CONFIG!$B$6,IF($G70="C",CONFIG!$B$7,IF($G70="Todos","Todos os turnos",""))))</f>
        <v/>
      </c>
      <c r="I70" s="53" t="n"/>
      <c r="J70" s="77" t="n"/>
      <c r="K70" s="53" t="n"/>
      <c r="L70" s="72" t="n"/>
      <c r="M70" s="53" t="n"/>
      <c r="N70" s="73" t="n"/>
      <c r="O70" s="74" t="n"/>
      <c r="P70" s="75" t="n"/>
      <c r="Q70" s="53" t="n"/>
      <c r="R70" s="76">
        <f>IF($C70="","",IF($O70="Cancelada","Cancelada",IF($O70="Reprovado","Reprovada",IF($O70="Aprovado","Aprovada",IF($L70&lt;&gt;"","Entregue",IF(TODAY()&gt;$C70,"Atrasada","Pendente"))))))</f>
        <v/>
      </c>
    </row>
    <row r="71">
      <c r="A71" s="65" t="inlineStr">
        <is>
          <t>OUT-S42-VIS-C</t>
        </is>
      </c>
      <c r="B71" s="66" t="inlineStr">
        <is>
          <t>S42</t>
        </is>
      </c>
      <c r="C71" s="67" t="n">
        <v>46309</v>
      </c>
      <c r="D71" s="68" t="inlineStr">
        <is>
          <t>Acomp. Organizacional Setorial (Vistoria)</t>
        </is>
      </c>
      <c r="E71" s="53" t="n"/>
      <c r="F71" s="53" t="n"/>
      <c r="G71" s="69" t="inlineStr">
        <is>
          <t>C</t>
        </is>
      </c>
      <c r="H71" s="70">
        <f>IF($G71="A",CONFIG!$B$5,IF($G71="B",CONFIG!$B$6,IF($G71="C",CONFIG!$B$7,IF($G71="Todos","Todos os turnos",""))))</f>
        <v/>
      </c>
      <c r="I71" s="53" t="n"/>
      <c r="J71" s="77" t="n"/>
      <c r="K71" s="53" t="n"/>
      <c r="L71" s="72" t="n"/>
      <c r="M71" s="53" t="n"/>
      <c r="N71" s="73" t="n"/>
      <c r="O71" s="74" t="n"/>
      <c r="P71" s="75" t="n"/>
      <c r="Q71" s="53" t="n"/>
      <c r="R71" s="76">
        <f>IF($C71="","",IF($O71="Cancelada","Cancelada",IF($O71="Reprovado","Reprovada",IF($O71="Aprovado","Aprovada",IF($L71&lt;&gt;"","Entregue",IF(TODAY()&gt;$C71,"Atrasada","Pendente"))))))</f>
        <v/>
      </c>
    </row>
    <row r="72">
      <c r="A72" s="65" t="inlineStr">
        <is>
          <t>OUT-S42-MET-A</t>
        </is>
      </c>
      <c r="B72" s="66" t="inlineStr">
        <is>
          <t>S42</t>
        </is>
      </c>
      <c r="C72" s="67" t="n">
        <v>46310</v>
      </c>
      <c r="D72" s="68" t="inlineStr">
        <is>
          <t>Metas</t>
        </is>
      </c>
      <c r="E72" s="53" t="n"/>
      <c r="F72" s="53" t="n"/>
      <c r="G72" s="69" t="inlineStr">
        <is>
          <t>A</t>
        </is>
      </c>
      <c r="H72" s="70">
        <f>IF($G72="A",CONFIG!$B$5,IF($G72="B",CONFIG!$B$6,IF($G72="C",CONFIG!$B$7,IF($G72="Todos","Todos os turnos",""))))</f>
        <v/>
      </c>
      <c r="I72" s="53" t="n"/>
      <c r="J72" s="71" t="inlineStr">
        <is>
          <t>—</t>
        </is>
      </c>
      <c r="K72" s="53" t="n"/>
      <c r="L72" s="72" t="n"/>
      <c r="M72" s="53" t="n"/>
      <c r="N72" s="73" t="n"/>
      <c r="O72" s="74" t="n"/>
      <c r="P72" s="75" t="n"/>
      <c r="Q72" s="53" t="n"/>
      <c r="R72" s="76">
        <f>IF($C72="","",IF($O72="Cancelada","Cancelada",IF($O72="Reprovado","Reprovada",IF($O72="Aprovado","Aprovada",IF($L72&lt;&gt;"","Entregue",IF(TODAY()&gt;$C72,"Atrasada","Pendente"))))))</f>
        <v/>
      </c>
    </row>
    <row r="73">
      <c r="A73" s="65" t="inlineStr">
        <is>
          <t>OUT-S42-MET-B</t>
        </is>
      </c>
      <c r="B73" s="66" t="inlineStr">
        <is>
          <t>S42</t>
        </is>
      </c>
      <c r="C73" s="67" t="n">
        <v>46310</v>
      </c>
      <c r="D73" s="68" t="inlineStr">
        <is>
          <t>Metas</t>
        </is>
      </c>
      <c r="E73" s="53" t="n"/>
      <c r="F73" s="53" t="n"/>
      <c r="G73" s="69" t="inlineStr">
        <is>
          <t>B</t>
        </is>
      </c>
      <c r="H73" s="70">
        <f>IF($G73="A",CONFIG!$B$5,IF($G73="B",CONFIG!$B$6,IF($G73="C",CONFIG!$B$7,IF($G73="Todos","Todos os turnos",""))))</f>
        <v/>
      </c>
      <c r="I73" s="53" t="n"/>
      <c r="J73" s="71" t="inlineStr">
        <is>
          <t>—</t>
        </is>
      </c>
      <c r="K73" s="53" t="n"/>
      <c r="L73" s="72" t="n"/>
      <c r="M73" s="53" t="n"/>
      <c r="N73" s="73" t="n"/>
      <c r="O73" s="74" t="n"/>
      <c r="P73" s="75" t="n"/>
      <c r="Q73" s="53" t="n"/>
      <c r="R73" s="76">
        <f>IF($C73="","",IF($O73="Cancelada","Cancelada",IF($O73="Reprovado","Reprovada",IF($O73="Aprovado","Aprovada",IF($L73&lt;&gt;"","Entregue",IF(TODAY()&gt;$C73,"Atrasada","Pendente"))))))</f>
        <v/>
      </c>
    </row>
    <row r="74">
      <c r="A74" s="65" t="inlineStr">
        <is>
          <t>OUT-S42-MET-C</t>
        </is>
      </c>
      <c r="B74" s="66" t="inlineStr">
        <is>
          <t>S42</t>
        </is>
      </c>
      <c r="C74" s="67" t="n">
        <v>46310</v>
      </c>
      <c r="D74" s="68" t="inlineStr">
        <is>
          <t>Metas</t>
        </is>
      </c>
      <c r="E74" s="53" t="n"/>
      <c r="F74" s="53" t="n"/>
      <c r="G74" s="69" t="inlineStr">
        <is>
          <t>C</t>
        </is>
      </c>
      <c r="H74" s="70">
        <f>IF($G74="A",CONFIG!$B$5,IF($G74="B",CONFIG!$B$6,IF($G74="C",CONFIG!$B$7,IF($G74="Todos","Todos os turnos",""))))</f>
        <v/>
      </c>
      <c r="I74" s="53" t="n"/>
      <c r="J74" s="71" t="inlineStr">
        <is>
          <t>—</t>
        </is>
      </c>
      <c r="K74" s="53" t="n"/>
      <c r="L74" s="72" t="n"/>
      <c r="M74" s="53" t="n"/>
      <c r="N74" s="73" t="n"/>
      <c r="O74" s="74" t="n"/>
      <c r="P74" s="75" t="n"/>
      <c r="Q74" s="53" t="n"/>
      <c r="R74" s="76">
        <f>IF($C74="","",IF($O74="Cancelada","Cancelada",IF($O74="Reprovado","Reprovada",IF($O74="Aprovado","Aprovada",IF($L74&lt;&gt;"","Entregue",IF(TODAY()&gt;$C74,"Atrasada","Pendente"))))))</f>
        <v/>
      </c>
    </row>
    <row r="75">
      <c r="A75" s="65" t="inlineStr">
        <is>
          <t>OUT-S42-ACO-A</t>
        </is>
      </c>
      <c r="B75" s="66" t="inlineStr">
        <is>
          <t>S42</t>
        </is>
      </c>
      <c r="C75" s="67" t="n">
        <v>46311</v>
      </c>
      <c r="D75" s="68" t="inlineStr">
        <is>
          <t>Acompanhamento Semanal c/ Supervisores</t>
        </is>
      </c>
      <c r="E75" s="53" t="n"/>
      <c r="F75" s="53" t="n"/>
      <c r="G75" s="69" t="inlineStr">
        <is>
          <t>A</t>
        </is>
      </c>
      <c r="H75" s="70">
        <f>IF($G75="A",CONFIG!$B$5,IF($G75="B",CONFIG!$B$6,IF($G75="C",CONFIG!$B$7,IF($G75="Todos","Todos os turnos",""))))</f>
        <v/>
      </c>
      <c r="I75" s="53" t="n"/>
      <c r="J75" s="71" t="inlineStr">
        <is>
          <t>—</t>
        </is>
      </c>
      <c r="K75" s="53" t="n"/>
      <c r="L75" s="72" t="n"/>
      <c r="M75" s="53" t="n"/>
      <c r="N75" s="73" t="n"/>
      <c r="O75" s="74" t="n"/>
      <c r="P75" s="75" t="n"/>
      <c r="Q75" s="53" t="n"/>
      <c r="R75" s="76">
        <f>IF($C75="","",IF($O75="Cancelada","Cancelada",IF($O75="Reprovado","Reprovada",IF($O75="Aprovado","Aprovada",IF($L75&lt;&gt;"","Entregue",IF(TODAY()&gt;$C75,"Atrasada","Pendente"))))))</f>
        <v/>
      </c>
    </row>
    <row r="76">
      <c r="A76" s="65" t="inlineStr">
        <is>
          <t>OUT-S42-ACO-B</t>
        </is>
      </c>
      <c r="B76" s="66" t="inlineStr">
        <is>
          <t>S42</t>
        </is>
      </c>
      <c r="C76" s="67" t="n">
        <v>46311</v>
      </c>
      <c r="D76" s="68" t="inlineStr">
        <is>
          <t>Acompanhamento Semanal c/ Supervisores</t>
        </is>
      </c>
      <c r="E76" s="53" t="n"/>
      <c r="F76" s="53" t="n"/>
      <c r="G76" s="69" t="inlineStr">
        <is>
          <t>B</t>
        </is>
      </c>
      <c r="H76" s="70">
        <f>IF($G76="A",CONFIG!$B$5,IF($G76="B",CONFIG!$B$6,IF($G76="C",CONFIG!$B$7,IF($G76="Todos","Todos os turnos",""))))</f>
        <v/>
      </c>
      <c r="I76" s="53" t="n"/>
      <c r="J76" s="71" t="inlineStr">
        <is>
          <t>—</t>
        </is>
      </c>
      <c r="K76" s="53" t="n"/>
      <c r="L76" s="72" t="n"/>
      <c r="M76" s="53" t="n"/>
      <c r="N76" s="73" t="n"/>
      <c r="O76" s="74" t="n"/>
      <c r="P76" s="75" t="n"/>
      <c r="Q76" s="53" t="n"/>
      <c r="R76" s="76">
        <f>IF($C76="","",IF($O76="Cancelada","Cancelada",IF($O76="Reprovado","Reprovada",IF($O76="Aprovado","Aprovada",IF($L76&lt;&gt;"","Entregue",IF(TODAY()&gt;$C76,"Atrasada","Pendente"))))))</f>
        <v/>
      </c>
    </row>
    <row r="77">
      <c r="A77" s="65" t="inlineStr">
        <is>
          <t>OUT-S42-ACO-C</t>
        </is>
      </c>
      <c r="B77" s="66" t="inlineStr">
        <is>
          <t>S42</t>
        </is>
      </c>
      <c r="C77" s="67" t="n">
        <v>46311</v>
      </c>
      <c r="D77" s="68" t="inlineStr">
        <is>
          <t>Acompanhamento Semanal c/ Supervisores</t>
        </is>
      </c>
      <c r="E77" s="53" t="n"/>
      <c r="F77" s="53" t="n"/>
      <c r="G77" s="69" t="inlineStr">
        <is>
          <t>C</t>
        </is>
      </c>
      <c r="H77" s="70">
        <f>IF($G77="A",CONFIG!$B$5,IF($G77="B",CONFIG!$B$6,IF($G77="C",CONFIG!$B$7,IF($G77="Todos","Todos os turnos",""))))</f>
        <v/>
      </c>
      <c r="I77" s="53" t="n"/>
      <c r="J77" s="71" t="inlineStr">
        <is>
          <t>—</t>
        </is>
      </c>
      <c r="K77" s="53" t="n"/>
      <c r="L77" s="72" t="n"/>
      <c r="M77" s="53" t="n"/>
      <c r="N77" s="73" t="n"/>
      <c r="O77" s="74" t="n"/>
      <c r="P77" s="75" t="n"/>
      <c r="Q77" s="53" t="n"/>
      <c r="R77" s="76">
        <f>IF($C77="","",IF($O77="Cancelada","Cancelada",IF($O77="Reprovado","Reprovada",IF($O77="Aprovado","Aprovada",IF($L77&lt;&gt;"","Entregue",IF(TODAY()&gt;$C77,"Atrasada","Pendente"))))))</f>
        <v/>
      </c>
    </row>
    <row r="78">
      <c r="A78" s="65" t="inlineStr">
        <is>
          <t>OUT-S42-FAL-A</t>
        </is>
      </c>
      <c r="B78" s="66" t="inlineStr">
        <is>
          <t>S42</t>
        </is>
      </c>
      <c r="C78" s="67" t="n">
        <v>46311</v>
      </c>
      <c r="D78" s="68" t="inlineStr">
        <is>
          <t>Faltas e Atestados</t>
        </is>
      </c>
      <c r="E78" s="53" t="n"/>
      <c r="F78" s="53" t="n"/>
      <c r="G78" s="69" t="inlineStr">
        <is>
          <t>A</t>
        </is>
      </c>
      <c r="H78" s="70">
        <f>IF($G78="A",CONFIG!$B$5,IF($G78="B",CONFIG!$B$6,IF($G78="C",CONFIG!$B$7,IF($G78="Todos","Todos os turnos",""))))</f>
        <v/>
      </c>
      <c r="I78" s="53" t="n"/>
      <c r="J78" s="71" t="inlineStr">
        <is>
          <t>—</t>
        </is>
      </c>
      <c r="K78" s="53" t="n"/>
      <c r="L78" s="72" t="n"/>
      <c r="M78" s="53" t="n"/>
      <c r="N78" s="73" t="n"/>
      <c r="O78" s="74" t="n"/>
      <c r="P78" s="75" t="n"/>
      <c r="Q78" s="53" t="n"/>
      <c r="R78" s="76">
        <f>IF($C78="","",IF($O78="Cancelada","Cancelada",IF($O78="Reprovado","Reprovada",IF($O78="Aprovado","Aprovada",IF($L78&lt;&gt;"","Entregue",IF(TODAY()&gt;$C78,"Atrasada","Pendente"))))))</f>
        <v/>
      </c>
    </row>
    <row r="79">
      <c r="A79" s="65" t="inlineStr">
        <is>
          <t>OUT-S42-FAL-B</t>
        </is>
      </c>
      <c r="B79" s="66" t="inlineStr">
        <is>
          <t>S42</t>
        </is>
      </c>
      <c r="C79" s="67" t="n">
        <v>46311</v>
      </c>
      <c r="D79" s="68" t="inlineStr">
        <is>
          <t>Faltas e Atestados</t>
        </is>
      </c>
      <c r="E79" s="53" t="n"/>
      <c r="F79" s="53" t="n"/>
      <c r="G79" s="69" t="inlineStr">
        <is>
          <t>B</t>
        </is>
      </c>
      <c r="H79" s="70">
        <f>IF($G79="A",CONFIG!$B$5,IF($G79="B",CONFIG!$B$6,IF($G79="C",CONFIG!$B$7,IF($G79="Todos","Todos os turnos",""))))</f>
        <v/>
      </c>
      <c r="I79" s="53" t="n"/>
      <c r="J79" s="71" t="inlineStr">
        <is>
          <t>—</t>
        </is>
      </c>
      <c r="K79" s="53" t="n"/>
      <c r="L79" s="72" t="n"/>
      <c r="M79" s="53" t="n"/>
      <c r="N79" s="73" t="n"/>
      <c r="O79" s="74" t="n"/>
      <c r="P79" s="75" t="n"/>
      <c r="Q79" s="53" t="n"/>
      <c r="R79" s="76">
        <f>IF($C79="","",IF($O79="Cancelada","Cancelada",IF($O79="Reprovado","Reprovada",IF($O79="Aprovado","Aprovada",IF($L79&lt;&gt;"","Entregue",IF(TODAY()&gt;$C79,"Atrasada","Pendente"))))))</f>
        <v/>
      </c>
    </row>
    <row r="80">
      <c r="A80" s="65" t="inlineStr">
        <is>
          <t>OUT-S42-FAL-C</t>
        </is>
      </c>
      <c r="B80" s="66" t="inlineStr">
        <is>
          <t>S42</t>
        </is>
      </c>
      <c r="C80" s="67" t="n">
        <v>46311</v>
      </c>
      <c r="D80" s="68" t="inlineStr">
        <is>
          <t>Faltas e Atestados</t>
        </is>
      </c>
      <c r="E80" s="53" t="n"/>
      <c r="F80" s="53" t="n"/>
      <c r="G80" s="69" t="inlineStr">
        <is>
          <t>C</t>
        </is>
      </c>
      <c r="H80" s="70">
        <f>IF($G80="A",CONFIG!$B$5,IF($G80="B",CONFIG!$B$6,IF($G80="C",CONFIG!$B$7,IF($G80="Todos","Todos os turnos",""))))</f>
        <v/>
      </c>
      <c r="I80" s="53" t="n"/>
      <c r="J80" s="71" t="inlineStr">
        <is>
          <t>—</t>
        </is>
      </c>
      <c r="K80" s="53" t="n"/>
      <c r="L80" s="72" t="n"/>
      <c r="M80" s="53" t="n"/>
      <c r="N80" s="73" t="n"/>
      <c r="O80" s="74" t="n"/>
      <c r="P80" s="75" t="n"/>
      <c r="Q80" s="53" t="n"/>
      <c r="R80" s="76">
        <f>IF($C80="","",IF($O80="Cancelada","Cancelada",IF($O80="Reprovado","Reprovada",IF($O80="Aprovado","Aprovada",IF($L80&lt;&gt;"","Entregue",IF(TODAY()&gt;$C80,"Atrasada","Pendente"))))))</f>
        <v/>
      </c>
    </row>
    <row r="81">
      <c r="A81" s="65" t="inlineStr">
        <is>
          <t>OUT-S42-REU-T</t>
        </is>
      </c>
      <c r="B81" s="66" t="inlineStr">
        <is>
          <t>S42</t>
        </is>
      </c>
      <c r="C81" s="67" t="n">
        <v>46311</v>
      </c>
      <c r="D81" s="68" t="inlineStr">
        <is>
          <t>Reunião Semanal com a Gerência</t>
        </is>
      </c>
      <c r="E81" s="53" t="n"/>
      <c r="F81" s="53" t="n"/>
      <c r="G81" s="69" t="inlineStr">
        <is>
          <t>Todos</t>
        </is>
      </c>
      <c r="H81" s="70">
        <f>IF($G81="A",CONFIG!$B$5,IF($G81="B",CONFIG!$B$6,IF($G81="C",CONFIG!$B$7,IF($G81="Todos","Todos os turnos",""))))</f>
        <v/>
      </c>
      <c r="I81" s="53" t="n"/>
      <c r="J81" s="71" t="inlineStr">
        <is>
          <t>—</t>
        </is>
      </c>
      <c r="K81" s="53" t="n"/>
      <c r="L81" s="72" t="n"/>
      <c r="M81" s="53" t="n"/>
      <c r="N81" s="73" t="n"/>
      <c r="O81" s="74" t="n"/>
      <c r="P81" s="75" t="n"/>
      <c r="Q81" s="53" t="n"/>
      <c r="R81" s="76">
        <f>IF($C81="","",IF($O81="Cancelada","Cancelada",IF($O81="Reprovado","Reprovada",IF($O81="Aprovado","Aprovada",IF($L81&lt;&gt;"","Entregue",IF(TODAY()&gt;$C81,"Atrasada","Pendente"))))))</f>
        <v/>
      </c>
    </row>
    <row r="82">
      <c r="A82" s="65" t="inlineStr">
        <is>
          <t>OUT-S43-ERR-A</t>
        </is>
      </c>
      <c r="B82" s="66" t="inlineStr">
        <is>
          <t>S43</t>
        </is>
      </c>
      <c r="C82" s="67" t="n">
        <v>46314</v>
      </c>
      <c r="D82" s="68" t="inlineStr">
        <is>
          <t>Levantamento de Erros Operacionais</t>
        </is>
      </c>
      <c r="E82" s="53" t="n"/>
      <c r="F82" s="53" t="n"/>
      <c r="G82" s="69" t="inlineStr">
        <is>
          <t>A</t>
        </is>
      </c>
      <c r="H82" s="70">
        <f>IF($G82="A",CONFIG!$B$5,IF($G82="B",CONFIG!$B$6,IF($G82="C",CONFIG!$B$7,IF($G82="Todos","Todos os turnos",""))))</f>
        <v/>
      </c>
      <c r="I82" s="53" t="n"/>
      <c r="J82" s="71" t="inlineStr">
        <is>
          <t>—</t>
        </is>
      </c>
      <c r="K82" s="53" t="n"/>
      <c r="L82" s="72" t="n"/>
      <c r="M82" s="53" t="n"/>
      <c r="N82" s="73" t="n"/>
      <c r="O82" s="74" t="n"/>
      <c r="P82" s="75" t="n"/>
      <c r="Q82" s="53" t="n"/>
      <c r="R82" s="76">
        <f>IF($C82="","",IF($O82="Cancelada","Cancelada",IF($O82="Reprovado","Reprovada",IF($O82="Aprovado","Aprovada",IF($L82&lt;&gt;"","Entregue",IF(TODAY()&gt;$C82,"Atrasada","Pendente"))))))</f>
        <v/>
      </c>
    </row>
    <row r="83">
      <c r="A83" s="65" t="inlineStr">
        <is>
          <t>OUT-S43-ERR-B</t>
        </is>
      </c>
      <c r="B83" s="66" t="inlineStr">
        <is>
          <t>S43</t>
        </is>
      </c>
      <c r="C83" s="67" t="n">
        <v>46314</v>
      </c>
      <c r="D83" s="68" t="inlineStr">
        <is>
          <t>Levantamento de Erros Operacionais</t>
        </is>
      </c>
      <c r="E83" s="53" t="n"/>
      <c r="F83" s="53" t="n"/>
      <c r="G83" s="69" t="inlineStr">
        <is>
          <t>B</t>
        </is>
      </c>
      <c r="H83" s="70">
        <f>IF($G83="A",CONFIG!$B$5,IF($G83="B",CONFIG!$B$6,IF($G83="C",CONFIG!$B$7,IF($G83="Todos","Todos os turnos",""))))</f>
        <v/>
      </c>
      <c r="I83" s="53" t="n"/>
      <c r="J83" s="71" t="inlineStr">
        <is>
          <t>—</t>
        </is>
      </c>
      <c r="K83" s="53" t="n"/>
      <c r="L83" s="72" t="n"/>
      <c r="M83" s="53" t="n"/>
      <c r="N83" s="73" t="n"/>
      <c r="O83" s="74" t="n"/>
      <c r="P83" s="75" t="n"/>
      <c r="Q83" s="53" t="n"/>
      <c r="R83" s="76">
        <f>IF($C83="","",IF($O83="Cancelada","Cancelada",IF($O83="Reprovado","Reprovada",IF($O83="Aprovado","Aprovada",IF($L83&lt;&gt;"","Entregue",IF(TODAY()&gt;$C83,"Atrasada","Pendente"))))))</f>
        <v/>
      </c>
    </row>
    <row r="84">
      <c r="A84" s="65" t="inlineStr">
        <is>
          <t>OUT-S43-ERR-C</t>
        </is>
      </c>
      <c r="B84" s="66" t="inlineStr">
        <is>
          <t>S43</t>
        </is>
      </c>
      <c r="C84" s="67" t="n">
        <v>46314</v>
      </c>
      <c r="D84" s="68" t="inlineStr">
        <is>
          <t>Levantamento de Erros Operacionais</t>
        </is>
      </c>
      <c r="E84" s="53" t="n"/>
      <c r="F84" s="53" t="n"/>
      <c r="G84" s="69" t="inlineStr">
        <is>
          <t>C</t>
        </is>
      </c>
      <c r="H84" s="70">
        <f>IF($G84="A",CONFIG!$B$5,IF($G84="B",CONFIG!$B$6,IF($G84="C",CONFIG!$B$7,IF($G84="Todos","Todos os turnos",""))))</f>
        <v/>
      </c>
      <c r="I84" s="53" t="n"/>
      <c r="J84" s="71" t="inlineStr">
        <is>
          <t>—</t>
        </is>
      </c>
      <c r="K84" s="53" t="n"/>
      <c r="L84" s="72" t="n"/>
      <c r="M84" s="53" t="n"/>
      <c r="N84" s="73" t="n"/>
      <c r="O84" s="74" t="n"/>
      <c r="P84" s="75" t="n"/>
      <c r="Q84" s="53" t="n"/>
      <c r="R84" s="76">
        <f>IF($C84="","",IF($O84="Cancelada","Cancelada",IF($O84="Reprovado","Reprovada",IF($O84="Aprovado","Aprovada",IF($L84&lt;&gt;"","Entregue",IF(TODAY()&gt;$C84,"Atrasada","Pendente"))))))</f>
        <v/>
      </c>
    </row>
    <row r="85">
      <c r="A85" s="65" t="inlineStr">
        <is>
          <t>OUT-S43-SUP-A</t>
        </is>
      </c>
      <c r="B85" s="66" t="inlineStr">
        <is>
          <t>S43</t>
        </is>
      </c>
      <c r="C85" s="67" t="n">
        <v>46315</v>
      </c>
      <c r="D85" s="68" t="inlineStr">
        <is>
          <t>Suporte de Supervisores</t>
        </is>
      </c>
      <c r="E85" s="53" t="n"/>
      <c r="F85" s="53" t="n"/>
      <c r="G85" s="69" t="inlineStr">
        <is>
          <t>A</t>
        </is>
      </c>
      <c r="H85" s="70">
        <f>IF($G85="A",CONFIG!$B$5,IF($G85="B",CONFIG!$B$6,IF($G85="C",CONFIG!$B$7,IF($G85="Todos","Todos os turnos",""))))</f>
        <v/>
      </c>
      <c r="I85" s="53" t="n"/>
      <c r="J85" s="71" t="inlineStr">
        <is>
          <t>—</t>
        </is>
      </c>
      <c r="K85" s="53" t="n"/>
      <c r="L85" s="72" t="n"/>
      <c r="M85" s="53" t="n"/>
      <c r="N85" s="73" t="n"/>
      <c r="O85" s="74" t="n"/>
      <c r="P85" s="75" t="n"/>
      <c r="Q85" s="53" t="n"/>
      <c r="R85" s="76">
        <f>IF($C85="","",IF($O85="Cancelada","Cancelada",IF($O85="Reprovado","Reprovada",IF($O85="Aprovado","Aprovada",IF($L85&lt;&gt;"","Entregue",IF(TODAY()&gt;$C85,"Atrasada","Pendente"))))))</f>
        <v/>
      </c>
    </row>
    <row r="86">
      <c r="A86" s="65" t="inlineStr">
        <is>
          <t>OUT-S43-SUP-B</t>
        </is>
      </c>
      <c r="B86" s="66" t="inlineStr">
        <is>
          <t>S43</t>
        </is>
      </c>
      <c r="C86" s="67" t="n">
        <v>46315</v>
      </c>
      <c r="D86" s="68" t="inlineStr">
        <is>
          <t>Suporte de Supervisores</t>
        </is>
      </c>
      <c r="E86" s="53" t="n"/>
      <c r="F86" s="53" t="n"/>
      <c r="G86" s="69" t="inlineStr">
        <is>
          <t>B</t>
        </is>
      </c>
      <c r="H86" s="70">
        <f>IF($G86="A",CONFIG!$B$5,IF($G86="B",CONFIG!$B$6,IF($G86="C",CONFIG!$B$7,IF($G86="Todos","Todos os turnos",""))))</f>
        <v/>
      </c>
      <c r="I86" s="53" t="n"/>
      <c r="J86" s="71" t="inlineStr">
        <is>
          <t>—</t>
        </is>
      </c>
      <c r="K86" s="53" t="n"/>
      <c r="L86" s="72" t="n"/>
      <c r="M86" s="53" t="n"/>
      <c r="N86" s="73" t="n"/>
      <c r="O86" s="74" t="n"/>
      <c r="P86" s="75" t="n"/>
      <c r="Q86" s="53" t="n"/>
      <c r="R86" s="76">
        <f>IF($C86="","",IF($O86="Cancelada","Cancelada",IF($O86="Reprovado","Reprovada",IF($O86="Aprovado","Aprovada",IF($L86&lt;&gt;"","Entregue",IF(TODAY()&gt;$C86,"Atrasada","Pendente"))))))</f>
        <v/>
      </c>
    </row>
    <row r="87">
      <c r="A87" s="65" t="inlineStr">
        <is>
          <t>OUT-S43-SUP-C</t>
        </is>
      </c>
      <c r="B87" s="66" t="inlineStr">
        <is>
          <t>S43</t>
        </is>
      </c>
      <c r="C87" s="67" t="n">
        <v>46315</v>
      </c>
      <c r="D87" s="68" t="inlineStr">
        <is>
          <t>Suporte de Supervisores</t>
        </is>
      </c>
      <c r="E87" s="53" t="n"/>
      <c r="F87" s="53" t="n"/>
      <c r="G87" s="69" t="inlineStr">
        <is>
          <t>C</t>
        </is>
      </c>
      <c r="H87" s="70">
        <f>IF($G87="A",CONFIG!$B$5,IF($G87="B",CONFIG!$B$6,IF($G87="C",CONFIG!$B$7,IF($G87="Todos","Todos os turnos",""))))</f>
        <v/>
      </c>
      <c r="I87" s="53" t="n"/>
      <c r="J87" s="71" t="inlineStr">
        <is>
          <t>—</t>
        </is>
      </c>
      <c r="K87" s="53" t="n"/>
      <c r="L87" s="72" t="n"/>
      <c r="M87" s="53" t="n"/>
      <c r="N87" s="73" t="n"/>
      <c r="O87" s="74" t="n"/>
      <c r="P87" s="75" t="n"/>
      <c r="Q87" s="53" t="n"/>
      <c r="R87" s="76">
        <f>IF($C87="","",IF($O87="Cancelada","Cancelada",IF($O87="Reprovado","Reprovada",IF($O87="Aprovado","Aprovada",IF($L87&lt;&gt;"","Entregue",IF(TODAY()&gt;$C87,"Atrasada","Pendente"))))))</f>
        <v/>
      </c>
    </row>
    <row r="88">
      <c r="A88" s="65" t="inlineStr">
        <is>
          <t>OUT-S43-VIS-A</t>
        </is>
      </c>
      <c r="B88" s="66" t="inlineStr">
        <is>
          <t>S43</t>
        </is>
      </c>
      <c r="C88" s="67" t="n">
        <v>46316</v>
      </c>
      <c r="D88" s="68" t="inlineStr">
        <is>
          <t>Acomp. Organizacional Setorial (Vistoria)</t>
        </is>
      </c>
      <c r="E88" s="53" t="n"/>
      <c r="F88" s="53" t="n"/>
      <c r="G88" s="69" t="inlineStr">
        <is>
          <t>A</t>
        </is>
      </c>
      <c r="H88" s="70">
        <f>IF($G88="A",CONFIG!$B$5,IF($G88="B",CONFIG!$B$6,IF($G88="C",CONFIG!$B$7,IF($G88="Todos","Todos os turnos",""))))</f>
        <v/>
      </c>
      <c r="I88" s="53" t="n"/>
      <c r="J88" s="77" t="n"/>
      <c r="K88" s="53" t="n"/>
      <c r="L88" s="72" t="n"/>
      <c r="M88" s="53" t="n"/>
      <c r="N88" s="73" t="n"/>
      <c r="O88" s="74" t="n"/>
      <c r="P88" s="75" t="n"/>
      <c r="Q88" s="53" t="n"/>
      <c r="R88" s="76">
        <f>IF($C88="","",IF($O88="Cancelada","Cancelada",IF($O88="Reprovado","Reprovada",IF($O88="Aprovado","Aprovada",IF($L88&lt;&gt;"","Entregue",IF(TODAY()&gt;$C88,"Atrasada","Pendente"))))))</f>
        <v/>
      </c>
    </row>
    <row r="89">
      <c r="A89" s="65" t="inlineStr">
        <is>
          <t>OUT-S43-VIS-B</t>
        </is>
      </c>
      <c r="B89" s="66" t="inlineStr">
        <is>
          <t>S43</t>
        </is>
      </c>
      <c r="C89" s="67" t="n">
        <v>46316</v>
      </c>
      <c r="D89" s="68" t="inlineStr">
        <is>
          <t>Acomp. Organizacional Setorial (Vistoria)</t>
        </is>
      </c>
      <c r="E89" s="53" t="n"/>
      <c r="F89" s="53" t="n"/>
      <c r="G89" s="69" t="inlineStr">
        <is>
          <t>B</t>
        </is>
      </c>
      <c r="H89" s="70">
        <f>IF($G89="A",CONFIG!$B$5,IF($G89="B",CONFIG!$B$6,IF($G89="C",CONFIG!$B$7,IF($G89="Todos","Todos os turnos",""))))</f>
        <v/>
      </c>
      <c r="I89" s="53" t="n"/>
      <c r="J89" s="77" t="n"/>
      <c r="K89" s="53" t="n"/>
      <c r="L89" s="72" t="n"/>
      <c r="M89" s="53" t="n"/>
      <c r="N89" s="73" t="n"/>
      <c r="O89" s="74" t="n"/>
      <c r="P89" s="75" t="n"/>
      <c r="Q89" s="53" t="n"/>
      <c r="R89" s="76">
        <f>IF($C89="","",IF($O89="Cancelada","Cancelada",IF($O89="Reprovado","Reprovada",IF($O89="Aprovado","Aprovada",IF($L89&lt;&gt;"","Entregue",IF(TODAY()&gt;$C89,"Atrasada","Pendente"))))))</f>
        <v/>
      </c>
    </row>
    <row r="90">
      <c r="A90" s="65" t="inlineStr">
        <is>
          <t>OUT-S43-VIS-C</t>
        </is>
      </c>
      <c r="B90" s="66" t="inlineStr">
        <is>
          <t>S43</t>
        </is>
      </c>
      <c r="C90" s="67" t="n">
        <v>46316</v>
      </c>
      <c r="D90" s="68" t="inlineStr">
        <is>
          <t>Acomp. Organizacional Setorial (Vistoria)</t>
        </is>
      </c>
      <c r="E90" s="53" t="n"/>
      <c r="F90" s="53" t="n"/>
      <c r="G90" s="69" t="inlineStr">
        <is>
          <t>C</t>
        </is>
      </c>
      <c r="H90" s="70">
        <f>IF($G90="A",CONFIG!$B$5,IF($G90="B",CONFIG!$B$6,IF($G90="C",CONFIG!$B$7,IF($G90="Todos","Todos os turnos",""))))</f>
        <v/>
      </c>
      <c r="I90" s="53" t="n"/>
      <c r="J90" s="77" t="n"/>
      <c r="K90" s="53" t="n"/>
      <c r="L90" s="72" t="n"/>
      <c r="M90" s="53" t="n"/>
      <c r="N90" s="73" t="n"/>
      <c r="O90" s="74" t="n"/>
      <c r="P90" s="75" t="n"/>
      <c r="Q90" s="53" t="n"/>
      <c r="R90" s="76">
        <f>IF($C90="","",IF($O90="Cancelada","Cancelada",IF($O90="Reprovado","Reprovada",IF($O90="Aprovado","Aprovada",IF($L90&lt;&gt;"","Entregue",IF(TODAY()&gt;$C90,"Atrasada","Pendente"))))))</f>
        <v/>
      </c>
    </row>
    <row r="91">
      <c r="A91" s="65" t="inlineStr">
        <is>
          <t>OUT-S43-MET-A</t>
        </is>
      </c>
      <c r="B91" s="66" t="inlineStr">
        <is>
          <t>S43</t>
        </is>
      </c>
      <c r="C91" s="67" t="n">
        <v>46317</v>
      </c>
      <c r="D91" s="68" t="inlineStr">
        <is>
          <t>Metas</t>
        </is>
      </c>
      <c r="E91" s="53" t="n"/>
      <c r="F91" s="53" t="n"/>
      <c r="G91" s="69" t="inlineStr">
        <is>
          <t>A</t>
        </is>
      </c>
      <c r="H91" s="70">
        <f>IF($G91="A",CONFIG!$B$5,IF($G91="B",CONFIG!$B$6,IF($G91="C",CONFIG!$B$7,IF($G91="Todos","Todos os turnos",""))))</f>
        <v/>
      </c>
      <c r="I91" s="53" t="n"/>
      <c r="J91" s="71" t="inlineStr">
        <is>
          <t>—</t>
        </is>
      </c>
      <c r="K91" s="53" t="n"/>
      <c r="L91" s="72" t="n"/>
      <c r="M91" s="53" t="n"/>
      <c r="N91" s="73" t="n"/>
      <c r="O91" s="74" t="n"/>
      <c r="P91" s="75" t="n"/>
      <c r="Q91" s="53" t="n"/>
      <c r="R91" s="76">
        <f>IF($C91="","",IF($O91="Cancelada","Cancelada",IF($O91="Reprovado","Reprovada",IF($O91="Aprovado","Aprovada",IF($L91&lt;&gt;"","Entregue",IF(TODAY()&gt;$C91,"Atrasada","Pendente"))))))</f>
        <v/>
      </c>
    </row>
    <row r="92">
      <c r="A92" s="65" t="inlineStr">
        <is>
          <t>OUT-S43-MET-B</t>
        </is>
      </c>
      <c r="B92" s="66" t="inlineStr">
        <is>
          <t>S43</t>
        </is>
      </c>
      <c r="C92" s="67" t="n">
        <v>46317</v>
      </c>
      <c r="D92" s="68" t="inlineStr">
        <is>
          <t>Metas</t>
        </is>
      </c>
      <c r="E92" s="53" t="n"/>
      <c r="F92" s="53" t="n"/>
      <c r="G92" s="69" t="inlineStr">
        <is>
          <t>B</t>
        </is>
      </c>
      <c r="H92" s="70">
        <f>IF($G92="A",CONFIG!$B$5,IF($G92="B",CONFIG!$B$6,IF($G92="C",CONFIG!$B$7,IF($G92="Todos","Todos os turnos",""))))</f>
        <v/>
      </c>
      <c r="I92" s="53" t="n"/>
      <c r="J92" s="71" t="inlineStr">
        <is>
          <t>—</t>
        </is>
      </c>
      <c r="K92" s="53" t="n"/>
      <c r="L92" s="72" t="n"/>
      <c r="M92" s="53" t="n"/>
      <c r="N92" s="73" t="n"/>
      <c r="O92" s="74" t="n"/>
      <c r="P92" s="75" t="n"/>
      <c r="Q92" s="53" t="n"/>
      <c r="R92" s="76">
        <f>IF($C92="","",IF($O92="Cancelada","Cancelada",IF($O92="Reprovado","Reprovada",IF($O92="Aprovado","Aprovada",IF($L92&lt;&gt;"","Entregue",IF(TODAY()&gt;$C92,"Atrasada","Pendente"))))))</f>
        <v/>
      </c>
    </row>
    <row r="93">
      <c r="A93" s="65" t="inlineStr">
        <is>
          <t>OUT-S43-MET-C</t>
        </is>
      </c>
      <c r="B93" s="66" t="inlineStr">
        <is>
          <t>S43</t>
        </is>
      </c>
      <c r="C93" s="67" t="n">
        <v>46317</v>
      </c>
      <c r="D93" s="68" t="inlineStr">
        <is>
          <t>Metas</t>
        </is>
      </c>
      <c r="E93" s="53" t="n"/>
      <c r="F93" s="53" t="n"/>
      <c r="G93" s="69" t="inlineStr">
        <is>
          <t>C</t>
        </is>
      </c>
      <c r="H93" s="70">
        <f>IF($G93="A",CONFIG!$B$5,IF($G93="B",CONFIG!$B$6,IF($G93="C",CONFIG!$B$7,IF($G93="Todos","Todos os turnos",""))))</f>
        <v/>
      </c>
      <c r="I93" s="53" t="n"/>
      <c r="J93" s="71" t="inlineStr">
        <is>
          <t>—</t>
        </is>
      </c>
      <c r="K93" s="53" t="n"/>
      <c r="L93" s="72" t="n"/>
      <c r="M93" s="53" t="n"/>
      <c r="N93" s="73" t="n"/>
      <c r="O93" s="74" t="n"/>
      <c r="P93" s="75" t="n"/>
      <c r="Q93" s="53" t="n"/>
      <c r="R93" s="76">
        <f>IF($C93="","",IF($O93="Cancelada","Cancelada",IF($O93="Reprovado","Reprovada",IF($O93="Aprovado","Aprovada",IF($L93&lt;&gt;"","Entregue",IF(TODAY()&gt;$C93,"Atrasada","Pendente"))))))</f>
        <v/>
      </c>
    </row>
    <row r="94">
      <c r="A94" s="65" t="inlineStr">
        <is>
          <t>OUT-S43-ACO-A</t>
        </is>
      </c>
      <c r="B94" s="66" t="inlineStr">
        <is>
          <t>S43</t>
        </is>
      </c>
      <c r="C94" s="67" t="n">
        <v>46318</v>
      </c>
      <c r="D94" s="68" t="inlineStr">
        <is>
          <t>Acompanhamento Semanal c/ Supervisores</t>
        </is>
      </c>
      <c r="E94" s="53" t="n"/>
      <c r="F94" s="53" t="n"/>
      <c r="G94" s="69" t="inlineStr">
        <is>
          <t>A</t>
        </is>
      </c>
      <c r="H94" s="70">
        <f>IF($G94="A",CONFIG!$B$5,IF($G94="B",CONFIG!$B$6,IF($G94="C",CONFIG!$B$7,IF($G94="Todos","Todos os turnos",""))))</f>
        <v/>
      </c>
      <c r="I94" s="53" t="n"/>
      <c r="J94" s="71" t="inlineStr">
        <is>
          <t>—</t>
        </is>
      </c>
      <c r="K94" s="53" t="n"/>
      <c r="L94" s="72" t="n"/>
      <c r="M94" s="53" t="n"/>
      <c r="N94" s="73" t="n"/>
      <c r="O94" s="74" t="n"/>
      <c r="P94" s="75" t="n"/>
      <c r="Q94" s="53" t="n"/>
      <c r="R94" s="76">
        <f>IF($C94="","",IF($O94="Cancelada","Cancelada",IF($O94="Reprovado","Reprovada",IF($O94="Aprovado","Aprovada",IF($L94&lt;&gt;"","Entregue",IF(TODAY()&gt;$C94,"Atrasada","Pendente"))))))</f>
        <v/>
      </c>
    </row>
    <row r="95">
      <c r="A95" s="65" t="inlineStr">
        <is>
          <t>OUT-S43-ACO-B</t>
        </is>
      </c>
      <c r="B95" s="66" t="inlineStr">
        <is>
          <t>S43</t>
        </is>
      </c>
      <c r="C95" s="67" t="n">
        <v>46318</v>
      </c>
      <c r="D95" s="68" t="inlineStr">
        <is>
          <t>Acompanhamento Semanal c/ Supervisores</t>
        </is>
      </c>
      <c r="E95" s="53" t="n"/>
      <c r="F95" s="53" t="n"/>
      <c r="G95" s="69" t="inlineStr">
        <is>
          <t>B</t>
        </is>
      </c>
      <c r="H95" s="70">
        <f>IF($G95="A",CONFIG!$B$5,IF($G95="B",CONFIG!$B$6,IF($G95="C",CONFIG!$B$7,IF($G95="Todos","Todos os turnos",""))))</f>
        <v/>
      </c>
      <c r="I95" s="53" t="n"/>
      <c r="J95" s="71" t="inlineStr">
        <is>
          <t>—</t>
        </is>
      </c>
      <c r="K95" s="53" t="n"/>
      <c r="L95" s="72" t="n"/>
      <c r="M95" s="53" t="n"/>
      <c r="N95" s="73" t="n"/>
      <c r="O95" s="74" t="n"/>
      <c r="P95" s="75" t="n"/>
      <c r="Q95" s="53" t="n"/>
      <c r="R95" s="76">
        <f>IF($C95="","",IF($O95="Cancelada","Cancelada",IF($O95="Reprovado","Reprovada",IF($O95="Aprovado","Aprovada",IF($L95&lt;&gt;"","Entregue",IF(TODAY()&gt;$C95,"Atrasada","Pendente"))))))</f>
        <v/>
      </c>
    </row>
    <row r="96">
      <c r="A96" s="65" t="inlineStr">
        <is>
          <t>OUT-S43-ACO-C</t>
        </is>
      </c>
      <c r="B96" s="66" t="inlineStr">
        <is>
          <t>S43</t>
        </is>
      </c>
      <c r="C96" s="67" t="n">
        <v>46318</v>
      </c>
      <c r="D96" s="68" t="inlineStr">
        <is>
          <t>Acompanhamento Semanal c/ Supervisores</t>
        </is>
      </c>
      <c r="E96" s="53" t="n"/>
      <c r="F96" s="53" t="n"/>
      <c r="G96" s="69" t="inlineStr">
        <is>
          <t>C</t>
        </is>
      </c>
      <c r="H96" s="70">
        <f>IF($G96="A",CONFIG!$B$5,IF($G96="B",CONFIG!$B$6,IF($G96="C",CONFIG!$B$7,IF($G96="Todos","Todos os turnos",""))))</f>
        <v/>
      </c>
      <c r="I96" s="53" t="n"/>
      <c r="J96" s="71" t="inlineStr">
        <is>
          <t>—</t>
        </is>
      </c>
      <c r="K96" s="53" t="n"/>
      <c r="L96" s="72" t="n"/>
      <c r="M96" s="53" t="n"/>
      <c r="N96" s="73" t="n"/>
      <c r="O96" s="74" t="n"/>
      <c r="P96" s="75" t="n"/>
      <c r="Q96" s="53" t="n"/>
      <c r="R96" s="76">
        <f>IF($C96="","",IF($O96="Cancelada","Cancelada",IF($O96="Reprovado","Reprovada",IF($O96="Aprovado","Aprovada",IF($L96&lt;&gt;"","Entregue",IF(TODAY()&gt;$C96,"Atrasada","Pendente"))))))</f>
        <v/>
      </c>
    </row>
    <row r="97">
      <c r="A97" s="65" t="inlineStr">
        <is>
          <t>OUT-S43-FAL-A</t>
        </is>
      </c>
      <c r="B97" s="66" t="inlineStr">
        <is>
          <t>S43</t>
        </is>
      </c>
      <c r="C97" s="67" t="n">
        <v>46318</v>
      </c>
      <c r="D97" s="68" t="inlineStr">
        <is>
          <t>Faltas e Atestados</t>
        </is>
      </c>
      <c r="E97" s="53" t="n"/>
      <c r="F97" s="53" t="n"/>
      <c r="G97" s="69" t="inlineStr">
        <is>
          <t>A</t>
        </is>
      </c>
      <c r="H97" s="70">
        <f>IF($G97="A",CONFIG!$B$5,IF($G97="B",CONFIG!$B$6,IF($G97="C",CONFIG!$B$7,IF($G97="Todos","Todos os turnos",""))))</f>
        <v/>
      </c>
      <c r="I97" s="53" t="n"/>
      <c r="J97" s="71" t="inlineStr">
        <is>
          <t>—</t>
        </is>
      </c>
      <c r="K97" s="53" t="n"/>
      <c r="L97" s="72" t="n"/>
      <c r="M97" s="53" t="n"/>
      <c r="N97" s="73" t="n"/>
      <c r="O97" s="74" t="n"/>
      <c r="P97" s="75" t="n"/>
      <c r="Q97" s="53" t="n"/>
      <c r="R97" s="76">
        <f>IF($C97="","",IF($O97="Cancelada","Cancelada",IF($O97="Reprovado","Reprovada",IF($O97="Aprovado","Aprovada",IF($L97&lt;&gt;"","Entregue",IF(TODAY()&gt;$C97,"Atrasada","Pendente"))))))</f>
        <v/>
      </c>
    </row>
    <row r="98">
      <c r="A98" s="65" t="inlineStr">
        <is>
          <t>OUT-S43-FAL-B</t>
        </is>
      </c>
      <c r="B98" s="66" t="inlineStr">
        <is>
          <t>S43</t>
        </is>
      </c>
      <c r="C98" s="67" t="n">
        <v>46318</v>
      </c>
      <c r="D98" s="68" t="inlineStr">
        <is>
          <t>Faltas e Atestados</t>
        </is>
      </c>
      <c r="E98" s="53" t="n"/>
      <c r="F98" s="53" t="n"/>
      <c r="G98" s="69" t="inlineStr">
        <is>
          <t>B</t>
        </is>
      </c>
      <c r="H98" s="70">
        <f>IF($G98="A",CONFIG!$B$5,IF($G98="B",CONFIG!$B$6,IF($G98="C",CONFIG!$B$7,IF($G98="Todos","Todos os turnos",""))))</f>
        <v/>
      </c>
      <c r="I98" s="53" t="n"/>
      <c r="J98" s="71" t="inlineStr">
        <is>
          <t>—</t>
        </is>
      </c>
      <c r="K98" s="53" t="n"/>
      <c r="L98" s="72" t="n"/>
      <c r="M98" s="53" t="n"/>
      <c r="N98" s="73" t="n"/>
      <c r="O98" s="74" t="n"/>
      <c r="P98" s="75" t="n"/>
      <c r="Q98" s="53" t="n"/>
      <c r="R98" s="76">
        <f>IF($C98="","",IF($O98="Cancelada","Cancelada",IF($O98="Reprovado","Reprovada",IF($O98="Aprovado","Aprovada",IF($L98&lt;&gt;"","Entregue",IF(TODAY()&gt;$C98,"Atrasada","Pendente"))))))</f>
        <v/>
      </c>
    </row>
    <row r="99">
      <c r="A99" s="65" t="inlineStr">
        <is>
          <t>OUT-S43-FAL-C</t>
        </is>
      </c>
      <c r="B99" s="66" t="inlineStr">
        <is>
          <t>S43</t>
        </is>
      </c>
      <c r="C99" s="67" t="n">
        <v>46318</v>
      </c>
      <c r="D99" s="68" t="inlineStr">
        <is>
          <t>Faltas e Atestados</t>
        </is>
      </c>
      <c r="E99" s="53" t="n"/>
      <c r="F99" s="53" t="n"/>
      <c r="G99" s="69" t="inlineStr">
        <is>
          <t>C</t>
        </is>
      </c>
      <c r="H99" s="70">
        <f>IF($G99="A",CONFIG!$B$5,IF($G99="B",CONFIG!$B$6,IF($G99="C",CONFIG!$B$7,IF($G99="Todos","Todos os turnos",""))))</f>
        <v/>
      </c>
      <c r="I99" s="53" t="n"/>
      <c r="J99" s="71" t="inlineStr">
        <is>
          <t>—</t>
        </is>
      </c>
      <c r="K99" s="53" t="n"/>
      <c r="L99" s="72" t="n"/>
      <c r="M99" s="53" t="n"/>
      <c r="N99" s="73" t="n"/>
      <c r="O99" s="74" t="n"/>
      <c r="P99" s="75" t="n"/>
      <c r="Q99" s="53" t="n"/>
      <c r="R99" s="76">
        <f>IF($C99="","",IF($O99="Cancelada","Cancelada",IF($O99="Reprovado","Reprovada",IF($O99="Aprovado","Aprovada",IF($L99&lt;&gt;"","Entregue",IF(TODAY()&gt;$C99,"Atrasada","Pendente"))))))</f>
        <v/>
      </c>
    </row>
    <row r="100">
      <c r="A100" s="65" t="inlineStr">
        <is>
          <t>OUT-S43-REU-T</t>
        </is>
      </c>
      <c r="B100" s="66" t="inlineStr">
        <is>
          <t>S43</t>
        </is>
      </c>
      <c r="C100" s="67" t="n">
        <v>46318</v>
      </c>
      <c r="D100" s="68" t="inlineStr">
        <is>
          <t>Reunião Semanal com a Gerência</t>
        </is>
      </c>
      <c r="E100" s="53" t="n"/>
      <c r="F100" s="53" t="n"/>
      <c r="G100" s="69" t="inlineStr">
        <is>
          <t>Todos</t>
        </is>
      </c>
      <c r="H100" s="70">
        <f>IF($G100="A",CONFIG!$B$5,IF($G100="B",CONFIG!$B$6,IF($G100="C",CONFIG!$B$7,IF($G100="Todos","Todos os turnos",""))))</f>
        <v/>
      </c>
      <c r="I100" s="53" t="n"/>
      <c r="J100" s="71" t="inlineStr">
        <is>
          <t>—</t>
        </is>
      </c>
      <c r="K100" s="53" t="n"/>
      <c r="L100" s="72" t="n"/>
      <c r="M100" s="53" t="n"/>
      <c r="N100" s="73" t="n"/>
      <c r="O100" s="74" t="n"/>
      <c r="P100" s="75" t="n"/>
      <c r="Q100" s="53" t="n"/>
      <c r="R100" s="76">
        <f>IF($C100="","",IF($O100="Cancelada","Cancelada",IF($O100="Reprovado","Reprovada",IF($O100="Aprovado","Aprovada",IF($L100&lt;&gt;"","Entregue",IF(TODAY()&gt;$C100,"Atrasada","Pendente"))))))</f>
        <v/>
      </c>
    </row>
    <row r="101">
      <c r="A101" s="65" t="inlineStr">
        <is>
          <t>OUT-S44-ERR-A</t>
        </is>
      </c>
      <c r="B101" s="66" t="inlineStr">
        <is>
          <t>S44</t>
        </is>
      </c>
      <c r="C101" s="67" t="n">
        <v>46321</v>
      </c>
      <c r="D101" s="68" t="inlineStr">
        <is>
          <t>Levantamento de Erros Operacionais</t>
        </is>
      </c>
      <c r="E101" s="53" t="n"/>
      <c r="F101" s="53" t="n"/>
      <c r="G101" s="69" t="inlineStr">
        <is>
          <t>A</t>
        </is>
      </c>
      <c r="H101" s="70">
        <f>IF($G101="A",CONFIG!$B$5,IF($G101="B",CONFIG!$B$6,IF($G101="C",CONFIG!$B$7,IF($G101="Todos","Todos os turnos",""))))</f>
        <v/>
      </c>
      <c r="I101" s="53" t="n"/>
      <c r="J101" s="71" t="inlineStr">
        <is>
          <t>—</t>
        </is>
      </c>
      <c r="K101" s="53" t="n"/>
      <c r="L101" s="72" t="n"/>
      <c r="M101" s="53" t="n"/>
      <c r="N101" s="73" t="n"/>
      <c r="O101" s="74" t="n"/>
      <c r="P101" s="75" t="n"/>
      <c r="Q101" s="53" t="n"/>
      <c r="R101" s="76">
        <f>IF($C101="","",IF($O101="Cancelada","Cancelada",IF($O101="Reprovado","Reprovada",IF($O101="Aprovado","Aprovada",IF($L101&lt;&gt;"","Entregue",IF(TODAY()&gt;$C101,"Atrasada","Pendente"))))))</f>
        <v/>
      </c>
    </row>
    <row r="102">
      <c r="A102" s="65" t="inlineStr">
        <is>
          <t>OUT-S44-ERR-B</t>
        </is>
      </c>
      <c r="B102" s="66" t="inlineStr">
        <is>
          <t>S44</t>
        </is>
      </c>
      <c r="C102" s="67" t="n">
        <v>46321</v>
      </c>
      <c r="D102" s="68" t="inlineStr">
        <is>
          <t>Levantamento de Erros Operacionais</t>
        </is>
      </c>
      <c r="E102" s="53" t="n"/>
      <c r="F102" s="53" t="n"/>
      <c r="G102" s="69" t="inlineStr">
        <is>
          <t>B</t>
        </is>
      </c>
      <c r="H102" s="70">
        <f>IF($G102="A",CONFIG!$B$5,IF($G102="B",CONFIG!$B$6,IF($G102="C",CONFIG!$B$7,IF($G102="Todos","Todos os turnos",""))))</f>
        <v/>
      </c>
      <c r="I102" s="53" t="n"/>
      <c r="J102" s="71" t="inlineStr">
        <is>
          <t>—</t>
        </is>
      </c>
      <c r="K102" s="53" t="n"/>
      <c r="L102" s="72" t="n"/>
      <c r="M102" s="53" t="n"/>
      <c r="N102" s="73" t="n"/>
      <c r="O102" s="74" t="n"/>
      <c r="P102" s="75" t="n"/>
      <c r="Q102" s="53" t="n"/>
      <c r="R102" s="76">
        <f>IF($C102="","",IF($O102="Cancelada","Cancelada",IF($O102="Reprovado","Reprovada",IF($O102="Aprovado","Aprovada",IF($L102&lt;&gt;"","Entregue",IF(TODAY()&gt;$C102,"Atrasada","Pendente"))))))</f>
        <v/>
      </c>
    </row>
    <row r="103">
      <c r="A103" s="65" t="inlineStr">
        <is>
          <t>OUT-S44-ERR-C</t>
        </is>
      </c>
      <c r="B103" s="66" t="inlineStr">
        <is>
          <t>S44</t>
        </is>
      </c>
      <c r="C103" s="67" t="n">
        <v>46321</v>
      </c>
      <c r="D103" s="68" t="inlineStr">
        <is>
          <t>Levantamento de Erros Operacionais</t>
        </is>
      </c>
      <c r="E103" s="53" t="n"/>
      <c r="F103" s="53" t="n"/>
      <c r="G103" s="69" t="inlineStr">
        <is>
          <t>C</t>
        </is>
      </c>
      <c r="H103" s="70">
        <f>IF($G103="A",CONFIG!$B$5,IF($G103="B",CONFIG!$B$6,IF($G103="C",CONFIG!$B$7,IF($G103="Todos","Todos os turnos",""))))</f>
        <v/>
      </c>
      <c r="I103" s="53" t="n"/>
      <c r="J103" s="71" t="inlineStr">
        <is>
          <t>—</t>
        </is>
      </c>
      <c r="K103" s="53" t="n"/>
      <c r="L103" s="72" t="n"/>
      <c r="M103" s="53" t="n"/>
      <c r="N103" s="73" t="n"/>
      <c r="O103" s="74" t="n"/>
      <c r="P103" s="75" t="n"/>
      <c r="Q103" s="53" t="n"/>
      <c r="R103" s="76">
        <f>IF($C103="","",IF($O103="Cancelada","Cancelada",IF($O103="Reprovado","Reprovada",IF($O103="Aprovado","Aprovada",IF($L103&lt;&gt;"","Entregue",IF(TODAY()&gt;$C103,"Atrasada","Pendente"))))))</f>
        <v/>
      </c>
    </row>
    <row r="104">
      <c r="A104" s="65" t="inlineStr">
        <is>
          <t>OUT-S44-SUP-A</t>
        </is>
      </c>
      <c r="B104" s="66" t="inlineStr">
        <is>
          <t>S44</t>
        </is>
      </c>
      <c r="C104" s="67" t="n">
        <v>46322</v>
      </c>
      <c r="D104" s="68" t="inlineStr">
        <is>
          <t>Suporte de Supervisores</t>
        </is>
      </c>
      <c r="E104" s="53" t="n"/>
      <c r="F104" s="53" t="n"/>
      <c r="G104" s="69" t="inlineStr">
        <is>
          <t>A</t>
        </is>
      </c>
      <c r="H104" s="70">
        <f>IF($G104="A",CONFIG!$B$5,IF($G104="B",CONFIG!$B$6,IF($G104="C",CONFIG!$B$7,IF($G104="Todos","Todos os turnos",""))))</f>
        <v/>
      </c>
      <c r="I104" s="53" t="n"/>
      <c r="J104" s="71" t="inlineStr">
        <is>
          <t>—</t>
        </is>
      </c>
      <c r="K104" s="53" t="n"/>
      <c r="L104" s="72" t="n"/>
      <c r="M104" s="53" t="n"/>
      <c r="N104" s="73" t="n"/>
      <c r="O104" s="74" t="n"/>
      <c r="P104" s="75" t="n"/>
      <c r="Q104" s="53" t="n"/>
      <c r="R104" s="76">
        <f>IF($C104="","",IF($O104="Cancelada","Cancelada",IF($O104="Reprovado","Reprovada",IF($O104="Aprovado","Aprovada",IF($L104&lt;&gt;"","Entregue",IF(TODAY()&gt;$C104,"Atrasada","Pendente"))))))</f>
        <v/>
      </c>
    </row>
    <row r="105">
      <c r="A105" s="65" t="inlineStr">
        <is>
          <t>OUT-S44-SUP-B</t>
        </is>
      </c>
      <c r="B105" s="66" t="inlineStr">
        <is>
          <t>S44</t>
        </is>
      </c>
      <c r="C105" s="67" t="n">
        <v>46322</v>
      </c>
      <c r="D105" s="68" t="inlineStr">
        <is>
          <t>Suporte de Supervisores</t>
        </is>
      </c>
      <c r="E105" s="53" t="n"/>
      <c r="F105" s="53" t="n"/>
      <c r="G105" s="69" t="inlineStr">
        <is>
          <t>B</t>
        </is>
      </c>
      <c r="H105" s="70">
        <f>IF($G105="A",CONFIG!$B$5,IF($G105="B",CONFIG!$B$6,IF($G105="C",CONFIG!$B$7,IF($G105="Todos","Todos os turnos",""))))</f>
        <v/>
      </c>
      <c r="I105" s="53" t="n"/>
      <c r="J105" s="71" t="inlineStr">
        <is>
          <t>—</t>
        </is>
      </c>
      <c r="K105" s="53" t="n"/>
      <c r="L105" s="72" t="n"/>
      <c r="M105" s="53" t="n"/>
      <c r="N105" s="73" t="n"/>
      <c r="O105" s="74" t="n"/>
      <c r="P105" s="75" t="n"/>
      <c r="Q105" s="53" t="n"/>
      <c r="R105" s="76">
        <f>IF($C105="","",IF($O105="Cancelada","Cancelada",IF($O105="Reprovado","Reprovada",IF($O105="Aprovado","Aprovada",IF($L105&lt;&gt;"","Entregue",IF(TODAY()&gt;$C105,"Atrasada","Pendente"))))))</f>
        <v/>
      </c>
    </row>
    <row r="106">
      <c r="A106" s="65" t="inlineStr">
        <is>
          <t>OUT-S44-SUP-C</t>
        </is>
      </c>
      <c r="B106" s="66" t="inlineStr">
        <is>
          <t>S44</t>
        </is>
      </c>
      <c r="C106" s="67" t="n">
        <v>46322</v>
      </c>
      <c r="D106" s="68" t="inlineStr">
        <is>
          <t>Suporte de Supervisores</t>
        </is>
      </c>
      <c r="E106" s="53" t="n"/>
      <c r="F106" s="53" t="n"/>
      <c r="G106" s="69" t="inlineStr">
        <is>
          <t>C</t>
        </is>
      </c>
      <c r="H106" s="70">
        <f>IF($G106="A",CONFIG!$B$5,IF($G106="B",CONFIG!$B$6,IF($G106="C",CONFIG!$B$7,IF($G106="Todos","Todos os turnos",""))))</f>
        <v/>
      </c>
      <c r="I106" s="53" t="n"/>
      <c r="J106" s="71" t="inlineStr">
        <is>
          <t>—</t>
        </is>
      </c>
      <c r="K106" s="53" t="n"/>
      <c r="L106" s="72" t="n"/>
      <c r="M106" s="53" t="n"/>
      <c r="N106" s="73" t="n"/>
      <c r="O106" s="74" t="n"/>
      <c r="P106" s="75" t="n"/>
      <c r="Q106" s="53" t="n"/>
      <c r="R106" s="76">
        <f>IF($C106="","",IF($O106="Cancelada","Cancelada",IF($O106="Reprovado","Reprovada",IF($O106="Aprovado","Aprovada",IF($L106&lt;&gt;"","Entregue",IF(TODAY()&gt;$C106,"Atrasada","Pendente"))))))</f>
        <v/>
      </c>
    </row>
    <row r="107">
      <c r="A107" s="65" t="inlineStr">
        <is>
          <t>OUT-S44-VIS-A</t>
        </is>
      </c>
      <c r="B107" s="66" t="inlineStr">
        <is>
          <t>S44</t>
        </is>
      </c>
      <c r="C107" s="67" t="n">
        <v>46323</v>
      </c>
      <c r="D107" s="68" t="inlineStr">
        <is>
          <t>Acomp. Organizacional Setorial (Vistoria)</t>
        </is>
      </c>
      <c r="E107" s="53" t="n"/>
      <c r="F107" s="53" t="n"/>
      <c r="G107" s="69" t="inlineStr">
        <is>
          <t>A</t>
        </is>
      </c>
      <c r="H107" s="70">
        <f>IF($G107="A",CONFIG!$B$5,IF($G107="B",CONFIG!$B$6,IF($G107="C",CONFIG!$B$7,IF($G107="Todos","Todos os turnos",""))))</f>
        <v/>
      </c>
      <c r="I107" s="53" t="n"/>
      <c r="J107" s="77" t="n"/>
      <c r="K107" s="53" t="n"/>
      <c r="L107" s="72" t="n"/>
      <c r="M107" s="53" t="n"/>
      <c r="N107" s="73" t="n"/>
      <c r="O107" s="74" t="n"/>
      <c r="P107" s="75" t="n"/>
      <c r="Q107" s="53" t="n"/>
      <c r="R107" s="76">
        <f>IF($C107="","",IF($O107="Cancelada","Cancelada",IF($O107="Reprovado","Reprovada",IF($O107="Aprovado","Aprovada",IF($L107&lt;&gt;"","Entregue",IF(TODAY()&gt;$C107,"Atrasada","Pendente"))))))</f>
        <v/>
      </c>
    </row>
    <row r="108">
      <c r="A108" s="65" t="inlineStr">
        <is>
          <t>OUT-S44-VIS-B</t>
        </is>
      </c>
      <c r="B108" s="66" t="inlineStr">
        <is>
          <t>S44</t>
        </is>
      </c>
      <c r="C108" s="67" t="n">
        <v>46323</v>
      </c>
      <c r="D108" s="68" t="inlineStr">
        <is>
          <t>Acomp. Organizacional Setorial (Vistoria)</t>
        </is>
      </c>
      <c r="E108" s="53" t="n"/>
      <c r="F108" s="53" t="n"/>
      <c r="G108" s="69" t="inlineStr">
        <is>
          <t>B</t>
        </is>
      </c>
      <c r="H108" s="70">
        <f>IF($G108="A",CONFIG!$B$5,IF($G108="B",CONFIG!$B$6,IF($G108="C",CONFIG!$B$7,IF($G108="Todos","Todos os turnos",""))))</f>
        <v/>
      </c>
      <c r="I108" s="53" t="n"/>
      <c r="J108" s="77" t="n"/>
      <c r="K108" s="53" t="n"/>
      <c r="L108" s="72" t="n"/>
      <c r="M108" s="53" t="n"/>
      <c r="N108" s="73" t="n"/>
      <c r="O108" s="74" t="n"/>
      <c r="P108" s="75" t="n"/>
      <c r="Q108" s="53" t="n"/>
      <c r="R108" s="76">
        <f>IF($C108="","",IF($O108="Cancelada","Cancelada",IF($O108="Reprovado","Reprovada",IF($O108="Aprovado","Aprovada",IF($L108&lt;&gt;"","Entregue",IF(TODAY()&gt;$C108,"Atrasada","Pendente"))))))</f>
        <v/>
      </c>
    </row>
    <row r="109">
      <c r="A109" s="65" t="inlineStr">
        <is>
          <t>OUT-S44-VIS-C</t>
        </is>
      </c>
      <c r="B109" s="66" t="inlineStr">
        <is>
          <t>S44</t>
        </is>
      </c>
      <c r="C109" s="67" t="n">
        <v>46323</v>
      </c>
      <c r="D109" s="68" t="inlineStr">
        <is>
          <t>Acomp. Organizacional Setorial (Vistoria)</t>
        </is>
      </c>
      <c r="E109" s="53" t="n"/>
      <c r="F109" s="53" t="n"/>
      <c r="G109" s="69" t="inlineStr">
        <is>
          <t>C</t>
        </is>
      </c>
      <c r="H109" s="70">
        <f>IF($G109="A",CONFIG!$B$5,IF($G109="B",CONFIG!$B$6,IF($G109="C",CONFIG!$B$7,IF($G109="Todos","Todos os turnos",""))))</f>
        <v/>
      </c>
      <c r="I109" s="53" t="n"/>
      <c r="J109" s="77" t="n"/>
      <c r="K109" s="53" t="n"/>
      <c r="L109" s="72" t="n"/>
      <c r="M109" s="53" t="n"/>
      <c r="N109" s="73" t="n"/>
      <c r="O109" s="74" t="n"/>
      <c r="P109" s="75" t="n"/>
      <c r="Q109" s="53" t="n"/>
      <c r="R109" s="76">
        <f>IF($C109="","",IF($O109="Cancelada","Cancelada",IF($O109="Reprovado","Reprovada",IF($O109="Aprovado","Aprovada",IF($L109&lt;&gt;"","Entregue",IF(TODAY()&gt;$C109,"Atrasada","Pendente"))))))</f>
        <v/>
      </c>
    </row>
    <row r="110">
      <c r="A110" s="65" t="inlineStr">
        <is>
          <t>OUT-S44-MET-A</t>
        </is>
      </c>
      <c r="B110" s="66" t="inlineStr">
        <is>
          <t>S44</t>
        </is>
      </c>
      <c r="C110" s="67" t="n">
        <v>46324</v>
      </c>
      <c r="D110" s="68" t="inlineStr">
        <is>
          <t>Metas</t>
        </is>
      </c>
      <c r="E110" s="53" t="n"/>
      <c r="F110" s="53" t="n"/>
      <c r="G110" s="69" t="inlineStr">
        <is>
          <t>A</t>
        </is>
      </c>
      <c r="H110" s="70">
        <f>IF($G110="A",CONFIG!$B$5,IF($G110="B",CONFIG!$B$6,IF($G110="C",CONFIG!$B$7,IF($G110="Todos","Todos os turnos",""))))</f>
        <v/>
      </c>
      <c r="I110" s="53" t="n"/>
      <c r="J110" s="71" t="inlineStr">
        <is>
          <t>—</t>
        </is>
      </c>
      <c r="K110" s="53" t="n"/>
      <c r="L110" s="72" t="n"/>
      <c r="M110" s="53" t="n"/>
      <c r="N110" s="73" t="n"/>
      <c r="O110" s="74" t="n"/>
      <c r="P110" s="75" t="n"/>
      <c r="Q110" s="53" t="n"/>
      <c r="R110" s="76">
        <f>IF($C110="","",IF($O110="Cancelada","Cancelada",IF($O110="Reprovado","Reprovada",IF($O110="Aprovado","Aprovada",IF($L110&lt;&gt;"","Entregue",IF(TODAY()&gt;$C110,"Atrasada","Pendente"))))))</f>
        <v/>
      </c>
    </row>
    <row r="111">
      <c r="A111" s="65" t="inlineStr">
        <is>
          <t>OUT-S44-MET-B</t>
        </is>
      </c>
      <c r="B111" s="66" t="inlineStr">
        <is>
          <t>S44</t>
        </is>
      </c>
      <c r="C111" s="67" t="n">
        <v>46324</v>
      </c>
      <c r="D111" s="68" t="inlineStr">
        <is>
          <t>Metas</t>
        </is>
      </c>
      <c r="E111" s="53" t="n"/>
      <c r="F111" s="53" t="n"/>
      <c r="G111" s="69" t="inlineStr">
        <is>
          <t>B</t>
        </is>
      </c>
      <c r="H111" s="70">
        <f>IF($G111="A",CONFIG!$B$5,IF($G111="B",CONFIG!$B$6,IF($G111="C",CONFIG!$B$7,IF($G111="Todos","Todos os turnos",""))))</f>
        <v/>
      </c>
      <c r="I111" s="53" t="n"/>
      <c r="J111" s="71" t="inlineStr">
        <is>
          <t>—</t>
        </is>
      </c>
      <c r="K111" s="53" t="n"/>
      <c r="L111" s="72" t="n"/>
      <c r="M111" s="53" t="n"/>
      <c r="N111" s="73" t="n"/>
      <c r="O111" s="74" t="n"/>
      <c r="P111" s="75" t="n"/>
      <c r="Q111" s="53" t="n"/>
      <c r="R111" s="76">
        <f>IF($C111="","",IF($O111="Cancelada","Cancelada",IF($O111="Reprovado","Reprovada",IF($O111="Aprovado","Aprovada",IF($L111&lt;&gt;"","Entregue",IF(TODAY()&gt;$C111,"Atrasada","Pendente"))))))</f>
        <v/>
      </c>
    </row>
    <row r="112">
      <c r="A112" s="65" t="inlineStr">
        <is>
          <t>OUT-S44-MET-C</t>
        </is>
      </c>
      <c r="B112" s="66" t="inlineStr">
        <is>
          <t>S44</t>
        </is>
      </c>
      <c r="C112" s="67" t="n">
        <v>46324</v>
      </c>
      <c r="D112" s="68" t="inlineStr">
        <is>
          <t>Metas</t>
        </is>
      </c>
      <c r="E112" s="53" t="n"/>
      <c r="F112" s="53" t="n"/>
      <c r="G112" s="69" t="inlineStr">
        <is>
          <t>C</t>
        </is>
      </c>
      <c r="H112" s="70">
        <f>IF($G112="A",CONFIG!$B$5,IF($G112="B",CONFIG!$B$6,IF($G112="C",CONFIG!$B$7,IF($G112="Todos","Todos os turnos",""))))</f>
        <v/>
      </c>
      <c r="I112" s="53" t="n"/>
      <c r="J112" s="71" t="inlineStr">
        <is>
          <t>—</t>
        </is>
      </c>
      <c r="K112" s="53" t="n"/>
      <c r="L112" s="72" t="n"/>
      <c r="M112" s="53" t="n"/>
      <c r="N112" s="73" t="n"/>
      <c r="O112" s="74" t="n"/>
      <c r="P112" s="75" t="n"/>
      <c r="Q112" s="53" t="n"/>
      <c r="R112" s="76">
        <f>IF($C112="","",IF($O112="Cancelada","Cancelada",IF($O112="Reprovado","Reprovada",IF($O112="Aprovado","Aprovada",IF($L112&lt;&gt;"","Entregue",IF(TODAY()&gt;$C112,"Atrasada","Pendente"))))))</f>
        <v/>
      </c>
    </row>
    <row r="113">
      <c r="A113" s="65" t="inlineStr">
        <is>
          <t>OUT-S44-ACO-A</t>
        </is>
      </c>
      <c r="B113" s="66" t="inlineStr">
        <is>
          <t>S44</t>
        </is>
      </c>
      <c r="C113" s="67" t="n">
        <v>46325</v>
      </c>
      <c r="D113" s="68" t="inlineStr">
        <is>
          <t>Acompanhamento Semanal c/ Supervisores</t>
        </is>
      </c>
      <c r="E113" s="53" t="n"/>
      <c r="F113" s="53" t="n"/>
      <c r="G113" s="69" t="inlineStr">
        <is>
          <t>A</t>
        </is>
      </c>
      <c r="H113" s="70">
        <f>IF($G113="A",CONFIG!$B$5,IF($G113="B",CONFIG!$B$6,IF($G113="C",CONFIG!$B$7,IF($G113="Todos","Todos os turnos",""))))</f>
        <v/>
      </c>
      <c r="I113" s="53" t="n"/>
      <c r="J113" s="71" t="inlineStr">
        <is>
          <t>—</t>
        </is>
      </c>
      <c r="K113" s="53" t="n"/>
      <c r="L113" s="72" t="n"/>
      <c r="M113" s="53" t="n"/>
      <c r="N113" s="73" t="n"/>
      <c r="O113" s="74" t="n"/>
      <c r="P113" s="75" t="n"/>
      <c r="Q113" s="53" t="n"/>
      <c r="R113" s="76">
        <f>IF($C113="","",IF($O113="Cancelada","Cancelada",IF($O113="Reprovado","Reprovada",IF($O113="Aprovado","Aprovada",IF($L113&lt;&gt;"","Entregue",IF(TODAY()&gt;$C113,"Atrasada","Pendente"))))))</f>
        <v/>
      </c>
    </row>
    <row r="114">
      <c r="A114" s="65" t="inlineStr">
        <is>
          <t>OUT-S44-ACO-B</t>
        </is>
      </c>
      <c r="B114" s="66" t="inlineStr">
        <is>
          <t>S44</t>
        </is>
      </c>
      <c r="C114" s="67" t="n">
        <v>46325</v>
      </c>
      <c r="D114" s="68" t="inlineStr">
        <is>
          <t>Acompanhamento Semanal c/ Supervisores</t>
        </is>
      </c>
      <c r="E114" s="53" t="n"/>
      <c r="F114" s="53" t="n"/>
      <c r="G114" s="69" t="inlineStr">
        <is>
          <t>B</t>
        </is>
      </c>
      <c r="H114" s="70">
        <f>IF($G114="A",CONFIG!$B$5,IF($G114="B",CONFIG!$B$6,IF($G114="C",CONFIG!$B$7,IF($G114="Todos","Todos os turnos",""))))</f>
        <v/>
      </c>
      <c r="I114" s="53" t="n"/>
      <c r="J114" s="71" t="inlineStr">
        <is>
          <t>—</t>
        </is>
      </c>
      <c r="K114" s="53" t="n"/>
      <c r="L114" s="72" t="n"/>
      <c r="M114" s="53" t="n"/>
      <c r="N114" s="73" t="n"/>
      <c r="O114" s="74" t="n"/>
      <c r="P114" s="75" t="n"/>
      <c r="Q114" s="53" t="n"/>
      <c r="R114" s="76">
        <f>IF($C114="","",IF($O114="Cancelada","Cancelada",IF($O114="Reprovado","Reprovada",IF($O114="Aprovado","Aprovada",IF($L114&lt;&gt;"","Entregue",IF(TODAY()&gt;$C114,"Atrasada","Pendente"))))))</f>
        <v/>
      </c>
    </row>
    <row r="115">
      <c r="A115" s="65" t="inlineStr">
        <is>
          <t>OUT-S44-ACO-C</t>
        </is>
      </c>
      <c r="B115" s="66" t="inlineStr">
        <is>
          <t>S44</t>
        </is>
      </c>
      <c r="C115" s="67" t="n">
        <v>46325</v>
      </c>
      <c r="D115" s="68" t="inlineStr">
        <is>
          <t>Acompanhamento Semanal c/ Supervisores</t>
        </is>
      </c>
      <c r="E115" s="53" t="n"/>
      <c r="F115" s="53" t="n"/>
      <c r="G115" s="69" t="inlineStr">
        <is>
          <t>C</t>
        </is>
      </c>
      <c r="H115" s="70">
        <f>IF($G115="A",CONFIG!$B$5,IF($G115="B",CONFIG!$B$6,IF($G115="C",CONFIG!$B$7,IF($G115="Todos","Todos os turnos",""))))</f>
        <v/>
      </c>
      <c r="I115" s="53" t="n"/>
      <c r="J115" s="71" t="inlineStr">
        <is>
          <t>—</t>
        </is>
      </c>
      <c r="K115" s="53" t="n"/>
      <c r="L115" s="72" t="n"/>
      <c r="M115" s="53" t="n"/>
      <c r="N115" s="73" t="n"/>
      <c r="O115" s="74" t="n"/>
      <c r="P115" s="75" t="n"/>
      <c r="Q115" s="53" t="n"/>
      <c r="R115" s="76">
        <f>IF($C115="","",IF($O115="Cancelada","Cancelada",IF($O115="Reprovado","Reprovada",IF($O115="Aprovado","Aprovada",IF($L115&lt;&gt;"","Entregue",IF(TODAY()&gt;$C115,"Atrasada","Pendente"))))))</f>
        <v/>
      </c>
    </row>
    <row r="116">
      <c r="A116" s="65" t="inlineStr">
        <is>
          <t>OUT-S44-FAL-A</t>
        </is>
      </c>
      <c r="B116" s="66" t="inlineStr">
        <is>
          <t>S44</t>
        </is>
      </c>
      <c r="C116" s="67" t="n">
        <v>46325</v>
      </c>
      <c r="D116" s="68" t="inlineStr">
        <is>
          <t>Faltas e Atestados</t>
        </is>
      </c>
      <c r="E116" s="53" t="n"/>
      <c r="F116" s="53" t="n"/>
      <c r="G116" s="69" t="inlineStr">
        <is>
          <t>A</t>
        </is>
      </c>
      <c r="H116" s="70">
        <f>IF($G116="A",CONFIG!$B$5,IF($G116="B",CONFIG!$B$6,IF($G116="C",CONFIG!$B$7,IF($G116="Todos","Todos os turnos",""))))</f>
        <v/>
      </c>
      <c r="I116" s="53" t="n"/>
      <c r="J116" s="71" t="inlineStr">
        <is>
          <t>—</t>
        </is>
      </c>
      <c r="K116" s="53" t="n"/>
      <c r="L116" s="72" t="n"/>
      <c r="M116" s="53" t="n"/>
      <c r="N116" s="73" t="n"/>
      <c r="O116" s="74" t="n"/>
      <c r="P116" s="75" t="n"/>
      <c r="Q116" s="53" t="n"/>
      <c r="R116" s="76">
        <f>IF($C116="","",IF($O116="Cancelada","Cancelada",IF($O116="Reprovado","Reprovada",IF($O116="Aprovado","Aprovada",IF($L116&lt;&gt;"","Entregue",IF(TODAY()&gt;$C116,"Atrasada","Pendente"))))))</f>
        <v/>
      </c>
    </row>
    <row r="117">
      <c r="A117" s="65" t="inlineStr">
        <is>
          <t>OUT-S44-FAL-B</t>
        </is>
      </c>
      <c r="B117" s="66" t="inlineStr">
        <is>
          <t>S44</t>
        </is>
      </c>
      <c r="C117" s="67" t="n">
        <v>46325</v>
      </c>
      <c r="D117" s="68" t="inlineStr">
        <is>
          <t>Faltas e Atestados</t>
        </is>
      </c>
      <c r="E117" s="53" t="n"/>
      <c r="F117" s="53" t="n"/>
      <c r="G117" s="69" t="inlineStr">
        <is>
          <t>B</t>
        </is>
      </c>
      <c r="H117" s="70">
        <f>IF($G117="A",CONFIG!$B$5,IF($G117="B",CONFIG!$B$6,IF($G117="C",CONFIG!$B$7,IF($G117="Todos","Todos os turnos",""))))</f>
        <v/>
      </c>
      <c r="I117" s="53" t="n"/>
      <c r="J117" s="71" t="inlineStr">
        <is>
          <t>—</t>
        </is>
      </c>
      <c r="K117" s="53" t="n"/>
      <c r="L117" s="72" t="n"/>
      <c r="M117" s="53" t="n"/>
      <c r="N117" s="73" t="n"/>
      <c r="O117" s="74" t="n"/>
      <c r="P117" s="75" t="n"/>
      <c r="Q117" s="53" t="n"/>
      <c r="R117" s="76">
        <f>IF($C117="","",IF($O117="Cancelada","Cancelada",IF($O117="Reprovado","Reprovada",IF($O117="Aprovado","Aprovada",IF($L117&lt;&gt;"","Entregue",IF(TODAY()&gt;$C117,"Atrasada","Pendente"))))))</f>
        <v/>
      </c>
    </row>
    <row r="118">
      <c r="A118" s="65" t="inlineStr">
        <is>
          <t>OUT-S44-FAL-C</t>
        </is>
      </c>
      <c r="B118" s="66" t="inlineStr">
        <is>
          <t>S44</t>
        </is>
      </c>
      <c r="C118" s="67" t="n">
        <v>46325</v>
      </c>
      <c r="D118" s="68" t="inlineStr">
        <is>
          <t>Faltas e Atestados</t>
        </is>
      </c>
      <c r="E118" s="53" t="n"/>
      <c r="F118" s="53" t="n"/>
      <c r="G118" s="69" t="inlineStr">
        <is>
          <t>C</t>
        </is>
      </c>
      <c r="H118" s="70">
        <f>IF($G118="A",CONFIG!$B$5,IF($G118="B",CONFIG!$B$6,IF($G118="C",CONFIG!$B$7,IF($G118="Todos","Todos os turnos",""))))</f>
        <v/>
      </c>
      <c r="I118" s="53" t="n"/>
      <c r="J118" s="71" t="inlineStr">
        <is>
          <t>—</t>
        </is>
      </c>
      <c r="K118" s="53" t="n"/>
      <c r="L118" s="72" t="n"/>
      <c r="M118" s="53" t="n"/>
      <c r="N118" s="73" t="n"/>
      <c r="O118" s="74" t="n"/>
      <c r="P118" s="75" t="n"/>
      <c r="Q118" s="53" t="n"/>
      <c r="R118" s="76">
        <f>IF($C118="","",IF($O118="Cancelada","Cancelada",IF($O118="Reprovado","Reprovada",IF($O118="Aprovado","Aprovada",IF($L118&lt;&gt;"","Entregue",IF(TODAY()&gt;$C118,"Atrasada","Pendente"))))))</f>
        <v/>
      </c>
    </row>
    <row r="119">
      <c r="A119" s="65" t="inlineStr">
        <is>
          <t>OUT-S44-REU-T</t>
        </is>
      </c>
      <c r="B119" s="66" t="inlineStr">
        <is>
          <t>S44</t>
        </is>
      </c>
      <c r="C119" s="67" t="n">
        <v>46325</v>
      </c>
      <c r="D119" s="68" t="inlineStr">
        <is>
          <t>Reunião Semanal com a Gerência</t>
        </is>
      </c>
      <c r="E119" s="53" t="n"/>
      <c r="F119" s="53" t="n"/>
      <c r="G119" s="69" t="inlineStr">
        <is>
          <t>Todos</t>
        </is>
      </c>
      <c r="H119" s="70">
        <f>IF($G119="A",CONFIG!$B$5,IF($G119="B",CONFIG!$B$6,IF($G119="C",CONFIG!$B$7,IF($G119="Todos","Todos os turnos",""))))</f>
        <v/>
      </c>
      <c r="I119" s="53" t="n"/>
      <c r="J119" s="71" t="inlineStr">
        <is>
          <t>—</t>
        </is>
      </c>
      <c r="K119" s="53" t="n"/>
      <c r="L119" s="72" t="n"/>
      <c r="M119" s="53" t="n"/>
      <c r="N119" s="73" t="n"/>
      <c r="O119" s="74" t="n"/>
      <c r="P119" s="75" t="n"/>
      <c r="Q119" s="53" t="n"/>
      <c r="R119" s="76">
        <f>IF($C119="","",IF($O119="Cancelada","Cancelada",IF($O119="Reprovado","Reprovada",IF($O119="Aprovado","Aprovada",IF($L119&lt;&gt;"","Entregue",IF(TODAY()&gt;$C119,"Atrasada","Pendente"))))))</f>
        <v/>
      </c>
    </row>
    <row r="120">
      <c r="A120" s="65" t="inlineStr">
        <is>
          <t>OUT-S44-MDF-T</t>
        </is>
      </c>
      <c r="B120" s="66" t="inlineStr">
        <is>
          <t>S44</t>
        </is>
      </c>
      <c r="C120" s="67" t="n">
        <v>46325</v>
      </c>
      <c r="D120" s="68" t="inlineStr">
        <is>
          <t>Mudança de Função — reunião mensal</t>
        </is>
      </c>
      <c r="E120" s="53" t="n"/>
      <c r="F120" s="53" t="n"/>
      <c r="G120" s="69" t="inlineStr">
        <is>
          <t>Todos</t>
        </is>
      </c>
      <c r="H120" s="70">
        <f>IF($G120="A",CONFIG!$B$5,IF($G120="B",CONFIG!$B$6,IF($G120="C",CONFIG!$B$7,IF($G120="Todos","Todos os turnos",""))))</f>
        <v/>
      </c>
      <c r="I120" s="53" t="n"/>
      <c r="J120" s="71" t="inlineStr">
        <is>
          <t>—</t>
        </is>
      </c>
      <c r="K120" s="53" t="n"/>
      <c r="L120" s="72" t="n"/>
      <c r="M120" s="53" t="n"/>
      <c r="N120" s="73" t="n"/>
      <c r="O120" s="74" t="n"/>
      <c r="P120" s="75" t="n"/>
      <c r="Q120" s="53" t="n"/>
      <c r="R120" s="76">
        <f>IF($C120="","",IF($O120="Cancelada","Cancelada",IF($O120="Reprovado","Reprovada",IF($O120="Aprovado","Aprovada",IF($L120&lt;&gt;"","Entregue",IF(TODAY()&gt;$C120,"Atrasada","Pendente"))))))</f>
        <v/>
      </c>
    </row>
    <row r="121">
      <c r="A121" s="78" t="inlineStr">
        <is>
          <t>TREINAMENTOS PROGRAMADOS PELO GERENTE — preencha PRAZO + tema; os coordenadores serão avisados por e-mail</t>
        </is>
      </c>
    </row>
    <row r="122" ht="14" customHeight="1">
      <c r="A122" s="79" t="inlineStr">
        <is>
          <t>Como usar: o gerente preenche apenas o PRAZO (data), completa o tema em ATIVIDADE e escolhe o TURNO. O resto fica em branco até o treinamento ocorrer; depois o coordenador anexa a lista de presença em LINK DO ANEXO e o gerente valida.</t>
        </is>
      </c>
    </row>
    <row r="123">
      <c r="A123" s="65" t="inlineStr">
        <is>
          <t>OUT-TRE-1</t>
        </is>
      </c>
      <c r="B123" s="66">
        <f>IF($C123="","","S"&amp;ISOWEEKNUM($C123))</f>
        <v/>
      </c>
      <c r="C123" s="67" t="n"/>
      <c r="D123" s="80" t="inlineStr">
        <is>
          <t xml:space="preserve">Treinamento com Colaboradores — tema: </t>
        </is>
      </c>
      <c r="E123" s="53" t="n"/>
      <c r="F123" s="53" t="n"/>
      <c r="G123" s="81" t="inlineStr">
        <is>
          <t>Todos</t>
        </is>
      </c>
      <c r="H123" s="70">
        <f>IF($G123="A",CONFIG!$B$5,IF($G123="B",CONFIG!$B$6,IF($G123="C",CONFIG!$B$7,IF($G123="Todos","Todos os turnos",""))))</f>
        <v/>
      </c>
      <c r="I123" s="53" t="n"/>
      <c r="J123" s="71" t="inlineStr">
        <is>
          <t>—</t>
        </is>
      </c>
      <c r="K123" s="53" t="n"/>
      <c r="L123" s="72" t="n"/>
      <c r="M123" s="53" t="n"/>
      <c r="N123" s="73" t="n"/>
      <c r="O123" s="74" t="n"/>
      <c r="P123" s="75" t="n"/>
      <c r="Q123" s="53" t="n"/>
      <c r="R123" s="76">
        <f>IF($C123="","Não agendado",IF($O123="Cancelada","Cancelada",IF($O123="Reprovado","Reprovada",IF($O123="Aprovado","Aprovada",IF($L123&lt;&gt;"","Entregue",IF(TODAY()&gt;$C123,"Atrasada","Pendente"))))))</f>
        <v/>
      </c>
    </row>
    <row r="124">
      <c r="A124" s="65" t="inlineStr">
        <is>
          <t>OUT-TRE-2</t>
        </is>
      </c>
      <c r="B124" s="66">
        <f>IF($C124="","","S"&amp;ISOWEEKNUM($C124))</f>
        <v/>
      </c>
      <c r="C124" s="67" t="n"/>
      <c r="D124" s="80" t="inlineStr">
        <is>
          <t xml:space="preserve">Treinamento com Colaboradores — tema: </t>
        </is>
      </c>
      <c r="E124" s="53" t="n"/>
      <c r="F124" s="53" t="n"/>
      <c r="G124" s="81" t="inlineStr">
        <is>
          <t>Todos</t>
        </is>
      </c>
      <c r="H124" s="70">
        <f>IF($G124="A",CONFIG!$B$5,IF($G124="B",CONFIG!$B$6,IF($G124="C",CONFIG!$B$7,IF($G124="Todos","Todos os turnos",""))))</f>
        <v/>
      </c>
      <c r="I124" s="53" t="n"/>
      <c r="J124" s="71" t="inlineStr">
        <is>
          <t>—</t>
        </is>
      </c>
      <c r="K124" s="53" t="n"/>
      <c r="L124" s="72" t="n"/>
      <c r="M124" s="53" t="n"/>
      <c r="N124" s="73" t="n"/>
      <c r="O124" s="74" t="n"/>
      <c r="P124" s="75" t="n"/>
      <c r="Q124" s="53" t="n"/>
      <c r="R124" s="76">
        <f>IF($C124="","Não agendado",IF($O124="Cancelada","Cancelada",IF($O124="Reprovado","Reprovada",IF($O124="Aprovado","Aprovada",IF($L124&lt;&gt;"","Entregue",IF(TODAY()&gt;$C124,"Atrasada","Pendente"))))))</f>
        <v/>
      </c>
    </row>
    <row r="125">
      <c r="A125" s="65" t="inlineStr">
        <is>
          <t>OUT-TRE-3</t>
        </is>
      </c>
      <c r="B125" s="66">
        <f>IF($C125="","","S"&amp;ISOWEEKNUM($C125))</f>
        <v/>
      </c>
      <c r="C125" s="67" t="n"/>
      <c r="D125" s="80" t="inlineStr">
        <is>
          <t xml:space="preserve">Treinamento com Colaboradores — tema: </t>
        </is>
      </c>
      <c r="E125" s="53" t="n"/>
      <c r="F125" s="53" t="n"/>
      <c r="G125" s="81" t="inlineStr">
        <is>
          <t>Todos</t>
        </is>
      </c>
      <c r="H125" s="70">
        <f>IF($G125="A",CONFIG!$B$5,IF($G125="B",CONFIG!$B$6,IF($G125="C",CONFIG!$B$7,IF($G125="Todos","Todos os turnos",""))))</f>
        <v/>
      </c>
      <c r="I125" s="53" t="n"/>
      <c r="J125" s="71" t="inlineStr">
        <is>
          <t>—</t>
        </is>
      </c>
      <c r="K125" s="53" t="n"/>
      <c r="L125" s="72" t="n"/>
      <c r="M125" s="53" t="n"/>
      <c r="N125" s="73" t="n"/>
      <c r="O125" s="74" t="n"/>
      <c r="P125" s="75" t="n"/>
      <c r="Q125" s="53" t="n"/>
      <c r="R125" s="76">
        <f>IF($C125="","Não agendado",IF($O125="Cancelada","Cancelada",IF($O125="Reprovado","Reprovada",IF($O125="Aprovado","Aprovada",IF($L125&lt;&gt;"","Entregue",IF(TODAY()&gt;$C125,"Atrasada","Pendente"))))))</f>
        <v/>
      </c>
    </row>
    <row r="126">
      <c r="A126" s="65" t="inlineStr">
        <is>
          <t>OUT-TRE-4</t>
        </is>
      </c>
      <c r="B126" s="66">
        <f>IF($C126="","","S"&amp;ISOWEEKNUM($C126))</f>
        <v/>
      </c>
      <c r="C126" s="67" t="n"/>
      <c r="D126" s="80" t="inlineStr">
        <is>
          <t xml:space="preserve">Treinamento com Colaboradores — tema: </t>
        </is>
      </c>
      <c r="E126" s="53" t="n"/>
      <c r="F126" s="53" t="n"/>
      <c r="G126" s="81" t="inlineStr">
        <is>
          <t>Todos</t>
        </is>
      </c>
      <c r="H126" s="70">
        <f>IF($G126="A",CONFIG!$B$5,IF($G126="B",CONFIG!$B$6,IF($G126="C",CONFIG!$B$7,IF($G126="Todos","Todos os turnos",""))))</f>
        <v/>
      </c>
      <c r="I126" s="53" t="n"/>
      <c r="J126" s="71" t="inlineStr">
        <is>
          <t>—</t>
        </is>
      </c>
      <c r="K126" s="53" t="n"/>
      <c r="L126" s="72" t="n"/>
      <c r="M126" s="53" t="n"/>
      <c r="N126" s="73" t="n"/>
      <c r="O126" s="74" t="n"/>
      <c r="P126" s="75" t="n"/>
      <c r="Q126" s="53" t="n"/>
      <c r="R126" s="76">
        <f>IF($C126="","Não agendado",IF($O126="Cancelada","Cancelada",IF($O126="Reprovado","Reprovada",IF($O126="Aprovado","Aprovada",IF($L126&lt;&gt;"","Entregue",IF(TODAY()&gt;$C126,"Atrasada","Pendente"))))))</f>
        <v/>
      </c>
    </row>
    <row r="127">
      <c r="A127" s="65" t="inlineStr">
        <is>
          <t>OUT-TRE-5</t>
        </is>
      </c>
      <c r="B127" s="66">
        <f>IF($C127="","","S"&amp;ISOWEEKNUM($C127))</f>
        <v/>
      </c>
      <c r="C127" s="67" t="n"/>
      <c r="D127" s="80" t="inlineStr">
        <is>
          <t xml:space="preserve">Treinamento com Colaboradores — tema: </t>
        </is>
      </c>
      <c r="E127" s="53" t="n"/>
      <c r="F127" s="53" t="n"/>
      <c r="G127" s="81" t="inlineStr">
        <is>
          <t>Todos</t>
        </is>
      </c>
      <c r="H127" s="70">
        <f>IF($G127="A",CONFIG!$B$5,IF($G127="B",CONFIG!$B$6,IF($G127="C",CONFIG!$B$7,IF($G127="Todos","Todos os turnos",""))))</f>
        <v/>
      </c>
      <c r="I127" s="53" t="n"/>
      <c r="J127" s="71" t="inlineStr">
        <is>
          <t>—</t>
        </is>
      </c>
      <c r="K127" s="53" t="n"/>
      <c r="L127" s="72" t="n"/>
      <c r="M127" s="53" t="n"/>
      <c r="N127" s="73" t="n"/>
      <c r="O127" s="74" t="n"/>
      <c r="P127" s="75" t="n"/>
      <c r="Q127" s="53" t="n"/>
      <c r="R127" s="76">
        <f>IF($C127="","Não agendado",IF($O127="Cancelada","Cancelada",IF($O127="Reprovado","Reprovada",IF($O127="Aprovado","Aprovada",IF($L127&lt;&gt;"","Entregue",IF(TODAY()&gt;$C127,"Atrasada","Pendente"))))))</f>
        <v/>
      </c>
    </row>
    <row r="128">
      <c r="A128" s="65" t="inlineStr">
        <is>
          <t>OUT-TRE-6</t>
        </is>
      </c>
      <c r="B128" s="66">
        <f>IF($C128="","","S"&amp;ISOWEEKNUM($C128))</f>
        <v/>
      </c>
      <c r="C128" s="67" t="n"/>
      <c r="D128" s="80" t="inlineStr">
        <is>
          <t xml:space="preserve">Treinamento com Colaboradores — tema: </t>
        </is>
      </c>
      <c r="E128" s="53" t="n"/>
      <c r="F128" s="53" t="n"/>
      <c r="G128" s="81" t="inlineStr">
        <is>
          <t>Todos</t>
        </is>
      </c>
      <c r="H128" s="70">
        <f>IF($G128="A",CONFIG!$B$5,IF($G128="B",CONFIG!$B$6,IF($G128="C",CONFIG!$B$7,IF($G128="Todos","Todos os turnos",""))))</f>
        <v/>
      </c>
      <c r="I128" s="53" t="n"/>
      <c r="J128" s="71" t="inlineStr">
        <is>
          <t>—</t>
        </is>
      </c>
      <c r="K128" s="53" t="n"/>
      <c r="L128" s="72" t="n"/>
      <c r="M128" s="53" t="n"/>
      <c r="N128" s="73" t="n"/>
      <c r="O128" s="74" t="n"/>
      <c r="P128" s="75" t="n"/>
      <c r="Q128" s="53" t="n"/>
      <c r="R128" s="76">
        <f>IF($C128="","Não agendado",IF($O128="Cancelada","Cancelada",IF($O128="Reprovado","Reprovada",IF($O128="Aprovado","Aprovada",IF($L128&lt;&gt;"","Entregue",IF(TODAY()&gt;$C128,"Atrasada","Pendente"))))))</f>
        <v/>
      </c>
    </row>
    <row r="130">
      <c r="A130" s="11" t="inlineStr">
        <is>
          <t>Amarelo = o GERENTE/ADM edita (prazo, setor da vistoria, validação, motivo, treinamentos) - Azul-claro = entrega do COORDENADOR (menu Anexar entrega ou link manual) - demais células são automáticas</t>
        </is>
      </c>
    </row>
  </sheetData>
  <mergeCells count="615">
    <mergeCell ref="D116:F116"/>
    <mergeCell ref="P76:Q76"/>
    <mergeCell ref="D66:F66"/>
    <mergeCell ref="P94:Q94"/>
    <mergeCell ref="J59:K59"/>
    <mergeCell ref="D53:F53"/>
    <mergeCell ref="D47:F47"/>
    <mergeCell ref="H9:I9"/>
    <mergeCell ref="P69:Q69"/>
    <mergeCell ref="H118:I118"/>
    <mergeCell ref="J9:K9"/>
    <mergeCell ref="B12:C12"/>
    <mergeCell ref="B14:C14"/>
    <mergeCell ref="B13:C13"/>
    <mergeCell ref="L102:M102"/>
    <mergeCell ref="L29:M29"/>
    <mergeCell ref="D7:E7"/>
    <mergeCell ref="J31:K31"/>
    <mergeCell ref="L31:M31"/>
    <mergeCell ref="H96:I96"/>
    <mergeCell ref="P87:Q87"/>
    <mergeCell ref="D119:F119"/>
    <mergeCell ref="H87:I87"/>
    <mergeCell ref="H62:I62"/>
    <mergeCell ref="J62:K62"/>
    <mergeCell ref="P24:Q24"/>
    <mergeCell ref="P89:Q89"/>
    <mergeCell ref="P88:Q88"/>
    <mergeCell ref="J64:K64"/>
    <mergeCell ref="P26:Q26"/>
    <mergeCell ref="H91:I91"/>
    <mergeCell ref="J120:K120"/>
    <mergeCell ref="L120:M120"/>
    <mergeCell ref="D41:F41"/>
    <mergeCell ref="L107:M107"/>
    <mergeCell ref="J57:K57"/>
    <mergeCell ref="L57:M57"/>
    <mergeCell ref="H93:I93"/>
    <mergeCell ref="J93:K93"/>
    <mergeCell ref="D43:F43"/>
    <mergeCell ref="L42:M42"/>
    <mergeCell ref="P115:Q115"/>
    <mergeCell ref="D74:F74"/>
    <mergeCell ref="D68:F68"/>
    <mergeCell ref="D117:F117"/>
    <mergeCell ref="D55:F55"/>
    <mergeCell ref="P77:Q77"/>
    <mergeCell ref="H11:I11"/>
    <mergeCell ref="J11:K11"/>
    <mergeCell ref="D67:F67"/>
    <mergeCell ref="H109:I109"/>
    <mergeCell ref="H75:I75"/>
    <mergeCell ref="J75:K75"/>
    <mergeCell ref="P37:Q37"/>
    <mergeCell ref="D69:F69"/>
    <mergeCell ref="H111:I111"/>
    <mergeCell ref="H12:I12"/>
    <mergeCell ref="J12:K12"/>
    <mergeCell ref="B15:C15"/>
    <mergeCell ref="D15:E15"/>
    <mergeCell ref="H48:I48"/>
    <mergeCell ref="H104:I104"/>
    <mergeCell ref="H14:I14"/>
    <mergeCell ref="D21:F21"/>
    <mergeCell ref="L70:M70"/>
    <mergeCell ref="H106:I106"/>
    <mergeCell ref="J81:K81"/>
    <mergeCell ref="P113:Q113"/>
    <mergeCell ref="L32:M32"/>
    <mergeCell ref="H43:I43"/>
    <mergeCell ref="L103:M103"/>
    <mergeCell ref="L47:M47"/>
    <mergeCell ref="D87:F87"/>
    <mergeCell ref="P96:Q96"/>
    <mergeCell ref="P90:Q90"/>
    <mergeCell ref="J65:K65"/>
    <mergeCell ref="P27:Q27"/>
    <mergeCell ref="D51:F51"/>
    <mergeCell ref="D82:F82"/>
    <mergeCell ref="L58:M58"/>
    <mergeCell ref="P91:Q91"/>
    <mergeCell ref="L123:M123"/>
    <mergeCell ref="J25:K25"/>
    <mergeCell ref="L50:M50"/>
    <mergeCell ref="L25:M25"/>
    <mergeCell ref="L60:M60"/>
    <mergeCell ref="L52:M52"/>
    <mergeCell ref="B5:C5"/>
    <mergeCell ref="P108:Q108"/>
    <mergeCell ref="D5:E5"/>
    <mergeCell ref="L124:M124"/>
    <mergeCell ref="P118:Q118"/>
    <mergeCell ref="P45:Q45"/>
    <mergeCell ref="D77:F77"/>
    <mergeCell ref="H125:I125"/>
    <mergeCell ref="P38:Q38"/>
    <mergeCell ref="J14:K14"/>
    <mergeCell ref="P109:Q109"/>
    <mergeCell ref="H112:I112"/>
    <mergeCell ref="J112:K112"/>
    <mergeCell ref="J13:K13"/>
    <mergeCell ref="J84:K84"/>
    <mergeCell ref="L13:M13"/>
    <mergeCell ref="H127:I127"/>
    <mergeCell ref="J78:K78"/>
    <mergeCell ref="P40:Q40"/>
    <mergeCell ref="D72:F72"/>
    <mergeCell ref="A3:R3"/>
    <mergeCell ref="L78:M78"/>
    <mergeCell ref="H114:I114"/>
    <mergeCell ref="J127:K127"/>
    <mergeCell ref="H64:I64"/>
    <mergeCell ref="J15:K15"/>
    <mergeCell ref="L15:M15"/>
    <mergeCell ref="H51:I51"/>
    <mergeCell ref="L71:M71"/>
    <mergeCell ref="J80:K80"/>
    <mergeCell ref="J107:K107"/>
    <mergeCell ref="J55:K55"/>
    <mergeCell ref="L117:M117"/>
    <mergeCell ref="L55:M55"/>
    <mergeCell ref="D24:F24"/>
    <mergeCell ref="J79:K79"/>
    <mergeCell ref="D89:F89"/>
    <mergeCell ref="L73:M73"/>
    <mergeCell ref="P98:Q98"/>
    <mergeCell ref="L119:M119"/>
    <mergeCell ref="D88:F88"/>
    <mergeCell ref="D26:F26"/>
    <mergeCell ref="D90:F90"/>
    <mergeCell ref="P106:Q106"/>
    <mergeCell ref="D65:F65"/>
    <mergeCell ref="P93:Q93"/>
    <mergeCell ref="H33:I33"/>
    <mergeCell ref="J33:K33"/>
    <mergeCell ref="H8:I8"/>
    <mergeCell ref="J8:K8"/>
    <mergeCell ref="H35:I35"/>
    <mergeCell ref="H10:I10"/>
    <mergeCell ref="J10:K10"/>
    <mergeCell ref="L66:M66"/>
    <mergeCell ref="J28:K28"/>
    <mergeCell ref="L53:M53"/>
    <mergeCell ref="L28:M28"/>
    <mergeCell ref="D6:E6"/>
    <mergeCell ref="H39:I39"/>
    <mergeCell ref="J68:K68"/>
    <mergeCell ref="L68:M68"/>
    <mergeCell ref="D37:F37"/>
    <mergeCell ref="P59:Q59"/>
    <mergeCell ref="P46:Q46"/>
    <mergeCell ref="P111:Q111"/>
    <mergeCell ref="H89:I89"/>
    <mergeCell ref="L5:M5"/>
    <mergeCell ref="N5:O5"/>
    <mergeCell ref="P61:Q61"/>
    <mergeCell ref="J86:K86"/>
    <mergeCell ref="P48:Q48"/>
    <mergeCell ref="H72:I72"/>
    <mergeCell ref="P125:Q125"/>
    <mergeCell ref="H128:I128"/>
    <mergeCell ref="J128:K128"/>
    <mergeCell ref="L79:M79"/>
    <mergeCell ref="P112:Q112"/>
    <mergeCell ref="H65:I65"/>
    <mergeCell ref="J21:K21"/>
    <mergeCell ref="L21:M21"/>
    <mergeCell ref="P43:Q43"/>
    <mergeCell ref="L81:M81"/>
    <mergeCell ref="D80:F80"/>
    <mergeCell ref="H23:I23"/>
    <mergeCell ref="D96:F96"/>
    <mergeCell ref="J23:K23"/>
    <mergeCell ref="J110:K110"/>
    <mergeCell ref="L110:M110"/>
    <mergeCell ref="D27:F27"/>
    <mergeCell ref="P114:Q114"/>
    <mergeCell ref="H54:I54"/>
    <mergeCell ref="H41:I41"/>
    <mergeCell ref="F6:G6"/>
    <mergeCell ref="D91:F91"/>
    <mergeCell ref="P34:Q34"/>
    <mergeCell ref="H56:I56"/>
    <mergeCell ref="H34:I34"/>
    <mergeCell ref="H83:I83"/>
    <mergeCell ref="J34:K34"/>
    <mergeCell ref="D106:F106"/>
    <mergeCell ref="J99:K99"/>
    <mergeCell ref="D93:F93"/>
    <mergeCell ref="H49:I49"/>
    <mergeCell ref="P36:Q36"/>
    <mergeCell ref="J49:K49"/>
    <mergeCell ref="H36:I36"/>
    <mergeCell ref="H85:I85"/>
    <mergeCell ref="J36:K36"/>
    <mergeCell ref="L92:M92"/>
    <mergeCell ref="J101:K101"/>
    <mergeCell ref="L30:M30"/>
    <mergeCell ref="J103:K103"/>
    <mergeCell ref="J100:K100"/>
    <mergeCell ref="J94:K94"/>
    <mergeCell ref="L94:M94"/>
    <mergeCell ref="L69:M69"/>
    <mergeCell ref="D9:E9"/>
    <mergeCell ref="L44:M44"/>
    <mergeCell ref="H80:I80"/>
    <mergeCell ref="F9:G9"/>
    <mergeCell ref="P102:Q102"/>
    <mergeCell ref="D109:F109"/>
    <mergeCell ref="J125:K125"/>
    <mergeCell ref="L6:M6"/>
    <mergeCell ref="N6:O6"/>
    <mergeCell ref="D46:F46"/>
    <mergeCell ref="D40:F40"/>
    <mergeCell ref="P62:Q62"/>
    <mergeCell ref="D111:F111"/>
    <mergeCell ref="P127:Q127"/>
    <mergeCell ref="D86:F86"/>
    <mergeCell ref="D104:F104"/>
    <mergeCell ref="P64:Q64"/>
    <mergeCell ref="J29:K29"/>
    <mergeCell ref="B7:C7"/>
    <mergeCell ref="P51:Q51"/>
    <mergeCell ref="P128:Q128"/>
    <mergeCell ref="H31:I31"/>
    <mergeCell ref="H58:I58"/>
    <mergeCell ref="H73:I73"/>
    <mergeCell ref="J24:K24"/>
    <mergeCell ref="L24:M24"/>
    <mergeCell ref="H60:I60"/>
    <mergeCell ref="J89:K89"/>
    <mergeCell ref="L89:M89"/>
    <mergeCell ref="P67:Q67"/>
    <mergeCell ref="D33:F33"/>
    <mergeCell ref="J26:K26"/>
    <mergeCell ref="L88:M88"/>
    <mergeCell ref="L126:M126"/>
    <mergeCell ref="L26:M26"/>
    <mergeCell ref="P82:Q82"/>
    <mergeCell ref="D35:F35"/>
    <mergeCell ref="H57:I57"/>
    <mergeCell ref="D59:F59"/>
    <mergeCell ref="H84:I84"/>
    <mergeCell ref="H22:I22"/>
    <mergeCell ref="P75:Q75"/>
    <mergeCell ref="J113:K113"/>
    <mergeCell ref="L113:M113"/>
    <mergeCell ref="D34:F34"/>
    <mergeCell ref="L100:M100"/>
    <mergeCell ref="A130:R130"/>
    <mergeCell ref="D99:F99"/>
    <mergeCell ref="J50:K50"/>
    <mergeCell ref="H86:I86"/>
    <mergeCell ref="J115:K115"/>
    <mergeCell ref="H42:I42"/>
    <mergeCell ref="L115:M115"/>
    <mergeCell ref="J42:K42"/>
    <mergeCell ref="D36:F36"/>
    <mergeCell ref="D101:F101"/>
    <mergeCell ref="J52:K52"/>
    <mergeCell ref="L77:M77"/>
    <mergeCell ref="L108:M108"/>
    <mergeCell ref="J39:K39"/>
    <mergeCell ref="F11:G11"/>
    <mergeCell ref="J44:K44"/>
    <mergeCell ref="L95:M95"/>
    <mergeCell ref="D61:F61"/>
    <mergeCell ref="J116:K116"/>
    <mergeCell ref="D48:F48"/>
    <mergeCell ref="J37:K37"/>
    <mergeCell ref="L37:M37"/>
    <mergeCell ref="L97:M97"/>
    <mergeCell ref="D125:F125"/>
    <mergeCell ref="F12:G12"/>
    <mergeCell ref="B18:R18"/>
    <mergeCell ref="P72:Q72"/>
    <mergeCell ref="D112:F112"/>
    <mergeCell ref="D62:F62"/>
    <mergeCell ref="D56:F56"/>
    <mergeCell ref="D127:F127"/>
    <mergeCell ref="P65:Q65"/>
    <mergeCell ref="D114:F114"/>
    <mergeCell ref="B8:C8"/>
    <mergeCell ref="H70:I70"/>
    <mergeCell ref="J70:K70"/>
    <mergeCell ref="A20:R20"/>
    <mergeCell ref="D64:F64"/>
    <mergeCell ref="H32:I32"/>
    <mergeCell ref="H7:I7"/>
    <mergeCell ref="J32:K32"/>
    <mergeCell ref="J7:K7"/>
    <mergeCell ref="B10:C10"/>
    <mergeCell ref="J63:K63"/>
    <mergeCell ref="L63:M63"/>
    <mergeCell ref="P74:Q74"/>
    <mergeCell ref="H99:I99"/>
    <mergeCell ref="J124:K124"/>
    <mergeCell ref="H47:I47"/>
    <mergeCell ref="J109:K109"/>
    <mergeCell ref="J47:K47"/>
    <mergeCell ref="J96:K96"/>
    <mergeCell ref="J90:K90"/>
    <mergeCell ref="L96:M96"/>
    <mergeCell ref="L90:M90"/>
    <mergeCell ref="H101:I101"/>
    <mergeCell ref="H76:I76"/>
    <mergeCell ref="J76:K76"/>
    <mergeCell ref="L27:M27"/>
    <mergeCell ref="P83:Q83"/>
    <mergeCell ref="D49:F49"/>
    <mergeCell ref="L91:M91"/>
    <mergeCell ref="P85:Q85"/>
    <mergeCell ref="D75:F75"/>
    <mergeCell ref="P84:Q84"/>
    <mergeCell ref="J60:K60"/>
    <mergeCell ref="P22:Q22"/>
    <mergeCell ref="L116:M116"/>
    <mergeCell ref="D102:F102"/>
    <mergeCell ref="J53:K53"/>
    <mergeCell ref="P80:Q80"/>
    <mergeCell ref="H94:I94"/>
    <mergeCell ref="L118:M118"/>
    <mergeCell ref="J45:K45"/>
    <mergeCell ref="D39:F39"/>
    <mergeCell ref="L45:M45"/>
    <mergeCell ref="A122:R122"/>
    <mergeCell ref="L38:M38"/>
    <mergeCell ref="L109:M109"/>
    <mergeCell ref="F13:G13"/>
    <mergeCell ref="H13:I13"/>
    <mergeCell ref="L40:M40"/>
    <mergeCell ref="H105:I105"/>
    <mergeCell ref="D128:F128"/>
    <mergeCell ref="N15:O15"/>
    <mergeCell ref="H15:I15"/>
    <mergeCell ref="H71:I71"/>
    <mergeCell ref="H120:I120"/>
    <mergeCell ref="P58:Q58"/>
    <mergeCell ref="P33:Q33"/>
    <mergeCell ref="J71:K71"/>
    <mergeCell ref="H107:I107"/>
    <mergeCell ref="J58:K58"/>
    <mergeCell ref="D57:F57"/>
    <mergeCell ref="P79:Q79"/>
    <mergeCell ref="P73:Q73"/>
    <mergeCell ref="J73:K73"/>
    <mergeCell ref="P35:Q35"/>
    <mergeCell ref="L98:M98"/>
    <mergeCell ref="H102:I102"/>
    <mergeCell ref="J102:K102"/>
    <mergeCell ref="A1:N1"/>
    <mergeCell ref="H25:I25"/>
    <mergeCell ref="J77:K77"/>
    <mergeCell ref="L106:M106"/>
    <mergeCell ref="B11:C11"/>
    <mergeCell ref="D11:E11"/>
    <mergeCell ref="L93:M93"/>
    <mergeCell ref="D83:F83"/>
    <mergeCell ref="P86:Q86"/>
    <mergeCell ref="D110:F110"/>
    <mergeCell ref="D85:F85"/>
    <mergeCell ref="P28:Q28"/>
    <mergeCell ref="D60:F60"/>
    <mergeCell ref="H28:I28"/>
    <mergeCell ref="B6:C6"/>
    <mergeCell ref="L59:M59"/>
    <mergeCell ref="H95:I95"/>
    <mergeCell ref="P30:Q30"/>
    <mergeCell ref="J46:K46"/>
    <mergeCell ref="L46:M46"/>
    <mergeCell ref="L111:M111"/>
    <mergeCell ref="H5:I5"/>
    <mergeCell ref="J61:K61"/>
    <mergeCell ref="L61:M61"/>
    <mergeCell ref="H97:I97"/>
    <mergeCell ref="J48:K48"/>
    <mergeCell ref="J97:K97"/>
    <mergeCell ref="L48:M48"/>
    <mergeCell ref="P104:Q104"/>
    <mergeCell ref="L125:M125"/>
    <mergeCell ref="L112:M112"/>
    <mergeCell ref="P41:Q41"/>
    <mergeCell ref="D78:F78"/>
    <mergeCell ref="H21:I21"/>
    <mergeCell ref="L43:M43"/>
    <mergeCell ref="P56:Q56"/>
    <mergeCell ref="P105:Q105"/>
    <mergeCell ref="D71:F71"/>
    <mergeCell ref="P99:Q99"/>
    <mergeCell ref="D58:F58"/>
    <mergeCell ref="P49:Q49"/>
    <mergeCell ref="H123:I123"/>
    <mergeCell ref="J74:K74"/>
    <mergeCell ref="L74:M74"/>
    <mergeCell ref="P107:Q107"/>
    <mergeCell ref="D73:F73"/>
    <mergeCell ref="P101:Q101"/>
    <mergeCell ref="H110:I110"/>
    <mergeCell ref="L114:M114"/>
    <mergeCell ref="L76:M76"/>
    <mergeCell ref="J118:K118"/>
    <mergeCell ref="L9:M9"/>
    <mergeCell ref="D12:E12"/>
    <mergeCell ref="N9:O9"/>
    <mergeCell ref="D84:F84"/>
    <mergeCell ref="D22:F22"/>
    <mergeCell ref="L11:M11"/>
    <mergeCell ref="D14:E14"/>
    <mergeCell ref="F14:G14"/>
    <mergeCell ref="D124:F124"/>
    <mergeCell ref="H92:I92"/>
    <mergeCell ref="H30:I30"/>
    <mergeCell ref="J92:K92"/>
    <mergeCell ref="P54:Q54"/>
    <mergeCell ref="H67:I67"/>
    <mergeCell ref="J67:K67"/>
    <mergeCell ref="P29:Q29"/>
    <mergeCell ref="J5:K5"/>
    <mergeCell ref="L67:M67"/>
    <mergeCell ref="H29:I29"/>
    <mergeCell ref="H78:I78"/>
    <mergeCell ref="P100:Q100"/>
    <mergeCell ref="H103:I103"/>
    <mergeCell ref="D126:F126"/>
    <mergeCell ref="P44:Q44"/>
    <mergeCell ref="H44:I44"/>
    <mergeCell ref="J69:K69"/>
    <mergeCell ref="P31:Q31"/>
    <mergeCell ref="J87:K87"/>
    <mergeCell ref="L87:M87"/>
    <mergeCell ref="H6:I6"/>
    <mergeCell ref="J123:K123"/>
    <mergeCell ref="J6:K6"/>
    <mergeCell ref="L62:M62"/>
    <mergeCell ref="P95:Q95"/>
    <mergeCell ref="H98:I98"/>
    <mergeCell ref="J98:K98"/>
    <mergeCell ref="L127:M127"/>
    <mergeCell ref="L64:M64"/>
    <mergeCell ref="L51:M51"/>
    <mergeCell ref="P120:Q120"/>
    <mergeCell ref="D79:F79"/>
    <mergeCell ref="L128:M128"/>
    <mergeCell ref="P57:Q57"/>
    <mergeCell ref="D8:E8"/>
    <mergeCell ref="D81:F81"/>
    <mergeCell ref="H124:I124"/>
    <mergeCell ref="H24:I24"/>
    <mergeCell ref="P42:Q42"/>
    <mergeCell ref="H116:I116"/>
    <mergeCell ref="P123:Q123"/>
    <mergeCell ref="H126:I126"/>
    <mergeCell ref="H26:I26"/>
    <mergeCell ref="H82:I82"/>
    <mergeCell ref="H53:I53"/>
    <mergeCell ref="J126:K126"/>
    <mergeCell ref="J82:K82"/>
    <mergeCell ref="P110:Q110"/>
    <mergeCell ref="D76:F76"/>
    <mergeCell ref="L82:M82"/>
    <mergeCell ref="N11:O11"/>
    <mergeCell ref="H55:I55"/>
    <mergeCell ref="L75:M75"/>
    <mergeCell ref="H113:I113"/>
    <mergeCell ref="D28:F28"/>
    <mergeCell ref="L12:M12"/>
    <mergeCell ref="N12:O12"/>
    <mergeCell ref="F15:G15"/>
    <mergeCell ref="D13:E13"/>
    <mergeCell ref="D92:F92"/>
    <mergeCell ref="D30:F30"/>
    <mergeCell ref="L14:M14"/>
    <mergeCell ref="L39:M39"/>
    <mergeCell ref="H52:I52"/>
    <mergeCell ref="N14:O14"/>
    <mergeCell ref="H79:I79"/>
    <mergeCell ref="P39:Q39"/>
    <mergeCell ref="H108:I108"/>
    <mergeCell ref="P70:Q70"/>
    <mergeCell ref="J108:K108"/>
    <mergeCell ref="D29:F29"/>
    <mergeCell ref="J95:K95"/>
    <mergeCell ref="D23:F23"/>
    <mergeCell ref="D94:F94"/>
    <mergeCell ref="H45:I45"/>
    <mergeCell ref="P116:Q116"/>
    <mergeCell ref="P32:Q32"/>
    <mergeCell ref="P103:Q103"/>
    <mergeCell ref="H81:I81"/>
    <mergeCell ref="P97:Q97"/>
    <mergeCell ref="H37:I37"/>
    <mergeCell ref="P47:Q47"/>
    <mergeCell ref="O1:R1"/>
    <mergeCell ref="L72:M72"/>
    <mergeCell ref="L65:M65"/>
    <mergeCell ref="D105:F105"/>
    <mergeCell ref="L7:M7"/>
    <mergeCell ref="D10:E10"/>
    <mergeCell ref="D120:F120"/>
    <mergeCell ref="N7:O7"/>
    <mergeCell ref="F10:G10"/>
    <mergeCell ref="D107:F107"/>
    <mergeCell ref="P63:Q63"/>
    <mergeCell ref="H63:I63"/>
    <mergeCell ref="J88:K88"/>
    <mergeCell ref="P50:Q50"/>
    <mergeCell ref="P25:Q25"/>
    <mergeCell ref="H50:I50"/>
    <mergeCell ref="P60:Q60"/>
    <mergeCell ref="H74:I74"/>
    <mergeCell ref="H68:I68"/>
    <mergeCell ref="H117:I117"/>
    <mergeCell ref="P52:Q52"/>
    <mergeCell ref="J117:K117"/>
    <mergeCell ref="F5:G5"/>
    <mergeCell ref="P124:Q124"/>
    <mergeCell ref="J27:K27"/>
    <mergeCell ref="J83:K83"/>
    <mergeCell ref="D25:F25"/>
    <mergeCell ref="L83:M83"/>
    <mergeCell ref="H119:I119"/>
    <mergeCell ref="J119:K119"/>
    <mergeCell ref="H69:I69"/>
    <mergeCell ref="P126:Q126"/>
    <mergeCell ref="J85:K85"/>
    <mergeCell ref="L85:M85"/>
    <mergeCell ref="D54:F54"/>
    <mergeCell ref="J22:K22"/>
    <mergeCell ref="L84:M84"/>
    <mergeCell ref="N13:O13"/>
    <mergeCell ref="L22:M22"/>
    <mergeCell ref="D100:F100"/>
    <mergeCell ref="J114:K114"/>
    <mergeCell ref="P78:Q78"/>
    <mergeCell ref="D31:F31"/>
    <mergeCell ref="J51:K51"/>
    <mergeCell ref="L80:M80"/>
    <mergeCell ref="P71:Q71"/>
    <mergeCell ref="D108:F108"/>
    <mergeCell ref="D95:F95"/>
    <mergeCell ref="P117:Q117"/>
    <mergeCell ref="P55:Q55"/>
    <mergeCell ref="J111:K111"/>
    <mergeCell ref="H38:I38"/>
    <mergeCell ref="J38:K38"/>
    <mergeCell ref="D32:F32"/>
    <mergeCell ref="D97:F97"/>
    <mergeCell ref="P119:Q119"/>
    <mergeCell ref="H40:I40"/>
    <mergeCell ref="F7:G7"/>
    <mergeCell ref="J40:K40"/>
    <mergeCell ref="L33:M33"/>
    <mergeCell ref="L8:M8"/>
    <mergeCell ref="N8:O8"/>
    <mergeCell ref="F8:G8"/>
    <mergeCell ref="D42:F42"/>
    <mergeCell ref="J35:K35"/>
    <mergeCell ref="D113:F113"/>
    <mergeCell ref="L35:M35"/>
    <mergeCell ref="H100:I100"/>
    <mergeCell ref="L10:M10"/>
    <mergeCell ref="D123:F123"/>
    <mergeCell ref="N10:O10"/>
    <mergeCell ref="D50:F50"/>
    <mergeCell ref="D44:F44"/>
    <mergeCell ref="P66:Q66"/>
    <mergeCell ref="D115:F115"/>
    <mergeCell ref="H66:I66"/>
    <mergeCell ref="B9:C9"/>
    <mergeCell ref="J91:K91"/>
    <mergeCell ref="P53:Q53"/>
    <mergeCell ref="J66:K66"/>
    <mergeCell ref="H77:I77"/>
    <mergeCell ref="J106:K106"/>
    <mergeCell ref="P68:Q68"/>
    <mergeCell ref="D45:F45"/>
    <mergeCell ref="L86:M86"/>
    <mergeCell ref="J72:K72"/>
    <mergeCell ref="L101:M101"/>
    <mergeCell ref="D70:F70"/>
    <mergeCell ref="D103:F103"/>
    <mergeCell ref="J30:K30"/>
    <mergeCell ref="H59:I59"/>
    <mergeCell ref="P21:Q21"/>
    <mergeCell ref="H46:I46"/>
    <mergeCell ref="P81:Q81"/>
    <mergeCell ref="D118:F118"/>
    <mergeCell ref="L23:M23"/>
    <mergeCell ref="H61:I61"/>
    <mergeCell ref="H88:I88"/>
    <mergeCell ref="P23:Q23"/>
    <mergeCell ref="D38:F38"/>
    <mergeCell ref="J104:K104"/>
    <mergeCell ref="D98:F98"/>
    <mergeCell ref="L104:M104"/>
    <mergeCell ref="H115:I115"/>
    <mergeCell ref="J54:K54"/>
    <mergeCell ref="A121:R121"/>
    <mergeCell ref="L54:M54"/>
    <mergeCell ref="H90:I90"/>
    <mergeCell ref="J41:K41"/>
    <mergeCell ref="L41:M41"/>
    <mergeCell ref="H27:I27"/>
    <mergeCell ref="D63:F63"/>
    <mergeCell ref="J56:K56"/>
    <mergeCell ref="L56:M56"/>
    <mergeCell ref="J105:K105"/>
    <mergeCell ref="L34:M34"/>
    <mergeCell ref="J43:K43"/>
    <mergeCell ref="L105:M105"/>
    <mergeCell ref="L99:M99"/>
    <mergeCell ref="L49:M49"/>
    <mergeCell ref="D52:F52"/>
    <mergeCell ref="L36:M36"/>
    <mergeCell ref="P92:Q92"/>
  </mergeCells>
  <conditionalFormatting sqref="A3">
    <cfRule type="expression" priority="1" dxfId="1" stopIfTrue="1">
      <formula>LEFT($A$3,3)="MÊS"</formula>
    </cfRule>
  </conditionalFormatting>
  <conditionalFormatting sqref="J6:K7">
    <cfRule type="expression" priority="2" dxfId="3" stopIfTrue="1">
      <formula>AND(J6&lt;&gt;"",J6=TODAY())</formula>
    </cfRule>
    <cfRule type="expression" priority="3" dxfId="4">
      <formula>AND(J6&lt;&gt;"",COUNTIFS($C$22:$C$210,J6,$O$22:$O$210,"&lt;&gt;Cancelada")&gt;0)</formula>
    </cfRule>
  </conditionalFormatting>
  <conditionalFormatting sqref="L6:M7">
    <cfRule type="expression" priority="4" dxfId="3" stopIfTrue="1">
      <formula>AND(L6&lt;&gt;"",L6=TODAY())</formula>
    </cfRule>
    <cfRule type="expression" priority="5" dxfId="4">
      <formula>AND(L6&lt;&gt;"",COUNTIFS($C$22:$C$210,L6,$O$22:$O$210,"&lt;&gt;Cancelada")&gt;0)</formula>
    </cfRule>
  </conditionalFormatting>
  <conditionalFormatting sqref="N6:O7">
    <cfRule type="expression" priority="6" dxfId="3" stopIfTrue="1">
      <formula>AND(N6&lt;&gt;"",N6=TODAY())</formula>
    </cfRule>
    <cfRule type="expression" priority="7" dxfId="4">
      <formula>AND(N6&lt;&gt;"",COUNTIFS($C$22:$C$210,N6,$O$22:$O$210,"&lt;&gt;Cancelada")&gt;0)</formula>
    </cfRule>
  </conditionalFormatting>
  <conditionalFormatting sqref="B8:C9">
    <cfRule type="expression" priority="8" dxfId="3" stopIfTrue="1">
      <formula>AND(B8&lt;&gt;"",B8=TODAY())</formula>
    </cfRule>
    <cfRule type="expression" priority="9" dxfId="4">
      <formula>AND(B8&lt;&gt;"",COUNTIFS($C$22:$C$210,B8,$O$22:$O$210,"&lt;&gt;Cancelada")&gt;0)</formula>
    </cfRule>
  </conditionalFormatting>
  <conditionalFormatting sqref="D8:E9">
    <cfRule type="expression" priority="10" dxfId="3" stopIfTrue="1">
      <formula>AND(D8&lt;&gt;"",D8=TODAY())</formula>
    </cfRule>
    <cfRule type="expression" priority="11" dxfId="4">
      <formula>AND(D8&lt;&gt;"",COUNTIFS($C$22:$C$210,D8,$O$22:$O$210,"&lt;&gt;Cancelada")&gt;0)</formula>
    </cfRule>
  </conditionalFormatting>
  <conditionalFormatting sqref="F8:G9">
    <cfRule type="expression" priority="12" dxfId="3" stopIfTrue="1">
      <formula>AND(F8&lt;&gt;"",F8=TODAY())</formula>
    </cfRule>
    <cfRule type="expression" priority="13" dxfId="4">
      <formula>AND(F8&lt;&gt;"",COUNTIFS($C$22:$C$210,F8,$O$22:$O$210,"&lt;&gt;Cancelada")&gt;0)</formula>
    </cfRule>
  </conditionalFormatting>
  <conditionalFormatting sqref="H8:I9">
    <cfRule type="expression" priority="14" dxfId="3" stopIfTrue="1">
      <formula>AND(H8&lt;&gt;"",H8=TODAY())</formula>
    </cfRule>
    <cfRule type="expression" priority="15" dxfId="4">
      <formula>AND(H8&lt;&gt;"",COUNTIFS($C$22:$C$210,H8,$O$22:$O$210,"&lt;&gt;Cancelada")&gt;0)</formula>
    </cfRule>
  </conditionalFormatting>
  <conditionalFormatting sqref="J8:K9">
    <cfRule type="expression" priority="16" dxfId="3" stopIfTrue="1">
      <formula>AND(J8&lt;&gt;"",J8=TODAY())</formula>
    </cfRule>
    <cfRule type="expression" priority="17" dxfId="4">
      <formula>AND(J8&lt;&gt;"",COUNTIFS($C$22:$C$210,J8,$O$22:$O$210,"&lt;&gt;Cancelada")&gt;0)</formula>
    </cfRule>
  </conditionalFormatting>
  <conditionalFormatting sqref="L8:M9">
    <cfRule type="expression" priority="18" dxfId="3" stopIfTrue="1">
      <formula>AND(L8&lt;&gt;"",L8=TODAY())</formula>
    </cfRule>
    <cfRule type="expression" priority="19" dxfId="4">
      <formula>AND(L8&lt;&gt;"",COUNTIFS($C$22:$C$210,L8,$O$22:$O$210,"&lt;&gt;Cancelada")&gt;0)</formula>
    </cfRule>
  </conditionalFormatting>
  <conditionalFormatting sqref="N8:O9">
    <cfRule type="expression" priority="20" dxfId="3" stopIfTrue="1">
      <formula>AND(N8&lt;&gt;"",N8=TODAY())</formula>
    </cfRule>
    <cfRule type="expression" priority="21" dxfId="4">
      <formula>AND(N8&lt;&gt;"",COUNTIFS($C$22:$C$210,N8,$O$22:$O$210,"&lt;&gt;Cancelada")&gt;0)</formula>
    </cfRule>
  </conditionalFormatting>
  <conditionalFormatting sqref="B10:C11">
    <cfRule type="expression" priority="22" dxfId="3" stopIfTrue="1">
      <formula>AND(B10&lt;&gt;"",B10=TODAY())</formula>
    </cfRule>
    <cfRule type="expression" priority="23" dxfId="4">
      <formula>AND(B10&lt;&gt;"",COUNTIFS($C$22:$C$210,B10,$O$22:$O$210,"&lt;&gt;Cancelada")&gt;0)</formula>
    </cfRule>
  </conditionalFormatting>
  <conditionalFormatting sqref="D10:E11">
    <cfRule type="expression" priority="24" dxfId="3" stopIfTrue="1">
      <formula>AND(D10&lt;&gt;"",D10=TODAY())</formula>
    </cfRule>
    <cfRule type="expression" priority="25" dxfId="4">
      <formula>AND(D10&lt;&gt;"",COUNTIFS($C$22:$C$210,D10,$O$22:$O$210,"&lt;&gt;Cancelada")&gt;0)</formula>
    </cfRule>
  </conditionalFormatting>
  <conditionalFormatting sqref="F10:G11">
    <cfRule type="expression" priority="26" dxfId="3" stopIfTrue="1">
      <formula>AND(F10&lt;&gt;"",F10=TODAY())</formula>
    </cfRule>
    <cfRule type="expression" priority="27" dxfId="4">
      <formula>AND(F10&lt;&gt;"",COUNTIFS($C$22:$C$210,F10,$O$22:$O$210,"&lt;&gt;Cancelada")&gt;0)</formula>
    </cfRule>
  </conditionalFormatting>
  <conditionalFormatting sqref="H10:I11">
    <cfRule type="expression" priority="28" dxfId="3" stopIfTrue="1">
      <formula>AND(H10&lt;&gt;"",H10=TODAY())</formula>
    </cfRule>
    <cfRule type="expression" priority="29" dxfId="4">
      <formula>AND(H10&lt;&gt;"",COUNTIFS($C$22:$C$210,H10,$O$22:$O$210,"&lt;&gt;Cancelada")&gt;0)</formula>
    </cfRule>
  </conditionalFormatting>
  <conditionalFormatting sqref="J10:K11">
    <cfRule type="expression" priority="30" dxfId="3" stopIfTrue="1">
      <formula>AND(J10&lt;&gt;"",J10=TODAY())</formula>
    </cfRule>
    <cfRule type="expression" priority="31" dxfId="4">
      <formula>AND(J10&lt;&gt;"",COUNTIFS($C$22:$C$210,J10,$O$22:$O$210,"&lt;&gt;Cancelada")&gt;0)</formula>
    </cfRule>
  </conditionalFormatting>
  <conditionalFormatting sqref="L10:M11">
    <cfRule type="expression" priority="32" dxfId="3" stopIfTrue="1">
      <formula>AND(L10&lt;&gt;"",L10=TODAY())</formula>
    </cfRule>
    <cfRule type="expression" priority="33" dxfId="4">
      <formula>AND(L10&lt;&gt;"",COUNTIFS($C$22:$C$210,L10,$O$22:$O$210,"&lt;&gt;Cancelada")&gt;0)</formula>
    </cfRule>
  </conditionalFormatting>
  <conditionalFormatting sqref="N10:O11">
    <cfRule type="expression" priority="34" dxfId="3" stopIfTrue="1">
      <formula>AND(N10&lt;&gt;"",N10=TODAY())</formula>
    </cfRule>
    <cfRule type="expression" priority="35" dxfId="4">
      <formula>AND(N10&lt;&gt;"",COUNTIFS($C$22:$C$210,N10,$O$22:$O$210,"&lt;&gt;Cancelada")&gt;0)</formula>
    </cfRule>
  </conditionalFormatting>
  <conditionalFormatting sqref="B12:C13">
    <cfRule type="expression" priority="36" dxfId="3" stopIfTrue="1">
      <formula>AND(B12&lt;&gt;"",B12=TODAY())</formula>
    </cfRule>
    <cfRule type="expression" priority="37" dxfId="4">
      <formula>AND(B12&lt;&gt;"",COUNTIFS($C$22:$C$210,B12,$O$22:$O$210,"&lt;&gt;Cancelada")&gt;0)</formula>
    </cfRule>
  </conditionalFormatting>
  <conditionalFormatting sqref="D12:E13">
    <cfRule type="expression" priority="38" dxfId="3" stopIfTrue="1">
      <formula>AND(D12&lt;&gt;"",D12=TODAY())</formula>
    </cfRule>
    <cfRule type="expression" priority="39" dxfId="4">
      <formula>AND(D12&lt;&gt;"",COUNTIFS($C$22:$C$210,D12,$O$22:$O$210,"&lt;&gt;Cancelada")&gt;0)</formula>
    </cfRule>
  </conditionalFormatting>
  <conditionalFormatting sqref="F12:G13">
    <cfRule type="expression" priority="40" dxfId="3" stopIfTrue="1">
      <formula>AND(F12&lt;&gt;"",F12=TODAY())</formula>
    </cfRule>
    <cfRule type="expression" priority="41" dxfId="4">
      <formula>AND(F12&lt;&gt;"",COUNTIFS($C$22:$C$210,F12,$O$22:$O$210,"&lt;&gt;Cancelada")&gt;0)</formula>
    </cfRule>
  </conditionalFormatting>
  <conditionalFormatting sqref="H12:I13">
    <cfRule type="expression" priority="42" dxfId="3" stopIfTrue="1">
      <formula>AND(H12&lt;&gt;"",H12=TODAY())</formula>
    </cfRule>
    <cfRule type="expression" priority="43" dxfId="4">
      <formula>AND(H12&lt;&gt;"",COUNTIFS($C$22:$C$210,H12,$O$22:$O$210,"&lt;&gt;Cancelada")&gt;0)</formula>
    </cfRule>
  </conditionalFormatting>
  <conditionalFormatting sqref="J12:K13">
    <cfRule type="expression" priority="44" dxfId="3" stopIfTrue="1">
      <formula>AND(J12&lt;&gt;"",J12=TODAY())</formula>
    </cfRule>
    <cfRule type="expression" priority="45" dxfId="4">
      <formula>AND(J12&lt;&gt;"",COUNTIFS($C$22:$C$210,J12,$O$22:$O$210,"&lt;&gt;Cancelada")&gt;0)</formula>
    </cfRule>
  </conditionalFormatting>
  <conditionalFormatting sqref="L12:M13">
    <cfRule type="expression" priority="46" dxfId="3" stopIfTrue="1">
      <formula>AND(L12&lt;&gt;"",L12=TODAY())</formula>
    </cfRule>
    <cfRule type="expression" priority="47" dxfId="4">
      <formula>AND(L12&lt;&gt;"",COUNTIFS($C$22:$C$210,L12,$O$22:$O$210,"&lt;&gt;Cancelada")&gt;0)</formula>
    </cfRule>
  </conditionalFormatting>
  <conditionalFormatting sqref="N12:O13">
    <cfRule type="expression" priority="48" dxfId="3" stopIfTrue="1">
      <formula>AND(N12&lt;&gt;"",N12=TODAY())</formula>
    </cfRule>
    <cfRule type="expression" priority="49" dxfId="4">
      <formula>AND(N12&lt;&gt;"",COUNTIFS($C$22:$C$210,N12,$O$22:$O$210,"&lt;&gt;Cancelada")&gt;0)</formula>
    </cfRule>
  </conditionalFormatting>
  <conditionalFormatting sqref="B14:C15">
    <cfRule type="expression" priority="50" dxfId="3" stopIfTrue="1">
      <formula>AND(B14&lt;&gt;"",B14=TODAY())</formula>
    </cfRule>
    <cfRule type="expression" priority="51" dxfId="4">
      <formula>AND(B14&lt;&gt;"",COUNTIFS($C$22:$C$210,B14,$O$22:$O$210,"&lt;&gt;Cancelada")&gt;0)</formula>
    </cfRule>
  </conditionalFormatting>
  <conditionalFormatting sqref="D14:E15">
    <cfRule type="expression" priority="52" dxfId="3" stopIfTrue="1">
      <formula>AND(D14&lt;&gt;"",D14=TODAY())</formula>
    </cfRule>
    <cfRule type="expression" priority="53" dxfId="4">
      <formula>AND(D14&lt;&gt;"",COUNTIFS($C$22:$C$210,D14,$O$22:$O$210,"&lt;&gt;Cancelada")&gt;0)</formula>
    </cfRule>
  </conditionalFormatting>
  <conditionalFormatting sqref="F14:G15">
    <cfRule type="expression" priority="54" dxfId="3" stopIfTrue="1">
      <formula>AND(F14&lt;&gt;"",F14=TODAY())</formula>
    </cfRule>
    <cfRule type="expression" priority="55" dxfId="4">
      <formula>AND(F14&lt;&gt;"",COUNTIFS($C$22:$C$210,F14,$O$22:$O$210,"&lt;&gt;Cancelada")&gt;0)</formula>
    </cfRule>
  </conditionalFormatting>
  <conditionalFormatting sqref="H14:I15">
    <cfRule type="expression" priority="56" dxfId="3" stopIfTrue="1">
      <formula>AND(H14&lt;&gt;"",H14=TODAY())</formula>
    </cfRule>
    <cfRule type="expression" priority="57" dxfId="4">
      <formula>AND(H14&lt;&gt;"",COUNTIFS($C$22:$C$210,H14,$O$22:$O$210,"&lt;&gt;Cancelada")&gt;0)</formula>
    </cfRule>
  </conditionalFormatting>
  <conditionalFormatting sqref="J14:K15">
    <cfRule type="expression" priority="58" dxfId="3" stopIfTrue="1">
      <formula>AND(J14&lt;&gt;"",J14=TODAY())</formula>
    </cfRule>
    <cfRule type="expression" priority="59" dxfId="4">
      <formula>AND(J14&lt;&gt;"",COUNTIFS($C$22:$C$210,J14,$O$22:$O$210,"&lt;&gt;Cancelada")&gt;0)</formula>
    </cfRule>
  </conditionalFormatting>
  <conditionalFormatting sqref="L14:M15">
    <cfRule type="expression" priority="60" dxfId="3" stopIfTrue="1">
      <formula>AND(L14&lt;&gt;"",L14=TODAY())</formula>
    </cfRule>
    <cfRule type="expression" priority="61" dxfId="4">
      <formula>AND(L14&lt;&gt;"",COUNTIFS($C$22:$C$210,L14,$O$22:$O$210,"&lt;&gt;Cancelada")&gt;0)</formula>
    </cfRule>
  </conditionalFormatting>
  <conditionalFormatting sqref="N14:O15">
    <cfRule type="expression" priority="62" dxfId="3" stopIfTrue="1">
      <formula>AND(N14&lt;&gt;"",N14=TODAY())</formula>
    </cfRule>
    <cfRule type="expression" priority="63" dxfId="4">
      <formula>AND(N14&lt;&gt;"",COUNTIFS($C$22:$C$210,N14,$O$22:$O$210,"&lt;&gt;Cancelada")&gt;0)</formula>
    </cfRule>
  </conditionalFormatting>
  <conditionalFormatting sqref="R22:R128">
    <cfRule type="expression" priority="64" dxfId="5">
      <formula>$R22="Aprovada"</formula>
    </cfRule>
    <cfRule type="expression" priority="65" dxfId="6">
      <formula>$R22="Atrasada"</formula>
    </cfRule>
    <cfRule type="expression" priority="66" dxfId="7">
      <formula>$R22="Reprovada"</formula>
    </cfRule>
    <cfRule type="expression" priority="67" dxfId="8">
      <formula>$R22="Entregue"</formula>
    </cfRule>
    <cfRule type="expression" priority="68" dxfId="9">
      <formula>$R22="Pendente"</formula>
    </cfRule>
    <cfRule type="expression" priority="69" dxfId="10">
      <formula>$R22="Cancelada"</formula>
    </cfRule>
    <cfRule type="expression" priority="70" dxfId="11">
      <formula>$R22="Não agendado"</formula>
    </cfRule>
  </conditionalFormatting>
  <dataValidations count="3">
    <dataValidation sqref="O22:O128" showDropDown="0" showInputMessage="0" showErrorMessage="0" allowBlank="1" type="list">
      <formula1>"Aprovado,Reprovado,Cancelada"</formula1>
    </dataValidation>
    <dataValidation sqref="J22:J120" showDropDown="0" showInputMessage="0" showErrorMessage="0" allowBlank="1" type="list">
      <formula1>=Setores</formula1>
    </dataValidation>
    <dataValidation sqref="G123:G128" showDropDown="0" showInputMessage="0" showErrorMessage="0" allowBlank="1" type="list">
      <formula1>"A,B,C,Todos"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C36AE"/>
    <outlinePr summaryBelow="1" summaryRight="1"/>
    <pageSetUpPr/>
  </sheetPr>
  <dimension ref="A1:U111"/>
  <sheetViews>
    <sheetView showGridLines="0" workbookViewId="0">
      <selection activeCell="A1" sqref="A1"/>
    </sheetView>
  </sheetViews>
  <sheetFormatPr baseColWidth="8" defaultRowHeight="15"/>
  <cols>
    <col hidden="1"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3" customWidth="1" min="18" max="18"/>
    <col hidden="1" width="4" customWidth="1" min="19" max="19"/>
    <col hidden="1" width="4" customWidth="1" min="20" max="20"/>
    <col hidden="1" width="4" customWidth="1" min="21" max="21"/>
  </cols>
  <sheetData>
    <row r="1" ht="30" customHeight="1">
      <c r="A1" s="16" t="inlineStr">
        <is>
          <t>11 · NOVEMBRO 2026</t>
        </is>
      </c>
      <c r="O1" s="50" t="inlineStr">
        <is>
          <t>GSL BARTOFIL</t>
        </is>
      </c>
    </row>
    <row r="2" ht="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>
      <c r="A3" s="51">
        <f>IF((COUNTIF($R$22:$R$210,"Aprovada")+COUNTIF($R$22:$R$210,"Entregue")+COUNTIF($R$22:$R$210,"Pendente")+COUNTIF($R$22:$R$210,"Atrasada")+COUNTIF($R$22:$R$210,"Reprovada"))=0,"",IF(COUNTIF($R$22:$R$210,"Aprovada")=(COUNTIF($R$22:$R$210,"Aprovada")+COUNTIF($R$22:$R$210,"Entregue")+COUNTIF($R$22:$R$210,"Pendente")+COUNTIF($R$22:$R$210,"Atrasada")+COUNTIF($R$22:$R$210,"Reprovada")),"MÊS CONCLUÍDO — todas as atividades aprovadas","EM ANDAMENTO — "&amp;COUNTIF($R$22:$R$210,"Aprovada")&amp;" de "&amp;(COUNTIF($R$22:$R$210,"Aprovada")+COUNTIF($R$22:$R$210,"Entregue")+COUNTIF($R$22:$R$210,"Pendente")+COUNTIF($R$22:$R$210,"Atrasada")+COUNTIF($R$22:$R$210,"Reprovada"))&amp;" atividades aprovadas"))</f>
        <v/>
      </c>
    </row>
    <row r="5">
      <c r="B5" s="52" t="inlineStr">
        <is>
          <t>DOM</t>
        </is>
      </c>
      <c r="C5" s="53" t="n"/>
      <c r="D5" s="52" t="inlineStr">
        <is>
          <t>SEG</t>
        </is>
      </c>
      <c r="E5" s="53" t="n"/>
      <c r="F5" s="52" t="inlineStr">
        <is>
          <t>TER</t>
        </is>
      </c>
      <c r="G5" s="53" t="n"/>
      <c r="H5" s="52" t="inlineStr">
        <is>
          <t>QUA</t>
        </is>
      </c>
      <c r="I5" s="53" t="n"/>
      <c r="J5" s="52" t="inlineStr">
        <is>
          <t>QUI</t>
        </is>
      </c>
      <c r="K5" s="53" t="n"/>
      <c r="L5" s="54" t="inlineStr">
        <is>
          <t>SEX</t>
        </is>
      </c>
      <c r="M5" s="53" t="n"/>
      <c r="N5" s="52" t="inlineStr">
        <is>
          <t>SÁB</t>
        </is>
      </c>
      <c r="O5" s="53" t="n"/>
    </row>
    <row r="6" ht="20" customHeight="1">
      <c r="B6" s="57" t="n">
        <v>46327</v>
      </c>
      <c r="C6" s="58" t="n"/>
      <c r="D6" s="57" t="n">
        <v>46328</v>
      </c>
      <c r="E6" s="58" t="n"/>
      <c r="F6" s="57" t="n">
        <v>46329</v>
      </c>
      <c r="G6" s="58" t="n"/>
      <c r="H6" s="57" t="n">
        <v>46330</v>
      </c>
      <c r="I6" s="58" t="n"/>
      <c r="J6" s="57" t="n">
        <v>46331</v>
      </c>
      <c r="K6" s="58" t="n"/>
      <c r="L6" s="57" t="n">
        <v>46332</v>
      </c>
      <c r="M6" s="58" t="n"/>
      <c r="N6" s="57" t="n">
        <v>46333</v>
      </c>
      <c r="O6" s="58" t="n"/>
    </row>
    <row r="7" ht="26" customHeight="1">
      <c r="B7" s="61">
        <f>IF(B6="","",TRIM(IF(COUNTIFS($C$22:$C$210,B6,$D$22:$D$210,"*Erros*",$O$22:$O$210,"&lt;&gt;Cancelada")&gt;0,"Erros ","")&amp;IF(COUNTIFS($C$22:$C$210,B6,$D$22:$D$210,"*Suporte*",$O$22:$O$210,"&lt;&gt;Cancelada")&gt;0,"Suporte ","")&amp;IF(COUNTIFS($C$22:$C$210,B6,$D$22:$D$210,"*Vistoria*",$O$22:$O$210,"&lt;&gt;Cancelada")&gt;0,"Vistoria ","")&amp;IF(COUNTIFS($C$22:$C$210,B6,$D$22:$D$210,"*Metas*",$O$22:$O$210,"&lt;&gt;Cancelada")&gt;0,"Metas ","")&amp;IF(COUNTIFS($C$22:$C$210,B6,$D$22:$D$210,"*Faltas*",$O$22:$O$210,"&lt;&gt;Cancelada")&gt;0,"Faltas ","")&amp;IF(COUNTIFS($C$22:$C$210,B6,$D$22:$D$210,"*Semanal c/*",$O$22:$O$210,"&lt;&gt;Cancelada")&gt;0,"Acomp. ","")&amp;IF(COUNTIFS($C$22:$C$210,B6,$D$22:$D$210,"*Reunião*",$O$22:$O$210,"&lt;&gt;Cancelada")&gt;0,"Reunião ","")&amp;IF(COUNTIFS($C$22:$C$210,B6,$D$22:$D$210,"*Férias*",$O$22:$O$210,"&lt;&gt;Cancelada")&gt;0,"Férias ","")&amp;IF(COUNTIFS($C$22:$C$210,B6,$D$22:$D$210,"*Mudança*",$O$22:$O$210,"&lt;&gt;Cancelada")&gt;0,"M.Função ","")&amp;IF(COUNTIFS($C$22:$C$210,B6,$D$22:$D$210,"*Treinamento*",$O$22:$O$210,"&lt;&gt;Cancelada")&gt;0,"Trein. ","")))</f>
        <v/>
      </c>
      <c r="C7" s="62" t="n"/>
      <c r="D7" s="61">
        <f>IF(D6="","",TRIM(IF(COUNTIFS($C$22:$C$210,D6,$D$22:$D$210,"*Erros*",$O$22:$O$210,"&lt;&gt;Cancelada")&gt;0,"Erros ","")&amp;IF(COUNTIFS($C$22:$C$210,D6,$D$22:$D$210,"*Suporte*",$O$22:$O$210,"&lt;&gt;Cancelada")&gt;0,"Suporte ","")&amp;IF(COUNTIFS($C$22:$C$210,D6,$D$22:$D$210,"*Vistoria*",$O$22:$O$210,"&lt;&gt;Cancelada")&gt;0,"Vistoria ","")&amp;IF(COUNTIFS($C$22:$C$210,D6,$D$22:$D$210,"*Metas*",$O$22:$O$210,"&lt;&gt;Cancelada")&gt;0,"Metas ","")&amp;IF(COUNTIFS($C$22:$C$210,D6,$D$22:$D$210,"*Faltas*",$O$22:$O$210,"&lt;&gt;Cancelada")&gt;0,"Faltas ","")&amp;IF(COUNTIFS($C$22:$C$210,D6,$D$22:$D$210,"*Semanal c/*",$O$22:$O$210,"&lt;&gt;Cancelada")&gt;0,"Acomp. ","")&amp;IF(COUNTIFS($C$22:$C$210,D6,$D$22:$D$210,"*Reunião*",$O$22:$O$210,"&lt;&gt;Cancelada")&gt;0,"Reunião ","")&amp;IF(COUNTIFS($C$22:$C$210,D6,$D$22:$D$210,"*Férias*",$O$22:$O$210,"&lt;&gt;Cancelada")&gt;0,"Férias ","")&amp;IF(COUNTIFS($C$22:$C$210,D6,$D$22:$D$210,"*Mudança*",$O$22:$O$210,"&lt;&gt;Cancelada")&gt;0,"M.Função ","")&amp;IF(COUNTIFS($C$22:$C$210,D6,$D$22:$D$210,"*Treinamento*",$O$22:$O$210,"&lt;&gt;Cancelada")&gt;0,"Trein. ","")))</f>
        <v/>
      </c>
      <c r="E7" s="62" t="n"/>
      <c r="F7" s="61">
        <f>IF(F6="","",TRIM(IF(COUNTIFS($C$22:$C$210,F6,$D$22:$D$210,"*Erros*",$O$22:$O$210,"&lt;&gt;Cancelada")&gt;0,"Erros ","")&amp;IF(COUNTIFS($C$22:$C$210,F6,$D$22:$D$210,"*Suporte*",$O$22:$O$210,"&lt;&gt;Cancelada")&gt;0,"Suporte ","")&amp;IF(COUNTIFS($C$22:$C$210,F6,$D$22:$D$210,"*Vistoria*",$O$22:$O$210,"&lt;&gt;Cancelada")&gt;0,"Vistoria ","")&amp;IF(COUNTIFS($C$22:$C$210,F6,$D$22:$D$210,"*Metas*",$O$22:$O$210,"&lt;&gt;Cancelada")&gt;0,"Metas ","")&amp;IF(COUNTIFS($C$22:$C$210,F6,$D$22:$D$210,"*Faltas*",$O$22:$O$210,"&lt;&gt;Cancelada")&gt;0,"Faltas ","")&amp;IF(COUNTIFS($C$22:$C$210,F6,$D$22:$D$210,"*Semanal c/*",$O$22:$O$210,"&lt;&gt;Cancelada")&gt;0,"Acomp. ","")&amp;IF(COUNTIFS($C$22:$C$210,F6,$D$22:$D$210,"*Reunião*",$O$22:$O$210,"&lt;&gt;Cancelada")&gt;0,"Reunião ","")&amp;IF(COUNTIFS($C$22:$C$210,F6,$D$22:$D$210,"*Férias*",$O$22:$O$210,"&lt;&gt;Cancelada")&gt;0,"Férias ","")&amp;IF(COUNTIFS($C$22:$C$210,F6,$D$22:$D$210,"*Mudança*",$O$22:$O$210,"&lt;&gt;Cancelada")&gt;0,"M.Função ","")&amp;IF(COUNTIFS($C$22:$C$210,F6,$D$22:$D$210,"*Treinamento*",$O$22:$O$210,"&lt;&gt;Cancelada")&gt;0,"Trein. ","")))</f>
        <v/>
      </c>
      <c r="G7" s="62" t="n"/>
      <c r="H7" s="61">
        <f>IF(H6="","",TRIM(IF(COUNTIFS($C$22:$C$210,H6,$D$22:$D$210,"*Erros*",$O$22:$O$210,"&lt;&gt;Cancelada")&gt;0,"Erros ","")&amp;IF(COUNTIFS($C$22:$C$210,H6,$D$22:$D$210,"*Suporte*",$O$22:$O$210,"&lt;&gt;Cancelada")&gt;0,"Suporte ","")&amp;IF(COUNTIFS($C$22:$C$210,H6,$D$22:$D$210,"*Vistoria*",$O$22:$O$210,"&lt;&gt;Cancelada")&gt;0,"Vistoria ","")&amp;IF(COUNTIFS($C$22:$C$210,H6,$D$22:$D$210,"*Metas*",$O$22:$O$210,"&lt;&gt;Cancelada")&gt;0,"Metas ","")&amp;IF(COUNTIFS($C$22:$C$210,H6,$D$22:$D$210,"*Faltas*",$O$22:$O$210,"&lt;&gt;Cancelada")&gt;0,"Faltas ","")&amp;IF(COUNTIFS($C$22:$C$210,H6,$D$22:$D$210,"*Semanal c/*",$O$22:$O$210,"&lt;&gt;Cancelada")&gt;0,"Acomp. ","")&amp;IF(COUNTIFS($C$22:$C$210,H6,$D$22:$D$210,"*Reunião*",$O$22:$O$210,"&lt;&gt;Cancelada")&gt;0,"Reunião ","")&amp;IF(COUNTIFS($C$22:$C$210,H6,$D$22:$D$210,"*Férias*",$O$22:$O$210,"&lt;&gt;Cancelada")&gt;0,"Férias ","")&amp;IF(COUNTIFS($C$22:$C$210,H6,$D$22:$D$210,"*Mudança*",$O$22:$O$210,"&lt;&gt;Cancelada")&gt;0,"M.Função ","")&amp;IF(COUNTIFS($C$22:$C$210,H6,$D$22:$D$210,"*Treinamento*",$O$22:$O$210,"&lt;&gt;Cancelada")&gt;0,"Trein. ","")))</f>
        <v/>
      </c>
      <c r="I7" s="62" t="n"/>
      <c r="J7" s="61">
        <f>IF(J6="","",TRIM(IF(COUNTIFS($C$22:$C$210,J6,$D$22:$D$210,"*Erros*",$O$22:$O$210,"&lt;&gt;Cancelada")&gt;0,"Erros ","")&amp;IF(COUNTIFS($C$22:$C$210,J6,$D$22:$D$210,"*Suporte*",$O$22:$O$210,"&lt;&gt;Cancelada")&gt;0,"Suporte ","")&amp;IF(COUNTIFS($C$22:$C$210,J6,$D$22:$D$210,"*Vistoria*",$O$22:$O$210,"&lt;&gt;Cancelada")&gt;0,"Vistoria ","")&amp;IF(COUNTIFS($C$22:$C$210,J6,$D$22:$D$210,"*Metas*",$O$22:$O$210,"&lt;&gt;Cancelada")&gt;0,"Metas ","")&amp;IF(COUNTIFS($C$22:$C$210,J6,$D$22:$D$210,"*Faltas*",$O$22:$O$210,"&lt;&gt;Cancelada")&gt;0,"Faltas ","")&amp;IF(COUNTIFS($C$22:$C$210,J6,$D$22:$D$210,"*Semanal c/*",$O$22:$O$210,"&lt;&gt;Cancelada")&gt;0,"Acomp. ","")&amp;IF(COUNTIFS($C$22:$C$210,J6,$D$22:$D$210,"*Reunião*",$O$22:$O$210,"&lt;&gt;Cancelada")&gt;0,"Reunião ","")&amp;IF(COUNTIFS($C$22:$C$210,J6,$D$22:$D$210,"*Férias*",$O$22:$O$210,"&lt;&gt;Cancelada")&gt;0,"Férias ","")&amp;IF(COUNTIFS($C$22:$C$210,J6,$D$22:$D$210,"*Mudança*",$O$22:$O$210,"&lt;&gt;Cancelada")&gt;0,"M.Função ","")&amp;IF(COUNTIFS($C$22:$C$210,J6,$D$22:$D$210,"*Treinamento*",$O$22:$O$210,"&lt;&gt;Cancelada")&gt;0,"Trein. ","")))</f>
        <v/>
      </c>
      <c r="K7" s="62" t="n"/>
      <c r="L7" s="61">
        <f>IF(L6="","",TRIM(IF(COUNTIFS($C$22:$C$210,L6,$D$22:$D$210,"*Erros*",$O$22:$O$210,"&lt;&gt;Cancelada")&gt;0,"Erros ","")&amp;IF(COUNTIFS($C$22:$C$210,L6,$D$22:$D$210,"*Suporte*",$O$22:$O$210,"&lt;&gt;Cancelada")&gt;0,"Suporte ","")&amp;IF(COUNTIFS($C$22:$C$210,L6,$D$22:$D$210,"*Vistoria*",$O$22:$O$210,"&lt;&gt;Cancelada")&gt;0,"Vistoria ","")&amp;IF(COUNTIFS($C$22:$C$210,L6,$D$22:$D$210,"*Metas*",$O$22:$O$210,"&lt;&gt;Cancelada")&gt;0,"Metas ","")&amp;IF(COUNTIFS($C$22:$C$210,L6,$D$22:$D$210,"*Faltas*",$O$22:$O$210,"&lt;&gt;Cancelada")&gt;0,"Faltas ","")&amp;IF(COUNTIFS($C$22:$C$210,L6,$D$22:$D$210,"*Semanal c/*",$O$22:$O$210,"&lt;&gt;Cancelada")&gt;0,"Acomp. ","")&amp;IF(COUNTIFS($C$22:$C$210,L6,$D$22:$D$210,"*Reunião*",$O$22:$O$210,"&lt;&gt;Cancelada")&gt;0,"Reunião ","")&amp;IF(COUNTIFS($C$22:$C$210,L6,$D$22:$D$210,"*Férias*",$O$22:$O$210,"&lt;&gt;Cancelada")&gt;0,"Férias ","")&amp;IF(COUNTIFS($C$22:$C$210,L6,$D$22:$D$210,"*Mudança*",$O$22:$O$210,"&lt;&gt;Cancelada")&gt;0,"M.Função ","")&amp;IF(COUNTIFS($C$22:$C$210,L6,$D$22:$D$210,"*Treinamento*",$O$22:$O$210,"&lt;&gt;Cancelada")&gt;0,"Trein. ","")))</f>
        <v/>
      </c>
      <c r="M7" s="62" t="n"/>
      <c r="N7" s="61">
        <f>IF(N6="","",TRIM(IF(COUNTIFS($C$22:$C$210,N6,$D$22:$D$210,"*Erros*",$O$22:$O$210,"&lt;&gt;Cancelada")&gt;0,"Erros ","")&amp;IF(COUNTIFS($C$22:$C$210,N6,$D$22:$D$210,"*Suporte*",$O$22:$O$210,"&lt;&gt;Cancelada")&gt;0,"Suporte ","")&amp;IF(COUNTIFS($C$22:$C$210,N6,$D$22:$D$210,"*Vistoria*",$O$22:$O$210,"&lt;&gt;Cancelada")&gt;0,"Vistoria ","")&amp;IF(COUNTIFS($C$22:$C$210,N6,$D$22:$D$210,"*Metas*",$O$22:$O$210,"&lt;&gt;Cancelada")&gt;0,"Metas ","")&amp;IF(COUNTIFS($C$22:$C$210,N6,$D$22:$D$210,"*Faltas*",$O$22:$O$210,"&lt;&gt;Cancelada")&gt;0,"Faltas ","")&amp;IF(COUNTIFS($C$22:$C$210,N6,$D$22:$D$210,"*Semanal c/*",$O$22:$O$210,"&lt;&gt;Cancelada")&gt;0,"Acomp. ","")&amp;IF(COUNTIFS($C$22:$C$210,N6,$D$22:$D$210,"*Reunião*",$O$22:$O$210,"&lt;&gt;Cancelada")&gt;0,"Reunião ","")&amp;IF(COUNTIFS($C$22:$C$210,N6,$D$22:$D$210,"*Férias*",$O$22:$O$210,"&lt;&gt;Cancelada")&gt;0,"Férias ","")&amp;IF(COUNTIFS($C$22:$C$210,N6,$D$22:$D$210,"*Mudança*",$O$22:$O$210,"&lt;&gt;Cancelada")&gt;0,"M.Função ","")&amp;IF(COUNTIFS($C$22:$C$210,N6,$D$22:$D$210,"*Treinamento*",$O$22:$O$210,"&lt;&gt;Cancelada")&gt;0,"Trein. ","")))</f>
        <v/>
      </c>
      <c r="O7" s="62" t="n"/>
    </row>
    <row r="8" ht="20" customHeight="1">
      <c r="B8" s="57" t="n">
        <v>46334</v>
      </c>
      <c r="C8" s="58" t="n"/>
      <c r="D8" s="57" t="n">
        <v>46335</v>
      </c>
      <c r="E8" s="58" t="n"/>
      <c r="F8" s="57" t="n">
        <v>46336</v>
      </c>
      <c r="G8" s="58" t="n"/>
      <c r="H8" s="57" t="n">
        <v>46337</v>
      </c>
      <c r="I8" s="58" t="n"/>
      <c r="J8" s="57" t="n">
        <v>46338</v>
      </c>
      <c r="K8" s="58" t="n"/>
      <c r="L8" s="57" t="n">
        <v>46339</v>
      </c>
      <c r="M8" s="58" t="n"/>
      <c r="N8" s="57" t="n">
        <v>46340</v>
      </c>
      <c r="O8" s="58" t="n"/>
    </row>
    <row r="9" ht="26" customHeight="1">
      <c r="B9" s="61">
        <f>IF(B8="","",TRIM(IF(COUNTIFS($C$22:$C$210,B8,$D$22:$D$210,"*Erros*",$O$22:$O$210,"&lt;&gt;Cancelada")&gt;0,"Erros ","")&amp;IF(COUNTIFS($C$22:$C$210,B8,$D$22:$D$210,"*Suporte*",$O$22:$O$210,"&lt;&gt;Cancelada")&gt;0,"Suporte ","")&amp;IF(COUNTIFS($C$22:$C$210,B8,$D$22:$D$210,"*Vistoria*",$O$22:$O$210,"&lt;&gt;Cancelada")&gt;0,"Vistoria ","")&amp;IF(COUNTIFS($C$22:$C$210,B8,$D$22:$D$210,"*Metas*",$O$22:$O$210,"&lt;&gt;Cancelada")&gt;0,"Metas ","")&amp;IF(COUNTIFS($C$22:$C$210,B8,$D$22:$D$210,"*Faltas*",$O$22:$O$210,"&lt;&gt;Cancelada")&gt;0,"Faltas ","")&amp;IF(COUNTIFS($C$22:$C$210,B8,$D$22:$D$210,"*Semanal c/*",$O$22:$O$210,"&lt;&gt;Cancelada")&gt;0,"Acomp. ","")&amp;IF(COUNTIFS($C$22:$C$210,B8,$D$22:$D$210,"*Reunião*",$O$22:$O$210,"&lt;&gt;Cancelada")&gt;0,"Reunião ","")&amp;IF(COUNTIFS($C$22:$C$210,B8,$D$22:$D$210,"*Férias*",$O$22:$O$210,"&lt;&gt;Cancelada")&gt;0,"Férias ","")&amp;IF(COUNTIFS($C$22:$C$210,B8,$D$22:$D$210,"*Mudança*",$O$22:$O$210,"&lt;&gt;Cancelada")&gt;0,"M.Função ","")&amp;IF(COUNTIFS($C$22:$C$210,B8,$D$22:$D$210,"*Treinamento*",$O$22:$O$210,"&lt;&gt;Cancelada")&gt;0,"Trein. ","")))</f>
        <v/>
      </c>
      <c r="C9" s="62" t="n"/>
      <c r="D9" s="61">
        <f>IF(D8="","",TRIM(IF(COUNTIFS($C$22:$C$210,D8,$D$22:$D$210,"*Erros*",$O$22:$O$210,"&lt;&gt;Cancelada")&gt;0,"Erros ","")&amp;IF(COUNTIFS($C$22:$C$210,D8,$D$22:$D$210,"*Suporte*",$O$22:$O$210,"&lt;&gt;Cancelada")&gt;0,"Suporte ","")&amp;IF(COUNTIFS($C$22:$C$210,D8,$D$22:$D$210,"*Vistoria*",$O$22:$O$210,"&lt;&gt;Cancelada")&gt;0,"Vistoria ","")&amp;IF(COUNTIFS($C$22:$C$210,D8,$D$22:$D$210,"*Metas*",$O$22:$O$210,"&lt;&gt;Cancelada")&gt;0,"Metas ","")&amp;IF(COUNTIFS($C$22:$C$210,D8,$D$22:$D$210,"*Faltas*",$O$22:$O$210,"&lt;&gt;Cancelada")&gt;0,"Faltas ","")&amp;IF(COUNTIFS($C$22:$C$210,D8,$D$22:$D$210,"*Semanal c/*",$O$22:$O$210,"&lt;&gt;Cancelada")&gt;0,"Acomp. ","")&amp;IF(COUNTIFS($C$22:$C$210,D8,$D$22:$D$210,"*Reunião*",$O$22:$O$210,"&lt;&gt;Cancelada")&gt;0,"Reunião ","")&amp;IF(COUNTIFS($C$22:$C$210,D8,$D$22:$D$210,"*Férias*",$O$22:$O$210,"&lt;&gt;Cancelada")&gt;0,"Férias ","")&amp;IF(COUNTIFS($C$22:$C$210,D8,$D$22:$D$210,"*Mudança*",$O$22:$O$210,"&lt;&gt;Cancelada")&gt;0,"M.Função ","")&amp;IF(COUNTIFS($C$22:$C$210,D8,$D$22:$D$210,"*Treinamento*",$O$22:$O$210,"&lt;&gt;Cancelada")&gt;0,"Trein. ","")))</f>
        <v/>
      </c>
      <c r="E9" s="62" t="n"/>
      <c r="F9" s="61">
        <f>IF(F8="","",TRIM(IF(COUNTIFS($C$22:$C$210,F8,$D$22:$D$210,"*Erros*",$O$22:$O$210,"&lt;&gt;Cancelada")&gt;0,"Erros ","")&amp;IF(COUNTIFS($C$22:$C$210,F8,$D$22:$D$210,"*Suporte*",$O$22:$O$210,"&lt;&gt;Cancelada")&gt;0,"Suporte ","")&amp;IF(COUNTIFS($C$22:$C$210,F8,$D$22:$D$210,"*Vistoria*",$O$22:$O$210,"&lt;&gt;Cancelada")&gt;0,"Vistoria ","")&amp;IF(COUNTIFS($C$22:$C$210,F8,$D$22:$D$210,"*Metas*",$O$22:$O$210,"&lt;&gt;Cancelada")&gt;0,"Metas ","")&amp;IF(COUNTIFS($C$22:$C$210,F8,$D$22:$D$210,"*Faltas*",$O$22:$O$210,"&lt;&gt;Cancelada")&gt;0,"Faltas ","")&amp;IF(COUNTIFS($C$22:$C$210,F8,$D$22:$D$210,"*Semanal c/*",$O$22:$O$210,"&lt;&gt;Cancelada")&gt;0,"Acomp. ","")&amp;IF(COUNTIFS($C$22:$C$210,F8,$D$22:$D$210,"*Reunião*",$O$22:$O$210,"&lt;&gt;Cancelada")&gt;0,"Reunião ","")&amp;IF(COUNTIFS($C$22:$C$210,F8,$D$22:$D$210,"*Férias*",$O$22:$O$210,"&lt;&gt;Cancelada")&gt;0,"Férias ","")&amp;IF(COUNTIFS($C$22:$C$210,F8,$D$22:$D$210,"*Mudança*",$O$22:$O$210,"&lt;&gt;Cancelada")&gt;0,"M.Função ","")&amp;IF(COUNTIFS($C$22:$C$210,F8,$D$22:$D$210,"*Treinamento*",$O$22:$O$210,"&lt;&gt;Cancelada")&gt;0,"Trein. ","")))</f>
        <v/>
      </c>
      <c r="G9" s="62" t="n"/>
      <c r="H9" s="61">
        <f>IF(H8="","",TRIM(IF(COUNTIFS($C$22:$C$210,H8,$D$22:$D$210,"*Erros*",$O$22:$O$210,"&lt;&gt;Cancelada")&gt;0,"Erros ","")&amp;IF(COUNTIFS($C$22:$C$210,H8,$D$22:$D$210,"*Suporte*",$O$22:$O$210,"&lt;&gt;Cancelada")&gt;0,"Suporte ","")&amp;IF(COUNTIFS($C$22:$C$210,H8,$D$22:$D$210,"*Vistoria*",$O$22:$O$210,"&lt;&gt;Cancelada")&gt;0,"Vistoria ","")&amp;IF(COUNTIFS($C$22:$C$210,H8,$D$22:$D$210,"*Metas*",$O$22:$O$210,"&lt;&gt;Cancelada")&gt;0,"Metas ","")&amp;IF(COUNTIFS($C$22:$C$210,H8,$D$22:$D$210,"*Faltas*",$O$22:$O$210,"&lt;&gt;Cancelada")&gt;0,"Faltas ","")&amp;IF(COUNTIFS($C$22:$C$210,H8,$D$22:$D$210,"*Semanal c/*",$O$22:$O$210,"&lt;&gt;Cancelada")&gt;0,"Acomp. ","")&amp;IF(COUNTIFS($C$22:$C$210,H8,$D$22:$D$210,"*Reunião*",$O$22:$O$210,"&lt;&gt;Cancelada")&gt;0,"Reunião ","")&amp;IF(COUNTIFS($C$22:$C$210,H8,$D$22:$D$210,"*Férias*",$O$22:$O$210,"&lt;&gt;Cancelada")&gt;0,"Férias ","")&amp;IF(COUNTIFS($C$22:$C$210,H8,$D$22:$D$210,"*Mudança*",$O$22:$O$210,"&lt;&gt;Cancelada")&gt;0,"M.Função ","")&amp;IF(COUNTIFS($C$22:$C$210,H8,$D$22:$D$210,"*Treinamento*",$O$22:$O$210,"&lt;&gt;Cancelada")&gt;0,"Trein. ","")))</f>
        <v/>
      </c>
      <c r="I9" s="62" t="n"/>
      <c r="J9" s="61">
        <f>IF(J8="","",TRIM(IF(COUNTIFS($C$22:$C$210,J8,$D$22:$D$210,"*Erros*",$O$22:$O$210,"&lt;&gt;Cancelada")&gt;0,"Erros ","")&amp;IF(COUNTIFS($C$22:$C$210,J8,$D$22:$D$210,"*Suporte*",$O$22:$O$210,"&lt;&gt;Cancelada")&gt;0,"Suporte ","")&amp;IF(COUNTIFS($C$22:$C$210,J8,$D$22:$D$210,"*Vistoria*",$O$22:$O$210,"&lt;&gt;Cancelada")&gt;0,"Vistoria ","")&amp;IF(COUNTIFS($C$22:$C$210,J8,$D$22:$D$210,"*Metas*",$O$22:$O$210,"&lt;&gt;Cancelada")&gt;0,"Metas ","")&amp;IF(COUNTIFS($C$22:$C$210,J8,$D$22:$D$210,"*Faltas*",$O$22:$O$210,"&lt;&gt;Cancelada")&gt;0,"Faltas ","")&amp;IF(COUNTIFS($C$22:$C$210,J8,$D$22:$D$210,"*Semanal c/*",$O$22:$O$210,"&lt;&gt;Cancelada")&gt;0,"Acomp. ","")&amp;IF(COUNTIFS($C$22:$C$210,J8,$D$22:$D$210,"*Reunião*",$O$22:$O$210,"&lt;&gt;Cancelada")&gt;0,"Reunião ","")&amp;IF(COUNTIFS($C$22:$C$210,J8,$D$22:$D$210,"*Férias*",$O$22:$O$210,"&lt;&gt;Cancelada")&gt;0,"Férias ","")&amp;IF(COUNTIFS($C$22:$C$210,J8,$D$22:$D$210,"*Mudança*",$O$22:$O$210,"&lt;&gt;Cancelada")&gt;0,"M.Função ","")&amp;IF(COUNTIFS($C$22:$C$210,J8,$D$22:$D$210,"*Treinamento*",$O$22:$O$210,"&lt;&gt;Cancelada")&gt;0,"Trein. ","")))</f>
        <v/>
      </c>
      <c r="K9" s="62" t="n"/>
      <c r="L9" s="61">
        <f>IF(L8="","",TRIM(IF(COUNTIFS($C$22:$C$210,L8,$D$22:$D$210,"*Erros*",$O$22:$O$210,"&lt;&gt;Cancelada")&gt;0,"Erros ","")&amp;IF(COUNTIFS($C$22:$C$210,L8,$D$22:$D$210,"*Suporte*",$O$22:$O$210,"&lt;&gt;Cancelada")&gt;0,"Suporte ","")&amp;IF(COUNTIFS($C$22:$C$210,L8,$D$22:$D$210,"*Vistoria*",$O$22:$O$210,"&lt;&gt;Cancelada")&gt;0,"Vistoria ","")&amp;IF(COUNTIFS($C$22:$C$210,L8,$D$22:$D$210,"*Metas*",$O$22:$O$210,"&lt;&gt;Cancelada")&gt;0,"Metas ","")&amp;IF(COUNTIFS($C$22:$C$210,L8,$D$22:$D$210,"*Faltas*",$O$22:$O$210,"&lt;&gt;Cancelada")&gt;0,"Faltas ","")&amp;IF(COUNTIFS($C$22:$C$210,L8,$D$22:$D$210,"*Semanal c/*",$O$22:$O$210,"&lt;&gt;Cancelada")&gt;0,"Acomp. ","")&amp;IF(COUNTIFS($C$22:$C$210,L8,$D$22:$D$210,"*Reunião*",$O$22:$O$210,"&lt;&gt;Cancelada")&gt;0,"Reunião ","")&amp;IF(COUNTIFS($C$22:$C$210,L8,$D$22:$D$210,"*Férias*",$O$22:$O$210,"&lt;&gt;Cancelada")&gt;0,"Férias ","")&amp;IF(COUNTIFS($C$22:$C$210,L8,$D$22:$D$210,"*Mudança*",$O$22:$O$210,"&lt;&gt;Cancelada")&gt;0,"M.Função ","")&amp;IF(COUNTIFS($C$22:$C$210,L8,$D$22:$D$210,"*Treinamento*",$O$22:$O$210,"&lt;&gt;Cancelada")&gt;0,"Trein. ","")))</f>
        <v/>
      </c>
      <c r="M9" s="62" t="n"/>
      <c r="N9" s="61">
        <f>IF(N8="","",TRIM(IF(COUNTIFS($C$22:$C$210,N8,$D$22:$D$210,"*Erros*",$O$22:$O$210,"&lt;&gt;Cancelada")&gt;0,"Erros ","")&amp;IF(COUNTIFS($C$22:$C$210,N8,$D$22:$D$210,"*Suporte*",$O$22:$O$210,"&lt;&gt;Cancelada")&gt;0,"Suporte ","")&amp;IF(COUNTIFS($C$22:$C$210,N8,$D$22:$D$210,"*Vistoria*",$O$22:$O$210,"&lt;&gt;Cancelada")&gt;0,"Vistoria ","")&amp;IF(COUNTIFS($C$22:$C$210,N8,$D$22:$D$210,"*Metas*",$O$22:$O$210,"&lt;&gt;Cancelada")&gt;0,"Metas ","")&amp;IF(COUNTIFS($C$22:$C$210,N8,$D$22:$D$210,"*Faltas*",$O$22:$O$210,"&lt;&gt;Cancelada")&gt;0,"Faltas ","")&amp;IF(COUNTIFS($C$22:$C$210,N8,$D$22:$D$210,"*Semanal c/*",$O$22:$O$210,"&lt;&gt;Cancelada")&gt;0,"Acomp. ","")&amp;IF(COUNTIFS($C$22:$C$210,N8,$D$22:$D$210,"*Reunião*",$O$22:$O$210,"&lt;&gt;Cancelada")&gt;0,"Reunião ","")&amp;IF(COUNTIFS($C$22:$C$210,N8,$D$22:$D$210,"*Férias*",$O$22:$O$210,"&lt;&gt;Cancelada")&gt;0,"Férias ","")&amp;IF(COUNTIFS($C$22:$C$210,N8,$D$22:$D$210,"*Mudança*",$O$22:$O$210,"&lt;&gt;Cancelada")&gt;0,"M.Função ","")&amp;IF(COUNTIFS($C$22:$C$210,N8,$D$22:$D$210,"*Treinamento*",$O$22:$O$210,"&lt;&gt;Cancelada")&gt;0,"Trein. ","")))</f>
        <v/>
      </c>
      <c r="O9" s="62" t="n"/>
    </row>
    <row r="10" ht="20" customHeight="1">
      <c r="B10" s="57" t="n">
        <v>46341</v>
      </c>
      <c r="C10" s="58" t="n"/>
      <c r="D10" s="57" t="n">
        <v>46342</v>
      </c>
      <c r="E10" s="58" t="n"/>
      <c r="F10" s="57" t="n">
        <v>46343</v>
      </c>
      <c r="G10" s="58" t="n"/>
      <c r="H10" s="57" t="n">
        <v>46344</v>
      </c>
      <c r="I10" s="58" t="n"/>
      <c r="J10" s="57" t="n">
        <v>46345</v>
      </c>
      <c r="K10" s="58" t="n"/>
      <c r="L10" s="57" t="n">
        <v>46346</v>
      </c>
      <c r="M10" s="58" t="n"/>
      <c r="N10" s="57" t="n">
        <v>46347</v>
      </c>
      <c r="O10" s="58" t="n"/>
    </row>
    <row r="11" ht="26" customHeight="1">
      <c r="B11" s="61">
        <f>IF(B10="","",TRIM(IF(COUNTIFS($C$22:$C$210,B10,$D$22:$D$210,"*Erros*",$O$22:$O$210,"&lt;&gt;Cancelada")&gt;0,"Erros ","")&amp;IF(COUNTIFS($C$22:$C$210,B10,$D$22:$D$210,"*Suporte*",$O$22:$O$210,"&lt;&gt;Cancelada")&gt;0,"Suporte ","")&amp;IF(COUNTIFS($C$22:$C$210,B10,$D$22:$D$210,"*Vistoria*",$O$22:$O$210,"&lt;&gt;Cancelada")&gt;0,"Vistoria ","")&amp;IF(COUNTIFS($C$22:$C$210,B10,$D$22:$D$210,"*Metas*",$O$22:$O$210,"&lt;&gt;Cancelada")&gt;0,"Metas ","")&amp;IF(COUNTIFS($C$22:$C$210,B10,$D$22:$D$210,"*Faltas*",$O$22:$O$210,"&lt;&gt;Cancelada")&gt;0,"Faltas ","")&amp;IF(COUNTIFS($C$22:$C$210,B10,$D$22:$D$210,"*Semanal c/*",$O$22:$O$210,"&lt;&gt;Cancelada")&gt;0,"Acomp. ","")&amp;IF(COUNTIFS($C$22:$C$210,B10,$D$22:$D$210,"*Reunião*",$O$22:$O$210,"&lt;&gt;Cancelada")&gt;0,"Reunião ","")&amp;IF(COUNTIFS($C$22:$C$210,B10,$D$22:$D$210,"*Férias*",$O$22:$O$210,"&lt;&gt;Cancelada")&gt;0,"Férias ","")&amp;IF(COUNTIFS($C$22:$C$210,B10,$D$22:$D$210,"*Mudança*",$O$22:$O$210,"&lt;&gt;Cancelada")&gt;0,"M.Função ","")&amp;IF(COUNTIFS($C$22:$C$210,B10,$D$22:$D$210,"*Treinamento*",$O$22:$O$210,"&lt;&gt;Cancelada")&gt;0,"Trein. ","")))</f>
        <v/>
      </c>
      <c r="C11" s="62" t="n"/>
      <c r="D11" s="61">
        <f>IF(D10="","",TRIM(IF(COUNTIFS($C$22:$C$210,D10,$D$22:$D$210,"*Erros*",$O$22:$O$210,"&lt;&gt;Cancelada")&gt;0,"Erros ","")&amp;IF(COUNTIFS($C$22:$C$210,D10,$D$22:$D$210,"*Suporte*",$O$22:$O$210,"&lt;&gt;Cancelada")&gt;0,"Suporte ","")&amp;IF(COUNTIFS($C$22:$C$210,D10,$D$22:$D$210,"*Vistoria*",$O$22:$O$210,"&lt;&gt;Cancelada")&gt;0,"Vistoria ","")&amp;IF(COUNTIFS($C$22:$C$210,D10,$D$22:$D$210,"*Metas*",$O$22:$O$210,"&lt;&gt;Cancelada")&gt;0,"Metas ","")&amp;IF(COUNTIFS($C$22:$C$210,D10,$D$22:$D$210,"*Faltas*",$O$22:$O$210,"&lt;&gt;Cancelada")&gt;0,"Faltas ","")&amp;IF(COUNTIFS($C$22:$C$210,D10,$D$22:$D$210,"*Semanal c/*",$O$22:$O$210,"&lt;&gt;Cancelada")&gt;0,"Acomp. ","")&amp;IF(COUNTIFS($C$22:$C$210,D10,$D$22:$D$210,"*Reunião*",$O$22:$O$210,"&lt;&gt;Cancelada")&gt;0,"Reunião ","")&amp;IF(COUNTIFS($C$22:$C$210,D10,$D$22:$D$210,"*Férias*",$O$22:$O$210,"&lt;&gt;Cancelada")&gt;0,"Férias ","")&amp;IF(COUNTIFS($C$22:$C$210,D10,$D$22:$D$210,"*Mudança*",$O$22:$O$210,"&lt;&gt;Cancelada")&gt;0,"M.Função ","")&amp;IF(COUNTIFS($C$22:$C$210,D10,$D$22:$D$210,"*Treinamento*",$O$22:$O$210,"&lt;&gt;Cancelada")&gt;0,"Trein. ","")))</f>
        <v/>
      </c>
      <c r="E11" s="62" t="n"/>
      <c r="F11" s="61">
        <f>IF(F10="","",TRIM(IF(COUNTIFS($C$22:$C$210,F10,$D$22:$D$210,"*Erros*",$O$22:$O$210,"&lt;&gt;Cancelada")&gt;0,"Erros ","")&amp;IF(COUNTIFS($C$22:$C$210,F10,$D$22:$D$210,"*Suporte*",$O$22:$O$210,"&lt;&gt;Cancelada")&gt;0,"Suporte ","")&amp;IF(COUNTIFS($C$22:$C$210,F10,$D$22:$D$210,"*Vistoria*",$O$22:$O$210,"&lt;&gt;Cancelada")&gt;0,"Vistoria ","")&amp;IF(COUNTIFS($C$22:$C$210,F10,$D$22:$D$210,"*Metas*",$O$22:$O$210,"&lt;&gt;Cancelada")&gt;0,"Metas ","")&amp;IF(COUNTIFS($C$22:$C$210,F10,$D$22:$D$210,"*Faltas*",$O$22:$O$210,"&lt;&gt;Cancelada")&gt;0,"Faltas ","")&amp;IF(COUNTIFS($C$22:$C$210,F10,$D$22:$D$210,"*Semanal c/*",$O$22:$O$210,"&lt;&gt;Cancelada")&gt;0,"Acomp. ","")&amp;IF(COUNTIFS($C$22:$C$210,F10,$D$22:$D$210,"*Reunião*",$O$22:$O$210,"&lt;&gt;Cancelada")&gt;0,"Reunião ","")&amp;IF(COUNTIFS($C$22:$C$210,F10,$D$22:$D$210,"*Férias*",$O$22:$O$210,"&lt;&gt;Cancelada")&gt;0,"Férias ","")&amp;IF(COUNTIFS($C$22:$C$210,F10,$D$22:$D$210,"*Mudança*",$O$22:$O$210,"&lt;&gt;Cancelada")&gt;0,"M.Função ","")&amp;IF(COUNTIFS($C$22:$C$210,F10,$D$22:$D$210,"*Treinamento*",$O$22:$O$210,"&lt;&gt;Cancelada")&gt;0,"Trein. ","")))</f>
        <v/>
      </c>
      <c r="G11" s="62" t="n"/>
      <c r="H11" s="61">
        <f>IF(H10="","",TRIM(IF(COUNTIFS($C$22:$C$210,H10,$D$22:$D$210,"*Erros*",$O$22:$O$210,"&lt;&gt;Cancelada")&gt;0,"Erros ","")&amp;IF(COUNTIFS($C$22:$C$210,H10,$D$22:$D$210,"*Suporte*",$O$22:$O$210,"&lt;&gt;Cancelada")&gt;0,"Suporte ","")&amp;IF(COUNTIFS($C$22:$C$210,H10,$D$22:$D$210,"*Vistoria*",$O$22:$O$210,"&lt;&gt;Cancelada")&gt;0,"Vistoria ","")&amp;IF(COUNTIFS($C$22:$C$210,H10,$D$22:$D$210,"*Metas*",$O$22:$O$210,"&lt;&gt;Cancelada")&gt;0,"Metas ","")&amp;IF(COUNTIFS($C$22:$C$210,H10,$D$22:$D$210,"*Faltas*",$O$22:$O$210,"&lt;&gt;Cancelada")&gt;0,"Faltas ","")&amp;IF(COUNTIFS($C$22:$C$210,H10,$D$22:$D$210,"*Semanal c/*",$O$22:$O$210,"&lt;&gt;Cancelada")&gt;0,"Acomp. ","")&amp;IF(COUNTIFS($C$22:$C$210,H10,$D$22:$D$210,"*Reunião*",$O$22:$O$210,"&lt;&gt;Cancelada")&gt;0,"Reunião ","")&amp;IF(COUNTIFS($C$22:$C$210,H10,$D$22:$D$210,"*Férias*",$O$22:$O$210,"&lt;&gt;Cancelada")&gt;0,"Férias ","")&amp;IF(COUNTIFS($C$22:$C$210,H10,$D$22:$D$210,"*Mudança*",$O$22:$O$210,"&lt;&gt;Cancelada")&gt;0,"M.Função ","")&amp;IF(COUNTIFS($C$22:$C$210,H10,$D$22:$D$210,"*Treinamento*",$O$22:$O$210,"&lt;&gt;Cancelada")&gt;0,"Trein. ","")))</f>
        <v/>
      </c>
      <c r="I11" s="62" t="n"/>
      <c r="J11" s="61">
        <f>IF(J10="","",TRIM(IF(COUNTIFS($C$22:$C$210,J10,$D$22:$D$210,"*Erros*",$O$22:$O$210,"&lt;&gt;Cancelada")&gt;0,"Erros ","")&amp;IF(COUNTIFS($C$22:$C$210,J10,$D$22:$D$210,"*Suporte*",$O$22:$O$210,"&lt;&gt;Cancelada")&gt;0,"Suporte ","")&amp;IF(COUNTIFS($C$22:$C$210,J10,$D$22:$D$210,"*Vistoria*",$O$22:$O$210,"&lt;&gt;Cancelada")&gt;0,"Vistoria ","")&amp;IF(COUNTIFS($C$22:$C$210,J10,$D$22:$D$210,"*Metas*",$O$22:$O$210,"&lt;&gt;Cancelada")&gt;0,"Metas ","")&amp;IF(COUNTIFS($C$22:$C$210,J10,$D$22:$D$210,"*Faltas*",$O$22:$O$210,"&lt;&gt;Cancelada")&gt;0,"Faltas ","")&amp;IF(COUNTIFS($C$22:$C$210,J10,$D$22:$D$210,"*Semanal c/*",$O$22:$O$210,"&lt;&gt;Cancelada")&gt;0,"Acomp. ","")&amp;IF(COUNTIFS($C$22:$C$210,J10,$D$22:$D$210,"*Reunião*",$O$22:$O$210,"&lt;&gt;Cancelada")&gt;0,"Reunião ","")&amp;IF(COUNTIFS($C$22:$C$210,J10,$D$22:$D$210,"*Férias*",$O$22:$O$210,"&lt;&gt;Cancelada")&gt;0,"Férias ","")&amp;IF(COUNTIFS($C$22:$C$210,J10,$D$22:$D$210,"*Mudança*",$O$22:$O$210,"&lt;&gt;Cancelada")&gt;0,"M.Função ","")&amp;IF(COUNTIFS($C$22:$C$210,J10,$D$22:$D$210,"*Treinamento*",$O$22:$O$210,"&lt;&gt;Cancelada")&gt;0,"Trein. ","")))</f>
        <v/>
      </c>
      <c r="K11" s="62" t="n"/>
      <c r="L11" s="61">
        <f>IF(L10="","",TRIM(IF(COUNTIFS($C$22:$C$210,L10,$D$22:$D$210,"*Erros*",$O$22:$O$210,"&lt;&gt;Cancelada")&gt;0,"Erros ","")&amp;IF(COUNTIFS($C$22:$C$210,L10,$D$22:$D$210,"*Suporte*",$O$22:$O$210,"&lt;&gt;Cancelada")&gt;0,"Suporte ","")&amp;IF(COUNTIFS($C$22:$C$210,L10,$D$22:$D$210,"*Vistoria*",$O$22:$O$210,"&lt;&gt;Cancelada")&gt;0,"Vistoria ","")&amp;IF(COUNTIFS($C$22:$C$210,L10,$D$22:$D$210,"*Metas*",$O$22:$O$210,"&lt;&gt;Cancelada")&gt;0,"Metas ","")&amp;IF(COUNTIFS($C$22:$C$210,L10,$D$22:$D$210,"*Faltas*",$O$22:$O$210,"&lt;&gt;Cancelada")&gt;0,"Faltas ","")&amp;IF(COUNTIFS($C$22:$C$210,L10,$D$22:$D$210,"*Semanal c/*",$O$22:$O$210,"&lt;&gt;Cancelada")&gt;0,"Acomp. ","")&amp;IF(COUNTIFS($C$22:$C$210,L10,$D$22:$D$210,"*Reunião*",$O$22:$O$210,"&lt;&gt;Cancelada")&gt;0,"Reunião ","")&amp;IF(COUNTIFS($C$22:$C$210,L10,$D$22:$D$210,"*Férias*",$O$22:$O$210,"&lt;&gt;Cancelada")&gt;0,"Férias ","")&amp;IF(COUNTIFS($C$22:$C$210,L10,$D$22:$D$210,"*Mudança*",$O$22:$O$210,"&lt;&gt;Cancelada")&gt;0,"M.Função ","")&amp;IF(COUNTIFS($C$22:$C$210,L10,$D$22:$D$210,"*Treinamento*",$O$22:$O$210,"&lt;&gt;Cancelada")&gt;0,"Trein. ","")))</f>
        <v/>
      </c>
      <c r="M11" s="62" t="n"/>
      <c r="N11" s="61">
        <f>IF(N10="","",TRIM(IF(COUNTIFS($C$22:$C$210,N10,$D$22:$D$210,"*Erros*",$O$22:$O$210,"&lt;&gt;Cancelada")&gt;0,"Erros ","")&amp;IF(COUNTIFS($C$22:$C$210,N10,$D$22:$D$210,"*Suporte*",$O$22:$O$210,"&lt;&gt;Cancelada")&gt;0,"Suporte ","")&amp;IF(COUNTIFS($C$22:$C$210,N10,$D$22:$D$210,"*Vistoria*",$O$22:$O$210,"&lt;&gt;Cancelada")&gt;0,"Vistoria ","")&amp;IF(COUNTIFS($C$22:$C$210,N10,$D$22:$D$210,"*Metas*",$O$22:$O$210,"&lt;&gt;Cancelada")&gt;0,"Metas ","")&amp;IF(COUNTIFS($C$22:$C$210,N10,$D$22:$D$210,"*Faltas*",$O$22:$O$210,"&lt;&gt;Cancelada")&gt;0,"Faltas ","")&amp;IF(COUNTIFS($C$22:$C$210,N10,$D$22:$D$210,"*Semanal c/*",$O$22:$O$210,"&lt;&gt;Cancelada")&gt;0,"Acomp. ","")&amp;IF(COUNTIFS($C$22:$C$210,N10,$D$22:$D$210,"*Reunião*",$O$22:$O$210,"&lt;&gt;Cancelada")&gt;0,"Reunião ","")&amp;IF(COUNTIFS($C$22:$C$210,N10,$D$22:$D$210,"*Férias*",$O$22:$O$210,"&lt;&gt;Cancelada")&gt;0,"Férias ","")&amp;IF(COUNTIFS($C$22:$C$210,N10,$D$22:$D$210,"*Mudança*",$O$22:$O$210,"&lt;&gt;Cancelada")&gt;0,"M.Função ","")&amp;IF(COUNTIFS($C$22:$C$210,N10,$D$22:$D$210,"*Treinamento*",$O$22:$O$210,"&lt;&gt;Cancelada")&gt;0,"Trein. ","")))</f>
        <v/>
      </c>
      <c r="O11" s="62" t="n"/>
    </row>
    <row r="12" ht="20" customHeight="1">
      <c r="B12" s="57" t="n">
        <v>46348</v>
      </c>
      <c r="C12" s="58" t="n"/>
      <c r="D12" s="57" t="n">
        <v>46349</v>
      </c>
      <c r="E12" s="58" t="n"/>
      <c r="F12" s="57" t="n">
        <v>46350</v>
      </c>
      <c r="G12" s="58" t="n"/>
      <c r="H12" s="57" t="n">
        <v>46351</v>
      </c>
      <c r="I12" s="58" t="n"/>
      <c r="J12" s="57" t="n">
        <v>46352</v>
      </c>
      <c r="K12" s="58" t="n"/>
      <c r="L12" s="57" t="n">
        <v>46353</v>
      </c>
      <c r="M12" s="58" t="n"/>
      <c r="N12" s="57" t="n">
        <v>46354</v>
      </c>
      <c r="O12" s="58" t="n"/>
    </row>
    <row r="13" ht="26" customHeight="1">
      <c r="B13" s="61">
        <f>IF(B12="","",TRIM(IF(COUNTIFS($C$22:$C$210,B12,$D$22:$D$210,"*Erros*",$O$22:$O$210,"&lt;&gt;Cancelada")&gt;0,"Erros ","")&amp;IF(COUNTIFS($C$22:$C$210,B12,$D$22:$D$210,"*Suporte*",$O$22:$O$210,"&lt;&gt;Cancelada")&gt;0,"Suporte ","")&amp;IF(COUNTIFS($C$22:$C$210,B12,$D$22:$D$210,"*Vistoria*",$O$22:$O$210,"&lt;&gt;Cancelada")&gt;0,"Vistoria ","")&amp;IF(COUNTIFS($C$22:$C$210,B12,$D$22:$D$210,"*Metas*",$O$22:$O$210,"&lt;&gt;Cancelada")&gt;0,"Metas ","")&amp;IF(COUNTIFS($C$22:$C$210,B12,$D$22:$D$210,"*Faltas*",$O$22:$O$210,"&lt;&gt;Cancelada")&gt;0,"Faltas ","")&amp;IF(COUNTIFS($C$22:$C$210,B12,$D$22:$D$210,"*Semanal c/*",$O$22:$O$210,"&lt;&gt;Cancelada")&gt;0,"Acomp. ","")&amp;IF(COUNTIFS($C$22:$C$210,B12,$D$22:$D$210,"*Reunião*",$O$22:$O$210,"&lt;&gt;Cancelada")&gt;0,"Reunião ","")&amp;IF(COUNTIFS($C$22:$C$210,B12,$D$22:$D$210,"*Férias*",$O$22:$O$210,"&lt;&gt;Cancelada")&gt;0,"Férias ","")&amp;IF(COUNTIFS($C$22:$C$210,B12,$D$22:$D$210,"*Mudança*",$O$22:$O$210,"&lt;&gt;Cancelada")&gt;0,"M.Função ","")&amp;IF(COUNTIFS($C$22:$C$210,B12,$D$22:$D$210,"*Treinamento*",$O$22:$O$210,"&lt;&gt;Cancelada")&gt;0,"Trein. ","")))</f>
        <v/>
      </c>
      <c r="C13" s="62" t="n"/>
      <c r="D13" s="61">
        <f>IF(D12="","",TRIM(IF(COUNTIFS($C$22:$C$210,D12,$D$22:$D$210,"*Erros*",$O$22:$O$210,"&lt;&gt;Cancelada")&gt;0,"Erros ","")&amp;IF(COUNTIFS($C$22:$C$210,D12,$D$22:$D$210,"*Suporte*",$O$22:$O$210,"&lt;&gt;Cancelada")&gt;0,"Suporte ","")&amp;IF(COUNTIFS($C$22:$C$210,D12,$D$22:$D$210,"*Vistoria*",$O$22:$O$210,"&lt;&gt;Cancelada")&gt;0,"Vistoria ","")&amp;IF(COUNTIFS($C$22:$C$210,D12,$D$22:$D$210,"*Metas*",$O$22:$O$210,"&lt;&gt;Cancelada")&gt;0,"Metas ","")&amp;IF(COUNTIFS($C$22:$C$210,D12,$D$22:$D$210,"*Faltas*",$O$22:$O$210,"&lt;&gt;Cancelada")&gt;0,"Faltas ","")&amp;IF(COUNTIFS($C$22:$C$210,D12,$D$22:$D$210,"*Semanal c/*",$O$22:$O$210,"&lt;&gt;Cancelada")&gt;0,"Acomp. ","")&amp;IF(COUNTIFS($C$22:$C$210,D12,$D$22:$D$210,"*Reunião*",$O$22:$O$210,"&lt;&gt;Cancelada")&gt;0,"Reunião ","")&amp;IF(COUNTIFS($C$22:$C$210,D12,$D$22:$D$210,"*Férias*",$O$22:$O$210,"&lt;&gt;Cancelada")&gt;0,"Férias ","")&amp;IF(COUNTIFS($C$22:$C$210,D12,$D$22:$D$210,"*Mudança*",$O$22:$O$210,"&lt;&gt;Cancelada")&gt;0,"M.Função ","")&amp;IF(COUNTIFS($C$22:$C$210,D12,$D$22:$D$210,"*Treinamento*",$O$22:$O$210,"&lt;&gt;Cancelada")&gt;0,"Trein. ","")))</f>
        <v/>
      </c>
      <c r="E13" s="62" t="n"/>
      <c r="F13" s="61">
        <f>IF(F12="","",TRIM(IF(COUNTIFS($C$22:$C$210,F12,$D$22:$D$210,"*Erros*",$O$22:$O$210,"&lt;&gt;Cancelada")&gt;0,"Erros ","")&amp;IF(COUNTIFS($C$22:$C$210,F12,$D$22:$D$210,"*Suporte*",$O$22:$O$210,"&lt;&gt;Cancelada")&gt;0,"Suporte ","")&amp;IF(COUNTIFS($C$22:$C$210,F12,$D$22:$D$210,"*Vistoria*",$O$22:$O$210,"&lt;&gt;Cancelada")&gt;0,"Vistoria ","")&amp;IF(COUNTIFS($C$22:$C$210,F12,$D$22:$D$210,"*Metas*",$O$22:$O$210,"&lt;&gt;Cancelada")&gt;0,"Metas ","")&amp;IF(COUNTIFS($C$22:$C$210,F12,$D$22:$D$210,"*Faltas*",$O$22:$O$210,"&lt;&gt;Cancelada")&gt;0,"Faltas ","")&amp;IF(COUNTIFS($C$22:$C$210,F12,$D$22:$D$210,"*Semanal c/*",$O$22:$O$210,"&lt;&gt;Cancelada")&gt;0,"Acomp. ","")&amp;IF(COUNTIFS($C$22:$C$210,F12,$D$22:$D$210,"*Reunião*",$O$22:$O$210,"&lt;&gt;Cancelada")&gt;0,"Reunião ","")&amp;IF(COUNTIFS($C$22:$C$210,F12,$D$22:$D$210,"*Férias*",$O$22:$O$210,"&lt;&gt;Cancelada")&gt;0,"Férias ","")&amp;IF(COUNTIFS($C$22:$C$210,F12,$D$22:$D$210,"*Mudança*",$O$22:$O$210,"&lt;&gt;Cancelada")&gt;0,"M.Função ","")&amp;IF(COUNTIFS($C$22:$C$210,F12,$D$22:$D$210,"*Treinamento*",$O$22:$O$210,"&lt;&gt;Cancelada")&gt;0,"Trein. ","")))</f>
        <v/>
      </c>
      <c r="G13" s="62" t="n"/>
      <c r="H13" s="61">
        <f>IF(H12="","",TRIM(IF(COUNTIFS($C$22:$C$210,H12,$D$22:$D$210,"*Erros*",$O$22:$O$210,"&lt;&gt;Cancelada")&gt;0,"Erros ","")&amp;IF(COUNTIFS($C$22:$C$210,H12,$D$22:$D$210,"*Suporte*",$O$22:$O$210,"&lt;&gt;Cancelada")&gt;0,"Suporte ","")&amp;IF(COUNTIFS($C$22:$C$210,H12,$D$22:$D$210,"*Vistoria*",$O$22:$O$210,"&lt;&gt;Cancelada")&gt;0,"Vistoria ","")&amp;IF(COUNTIFS($C$22:$C$210,H12,$D$22:$D$210,"*Metas*",$O$22:$O$210,"&lt;&gt;Cancelada")&gt;0,"Metas ","")&amp;IF(COUNTIFS($C$22:$C$210,H12,$D$22:$D$210,"*Faltas*",$O$22:$O$210,"&lt;&gt;Cancelada")&gt;0,"Faltas ","")&amp;IF(COUNTIFS($C$22:$C$210,H12,$D$22:$D$210,"*Semanal c/*",$O$22:$O$210,"&lt;&gt;Cancelada")&gt;0,"Acomp. ","")&amp;IF(COUNTIFS($C$22:$C$210,H12,$D$22:$D$210,"*Reunião*",$O$22:$O$210,"&lt;&gt;Cancelada")&gt;0,"Reunião ","")&amp;IF(COUNTIFS($C$22:$C$210,H12,$D$22:$D$210,"*Férias*",$O$22:$O$210,"&lt;&gt;Cancelada")&gt;0,"Férias ","")&amp;IF(COUNTIFS($C$22:$C$210,H12,$D$22:$D$210,"*Mudança*",$O$22:$O$210,"&lt;&gt;Cancelada")&gt;0,"M.Função ","")&amp;IF(COUNTIFS($C$22:$C$210,H12,$D$22:$D$210,"*Treinamento*",$O$22:$O$210,"&lt;&gt;Cancelada")&gt;0,"Trein. ","")))</f>
        <v/>
      </c>
      <c r="I13" s="62" t="n"/>
      <c r="J13" s="61">
        <f>IF(J12="","",TRIM(IF(COUNTIFS($C$22:$C$210,J12,$D$22:$D$210,"*Erros*",$O$22:$O$210,"&lt;&gt;Cancelada")&gt;0,"Erros ","")&amp;IF(COUNTIFS($C$22:$C$210,J12,$D$22:$D$210,"*Suporte*",$O$22:$O$210,"&lt;&gt;Cancelada")&gt;0,"Suporte ","")&amp;IF(COUNTIFS($C$22:$C$210,J12,$D$22:$D$210,"*Vistoria*",$O$22:$O$210,"&lt;&gt;Cancelada")&gt;0,"Vistoria ","")&amp;IF(COUNTIFS($C$22:$C$210,J12,$D$22:$D$210,"*Metas*",$O$22:$O$210,"&lt;&gt;Cancelada")&gt;0,"Metas ","")&amp;IF(COUNTIFS($C$22:$C$210,J12,$D$22:$D$210,"*Faltas*",$O$22:$O$210,"&lt;&gt;Cancelada")&gt;0,"Faltas ","")&amp;IF(COUNTIFS($C$22:$C$210,J12,$D$22:$D$210,"*Semanal c/*",$O$22:$O$210,"&lt;&gt;Cancelada")&gt;0,"Acomp. ","")&amp;IF(COUNTIFS($C$22:$C$210,J12,$D$22:$D$210,"*Reunião*",$O$22:$O$210,"&lt;&gt;Cancelada")&gt;0,"Reunião ","")&amp;IF(COUNTIFS($C$22:$C$210,J12,$D$22:$D$210,"*Férias*",$O$22:$O$210,"&lt;&gt;Cancelada")&gt;0,"Férias ","")&amp;IF(COUNTIFS($C$22:$C$210,J12,$D$22:$D$210,"*Mudança*",$O$22:$O$210,"&lt;&gt;Cancelada")&gt;0,"M.Função ","")&amp;IF(COUNTIFS($C$22:$C$210,J12,$D$22:$D$210,"*Treinamento*",$O$22:$O$210,"&lt;&gt;Cancelada")&gt;0,"Trein. ","")))</f>
        <v/>
      </c>
      <c r="K13" s="62" t="n"/>
      <c r="L13" s="61">
        <f>IF(L12="","",TRIM(IF(COUNTIFS($C$22:$C$210,L12,$D$22:$D$210,"*Erros*",$O$22:$O$210,"&lt;&gt;Cancelada")&gt;0,"Erros ","")&amp;IF(COUNTIFS($C$22:$C$210,L12,$D$22:$D$210,"*Suporte*",$O$22:$O$210,"&lt;&gt;Cancelada")&gt;0,"Suporte ","")&amp;IF(COUNTIFS($C$22:$C$210,L12,$D$22:$D$210,"*Vistoria*",$O$22:$O$210,"&lt;&gt;Cancelada")&gt;0,"Vistoria ","")&amp;IF(COUNTIFS($C$22:$C$210,L12,$D$22:$D$210,"*Metas*",$O$22:$O$210,"&lt;&gt;Cancelada")&gt;0,"Metas ","")&amp;IF(COUNTIFS($C$22:$C$210,L12,$D$22:$D$210,"*Faltas*",$O$22:$O$210,"&lt;&gt;Cancelada")&gt;0,"Faltas ","")&amp;IF(COUNTIFS($C$22:$C$210,L12,$D$22:$D$210,"*Semanal c/*",$O$22:$O$210,"&lt;&gt;Cancelada")&gt;0,"Acomp. ","")&amp;IF(COUNTIFS($C$22:$C$210,L12,$D$22:$D$210,"*Reunião*",$O$22:$O$210,"&lt;&gt;Cancelada")&gt;0,"Reunião ","")&amp;IF(COUNTIFS($C$22:$C$210,L12,$D$22:$D$210,"*Férias*",$O$22:$O$210,"&lt;&gt;Cancelada")&gt;0,"Férias ","")&amp;IF(COUNTIFS($C$22:$C$210,L12,$D$22:$D$210,"*Mudança*",$O$22:$O$210,"&lt;&gt;Cancelada")&gt;0,"M.Função ","")&amp;IF(COUNTIFS($C$22:$C$210,L12,$D$22:$D$210,"*Treinamento*",$O$22:$O$210,"&lt;&gt;Cancelada")&gt;0,"Trein. ","")))</f>
        <v/>
      </c>
      <c r="M13" s="62" t="n"/>
      <c r="N13" s="61">
        <f>IF(N12="","",TRIM(IF(COUNTIFS($C$22:$C$210,N12,$D$22:$D$210,"*Erros*",$O$22:$O$210,"&lt;&gt;Cancelada")&gt;0,"Erros ","")&amp;IF(COUNTIFS($C$22:$C$210,N12,$D$22:$D$210,"*Suporte*",$O$22:$O$210,"&lt;&gt;Cancelada")&gt;0,"Suporte ","")&amp;IF(COUNTIFS($C$22:$C$210,N12,$D$22:$D$210,"*Vistoria*",$O$22:$O$210,"&lt;&gt;Cancelada")&gt;0,"Vistoria ","")&amp;IF(COUNTIFS($C$22:$C$210,N12,$D$22:$D$210,"*Metas*",$O$22:$O$210,"&lt;&gt;Cancelada")&gt;0,"Metas ","")&amp;IF(COUNTIFS($C$22:$C$210,N12,$D$22:$D$210,"*Faltas*",$O$22:$O$210,"&lt;&gt;Cancelada")&gt;0,"Faltas ","")&amp;IF(COUNTIFS($C$22:$C$210,N12,$D$22:$D$210,"*Semanal c/*",$O$22:$O$210,"&lt;&gt;Cancelada")&gt;0,"Acomp. ","")&amp;IF(COUNTIFS($C$22:$C$210,N12,$D$22:$D$210,"*Reunião*",$O$22:$O$210,"&lt;&gt;Cancelada")&gt;0,"Reunião ","")&amp;IF(COUNTIFS($C$22:$C$210,N12,$D$22:$D$210,"*Férias*",$O$22:$O$210,"&lt;&gt;Cancelada")&gt;0,"Férias ","")&amp;IF(COUNTIFS($C$22:$C$210,N12,$D$22:$D$210,"*Mudança*",$O$22:$O$210,"&lt;&gt;Cancelada")&gt;0,"M.Função ","")&amp;IF(COUNTIFS($C$22:$C$210,N12,$D$22:$D$210,"*Treinamento*",$O$22:$O$210,"&lt;&gt;Cancelada")&gt;0,"Trein. ","")))</f>
        <v/>
      </c>
      <c r="O13" s="62" t="n"/>
    </row>
    <row r="14" ht="20" customHeight="1">
      <c r="B14" s="57" t="n">
        <v>46355</v>
      </c>
      <c r="C14" s="58" t="n"/>
      <c r="D14" s="57" t="n">
        <v>46356</v>
      </c>
      <c r="E14" s="58" t="n"/>
      <c r="F14" s="55" t="n"/>
      <c r="G14" s="56" t="n"/>
      <c r="H14" s="55" t="n"/>
      <c r="I14" s="56" t="n"/>
      <c r="J14" s="55" t="n"/>
      <c r="K14" s="56" t="n"/>
      <c r="L14" s="55" t="n"/>
      <c r="M14" s="56" t="n"/>
      <c r="N14" s="55" t="n"/>
      <c r="O14" s="56" t="n"/>
    </row>
    <row r="15" ht="26" customHeight="1">
      <c r="B15" s="61">
        <f>IF(B14="","",TRIM(IF(COUNTIFS($C$22:$C$210,B14,$D$22:$D$210,"*Erros*",$O$22:$O$210,"&lt;&gt;Cancelada")&gt;0,"Erros ","")&amp;IF(COUNTIFS($C$22:$C$210,B14,$D$22:$D$210,"*Suporte*",$O$22:$O$210,"&lt;&gt;Cancelada")&gt;0,"Suporte ","")&amp;IF(COUNTIFS($C$22:$C$210,B14,$D$22:$D$210,"*Vistoria*",$O$22:$O$210,"&lt;&gt;Cancelada")&gt;0,"Vistoria ","")&amp;IF(COUNTIFS($C$22:$C$210,B14,$D$22:$D$210,"*Metas*",$O$22:$O$210,"&lt;&gt;Cancelada")&gt;0,"Metas ","")&amp;IF(COUNTIFS($C$22:$C$210,B14,$D$22:$D$210,"*Faltas*",$O$22:$O$210,"&lt;&gt;Cancelada")&gt;0,"Faltas ","")&amp;IF(COUNTIFS($C$22:$C$210,B14,$D$22:$D$210,"*Semanal c/*",$O$22:$O$210,"&lt;&gt;Cancelada")&gt;0,"Acomp. ","")&amp;IF(COUNTIFS($C$22:$C$210,B14,$D$22:$D$210,"*Reunião*",$O$22:$O$210,"&lt;&gt;Cancelada")&gt;0,"Reunião ","")&amp;IF(COUNTIFS($C$22:$C$210,B14,$D$22:$D$210,"*Férias*",$O$22:$O$210,"&lt;&gt;Cancelada")&gt;0,"Férias ","")&amp;IF(COUNTIFS($C$22:$C$210,B14,$D$22:$D$210,"*Mudança*",$O$22:$O$210,"&lt;&gt;Cancelada")&gt;0,"M.Função ","")&amp;IF(COUNTIFS($C$22:$C$210,B14,$D$22:$D$210,"*Treinamento*",$O$22:$O$210,"&lt;&gt;Cancelada")&gt;0,"Trein. ","")))</f>
        <v/>
      </c>
      <c r="C15" s="62" t="n"/>
      <c r="D15" s="61">
        <f>IF(D14="","",TRIM(IF(COUNTIFS($C$22:$C$210,D14,$D$22:$D$210,"*Erros*",$O$22:$O$210,"&lt;&gt;Cancelada")&gt;0,"Erros ","")&amp;IF(COUNTIFS($C$22:$C$210,D14,$D$22:$D$210,"*Suporte*",$O$22:$O$210,"&lt;&gt;Cancelada")&gt;0,"Suporte ","")&amp;IF(COUNTIFS($C$22:$C$210,D14,$D$22:$D$210,"*Vistoria*",$O$22:$O$210,"&lt;&gt;Cancelada")&gt;0,"Vistoria ","")&amp;IF(COUNTIFS($C$22:$C$210,D14,$D$22:$D$210,"*Metas*",$O$22:$O$210,"&lt;&gt;Cancelada")&gt;0,"Metas ","")&amp;IF(COUNTIFS($C$22:$C$210,D14,$D$22:$D$210,"*Faltas*",$O$22:$O$210,"&lt;&gt;Cancelada")&gt;0,"Faltas ","")&amp;IF(COUNTIFS($C$22:$C$210,D14,$D$22:$D$210,"*Semanal c/*",$O$22:$O$210,"&lt;&gt;Cancelada")&gt;0,"Acomp. ","")&amp;IF(COUNTIFS($C$22:$C$210,D14,$D$22:$D$210,"*Reunião*",$O$22:$O$210,"&lt;&gt;Cancelada")&gt;0,"Reunião ","")&amp;IF(COUNTIFS($C$22:$C$210,D14,$D$22:$D$210,"*Férias*",$O$22:$O$210,"&lt;&gt;Cancelada")&gt;0,"Férias ","")&amp;IF(COUNTIFS($C$22:$C$210,D14,$D$22:$D$210,"*Mudança*",$O$22:$O$210,"&lt;&gt;Cancelada")&gt;0,"M.Função ","")&amp;IF(COUNTIFS($C$22:$C$210,D14,$D$22:$D$210,"*Treinamento*",$O$22:$O$210,"&lt;&gt;Cancelada")&gt;0,"Trein. ","")))</f>
        <v/>
      </c>
      <c r="E15" s="62" t="n"/>
      <c r="F15" s="59" t="n"/>
      <c r="G15" s="60" t="n"/>
      <c r="H15" s="59" t="n"/>
      <c r="I15" s="60" t="n"/>
      <c r="J15" s="59" t="n"/>
      <c r="K15" s="60" t="n"/>
      <c r="L15" s="59" t="n"/>
      <c r="M15" s="60" t="n"/>
      <c r="N15" s="59" t="n"/>
      <c r="O15" s="60" t="n"/>
    </row>
    <row r="16" ht="6" customHeight="1"/>
    <row r="17" ht="6" customHeight="1"/>
    <row r="18">
      <c r="B18" s="63" t="inlineStr">
        <is>
          <t>Amarelo = hoje - Azul = dia com prazo - SEX = reunião com a gerência - Acomp. = Acompanhamento c/ Supervisores - M.Função = Mudança de Função - Trein. = Treinamento programado</t>
        </is>
      </c>
    </row>
    <row r="20">
      <c r="A20" s="26" t="inlineStr">
        <is>
          <t>GESTÃO DE ATIVIDADES — coordenador: selecione a linha e use o menu GSL Bartofil &gt; Anexar entrega (ou cole o link na coluna LINK DO ANEXO)</t>
        </is>
      </c>
    </row>
    <row r="21">
      <c r="A21" s="27" t="inlineStr">
        <is>
          <t>ID</t>
        </is>
      </c>
      <c r="B21" s="27" t="inlineStr">
        <is>
          <t>SEMANA</t>
        </is>
      </c>
      <c r="C21" s="27" t="inlineStr">
        <is>
          <t>PRAZO</t>
        </is>
      </c>
      <c r="D21" s="27" t="inlineStr">
        <is>
          <t>ATIVIDADE</t>
        </is>
      </c>
      <c r="E21" s="53" t="n"/>
      <c r="F21" s="53" t="n"/>
      <c r="G21" s="27" t="inlineStr">
        <is>
          <t>TURNO</t>
        </is>
      </c>
      <c r="H21" s="27" t="inlineStr">
        <is>
          <t>COORDENADOR</t>
        </is>
      </c>
      <c r="I21" s="53" t="n"/>
      <c r="J21" s="27" t="inlineStr">
        <is>
          <t>SETOR (vistoria)</t>
        </is>
      </c>
      <c r="K21" s="53" t="n"/>
      <c r="L21" s="27" t="inlineStr">
        <is>
          <t>LINK DO ANEXO (ENTREGA)</t>
        </is>
      </c>
      <c r="M21" s="53" t="n"/>
      <c r="N21" s="27" t="inlineStr">
        <is>
          <t>ENTREGUE EM</t>
        </is>
      </c>
      <c r="O21" s="27" t="inlineStr">
        <is>
          <t>VALIDAÇÃO</t>
        </is>
      </c>
      <c r="P21" s="27" t="inlineStr">
        <is>
          <t>MOTIVO REPROV. / CANCEL.</t>
        </is>
      </c>
      <c r="Q21" s="53" t="n"/>
      <c r="R21" s="27" t="inlineStr">
        <is>
          <t>STATUS</t>
        </is>
      </c>
      <c r="S21" s="64" t="inlineStr">
        <is>
          <t>fL</t>
        </is>
      </c>
      <c r="T21" s="64" t="inlineStr">
        <is>
          <t>fA</t>
        </is>
      </c>
      <c r="U21" s="64" t="inlineStr">
        <is>
          <t>fE</t>
        </is>
      </c>
    </row>
    <row r="22">
      <c r="A22" s="65" t="inlineStr">
        <is>
          <t>NOV-S45-ERR-A</t>
        </is>
      </c>
      <c r="B22" s="66" t="inlineStr">
        <is>
          <t>S45</t>
        </is>
      </c>
      <c r="C22" s="67" t="n">
        <v>46328</v>
      </c>
      <c r="D22" s="68" t="inlineStr">
        <is>
          <t>Levantamento de Erros Operacionais</t>
        </is>
      </c>
      <c r="E22" s="53" t="n"/>
      <c r="F22" s="53" t="n"/>
      <c r="G22" s="69" t="inlineStr">
        <is>
          <t>A</t>
        </is>
      </c>
      <c r="H22" s="70">
        <f>IF($G22="A",CONFIG!$B$5,IF($G22="B",CONFIG!$B$6,IF($G22="C",CONFIG!$B$7,IF($G22="Todos","Todos os turnos",""))))</f>
        <v/>
      </c>
      <c r="I22" s="53" t="n"/>
      <c r="J22" s="71" t="inlineStr">
        <is>
          <t>—</t>
        </is>
      </c>
      <c r="K22" s="53" t="n"/>
      <c r="L22" s="72" t="n"/>
      <c r="M22" s="53" t="n"/>
      <c r="N22" s="73" t="n"/>
      <c r="O22" s="74" t="n"/>
      <c r="P22" s="75" t="n"/>
      <c r="Q22" s="53" t="n"/>
      <c r="R22" s="76">
        <f>IF($C22="","",IF($O22="Cancelada","Cancelada",IF($O22="Reprovado","Reprovada",IF($O22="Aprovado","Aprovada",IF($L22&lt;&gt;"","Entregue",IF(TODAY()&gt;$C22,"Atrasada","Pendente"))))))</f>
        <v/>
      </c>
    </row>
    <row r="23">
      <c r="A23" s="65" t="inlineStr">
        <is>
          <t>NOV-S45-ERR-B</t>
        </is>
      </c>
      <c r="B23" s="66" t="inlineStr">
        <is>
          <t>S45</t>
        </is>
      </c>
      <c r="C23" s="67" t="n">
        <v>46328</v>
      </c>
      <c r="D23" s="68" t="inlineStr">
        <is>
          <t>Levantamento de Erros Operacionais</t>
        </is>
      </c>
      <c r="E23" s="53" t="n"/>
      <c r="F23" s="53" t="n"/>
      <c r="G23" s="69" t="inlineStr">
        <is>
          <t>B</t>
        </is>
      </c>
      <c r="H23" s="70">
        <f>IF($G23="A",CONFIG!$B$5,IF($G23="B",CONFIG!$B$6,IF($G23="C",CONFIG!$B$7,IF($G23="Todos","Todos os turnos",""))))</f>
        <v/>
      </c>
      <c r="I23" s="53" t="n"/>
      <c r="J23" s="71" t="inlineStr">
        <is>
          <t>—</t>
        </is>
      </c>
      <c r="K23" s="53" t="n"/>
      <c r="L23" s="72" t="n"/>
      <c r="M23" s="53" t="n"/>
      <c r="N23" s="73" t="n"/>
      <c r="O23" s="74" t="n"/>
      <c r="P23" s="75" t="n"/>
      <c r="Q23" s="53" t="n"/>
      <c r="R23" s="76">
        <f>IF($C23="","",IF($O23="Cancelada","Cancelada",IF($O23="Reprovado","Reprovada",IF($O23="Aprovado","Aprovada",IF($L23&lt;&gt;"","Entregue",IF(TODAY()&gt;$C23,"Atrasada","Pendente"))))))</f>
        <v/>
      </c>
    </row>
    <row r="24">
      <c r="A24" s="65" t="inlineStr">
        <is>
          <t>NOV-S45-ERR-C</t>
        </is>
      </c>
      <c r="B24" s="66" t="inlineStr">
        <is>
          <t>S45</t>
        </is>
      </c>
      <c r="C24" s="67" t="n">
        <v>46328</v>
      </c>
      <c r="D24" s="68" t="inlineStr">
        <is>
          <t>Levantamento de Erros Operacionais</t>
        </is>
      </c>
      <c r="E24" s="53" t="n"/>
      <c r="F24" s="53" t="n"/>
      <c r="G24" s="69" t="inlineStr">
        <is>
          <t>C</t>
        </is>
      </c>
      <c r="H24" s="70">
        <f>IF($G24="A",CONFIG!$B$5,IF($G24="B",CONFIG!$B$6,IF($G24="C",CONFIG!$B$7,IF($G24="Todos","Todos os turnos",""))))</f>
        <v/>
      </c>
      <c r="I24" s="53" t="n"/>
      <c r="J24" s="71" t="inlineStr">
        <is>
          <t>—</t>
        </is>
      </c>
      <c r="K24" s="53" t="n"/>
      <c r="L24" s="72" t="n"/>
      <c r="M24" s="53" t="n"/>
      <c r="N24" s="73" t="n"/>
      <c r="O24" s="74" t="n"/>
      <c r="P24" s="75" t="n"/>
      <c r="Q24" s="53" t="n"/>
      <c r="R24" s="76">
        <f>IF($C24="","",IF($O24="Cancelada","Cancelada",IF($O24="Reprovado","Reprovada",IF($O24="Aprovado","Aprovada",IF($L24&lt;&gt;"","Entregue",IF(TODAY()&gt;$C24,"Atrasada","Pendente"))))))</f>
        <v/>
      </c>
    </row>
    <row r="25">
      <c r="A25" s="65" t="inlineStr">
        <is>
          <t>NOV-S45-SUP-A</t>
        </is>
      </c>
      <c r="B25" s="66" t="inlineStr">
        <is>
          <t>S45</t>
        </is>
      </c>
      <c r="C25" s="67" t="n">
        <v>46329</v>
      </c>
      <c r="D25" s="68" t="inlineStr">
        <is>
          <t>Suporte de Supervisores</t>
        </is>
      </c>
      <c r="E25" s="53" t="n"/>
      <c r="F25" s="53" t="n"/>
      <c r="G25" s="69" t="inlineStr">
        <is>
          <t>A</t>
        </is>
      </c>
      <c r="H25" s="70">
        <f>IF($G25="A",CONFIG!$B$5,IF($G25="B",CONFIG!$B$6,IF($G25="C",CONFIG!$B$7,IF($G25="Todos","Todos os turnos",""))))</f>
        <v/>
      </c>
      <c r="I25" s="53" t="n"/>
      <c r="J25" s="71" t="inlineStr">
        <is>
          <t>—</t>
        </is>
      </c>
      <c r="K25" s="53" t="n"/>
      <c r="L25" s="72" t="n"/>
      <c r="M25" s="53" t="n"/>
      <c r="N25" s="73" t="n"/>
      <c r="O25" s="74" t="n"/>
      <c r="P25" s="75" t="n"/>
      <c r="Q25" s="53" t="n"/>
      <c r="R25" s="76">
        <f>IF($C25="","",IF($O25="Cancelada","Cancelada",IF($O25="Reprovado","Reprovada",IF($O25="Aprovado","Aprovada",IF($L25&lt;&gt;"","Entregue",IF(TODAY()&gt;$C25,"Atrasada","Pendente"))))))</f>
        <v/>
      </c>
    </row>
    <row r="26">
      <c r="A26" s="65" t="inlineStr">
        <is>
          <t>NOV-S45-SUP-B</t>
        </is>
      </c>
      <c r="B26" s="66" t="inlineStr">
        <is>
          <t>S45</t>
        </is>
      </c>
      <c r="C26" s="67" t="n">
        <v>46329</v>
      </c>
      <c r="D26" s="68" t="inlineStr">
        <is>
          <t>Suporte de Supervisores</t>
        </is>
      </c>
      <c r="E26" s="53" t="n"/>
      <c r="F26" s="53" t="n"/>
      <c r="G26" s="69" t="inlineStr">
        <is>
          <t>B</t>
        </is>
      </c>
      <c r="H26" s="70">
        <f>IF($G26="A",CONFIG!$B$5,IF($G26="B",CONFIG!$B$6,IF($G26="C",CONFIG!$B$7,IF($G26="Todos","Todos os turnos",""))))</f>
        <v/>
      </c>
      <c r="I26" s="53" t="n"/>
      <c r="J26" s="71" t="inlineStr">
        <is>
          <t>—</t>
        </is>
      </c>
      <c r="K26" s="53" t="n"/>
      <c r="L26" s="72" t="n"/>
      <c r="M26" s="53" t="n"/>
      <c r="N26" s="73" t="n"/>
      <c r="O26" s="74" t="n"/>
      <c r="P26" s="75" t="n"/>
      <c r="Q26" s="53" t="n"/>
      <c r="R26" s="76">
        <f>IF($C26="","",IF($O26="Cancelada","Cancelada",IF($O26="Reprovado","Reprovada",IF($O26="Aprovado","Aprovada",IF($L26&lt;&gt;"","Entregue",IF(TODAY()&gt;$C26,"Atrasada","Pendente"))))))</f>
        <v/>
      </c>
    </row>
    <row r="27">
      <c r="A27" s="65" t="inlineStr">
        <is>
          <t>NOV-S45-SUP-C</t>
        </is>
      </c>
      <c r="B27" s="66" t="inlineStr">
        <is>
          <t>S45</t>
        </is>
      </c>
      <c r="C27" s="67" t="n">
        <v>46329</v>
      </c>
      <c r="D27" s="68" t="inlineStr">
        <is>
          <t>Suporte de Supervisores</t>
        </is>
      </c>
      <c r="E27" s="53" t="n"/>
      <c r="F27" s="53" t="n"/>
      <c r="G27" s="69" t="inlineStr">
        <is>
          <t>C</t>
        </is>
      </c>
      <c r="H27" s="70">
        <f>IF($G27="A",CONFIG!$B$5,IF($G27="B",CONFIG!$B$6,IF($G27="C",CONFIG!$B$7,IF($G27="Todos","Todos os turnos",""))))</f>
        <v/>
      </c>
      <c r="I27" s="53" t="n"/>
      <c r="J27" s="71" t="inlineStr">
        <is>
          <t>—</t>
        </is>
      </c>
      <c r="K27" s="53" t="n"/>
      <c r="L27" s="72" t="n"/>
      <c r="M27" s="53" t="n"/>
      <c r="N27" s="73" t="n"/>
      <c r="O27" s="74" t="n"/>
      <c r="P27" s="75" t="n"/>
      <c r="Q27" s="53" t="n"/>
      <c r="R27" s="76">
        <f>IF($C27="","",IF($O27="Cancelada","Cancelada",IF($O27="Reprovado","Reprovada",IF($O27="Aprovado","Aprovada",IF($L27&lt;&gt;"","Entregue",IF(TODAY()&gt;$C27,"Atrasada","Pendente"))))))</f>
        <v/>
      </c>
    </row>
    <row r="28">
      <c r="A28" s="65" t="inlineStr">
        <is>
          <t>NOV-S45-VIS-A</t>
        </is>
      </c>
      <c r="B28" s="66" t="inlineStr">
        <is>
          <t>S45</t>
        </is>
      </c>
      <c r="C28" s="67" t="n">
        <v>46330</v>
      </c>
      <c r="D28" s="68" t="inlineStr">
        <is>
          <t>Acomp. Organizacional Setorial (Vistoria)</t>
        </is>
      </c>
      <c r="E28" s="53" t="n"/>
      <c r="F28" s="53" t="n"/>
      <c r="G28" s="69" t="inlineStr">
        <is>
          <t>A</t>
        </is>
      </c>
      <c r="H28" s="70">
        <f>IF($G28="A",CONFIG!$B$5,IF($G28="B",CONFIG!$B$6,IF($G28="C",CONFIG!$B$7,IF($G28="Todos","Todos os turnos",""))))</f>
        <v/>
      </c>
      <c r="I28" s="53" t="n"/>
      <c r="J28" s="77" t="n"/>
      <c r="K28" s="53" t="n"/>
      <c r="L28" s="72" t="n"/>
      <c r="M28" s="53" t="n"/>
      <c r="N28" s="73" t="n"/>
      <c r="O28" s="74" t="n"/>
      <c r="P28" s="75" t="n"/>
      <c r="Q28" s="53" t="n"/>
      <c r="R28" s="76">
        <f>IF($C28="","",IF($O28="Cancelada","Cancelada",IF($O28="Reprovado","Reprovada",IF($O28="Aprovado","Aprovada",IF($L28&lt;&gt;"","Entregue",IF(TODAY()&gt;$C28,"Atrasada","Pendente"))))))</f>
        <v/>
      </c>
    </row>
    <row r="29">
      <c r="A29" s="65" t="inlineStr">
        <is>
          <t>NOV-S45-VIS-B</t>
        </is>
      </c>
      <c r="B29" s="66" t="inlineStr">
        <is>
          <t>S45</t>
        </is>
      </c>
      <c r="C29" s="67" t="n">
        <v>46330</v>
      </c>
      <c r="D29" s="68" t="inlineStr">
        <is>
          <t>Acomp. Organizacional Setorial (Vistoria)</t>
        </is>
      </c>
      <c r="E29" s="53" t="n"/>
      <c r="F29" s="53" t="n"/>
      <c r="G29" s="69" t="inlineStr">
        <is>
          <t>B</t>
        </is>
      </c>
      <c r="H29" s="70">
        <f>IF($G29="A",CONFIG!$B$5,IF($G29="B",CONFIG!$B$6,IF($G29="C",CONFIG!$B$7,IF($G29="Todos","Todos os turnos",""))))</f>
        <v/>
      </c>
      <c r="I29" s="53" t="n"/>
      <c r="J29" s="77" t="n"/>
      <c r="K29" s="53" t="n"/>
      <c r="L29" s="72" t="n"/>
      <c r="M29" s="53" t="n"/>
      <c r="N29" s="73" t="n"/>
      <c r="O29" s="74" t="n"/>
      <c r="P29" s="75" t="n"/>
      <c r="Q29" s="53" t="n"/>
      <c r="R29" s="76">
        <f>IF($C29="","",IF($O29="Cancelada","Cancelada",IF($O29="Reprovado","Reprovada",IF($O29="Aprovado","Aprovada",IF($L29&lt;&gt;"","Entregue",IF(TODAY()&gt;$C29,"Atrasada","Pendente"))))))</f>
        <v/>
      </c>
    </row>
    <row r="30">
      <c r="A30" s="65" t="inlineStr">
        <is>
          <t>NOV-S45-VIS-C</t>
        </is>
      </c>
      <c r="B30" s="66" t="inlineStr">
        <is>
          <t>S45</t>
        </is>
      </c>
      <c r="C30" s="67" t="n">
        <v>46330</v>
      </c>
      <c r="D30" s="68" t="inlineStr">
        <is>
          <t>Acomp. Organizacional Setorial (Vistoria)</t>
        </is>
      </c>
      <c r="E30" s="53" t="n"/>
      <c r="F30" s="53" t="n"/>
      <c r="G30" s="69" t="inlineStr">
        <is>
          <t>C</t>
        </is>
      </c>
      <c r="H30" s="70">
        <f>IF($G30="A",CONFIG!$B$5,IF($G30="B",CONFIG!$B$6,IF($G30="C",CONFIG!$B$7,IF($G30="Todos","Todos os turnos",""))))</f>
        <v/>
      </c>
      <c r="I30" s="53" t="n"/>
      <c r="J30" s="77" t="n"/>
      <c r="K30" s="53" t="n"/>
      <c r="L30" s="72" t="n"/>
      <c r="M30" s="53" t="n"/>
      <c r="N30" s="73" t="n"/>
      <c r="O30" s="74" t="n"/>
      <c r="P30" s="75" t="n"/>
      <c r="Q30" s="53" t="n"/>
      <c r="R30" s="76">
        <f>IF($C30="","",IF($O30="Cancelada","Cancelada",IF($O30="Reprovado","Reprovada",IF($O30="Aprovado","Aprovada",IF($L30&lt;&gt;"","Entregue",IF(TODAY()&gt;$C30,"Atrasada","Pendente"))))))</f>
        <v/>
      </c>
    </row>
    <row r="31">
      <c r="A31" s="65" t="inlineStr">
        <is>
          <t>NOV-S45-MET-A</t>
        </is>
      </c>
      <c r="B31" s="66" t="inlineStr">
        <is>
          <t>S45</t>
        </is>
      </c>
      <c r="C31" s="67" t="n">
        <v>46331</v>
      </c>
      <c r="D31" s="68" t="inlineStr">
        <is>
          <t>Metas</t>
        </is>
      </c>
      <c r="E31" s="53" t="n"/>
      <c r="F31" s="53" t="n"/>
      <c r="G31" s="69" t="inlineStr">
        <is>
          <t>A</t>
        </is>
      </c>
      <c r="H31" s="70">
        <f>IF($G31="A",CONFIG!$B$5,IF($G31="B",CONFIG!$B$6,IF($G31="C",CONFIG!$B$7,IF($G31="Todos","Todos os turnos",""))))</f>
        <v/>
      </c>
      <c r="I31" s="53" t="n"/>
      <c r="J31" s="71" t="inlineStr">
        <is>
          <t>—</t>
        </is>
      </c>
      <c r="K31" s="53" t="n"/>
      <c r="L31" s="72" t="n"/>
      <c r="M31" s="53" t="n"/>
      <c r="N31" s="73" t="n"/>
      <c r="O31" s="74" t="n"/>
      <c r="P31" s="75" t="n"/>
      <c r="Q31" s="53" t="n"/>
      <c r="R31" s="76">
        <f>IF($C31="","",IF($O31="Cancelada","Cancelada",IF($O31="Reprovado","Reprovada",IF($O31="Aprovado","Aprovada",IF($L31&lt;&gt;"","Entregue",IF(TODAY()&gt;$C31,"Atrasada","Pendente"))))))</f>
        <v/>
      </c>
    </row>
    <row r="32">
      <c r="A32" s="65" t="inlineStr">
        <is>
          <t>NOV-S45-MET-B</t>
        </is>
      </c>
      <c r="B32" s="66" t="inlineStr">
        <is>
          <t>S45</t>
        </is>
      </c>
      <c r="C32" s="67" t="n">
        <v>46331</v>
      </c>
      <c r="D32" s="68" t="inlineStr">
        <is>
          <t>Metas</t>
        </is>
      </c>
      <c r="E32" s="53" t="n"/>
      <c r="F32" s="53" t="n"/>
      <c r="G32" s="69" t="inlineStr">
        <is>
          <t>B</t>
        </is>
      </c>
      <c r="H32" s="70">
        <f>IF($G32="A",CONFIG!$B$5,IF($G32="B",CONFIG!$B$6,IF($G32="C",CONFIG!$B$7,IF($G32="Todos","Todos os turnos",""))))</f>
        <v/>
      </c>
      <c r="I32" s="53" t="n"/>
      <c r="J32" s="71" t="inlineStr">
        <is>
          <t>—</t>
        </is>
      </c>
      <c r="K32" s="53" t="n"/>
      <c r="L32" s="72" t="n"/>
      <c r="M32" s="53" t="n"/>
      <c r="N32" s="73" t="n"/>
      <c r="O32" s="74" t="n"/>
      <c r="P32" s="75" t="n"/>
      <c r="Q32" s="53" t="n"/>
      <c r="R32" s="76">
        <f>IF($C32="","",IF($O32="Cancelada","Cancelada",IF($O32="Reprovado","Reprovada",IF($O32="Aprovado","Aprovada",IF($L32&lt;&gt;"","Entregue",IF(TODAY()&gt;$C32,"Atrasada","Pendente"))))))</f>
        <v/>
      </c>
    </row>
    <row r="33">
      <c r="A33" s="65" t="inlineStr">
        <is>
          <t>NOV-S45-MET-C</t>
        </is>
      </c>
      <c r="B33" s="66" t="inlineStr">
        <is>
          <t>S45</t>
        </is>
      </c>
      <c r="C33" s="67" t="n">
        <v>46331</v>
      </c>
      <c r="D33" s="68" t="inlineStr">
        <is>
          <t>Metas</t>
        </is>
      </c>
      <c r="E33" s="53" t="n"/>
      <c r="F33" s="53" t="n"/>
      <c r="G33" s="69" t="inlineStr">
        <is>
          <t>C</t>
        </is>
      </c>
      <c r="H33" s="70">
        <f>IF($G33="A",CONFIG!$B$5,IF($G33="B",CONFIG!$B$6,IF($G33="C",CONFIG!$B$7,IF($G33="Todos","Todos os turnos",""))))</f>
        <v/>
      </c>
      <c r="I33" s="53" t="n"/>
      <c r="J33" s="71" t="inlineStr">
        <is>
          <t>—</t>
        </is>
      </c>
      <c r="K33" s="53" t="n"/>
      <c r="L33" s="72" t="n"/>
      <c r="M33" s="53" t="n"/>
      <c r="N33" s="73" t="n"/>
      <c r="O33" s="74" t="n"/>
      <c r="P33" s="75" t="n"/>
      <c r="Q33" s="53" t="n"/>
      <c r="R33" s="76">
        <f>IF($C33="","",IF($O33="Cancelada","Cancelada",IF($O33="Reprovado","Reprovada",IF($O33="Aprovado","Aprovada",IF($L33&lt;&gt;"","Entregue",IF(TODAY()&gt;$C33,"Atrasada","Pendente"))))))</f>
        <v/>
      </c>
    </row>
    <row r="34">
      <c r="A34" s="65" t="inlineStr">
        <is>
          <t>NOV-S45-ACO-A</t>
        </is>
      </c>
      <c r="B34" s="66" t="inlineStr">
        <is>
          <t>S45</t>
        </is>
      </c>
      <c r="C34" s="67" t="n">
        <v>46332</v>
      </c>
      <c r="D34" s="68" t="inlineStr">
        <is>
          <t>Acompanhamento Semanal c/ Supervisores</t>
        </is>
      </c>
      <c r="E34" s="53" t="n"/>
      <c r="F34" s="53" t="n"/>
      <c r="G34" s="69" t="inlineStr">
        <is>
          <t>A</t>
        </is>
      </c>
      <c r="H34" s="70">
        <f>IF($G34="A",CONFIG!$B$5,IF($G34="B",CONFIG!$B$6,IF($G34="C",CONFIG!$B$7,IF($G34="Todos","Todos os turnos",""))))</f>
        <v/>
      </c>
      <c r="I34" s="53" t="n"/>
      <c r="J34" s="71" t="inlineStr">
        <is>
          <t>—</t>
        </is>
      </c>
      <c r="K34" s="53" t="n"/>
      <c r="L34" s="72" t="n"/>
      <c r="M34" s="53" t="n"/>
      <c r="N34" s="73" t="n"/>
      <c r="O34" s="74" t="n"/>
      <c r="P34" s="75" t="n"/>
      <c r="Q34" s="53" t="n"/>
      <c r="R34" s="76">
        <f>IF($C34="","",IF($O34="Cancelada","Cancelada",IF($O34="Reprovado","Reprovada",IF($O34="Aprovado","Aprovada",IF($L34&lt;&gt;"","Entregue",IF(TODAY()&gt;$C34,"Atrasada","Pendente"))))))</f>
        <v/>
      </c>
    </row>
    <row r="35">
      <c r="A35" s="65" t="inlineStr">
        <is>
          <t>NOV-S45-ACO-B</t>
        </is>
      </c>
      <c r="B35" s="66" t="inlineStr">
        <is>
          <t>S45</t>
        </is>
      </c>
      <c r="C35" s="67" t="n">
        <v>46332</v>
      </c>
      <c r="D35" s="68" t="inlineStr">
        <is>
          <t>Acompanhamento Semanal c/ Supervisores</t>
        </is>
      </c>
      <c r="E35" s="53" t="n"/>
      <c r="F35" s="53" t="n"/>
      <c r="G35" s="69" t="inlineStr">
        <is>
          <t>B</t>
        </is>
      </c>
      <c r="H35" s="70">
        <f>IF($G35="A",CONFIG!$B$5,IF($G35="B",CONFIG!$B$6,IF($G35="C",CONFIG!$B$7,IF($G35="Todos","Todos os turnos",""))))</f>
        <v/>
      </c>
      <c r="I35" s="53" t="n"/>
      <c r="J35" s="71" t="inlineStr">
        <is>
          <t>—</t>
        </is>
      </c>
      <c r="K35" s="53" t="n"/>
      <c r="L35" s="72" t="n"/>
      <c r="M35" s="53" t="n"/>
      <c r="N35" s="73" t="n"/>
      <c r="O35" s="74" t="n"/>
      <c r="P35" s="75" t="n"/>
      <c r="Q35" s="53" t="n"/>
      <c r="R35" s="76">
        <f>IF($C35="","",IF($O35="Cancelada","Cancelada",IF($O35="Reprovado","Reprovada",IF($O35="Aprovado","Aprovada",IF($L35&lt;&gt;"","Entregue",IF(TODAY()&gt;$C35,"Atrasada","Pendente"))))))</f>
        <v/>
      </c>
    </row>
    <row r="36">
      <c r="A36" s="65" t="inlineStr">
        <is>
          <t>NOV-S45-ACO-C</t>
        </is>
      </c>
      <c r="B36" s="66" t="inlineStr">
        <is>
          <t>S45</t>
        </is>
      </c>
      <c r="C36" s="67" t="n">
        <v>46332</v>
      </c>
      <c r="D36" s="68" t="inlineStr">
        <is>
          <t>Acompanhamento Semanal c/ Supervisores</t>
        </is>
      </c>
      <c r="E36" s="53" t="n"/>
      <c r="F36" s="53" t="n"/>
      <c r="G36" s="69" t="inlineStr">
        <is>
          <t>C</t>
        </is>
      </c>
      <c r="H36" s="70">
        <f>IF($G36="A",CONFIG!$B$5,IF($G36="B",CONFIG!$B$6,IF($G36="C",CONFIG!$B$7,IF($G36="Todos","Todos os turnos",""))))</f>
        <v/>
      </c>
      <c r="I36" s="53" t="n"/>
      <c r="J36" s="71" t="inlineStr">
        <is>
          <t>—</t>
        </is>
      </c>
      <c r="K36" s="53" t="n"/>
      <c r="L36" s="72" t="n"/>
      <c r="M36" s="53" t="n"/>
      <c r="N36" s="73" t="n"/>
      <c r="O36" s="74" t="n"/>
      <c r="P36" s="75" t="n"/>
      <c r="Q36" s="53" t="n"/>
      <c r="R36" s="76">
        <f>IF($C36="","",IF($O36="Cancelada","Cancelada",IF($O36="Reprovado","Reprovada",IF($O36="Aprovado","Aprovada",IF($L36&lt;&gt;"","Entregue",IF(TODAY()&gt;$C36,"Atrasada","Pendente"))))))</f>
        <v/>
      </c>
    </row>
    <row r="37">
      <c r="A37" s="65" t="inlineStr">
        <is>
          <t>NOV-S45-FAL-A</t>
        </is>
      </c>
      <c r="B37" s="66" t="inlineStr">
        <is>
          <t>S45</t>
        </is>
      </c>
      <c r="C37" s="67" t="n">
        <v>46332</v>
      </c>
      <c r="D37" s="68" t="inlineStr">
        <is>
          <t>Faltas e Atestados</t>
        </is>
      </c>
      <c r="E37" s="53" t="n"/>
      <c r="F37" s="53" t="n"/>
      <c r="G37" s="69" t="inlineStr">
        <is>
          <t>A</t>
        </is>
      </c>
      <c r="H37" s="70">
        <f>IF($G37="A",CONFIG!$B$5,IF($G37="B",CONFIG!$B$6,IF($G37="C",CONFIG!$B$7,IF($G37="Todos","Todos os turnos",""))))</f>
        <v/>
      </c>
      <c r="I37" s="53" t="n"/>
      <c r="J37" s="71" t="inlineStr">
        <is>
          <t>—</t>
        </is>
      </c>
      <c r="K37" s="53" t="n"/>
      <c r="L37" s="72" t="n"/>
      <c r="M37" s="53" t="n"/>
      <c r="N37" s="73" t="n"/>
      <c r="O37" s="74" t="n"/>
      <c r="P37" s="75" t="n"/>
      <c r="Q37" s="53" t="n"/>
      <c r="R37" s="76">
        <f>IF($C37="","",IF($O37="Cancelada","Cancelada",IF($O37="Reprovado","Reprovada",IF($O37="Aprovado","Aprovada",IF($L37&lt;&gt;"","Entregue",IF(TODAY()&gt;$C37,"Atrasada","Pendente"))))))</f>
        <v/>
      </c>
    </row>
    <row r="38">
      <c r="A38" s="65" t="inlineStr">
        <is>
          <t>NOV-S45-FAL-B</t>
        </is>
      </c>
      <c r="B38" s="66" t="inlineStr">
        <is>
          <t>S45</t>
        </is>
      </c>
      <c r="C38" s="67" t="n">
        <v>46332</v>
      </c>
      <c r="D38" s="68" t="inlineStr">
        <is>
          <t>Faltas e Atestados</t>
        </is>
      </c>
      <c r="E38" s="53" t="n"/>
      <c r="F38" s="53" t="n"/>
      <c r="G38" s="69" t="inlineStr">
        <is>
          <t>B</t>
        </is>
      </c>
      <c r="H38" s="70">
        <f>IF($G38="A",CONFIG!$B$5,IF($G38="B",CONFIG!$B$6,IF($G38="C",CONFIG!$B$7,IF($G38="Todos","Todos os turnos",""))))</f>
        <v/>
      </c>
      <c r="I38" s="53" t="n"/>
      <c r="J38" s="71" t="inlineStr">
        <is>
          <t>—</t>
        </is>
      </c>
      <c r="K38" s="53" t="n"/>
      <c r="L38" s="72" t="n"/>
      <c r="M38" s="53" t="n"/>
      <c r="N38" s="73" t="n"/>
      <c r="O38" s="74" t="n"/>
      <c r="P38" s="75" t="n"/>
      <c r="Q38" s="53" t="n"/>
      <c r="R38" s="76">
        <f>IF($C38="","",IF($O38="Cancelada","Cancelada",IF($O38="Reprovado","Reprovada",IF($O38="Aprovado","Aprovada",IF($L38&lt;&gt;"","Entregue",IF(TODAY()&gt;$C38,"Atrasada","Pendente"))))))</f>
        <v/>
      </c>
    </row>
    <row r="39">
      <c r="A39" s="65" t="inlineStr">
        <is>
          <t>NOV-S45-FAL-C</t>
        </is>
      </c>
      <c r="B39" s="66" t="inlineStr">
        <is>
          <t>S45</t>
        </is>
      </c>
      <c r="C39" s="67" t="n">
        <v>46332</v>
      </c>
      <c r="D39" s="68" t="inlineStr">
        <is>
          <t>Faltas e Atestados</t>
        </is>
      </c>
      <c r="E39" s="53" t="n"/>
      <c r="F39" s="53" t="n"/>
      <c r="G39" s="69" t="inlineStr">
        <is>
          <t>C</t>
        </is>
      </c>
      <c r="H39" s="70">
        <f>IF($G39="A",CONFIG!$B$5,IF($G39="B",CONFIG!$B$6,IF($G39="C",CONFIG!$B$7,IF($G39="Todos","Todos os turnos",""))))</f>
        <v/>
      </c>
      <c r="I39" s="53" t="n"/>
      <c r="J39" s="71" t="inlineStr">
        <is>
          <t>—</t>
        </is>
      </c>
      <c r="K39" s="53" t="n"/>
      <c r="L39" s="72" t="n"/>
      <c r="M39" s="53" t="n"/>
      <c r="N39" s="73" t="n"/>
      <c r="O39" s="74" t="n"/>
      <c r="P39" s="75" t="n"/>
      <c r="Q39" s="53" t="n"/>
      <c r="R39" s="76">
        <f>IF($C39="","",IF($O39="Cancelada","Cancelada",IF($O39="Reprovado","Reprovada",IF($O39="Aprovado","Aprovada",IF($L39&lt;&gt;"","Entregue",IF(TODAY()&gt;$C39,"Atrasada","Pendente"))))))</f>
        <v/>
      </c>
    </row>
    <row r="40">
      <c r="A40" s="65" t="inlineStr">
        <is>
          <t>NOV-S45-REU-T</t>
        </is>
      </c>
      <c r="B40" s="66" t="inlineStr">
        <is>
          <t>S45</t>
        </is>
      </c>
      <c r="C40" s="67" t="n">
        <v>46332</v>
      </c>
      <c r="D40" s="68" t="inlineStr">
        <is>
          <t>Reunião Semanal com a Gerência</t>
        </is>
      </c>
      <c r="E40" s="53" t="n"/>
      <c r="F40" s="53" t="n"/>
      <c r="G40" s="69" t="inlineStr">
        <is>
          <t>Todos</t>
        </is>
      </c>
      <c r="H40" s="70">
        <f>IF($G40="A",CONFIG!$B$5,IF($G40="B",CONFIG!$B$6,IF($G40="C",CONFIG!$B$7,IF($G40="Todos","Todos os turnos",""))))</f>
        <v/>
      </c>
      <c r="I40" s="53" t="n"/>
      <c r="J40" s="71" t="inlineStr">
        <is>
          <t>—</t>
        </is>
      </c>
      <c r="K40" s="53" t="n"/>
      <c r="L40" s="72" t="n"/>
      <c r="M40" s="53" t="n"/>
      <c r="N40" s="73" t="n"/>
      <c r="O40" s="74" t="n"/>
      <c r="P40" s="75" t="n"/>
      <c r="Q40" s="53" t="n"/>
      <c r="R40" s="76">
        <f>IF($C40="","",IF($O40="Cancelada","Cancelada",IF($O40="Reprovado","Reprovada",IF($O40="Aprovado","Aprovada",IF($L40&lt;&gt;"","Entregue",IF(TODAY()&gt;$C40,"Atrasada","Pendente"))))))</f>
        <v/>
      </c>
    </row>
    <row r="41">
      <c r="A41" s="65" t="inlineStr">
        <is>
          <t>NOV-S45-FER-A</t>
        </is>
      </c>
      <c r="B41" s="66" t="inlineStr">
        <is>
          <t>S45</t>
        </is>
      </c>
      <c r="C41" s="67" t="n">
        <v>46328</v>
      </c>
      <c r="D41" s="68" t="inlineStr">
        <is>
          <t>Programação de Férias (mensal)</t>
        </is>
      </c>
      <c r="E41" s="53" t="n"/>
      <c r="F41" s="53" t="n"/>
      <c r="G41" s="69" t="inlineStr">
        <is>
          <t>A</t>
        </is>
      </c>
      <c r="H41" s="70">
        <f>IF($G41="A",CONFIG!$B$5,IF($G41="B",CONFIG!$B$6,IF($G41="C",CONFIG!$B$7,IF($G41="Todos","Todos os turnos",""))))</f>
        <v/>
      </c>
      <c r="I41" s="53" t="n"/>
      <c r="J41" s="71" t="inlineStr">
        <is>
          <t>—</t>
        </is>
      </c>
      <c r="K41" s="53" t="n"/>
      <c r="L41" s="72" t="n"/>
      <c r="M41" s="53" t="n"/>
      <c r="N41" s="73" t="n"/>
      <c r="O41" s="74" t="n"/>
      <c r="P41" s="75" t="n"/>
      <c r="Q41" s="53" t="n"/>
      <c r="R41" s="76">
        <f>IF($C41="","",IF($O41="Cancelada","Cancelada",IF($O41="Reprovado","Reprovada",IF($O41="Aprovado","Aprovada",IF($L41&lt;&gt;"","Entregue",IF(TODAY()&gt;$C41,"Atrasada","Pendente"))))))</f>
        <v/>
      </c>
    </row>
    <row r="42">
      <c r="A42" s="65" t="inlineStr">
        <is>
          <t>NOV-S45-FER-B</t>
        </is>
      </c>
      <c r="B42" s="66" t="inlineStr">
        <is>
          <t>S45</t>
        </is>
      </c>
      <c r="C42" s="67" t="n">
        <v>46328</v>
      </c>
      <c r="D42" s="68" t="inlineStr">
        <is>
          <t>Programação de Férias (mensal)</t>
        </is>
      </c>
      <c r="E42" s="53" t="n"/>
      <c r="F42" s="53" t="n"/>
      <c r="G42" s="69" t="inlineStr">
        <is>
          <t>B</t>
        </is>
      </c>
      <c r="H42" s="70">
        <f>IF($G42="A",CONFIG!$B$5,IF($G42="B",CONFIG!$B$6,IF($G42="C",CONFIG!$B$7,IF($G42="Todos","Todos os turnos",""))))</f>
        <v/>
      </c>
      <c r="I42" s="53" t="n"/>
      <c r="J42" s="71" t="inlineStr">
        <is>
          <t>—</t>
        </is>
      </c>
      <c r="K42" s="53" t="n"/>
      <c r="L42" s="72" t="n"/>
      <c r="M42" s="53" t="n"/>
      <c r="N42" s="73" t="n"/>
      <c r="O42" s="74" t="n"/>
      <c r="P42" s="75" t="n"/>
      <c r="Q42" s="53" t="n"/>
      <c r="R42" s="76">
        <f>IF($C42="","",IF($O42="Cancelada","Cancelada",IF($O42="Reprovado","Reprovada",IF($O42="Aprovado","Aprovada",IF($L42&lt;&gt;"","Entregue",IF(TODAY()&gt;$C42,"Atrasada","Pendente"))))))</f>
        <v/>
      </c>
    </row>
    <row r="43">
      <c r="A43" s="65" t="inlineStr">
        <is>
          <t>NOV-S45-FER-C</t>
        </is>
      </c>
      <c r="B43" s="66" t="inlineStr">
        <is>
          <t>S45</t>
        </is>
      </c>
      <c r="C43" s="67" t="n">
        <v>46328</v>
      </c>
      <c r="D43" s="68" t="inlineStr">
        <is>
          <t>Programação de Férias (mensal)</t>
        </is>
      </c>
      <c r="E43" s="53" t="n"/>
      <c r="F43" s="53" t="n"/>
      <c r="G43" s="69" t="inlineStr">
        <is>
          <t>C</t>
        </is>
      </c>
      <c r="H43" s="70">
        <f>IF($G43="A",CONFIG!$B$5,IF($G43="B",CONFIG!$B$6,IF($G43="C",CONFIG!$B$7,IF($G43="Todos","Todos os turnos",""))))</f>
        <v/>
      </c>
      <c r="I43" s="53" t="n"/>
      <c r="J43" s="71" t="inlineStr">
        <is>
          <t>—</t>
        </is>
      </c>
      <c r="K43" s="53" t="n"/>
      <c r="L43" s="72" t="n"/>
      <c r="M43" s="53" t="n"/>
      <c r="N43" s="73" t="n"/>
      <c r="O43" s="74" t="n"/>
      <c r="P43" s="75" t="n"/>
      <c r="Q43" s="53" t="n"/>
      <c r="R43" s="76">
        <f>IF($C43="","",IF($O43="Cancelada","Cancelada",IF($O43="Reprovado","Reprovada",IF($O43="Aprovado","Aprovada",IF($L43&lt;&gt;"","Entregue",IF(TODAY()&gt;$C43,"Atrasada","Pendente"))))))</f>
        <v/>
      </c>
    </row>
    <row r="44">
      <c r="A44" s="65" t="inlineStr">
        <is>
          <t>NOV-S46-ERR-A</t>
        </is>
      </c>
      <c r="B44" s="66" t="inlineStr">
        <is>
          <t>S46</t>
        </is>
      </c>
      <c r="C44" s="67" t="n">
        <v>46335</v>
      </c>
      <c r="D44" s="68" t="inlineStr">
        <is>
          <t>Levantamento de Erros Operacionais</t>
        </is>
      </c>
      <c r="E44" s="53" t="n"/>
      <c r="F44" s="53" t="n"/>
      <c r="G44" s="69" t="inlineStr">
        <is>
          <t>A</t>
        </is>
      </c>
      <c r="H44" s="70">
        <f>IF($G44="A",CONFIG!$B$5,IF($G44="B",CONFIG!$B$6,IF($G44="C",CONFIG!$B$7,IF($G44="Todos","Todos os turnos",""))))</f>
        <v/>
      </c>
      <c r="I44" s="53" t="n"/>
      <c r="J44" s="71" t="inlineStr">
        <is>
          <t>—</t>
        </is>
      </c>
      <c r="K44" s="53" t="n"/>
      <c r="L44" s="72" t="n"/>
      <c r="M44" s="53" t="n"/>
      <c r="N44" s="73" t="n"/>
      <c r="O44" s="74" t="n"/>
      <c r="P44" s="75" t="n"/>
      <c r="Q44" s="53" t="n"/>
      <c r="R44" s="76">
        <f>IF($C44="","",IF($O44="Cancelada","Cancelada",IF($O44="Reprovado","Reprovada",IF($O44="Aprovado","Aprovada",IF($L44&lt;&gt;"","Entregue",IF(TODAY()&gt;$C44,"Atrasada","Pendente"))))))</f>
        <v/>
      </c>
    </row>
    <row r="45">
      <c r="A45" s="65" t="inlineStr">
        <is>
          <t>NOV-S46-ERR-B</t>
        </is>
      </c>
      <c r="B45" s="66" t="inlineStr">
        <is>
          <t>S46</t>
        </is>
      </c>
      <c r="C45" s="67" t="n">
        <v>46335</v>
      </c>
      <c r="D45" s="68" t="inlineStr">
        <is>
          <t>Levantamento de Erros Operacionais</t>
        </is>
      </c>
      <c r="E45" s="53" t="n"/>
      <c r="F45" s="53" t="n"/>
      <c r="G45" s="69" t="inlineStr">
        <is>
          <t>B</t>
        </is>
      </c>
      <c r="H45" s="70">
        <f>IF($G45="A",CONFIG!$B$5,IF($G45="B",CONFIG!$B$6,IF($G45="C",CONFIG!$B$7,IF($G45="Todos","Todos os turnos",""))))</f>
        <v/>
      </c>
      <c r="I45" s="53" t="n"/>
      <c r="J45" s="71" t="inlineStr">
        <is>
          <t>—</t>
        </is>
      </c>
      <c r="K45" s="53" t="n"/>
      <c r="L45" s="72" t="n"/>
      <c r="M45" s="53" t="n"/>
      <c r="N45" s="73" t="n"/>
      <c r="O45" s="74" t="n"/>
      <c r="P45" s="75" t="n"/>
      <c r="Q45" s="53" t="n"/>
      <c r="R45" s="76">
        <f>IF($C45="","",IF($O45="Cancelada","Cancelada",IF($O45="Reprovado","Reprovada",IF($O45="Aprovado","Aprovada",IF($L45&lt;&gt;"","Entregue",IF(TODAY()&gt;$C45,"Atrasada","Pendente"))))))</f>
        <v/>
      </c>
    </row>
    <row r="46">
      <c r="A46" s="65" t="inlineStr">
        <is>
          <t>NOV-S46-ERR-C</t>
        </is>
      </c>
      <c r="B46" s="66" t="inlineStr">
        <is>
          <t>S46</t>
        </is>
      </c>
      <c r="C46" s="67" t="n">
        <v>46335</v>
      </c>
      <c r="D46" s="68" t="inlineStr">
        <is>
          <t>Levantamento de Erros Operacionais</t>
        </is>
      </c>
      <c r="E46" s="53" t="n"/>
      <c r="F46" s="53" t="n"/>
      <c r="G46" s="69" t="inlineStr">
        <is>
          <t>C</t>
        </is>
      </c>
      <c r="H46" s="70">
        <f>IF($G46="A",CONFIG!$B$5,IF($G46="B",CONFIG!$B$6,IF($G46="C",CONFIG!$B$7,IF($G46="Todos","Todos os turnos",""))))</f>
        <v/>
      </c>
      <c r="I46" s="53" t="n"/>
      <c r="J46" s="71" t="inlineStr">
        <is>
          <t>—</t>
        </is>
      </c>
      <c r="K46" s="53" t="n"/>
      <c r="L46" s="72" t="n"/>
      <c r="M46" s="53" t="n"/>
      <c r="N46" s="73" t="n"/>
      <c r="O46" s="74" t="n"/>
      <c r="P46" s="75" t="n"/>
      <c r="Q46" s="53" t="n"/>
      <c r="R46" s="76">
        <f>IF($C46="","",IF($O46="Cancelada","Cancelada",IF($O46="Reprovado","Reprovada",IF($O46="Aprovado","Aprovada",IF($L46&lt;&gt;"","Entregue",IF(TODAY()&gt;$C46,"Atrasada","Pendente"))))))</f>
        <v/>
      </c>
    </row>
    <row r="47">
      <c r="A47" s="65" t="inlineStr">
        <is>
          <t>NOV-S46-SUP-A</t>
        </is>
      </c>
      <c r="B47" s="66" t="inlineStr">
        <is>
          <t>S46</t>
        </is>
      </c>
      <c r="C47" s="67" t="n">
        <v>46336</v>
      </c>
      <c r="D47" s="68" t="inlineStr">
        <is>
          <t>Suporte de Supervisores</t>
        </is>
      </c>
      <c r="E47" s="53" t="n"/>
      <c r="F47" s="53" t="n"/>
      <c r="G47" s="69" t="inlineStr">
        <is>
          <t>A</t>
        </is>
      </c>
      <c r="H47" s="70">
        <f>IF($G47="A",CONFIG!$B$5,IF($G47="B",CONFIG!$B$6,IF($G47="C",CONFIG!$B$7,IF($G47="Todos","Todos os turnos",""))))</f>
        <v/>
      </c>
      <c r="I47" s="53" t="n"/>
      <c r="J47" s="71" t="inlineStr">
        <is>
          <t>—</t>
        </is>
      </c>
      <c r="K47" s="53" t="n"/>
      <c r="L47" s="72" t="n"/>
      <c r="M47" s="53" t="n"/>
      <c r="N47" s="73" t="n"/>
      <c r="O47" s="74" t="n"/>
      <c r="P47" s="75" t="n"/>
      <c r="Q47" s="53" t="n"/>
      <c r="R47" s="76">
        <f>IF($C47="","",IF($O47="Cancelada","Cancelada",IF($O47="Reprovado","Reprovada",IF($O47="Aprovado","Aprovada",IF($L47&lt;&gt;"","Entregue",IF(TODAY()&gt;$C47,"Atrasada","Pendente"))))))</f>
        <v/>
      </c>
    </row>
    <row r="48">
      <c r="A48" s="65" t="inlineStr">
        <is>
          <t>NOV-S46-SUP-B</t>
        </is>
      </c>
      <c r="B48" s="66" t="inlineStr">
        <is>
          <t>S46</t>
        </is>
      </c>
      <c r="C48" s="67" t="n">
        <v>46336</v>
      </c>
      <c r="D48" s="68" t="inlineStr">
        <is>
          <t>Suporte de Supervisores</t>
        </is>
      </c>
      <c r="E48" s="53" t="n"/>
      <c r="F48" s="53" t="n"/>
      <c r="G48" s="69" t="inlineStr">
        <is>
          <t>B</t>
        </is>
      </c>
      <c r="H48" s="70">
        <f>IF($G48="A",CONFIG!$B$5,IF($G48="B",CONFIG!$B$6,IF($G48="C",CONFIG!$B$7,IF($G48="Todos","Todos os turnos",""))))</f>
        <v/>
      </c>
      <c r="I48" s="53" t="n"/>
      <c r="J48" s="71" t="inlineStr">
        <is>
          <t>—</t>
        </is>
      </c>
      <c r="K48" s="53" t="n"/>
      <c r="L48" s="72" t="n"/>
      <c r="M48" s="53" t="n"/>
      <c r="N48" s="73" t="n"/>
      <c r="O48" s="74" t="n"/>
      <c r="P48" s="75" t="n"/>
      <c r="Q48" s="53" t="n"/>
      <c r="R48" s="76">
        <f>IF($C48="","",IF($O48="Cancelada","Cancelada",IF($O48="Reprovado","Reprovada",IF($O48="Aprovado","Aprovada",IF($L48&lt;&gt;"","Entregue",IF(TODAY()&gt;$C48,"Atrasada","Pendente"))))))</f>
        <v/>
      </c>
    </row>
    <row r="49">
      <c r="A49" s="65" t="inlineStr">
        <is>
          <t>NOV-S46-SUP-C</t>
        </is>
      </c>
      <c r="B49" s="66" t="inlineStr">
        <is>
          <t>S46</t>
        </is>
      </c>
      <c r="C49" s="67" t="n">
        <v>46336</v>
      </c>
      <c r="D49" s="68" t="inlineStr">
        <is>
          <t>Suporte de Supervisores</t>
        </is>
      </c>
      <c r="E49" s="53" t="n"/>
      <c r="F49" s="53" t="n"/>
      <c r="G49" s="69" t="inlineStr">
        <is>
          <t>C</t>
        </is>
      </c>
      <c r="H49" s="70">
        <f>IF($G49="A",CONFIG!$B$5,IF($G49="B",CONFIG!$B$6,IF($G49="C",CONFIG!$B$7,IF($G49="Todos","Todos os turnos",""))))</f>
        <v/>
      </c>
      <c r="I49" s="53" t="n"/>
      <c r="J49" s="71" t="inlineStr">
        <is>
          <t>—</t>
        </is>
      </c>
      <c r="K49" s="53" t="n"/>
      <c r="L49" s="72" t="n"/>
      <c r="M49" s="53" t="n"/>
      <c r="N49" s="73" t="n"/>
      <c r="O49" s="74" t="n"/>
      <c r="P49" s="75" t="n"/>
      <c r="Q49" s="53" t="n"/>
      <c r="R49" s="76">
        <f>IF($C49="","",IF($O49="Cancelada","Cancelada",IF($O49="Reprovado","Reprovada",IF($O49="Aprovado","Aprovada",IF($L49&lt;&gt;"","Entregue",IF(TODAY()&gt;$C49,"Atrasada","Pendente"))))))</f>
        <v/>
      </c>
    </row>
    <row r="50">
      <c r="A50" s="65" t="inlineStr">
        <is>
          <t>NOV-S46-VIS-A</t>
        </is>
      </c>
      <c r="B50" s="66" t="inlineStr">
        <is>
          <t>S46</t>
        </is>
      </c>
      <c r="C50" s="67" t="n">
        <v>46337</v>
      </c>
      <c r="D50" s="68" t="inlineStr">
        <is>
          <t>Acomp. Organizacional Setorial (Vistoria)</t>
        </is>
      </c>
      <c r="E50" s="53" t="n"/>
      <c r="F50" s="53" t="n"/>
      <c r="G50" s="69" t="inlineStr">
        <is>
          <t>A</t>
        </is>
      </c>
      <c r="H50" s="70">
        <f>IF($G50="A",CONFIG!$B$5,IF($G50="B",CONFIG!$B$6,IF($G50="C",CONFIG!$B$7,IF($G50="Todos","Todos os turnos",""))))</f>
        <v/>
      </c>
      <c r="I50" s="53" t="n"/>
      <c r="J50" s="77" t="n"/>
      <c r="K50" s="53" t="n"/>
      <c r="L50" s="72" t="n"/>
      <c r="M50" s="53" t="n"/>
      <c r="N50" s="73" t="n"/>
      <c r="O50" s="74" t="n"/>
      <c r="P50" s="75" t="n"/>
      <c r="Q50" s="53" t="n"/>
      <c r="R50" s="76">
        <f>IF($C50="","",IF($O50="Cancelada","Cancelada",IF($O50="Reprovado","Reprovada",IF($O50="Aprovado","Aprovada",IF($L50&lt;&gt;"","Entregue",IF(TODAY()&gt;$C50,"Atrasada","Pendente"))))))</f>
        <v/>
      </c>
    </row>
    <row r="51">
      <c r="A51" s="65" t="inlineStr">
        <is>
          <t>NOV-S46-VIS-B</t>
        </is>
      </c>
      <c r="B51" s="66" t="inlineStr">
        <is>
          <t>S46</t>
        </is>
      </c>
      <c r="C51" s="67" t="n">
        <v>46337</v>
      </c>
      <c r="D51" s="68" t="inlineStr">
        <is>
          <t>Acomp. Organizacional Setorial (Vistoria)</t>
        </is>
      </c>
      <c r="E51" s="53" t="n"/>
      <c r="F51" s="53" t="n"/>
      <c r="G51" s="69" t="inlineStr">
        <is>
          <t>B</t>
        </is>
      </c>
      <c r="H51" s="70">
        <f>IF($G51="A",CONFIG!$B$5,IF($G51="B",CONFIG!$B$6,IF($G51="C",CONFIG!$B$7,IF($G51="Todos","Todos os turnos",""))))</f>
        <v/>
      </c>
      <c r="I51" s="53" t="n"/>
      <c r="J51" s="77" t="n"/>
      <c r="K51" s="53" t="n"/>
      <c r="L51" s="72" t="n"/>
      <c r="M51" s="53" t="n"/>
      <c r="N51" s="73" t="n"/>
      <c r="O51" s="74" t="n"/>
      <c r="P51" s="75" t="n"/>
      <c r="Q51" s="53" t="n"/>
      <c r="R51" s="76">
        <f>IF($C51="","",IF($O51="Cancelada","Cancelada",IF($O51="Reprovado","Reprovada",IF($O51="Aprovado","Aprovada",IF($L51&lt;&gt;"","Entregue",IF(TODAY()&gt;$C51,"Atrasada","Pendente"))))))</f>
        <v/>
      </c>
    </row>
    <row r="52">
      <c r="A52" s="65" t="inlineStr">
        <is>
          <t>NOV-S46-VIS-C</t>
        </is>
      </c>
      <c r="B52" s="66" t="inlineStr">
        <is>
          <t>S46</t>
        </is>
      </c>
      <c r="C52" s="67" t="n">
        <v>46337</v>
      </c>
      <c r="D52" s="68" t="inlineStr">
        <is>
          <t>Acomp. Organizacional Setorial (Vistoria)</t>
        </is>
      </c>
      <c r="E52" s="53" t="n"/>
      <c r="F52" s="53" t="n"/>
      <c r="G52" s="69" t="inlineStr">
        <is>
          <t>C</t>
        </is>
      </c>
      <c r="H52" s="70">
        <f>IF($G52="A",CONFIG!$B$5,IF($G52="B",CONFIG!$B$6,IF($G52="C",CONFIG!$B$7,IF($G52="Todos","Todos os turnos",""))))</f>
        <v/>
      </c>
      <c r="I52" s="53" t="n"/>
      <c r="J52" s="77" t="n"/>
      <c r="K52" s="53" t="n"/>
      <c r="L52" s="72" t="n"/>
      <c r="M52" s="53" t="n"/>
      <c r="N52" s="73" t="n"/>
      <c r="O52" s="74" t="n"/>
      <c r="P52" s="75" t="n"/>
      <c r="Q52" s="53" t="n"/>
      <c r="R52" s="76">
        <f>IF($C52="","",IF($O52="Cancelada","Cancelada",IF($O52="Reprovado","Reprovada",IF($O52="Aprovado","Aprovada",IF($L52&lt;&gt;"","Entregue",IF(TODAY()&gt;$C52,"Atrasada","Pendente"))))))</f>
        <v/>
      </c>
    </row>
    <row r="53">
      <c r="A53" s="65" t="inlineStr">
        <is>
          <t>NOV-S46-MET-A</t>
        </is>
      </c>
      <c r="B53" s="66" t="inlineStr">
        <is>
          <t>S46</t>
        </is>
      </c>
      <c r="C53" s="67" t="n">
        <v>46338</v>
      </c>
      <c r="D53" s="68" t="inlineStr">
        <is>
          <t>Metas</t>
        </is>
      </c>
      <c r="E53" s="53" t="n"/>
      <c r="F53" s="53" t="n"/>
      <c r="G53" s="69" t="inlineStr">
        <is>
          <t>A</t>
        </is>
      </c>
      <c r="H53" s="70">
        <f>IF($G53="A",CONFIG!$B$5,IF($G53="B",CONFIG!$B$6,IF($G53="C",CONFIG!$B$7,IF($G53="Todos","Todos os turnos",""))))</f>
        <v/>
      </c>
      <c r="I53" s="53" t="n"/>
      <c r="J53" s="71" t="inlineStr">
        <is>
          <t>—</t>
        </is>
      </c>
      <c r="K53" s="53" t="n"/>
      <c r="L53" s="72" t="n"/>
      <c r="M53" s="53" t="n"/>
      <c r="N53" s="73" t="n"/>
      <c r="O53" s="74" t="n"/>
      <c r="P53" s="75" t="n"/>
      <c r="Q53" s="53" t="n"/>
      <c r="R53" s="76">
        <f>IF($C53="","",IF($O53="Cancelada","Cancelada",IF($O53="Reprovado","Reprovada",IF($O53="Aprovado","Aprovada",IF($L53&lt;&gt;"","Entregue",IF(TODAY()&gt;$C53,"Atrasada","Pendente"))))))</f>
        <v/>
      </c>
    </row>
    <row r="54">
      <c r="A54" s="65" t="inlineStr">
        <is>
          <t>NOV-S46-MET-B</t>
        </is>
      </c>
      <c r="B54" s="66" t="inlineStr">
        <is>
          <t>S46</t>
        </is>
      </c>
      <c r="C54" s="67" t="n">
        <v>46338</v>
      </c>
      <c r="D54" s="68" t="inlineStr">
        <is>
          <t>Metas</t>
        </is>
      </c>
      <c r="E54" s="53" t="n"/>
      <c r="F54" s="53" t="n"/>
      <c r="G54" s="69" t="inlineStr">
        <is>
          <t>B</t>
        </is>
      </c>
      <c r="H54" s="70">
        <f>IF($G54="A",CONFIG!$B$5,IF($G54="B",CONFIG!$B$6,IF($G54="C",CONFIG!$B$7,IF($G54="Todos","Todos os turnos",""))))</f>
        <v/>
      </c>
      <c r="I54" s="53" t="n"/>
      <c r="J54" s="71" t="inlineStr">
        <is>
          <t>—</t>
        </is>
      </c>
      <c r="K54" s="53" t="n"/>
      <c r="L54" s="72" t="n"/>
      <c r="M54" s="53" t="n"/>
      <c r="N54" s="73" t="n"/>
      <c r="O54" s="74" t="n"/>
      <c r="P54" s="75" t="n"/>
      <c r="Q54" s="53" t="n"/>
      <c r="R54" s="76">
        <f>IF($C54="","",IF($O54="Cancelada","Cancelada",IF($O54="Reprovado","Reprovada",IF($O54="Aprovado","Aprovada",IF($L54&lt;&gt;"","Entregue",IF(TODAY()&gt;$C54,"Atrasada","Pendente"))))))</f>
        <v/>
      </c>
    </row>
    <row r="55">
      <c r="A55" s="65" t="inlineStr">
        <is>
          <t>NOV-S46-MET-C</t>
        </is>
      </c>
      <c r="B55" s="66" t="inlineStr">
        <is>
          <t>S46</t>
        </is>
      </c>
      <c r="C55" s="67" t="n">
        <v>46338</v>
      </c>
      <c r="D55" s="68" t="inlineStr">
        <is>
          <t>Metas</t>
        </is>
      </c>
      <c r="E55" s="53" t="n"/>
      <c r="F55" s="53" t="n"/>
      <c r="G55" s="69" t="inlineStr">
        <is>
          <t>C</t>
        </is>
      </c>
      <c r="H55" s="70">
        <f>IF($G55="A",CONFIG!$B$5,IF($G55="B",CONFIG!$B$6,IF($G55="C",CONFIG!$B$7,IF($G55="Todos","Todos os turnos",""))))</f>
        <v/>
      </c>
      <c r="I55" s="53" t="n"/>
      <c r="J55" s="71" t="inlineStr">
        <is>
          <t>—</t>
        </is>
      </c>
      <c r="K55" s="53" t="n"/>
      <c r="L55" s="72" t="n"/>
      <c r="M55" s="53" t="n"/>
      <c r="N55" s="73" t="n"/>
      <c r="O55" s="74" t="n"/>
      <c r="P55" s="75" t="n"/>
      <c r="Q55" s="53" t="n"/>
      <c r="R55" s="76">
        <f>IF($C55="","",IF($O55="Cancelada","Cancelada",IF($O55="Reprovado","Reprovada",IF($O55="Aprovado","Aprovada",IF($L55&lt;&gt;"","Entregue",IF(TODAY()&gt;$C55,"Atrasada","Pendente"))))))</f>
        <v/>
      </c>
    </row>
    <row r="56">
      <c r="A56" s="65" t="inlineStr">
        <is>
          <t>NOV-S46-ACO-A</t>
        </is>
      </c>
      <c r="B56" s="66" t="inlineStr">
        <is>
          <t>S46</t>
        </is>
      </c>
      <c r="C56" s="67" t="n">
        <v>46339</v>
      </c>
      <c r="D56" s="68" t="inlineStr">
        <is>
          <t>Acompanhamento Semanal c/ Supervisores</t>
        </is>
      </c>
      <c r="E56" s="53" t="n"/>
      <c r="F56" s="53" t="n"/>
      <c r="G56" s="69" t="inlineStr">
        <is>
          <t>A</t>
        </is>
      </c>
      <c r="H56" s="70">
        <f>IF($G56="A",CONFIG!$B$5,IF($G56="B",CONFIG!$B$6,IF($G56="C",CONFIG!$B$7,IF($G56="Todos","Todos os turnos",""))))</f>
        <v/>
      </c>
      <c r="I56" s="53" t="n"/>
      <c r="J56" s="71" t="inlineStr">
        <is>
          <t>—</t>
        </is>
      </c>
      <c r="K56" s="53" t="n"/>
      <c r="L56" s="72" t="n"/>
      <c r="M56" s="53" t="n"/>
      <c r="N56" s="73" t="n"/>
      <c r="O56" s="74" t="n"/>
      <c r="P56" s="75" t="n"/>
      <c r="Q56" s="53" t="n"/>
      <c r="R56" s="76">
        <f>IF($C56="","",IF($O56="Cancelada","Cancelada",IF($O56="Reprovado","Reprovada",IF($O56="Aprovado","Aprovada",IF($L56&lt;&gt;"","Entregue",IF(TODAY()&gt;$C56,"Atrasada","Pendente"))))))</f>
        <v/>
      </c>
    </row>
    <row r="57">
      <c r="A57" s="65" t="inlineStr">
        <is>
          <t>NOV-S46-ACO-B</t>
        </is>
      </c>
      <c r="B57" s="66" t="inlineStr">
        <is>
          <t>S46</t>
        </is>
      </c>
      <c r="C57" s="67" t="n">
        <v>46339</v>
      </c>
      <c r="D57" s="68" t="inlineStr">
        <is>
          <t>Acompanhamento Semanal c/ Supervisores</t>
        </is>
      </c>
      <c r="E57" s="53" t="n"/>
      <c r="F57" s="53" t="n"/>
      <c r="G57" s="69" t="inlineStr">
        <is>
          <t>B</t>
        </is>
      </c>
      <c r="H57" s="70">
        <f>IF($G57="A",CONFIG!$B$5,IF($G57="B",CONFIG!$B$6,IF($G57="C",CONFIG!$B$7,IF($G57="Todos","Todos os turnos",""))))</f>
        <v/>
      </c>
      <c r="I57" s="53" t="n"/>
      <c r="J57" s="71" t="inlineStr">
        <is>
          <t>—</t>
        </is>
      </c>
      <c r="K57" s="53" t="n"/>
      <c r="L57" s="72" t="n"/>
      <c r="M57" s="53" t="n"/>
      <c r="N57" s="73" t="n"/>
      <c r="O57" s="74" t="n"/>
      <c r="P57" s="75" t="n"/>
      <c r="Q57" s="53" t="n"/>
      <c r="R57" s="76">
        <f>IF($C57="","",IF($O57="Cancelada","Cancelada",IF($O57="Reprovado","Reprovada",IF($O57="Aprovado","Aprovada",IF($L57&lt;&gt;"","Entregue",IF(TODAY()&gt;$C57,"Atrasada","Pendente"))))))</f>
        <v/>
      </c>
    </row>
    <row r="58">
      <c r="A58" s="65" t="inlineStr">
        <is>
          <t>NOV-S46-ACO-C</t>
        </is>
      </c>
      <c r="B58" s="66" t="inlineStr">
        <is>
          <t>S46</t>
        </is>
      </c>
      <c r="C58" s="67" t="n">
        <v>46339</v>
      </c>
      <c r="D58" s="68" t="inlineStr">
        <is>
          <t>Acompanhamento Semanal c/ Supervisores</t>
        </is>
      </c>
      <c r="E58" s="53" t="n"/>
      <c r="F58" s="53" t="n"/>
      <c r="G58" s="69" t="inlineStr">
        <is>
          <t>C</t>
        </is>
      </c>
      <c r="H58" s="70">
        <f>IF($G58="A",CONFIG!$B$5,IF($G58="B",CONFIG!$B$6,IF($G58="C",CONFIG!$B$7,IF($G58="Todos","Todos os turnos",""))))</f>
        <v/>
      </c>
      <c r="I58" s="53" t="n"/>
      <c r="J58" s="71" t="inlineStr">
        <is>
          <t>—</t>
        </is>
      </c>
      <c r="K58" s="53" t="n"/>
      <c r="L58" s="72" t="n"/>
      <c r="M58" s="53" t="n"/>
      <c r="N58" s="73" t="n"/>
      <c r="O58" s="74" t="n"/>
      <c r="P58" s="75" t="n"/>
      <c r="Q58" s="53" t="n"/>
      <c r="R58" s="76">
        <f>IF($C58="","",IF($O58="Cancelada","Cancelada",IF($O58="Reprovado","Reprovada",IF($O58="Aprovado","Aprovada",IF($L58&lt;&gt;"","Entregue",IF(TODAY()&gt;$C58,"Atrasada","Pendente"))))))</f>
        <v/>
      </c>
    </row>
    <row r="59">
      <c r="A59" s="65" t="inlineStr">
        <is>
          <t>NOV-S46-FAL-A</t>
        </is>
      </c>
      <c r="B59" s="66" t="inlineStr">
        <is>
          <t>S46</t>
        </is>
      </c>
      <c r="C59" s="67" t="n">
        <v>46339</v>
      </c>
      <c r="D59" s="68" t="inlineStr">
        <is>
          <t>Faltas e Atestados</t>
        </is>
      </c>
      <c r="E59" s="53" t="n"/>
      <c r="F59" s="53" t="n"/>
      <c r="G59" s="69" t="inlineStr">
        <is>
          <t>A</t>
        </is>
      </c>
      <c r="H59" s="70">
        <f>IF($G59="A",CONFIG!$B$5,IF($G59="B",CONFIG!$B$6,IF($G59="C",CONFIG!$B$7,IF($G59="Todos","Todos os turnos",""))))</f>
        <v/>
      </c>
      <c r="I59" s="53" t="n"/>
      <c r="J59" s="71" t="inlineStr">
        <is>
          <t>—</t>
        </is>
      </c>
      <c r="K59" s="53" t="n"/>
      <c r="L59" s="72" t="n"/>
      <c r="M59" s="53" t="n"/>
      <c r="N59" s="73" t="n"/>
      <c r="O59" s="74" t="n"/>
      <c r="P59" s="75" t="n"/>
      <c r="Q59" s="53" t="n"/>
      <c r="R59" s="76">
        <f>IF($C59="","",IF($O59="Cancelada","Cancelada",IF($O59="Reprovado","Reprovada",IF($O59="Aprovado","Aprovada",IF($L59&lt;&gt;"","Entregue",IF(TODAY()&gt;$C59,"Atrasada","Pendente"))))))</f>
        <v/>
      </c>
    </row>
    <row r="60">
      <c r="A60" s="65" t="inlineStr">
        <is>
          <t>NOV-S46-FAL-B</t>
        </is>
      </c>
      <c r="B60" s="66" t="inlineStr">
        <is>
          <t>S46</t>
        </is>
      </c>
      <c r="C60" s="67" t="n">
        <v>46339</v>
      </c>
      <c r="D60" s="68" t="inlineStr">
        <is>
          <t>Faltas e Atestados</t>
        </is>
      </c>
      <c r="E60" s="53" t="n"/>
      <c r="F60" s="53" t="n"/>
      <c r="G60" s="69" t="inlineStr">
        <is>
          <t>B</t>
        </is>
      </c>
      <c r="H60" s="70">
        <f>IF($G60="A",CONFIG!$B$5,IF($G60="B",CONFIG!$B$6,IF($G60="C",CONFIG!$B$7,IF($G60="Todos","Todos os turnos",""))))</f>
        <v/>
      </c>
      <c r="I60" s="53" t="n"/>
      <c r="J60" s="71" t="inlineStr">
        <is>
          <t>—</t>
        </is>
      </c>
      <c r="K60" s="53" t="n"/>
      <c r="L60" s="72" t="n"/>
      <c r="M60" s="53" t="n"/>
      <c r="N60" s="73" t="n"/>
      <c r="O60" s="74" t="n"/>
      <c r="P60" s="75" t="n"/>
      <c r="Q60" s="53" t="n"/>
      <c r="R60" s="76">
        <f>IF($C60="","",IF($O60="Cancelada","Cancelada",IF($O60="Reprovado","Reprovada",IF($O60="Aprovado","Aprovada",IF($L60&lt;&gt;"","Entregue",IF(TODAY()&gt;$C60,"Atrasada","Pendente"))))))</f>
        <v/>
      </c>
    </row>
    <row r="61">
      <c r="A61" s="65" t="inlineStr">
        <is>
          <t>NOV-S46-FAL-C</t>
        </is>
      </c>
      <c r="B61" s="66" t="inlineStr">
        <is>
          <t>S46</t>
        </is>
      </c>
      <c r="C61" s="67" t="n">
        <v>46339</v>
      </c>
      <c r="D61" s="68" t="inlineStr">
        <is>
          <t>Faltas e Atestados</t>
        </is>
      </c>
      <c r="E61" s="53" t="n"/>
      <c r="F61" s="53" t="n"/>
      <c r="G61" s="69" t="inlineStr">
        <is>
          <t>C</t>
        </is>
      </c>
      <c r="H61" s="70">
        <f>IF($G61="A",CONFIG!$B$5,IF($G61="B",CONFIG!$B$6,IF($G61="C",CONFIG!$B$7,IF($G61="Todos","Todos os turnos",""))))</f>
        <v/>
      </c>
      <c r="I61" s="53" t="n"/>
      <c r="J61" s="71" t="inlineStr">
        <is>
          <t>—</t>
        </is>
      </c>
      <c r="K61" s="53" t="n"/>
      <c r="L61" s="72" t="n"/>
      <c r="M61" s="53" t="n"/>
      <c r="N61" s="73" t="n"/>
      <c r="O61" s="74" t="n"/>
      <c r="P61" s="75" t="n"/>
      <c r="Q61" s="53" t="n"/>
      <c r="R61" s="76">
        <f>IF($C61="","",IF($O61="Cancelada","Cancelada",IF($O61="Reprovado","Reprovada",IF($O61="Aprovado","Aprovada",IF($L61&lt;&gt;"","Entregue",IF(TODAY()&gt;$C61,"Atrasada","Pendente"))))))</f>
        <v/>
      </c>
    </row>
    <row r="62">
      <c r="A62" s="65" t="inlineStr">
        <is>
          <t>NOV-S46-REU-T</t>
        </is>
      </c>
      <c r="B62" s="66" t="inlineStr">
        <is>
          <t>S46</t>
        </is>
      </c>
      <c r="C62" s="67" t="n">
        <v>46339</v>
      </c>
      <c r="D62" s="68" t="inlineStr">
        <is>
          <t>Reunião Semanal com a Gerência</t>
        </is>
      </c>
      <c r="E62" s="53" t="n"/>
      <c r="F62" s="53" t="n"/>
      <c r="G62" s="69" t="inlineStr">
        <is>
          <t>Todos</t>
        </is>
      </c>
      <c r="H62" s="70">
        <f>IF($G62="A",CONFIG!$B$5,IF($G62="B",CONFIG!$B$6,IF($G62="C",CONFIG!$B$7,IF($G62="Todos","Todos os turnos",""))))</f>
        <v/>
      </c>
      <c r="I62" s="53" t="n"/>
      <c r="J62" s="71" t="inlineStr">
        <is>
          <t>—</t>
        </is>
      </c>
      <c r="K62" s="53" t="n"/>
      <c r="L62" s="72" t="n"/>
      <c r="M62" s="53" t="n"/>
      <c r="N62" s="73" t="n"/>
      <c r="O62" s="74" t="n"/>
      <c r="P62" s="75" t="n"/>
      <c r="Q62" s="53" t="n"/>
      <c r="R62" s="76">
        <f>IF($C62="","",IF($O62="Cancelada","Cancelada",IF($O62="Reprovado","Reprovada",IF($O62="Aprovado","Aprovada",IF($L62&lt;&gt;"","Entregue",IF(TODAY()&gt;$C62,"Atrasada","Pendente"))))))</f>
        <v/>
      </c>
    </row>
    <row r="63">
      <c r="A63" s="65" t="inlineStr">
        <is>
          <t>NOV-S47-ERR-A</t>
        </is>
      </c>
      <c r="B63" s="66" t="inlineStr">
        <is>
          <t>S47</t>
        </is>
      </c>
      <c r="C63" s="67" t="n">
        <v>46342</v>
      </c>
      <c r="D63" s="68" t="inlineStr">
        <is>
          <t>Levantamento de Erros Operacionais</t>
        </is>
      </c>
      <c r="E63" s="53" t="n"/>
      <c r="F63" s="53" t="n"/>
      <c r="G63" s="69" t="inlineStr">
        <is>
          <t>A</t>
        </is>
      </c>
      <c r="H63" s="70">
        <f>IF($G63="A",CONFIG!$B$5,IF($G63="B",CONFIG!$B$6,IF($G63="C",CONFIG!$B$7,IF($G63="Todos","Todos os turnos",""))))</f>
        <v/>
      </c>
      <c r="I63" s="53" t="n"/>
      <c r="J63" s="71" t="inlineStr">
        <is>
          <t>—</t>
        </is>
      </c>
      <c r="K63" s="53" t="n"/>
      <c r="L63" s="72" t="n"/>
      <c r="M63" s="53" t="n"/>
      <c r="N63" s="73" t="n"/>
      <c r="O63" s="74" t="n"/>
      <c r="P63" s="75" t="n"/>
      <c r="Q63" s="53" t="n"/>
      <c r="R63" s="76">
        <f>IF($C63="","",IF($O63="Cancelada","Cancelada",IF($O63="Reprovado","Reprovada",IF($O63="Aprovado","Aprovada",IF($L63&lt;&gt;"","Entregue",IF(TODAY()&gt;$C63,"Atrasada","Pendente"))))))</f>
        <v/>
      </c>
    </row>
    <row r="64">
      <c r="A64" s="65" t="inlineStr">
        <is>
          <t>NOV-S47-ERR-B</t>
        </is>
      </c>
      <c r="B64" s="66" t="inlineStr">
        <is>
          <t>S47</t>
        </is>
      </c>
      <c r="C64" s="67" t="n">
        <v>46342</v>
      </c>
      <c r="D64" s="68" t="inlineStr">
        <is>
          <t>Levantamento de Erros Operacionais</t>
        </is>
      </c>
      <c r="E64" s="53" t="n"/>
      <c r="F64" s="53" t="n"/>
      <c r="G64" s="69" t="inlineStr">
        <is>
          <t>B</t>
        </is>
      </c>
      <c r="H64" s="70">
        <f>IF($G64="A",CONFIG!$B$5,IF($G64="B",CONFIG!$B$6,IF($G64="C",CONFIG!$B$7,IF($G64="Todos","Todos os turnos",""))))</f>
        <v/>
      </c>
      <c r="I64" s="53" t="n"/>
      <c r="J64" s="71" t="inlineStr">
        <is>
          <t>—</t>
        </is>
      </c>
      <c r="K64" s="53" t="n"/>
      <c r="L64" s="72" t="n"/>
      <c r="M64" s="53" t="n"/>
      <c r="N64" s="73" t="n"/>
      <c r="O64" s="74" t="n"/>
      <c r="P64" s="75" t="n"/>
      <c r="Q64" s="53" t="n"/>
      <c r="R64" s="76">
        <f>IF($C64="","",IF($O64="Cancelada","Cancelada",IF($O64="Reprovado","Reprovada",IF($O64="Aprovado","Aprovada",IF($L64&lt;&gt;"","Entregue",IF(TODAY()&gt;$C64,"Atrasada","Pendente"))))))</f>
        <v/>
      </c>
    </row>
    <row r="65">
      <c r="A65" s="65" t="inlineStr">
        <is>
          <t>NOV-S47-ERR-C</t>
        </is>
      </c>
      <c r="B65" s="66" t="inlineStr">
        <is>
          <t>S47</t>
        </is>
      </c>
      <c r="C65" s="67" t="n">
        <v>46342</v>
      </c>
      <c r="D65" s="68" t="inlineStr">
        <is>
          <t>Levantamento de Erros Operacionais</t>
        </is>
      </c>
      <c r="E65" s="53" t="n"/>
      <c r="F65" s="53" t="n"/>
      <c r="G65" s="69" t="inlineStr">
        <is>
          <t>C</t>
        </is>
      </c>
      <c r="H65" s="70">
        <f>IF($G65="A",CONFIG!$B$5,IF($G65="B",CONFIG!$B$6,IF($G65="C",CONFIG!$B$7,IF($G65="Todos","Todos os turnos",""))))</f>
        <v/>
      </c>
      <c r="I65" s="53" t="n"/>
      <c r="J65" s="71" t="inlineStr">
        <is>
          <t>—</t>
        </is>
      </c>
      <c r="K65" s="53" t="n"/>
      <c r="L65" s="72" t="n"/>
      <c r="M65" s="53" t="n"/>
      <c r="N65" s="73" t="n"/>
      <c r="O65" s="74" t="n"/>
      <c r="P65" s="75" t="n"/>
      <c r="Q65" s="53" t="n"/>
      <c r="R65" s="76">
        <f>IF($C65="","",IF($O65="Cancelada","Cancelada",IF($O65="Reprovado","Reprovada",IF($O65="Aprovado","Aprovada",IF($L65&lt;&gt;"","Entregue",IF(TODAY()&gt;$C65,"Atrasada","Pendente"))))))</f>
        <v/>
      </c>
    </row>
    <row r="66">
      <c r="A66" s="65" t="inlineStr">
        <is>
          <t>NOV-S47-SUP-A</t>
        </is>
      </c>
      <c r="B66" s="66" t="inlineStr">
        <is>
          <t>S47</t>
        </is>
      </c>
      <c r="C66" s="67" t="n">
        <v>46343</v>
      </c>
      <c r="D66" s="68" t="inlineStr">
        <is>
          <t>Suporte de Supervisores</t>
        </is>
      </c>
      <c r="E66" s="53" t="n"/>
      <c r="F66" s="53" t="n"/>
      <c r="G66" s="69" t="inlineStr">
        <is>
          <t>A</t>
        </is>
      </c>
      <c r="H66" s="70">
        <f>IF($G66="A",CONFIG!$B$5,IF($G66="B",CONFIG!$B$6,IF($G66="C",CONFIG!$B$7,IF($G66="Todos","Todos os turnos",""))))</f>
        <v/>
      </c>
      <c r="I66" s="53" t="n"/>
      <c r="J66" s="71" t="inlineStr">
        <is>
          <t>—</t>
        </is>
      </c>
      <c r="K66" s="53" t="n"/>
      <c r="L66" s="72" t="n"/>
      <c r="M66" s="53" t="n"/>
      <c r="N66" s="73" t="n"/>
      <c r="O66" s="74" t="n"/>
      <c r="P66" s="75" t="n"/>
      <c r="Q66" s="53" t="n"/>
      <c r="R66" s="76">
        <f>IF($C66="","",IF($O66="Cancelada","Cancelada",IF($O66="Reprovado","Reprovada",IF($O66="Aprovado","Aprovada",IF($L66&lt;&gt;"","Entregue",IF(TODAY()&gt;$C66,"Atrasada","Pendente"))))))</f>
        <v/>
      </c>
    </row>
    <row r="67">
      <c r="A67" s="65" t="inlineStr">
        <is>
          <t>NOV-S47-SUP-B</t>
        </is>
      </c>
      <c r="B67" s="66" t="inlineStr">
        <is>
          <t>S47</t>
        </is>
      </c>
      <c r="C67" s="67" t="n">
        <v>46343</v>
      </c>
      <c r="D67" s="68" t="inlineStr">
        <is>
          <t>Suporte de Supervisores</t>
        </is>
      </c>
      <c r="E67" s="53" t="n"/>
      <c r="F67" s="53" t="n"/>
      <c r="G67" s="69" t="inlineStr">
        <is>
          <t>B</t>
        </is>
      </c>
      <c r="H67" s="70">
        <f>IF($G67="A",CONFIG!$B$5,IF($G67="B",CONFIG!$B$6,IF($G67="C",CONFIG!$B$7,IF($G67="Todos","Todos os turnos",""))))</f>
        <v/>
      </c>
      <c r="I67" s="53" t="n"/>
      <c r="J67" s="71" t="inlineStr">
        <is>
          <t>—</t>
        </is>
      </c>
      <c r="K67" s="53" t="n"/>
      <c r="L67" s="72" t="n"/>
      <c r="M67" s="53" t="n"/>
      <c r="N67" s="73" t="n"/>
      <c r="O67" s="74" t="n"/>
      <c r="P67" s="75" t="n"/>
      <c r="Q67" s="53" t="n"/>
      <c r="R67" s="76">
        <f>IF($C67="","",IF($O67="Cancelada","Cancelada",IF($O67="Reprovado","Reprovada",IF($O67="Aprovado","Aprovada",IF($L67&lt;&gt;"","Entregue",IF(TODAY()&gt;$C67,"Atrasada","Pendente"))))))</f>
        <v/>
      </c>
    </row>
    <row r="68">
      <c r="A68" s="65" t="inlineStr">
        <is>
          <t>NOV-S47-SUP-C</t>
        </is>
      </c>
      <c r="B68" s="66" t="inlineStr">
        <is>
          <t>S47</t>
        </is>
      </c>
      <c r="C68" s="67" t="n">
        <v>46343</v>
      </c>
      <c r="D68" s="68" t="inlineStr">
        <is>
          <t>Suporte de Supervisores</t>
        </is>
      </c>
      <c r="E68" s="53" t="n"/>
      <c r="F68" s="53" t="n"/>
      <c r="G68" s="69" t="inlineStr">
        <is>
          <t>C</t>
        </is>
      </c>
      <c r="H68" s="70">
        <f>IF($G68="A",CONFIG!$B$5,IF($G68="B",CONFIG!$B$6,IF($G68="C",CONFIG!$B$7,IF($G68="Todos","Todos os turnos",""))))</f>
        <v/>
      </c>
      <c r="I68" s="53" t="n"/>
      <c r="J68" s="71" t="inlineStr">
        <is>
          <t>—</t>
        </is>
      </c>
      <c r="K68" s="53" t="n"/>
      <c r="L68" s="72" t="n"/>
      <c r="M68" s="53" t="n"/>
      <c r="N68" s="73" t="n"/>
      <c r="O68" s="74" t="n"/>
      <c r="P68" s="75" t="n"/>
      <c r="Q68" s="53" t="n"/>
      <c r="R68" s="76">
        <f>IF($C68="","",IF($O68="Cancelada","Cancelada",IF($O68="Reprovado","Reprovada",IF($O68="Aprovado","Aprovada",IF($L68&lt;&gt;"","Entregue",IF(TODAY()&gt;$C68,"Atrasada","Pendente"))))))</f>
        <v/>
      </c>
    </row>
    <row r="69">
      <c r="A69" s="65" t="inlineStr">
        <is>
          <t>NOV-S47-VIS-A</t>
        </is>
      </c>
      <c r="B69" s="66" t="inlineStr">
        <is>
          <t>S47</t>
        </is>
      </c>
      <c r="C69" s="67" t="n">
        <v>46344</v>
      </c>
      <c r="D69" s="68" t="inlineStr">
        <is>
          <t>Acomp. Organizacional Setorial (Vistoria)</t>
        </is>
      </c>
      <c r="E69" s="53" t="n"/>
      <c r="F69" s="53" t="n"/>
      <c r="G69" s="69" t="inlineStr">
        <is>
          <t>A</t>
        </is>
      </c>
      <c r="H69" s="70">
        <f>IF($G69="A",CONFIG!$B$5,IF($G69="B",CONFIG!$B$6,IF($G69="C",CONFIG!$B$7,IF($G69="Todos","Todos os turnos",""))))</f>
        <v/>
      </c>
      <c r="I69" s="53" t="n"/>
      <c r="J69" s="77" t="n"/>
      <c r="K69" s="53" t="n"/>
      <c r="L69" s="72" t="n"/>
      <c r="M69" s="53" t="n"/>
      <c r="N69" s="73" t="n"/>
      <c r="O69" s="74" t="n"/>
      <c r="P69" s="75" t="n"/>
      <c r="Q69" s="53" t="n"/>
      <c r="R69" s="76">
        <f>IF($C69="","",IF($O69="Cancelada","Cancelada",IF($O69="Reprovado","Reprovada",IF($O69="Aprovado","Aprovada",IF($L69&lt;&gt;"","Entregue",IF(TODAY()&gt;$C69,"Atrasada","Pendente"))))))</f>
        <v/>
      </c>
    </row>
    <row r="70">
      <c r="A70" s="65" t="inlineStr">
        <is>
          <t>NOV-S47-VIS-B</t>
        </is>
      </c>
      <c r="B70" s="66" t="inlineStr">
        <is>
          <t>S47</t>
        </is>
      </c>
      <c r="C70" s="67" t="n">
        <v>46344</v>
      </c>
      <c r="D70" s="68" t="inlineStr">
        <is>
          <t>Acomp. Organizacional Setorial (Vistoria)</t>
        </is>
      </c>
      <c r="E70" s="53" t="n"/>
      <c r="F70" s="53" t="n"/>
      <c r="G70" s="69" t="inlineStr">
        <is>
          <t>B</t>
        </is>
      </c>
      <c r="H70" s="70">
        <f>IF($G70="A",CONFIG!$B$5,IF($G70="B",CONFIG!$B$6,IF($G70="C",CONFIG!$B$7,IF($G70="Todos","Todos os turnos",""))))</f>
        <v/>
      </c>
      <c r="I70" s="53" t="n"/>
      <c r="J70" s="77" t="n"/>
      <c r="K70" s="53" t="n"/>
      <c r="L70" s="72" t="n"/>
      <c r="M70" s="53" t="n"/>
      <c r="N70" s="73" t="n"/>
      <c r="O70" s="74" t="n"/>
      <c r="P70" s="75" t="n"/>
      <c r="Q70" s="53" t="n"/>
      <c r="R70" s="76">
        <f>IF($C70="","",IF($O70="Cancelada","Cancelada",IF($O70="Reprovado","Reprovada",IF($O70="Aprovado","Aprovada",IF($L70&lt;&gt;"","Entregue",IF(TODAY()&gt;$C70,"Atrasada","Pendente"))))))</f>
        <v/>
      </c>
    </row>
    <row r="71">
      <c r="A71" s="65" t="inlineStr">
        <is>
          <t>NOV-S47-VIS-C</t>
        </is>
      </c>
      <c r="B71" s="66" t="inlineStr">
        <is>
          <t>S47</t>
        </is>
      </c>
      <c r="C71" s="67" t="n">
        <v>46344</v>
      </c>
      <c r="D71" s="68" t="inlineStr">
        <is>
          <t>Acomp. Organizacional Setorial (Vistoria)</t>
        </is>
      </c>
      <c r="E71" s="53" t="n"/>
      <c r="F71" s="53" t="n"/>
      <c r="G71" s="69" t="inlineStr">
        <is>
          <t>C</t>
        </is>
      </c>
      <c r="H71" s="70">
        <f>IF($G71="A",CONFIG!$B$5,IF($G71="B",CONFIG!$B$6,IF($G71="C",CONFIG!$B$7,IF($G71="Todos","Todos os turnos",""))))</f>
        <v/>
      </c>
      <c r="I71" s="53" t="n"/>
      <c r="J71" s="77" t="n"/>
      <c r="K71" s="53" t="n"/>
      <c r="L71" s="72" t="n"/>
      <c r="M71" s="53" t="n"/>
      <c r="N71" s="73" t="n"/>
      <c r="O71" s="74" t="n"/>
      <c r="P71" s="75" t="n"/>
      <c r="Q71" s="53" t="n"/>
      <c r="R71" s="76">
        <f>IF($C71="","",IF($O71="Cancelada","Cancelada",IF($O71="Reprovado","Reprovada",IF($O71="Aprovado","Aprovada",IF($L71&lt;&gt;"","Entregue",IF(TODAY()&gt;$C71,"Atrasada","Pendente"))))))</f>
        <v/>
      </c>
    </row>
    <row r="72">
      <c r="A72" s="65" t="inlineStr">
        <is>
          <t>NOV-S47-MET-A</t>
        </is>
      </c>
      <c r="B72" s="66" t="inlineStr">
        <is>
          <t>S47</t>
        </is>
      </c>
      <c r="C72" s="67" t="n">
        <v>46345</v>
      </c>
      <c r="D72" s="68" t="inlineStr">
        <is>
          <t>Metas</t>
        </is>
      </c>
      <c r="E72" s="53" t="n"/>
      <c r="F72" s="53" t="n"/>
      <c r="G72" s="69" t="inlineStr">
        <is>
          <t>A</t>
        </is>
      </c>
      <c r="H72" s="70">
        <f>IF($G72="A",CONFIG!$B$5,IF($G72="B",CONFIG!$B$6,IF($G72="C",CONFIG!$B$7,IF($G72="Todos","Todos os turnos",""))))</f>
        <v/>
      </c>
      <c r="I72" s="53" t="n"/>
      <c r="J72" s="71" t="inlineStr">
        <is>
          <t>—</t>
        </is>
      </c>
      <c r="K72" s="53" t="n"/>
      <c r="L72" s="72" t="n"/>
      <c r="M72" s="53" t="n"/>
      <c r="N72" s="73" t="n"/>
      <c r="O72" s="74" t="n"/>
      <c r="P72" s="75" t="n"/>
      <c r="Q72" s="53" t="n"/>
      <c r="R72" s="76">
        <f>IF($C72="","",IF($O72="Cancelada","Cancelada",IF($O72="Reprovado","Reprovada",IF($O72="Aprovado","Aprovada",IF($L72&lt;&gt;"","Entregue",IF(TODAY()&gt;$C72,"Atrasada","Pendente"))))))</f>
        <v/>
      </c>
    </row>
    <row r="73">
      <c r="A73" s="65" t="inlineStr">
        <is>
          <t>NOV-S47-MET-B</t>
        </is>
      </c>
      <c r="B73" s="66" t="inlineStr">
        <is>
          <t>S47</t>
        </is>
      </c>
      <c r="C73" s="67" t="n">
        <v>46345</v>
      </c>
      <c r="D73" s="68" t="inlineStr">
        <is>
          <t>Metas</t>
        </is>
      </c>
      <c r="E73" s="53" t="n"/>
      <c r="F73" s="53" t="n"/>
      <c r="G73" s="69" t="inlineStr">
        <is>
          <t>B</t>
        </is>
      </c>
      <c r="H73" s="70">
        <f>IF($G73="A",CONFIG!$B$5,IF($G73="B",CONFIG!$B$6,IF($G73="C",CONFIG!$B$7,IF($G73="Todos","Todos os turnos",""))))</f>
        <v/>
      </c>
      <c r="I73" s="53" t="n"/>
      <c r="J73" s="71" t="inlineStr">
        <is>
          <t>—</t>
        </is>
      </c>
      <c r="K73" s="53" t="n"/>
      <c r="L73" s="72" t="n"/>
      <c r="M73" s="53" t="n"/>
      <c r="N73" s="73" t="n"/>
      <c r="O73" s="74" t="n"/>
      <c r="P73" s="75" t="n"/>
      <c r="Q73" s="53" t="n"/>
      <c r="R73" s="76">
        <f>IF($C73="","",IF($O73="Cancelada","Cancelada",IF($O73="Reprovado","Reprovada",IF($O73="Aprovado","Aprovada",IF($L73&lt;&gt;"","Entregue",IF(TODAY()&gt;$C73,"Atrasada","Pendente"))))))</f>
        <v/>
      </c>
    </row>
    <row r="74">
      <c r="A74" s="65" t="inlineStr">
        <is>
          <t>NOV-S47-MET-C</t>
        </is>
      </c>
      <c r="B74" s="66" t="inlineStr">
        <is>
          <t>S47</t>
        </is>
      </c>
      <c r="C74" s="67" t="n">
        <v>46345</v>
      </c>
      <c r="D74" s="68" t="inlineStr">
        <is>
          <t>Metas</t>
        </is>
      </c>
      <c r="E74" s="53" t="n"/>
      <c r="F74" s="53" t="n"/>
      <c r="G74" s="69" t="inlineStr">
        <is>
          <t>C</t>
        </is>
      </c>
      <c r="H74" s="70">
        <f>IF($G74="A",CONFIG!$B$5,IF($G74="B",CONFIG!$B$6,IF($G74="C",CONFIG!$B$7,IF($G74="Todos","Todos os turnos",""))))</f>
        <v/>
      </c>
      <c r="I74" s="53" t="n"/>
      <c r="J74" s="71" t="inlineStr">
        <is>
          <t>—</t>
        </is>
      </c>
      <c r="K74" s="53" t="n"/>
      <c r="L74" s="72" t="n"/>
      <c r="M74" s="53" t="n"/>
      <c r="N74" s="73" t="n"/>
      <c r="O74" s="74" t="n"/>
      <c r="P74" s="75" t="n"/>
      <c r="Q74" s="53" t="n"/>
      <c r="R74" s="76">
        <f>IF($C74="","",IF($O74="Cancelada","Cancelada",IF($O74="Reprovado","Reprovada",IF($O74="Aprovado","Aprovada",IF($L74&lt;&gt;"","Entregue",IF(TODAY()&gt;$C74,"Atrasada","Pendente"))))))</f>
        <v/>
      </c>
    </row>
    <row r="75">
      <c r="A75" s="65" t="inlineStr">
        <is>
          <t>NOV-S47-ACO-A</t>
        </is>
      </c>
      <c r="B75" s="66" t="inlineStr">
        <is>
          <t>S47</t>
        </is>
      </c>
      <c r="C75" s="67" t="n">
        <v>46346</v>
      </c>
      <c r="D75" s="68" t="inlineStr">
        <is>
          <t>Acompanhamento Semanal c/ Supervisores</t>
        </is>
      </c>
      <c r="E75" s="53" t="n"/>
      <c r="F75" s="53" t="n"/>
      <c r="G75" s="69" t="inlineStr">
        <is>
          <t>A</t>
        </is>
      </c>
      <c r="H75" s="70">
        <f>IF($G75="A",CONFIG!$B$5,IF($G75="B",CONFIG!$B$6,IF($G75="C",CONFIG!$B$7,IF($G75="Todos","Todos os turnos",""))))</f>
        <v/>
      </c>
      <c r="I75" s="53" t="n"/>
      <c r="J75" s="71" t="inlineStr">
        <is>
          <t>—</t>
        </is>
      </c>
      <c r="K75" s="53" t="n"/>
      <c r="L75" s="72" t="n"/>
      <c r="M75" s="53" t="n"/>
      <c r="N75" s="73" t="n"/>
      <c r="O75" s="74" t="n"/>
      <c r="P75" s="75" t="n"/>
      <c r="Q75" s="53" t="n"/>
      <c r="R75" s="76">
        <f>IF($C75="","",IF($O75="Cancelada","Cancelada",IF($O75="Reprovado","Reprovada",IF($O75="Aprovado","Aprovada",IF($L75&lt;&gt;"","Entregue",IF(TODAY()&gt;$C75,"Atrasada","Pendente"))))))</f>
        <v/>
      </c>
    </row>
    <row r="76">
      <c r="A76" s="65" t="inlineStr">
        <is>
          <t>NOV-S47-ACO-B</t>
        </is>
      </c>
      <c r="B76" s="66" t="inlineStr">
        <is>
          <t>S47</t>
        </is>
      </c>
      <c r="C76" s="67" t="n">
        <v>46346</v>
      </c>
      <c r="D76" s="68" t="inlineStr">
        <is>
          <t>Acompanhamento Semanal c/ Supervisores</t>
        </is>
      </c>
      <c r="E76" s="53" t="n"/>
      <c r="F76" s="53" t="n"/>
      <c r="G76" s="69" t="inlineStr">
        <is>
          <t>B</t>
        </is>
      </c>
      <c r="H76" s="70">
        <f>IF($G76="A",CONFIG!$B$5,IF($G76="B",CONFIG!$B$6,IF($G76="C",CONFIG!$B$7,IF($G76="Todos","Todos os turnos",""))))</f>
        <v/>
      </c>
      <c r="I76" s="53" t="n"/>
      <c r="J76" s="71" t="inlineStr">
        <is>
          <t>—</t>
        </is>
      </c>
      <c r="K76" s="53" t="n"/>
      <c r="L76" s="72" t="n"/>
      <c r="M76" s="53" t="n"/>
      <c r="N76" s="73" t="n"/>
      <c r="O76" s="74" t="n"/>
      <c r="P76" s="75" t="n"/>
      <c r="Q76" s="53" t="n"/>
      <c r="R76" s="76">
        <f>IF($C76="","",IF($O76="Cancelada","Cancelada",IF($O76="Reprovado","Reprovada",IF($O76="Aprovado","Aprovada",IF($L76&lt;&gt;"","Entregue",IF(TODAY()&gt;$C76,"Atrasada","Pendente"))))))</f>
        <v/>
      </c>
    </row>
    <row r="77">
      <c r="A77" s="65" t="inlineStr">
        <is>
          <t>NOV-S47-ACO-C</t>
        </is>
      </c>
      <c r="B77" s="66" t="inlineStr">
        <is>
          <t>S47</t>
        </is>
      </c>
      <c r="C77" s="67" t="n">
        <v>46346</v>
      </c>
      <c r="D77" s="68" t="inlineStr">
        <is>
          <t>Acompanhamento Semanal c/ Supervisores</t>
        </is>
      </c>
      <c r="E77" s="53" t="n"/>
      <c r="F77" s="53" t="n"/>
      <c r="G77" s="69" t="inlineStr">
        <is>
          <t>C</t>
        </is>
      </c>
      <c r="H77" s="70">
        <f>IF($G77="A",CONFIG!$B$5,IF($G77="B",CONFIG!$B$6,IF($G77="C",CONFIG!$B$7,IF($G77="Todos","Todos os turnos",""))))</f>
        <v/>
      </c>
      <c r="I77" s="53" t="n"/>
      <c r="J77" s="71" t="inlineStr">
        <is>
          <t>—</t>
        </is>
      </c>
      <c r="K77" s="53" t="n"/>
      <c r="L77" s="72" t="n"/>
      <c r="M77" s="53" t="n"/>
      <c r="N77" s="73" t="n"/>
      <c r="O77" s="74" t="n"/>
      <c r="P77" s="75" t="n"/>
      <c r="Q77" s="53" t="n"/>
      <c r="R77" s="76">
        <f>IF($C77="","",IF($O77="Cancelada","Cancelada",IF($O77="Reprovado","Reprovada",IF($O77="Aprovado","Aprovada",IF($L77&lt;&gt;"","Entregue",IF(TODAY()&gt;$C77,"Atrasada","Pendente"))))))</f>
        <v/>
      </c>
    </row>
    <row r="78">
      <c r="A78" s="65" t="inlineStr">
        <is>
          <t>NOV-S47-FAL-A</t>
        </is>
      </c>
      <c r="B78" s="66" t="inlineStr">
        <is>
          <t>S47</t>
        </is>
      </c>
      <c r="C78" s="67" t="n">
        <v>46346</v>
      </c>
      <c r="D78" s="68" t="inlineStr">
        <is>
          <t>Faltas e Atestados</t>
        </is>
      </c>
      <c r="E78" s="53" t="n"/>
      <c r="F78" s="53" t="n"/>
      <c r="G78" s="69" t="inlineStr">
        <is>
          <t>A</t>
        </is>
      </c>
      <c r="H78" s="70">
        <f>IF($G78="A",CONFIG!$B$5,IF($G78="B",CONFIG!$B$6,IF($G78="C",CONFIG!$B$7,IF($G78="Todos","Todos os turnos",""))))</f>
        <v/>
      </c>
      <c r="I78" s="53" t="n"/>
      <c r="J78" s="71" t="inlineStr">
        <is>
          <t>—</t>
        </is>
      </c>
      <c r="K78" s="53" t="n"/>
      <c r="L78" s="72" t="n"/>
      <c r="M78" s="53" t="n"/>
      <c r="N78" s="73" t="n"/>
      <c r="O78" s="74" t="n"/>
      <c r="P78" s="75" t="n"/>
      <c r="Q78" s="53" t="n"/>
      <c r="R78" s="76">
        <f>IF($C78="","",IF($O78="Cancelada","Cancelada",IF($O78="Reprovado","Reprovada",IF($O78="Aprovado","Aprovada",IF($L78&lt;&gt;"","Entregue",IF(TODAY()&gt;$C78,"Atrasada","Pendente"))))))</f>
        <v/>
      </c>
    </row>
    <row r="79">
      <c r="A79" s="65" t="inlineStr">
        <is>
          <t>NOV-S47-FAL-B</t>
        </is>
      </c>
      <c r="B79" s="66" t="inlineStr">
        <is>
          <t>S47</t>
        </is>
      </c>
      <c r="C79" s="67" t="n">
        <v>46346</v>
      </c>
      <c r="D79" s="68" t="inlineStr">
        <is>
          <t>Faltas e Atestados</t>
        </is>
      </c>
      <c r="E79" s="53" t="n"/>
      <c r="F79" s="53" t="n"/>
      <c r="G79" s="69" t="inlineStr">
        <is>
          <t>B</t>
        </is>
      </c>
      <c r="H79" s="70">
        <f>IF($G79="A",CONFIG!$B$5,IF($G79="B",CONFIG!$B$6,IF($G79="C",CONFIG!$B$7,IF($G79="Todos","Todos os turnos",""))))</f>
        <v/>
      </c>
      <c r="I79" s="53" t="n"/>
      <c r="J79" s="71" t="inlineStr">
        <is>
          <t>—</t>
        </is>
      </c>
      <c r="K79" s="53" t="n"/>
      <c r="L79" s="72" t="n"/>
      <c r="M79" s="53" t="n"/>
      <c r="N79" s="73" t="n"/>
      <c r="O79" s="74" t="n"/>
      <c r="P79" s="75" t="n"/>
      <c r="Q79" s="53" t="n"/>
      <c r="R79" s="76">
        <f>IF($C79="","",IF($O79="Cancelada","Cancelada",IF($O79="Reprovado","Reprovada",IF($O79="Aprovado","Aprovada",IF($L79&lt;&gt;"","Entregue",IF(TODAY()&gt;$C79,"Atrasada","Pendente"))))))</f>
        <v/>
      </c>
    </row>
    <row r="80">
      <c r="A80" s="65" t="inlineStr">
        <is>
          <t>NOV-S47-FAL-C</t>
        </is>
      </c>
      <c r="B80" s="66" t="inlineStr">
        <is>
          <t>S47</t>
        </is>
      </c>
      <c r="C80" s="67" t="n">
        <v>46346</v>
      </c>
      <c r="D80" s="68" t="inlineStr">
        <is>
          <t>Faltas e Atestados</t>
        </is>
      </c>
      <c r="E80" s="53" t="n"/>
      <c r="F80" s="53" t="n"/>
      <c r="G80" s="69" t="inlineStr">
        <is>
          <t>C</t>
        </is>
      </c>
      <c r="H80" s="70">
        <f>IF($G80="A",CONFIG!$B$5,IF($G80="B",CONFIG!$B$6,IF($G80="C",CONFIG!$B$7,IF($G80="Todos","Todos os turnos",""))))</f>
        <v/>
      </c>
      <c r="I80" s="53" t="n"/>
      <c r="J80" s="71" t="inlineStr">
        <is>
          <t>—</t>
        </is>
      </c>
      <c r="K80" s="53" t="n"/>
      <c r="L80" s="72" t="n"/>
      <c r="M80" s="53" t="n"/>
      <c r="N80" s="73" t="n"/>
      <c r="O80" s="74" t="n"/>
      <c r="P80" s="75" t="n"/>
      <c r="Q80" s="53" t="n"/>
      <c r="R80" s="76">
        <f>IF($C80="","",IF($O80="Cancelada","Cancelada",IF($O80="Reprovado","Reprovada",IF($O80="Aprovado","Aprovada",IF($L80&lt;&gt;"","Entregue",IF(TODAY()&gt;$C80,"Atrasada","Pendente"))))))</f>
        <v/>
      </c>
    </row>
    <row r="81">
      <c r="A81" s="65" t="inlineStr">
        <is>
          <t>NOV-S47-REU-T</t>
        </is>
      </c>
      <c r="B81" s="66" t="inlineStr">
        <is>
          <t>S47</t>
        </is>
      </c>
      <c r="C81" s="67" t="n">
        <v>46346</v>
      </c>
      <c r="D81" s="68" t="inlineStr">
        <is>
          <t>Reunião Semanal com a Gerência</t>
        </is>
      </c>
      <c r="E81" s="53" t="n"/>
      <c r="F81" s="53" t="n"/>
      <c r="G81" s="69" t="inlineStr">
        <is>
          <t>Todos</t>
        </is>
      </c>
      <c r="H81" s="70">
        <f>IF($G81="A",CONFIG!$B$5,IF($G81="B",CONFIG!$B$6,IF($G81="C",CONFIG!$B$7,IF($G81="Todos","Todos os turnos",""))))</f>
        <v/>
      </c>
      <c r="I81" s="53" t="n"/>
      <c r="J81" s="71" t="inlineStr">
        <is>
          <t>—</t>
        </is>
      </c>
      <c r="K81" s="53" t="n"/>
      <c r="L81" s="72" t="n"/>
      <c r="M81" s="53" t="n"/>
      <c r="N81" s="73" t="n"/>
      <c r="O81" s="74" t="n"/>
      <c r="P81" s="75" t="n"/>
      <c r="Q81" s="53" t="n"/>
      <c r="R81" s="76">
        <f>IF($C81="","",IF($O81="Cancelada","Cancelada",IF($O81="Reprovado","Reprovada",IF($O81="Aprovado","Aprovada",IF($L81&lt;&gt;"","Entregue",IF(TODAY()&gt;$C81,"Atrasada","Pendente"))))))</f>
        <v/>
      </c>
    </row>
    <row r="82">
      <c r="A82" s="65" t="inlineStr">
        <is>
          <t>NOV-S48-ERR-A</t>
        </is>
      </c>
      <c r="B82" s="66" t="inlineStr">
        <is>
          <t>S48</t>
        </is>
      </c>
      <c r="C82" s="67" t="n">
        <v>46349</v>
      </c>
      <c r="D82" s="68" t="inlineStr">
        <is>
          <t>Levantamento de Erros Operacionais</t>
        </is>
      </c>
      <c r="E82" s="53" t="n"/>
      <c r="F82" s="53" t="n"/>
      <c r="G82" s="69" t="inlineStr">
        <is>
          <t>A</t>
        </is>
      </c>
      <c r="H82" s="70">
        <f>IF($G82="A",CONFIG!$B$5,IF($G82="B",CONFIG!$B$6,IF($G82="C",CONFIG!$B$7,IF($G82="Todos","Todos os turnos",""))))</f>
        <v/>
      </c>
      <c r="I82" s="53" t="n"/>
      <c r="J82" s="71" t="inlineStr">
        <is>
          <t>—</t>
        </is>
      </c>
      <c r="K82" s="53" t="n"/>
      <c r="L82" s="72" t="n"/>
      <c r="M82" s="53" t="n"/>
      <c r="N82" s="73" t="n"/>
      <c r="O82" s="74" t="n"/>
      <c r="P82" s="75" t="n"/>
      <c r="Q82" s="53" t="n"/>
      <c r="R82" s="76">
        <f>IF($C82="","",IF($O82="Cancelada","Cancelada",IF($O82="Reprovado","Reprovada",IF($O82="Aprovado","Aprovada",IF($L82&lt;&gt;"","Entregue",IF(TODAY()&gt;$C82,"Atrasada","Pendente"))))))</f>
        <v/>
      </c>
    </row>
    <row r="83">
      <c r="A83" s="65" t="inlineStr">
        <is>
          <t>NOV-S48-ERR-B</t>
        </is>
      </c>
      <c r="B83" s="66" t="inlineStr">
        <is>
          <t>S48</t>
        </is>
      </c>
      <c r="C83" s="67" t="n">
        <v>46349</v>
      </c>
      <c r="D83" s="68" t="inlineStr">
        <is>
          <t>Levantamento de Erros Operacionais</t>
        </is>
      </c>
      <c r="E83" s="53" t="n"/>
      <c r="F83" s="53" t="n"/>
      <c r="G83" s="69" t="inlineStr">
        <is>
          <t>B</t>
        </is>
      </c>
      <c r="H83" s="70">
        <f>IF($G83="A",CONFIG!$B$5,IF($G83="B",CONFIG!$B$6,IF($G83="C",CONFIG!$B$7,IF($G83="Todos","Todos os turnos",""))))</f>
        <v/>
      </c>
      <c r="I83" s="53" t="n"/>
      <c r="J83" s="71" t="inlineStr">
        <is>
          <t>—</t>
        </is>
      </c>
      <c r="K83" s="53" t="n"/>
      <c r="L83" s="72" t="n"/>
      <c r="M83" s="53" t="n"/>
      <c r="N83" s="73" t="n"/>
      <c r="O83" s="74" t="n"/>
      <c r="P83" s="75" t="n"/>
      <c r="Q83" s="53" t="n"/>
      <c r="R83" s="76">
        <f>IF($C83="","",IF($O83="Cancelada","Cancelada",IF($O83="Reprovado","Reprovada",IF($O83="Aprovado","Aprovada",IF($L83&lt;&gt;"","Entregue",IF(TODAY()&gt;$C83,"Atrasada","Pendente"))))))</f>
        <v/>
      </c>
    </row>
    <row r="84">
      <c r="A84" s="65" t="inlineStr">
        <is>
          <t>NOV-S48-ERR-C</t>
        </is>
      </c>
      <c r="B84" s="66" t="inlineStr">
        <is>
          <t>S48</t>
        </is>
      </c>
      <c r="C84" s="67" t="n">
        <v>46349</v>
      </c>
      <c r="D84" s="68" t="inlineStr">
        <is>
          <t>Levantamento de Erros Operacionais</t>
        </is>
      </c>
      <c r="E84" s="53" t="n"/>
      <c r="F84" s="53" t="n"/>
      <c r="G84" s="69" t="inlineStr">
        <is>
          <t>C</t>
        </is>
      </c>
      <c r="H84" s="70">
        <f>IF($G84="A",CONFIG!$B$5,IF($G84="B",CONFIG!$B$6,IF($G84="C",CONFIG!$B$7,IF($G84="Todos","Todos os turnos",""))))</f>
        <v/>
      </c>
      <c r="I84" s="53" t="n"/>
      <c r="J84" s="71" t="inlineStr">
        <is>
          <t>—</t>
        </is>
      </c>
      <c r="K84" s="53" t="n"/>
      <c r="L84" s="72" t="n"/>
      <c r="M84" s="53" t="n"/>
      <c r="N84" s="73" t="n"/>
      <c r="O84" s="74" t="n"/>
      <c r="P84" s="75" t="n"/>
      <c r="Q84" s="53" t="n"/>
      <c r="R84" s="76">
        <f>IF($C84="","",IF($O84="Cancelada","Cancelada",IF($O84="Reprovado","Reprovada",IF($O84="Aprovado","Aprovada",IF($L84&lt;&gt;"","Entregue",IF(TODAY()&gt;$C84,"Atrasada","Pendente"))))))</f>
        <v/>
      </c>
    </row>
    <row r="85">
      <c r="A85" s="65" t="inlineStr">
        <is>
          <t>NOV-S48-SUP-A</t>
        </is>
      </c>
      <c r="B85" s="66" t="inlineStr">
        <is>
          <t>S48</t>
        </is>
      </c>
      <c r="C85" s="67" t="n">
        <v>46350</v>
      </c>
      <c r="D85" s="68" t="inlineStr">
        <is>
          <t>Suporte de Supervisores</t>
        </is>
      </c>
      <c r="E85" s="53" t="n"/>
      <c r="F85" s="53" t="n"/>
      <c r="G85" s="69" t="inlineStr">
        <is>
          <t>A</t>
        </is>
      </c>
      <c r="H85" s="70">
        <f>IF($G85="A",CONFIG!$B$5,IF($G85="B",CONFIG!$B$6,IF($G85="C",CONFIG!$B$7,IF($G85="Todos","Todos os turnos",""))))</f>
        <v/>
      </c>
      <c r="I85" s="53" t="n"/>
      <c r="J85" s="71" t="inlineStr">
        <is>
          <t>—</t>
        </is>
      </c>
      <c r="K85" s="53" t="n"/>
      <c r="L85" s="72" t="n"/>
      <c r="M85" s="53" t="n"/>
      <c r="N85" s="73" t="n"/>
      <c r="O85" s="74" t="n"/>
      <c r="P85" s="75" t="n"/>
      <c r="Q85" s="53" t="n"/>
      <c r="R85" s="76">
        <f>IF($C85="","",IF($O85="Cancelada","Cancelada",IF($O85="Reprovado","Reprovada",IF($O85="Aprovado","Aprovada",IF($L85&lt;&gt;"","Entregue",IF(TODAY()&gt;$C85,"Atrasada","Pendente"))))))</f>
        <v/>
      </c>
    </row>
    <row r="86">
      <c r="A86" s="65" t="inlineStr">
        <is>
          <t>NOV-S48-SUP-B</t>
        </is>
      </c>
      <c r="B86" s="66" t="inlineStr">
        <is>
          <t>S48</t>
        </is>
      </c>
      <c r="C86" s="67" t="n">
        <v>46350</v>
      </c>
      <c r="D86" s="68" t="inlineStr">
        <is>
          <t>Suporte de Supervisores</t>
        </is>
      </c>
      <c r="E86" s="53" t="n"/>
      <c r="F86" s="53" t="n"/>
      <c r="G86" s="69" t="inlineStr">
        <is>
          <t>B</t>
        </is>
      </c>
      <c r="H86" s="70">
        <f>IF($G86="A",CONFIG!$B$5,IF($G86="B",CONFIG!$B$6,IF($G86="C",CONFIG!$B$7,IF($G86="Todos","Todos os turnos",""))))</f>
        <v/>
      </c>
      <c r="I86" s="53" t="n"/>
      <c r="J86" s="71" t="inlineStr">
        <is>
          <t>—</t>
        </is>
      </c>
      <c r="K86" s="53" t="n"/>
      <c r="L86" s="72" t="n"/>
      <c r="M86" s="53" t="n"/>
      <c r="N86" s="73" t="n"/>
      <c r="O86" s="74" t="n"/>
      <c r="P86" s="75" t="n"/>
      <c r="Q86" s="53" t="n"/>
      <c r="R86" s="76">
        <f>IF($C86="","",IF($O86="Cancelada","Cancelada",IF($O86="Reprovado","Reprovada",IF($O86="Aprovado","Aprovada",IF($L86&lt;&gt;"","Entregue",IF(TODAY()&gt;$C86,"Atrasada","Pendente"))))))</f>
        <v/>
      </c>
    </row>
    <row r="87">
      <c r="A87" s="65" t="inlineStr">
        <is>
          <t>NOV-S48-SUP-C</t>
        </is>
      </c>
      <c r="B87" s="66" t="inlineStr">
        <is>
          <t>S48</t>
        </is>
      </c>
      <c r="C87" s="67" t="n">
        <v>46350</v>
      </c>
      <c r="D87" s="68" t="inlineStr">
        <is>
          <t>Suporte de Supervisores</t>
        </is>
      </c>
      <c r="E87" s="53" t="n"/>
      <c r="F87" s="53" t="n"/>
      <c r="G87" s="69" t="inlineStr">
        <is>
          <t>C</t>
        </is>
      </c>
      <c r="H87" s="70">
        <f>IF($G87="A",CONFIG!$B$5,IF($G87="B",CONFIG!$B$6,IF($G87="C",CONFIG!$B$7,IF($G87="Todos","Todos os turnos",""))))</f>
        <v/>
      </c>
      <c r="I87" s="53" t="n"/>
      <c r="J87" s="71" t="inlineStr">
        <is>
          <t>—</t>
        </is>
      </c>
      <c r="K87" s="53" t="n"/>
      <c r="L87" s="72" t="n"/>
      <c r="M87" s="53" t="n"/>
      <c r="N87" s="73" t="n"/>
      <c r="O87" s="74" t="n"/>
      <c r="P87" s="75" t="n"/>
      <c r="Q87" s="53" t="n"/>
      <c r="R87" s="76">
        <f>IF($C87="","",IF($O87="Cancelada","Cancelada",IF($O87="Reprovado","Reprovada",IF($O87="Aprovado","Aprovada",IF($L87&lt;&gt;"","Entregue",IF(TODAY()&gt;$C87,"Atrasada","Pendente"))))))</f>
        <v/>
      </c>
    </row>
    <row r="88">
      <c r="A88" s="65" t="inlineStr">
        <is>
          <t>NOV-S48-VIS-A</t>
        </is>
      </c>
      <c r="B88" s="66" t="inlineStr">
        <is>
          <t>S48</t>
        </is>
      </c>
      <c r="C88" s="67" t="n">
        <v>46351</v>
      </c>
      <c r="D88" s="68" t="inlineStr">
        <is>
          <t>Acomp. Organizacional Setorial (Vistoria)</t>
        </is>
      </c>
      <c r="E88" s="53" t="n"/>
      <c r="F88" s="53" t="n"/>
      <c r="G88" s="69" t="inlineStr">
        <is>
          <t>A</t>
        </is>
      </c>
      <c r="H88" s="70">
        <f>IF($G88="A",CONFIG!$B$5,IF($G88="B",CONFIG!$B$6,IF($G88="C",CONFIG!$B$7,IF($G88="Todos","Todos os turnos",""))))</f>
        <v/>
      </c>
      <c r="I88" s="53" t="n"/>
      <c r="J88" s="77" t="n"/>
      <c r="K88" s="53" t="n"/>
      <c r="L88" s="72" t="n"/>
      <c r="M88" s="53" t="n"/>
      <c r="N88" s="73" t="n"/>
      <c r="O88" s="74" t="n"/>
      <c r="P88" s="75" t="n"/>
      <c r="Q88" s="53" t="n"/>
      <c r="R88" s="76">
        <f>IF($C88="","",IF($O88="Cancelada","Cancelada",IF($O88="Reprovado","Reprovada",IF($O88="Aprovado","Aprovada",IF($L88&lt;&gt;"","Entregue",IF(TODAY()&gt;$C88,"Atrasada","Pendente"))))))</f>
        <v/>
      </c>
    </row>
    <row r="89">
      <c r="A89" s="65" t="inlineStr">
        <is>
          <t>NOV-S48-VIS-B</t>
        </is>
      </c>
      <c r="B89" s="66" t="inlineStr">
        <is>
          <t>S48</t>
        </is>
      </c>
      <c r="C89" s="67" t="n">
        <v>46351</v>
      </c>
      <c r="D89" s="68" t="inlineStr">
        <is>
          <t>Acomp. Organizacional Setorial (Vistoria)</t>
        </is>
      </c>
      <c r="E89" s="53" t="n"/>
      <c r="F89" s="53" t="n"/>
      <c r="G89" s="69" t="inlineStr">
        <is>
          <t>B</t>
        </is>
      </c>
      <c r="H89" s="70">
        <f>IF($G89="A",CONFIG!$B$5,IF($G89="B",CONFIG!$B$6,IF($G89="C",CONFIG!$B$7,IF($G89="Todos","Todos os turnos",""))))</f>
        <v/>
      </c>
      <c r="I89" s="53" t="n"/>
      <c r="J89" s="77" t="n"/>
      <c r="K89" s="53" t="n"/>
      <c r="L89" s="72" t="n"/>
      <c r="M89" s="53" t="n"/>
      <c r="N89" s="73" t="n"/>
      <c r="O89" s="74" t="n"/>
      <c r="P89" s="75" t="n"/>
      <c r="Q89" s="53" t="n"/>
      <c r="R89" s="76">
        <f>IF($C89="","",IF($O89="Cancelada","Cancelada",IF($O89="Reprovado","Reprovada",IF($O89="Aprovado","Aprovada",IF($L89&lt;&gt;"","Entregue",IF(TODAY()&gt;$C89,"Atrasada","Pendente"))))))</f>
        <v/>
      </c>
    </row>
    <row r="90">
      <c r="A90" s="65" t="inlineStr">
        <is>
          <t>NOV-S48-VIS-C</t>
        </is>
      </c>
      <c r="B90" s="66" t="inlineStr">
        <is>
          <t>S48</t>
        </is>
      </c>
      <c r="C90" s="67" t="n">
        <v>46351</v>
      </c>
      <c r="D90" s="68" t="inlineStr">
        <is>
          <t>Acomp. Organizacional Setorial (Vistoria)</t>
        </is>
      </c>
      <c r="E90" s="53" t="n"/>
      <c r="F90" s="53" t="n"/>
      <c r="G90" s="69" t="inlineStr">
        <is>
          <t>C</t>
        </is>
      </c>
      <c r="H90" s="70">
        <f>IF($G90="A",CONFIG!$B$5,IF($G90="B",CONFIG!$B$6,IF($G90="C",CONFIG!$B$7,IF($G90="Todos","Todos os turnos",""))))</f>
        <v/>
      </c>
      <c r="I90" s="53" t="n"/>
      <c r="J90" s="77" t="n"/>
      <c r="K90" s="53" t="n"/>
      <c r="L90" s="72" t="n"/>
      <c r="M90" s="53" t="n"/>
      <c r="N90" s="73" t="n"/>
      <c r="O90" s="74" t="n"/>
      <c r="P90" s="75" t="n"/>
      <c r="Q90" s="53" t="n"/>
      <c r="R90" s="76">
        <f>IF($C90="","",IF($O90="Cancelada","Cancelada",IF($O90="Reprovado","Reprovada",IF($O90="Aprovado","Aprovada",IF($L90&lt;&gt;"","Entregue",IF(TODAY()&gt;$C90,"Atrasada","Pendente"))))))</f>
        <v/>
      </c>
    </row>
    <row r="91">
      <c r="A91" s="65" t="inlineStr">
        <is>
          <t>NOV-S48-MET-A</t>
        </is>
      </c>
      <c r="B91" s="66" t="inlineStr">
        <is>
          <t>S48</t>
        </is>
      </c>
      <c r="C91" s="67" t="n">
        <v>46352</v>
      </c>
      <c r="D91" s="68" t="inlineStr">
        <is>
          <t>Metas</t>
        </is>
      </c>
      <c r="E91" s="53" t="n"/>
      <c r="F91" s="53" t="n"/>
      <c r="G91" s="69" t="inlineStr">
        <is>
          <t>A</t>
        </is>
      </c>
      <c r="H91" s="70">
        <f>IF($G91="A",CONFIG!$B$5,IF($G91="B",CONFIG!$B$6,IF($G91="C",CONFIG!$B$7,IF($G91="Todos","Todos os turnos",""))))</f>
        <v/>
      </c>
      <c r="I91" s="53" t="n"/>
      <c r="J91" s="71" t="inlineStr">
        <is>
          <t>—</t>
        </is>
      </c>
      <c r="K91" s="53" t="n"/>
      <c r="L91" s="72" t="n"/>
      <c r="M91" s="53" t="n"/>
      <c r="N91" s="73" t="n"/>
      <c r="O91" s="74" t="n"/>
      <c r="P91" s="75" t="n"/>
      <c r="Q91" s="53" t="n"/>
      <c r="R91" s="76">
        <f>IF($C91="","",IF($O91="Cancelada","Cancelada",IF($O91="Reprovado","Reprovada",IF($O91="Aprovado","Aprovada",IF($L91&lt;&gt;"","Entregue",IF(TODAY()&gt;$C91,"Atrasada","Pendente"))))))</f>
        <v/>
      </c>
    </row>
    <row r="92">
      <c r="A92" s="65" t="inlineStr">
        <is>
          <t>NOV-S48-MET-B</t>
        </is>
      </c>
      <c r="B92" s="66" t="inlineStr">
        <is>
          <t>S48</t>
        </is>
      </c>
      <c r="C92" s="67" t="n">
        <v>46352</v>
      </c>
      <c r="D92" s="68" t="inlineStr">
        <is>
          <t>Metas</t>
        </is>
      </c>
      <c r="E92" s="53" t="n"/>
      <c r="F92" s="53" t="n"/>
      <c r="G92" s="69" t="inlineStr">
        <is>
          <t>B</t>
        </is>
      </c>
      <c r="H92" s="70">
        <f>IF($G92="A",CONFIG!$B$5,IF($G92="B",CONFIG!$B$6,IF($G92="C",CONFIG!$B$7,IF($G92="Todos","Todos os turnos",""))))</f>
        <v/>
      </c>
      <c r="I92" s="53" t="n"/>
      <c r="J92" s="71" t="inlineStr">
        <is>
          <t>—</t>
        </is>
      </c>
      <c r="K92" s="53" t="n"/>
      <c r="L92" s="72" t="n"/>
      <c r="M92" s="53" t="n"/>
      <c r="N92" s="73" t="n"/>
      <c r="O92" s="74" t="n"/>
      <c r="P92" s="75" t="n"/>
      <c r="Q92" s="53" t="n"/>
      <c r="R92" s="76">
        <f>IF($C92="","",IF($O92="Cancelada","Cancelada",IF($O92="Reprovado","Reprovada",IF($O92="Aprovado","Aprovada",IF($L92&lt;&gt;"","Entregue",IF(TODAY()&gt;$C92,"Atrasada","Pendente"))))))</f>
        <v/>
      </c>
    </row>
    <row r="93">
      <c r="A93" s="65" t="inlineStr">
        <is>
          <t>NOV-S48-MET-C</t>
        </is>
      </c>
      <c r="B93" s="66" t="inlineStr">
        <is>
          <t>S48</t>
        </is>
      </c>
      <c r="C93" s="67" t="n">
        <v>46352</v>
      </c>
      <c r="D93" s="68" t="inlineStr">
        <is>
          <t>Metas</t>
        </is>
      </c>
      <c r="E93" s="53" t="n"/>
      <c r="F93" s="53" t="n"/>
      <c r="G93" s="69" t="inlineStr">
        <is>
          <t>C</t>
        </is>
      </c>
      <c r="H93" s="70">
        <f>IF($G93="A",CONFIG!$B$5,IF($G93="B",CONFIG!$B$6,IF($G93="C",CONFIG!$B$7,IF($G93="Todos","Todos os turnos",""))))</f>
        <v/>
      </c>
      <c r="I93" s="53" t="n"/>
      <c r="J93" s="71" t="inlineStr">
        <is>
          <t>—</t>
        </is>
      </c>
      <c r="K93" s="53" t="n"/>
      <c r="L93" s="72" t="n"/>
      <c r="M93" s="53" t="n"/>
      <c r="N93" s="73" t="n"/>
      <c r="O93" s="74" t="n"/>
      <c r="P93" s="75" t="n"/>
      <c r="Q93" s="53" t="n"/>
      <c r="R93" s="76">
        <f>IF($C93="","",IF($O93="Cancelada","Cancelada",IF($O93="Reprovado","Reprovada",IF($O93="Aprovado","Aprovada",IF($L93&lt;&gt;"","Entregue",IF(TODAY()&gt;$C93,"Atrasada","Pendente"))))))</f>
        <v/>
      </c>
    </row>
    <row r="94">
      <c r="A94" s="65" t="inlineStr">
        <is>
          <t>NOV-S48-ACO-A</t>
        </is>
      </c>
      <c r="B94" s="66" t="inlineStr">
        <is>
          <t>S48</t>
        </is>
      </c>
      <c r="C94" s="67" t="n">
        <v>46353</v>
      </c>
      <c r="D94" s="68" t="inlineStr">
        <is>
          <t>Acompanhamento Semanal c/ Supervisores</t>
        </is>
      </c>
      <c r="E94" s="53" t="n"/>
      <c r="F94" s="53" t="n"/>
      <c r="G94" s="69" t="inlineStr">
        <is>
          <t>A</t>
        </is>
      </c>
      <c r="H94" s="70">
        <f>IF($G94="A",CONFIG!$B$5,IF($G94="B",CONFIG!$B$6,IF($G94="C",CONFIG!$B$7,IF($G94="Todos","Todos os turnos",""))))</f>
        <v/>
      </c>
      <c r="I94" s="53" t="n"/>
      <c r="J94" s="71" t="inlineStr">
        <is>
          <t>—</t>
        </is>
      </c>
      <c r="K94" s="53" t="n"/>
      <c r="L94" s="72" t="n"/>
      <c r="M94" s="53" t="n"/>
      <c r="N94" s="73" t="n"/>
      <c r="O94" s="74" t="n"/>
      <c r="P94" s="75" t="n"/>
      <c r="Q94" s="53" t="n"/>
      <c r="R94" s="76">
        <f>IF($C94="","",IF($O94="Cancelada","Cancelada",IF($O94="Reprovado","Reprovada",IF($O94="Aprovado","Aprovada",IF($L94&lt;&gt;"","Entregue",IF(TODAY()&gt;$C94,"Atrasada","Pendente"))))))</f>
        <v/>
      </c>
    </row>
    <row r="95">
      <c r="A95" s="65" t="inlineStr">
        <is>
          <t>NOV-S48-ACO-B</t>
        </is>
      </c>
      <c r="B95" s="66" t="inlineStr">
        <is>
          <t>S48</t>
        </is>
      </c>
      <c r="C95" s="67" t="n">
        <v>46353</v>
      </c>
      <c r="D95" s="68" t="inlineStr">
        <is>
          <t>Acompanhamento Semanal c/ Supervisores</t>
        </is>
      </c>
      <c r="E95" s="53" t="n"/>
      <c r="F95" s="53" t="n"/>
      <c r="G95" s="69" t="inlineStr">
        <is>
          <t>B</t>
        </is>
      </c>
      <c r="H95" s="70">
        <f>IF($G95="A",CONFIG!$B$5,IF($G95="B",CONFIG!$B$6,IF($G95="C",CONFIG!$B$7,IF($G95="Todos","Todos os turnos",""))))</f>
        <v/>
      </c>
      <c r="I95" s="53" t="n"/>
      <c r="J95" s="71" t="inlineStr">
        <is>
          <t>—</t>
        </is>
      </c>
      <c r="K95" s="53" t="n"/>
      <c r="L95" s="72" t="n"/>
      <c r="M95" s="53" t="n"/>
      <c r="N95" s="73" t="n"/>
      <c r="O95" s="74" t="n"/>
      <c r="P95" s="75" t="n"/>
      <c r="Q95" s="53" t="n"/>
      <c r="R95" s="76">
        <f>IF($C95="","",IF($O95="Cancelada","Cancelada",IF($O95="Reprovado","Reprovada",IF($O95="Aprovado","Aprovada",IF($L95&lt;&gt;"","Entregue",IF(TODAY()&gt;$C95,"Atrasada","Pendente"))))))</f>
        <v/>
      </c>
    </row>
    <row r="96">
      <c r="A96" s="65" t="inlineStr">
        <is>
          <t>NOV-S48-ACO-C</t>
        </is>
      </c>
      <c r="B96" s="66" t="inlineStr">
        <is>
          <t>S48</t>
        </is>
      </c>
      <c r="C96" s="67" t="n">
        <v>46353</v>
      </c>
      <c r="D96" s="68" t="inlineStr">
        <is>
          <t>Acompanhamento Semanal c/ Supervisores</t>
        </is>
      </c>
      <c r="E96" s="53" t="n"/>
      <c r="F96" s="53" t="n"/>
      <c r="G96" s="69" t="inlineStr">
        <is>
          <t>C</t>
        </is>
      </c>
      <c r="H96" s="70">
        <f>IF($G96="A",CONFIG!$B$5,IF($G96="B",CONFIG!$B$6,IF($G96="C",CONFIG!$B$7,IF($G96="Todos","Todos os turnos",""))))</f>
        <v/>
      </c>
      <c r="I96" s="53" t="n"/>
      <c r="J96" s="71" t="inlineStr">
        <is>
          <t>—</t>
        </is>
      </c>
      <c r="K96" s="53" t="n"/>
      <c r="L96" s="72" t="n"/>
      <c r="M96" s="53" t="n"/>
      <c r="N96" s="73" t="n"/>
      <c r="O96" s="74" t="n"/>
      <c r="P96" s="75" t="n"/>
      <c r="Q96" s="53" t="n"/>
      <c r="R96" s="76">
        <f>IF($C96="","",IF($O96="Cancelada","Cancelada",IF($O96="Reprovado","Reprovada",IF($O96="Aprovado","Aprovada",IF($L96&lt;&gt;"","Entregue",IF(TODAY()&gt;$C96,"Atrasada","Pendente"))))))</f>
        <v/>
      </c>
    </row>
    <row r="97">
      <c r="A97" s="65" t="inlineStr">
        <is>
          <t>NOV-S48-FAL-A</t>
        </is>
      </c>
      <c r="B97" s="66" t="inlineStr">
        <is>
          <t>S48</t>
        </is>
      </c>
      <c r="C97" s="67" t="n">
        <v>46353</v>
      </c>
      <c r="D97" s="68" t="inlineStr">
        <is>
          <t>Faltas e Atestados</t>
        </is>
      </c>
      <c r="E97" s="53" t="n"/>
      <c r="F97" s="53" t="n"/>
      <c r="G97" s="69" t="inlineStr">
        <is>
          <t>A</t>
        </is>
      </c>
      <c r="H97" s="70">
        <f>IF($G97="A",CONFIG!$B$5,IF($G97="B",CONFIG!$B$6,IF($G97="C",CONFIG!$B$7,IF($G97="Todos","Todos os turnos",""))))</f>
        <v/>
      </c>
      <c r="I97" s="53" t="n"/>
      <c r="J97" s="71" t="inlineStr">
        <is>
          <t>—</t>
        </is>
      </c>
      <c r="K97" s="53" t="n"/>
      <c r="L97" s="72" t="n"/>
      <c r="M97" s="53" t="n"/>
      <c r="N97" s="73" t="n"/>
      <c r="O97" s="74" t="n"/>
      <c r="P97" s="75" t="n"/>
      <c r="Q97" s="53" t="n"/>
      <c r="R97" s="76">
        <f>IF($C97="","",IF($O97="Cancelada","Cancelada",IF($O97="Reprovado","Reprovada",IF($O97="Aprovado","Aprovada",IF($L97&lt;&gt;"","Entregue",IF(TODAY()&gt;$C97,"Atrasada","Pendente"))))))</f>
        <v/>
      </c>
    </row>
    <row r="98">
      <c r="A98" s="65" t="inlineStr">
        <is>
          <t>NOV-S48-FAL-B</t>
        </is>
      </c>
      <c r="B98" s="66" t="inlineStr">
        <is>
          <t>S48</t>
        </is>
      </c>
      <c r="C98" s="67" t="n">
        <v>46353</v>
      </c>
      <c r="D98" s="68" t="inlineStr">
        <is>
          <t>Faltas e Atestados</t>
        </is>
      </c>
      <c r="E98" s="53" t="n"/>
      <c r="F98" s="53" t="n"/>
      <c r="G98" s="69" t="inlineStr">
        <is>
          <t>B</t>
        </is>
      </c>
      <c r="H98" s="70">
        <f>IF($G98="A",CONFIG!$B$5,IF($G98="B",CONFIG!$B$6,IF($G98="C",CONFIG!$B$7,IF($G98="Todos","Todos os turnos",""))))</f>
        <v/>
      </c>
      <c r="I98" s="53" t="n"/>
      <c r="J98" s="71" t="inlineStr">
        <is>
          <t>—</t>
        </is>
      </c>
      <c r="K98" s="53" t="n"/>
      <c r="L98" s="72" t="n"/>
      <c r="M98" s="53" t="n"/>
      <c r="N98" s="73" t="n"/>
      <c r="O98" s="74" t="n"/>
      <c r="P98" s="75" t="n"/>
      <c r="Q98" s="53" t="n"/>
      <c r="R98" s="76">
        <f>IF($C98="","",IF($O98="Cancelada","Cancelada",IF($O98="Reprovado","Reprovada",IF($O98="Aprovado","Aprovada",IF($L98&lt;&gt;"","Entregue",IF(TODAY()&gt;$C98,"Atrasada","Pendente"))))))</f>
        <v/>
      </c>
    </row>
    <row r="99">
      <c r="A99" s="65" t="inlineStr">
        <is>
          <t>NOV-S48-FAL-C</t>
        </is>
      </c>
      <c r="B99" s="66" t="inlineStr">
        <is>
          <t>S48</t>
        </is>
      </c>
      <c r="C99" s="67" t="n">
        <v>46353</v>
      </c>
      <c r="D99" s="68" t="inlineStr">
        <is>
          <t>Faltas e Atestados</t>
        </is>
      </c>
      <c r="E99" s="53" t="n"/>
      <c r="F99" s="53" t="n"/>
      <c r="G99" s="69" t="inlineStr">
        <is>
          <t>C</t>
        </is>
      </c>
      <c r="H99" s="70">
        <f>IF($G99="A",CONFIG!$B$5,IF($G99="B",CONFIG!$B$6,IF($G99="C",CONFIG!$B$7,IF($G99="Todos","Todos os turnos",""))))</f>
        <v/>
      </c>
      <c r="I99" s="53" t="n"/>
      <c r="J99" s="71" t="inlineStr">
        <is>
          <t>—</t>
        </is>
      </c>
      <c r="K99" s="53" t="n"/>
      <c r="L99" s="72" t="n"/>
      <c r="M99" s="53" t="n"/>
      <c r="N99" s="73" t="n"/>
      <c r="O99" s="74" t="n"/>
      <c r="P99" s="75" t="n"/>
      <c r="Q99" s="53" t="n"/>
      <c r="R99" s="76">
        <f>IF($C99="","",IF($O99="Cancelada","Cancelada",IF($O99="Reprovado","Reprovada",IF($O99="Aprovado","Aprovada",IF($L99&lt;&gt;"","Entregue",IF(TODAY()&gt;$C99,"Atrasada","Pendente"))))))</f>
        <v/>
      </c>
    </row>
    <row r="100">
      <c r="A100" s="65" t="inlineStr">
        <is>
          <t>NOV-S48-REU-T</t>
        </is>
      </c>
      <c r="B100" s="66" t="inlineStr">
        <is>
          <t>S48</t>
        </is>
      </c>
      <c r="C100" s="67" t="n">
        <v>46353</v>
      </c>
      <c r="D100" s="68" t="inlineStr">
        <is>
          <t>Reunião Semanal com a Gerência</t>
        </is>
      </c>
      <c r="E100" s="53" t="n"/>
      <c r="F100" s="53" t="n"/>
      <c r="G100" s="69" t="inlineStr">
        <is>
          <t>Todos</t>
        </is>
      </c>
      <c r="H100" s="70">
        <f>IF($G100="A",CONFIG!$B$5,IF($G100="B",CONFIG!$B$6,IF($G100="C",CONFIG!$B$7,IF($G100="Todos","Todos os turnos",""))))</f>
        <v/>
      </c>
      <c r="I100" s="53" t="n"/>
      <c r="J100" s="71" t="inlineStr">
        <is>
          <t>—</t>
        </is>
      </c>
      <c r="K100" s="53" t="n"/>
      <c r="L100" s="72" t="n"/>
      <c r="M100" s="53" t="n"/>
      <c r="N100" s="73" t="n"/>
      <c r="O100" s="74" t="n"/>
      <c r="P100" s="75" t="n"/>
      <c r="Q100" s="53" t="n"/>
      <c r="R100" s="76">
        <f>IF($C100="","",IF($O100="Cancelada","Cancelada",IF($O100="Reprovado","Reprovada",IF($O100="Aprovado","Aprovada",IF($L100&lt;&gt;"","Entregue",IF(TODAY()&gt;$C100,"Atrasada","Pendente"))))))</f>
        <v/>
      </c>
    </row>
    <row r="101">
      <c r="A101" s="65" t="inlineStr">
        <is>
          <t>NOV-S48-MDF-T</t>
        </is>
      </c>
      <c r="B101" s="66" t="inlineStr">
        <is>
          <t>S48</t>
        </is>
      </c>
      <c r="C101" s="67" t="n">
        <v>46353</v>
      </c>
      <c r="D101" s="68" t="inlineStr">
        <is>
          <t>Mudança de Função — reunião mensal</t>
        </is>
      </c>
      <c r="E101" s="53" t="n"/>
      <c r="F101" s="53" t="n"/>
      <c r="G101" s="69" t="inlineStr">
        <is>
          <t>Todos</t>
        </is>
      </c>
      <c r="H101" s="70">
        <f>IF($G101="A",CONFIG!$B$5,IF($G101="B",CONFIG!$B$6,IF($G101="C",CONFIG!$B$7,IF($G101="Todos","Todos os turnos",""))))</f>
        <v/>
      </c>
      <c r="I101" s="53" t="n"/>
      <c r="J101" s="71" t="inlineStr">
        <is>
          <t>—</t>
        </is>
      </c>
      <c r="K101" s="53" t="n"/>
      <c r="L101" s="72" t="n"/>
      <c r="M101" s="53" t="n"/>
      <c r="N101" s="73" t="n"/>
      <c r="O101" s="74" t="n"/>
      <c r="P101" s="75" t="n"/>
      <c r="Q101" s="53" t="n"/>
      <c r="R101" s="76">
        <f>IF($C101="","",IF($O101="Cancelada","Cancelada",IF($O101="Reprovado","Reprovada",IF($O101="Aprovado","Aprovada",IF($L101&lt;&gt;"","Entregue",IF(TODAY()&gt;$C101,"Atrasada","Pendente"))))))</f>
        <v/>
      </c>
    </row>
    <row r="102">
      <c r="A102" s="78" t="inlineStr">
        <is>
          <t>TREINAMENTOS PROGRAMADOS PELO GERENTE — preencha PRAZO + tema; os coordenadores serão avisados por e-mail</t>
        </is>
      </c>
    </row>
    <row r="103" ht="14" customHeight="1">
      <c r="A103" s="79" t="inlineStr">
        <is>
          <t>Como usar: o gerente preenche apenas o PRAZO (data), completa o tema em ATIVIDADE e escolhe o TURNO. O resto fica em branco até o treinamento ocorrer; depois o coordenador anexa a lista de presença em LINK DO ANEXO e o gerente valida.</t>
        </is>
      </c>
    </row>
    <row r="104">
      <c r="A104" s="65" t="inlineStr">
        <is>
          <t>NOV-TRE-1</t>
        </is>
      </c>
      <c r="B104" s="66">
        <f>IF($C104="","","S"&amp;ISOWEEKNUM($C104))</f>
        <v/>
      </c>
      <c r="C104" s="67" t="n"/>
      <c r="D104" s="80" t="inlineStr">
        <is>
          <t xml:space="preserve">Treinamento com Colaboradores — tema: </t>
        </is>
      </c>
      <c r="E104" s="53" t="n"/>
      <c r="F104" s="53" t="n"/>
      <c r="G104" s="81" t="inlineStr">
        <is>
          <t>Todos</t>
        </is>
      </c>
      <c r="H104" s="70">
        <f>IF($G104="A",CONFIG!$B$5,IF($G104="B",CONFIG!$B$6,IF($G104="C",CONFIG!$B$7,IF($G104="Todos","Todos os turnos",""))))</f>
        <v/>
      </c>
      <c r="I104" s="53" t="n"/>
      <c r="J104" s="71" t="inlineStr">
        <is>
          <t>—</t>
        </is>
      </c>
      <c r="K104" s="53" t="n"/>
      <c r="L104" s="72" t="n"/>
      <c r="M104" s="53" t="n"/>
      <c r="N104" s="73" t="n"/>
      <c r="O104" s="74" t="n"/>
      <c r="P104" s="75" t="n"/>
      <c r="Q104" s="53" t="n"/>
      <c r="R104" s="76">
        <f>IF($C104="","Não agendado",IF($O104="Cancelada","Cancelada",IF($O104="Reprovado","Reprovada",IF($O104="Aprovado","Aprovada",IF($L104&lt;&gt;"","Entregue",IF(TODAY()&gt;$C104,"Atrasada","Pendente"))))))</f>
        <v/>
      </c>
    </row>
    <row r="105">
      <c r="A105" s="65" t="inlineStr">
        <is>
          <t>NOV-TRE-2</t>
        </is>
      </c>
      <c r="B105" s="66">
        <f>IF($C105="","","S"&amp;ISOWEEKNUM($C105))</f>
        <v/>
      </c>
      <c r="C105" s="67" t="n"/>
      <c r="D105" s="80" t="inlineStr">
        <is>
          <t xml:space="preserve">Treinamento com Colaboradores — tema: </t>
        </is>
      </c>
      <c r="E105" s="53" t="n"/>
      <c r="F105" s="53" t="n"/>
      <c r="G105" s="81" t="inlineStr">
        <is>
          <t>Todos</t>
        </is>
      </c>
      <c r="H105" s="70">
        <f>IF($G105="A",CONFIG!$B$5,IF($G105="B",CONFIG!$B$6,IF($G105="C",CONFIG!$B$7,IF($G105="Todos","Todos os turnos",""))))</f>
        <v/>
      </c>
      <c r="I105" s="53" t="n"/>
      <c r="J105" s="71" t="inlineStr">
        <is>
          <t>—</t>
        </is>
      </c>
      <c r="K105" s="53" t="n"/>
      <c r="L105" s="72" t="n"/>
      <c r="M105" s="53" t="n"/>
      <c r="N105" s="73" t="n"/>
      <c r="O105" s="74" t="n"/>
      <c r="P105" s="75" t="n"/>
      <c r="Q105" s="53" t="n"/>
      <c r="R105" s="76">
        <f>IF($C105="","Não agendado",IF($O105="Cancelada","Cancelada",IF($O105="Reprovado","Reprovada",IF($O105="Aprovado","Aprovada",IF($L105&lt;&gt;"","Entregue",IF(TODAY()&gt;$C105,"Atrasada","Pendente"))))))</f>
        <v/>
      </c>
    </row>
    <row r="106">
      <c r="A106" s="65" t="inlineStr">
        <is>
          <t>NOV-TRE-3</t>
        </is>
      </c>
      <c r="B106" s="66">
        <f>IF($C106="","","S"&amp;ISOWEEKNUM($C106))</f>
        <v/>
      </c>
      <c r="C106" s="67" t="n"/>
      <c r="D106" s="80" t="inlineStr">
        <is>
          <t xml:space="preserve">Treinamento com Colaboradores — tema: </t>
        </is>
      </c>
      <c r="E106" s="53" t="n"/>
      <c r="F106" s="53" t="n"/>
      <c r="G106" s="81" t="inlineStr">
        <is>
          <t>Todos</t>
        </is>
      </c>
      <c r="H106" s="70">
        <f>IF($G106="A",CONFIG!$B$5,IF($G106="B",CONFIG!$B$6,IF($G106="C",CONFIG!$B$7,IF($G106="Todos","Todos os turnos",""))))</f>
        <v/>
      </c>
      <c r="I106" s="53" t="n"/>
      <c r="J106" s="71" t="inlineStr">
        <is>
          <t>—</t>
        </is>
      </c>
      <c r="K106" s="53" t="n"/>
      <c r="L106" s="72" t="n"/>
      <c r="M106" s="53" t="n"/>
      <c r="N106" s="73" t="n"/>
      <c r="O106" s="74" t="n"/>
      <c r="P106" s="75" t="n"/>
      <c r="Q106" s="53" t="n"/>
      <c r="R106" s="76">
        <f>IF($C106="","Não agendado",IF($O106="Cancelada","Cancelada",IF($O106="Reprovado","Reprovada",IF($O106="Aprovado","Aprovada",IF($L106&lt;&gt;"","Entregue",IF(TODAY()&gt;$C106,"Atrasada","Pendente"))))))</f>
        <v/>
      </c>
    </row>
    <row r="107">
      <c r="A107" s="65" t="inlineStr">
        <is>
          <t>NOV-TRE-4</t>
        </is>
      </c>
      <c r="B107" s="66">
        <f>IF($C107="","","S"&amp;ISOWEEKNUM($C107))</f>
        <v/>
      </c>
      <c r="C107" s="67" t="n"/>
      <c r="D107" s="80" t="inlineStr">
        <is>
          <t xml:space="preserve">Treinamento com Colaboradores — tema: </t>
        </is>
      </c>
      <c r="E107" s="53" t="n"/>
      <c r="F107" s="53" t="n"/>
      <c r="G107" s="81" t="inlineStr">
        <is>
          <t>Todos</t>
        </is>
      </c>
      <c r="H107" s="70">
        <f>IF($G107="A",CONFIG!$B$5,IF($G107="B",CONFIG!$B$6,IF($G107="C",CONFIG!$B$7,IF($G107="Todos","Todos os turnos",""))))</f>
        <v/>
      </c>
      <c r="I107" s="53" t="n"/>
      <c r="J107" s="71" t="inlineStr">
        <is>
          <t>—</t>
        </is>
      </c>
      <c r="K107" s="53" t="n"/>
      <c r="L107" s="72" t="n"/>
      <c r="M107" s="53" t="n"/>
      <c r="N107" s="73" t="n"/>
      <c r="O107" s="74" t="n"/>
      <c r="P107" s="75" t="n"/>
      <c r="Q107" s="53" t="n"/>
      <c r="R107" s="76">
        <f>IF($C107="","Não agendado",IF($O107="Cancelada","Cancelada",IF($O107="Reprovado","Reprovada",IF($O107="Aprovado","Aprovada",IF($L107&lt;&gt;"","Entregue",IF(TODAY()&gt;$C107,"Atrasada","Pendente"))))))</f>
        <v/>
      </c>
    </row>
    <row r="108">
      <c r="A108" s="65" t="inlineStr">
        <is>
          <t>NOV-TRE-5</t>
        </is>
      </c>
      <c r="B108" s="66">
        <f>IF($C108="","","S"&amp;ISOWEEKNUM($C108))</f>
        <v/>
      </c>
      <c r="C108" s="67" t="n"/>
      <c r="D108" s="80" t="inlineStr">
        <is>
          <t xml:space="preserve">Treinamento com Colaboradores — tema: </t>
        </is>
      </c>
      <c r="E108" s="53" t="n"/>
      <c r="F108" s="53" t="n"/>
      <c r="G108" s="81" t="inlineStr">
        <is>
          <t>Todos</t>
        </is>
      </c>
      <c r="H108" s="70">
        <f>IF($G108="A",CONFIG!$B$5,IF($G108="B",CONFIG!$B$6,IF($G108="C",CONFIG!$B$7,IF($G108="Todos","Todos os turnos",""))))</f>
        <v/>
      </c>
      <c r="I108" s="53" t="n"/>
      <c r="J108" s="71" t="inlineStr">
        <is>
          <t>—</t>
        </is>
      </c>
      <c r="K108" s="53" t="n"/>
      <c r="L108" s="72" t="n"/>
      <c r="M108" s="53" t="n"/>
      <c r="N108" s="73" t="n"/>
      <c r="O108" s="74" t="n"/>
      <c r="P108" s="75" t="n"/>
      <c r="Q108" s="53" t="n"/>
      <c r="R108" s="76">
        <f>IF($C108="","Não agendado",IF($O108="Cancelada","Cancelada",IF($O108="Reprovado","Reprovada",IF($O108="Aprovado","Aprovada",IF($L108&lt;&gt;"","Entregue",IF(TODAY()&gt;$C108,"Atrasada","Pendente"))))))</f>
        <v/>
      </c>
    </row>
    <row r="109">
      <c r="A109" s="65" t="inlineStr">
        <is>
          <t>NOV-TRE-6</t>
        </is>
      </c>
      <c r="B109" s="66">
        <f>IF($C109="","","S"&amp;ISOWEEKNUM($C109))</f>
        <v/>
      </c>
      <c r="C109" s="67" t="n"/>
      <c r="D109" s="80" t="inlineStr">
        <is>
          <t xml:space="preserve">Treinamento com Colaboradores — tema: </t>
        </is>
      </c>
      <c r="E109" s="53" t="n"/>
      <c r="F109" s="53" t="n"/>
      <c r="G109" s="81" t="inlineStr">
        <is>
          <t>Todos</t>
        </is>
      </c>
      <c r="H109" s="70">
        <f>IF($G109="A",CONFIG!$B$5,IF($G109="B",CONFIG!$B$6,IF($G109="C",CONFIG!$B$7,IF($G109="Todos","Todos os turnos",""))))</f>
        <v/>
      </c>
      <c r="I109" s="53" t="n"/>
      <c r="J109" s="71" t="inlineStr">
        <is>
          <t>—</t>
        </is>
      </c>
      <c r="K109" s="53" t="n"/>
      <c r="L109" s="72" t="n"/>
      <c r="M109" s="53" t="n"/>
      <c r="N109" s="73" t="n"/>
      <c r="O109" s="74" t="n"/>
      <c r="P109" s="75" t="n"/>
      <c r="Q109" s="53" t="n"/>
      <c r="R109" s="76">
        <f>IF($C109="","Não agendado",IF($O109="Cancelada","Cancelada",IF($O109="Reprovado","Reprovada",IF($O109="Aprovado","Aprovada",IF($L109&lt;&gt;"","Entregue",IF(TODAY()&gt;$C109,"Atrasada","Pendente"))))))</f>
        <v/>
      </c>
    </row>
    <row r="111">
      <c r="A111" s="11" t="inlineStr">
        <is>
          <t>Amarelo = o GERENTE/ADM edita (prazo, setor da vistoria, validação, motivo, treinamentos) - Azul-claro = entrega do COORDENADOR (menu Anexar entrega ou link manual) - demais células são automáticas</t>
        </is>
      </c>
    </row>
  </sheetData>
  <mergeCells count="520">
    <mergeCell ref="P76:Q76"/>
    <mergeCell ref="D66:F66"/>
    <mergeCell ref="P94:Q94"/>
    <mergeCell ref="J59:K59"/>
    <mergeCell ref="D53:F53"/>
    <mergeCell ref="D47:F47"/>
    <mergeCell ref="H9:I9"/>
    <mergeCell ref="P69:Q69"/>
    <mergeCell ref="J9:K9"/>
    <mergeCell ref="B12:C12"/>
    <mergeCell ref="B14:C14"/>
    <mergeCell ref="B13:C13"/>
    <mergeCell ref="L29:M29"/>
    <mergeCell ref="D7:E7"/>
    <mergeCell ref="J31:K31"/>
    <mergeCell ref="L31:M31"/>
    <mergeCell ref="H96:I96"/>
    <mergeCell ref="P87:Q87"/>
    <mergeCell ref="H87:I87"/>
    <mergeCell ref="H62:I62"/>
    <mergeCell ref="J62:K62"/>
    <mergeCell ref="P24:Q24"/>
    <mergeCell ref="P89:Q89"/>
    <mergeCell ref="P88:Q88"/>
    <mergeCell ref="J64:K64"/>
    <mergeCell ref="P26:Q26"/>
    <mergeCell ref="H91:I91"/>
    <mergeCell ref="D41:F41"/>
    <mergeCell ref="L107:M107"/>
    <mergeCell ref="J57:K57"/>
    <mergeCell ref="L57:M57"/>
    <mergeCell ref="H93:I93"/>
    <mergeCell ref="J93:K93"/>
    <mergeCell ref="D43:F43"/>
    <mergeCell ref="L42:M42"/>
    <mergeCell ref="D74:F74"/>
    <mergeCell ref="D68:F68"/>
    <mergeCell ref="D55:F55"/>
    <mergeCell ref="P77:Q77"/>
    <mergeCell ref="H11:I11"/>
    <mergeCell ref="J11:K11"/>
    <mergeCell ref="D67:F67"/>
    <mergeCell ref="H109:I109"/>
    <mergeCell ref="H75:I75"/>
    <mergeCell ref="J75:K75"/>
    <mergeCell ref="P37:Q37"/>
    <mergeCell ref="D69:F69"/>
    <mergeCell ref="H12:I12"/>
    <mergeCell ref="J12:K12"/>
    <mergeCell ref="B15:C15"/>
    <mergeCell ref="D15:E15"/>
    <mergeCell ref="H48:I48"/>
    <mergeCell ref="H104:I104"/>
    <mergeCell ref="H14:I14"/>
    <mergeCell ref="D21:F21"/>
    <mergeCell ref="L70:M70"/>
    <mergeCell ref="H106:I106"/>
    <mergeCell ref="J81:K81"/>
    <mergeCell ref="L32:M32"/>
    <mergeCell ref="H43:I43"/>
    <mergeCell ref="L47:M47"/>
    <mergeCell ref="D87:F87"/>
    <mergeCell ref="P96:Q96"/>
    <mergeCell ref="P90:Q90"/>
    <mergeCell ref="J65:K65"/>
    <mergeCell ref="P27:Q27"/>
    <mergeCell ref="D51:F51"/>
    <mergeCell ref="D82:F82"/>
    <mergeCell ref="L58:M58"/>
    <mergeCell ref="P91:Q91"/>
    <mergeCell ref="J25:K25"/>
    <mergeCell ref="L50:M50"/>
    <mergeCell ref="L25:M25"/>
    <mergeCell ref="L60:M60"/>
    <mergeCell ref="L52:M52"/>
    <mergeCell ref="B5:C5"/>
    <mergeCell ref="P108:Q108"/>
    <mergeCell ref="D5:E5"/>
    <mergeCell ref="P45:Q45"/>
    <mergeCell ref="D77:F77"/>
    <mergeCell ref="P38:Q38"/>
    <mergeCell ref="J14:K14"/>
    <mergeCell ref="P109:Q109"/>
    <mergeCell ref="J13:K13"/>
    <mergeCell ref="J84:K84"/>
    <mergeCell ref="L13:M13"/>
    <mergeCell ref="J78:K78"/>
    <mergeCell ref="P40:Q40"/>
    <mergeCell ref="D72:F72"/>
    <mergeCell ref="A3:R3"/>
    <mergeCell ref="L78:M78"/>
    <mergeCell ref="H64:I64"/>
    <mergeCell ref="J15:K15"/>
    <mergeCell ref="L15:M15"/>
    <mergeCell ref="H51:I51"/>
    <mergeCell ref="L71:M71"/>
    <mergeCell ref="J80:K80"/>
    <mergeCell ref="J107:K107"/>
    <mergeCell ref="J55:K55"/>
    <mergeCell ref="L55:M55"/>
    <mergeCell ref="D24:F24"/>
    <mergeCell ref="J79:K79"/>
    <mergeCell ref="D89:F89"/>
    <mergeCell ref="L73:M73"/>
    <mergeCell ref="P98:Q98"/>
    <mergeCell ref="D88:F88"/>
    <mergeCell ref="D26:F26"/>
    <mergeCell ref="D90:F90"/>
    <mergeCell ref="P106:Q106"/>
    <mergeCell ref="D65:F65"/>
    <mergeCell ref="P93:Q93"/>
    <mergeCell ref="H33:I33"/>
    <mergeCell ref="J33:K33"/>
    <mergeCell ref="H8:I8"/>
    <mergeCell ref="J8:K8"/>
    <mergeCell ref="H35:I35"/>
    <mergeCell ref="H10:I10"/>
    <mergeCell ref="J10:K10"/>
    <mergeCell ref="L66:M66"/>
    <mergeCell ref="J28:K28"/>
    <mergeCell ref="L53:M53"/>
    <mergeCell ref="L28:M28"/>
    <mergeCell ref="D6:E6"/>
    <mergeCell ref="H39:I39"/>
    <mergeCell ref="J68:K68"/>
    <mergeCell ref="L68:M68"/>
    <mergeCell ref="D37:F37"/>
    <mergeCell ref="P59:Q59"/>
    <mergeCell ref="P46:Q46"/>
    <mergeCell ref="H89:I89"/>
    <mergeCell ref="L5:M5"/>
    <mergeCell ref="N5:O5"/>
    <mergeCell ref="P61:Q61"/>
    <mergeCell ref="J86:K86"/>
    <mergeCell ref="P48:Q48"/>
    <mergeCell ref="H72:I72"/>
    <mergeCell ref="L79:M79"/>
    <mergeCell ref="H65:I65"/>
    <mergeCell ref="J21:K21"/>
    <mergeCell ref="L21:M21"/>
    <mergeCell ref="P43:Q43"/>
    <mergeCell ref="L81:M81"/>
    <mergeCell ref="D80:F80"/>
    <mergeCell ref="H23:I23"/>
    <mergeCell ref="D96:F96"/>
    <mergeCell ref="J23:K23"/>
    <mergeCell ref="D27:F27"/>
    <mergeCell ref="H54:I54"/>
    <mergeCell ref="H41:I41"/>
    <mergeCell ref="F6:G6"/>
    <mergeCell ref="D91:F91"/>
    <mergeCell ref="P34:Q34"/>
    <mergeCell ref="H56:I56"/>
    <mergeCell ref="H34:I34"/>
    <mergeCell ref="H83:I83"/>
    <mergeCell ref="J34:K34"/>
    <mergeCell ref="D106:F106"/>
    <mergeCell ref="J99:K99"/>
    <mergeCell ref="D93:F93"/>
    <mergeCell ref="H49:I49"/>
    <mergeCell ref="P36:Q36"/>
    <mergeCell ref="J49:K49"/>
    <mergeCell ref="H36:I36"/>
    <mergeCell ref="H85:I85"/>
    <mergeCell ref="J36:K36"/>
    <mergeCell ref="L92:M92"/>
    <mergeCell ref="J101:K101"/>
    <mergeCell ref="L30:M30"/>
    <mergeCell ref="J100:K100"/>
    <mergeCell ref="J94:K94"/>
    <mergeCell ref="L94:M94"/>
    <mergeCell ref="A111:R111"/>
    <mergeCell ref="L69:M69"/>
    <mergeCell ref="D9:E9"/>
    <mergeCell ref="L44:M44"/>
    <mergeCell ref="H80:I80"/>
    <mergeCell ref="F9:G9"/>
    <mergeCell ref="D109:F109"/>
    <mergeCell ref="L6:M6"/>
    <mergeCell ref="N6:O6"/>
    <mergeCell ref="D46:F46"/>
    <mergeCell ref="D40:F40"/>
    <mergeCell ref="P62:Q62"/>
    <mergeCell ref="D86:F86"/>
    <mergeCell ref="D104:F104"/>
    <mergeCell ref="P64:Q64"/>
    <mergeCell ref="J29:K29"/>
    <mergeCell ref="B7:C7"/>
    <mergeCell ref="P51:Q51"/>
    <mergeCell ref="H31:I31"/>
    <mergeCell ref="H58:I58"/>
    <mergeCell ref="H73:I73"/>
    <mergeCell ref="J24:K24"/>
    <mergeCell ref="L24:M24"/>
    <mergeCell ref="H60:I60"/>
    <mergeCell ref="J89:K89"/>
    <mergeCell ref="L89:M89"/>
    <mergeCell ref="P67:Q67"/>
    <mergeCell ref="D33:F33"/>
    <mergeCell ref="J26:K26"/>
    <mergeCell ref="L88:M88"/>
    <mergeCell ref="L26:M26"/>
    <mergeCell ref="P82:Q82"/>
    <mergeCell ref="D35:F35"/>
    <mergeCell ref="H57:I57"/>
    <mergeCell ref="D59:F59"/>
    <mergeCell ref="H84:I84"/>
    <mergeCell ref="H22:I22"/>
    <mergeCell ref="P75:Q75"/>
    <mergeCell ref="D34:F34"/>
    <mergeCell ref="L100:M100"/>
    <mergeCell ref="D99:F99"/>
    <mergeCell ref="J50:K50"/>
    <mergeCell ref="H86:I86"/>
    <mergeCell ref="H42:I42"/>
    <mergeCell ref="J42:K42"/>
    <mergeCell ref="D36:F36"/>
    <mergeCell ref="D101:F101"/>
    <mergeCell ref="J52:K52"/>
    <mergeCell ref="L77:M77"/>
    <mergeCell ref="L108:M108"/>
    <mergeCell ref="J39:K39"/>
    <mergeCell ref="F11:G11"/>
    <mergeCell ref="J44:K44"/>
    <mergeCell ref="L95:M95"/>
    <mergeCell ref="D61:F61"/>
    <mergeCell ref="D48:F48"/>
    <mergeCell ref="J37:K37"/>
    <mergeCell ref="L37:M37"/>
    <mergeCell ref="L97:M97"/>
    <mergeCell ref="F12:G12"/>
    <mergeCell ref="B18:R18"/>
    <mergeCell ref="P72:Q72"/>
    <mergeCell ref="D62:F62"/>
    <mergeCell ref="D56:F56"/>
    <mergeCell ref="P65:Q65"/>
    <mergeCell ref="B8:C8"/>
    <mergeCell ref="H70:I70"/>
    <mergeCell ref="J70:K70"/>
    <mergeCell ref="A20:R20"/>
    <mergeCell ref="D64:F64"/>
    <mergeCell ref="H32:I32"/>
    <mergeCell ref="H7:I7"/>
    <mergeCell ref="J32:K32"/>
    <mergeCell ref="J7:K7"/>
    <mergeCell ref="B10:C10"/>
    <mergeCell ref="J63:K63"/>
    <mergeCell ref="L63:M63"/>
    <mergeCell ref="P74:Q74"/>
    <mergeCell ref="H99:I99"/>
    <mergeCell ref="H47:I47"/>
    <mergeCell ref="J109:K109"/>
    <mergeCell ref="J47:K47"/>
    <mergeCell ref="J96:K96"/>
    <mergeCell ref="J90:K90"/>
    <mergeCell ref="L96:M96"/>
    <mergeCell ref="L90:M90"/>
    <mergeCell ref="H101:I101"/>
    <mergeCell ref="H76:I76"/>
    <mergeCell ref="J76:K76"/>
    <mergeCell ref="L27:M27"/>
    <mergeCell ref="P83:Q83"/>
    <mergeCell ref="D49:F49"/>
    <mergeCell ref="L91:M91"/>
    <mergeCell ref="P85:Q85"/>
    <mergeCell ref="D75:F75"/>
    <mergeCell ref="P84:Q84"/>
    <mergeCell ref="J60:K60"/>
    <mergeCell ref="P22:Q22"/>
    <mergeCell ref="J53:K53"/>
    <mergeCell ref="P80:Q80"/>
    <mergeCell ref="H94:I94"/>
    <mergeCell ref="J45:K45"/>
    <mergeCell ref="D39:F39"/>
    <mergeCell ref="L45:M45"/>
    <mergeCell ref="L38:M38"/>
    <mergeCell ref="L109:M109"/>
    <mergeCell ref="F13:G13"/>
    <mergeCell ref="H13:I13"/>
    <mergeCell ref="L40:M40"/>
    <mergeCell ref="H105:I105"/>
    <mergeCell ref="N15:O15"/>
    <mergeCell ref="H15:I15"/>
    <mergeCell ref="H71:I71"/>
    <mergeCell ref="P58:Q58"/>
    <mergeCell ref="P33:Q33"/>
    <mergeCell ref="J71:K71"/>
    <mergeCell ref="H107:I107"/>
    <mergeCell ref="J58:K58"/>
    <mergeCell ref="D57:F57"/>
    <mergeCell ref="P79:Q79"/>
    <mergeCell ref="P73:Q73"/>
    <mergeCell ref="J73:K73"/>
    <mergeCell ref="P35:Q35"/>
    <mergeCell ref="L98:M98"/>
    <mergeCell ref="A1:N1"/>
    <mergeCell ref="H25:I25"/>
    <mergeCell ref="J77:K77"/>
    <mergeCell ref="L106:M106"/>
    <mergeCell ref="B11:C11"/>
    <mergeCell ref="D11:E11"/>
    <mergeCell ref="L93:M93"/>
    <mergeCell ref="D83:F83"/>
    <mergeCell ref="P86:Q86"/>
    <mergeCell ref="D85:F85"/>
    <mergeCell ref="P28:Q28"/>
    <mergeCell ref="D60:F60"/>
    <mergeCell ref="H28:I28"/>
    <mergeCell ref="B6:C6"/>
    <mergeCell ref="L59:M59"/>
    <mergeCell ref="H95:I95"/>
    <mergeCell ref="P30:Q30"/>
    <mergeCell ref="J46:K46"/>
    <mergeCell ref="L46:M46"/>
    <mergeCell ref="H5:I5"/>
    <mergeCell ref="J61:K61"/>
    <mergeCell ref="L61:M61"/>
    <mergeCell ref="H97:I97"/>
    <mergeCell ref="J48:K48"/>
    <mergeCell ref="J97:K97"/>
    <mergeCell ref="L48:M48"/>
    <mergeCell ref="P104:Q104"/>
    <mergeCell ref="P41:Q41"/>
    <mergeCell ref="D78:F78"/>
    <mergeCell ref="H21:I21"/>
    <mergeCell ref="L43:M43"/>
    <mergeCell ref="P56:Q56"/>
    <mergeCell ref="P105:Q105"/>
    <mergeCell ref="D71:F71"/>
    <mergeCell ref="P99:Q99"/>
    <mergeCell ref="D58:F58"/>
    <mergeCell ref="P49:Q49"/>
    <mergeCell ref="J74:K74"/>
    <mergeCell ref="L74:M74"/>
    <mergeCell ref="P107:Q107"/>
    <mergeCell ref="D73:F73"/>
    <mergeCell ref="P101:Q101"/>
    <mergeCell ref="L76:M76"/>
    <mergeCell ref="L9:M9"/>
    <mergeCell ref="D12:E12"/>
    <mergeCell ref="N9:O9"/>
    <mergeCell ref="D84:F84"/>
    <mergeCell ref="D22:F22"/>
    <mergeCell ref="L11:M11"/>
    <mergeCell ref="D14:E14"/>
    <mergeCell ref="F14:G14"/>
    <mergeCell ref="H92:I92"/>
    <mergeCell ref="H30:I30"/>
    <mergeCell ref="J92:K92"/>
    <mergeCell ref="P54:Q54"/>
    <mergeCell ref="H67:I67"/>
    <mergeCell ref="J67:K67"/>
    <mergeCell ref="P29:Q29"/>
    <mergeCell ref="J5:K5"/>
    <mergeCell ref="L67:M67"/>
    <mergeCell ref="H29:I29"/>
    <mergeCell ref="H78:I78"/>
    <mergeCell ref="P100:Q100"/>
    <mergeCell ref="P44:Q44"/>
    <mergeCell ref="H44:I44"/>
    <mergeCell ref="J69:K69"/>
    <mergeCell ref="P31:Q31"/>
    <mergeCell ref="J87:K87"/>
    <mergeCell ref="L87:M87"/>
    <mergeCell ref="H6:I6"/>
    <mergeCell ref="J6:K6"/>
    <mergeCell ref="L62:M62"/>
    <mergeCell ref="P95:Q95"/>
    <mergeCell ref="H98:I98"/>
    <mergeCell ref="J98:K98"/>
    <mergeCell ref="L64:M64"/>
    <mergeCell ref="L51:M51"/>
    <mergeCell ref="D79:F79"/>
    <mergeCell ref="P57:Q57"/>
    <mergeCell ref="D8:E8"/>
    <mergeCell ref="D81:F81"/>
    <mergeCell ref="H24:I24"/>
    <mergeCell ref="P42:Q42"/>
    <mergeCell ref="H26:I26"/>
    <mergeCell ref="H82:I82"/>
    <mergeCell ref="H53:I53"/>
    <mergeCell ref="J82:K82"/>
    <mergeCell ref="D76:F76"/>
    <mergeCell ref="L82:M82"/>
    <mergeCell ref="N11:O11"/>
    <mergeCell ref="H55:I55"/>
    <mergeCell ref="L75:M75"/>
    <mergeCell ref="D28:F28"/>
    <mergeCell ref="L12:M12"/>
    <mergeCell ref="N12:O12"/>
    <mergeCell ref="F15:G15"/>
    <mergeCell ref="D13:E13"/>
    <mergeCell ref="D92:F92"/>
    <mergeCell ref="D30:F30"/>
    <mergeCell ref="L14:M14"/>
    <mergeCell ref="L39:M39"/>
    <mergeCell ref="H52:I52"/>
    <mergeCell ref="N14:O14"/>
    <mergeCell ref="H79:I79"/>
    <mergeCell ref="P39:Q39"/>
    <mergeCell ref="H108:I108"/>
    <mergeCell ref="P70:Q70"/>
    <mergeCell ref="J108:K108"/>
    <mergeCell ref="D29:F29"/>
    <mergeCell ref="J95:K95"/>
    <mergeCell ref="D23:F23"/>
    <mergeCell ref="D94:F94"/>
    <mergeCell ref="H45:I45"/>
    <mergeCell ref="P32:Q32"/>
    <mergeCell ref="H81:I81"/>
    <mergeCell ref="P97:Q97"/>
    <mergeCell ref="H37:I37"/>
    <mergeCell ref="P47:Q47"/>
    <mergeCell ref="O1:R1"/>
    <mergeCell ref="L72:M72"/>
    <mergeCell ref="L65:M65"/>
    <mergeCell ref="D105:F105"/>
    <mergeCell ref="L7:M7"/>
    <mergeCell ref="D10:E10"/>
    <mergeCell ref="N7:O7"/>
    <mergeCell ref="F10:G10"/>
    <mergeCell ref="D107:F107"/>
    <mergeCell ref="P63:Q63"/>
    <mergeCell ref="H63:I63"/>
    <mergeCell ref="J88:K88"/>
    <mergeCell ref="P50:Q50"/>
    <mergeCell ref="P25:Q25"/>
    <mergeCell ref="H50:I50"/>
    <mergeCell ref="P60:Q60"/>
    <mergeCell ref="H74:I74"/>
    <mergeCell ref="H68:I68"/>
    <mergeCell ref="P52:Q52"/>
    <mergeCell ref="F5:G5"/>
    <mergeCell ref="J27:K27"/>
    <mergeCell ref="J83:K83"/>
    <mergeCell ref="D25:F25"/>
    <mergeCell ref="L83:M83"/>
    <mergeCell ref="H69:I69"/>
    <mergeCell ref="J85:K85"/>
    <mergeCell ref="L85:M85"/>
    <mergeCell ref="D54:F54"/>
    <mergeCell ref="A102:R102"/>
    <mergeCell ref="J22:K22"/>
    <mergeCell ref="L84:M84"/>
    <mergeCell ref="N13:O13"/>
    <mergeCell ref="L22:M22"/>
    <mergeCell ref="D100:F100"/>
    <mergeCell ref="P78:Q78"/>
    <mergeCell ref="D31:F31"/>
    <mergeCell ref="J51:K51"/>
    <mergeCell ref="L80:M80"/>
    <mergeCell ref="P71:Q71"/>
    <mergeCell ref="A103:R103"/>
    <mergeCell ref="D108:F108"/>
    <mergeCell ref="D95:F95"/>
    <mergeCell ref="P55:Q55"/>
    <mergeCell ref="H38:I38"/>
    <mergeCell ref="J38:K38"/>
    <mergeCell ref="D32:F32"/>
    <mergeCell ref="D97:F97"/>
    <mergeCell ref="H40:I40"/>
    <mergeCell ref="F7:G7"/>
    <mergeCell ref="J40:K40"/>
    <mergeCell ref="L33:M33"/>
    <mergeCell ref="L8:M8"/>
    <mergeCell ref="N8:O8"/>
    <mergeCell ref="F8:G8"/>
    <mergeCell ref="D42:F42"/>
    <mergeCell ref="J35:K35"/>
    <mergeCell ref="L35:M35"/>
    <mergeCell ref="H100:I100"/>
    <mergeCell ref="L10:M10"/>
    <mergeCell ref="N10:O10"/>
    <mergeCell ref="D50:F50"/>
    <mergeCell ref="D44:F44"/>
    <mergeCell ref="P66:Q66"/>
    <mergeCell ref="H66:I66"/>
    <mergeCell ref="B9:C9"/>
    <mergeCell ref="J91:K91"/>
    <mergeCell ref="P53:Q53"/>
    <mergeCell ref="J66:K66"/>
    <mergeCell ref="H77:I77"/>
    <mergeCell ref="J106:K106"/>
    <mergeCell ref="P68:Q68"/>
    <mergeCell ref="D45:F45"/>
    <mergeCell ref="L86:M86"/>
    <mergeCell ref="J72:K72"/>
    <mergeCell ref="L101:M101"/>
    <mergeCell ref="D70:F70"/>
    <mergeCell ref="J30:K30"/>
    <mergeCell ref="H59:I59"/>
    <mergeCell ref="P21:Q21"/>
    <mergeCell ref="H46:I46"/>
    <mergeCell ref="P81:Q81"/>
    <mergeCell ref="L23:M23"/>
    <mergeCell ref="H61:I61"/>
    <mergeCell ref="H88:I88"/>
    <mergeCell ref="P23:Q23"/>
    <mergeCell ref="D38:F38"/>
    <mergeCell ref="J104:K104"/>
    <mergeCell ref="D98:F98"/>
    <mergeCell ref="L104:M104"/>
    <mergeCell ref="J54:K54"/>
    <mergeCell ref="L54:M54"/>
    <mergeCell ref="H90:I90"/>
    <mergeCell ref="J41:K41"/>
    <mergeCell ref="L41:M41"/>
    <mergeCell ref="H27:I27"/>
    <mergeCell ref="D63:F63"/>
    <mergeCell ref="J56:K56"/>
    <mergeCell ref="L56:M56"/>
    <mergeCell ref="J105:K105"/>
    <mergeCell ref="L34:M34"/>
    <mergeCell ref="J43:K43"/>
    <mergeCell ref="L105:M105"/>
    <mergeCell ref="L99:M99"/>
    <mergeCell ref="L49:M49"/>
    <mergeCell ref="D52:F52"/>
    <mergeCell ref="L36:M36"/>
    <mergeCell ref="P92:Q92"/>
  </mergeCells>
  <conditionalFormatting sqref="A3">
    <cfRule type="expression" priority="1" dxfId="1" stopIfTrue="1">
      <formula>LEFT($A$3,3)="MÊS"</formula>
    </cfRule>
  </conditionalFormatting>
  <conditionalFormatting sqref="B6:C7">
    <cfRule type="expression" priority="2" dxfId="3" stopIfTrue="1">
      <formula>AND(B6&lt;&gt;"",B6=TODAY())</formula>
    </cfRule>
    <cfRule type="expression" priority="3" dxfId="4">
      <formula>AND(B6&lt;&gt;"",COUNTIFS($C$22:$C$210,B6,$O$22:$O$210,"&lt;&gt;Cancelada")&gt;0)</formula>
    </cfRule>
  </conditionalFormatting>
  <conditionalFormatting sqref="D6:E7">
    <cfRule type="expression" priority="4" dxfId="3" stopIfTrue="1">
      <formula>AND(D6&lt;&gt;"",D6=TODAY())</formula>
    </cfRule>
    <cfRule type="expression" priority="5" dxfId="4">
      <formula>AND(D6&lt;&gt;"",COUNTIFS($C$22:$C$210,D6,$O$22:$O$210,"&lt;&gt;Cancelada")&gt;0)</formula>
    </cfRule>
  </conditionalFormatting>
  <conditionalFormatting sqref="F6:G7">
    <cfRule type="expression" priority="6" dxfId="3" stopIfTrue="1">
      <formula>AND(F6&lt;&gt;"",F6=TODAY())</formula>
    </cfRule>
    <cfRule type="expression" priority="7" dxfId="4">
      <formula>AND(F6&lt;&gt;"",COUNTIFS($C$22:$C$210,F6,$O$22:$O$210,"&lt;&gt;Cancelada")&gt;0)</formula>
    </cfRule>
  </conditionalFormatting>
  <conditionalFormatting sqref="H6:I7">
    <cfRule type="expression" priority="8" dxfId="3" stopIfTrue="1">
      <formula>AND(H6&lt;&gt;"",H6=TODAY())</formula>
    </cfRule>
    <cfRule type="expression" priority="9" dxfId="4">
      <formula>AND(H6&lt;&gt;"",COUNTIFS($C$22:$C$210,H6,$O$22:$O$210,"&lt;&gt;Cancelada")&gt;0)</formula>
    </cfRule>
  </conditionalFormatting>
  <conditionalFormatting sqref="J6:K7">
    <cfRule type="expression" priority="10" dxfId="3" stopIfTrue="1">
      <formula>AND(J6&lt;&gt;"",J6=TODAY())</formula>
    </cfRule>
    <cfRule type="expression" priority="11" dxfId="4">
      <formula>AND(J6&lt;&gt;"",COUNTIFS($C$22:$C$210,J6,$O$22:$O$210,"&lt;&gt;Cancelada")&gt;0)</formula>
    </cfRule>
  </conditionalFormatting>
  <conditionalFormatting sqref="L6:M7">
    <cfRule type="expression" priority="12" dxfId="3" stopIfTrue="1">
      <formula>AND(L6&lt;&gt;"",L6=TODAY())</formula>
    </cfRule>
    <cfRule type="expression" priority="13" dxfId="4">
      <formula>AND(L6&lt;&gt;"",COUNTIFS($C$22:$C$210,L6,$O$22:$O$210,"&lt;&gt;Cancelada")&gt;0)</formula>
    </cfRule>
  </conditionalFormatting>
  <conditionalFormatting sqref="N6:O7">
    <cfRule type="expression" priority="14" dxfId="3" stopIfTrue="1">
      <formula>AND(N6&lt;&gt;"",N6=TODAY())</formula>
    </cfRule>
    <cfRule type="expression" priority="15" dxfId="4">
      <formula>AND(N6&lt;&gt;"",COUNTIFS($C$22:$C$210,N6,$O$22:$O$210,"&lt;&gt;Cancelada")&gt;0)</formula>
    </cfRule>
  </conditionalFormatting>
  <conditionalFormatting sqref="B8:C9">
    <cfRule type="expression" priority="16" dxfId="3" stopIfTrue="1">
      <formula>AND(B8&lt;&gt;"",B8=TODAY())</formula>
    </cfRule>
    <cfRule type="expression" priority="17" dxfId="4">
      <formula>AND(B8&lt;&gt;"",COUNTIFS($C$22:$C$210,B8,$O$22:$O$210,"&lt;&gt;Cancelada")&gt;0)</formula>
    </cfRule>
  </conditionalFormatting>
  <conditionalFormatting sqref="D8:E9">
    <cfRule type="expression" priority="18" dxfId="3" stopIfTrue="1">
      <formula>AND(D8&lt;&gt;"",D8=TODAY())</formula>
    </cfRule>
    <cfRule type="expression" priority="19" dxfId="4">
      <formula>AND(D8&lt;&gt;"",COUNTIFS($C$22:$C$210,D8,$O$22:$O$210,"&lt;&gt;Cancelada")&gt;0)</formula>
    </cfRule>
  </conditionalFormatting>
  <conditionalFormatting sqref="F8:G9">
    <cfRule type="expression" priority="20" dxfId="3" stopIfTrue="1">
      <formula>AND(F8&lt;&gt;"",F8=TODAY())</formula>
    </cfRule>
    <cfRule type="expression" priority="21" dxfId="4">
      <formula>AND(F8&lt;&gt;"",COUNTIFS($C$22:$C$210,F8,$O$22:$O$210,"&lt;&gt;Cancelada")&gt;0)</formula>
    </cfRule>
  </conditionalFormatting>
  <conditionalFormatting sqref="H8:I9">
    <cfRule type="expression" priority="22" dxfId="3" stopIfTrue="1">
      <formula>AND(H8&lt;&gt;"",H8=TODAY())</formula>
    </cfRule>
    <cfRule type="expression" priority="23" dxfId="4">
      <formula>AND(H8&lt;&gt;"",COUNTIFS($C$22:$C$210,H8,$O$22:$O$210,"&lt;&gt;Cancelada")&gt;0)</formula>
    </cfRule>
  </conditionalFormatting>
  <conditionalFormatting sqref="J8:K9">
    <cfRule type="expression" priority="24" dxfId="3" stopIfTrue="1">
      <formula>AND(J8&lt;&gt;"",J8=TODAY())</formula>
    </cfRule>
    <cfRule type="expression" priority="25" dxfId="4">
      <formula>AND(J8&lt;&gt;"",COUNTIFS($C$22:$C$210,J8,$O$22:$O$210,"&lt;&gt;Cancelada")&gt;0)</formula>
    </cfRule>
  </conditionalFormatting>
  <conditionalFormatting sqref="L8:M9">
    <cfRule type="expression" priority="26" dxfId="3" stopIfTrue="1">
      <formula>AND(L8&lt;&gt;"",L8=TODAY())</formula>
    </cfRule>
    <cfRule type="expression" priority="27" dxfId="4">
      <formula>AND(L8&lt;&gt;"",COUNTIFS($C$22:$C$210,L8,$O$22:$O$210,"&lt;&gt;Cancelada")&gt;0)</formula>
    </cfRule>
  </conditionalFormatting>
  <conditionalFormatting sqref="N8:O9">
    <cfRule type="expression" priority="28" dxfId="3" stopIfTrue="1">
      <formula>AND(N8&lt;&gt;"",N8=TODAY())</formula>
    </cfRule>
    <cfRule type="expression" priority="29" dxfId="4">
      <formula>AND(N8&lt;&gt;"",COUNTIFS($C$22:$C$210,N8,$O$22:$O$210,"&lt;&gt;Cancelada")&gt;0)</formula>
    </cfRule>
  </conditionalFormatting>
  <conditionalFormatting sqref="B10:C11">
    <cfRule type="expression" priority="30" dxfId="3" stopIfTrue="1">
      <formula>AND(B10&lt;&gt;"",B10=TODAY())</formula>
    </cfRule>
    <cfRule type="expression" priority="31" dxfId="4">
      <formula>AND(B10&lt;&gt;"",COUNTIFS($C$22:$C$210,B10,$O$22:$O$210,"&lt;&gt;Cancelada")&gt;0)</formula>
    </cfRule>
  </conditionalFormatting>
  <conditionalFormatting sqref="D10:E11">
    <cfRule type="expression" priority="32" dxfId="3" stopIfTrue="1">
      <formula>AND(D10&lt;&gt;"",D10=TODAY())</formula>
    </cfRule>
    <cfRule type="expression" priority="33" dxfId="4">
      <formula>AND(D10&lt;&gt;"",COUNTIFS($C$22:$C$210,D10,$O$22:$O$210,"&lt;&gt;Cancelada")&gt;0)</formula>
    </cfRule>
  </conditionalFormatting>
  <conditionalFormatting sqref="F10:G11">
    <cfRule type="expression" priority="34" dxfId="3" stopIfTrue="1">
      <formula>AND(F10&lt;&gt;"",F10=TODAY())</formula>
    </cfRule>
    <cfRule type="expression" priority="35" dxfId="4">
      <formula>AND(F10&lt;&gt;"",COUNTIFS($C$22:$C$210,F10,$O$22:$O$210,"&lt;&gt;Cancelada")&gt;0)</formula>
    </cfRule>
  </conditionalFormatting>
  <conditionalFormatting sqref="H10:I11">
    <cfRule type="expression" priority="36" dxfId="3" stopIfTrue="1">
      <formula>AND(H10&lt;&gt;"",H10=TODAY())</formula>
    </cfRule>
    <cfRule type="expression" priority="37" dxfId="4">
      <formula>AND(H10&lt;&gt;"",COUNTIFS($C$22:$C$210,H10,$O$22:$O$210,"&lt;&gt;Cancelada")&gt;0)</formula>
    </cfRule>
  </conditionalFormatting>
  <conditionalFormatting sqref="J10:K11">
    <cfRule type="expression" priority="38" dxfId="3" stopIfTrue="1">
      <formula>AND(J10&lt;&gt;"",J10=TODAY())</formula>
    </cfRule>
    <cfRule type="expression" priority="39" dxfId="4">
      <formula>AND(J10&lt;&gt;"",COUNTIFS($C$22:$C$210,J10,$O$22:$O$210,"&lt;&gt;Cancelada")&gt;0)</formula>
    </cfRule>
  </conditionalFormatting>
  <conditionalFormatting sqref="L10:M11">
    <cfRule type="expression" priority="40" dxfId="3" stopIfTrue="1">
      <formula>AND(L10&lt;&gt;"",L10=TODAY())</formula>
    </cfRule>
    <cfRule type="expression" priority="41" dxfId="4">
      <formula>AND(L10&lt;&gt;"",COUNTIFS($C$22:$C$210,L10,$O$22:$O$210,"&lt;&gt;Cancelada")&gt;0)</formula>
    </cfRule>
  </conditionalFormatting>
  <conditionalFormatting sqref="N10:O11">
    <cfRule type="expression" priority="42" dxfId="3" stopIfTrue="1">
      <formula>AND(N10&lt;&gt;"",N10=TODAY())</formula>
    </cfRule>
    <cfRule type="expression" priority="43" dxfId="4">
      <formula>AND(N10&lt;&gt;"",COUNTIFS($C$22:$C$210,N10,$O$22:$O$210,"&lt;&gt;Cancelada")&gt;0)</formula>
    </cfRule>
  </conditionalFormatting>
  <conditionalFormatting sqref="B12:C13">
    <cfRule type="expression" priority="44" dxfId="3" stopIfTrue="1">
      <formula>AND(B12&lt;&gt;"",B12=TODAY())</formula>
    </cfRule>
    <cfRule type="expression" priority="45" dxfId="4">
      <formula>AND(B12&lt;&gt;"",COUNTIFS($C$22:$C$210,B12,$O$22:$O$210,"&lt;&gt;Cancelada")&gt;0)</formula>
    </cfRule>
  </conditionalFormatting>
  <conditionalFormatting sqref="D12:E13">
    <cfRule type="expression" priority="46" dxfId="3" stopIfTrue="1">
      <formula>AND(D12&lt;&gt;"",D12=TODAY())</formula>
    </cfRule>
    <cfRule type="expression" priority="47" dxfId="4">
      <formula>AND(D12&lt;&gt;"",COUNTIFS($C$22:$C$210,D12,$O$22:$O$210,"&lt;&gt;Cancelada")&gt;0)</formula>
    </cfRule>
  </conditionalFormatting>
  <conditionalFormatting sqref="F12:G13">
    <cfRule type="expression" priority="48" dxfId="3" stopIfTrue="1">
      <formula>AND(F12&lt;&gt;"",F12=TODAY())</formula>
    </cfRule>
    <cfRule type="expression" priority="49" dxfId="4">
      <formula>AND(F12&lt;&gt;"",COUNTIFS($C$22:$C$210,F12,$O$22:$O$210,"&lt;&gt;Cancelada")&gt;0)</formula>
    </cfRule>
  </conditionalFormatting>
  <conditionalFormatting sqref="H12:I13">
    <cfRule type="expression" priority="50" dxfId="3" stopIfTrue="1">
      <formula>AND(H12&lt;&gt;"",H12=TODAY())</formula>
    </cfRule>
    <cfRule type="expression" priority="51" dxfId="4">
      <formula>AND(H12&lt;&gt;"",COUNTIFS($C$22:$C$210,H12,$O$22:$O$210,"&lt;&gt;Cancelada")&gt;0)</formula>
    </cfRule>
  </conditionalFormatting>
  <conditionalFormatting sqref="J12:K13">
    <cfRule type="expression" priority="52" dxfId="3" stopIfTrue="1">
      <formula>AND(J12&lt;&gt;"",J12=TODAY())</formula>
    </cfRule>
    <cfRule type="expression" priority="53" dxfId="4">
      <formula>AND(J12&lt;&gt;"",COUNTIFS($C$22:$C$210,J12,$O$22:$O$210,"&lt;&gt;Cancelada")&gt;0)</formula>
    </cfRule>
  </conditionalFormatting>
  <conditionalFormatting sqref="L12:M13">
    <cfRule type="expression" priority="54" dxfId="3" stopIfTrue="1">
      <formula>AND(L12&lt;&gt;"",L12=TODAY())</formula>
    </cfRule>
    <cfRule type="expression" priority="55" dxfId="4">
      <formula>AND(L12&lt;&gt;"",COUNTIFS($C$22:$C$210,L12,$O$22:$O$210,"&lt;&gt;Cancelada")&gt;0)</formula>
    </cfRule>
  </conditionalFormatting>
  <conditionalFormatting sqref="N12:O13">
    <cfRule type="expression" priority="56" dxfId="3" stopIfTrue="1">
      <formula>AND(N12&lt;&gt;"",N12=TODAY())</formula>
    </cfRule>
    <cfRule type="expression" priority="57" dxfId="4">
      <formula>AND(N12&lt;&gt;"",COUNTIFS($C$22:$C$210,N12,$O$22:$O$210,"&lt;&gt;Cancelada")&gt;0)</formula>
    </cfRule>
  </conditionalFormatting>
  <conditionalFormatting sqref="B14:C15">
    <cfRule type="expression" priority="58" dxfId="3" stopIfTrue="1">
      <formula>AND(B14&lt;&gt;"",B14=TODAY())</formula>
    </cfRule>
    <cfRule type="expression" priority="59" dxfId="4">
      <formula>AND(B14&lt;&gt;"",COUNTIFS($C$22:$C$210,B14,$O$22:$O$210,"&lt;&gt;Cancelada")&gt;0)</formula>
    </cfRule>
  </conditionalFormatting>
  <conditionalFormatting sqref="D14:E15">
    <cfRule type="expression" priority="60" dxfId="3" stopIfTrue="1">
      <formula>AND(D14&lt;&gt;"",D14=TODAY())</formula>
    </cfRule>
    <cfRule type="expression" priority="61" dxfId="4">
      <formula>AND(D14&lt;&gt;"",COUNTIFS($C$22:$C$210,D14,$O$22:$O$210,"&lt;&gt;Cancelada")&gt;0)</formula>
    </cfRule>
  </conditionalFormatting>
  <conditionalFormatting sqref="R22:R109">
    <cfRule type="expression" priority="62" dxfId="5">
      <formula>$R22="Aprovada"</formula>
    </cfRule>
    <cfRule type="expression" priority="63" dxfId="6">
      <formula>$R22="Atrasada"</formula>
    </cfRule>
    <cfRule type="expression" priority="64" dxfId="7">
      <formula>$R22="Reprovada"</formula>
    </cfRule>
    <cfRule type="expression" priority="65" dxfId="8">
      <formula>$R22="Entregue"</formula>
    </cfRule>
    <cfRule type="expression" priority="66" dxfId="9">
      <formula>$R22="Pendente"</formula>
    </cfRule>
    <cfRule type="expression" priority="67" dxfId="10">
      <formula>$R22="Cancelada"</formula>
    </cfRule>
    <cfRule type="expression" priority="68" dxfId="11">
      <formula>$R22="Não agendado"</formula>
    </cfRule>
  </conditionalFormatting>
  <dataValidations count="3">
    <dataValidation sqref="O22:O109" showDropDown="0" showInputMessage="0" showErrorMessage="0" allowBlank="1" type="list">
      <formula1>"Aprovado,Reprovado,Cancelada"</formula1>
    </dataValidation>
    <dataValidation sqref="J22:J101" showDropDown="0" showInputMessage="0" showErrorMessage="0" allowBlank="1" type="list">
      <formula1>=Setores</formula1>
    </dataValidation>
    <dataValidation sqref="G104:G109" showDropDown="0" showInputMessage="0" showErrorMessage="0" allowBlank="1" type="list">
      <formula1>"A,B,C,Todos"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C36AE"/>
    <outlinePr summaryBelow="1" summaryRight="1"/>
    <pageSetUpPr/>
  </sheetPr>
  <dimension ref="A1:U111"/>
  <sheetViews>
    <sheetView showGridLines="0" workbookViewId="0">
      <selection activeCell="A1" sqref="A1"/>
    </sheetView>
  </sheetViews>
  <sheetFormatPr baseColWidth="8" defaultRowHeight="15"/>
  <cols>
    <col hidden="1"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3" customWidth="1" min="18" max="18"/>
    <col hidden="1" width="4" customWidth="1" min="19" max="19"/>
    <col hidden="1" width="4" customWidth="1" min="20" max="20"/>
    <col hidden="1" width="4" customWidth="1" min="21" max="21"/>
  </cols>
  <sheetData>
    <row r="1" ht="30" customHeight="1">
      <c r="A1" s="16" t="inlineStr">
        <is>
          <t>12 · DEZEMBRO 2026</t>
        </is>
      </c>
      <c r="O1" s="50" t="inlineStr">
        <is>
          <t>GSL BARTOFIL</t>
        </is>
      </c>
    </row>
    <row r="2" ht="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>
      <c r="A3" s="51">
        <f>IF((COUNTIF($R$22:$R$210,"Aprovada")+COUNTIF($R$22:$R$210,"Entregue")+COUNTIF($R$22:$R$210,"Pendente")+COUNTIF($R$22:$R$210,"Atrasada")+COUNTIF($R$22:$R$210,"Reprovada"))=0,"",IF(COUNTIF($R$22:$R$210,"Aprovada")=(COUNTIF($R$22:$R$210,"Aprovada")+COUNTIF($R$22:$R$210,"Entregue")+COUNTIF($R$22:$R$210,"Pendente")+COUNTIF($R$22:$R$210,"Atrasada")+COUNTIF($R$22:$R$210,"Reprovada")),"MÊS CONCLUÍDO — todas as atividades aprovadas","EM ANDAMENTO — "&amp;COUNTIF($R$22:$R$210,"Aprovada")&amp;" de "&amp;(COUNTIF($R$22:$R$210,"Aprovada")+COUNTIF($R$22:$R$210,"Entregue")+COUNTIF($R$22:$R$210,"Pendente")+COUNTIF($R$22:$R$210,"Atrasada")+COUNTIF($R$22:$R$210,"Reprovada"))&amp;" atividades aprovadas"))</f>
        <v/>
      </c>
    </row>
    <row r="5">
      <c r="B5" s="52" t="inlineStr">
        <is>
          <t>DOM</t>
        </is>
      </c>
      <c r="C5" s="53" t="n"/>
      <c r="D5" s="52" t="inlineStr">
        <is>
          <t>SEG</t>
        </is>
      </c>
      <c r="E5" s="53" t="n"/>
      <c r="F5" s="52" t="inlineStr">
        <is>
          <t>TER</t>
        </is>
      </c>
      <c r="G5" s="53" t="n"/>
      <c r="H5" s="52" t="inlineStr">
        <is>
          <t>QUA</t>
        </is>
      </c>
      <c r="I5" s="53" t="n"/>
      <c r="J5" s="52" t="inlineStr">
        <is>
          <t>QUI</t>
        </is>
      </c>
      <c r="K5" s="53" t="n"/>
      <c r="L5" s="54" t="inlineStr">
        <is>
          <t>SEX</t>
        </is>
      </c>
      <c r="M5" s="53" t="n"/>
      <c r="N5" s="52" t="inlineStr">
        <is>
          <t>SÁB</t>
        </is>
      </c>
      <c r="O5" s="53" t="n"/>
    </row>
    <row r="6" ht="20" customHeight="1">
      <c r="B6" s="55" t="n"/>
      <c r="C6" s="56" t="n"/>
      <c r="D6" s="55" t="n"/>
      <c r="E6" s="56" t="n"/>
      <c r="F6" s="57" t="n">
        <v>46357</v>
      </c>
      <c r="G6" s="58" t="n"/>
      <c r="H6" s="57" t="n">
        <v>46358</v>
      </c>
      <c r="I6" s="58" t="n"/>
      <c r="J6" s="57" t="n">
        <v>46359</v>
      </c>
      <c r="K6" s="58" t="n"/>
      <c r="L6" s="57" t="n">
        <v>46360</v>
      </c>
      <c r="M6" s="58" t="n"/>
      <c r="N6" s="57" t="n">
        <v>46361</v>
      </c>
      <c r="O6" s="58" t="n"/>
    </row>
    <row r="7" ht="26" customHeight="1">
      <c r="B7" s="59" t="n"/>
      <c r="C7" s="60" t="n"/>
      <c r="D7" s="59" t="n"/>
      <c r="E7" s="60" t="n"/>
      <c r="F7" s="61">
        <f>IF(F6="","",TRIM(IF(COUNTIFS($C$22:$C$210,F6,$D$22:$D$210,"*Erros*",$O$22:$O$210,"&lt;&gt;Cancelada")&gt;0,"Erros ","")&amp;IF(COUNTIFS($C$22:$C$210,F6,$D$22:$D$210,"*Suporte*",$O$22:$O$210,"&lt;&gt;Cancelada")&gt;0,"Suporte ","")&amp;IF(COUNTIFS($C$22:$C$210,F6,$D$22:$D$210,"*Vistoria*",$O$22:$O$210,"&lt;&gt;Cancelada")&gt;0,"Vistoria ","")&amp;IF(COUNTIFS($C$22:$C$210,F6,$D$22:$D$210,"*Metas*",$O$22:$O$210,"&lt;&gt;Cancelada")&gt;0,"Metas ","")&amp;IF(COUNTIFS($C$22:$C$210,F6,$D$22:$D$210,"*Faltas*",$O$22:$O$210,"&lt;&gt;Cancelada")&gt;0,"Faltas ","")&amp;IF(COUNTIFS($C$22:$C$210,F6,$D$22:$D$210,"*Semanal c/*",$O$22:$O$210,"&lt;&gt;Cancelada")&gt;0,"Acomp. ","")&amp;IF(COUNTIFS($C$22:$C$210,F6,$D$22:$D$210,"*Reunião*",$O$22:$O$210,"&lt;&gt;Cancelada")&gt;0,"Reunião ","")&amp;IF(COUNTIFS($C$22:$C$210,F6,$D$22:$D$210,"*Férias*",$O$22:$O$210,"&lt;&gt;Cancelada")&gt;0,"Férias ","")&amp;IF(COUNTIFS($C$22:$C$210,F6,$D$22:$D$210,"*Mudança*",$O$22:$O$210,"&lt;&gt;Cancelada")&gt;0,"M.Função ","")&amp;IF(COUNTIFS($C$22:$C$210,F6,$D$22:$D$210,"*Treinamento*",$O$22:$O$210,"&lt;&gt;Cancelada")&gt;0,"Trein. ","")))</f>
        <v/>
      </c>
      <c r="G7" s="62" t="n"/>
      <c r="H7" s="61">
        <f>IF(H6="","",TRIM(IF(COUNTIFS($C$22:$C$210,H6,$D$22:$D$210,"*Erros*",$O$22:$O$210,"&lt;&gt;Cancelada")&gt;0,"Erros ","")&amp;IF(COUNTIFS($C$22:$C$210,H6,$D$22:$D$210,"*Suporte*",$O$22:$O$210,"&lt;&gt;Cancelada")&gt;0,"Suporte ","")&amp;IF(COUNTIFS($C$22:$C$210,H6,$D$22:$D$210,"*Vistoria*",$O$22:$O$210,"&lt;&gt;Cancelada")&gt;0,"Vistoria ","")&amp;IF(COUNTIFS($C$22:$C$210,H6,$D$22:$D$210,"*Metas*",$O$22:$O$210,"&lt;&gt;Cancelada")&gt;0,"Metas ","")&amp;IF(COUNTIFS($C$22:$C$210,H6,$D$22:$D$210,"*Faltas*",$O$22:$O$210,"&lt;&gt;Cancelada")&gt;0,"Faltas ","")&amp;IF(COUNTIFS($C$22:$C$210,H6,$D$22:$D$210,"*Semanal c/*",$O$22:$O$210,"&lt;&gt;Cancelada")&gt;0,"Acomp. ","")&amp;IF(COUNTIFS($C$22:$C$210,H6,$D$22:$D$210,"*Reunião*",$O$22:$O$210,"&lt;&gt;Cancelada")&gt;0,"Reunião ","")&amp;IF(COUNTIFS($C$22:$C$210,H6,$D$22:$D$210,"*Férias*",$O$22:$O$210,"&lt;&gt;Cancelada")&gt;0,"Férias ","")&amp;IF(COUNTIFS($C$22:$C$210,H6,$D$22:$D$210,"*Mudança*",$O$22:$O$210,"&lt;&gt;Cancelada")&gt;0,"M.Função ","")&amp;IF(COUNTIFS($C$22:$C$210,H6,$D$22:$D$210,"*Treinamento*",$O$22:$O$210,"&lt;&gt;Cancelada")&gt;0,"Trein. ","")))</f>
        <v/>
      </c>
      <c r="I7" s="62" t="n"/>
      <c r="J7" s="61">
        <f>IF(J6="","",TRIM(IF(COUNTIFS($C$22:$C$210,J6,$D$22:$D$210,"*Erros*",$O$22:$O$210,"&lt;&gt;Cancelada")&gt;0,"Erros ","")&amp;IF(COUNTIFS($C$22:$C$210,J6,$D$22:$D$210,"*Suporte*",$O$22:$O$210,"&lt;&gt;Cancelada")&gt;0,"Suporte ","")&amp;IF(COUNTIFS($C$22:$C$210,J6,$D$22:$D$210,"*Vistoria*",$O$22:$O$210,"&lt;&gt;Cancelada")&gt;0,"Vistoria ","")&amp;IF(COUNTIFS($C$22:$C$210,J6,$D$22:$D$210,"*Metas*",$O$22:$O$210,"&lt;&gt;Cancelada")&gt;0,"Metas ","")&amp;IF(COUNTIFS($C$22:$C$210,J6,$D$22:$D$210,"*Faltas*",$O$22:$O$210,"&lt;&gt;Cancelada")&gt;0,"Faltas ","")&amp;IF(COUNTIFS($C$22:$C$210,J6,$D$22:$D$210,"*Semanal c/*",$O$22:$O$210,"&lt;&gt;Cancelada")&gt;0,"Acomp. ","")&amp;IF(COUNTIFS($C$22:$C$210,J6,$D$22:$D$210,"*Reunião*",$O$22:$O$210,"&lt;&gt;Cancelada")&gt;0,"Reunião ","")&amp;IF(COUNTIFS($C$22:$C$210,J6,$D$22:$D$210,"*Férias*",$O$22:$O$210,"&lt;&gt;Cancelada")&gt;0,"Férias ","")&amp;IF(COUNTIFS($C$22:$C$210,J6,$D$22:$D$210,"*Mudança*",$O$22:$O$210,"&lt;&gt;Cancelada")&gt;0,"M.Função ","")&amp;IF(COUNTIFS($C$22:$C$210,J6,$D$22:$D$210,"*Treinamento*",$O$22:$O$210,"&lt;&gt;Cancelada")&gt;0,"Trein. ","")))</f>
        <v/>
      </c>
      <c r="K7" s="62" t="n"/>
      <c r="L7" s="61">
        <f>IF(L6="","",TRIM(IF(COUNTIFS($C$22:$C$210,L6,$D$22:$D$210,"*Erros*",$O$22:$O$210,"&lt;&gt;Cancelada")&gt;0,"Erros ","")&amp;IF(COUNTIFS($C$22:$C$210,L6,$D$22:$D$210,"*Suporte*",$O$22:$O$210,"&lt;&gt;Cancelada")&gt;0,"Suporte ","")&amp;IF(COUNTIFS($C$22:$C$210,L6,$D$22:$D$210,"*Vistoria*",$O$22:$O$210,"&lt;&gt;Cancelada")&gt;0,"Vistoria ","")&amp;IF(COUNTIFS($C$22:$C$210,L6,$D$22:$D$210,"*Metas*",$O$22:$O$210,"&lt;&gt;Cancelada")&gt;0,"Metas ","")&amp;IF(COUNTIFS($C$22:$C$210,L6,$D$22:$D$210,"*Faltas*",$O$22:$O$210,"&lt;&gt;Cancelada")&gt;0,"Faltas ","")&amp;IF(COUNTIFS($C$22:$C$210,L6,$D$22:$D$210,"*Semanal c/*",$O$22:$O$210,"&lt;&gt;Cancelada")&gt;0,"Acomp. ","")&amp;IF(COUNTIFS($C$22:$C$210,L6,$D$22:$D$210,"*Reunião*",$O$22:$O$210,"&lt;&gt;Cancelada")&gt;0,"Reunião ","")&amp;IF(COUNTIFS($C$22:$C$210,L6,$D$22:$D$210,"*Férias*",$O$22:$O$210,"&lt;&gt;Cancelada")&gt;0,"Férias ","")&amp;IF(COUNTIFS($C$22:$C$210,L6,$D$22:$D$210,"*Mudança*",$O$22:$O$210,"&lt;&gt;Cancelada")&gt;0,"M.Função ","")&amp;IF(COUNTIFS($C$22:$C$210,L6,$D$22:$D$210,"*Treinamento*",$O$22:$O$210,"&lt;&gt;Cancelada")&gt;0,"Trein. ","")))</f>
        <v/>
      </c>
      <c r="M7" s="62" t="n"/>
      <c r="N7" s="61">
        <f>IF(N6="","",TRIM(IF(COUNTIFS($C$22:$C$210,N6,$D$22:$D$210,"*Erros*",$O$22:$O$210,"&lt;&gt;Cancelada")&gt;0,"Erros ","")&amp;IF(COUNTIFS($C$22:$C$210,N6,$D$22:$D$210,"*Suporte*",$O$22:$O$210,"&lt;&gt;Cancelada")&gt;0,"Suporte ","")&amp;IF(COUNTIFS($C$22:$C$210,N6,$D$22:$D$210,"*Vistoria*",$O$22:$O$210,"&lt;&gt;Cancelada")&gt;0,"Vistoria ","")&amp;IF(COUNTIFS($C$22:$C$210,N6,$D$22:$D$210,"*Metas*",$O$22:$O$210,"&lt;&gt;Cancelada")&gt;0,"Metas ","")&amp;IF(COUNTIFS($C$22:$C$210,N6,$D$22:$D$210,"*Faltas*",$O$22:$O$210,"&lt;&gt;Cancelada")&gt;0,"Faltas ","")&amp;IF(COUNTIFS($C$22:$C$210,N6,$D$22:$D$210,"*Semanal c/*",$O$22:$O$210,"&lt;&gt;Cancelada")&gt;0,"Acomp. ","")&amp;IF(COUNTIFS($C$22:$C$210,N6,$D$22:$D$210,"*Reunião*",$O$22:$O$210,"&lt;&gt;Cancelada")&gt;0,"Reunião ","")&amp;IF(COUNTIFS($C$22:$C$210,N6,$D$22:$D$210,"*Férias*",$O$22:$O$210,"&lt;&gt;Cancelada")&gt;0,"Férias ","")&amp;IF(COUNTIFS($C$22:$C$210,N6,$D$22:$D$210,"*Mudança*",$O$22:$O$210,"&lt;&gt;Cancelada")&gt;0,"M.Função ","")&amp;IF(COUNTIFS($C$22:$C$210,N6,$D$22:$D$210,"*Treinamento*",$O$22:$O$210,"&lt;&gt;Cancelada")&gt;0,"Trein. ","")))</f>
        <v/>
      </c>
      <c r="O7" s="62" t="n"/>
    </row>
    <row r="8" ht="20" customHeight="1">
      <c r="B8" s="57" t="n">
        <v>46362</v>
      </c>
      <c r="C8" s="58" t="n"/>
      <c r="D8" s="57" t="n">
        <v>46363</v>
      </c>
      <c r="E8" s="58" t="n"/>
      <c r="F8" s="57" t="n">
        <v>46364</v>
      </c>
      <c r="G8" s="58" t="n"/>
      <c r="H8" s="57" t="n">
        <v>46365</v>
      </c>
      <c r="I8" s="58" t="n"/>
      <c r="J8" s="57" t="n">
        <v>46366</v>
      </c>
      <c r="K8" s="58" t="n"/>
      <c r="L8" s="57" t="n">
        <v>46367</v>
      </c>
      <c r="M8" s="58" t="n"/>
      <c r="N8" s="57" t="n">
        <v>46368</v>
      </c>
      <c r="O8" s="58" t="n"/>
    </row>
    <row r="9" ht="26" customHeight="1">
      <c r="B9" s="61">
        <f>IF(B8="","",TRIM(IF(COUNTIFS($C$22:$C$210,B8,$D$22:$D$210,"*Erros*",$O$22:$O$210,"&lt;&gt;Cancelada")&gt;0,"Erros ","")&amp;IF(COUNTIFS($C$22:$C$210,B8,$D$22:$D$210,"*Suporte*",$O$22:$O$210,"&lt;&gt;Cancelada")&gt;0,"Suporte ","")&amp;IF(COUNTIFS($C$22:$C$210,B8,$D$22:$D$210,"*Vistoria*",$O$22:$O$210,"&lt;&gt;Cancelada")&gt;0,"Vistoria ","")&amp;IF(COUNTIFS($C$22:$C$210,B8,$D$22:$D$210,"*Metas*",$O$22:$O$210,"&lt;&gt;Cancelada")&gt;0,"Metas ","")&amp;IF(COUNTIFS($C$22:$C$210,B8,$D$22:$D$210,"*Faltas*",$O$22:$O$210,"&lt;&gt;Cancelada")&gt;0,"Faltas ","")&amp;IF(COUNTIFS($C$22:$C$210,B8,$D$22:$D$210,"*Semanal c/*",$O$22:$O$210,"&lt;&gt;Cancelada")&gt;0,"Acomp. ","")&amp;IF(COUNTIFS($C$22:$C$210,B8,$D$22:$D$210,"*Reunião*",$O$22:$O$210,"&lt;&gt;Cancelada")&gt;0,"Reunião ","")&amp;IF(COUNTIFS($C$22:$C$210,B8,$D$22:$D$210,"*Férias*",$O$22:$O$210,"&lt;&gt;Cancelada")&gt;0,"Férias ","")&amp;IF(COUNTIFS($C$22:$C$210,B8,$D$22:$D$210,"*Mudança*",$O$22:$O$210,"&lt;&gt;Cancelada")&gt;0,"M.Função ","")&amp;IF(COUNTIFS($C$22:$C$210,B8,$D$22:$D$210,"*Treinamento*",$O$22:$O$210,"&lt;&gt;Cancelada")&gt;0,"Trein. ","")))</f>
        <v/>
      </c>
      <c r="C9" s="62" t="n"/>
      <c r="D9" s="61">
        <f>IF(D8="","",TRIM(IF(COUNTIFS($C$22:$C$210,D8,$D$22:$D$210,"*Erros*",$O$22:$O$210,"&lt;&gt;Cancelada")&gt;0,"Erros ","")&amp;IF(COUNTIFS($C$22:$C$210,D8,$D$22:$D$210,"*Suporte*",$O$22:$O$210,"&lt;&gt;Cancelada")&gt;0,"Suporte ","")&amp;IF(COUNTIFS($C$22:$C$210,D8,$D$22:$D$210,"*Vistoria*",$O$22:$O$210,"&lt;&gt;Cancelada")&gt;0,"Vistoria ","")&amp;IF(COUNTIFS($C$22:$C$210,D8,$D$22:$D$210,"*Metas*",$O$22:$O$210,"&lt;&gt;Cancelada")&gt;0,"Metas ","")&amp;IF(COUNTIFS($C$22:$C$210,D8,$D$22:$D$210,"*Faltas*",$O$22:$O$210,"&lt;&gt;Cancelada")&gt;0,"Faltas ","")&amp;IF(COUNTIFS($C$22:$C$210,D8,$D$22:$D$210,"*Semanal c/*",$O$22:$O$210,"&lt;&gt;Cancelada")&gt;0,"Acomp. ","")&amp;IF(COUNTIFS($C$22:$C$210,D8,$D$22:$D$210,"*Reunião*",$O$22:$O$210,"&lt;&gt;Cancelada")&gt;0,"Reunião ","")&amp;IF(COUNTIFS($C$22:$C$210,D8,$D$22:$D$210,"*Férias*",$O$22:$O$210,"&lt;&gt;Cancelada")&gt;0,"Férias ","")&amp;IF(COUNTIFS($C$22:$C$210,D8,$D$22:$D$210,"*Mudança*",$O$22:$O$210,"&lt;&gt;Cancelada")&gt;0,"M.Função ","")&amp;IF(COUNTIFS($C$22:$C$210,D8,$D$22:$D$210,"*Treinamento*",$O$22:$O$210,"&lt;&gt;Cancelada")&gt;0,"Trein. ","")))</f>
        <v/>
      </c>
      <c r="E9" s="62" t="n"/>
      <c r="F9" s="61">
        <f>IF(F8="","",TRIM(IF(COUNTIFS($C$22:$C$210,F8,$D$22:$D$210,"*Erros*",$O$22:$O$210,"&lt;&gt;Cancelada")&gt;0,"Erros ","")&amp;IF(COUNTIFS($C$22:$C$210,F8,$D$22:$D$210,"*Suporte*",$O$22:$O$210,"&lt;&gt;Cancelada")&gt;0,"Suporte ","")&amp;IF(COUNTIFS($C$22:$C$210,F8,$D$22:$D$210,"*Vistoria*",$O$22:$O$210,"&lt;&gt;Cancelada")&gt;0,"Vistoria ","")&amp;IF(COUNTIFS($C$22:$C$210,F8,$D$22:$D$210,"*Metas*",$O$22:$O$210,"&lt;&gt;Cancelada")&gt;0,"Metas ","")&amp;IF(COUNTIFS($C$22:$C$210,F8,$D$22:$D$210,"*Faltas*",$O$22:$O$210,"&lt;&gt;Cancelada")&gt;0,"Faltas ","")&amp;IF(COUNTIFS($C$22:$C$210,F8,$D$22:$D$210,"*Semanal c/*",$O$22:$O$210,"&lt;&gt;Cancelada")&gt;0,"Acomp. ","")&amp;IF(COUNTIFS($C$22:$C$210,F8,$D$22:$D$210,"*Reunião*",$O$22:$O$210,"&lt;&gt;Cancelada")&gt;0,"Reunião ","")&amp;IF(COUNTIFS($C$22:$C$210,F8,$D$22:$D$210,"*Férias*",$O$22:$O$210,"&lt;&gt;Cancelada")&gt;0,"Férias ","")&amp;IF(COUNTIFS($C$22:$C$210,F8,$D$22:$D$210,"*Mudança*",$O$22:$O$210,"&lt;&gt;Cancelada")&gt;0,"M.Função ","")&amp;IF(COUNTIFS($C$22:$C$210,F8,$D$22:$D$210,"*Treinamento*",$O$22:$O$210,"&lt;&gt;Cancelada")&gt;0,"Trein. ","")))</f>
        <v/>
      </c>
      <c r="G9" s="62" t="n"/>
      <c r="H9" s="61">
        <f>IF(H8="","",TRIM(IF(COUNTIFS($C$22:$C$210,H8,$D$22:$D$210,"*Erros*",$O$22:$O$210,"&lt;&gt;Cancelada")&gt;0,"Erros ","")&amp;IF(COUNTIFS($C$22:$C$210,H8,$D$22:$D$210,"*Suporte*",$O$22:$O$210,"&lt;&gt;Cancelada")&gt;0,"Suporte ","")&amp;IF(COUNTIFS($C$22:$C$210,H8,$D$22:$D$210,"*Vistoria*",$O$22:$O$210,"&lt;&gt;Cancelada")&gt;0,"Vistoria ","")&amp;IF(COUNTIFS($C$22:$C$210,H8,$D$22:$D$210,"*Metas*",$O$22:$O$210,"&lt;&gt;Cancelada")&gt;0,"Metas ","")&amp;IF(COUNTIFS($C$22:$C$210,H8,$D$22:$D$210,"*Faltas*",$O$22:$O$210,"&lt;&gt;Cancelada")&gt;0,"Faltas ","")&amp;IF(COUNTIFS($C$22:$C$210,H8,$D$22:$D$210,"*Semanal c/*",$O$22:$O$210,"&lt;&gt;Cancelada")&gt;0,"Acomp. ","")&amp;IF(COUNTIFS($C$22:$C$210,H8,$D$22:$D$210,"*Reunião*",$O$22:$O$210,"&lt;&gt;Cancelada")&gt;0,"Reunião ","")&amp;IF(COUNTIFS($C$22:$C$210,H8,$D$22:$D$210,"*Férias*",$O$22:$O$210,"&lt;&gt;Cancelada")&gt;0,"Férias ","")&amp;IF(COUNTIFS($C$22:$C$210,H8,$D$22:$D$210,"*Mudança*",$O$22:$O$210,"&lt;&gt;Cancelada")&gt;0,"M.Função ","")&amp;IF(COUNTIFS($C$22:$C$210,H8,$D$22:$D$210,"*Treinamento*",$O$22:$O$210,"&lt;&gt;Cancelada")&gt;0,"Trein. ","")))</f>
        <v/>
      </c>
      <c r="I9" s="62" t="n"/>
      <c r="J9" s="61">
        <f>IF(J8="","",TRIM(IF(COUNTIFS($C$22:$C$210,J8,$D$22:$D$210,"*Erros*",$O$22:$O$210,"&lt;&gt;Cancelada")&gt;0,"Erros ","")&amp;IF(COUNTIFS($C$22:$C$210,J8,$D$22:$D$210,"*Suporte*",$O$22:$O$210,"&lt;&gt;Cancelada")&gt;0,"Suporte ","")&amp;IF(COUNTIFS($C$22:$C$210,J8,$D$22:$D$210,"*Vistoria*",$O$22:$O$210,"&lt;&gt;Cancelada")&gt;0,"Vistoria ","")&amp;IF(COUNTIFS($C$22:$C$210,J8,$D$22:$D$210,"*Metas*",$O$22:$O$210,"&lt;&gt;Cancelada")&gt;0,"Metas ","")&amp;IF(COUNTIFS($C$22:$C$210,J8,$D$22:$D$210,"*Faltas*",$O$22:$O$210,"&lt;&gt;Cancelada")&gt;0,"Faltas ","")&amp;IF(COUNTIFS($C$22:$C$210,J8,$D$22:$D$210,"*Semanal c/*",$O$22:$O$210,"&lt;&gt;Cancelada")&gt;0,"Acomp. ","")&amp;IF(COUNTIFS($C$22:$C$210,J8,$D$22:$D$210,"*Reunião*",$O$22:$O$210,"&lt;&gt;Cancelada")&gt;0,"Reunião ","")&amp;IF(COUNTIFS($C$22:$C$210,J8,$D$22:$D$210,"*Férias*",$O$22:$O$210,"&lt;&gt;Cancelada")&gt;0,"Férias ","")&amp;IF(COUNTIFS($C$22:$C$210,J8,$D$22:$D$210,"*Mudança*",$O$22:$O$210,"&lt;&gt;Cancelada")&gt;0,"M.Função ","")&amp;IF(COUNTIFS($C$22:$C$210,J8,$D$22:$D$210,"*Treinamento*",$O$22:$O$210,"&lt;&gt;Cancelada")&gt;0,"Trein. ","")))</f>
        <v/>
      </c>
      <c r="K9" s="62" t="n"/>
      <c r="L9" s="61">
        <f>IF(L8="","",TRIM(IF(COUNTIFS($C$22:$C$210,L8,$D$22:$D$210,"*Erros*",$O$22:$O$210,"&lt;&gt;Cancelada")&gt;0,"Erros ","")&amp;IF(COUNTIFS($C$22:$C$210,L8,$D$22:$D$210,"*Suporte*",$O$22:$O$210,"&lt;&gt;Cancelada")&gt;0,"Suporte ","")&amp;IF(COUNTIFS($C$22:$C$210,L8,$D$22:$D$210,"*Vistoria*",$O$22:$O$210,"&lt;&gt;Cancelada")&gt;0,"Vistoria ","")&amp;IF(COUNTIFS($C$22:$C$210,L8,$D$22:$D$210,"*Metas*",$O$22:$O$210,"&lt;&gt;Cancelada")&gt;0,"Metas ","")&amp;IF(COUNTIFS($C$22:$C$210,L8,$D$22:$D$210,"*Faltas*",$O$22:$O$210,"&lt;&gt;Cancelada")&gt;0,"Faltas ","")&amp;IF(COUNTIFS($C$22:$C$210,L8,$D$22:$D$210,"*Semanal c/*",$O$22:$O$210,"&lt;&gt;Cancelada")&gt;0,"Acomp. ","")&amp;IF(COUNTIFS($C$22:$C$210,L8,$D$22:$D$210,"*Reunião*",$O$22:$O$210,"&lt;&gt;Cancelada")&gt;0,"Reunião ","")&amp;IF(COUNTIFS($C$22:$C$210,L8,$D$22:$D$210,"*Férias*",$O$22:$O$210,"&lt;&gt;Cancelada")&gt;0,"Férias ","")&amp;IF(COUNTIFS($C$22:$C$210,L8,$D$22:$D$210,"*Mudança*",$O$22:$O$210,"&lt;&gt;Cancelada")&gt;0,"M.Função ","")&amp;IF(COUNTIFS($C$22:$C$210,L8,$D$22:$D$210,"*Treinamento*",$O$22:$O$210,"&lt;&gt;Cancelada")&gt;0,"Trein. ","")))</f>
        <v/>
      </c>
      <c r="M9" s="62" t="n"/>
      <c r="N9" s="61">
        <f>IF(N8="","",TRIM(IF(COUNTIFS($C$22:$C$210,N8,$D$22:$D$210,"*Erros*",$O$22:$O$210,"&lt;&gt;Cancelada")&gt;0,"Erros ","")&amp;IF(COUNTIFS($C$22:$C$210,N8,$D$22:$D$210,"*Suporte*",$O$22:$O$210,"&lt;&gt;Cancelada")&gt;0,"Suporte ","")&amp;IF(COUNTIFS($C$22:$C$210,N8,$D$22:$D$210,"*Vistoria*",$O$22:$O$210,"&lt;&gt;Cancelada")&gt;0,"Vistoria ","")&amp;IF(COUNTIFS($C$22:$C$210,N8,$D$22:$D$210,"*Metas*",$O$22:$O$210,"&lt;&gt;Cancelada")&gt;0,"Metas ","")&amp;IF(COUNTIFS($C$22:$C$210,N8,$D$22:$D$210,"*Faltas*",$O$22:$O$210,"&lt;&gt;Cancelada")&gt;0,"Faltas ","")&amp;IF(COUNTIFS($C$22:$C$210,N8,$D$22:$D$210,"*Semanal c/*",$O$22:$O$210,"&lt;&gt;Cancelada")&gt;0,"Acomp. ","")&amp;IF(COUNTIFS($C$22:$C$210,N8,$D$22:$D$210,"*Reunião*",$O$22:$O$210,"&lt;&gt;Cancelada")&gt;0,"Reunião ","")&amp;IF(COUNTIFS($C$22:$C$210,N8,$D$22:$D$210,"*Férias*",$O$22:$O$210,"&lt;&gt;Cancelada")&gt;0,"Férias ","")&amp;IF(COUNTIFS($C$22:$C$210,N8,$D$22:$D$210,"*Mudança*",$O$22:$O$210,"&lt;&gt;Cancelada")&gt;0,"M.Função ","")&amp;IF(COUNTIFS($C$22:$C$210,N8,$D$22:$D$210,"*Treinamento*",$O$22:$O$210,"&lt;&gt;Cancelada")&gt;0,"Trein. ","")))</f>
        <v/>
      </c>
      <c r="O9" s="62" t="n"/>
    </row>
    <row r="10" ht="20" customHeight="1">
      <c r="B10" s="57" t="n">
        <v>46369</v>
      </c>
      <c r="C10" s="58" t="n"/>
      <c r="D10" s="57" t="n">
        <v>46370</v>
      </c>
      <c r="E10" s="58" t="n"/>
      <c r="F10" s="57" t="n">
        <v>46371</v>
      </c>
      <c r="G10" s="58" t="n"/>
      <c r="H10" s="57" t="n">
        <v>46372</v>
      </c>
      <c r="I10" s="58" t="n"/>
      <c r="J10" s="57" t="n">
        <v>46373</v>
      </c>
      <c r="K10" s="58" t="n"/>
      <c r="L10" s="57" t="n">
        <v>46374</v>
      </c>
      <c r="M10" s="58" t="n"/>
      <c r="N10" s="57" t="n">
        <v>46375</v>
      </c>
      <c r="O10" s="58" t="n"/>
    </row>
    <row r="11" ht="26" customHeight="1">
      <c r="B11" s="61">
        <f>IF(B10="","",TRIM(IF(COUNTIFS($C$22:$C$210,B10,$D$22:$D$210,"*Erros*",$O$22:$O$210,"&lt;&gt;Cancelada")&gt;0,"Erros ","")&amp;IF(COUNTIFS($C$22:$C$210,B10,$D$22:$D$210,"*Suporte*",$O$22:$O$210,"&lt;&gt;Cancelada")&gt;0,"Suporte ","")&amp;IF(COUNTIFS($C$22:$C$210,B10,$D$22:$D$210,"*Vistoria*",$O$22:$O$210,"&lt;&gt;Cancelada")&gt;0,"Vistoria ","")&amp;IF(COUNTIFS($C$22:$C$210,B10,$D$22:$D$210,"*Metas*",$O$22:$O$210,"&lt;&gt;Cancelada")&gt;0,"Metas ","")&amp;IF(COUNTIFS($C$22:$C$210,B10,$D$22:$D$210,"*Faltas*",$O$22:$O$210,"&lt;&gt;Cancelada")&gt;0,"Faltas ","")&amp;IF(COUNTIFS($C$22:$C$210,B10,$D$22:$D$210,"*Semanal c/*",$O$22:$O$210,"&lt;&gt;Cancelada")&gt;0,"Acomp. ","")&amp;IF(COUNTIFS($C$22:$C$210,B10,$D$22:$D$210,"*Reunião*",$O$22:$O$210,"&lt;&gt;Cancelada")&gt;0,"Reunião ","")&amp;IF(COUNTIFS($C$22:$C$210,B10,$D$22:$D$210,"*Férias*",$O$22:$O$210,"&lt;&gt;Cancelada")&gt;0,"Férias ","")&amp;IF(COUNTIFS($C$22:$C$210,B10,$D$22:$D$210,"*Mudança*",$O$22:$O$210,"&lt;&gt;Cancelada")&gt;0,"M.Função ","")&amp;IF(COUNTIFS($C$22:$C$210,B10,$D$22:$D$210,"*Treinamento*",$O$22:$O$210,"&lt;&gt;Cancelada")&gt;0,"Trein. ","")))</f>
        <v/>
      </c>
      <c r="C11" s="62" t="n"/>
      <c r="D11" s="61">
        <f>IF(D10="","",TRIM(IF(COUNTIFS($C$22:$C$210,D10,$D$22:$D$210,"*Erros*",$O$22:$O$210,"&lt;&gt;Cancelada")&gt;0,"Erros ","")&amp;IF(COUNTIFS($C$22:$C$210,D10,$D$22:$D$210,"*Suporte*",$O$22:$O$210,"&lt;&gt;Cancelada")&gt;0,"Suporte ","")&amp;IF(COUNTIFS($C$22:$C$210,D10,$D$22:$D$210,"*Vistoria*",$O$22:$O$210,"&lt;&gt;Cancelada")&gt;0,"Vistoria ","")&amp;IF(COUNTIFS($C$22:$C$210,D10,$D$22:$D$210,"*Metas*",$O$22:$O$210,"&lt;&gt;Cancelada")&gt;0,"Metas ","")&amp;IF(COUNTIFS($C$22:$C$210,D10,$D$22:$D$210,"*Faltas*",$O$22:$O$210,"&lt;&gt;Cancelada")&gt;0,"Faltas ","")&amp;IF(COUNTIFS($C$22:$C$210,D10,$D$22:$D$210,"*Semanal c/*",$O$22:$O$210,"&lt;&gt;Cancelada")&gt;0,"Acomp. ","")&amp;IF(COUNTIFS($C$22:$C$210,D10,$D$22:$D$210,"*Reunião*",$O$22:$O$210,"&lt;&gt;Cancelada")&gt;0,"Reunião ","")&amp;IF(COUNTIFS($C$22:$C$210,D10,$D$22:$D$210,"*Férias*",$O$22:$O$210,"&lt;&gt;Cancelada")&gt;0,"Férias ","")&amp;IF(COUNTIFS($C$22:$C$210,D10,$D$22:$D$210,"*Mudança*",$O$22:$O$210,"&lt;&gt;Cancelada")&gt;0,"M.Função ","")&amp;IF(COUNTIFS($C$22:$C$210,D10,$D$22:$D$210,"*Treinamento*",$O$22:$O$210,"&lt;&gt;Cancelada")&gt;0,"Trein. ","")))</f>
        <v/>
      </c>
      <c r="E11" s="62" t="n"/>
      <c r="F11" s="61">
        <f>IF(F10="","",TRIM(IF(COUNTIFS($C$22:$C$210,F10,$D$22:$D$210,"*Erros*",$O$22:$O$210,"&lt;&gt;Cancelada")&gt;0,"Erros ","")&amp;IF(COUNTIFS($C$22:$C$210,F10,$D$22:$D$210,"*Suporte*",$O$22:$O$210,"&lt;&gt;Cancelada")&gt;0,"Suporte ","")&amp;IF(COUNTIFS($C$22:$C$210,F10,$D$22:$D$210,"*Vistoria*",$O$22:$O$210,"&lt;&gt;Cancelada")&gt;0,"Vistoria ","")&amp;IF(COUNTIFS($C$22:$C$210,F10,$D$22:$D$210,"*Metas*",$O$22:$O$210,"&lt;&gt;Cancelada")&gt;0,"Metas ","")&amp;IF(COUNTIFS($C$22:$C$210,F10,$D$22:$D$210,"*Faltas*",$O$22:$O$210,"&lt;&gt;Cancelada")&gt;0,"Faltas ","")&amp;IF(COUNTIFS($C$22:$C$210,F10,$D$22:$D$210,"*Semanal c/*",$O$22:$O$210,"&lt;&gt;Cancelada")&gt;0,"Acomp. ","")&amp;IF(COUNTIFS($C$22:$C$210,F10,$D$22:$D$210,"*Reunião*",$O$22:$O$210,"&lt;&gt;Cancelada")&gt;0,"Reunião ","")&amp;IF(COUNTIFS($C$22:$C$210,F10,$D$22:$D$210,"*Férias*",$O$22:$O$210,"&lt;&gt;Cancelada")&gt;0,"Férias ","")&amp;IF(COUNTIFS($C$22:$C$210,F10,$D$22:$D$210,"*Mudança*",$O$22:$O$210,"&lt;&gt;Cancelada")&gt;0,"M.Função ","")&amp;IF(COUNTIFS($C$22:$C$210,F10,$D$22:$D$210,"*Treinamento*",$O$22:$O$210,"&lt;&gt;Cancelada")&gt;0,"Trein. ","")))</f>
        <v/>
      </c>
      <c r="G11" s="62" t="n"/>
      <c r="H11" s="61">
        <f>IF(H10="","",TRIM(IF(COUNTIFS($C$22:$C$210,H10,$D$22:$D$210,"*Erros*",$O$22:$O$210,"&lt;&gt;Cancelada")&gt;0,"Erros ","")&amp;IF(COUNTIFS($C$22:$C$210,H10,$D$22:$D$210,"*Suporte*",$O$22:$O$210,"&lt;&gt;Cancelada")&gt;0,"Suporte ","")&amp;IF(COUNTIFS($C$22:$C$210,H10,$D$22:$D$210,"*Vistoria*",$O$22:$O$210,"&lt;&gt;Cancelada")&gt;0,"Vistoria ","")&amp;IF(COUNTIFS($C$22:$C$210,H10,$D$22:$D$210,"*Metas*",$O$22:$O$210,"&lt;&gt;Cancelada")&gt;0,"Metas ","")&amp;IF(COUNTIFS($C$22:$C$210,H10,$D$22:$D$210,"*Faltas*",$O$22:$O$210,"&lt;&gt;Cancelada")&gt;0,"Faltas ","")&amp;IF(COUNTIFS($C$22:$C$210,H10,$D$22:$D$210,"*Semanal c/*",$O$22:$O$210,"&lt;&gt;Cancelada")&gt;0,"Acomp. ","")&amp;IF(COUNTIFS($C$22:$C$210,H10,$D$22:$D$210,"*Reunião*",$O$22:$O$210,"&lt;&gt;Cancelada")&gt;0,"Reunião ","")&amp;IF(COUNTIFS($C$22:$C$210,H10,$D$22:$D$210,"*Férias*",$O$22:$O$210,"&lt;&gt;Cancelada")&gt;0,"Férias ","")&amp;IF(COUNTIFS($C$22:$C$210,H10,$D$22:$D$210,"*Mudança*",$O$22:$O$210,"&lt;&gt;Cancelada")&gt;0,"M.Função ","")&amp;IF(COUNTIFS($C$22:$C$210,H10,$D$22:$D$210,"*Treinamento*",$O$22:$O$210,"&lt;&gt;Cancelada")&gt;0,"Trein. ","")))</f>
        <v/>
      </c>
      <c r="I11" s="62" t="n"/>
      <c r="J11" s="61">
        <f>IF(J10="","",TRIM(IF(COUNTIFS($C$22:$C$210,J10,$D$22:$D$210,"*Erros*",$O$22:$O$210,"&lt;&gt;Cancelada")&gt;0,"Erros ","")&amp;IF(COUNTIFS($C$22:$C$210,J10,$D$22:$D$210,"*Suporte*",$O$22:$O$210,"&lt;&gt;Cancelada")&gt;0,"Suporte ","")&amp;IF(COUNTIFS($C$22:$C$210,J10,$D$22:$D$210,"*Vistoria*",$O$22:$O$210,"&lt;&gt;Cancelada")&gt;0,"Vistoria ","")&amp;IF(COUNTIFS($C$22:$C$210,J10,$D$22:$D$210,"*Metas*",$O$22:$O$210,"&lt;&gt;Cancelada")&gt;0,"Metas ","")&amp;IF(COUNTIFS($C$22:$C$210,J10,$D$22:$D$210,"*Faltas*",$O$22:$O$210,"&lt;&gt;Cancelada")&gt;0,"Faltas ","")&amp;IF(COUNTIFS($C$22:$C$210,J10,$D$22:$D$210,"*Semanal c/*",$O$22:$O$210,"&lt;&gt;Cancelada")&gt;0,"Acomp. ","")&amp;IF(COUNTIFS($C$22:$C$210,J10,$D$22:$D$210,"*Reunião*",$O$22:$O$210,"&lt;&gt;Cancelada")&gt;0,"Reunião ","")&amp;IF(COUNTIFS($C$22:$C$210,J10,$D$22:$D$210,"*Férias*",$O$22:$O$210,"&lt;&gt;Cancelada")&gt;0,"Férias ","")&amp;IF(COUNTIFS($C$22:$C$210,J10,$D$22:$D$210,"*Mudança*",$O$22:$O$210,"&lt;&gt;Cancelada")&gt;0,"M.Função ","")&amp;IF(COUNTIFS($C$22:$C$210,J10,$D$22:$D$210,"*Treinamento*",$O$22:$O$210,"&lt;&gt;Cancelada")&gt;0,"Trein. ","")))</f>
        <v/>
      </c>
      <c r="K11" s="62" t="n"/>
      <c r="L11" s="61">
        <f>IF(L10="","",TRIM(IF(COUNTIFS($C$22:$C$210,L10,$D$22:$D$210,"*Erros*",$O$22:$O$210,"&lt;&gt;Cancelada")&gt;0,"Erros ","")&amp;IF(COUNTIFS($C$22:$C$210,L10,$D$22:$D$210,"*Suporte*",$O$22:$O$210,"&lt;&gt;Cancelada")&gt;0,"Suporte ","")&amp;IF(COUNTIFS($C$22:$C$210,L10,$D$22:$D$210,"*Vistoria*",$O$22:$O$210,"&lt;&gt;Cancelada")&gt;0,"Vistoria ","")&amp;IF(COUNTIFS($C$22:$C$210,L10,$D$22:$D$210,"*Metas*",$O$22:$O$210,"&lt;&gt;Cancelada")&gt;0,"Metas ","")&amp;IF(COUNTIFS($C$22:$C$210,L10,$D$22:$D$210,"*Faltas*",$O$22:$O$210,"&lt;&gt;Cancelada")&gt;0,"Faltas ","")&amp;IF(COUNTIFS($C$22:$C$210,L10,$D$22:$D$210,"*Semanal c/*",$O$22:$O$210,"&lt;&gt;Cancelada")&gt;0,"Acomp. ","")&amp;IF(COUNTIFS($C$22:$C$210,L10,$D$22:$D$210,"*Reunião*",$O$22:$O$210,"&lt;&gt;Cancelada")&gt;0,"Reunião ","")&amp;IF(COUNTIFS($C$22:$C$210,L10,$D$22:$D$210,"*Férias*",$O$22:$O$210,"&lt;&gt;Cancelada")&gt;0,"Férias ","")&amp;IF(COUNTIFS($C$22:$C$210,L10,$D$22:$D$210,"*Mudança*",$O$22:$O$210,"&lt;&gt;Cancelada")&gt;0,"M.Função ","")&amp;IF(COUNTIFS($C$22:$C$210,L10,$D$22:$D$210,"*Treinamento*",$O$22:$O$210,"&lt;&gt;Cancelada")&gt;0,"Trein. ","")))</f>
        <v/>
      </c>
      <c r="M11" s="62" t="n"/>
      <c r="N11" s="61">
        <f>IF(N10="","",TRIM(IF(COUNTIFS($C$22:$C$210,N10,$D$22:$D$210,"*Erros*",$O$22:$O$210,"&lt;&gt;Cancelada")&gt;0,"Erros ","")&amp;IF(COUNTIFS($C$22:$C$210,N10,$D$22:$D$210,"*Suporte*",$O$22:$O$210,"&lt;&gt;Cancelada")&gt;0,"Suporte ","")&amp;IF(COUNTIFS($C$22:$C$210,N10,$D$22:$D$210,"*Vistoria*",$O$22:$O$210,"&lt;&gt;Cancelada")&gt;0,"Vistoria ","")&amp;IF(COUNTIFS($C$22:$C$210,N10,$D$22:$D$210,"*Metas*",$O$22:$O$210,"&lt;&gt;Cancelada")&gt;0,"Metas ","")&amp;IF(COUNTIFS($C$22:$C$210,N10,$D$22:$D$210,"*Faltas*",$O$22:$O$210,"&lt;&gt;Cancelada")&gt;0,"Faltas ","")&amp;IF(COUNTIFS($C$22:$C$210,N10,$D$22:$D$210,"*Semanal c/*",$O$22:$O$210,"&lt;&gt;Cancelada")&gt;0,"Acomp. ","")&amp;IF(COUNTIFS($C$22:$C$210,N10,$D$22:$D$210,"*Reunião*",$O$22:$O$210,"&lt;&gt;Cancelada")&gt;0,"Reunião ","")&amp;IF(COUNTIFS($C$22:$C$210,N10,$D$22:$D$210,"*Férias*",$O$22:$O$210,"&lt;&gt;Cancelada")&gt;0,"Férias ","")&amp;IF(COUNTIFS($C$22:$C$210,N10,$D$22:$D$210,"*Mudança*",$O$22:$O$210,"&lt;&gt;Cancelada")&gt;0,"M.Função ","")&amp;IF(COUNTIFS($C$22:$C$210,N10,$D$22:$D$210,"*Treinamento*",$O$22:$O$210,"&lt;&gt;Cancelada")&gt;0,"Trein. ","")))</f>
        <v/>
      </c>
      <c r="O11" s="62" t="n"/>
    </row>
    <row r="12" ht="20" customHeight="1">
      <c r="B12" s="57" t="n">
        <v>46376</v>
      </c>
      <c r="C12" s="58" t="n"/>
      <c r="D12" s="57" t="n">
        <v>46377</v>
      </c>
      <c r="E12" s="58" t="n"/>
      <c r="F12" s="57" t="n">
        <v>46378</v>
      </c>
      <c r="G12" s="58" t="n"/>
      <c r="H12" s="57" t="n">
        <v>46379</v>
      </c>
      <c r="I12" s="58" t="n"/>
      <c r="J12" s="57" t="n">
        <v>46380</v>
      </c>
      <c r="K12" s="58" t="n"/>
      <c r="L12" s="57" t="n">
        <v>46381</v>
      </c>
      <c r="M12" s="58" t="n"/>
      <c r="N12" s="57" t="n">
        <v>46382</v>
      </c>
      <c r="O12" s="58" t="n"/>
    </row>
    <row r="13" ht="26" customHeight="1">
      <c r="B13" s="61">
        <f>IF(B12="","",TRIM(IF(COUNTIFS($C$22:$C$210,B12,$D$22:$D$210,"*Erros*",$O$22:$O$210,"&lt;&gt;Cancelada")&gt;0,"Erros ","")&amp;IF(COUNTIFS($C$22:$C$210,B12,$D$22:$D$210,"*Suporte*",$O$22:$O$210,"&lt;&gt;Cancelada")&gt;0,"Suporte ","")&amp;IF(COUNTIFS($C$22:$C$210,B12,$D$22:$D$210,"*Vistoria*",$O$22:$O$210,"&lt;&gt;Cancelada")&gt;0,"Vistoria ","")&amp;IF(COUNTIFS($C$22:$C$210,B12,$D$22:$D$210,"*Metas*",$O$22:$O$210,"&lt;&gt;Cancelada")&gt;0,"Metas ","")&amp;IF(COUNTIFS($C$22:$C$210,B12,$D$22:$D$210,"*Faltas*",$O$22:$O$210,"&lt;&gt;Cancelada")&gt;0,"Faltas ","")&amp;IF(COUNTIFS($C$22:$C$210,B12,$D$22:$D$210,"*Semanal c/*",$O$22:$O$210,"&lt;&gt;Cancelada")&gt;0,"Acomp. ","")&amp;IF(COUNTIFS($C$22:$C$210,B12,$D$22:$D$210,"*Reunião*",$O$22:$O$210,"&lt;&gt;Cancelada")&gt;0,"Reunião ","")&amp;IF(COUNTIFS($C$22:$C$210,B12,$D$22:$D$210,"*Férias*",$O$22:$O$210,"&lt;&gt;Cancelada")&gt;0,"Férias ","")&amp;IF(COUNTIFS($C$22:$C$210,B12,$D$22:$D$210,"*Mudança*",$O$22:$O$210,"&lt;&gt;Cancelada")&gt;0,"M.Função ","")&amp;IF(COUNTIFS($C$22:$C$210,B12,$D$22:$D$210,"*Treinamento*",$O$22:$O$210,"&lt;&gt;Cancelada")&gt;0,"Trein. ","")))</f>
        <v/>
      </c>
      <c r="C13" s="62" t="n"/>
      <c r="D13" s="61">
        <f>IF(D12="","",TRIM(IF(COUNTIFS($C$22:$C$210,D12,$D$22:$D$210,"*Erros*",$O$22:$O$210,"&lt;&gt;Cancelada")&gt;0,"Erros ","")&amp;IF(COUNTIFS($C$22:$C$210,D12,$D$22:$D$210,"*Suporte*",$O$22:$O$210,"&lt;&gt;Cancelada")&gt;0,"Suporte ","")&amp;IF(COUNTIFS($C$22:$C$210,D12,$D$22:$D$210,"*Vistoria*",$O$22:$O$210,"&lt;&gt;Cancelada")&gt;0,"Vistoria ","")&amp;IF(COUNTIFS($C$22:$C$210,D12,$D$22:$D$210,"*Metas*",$O$22:$O$210,"&lt;&gt;Cancelada")&gt;0,"Metas ","")&amp;IF(COUNTIFS($C$22:$C$210,D12,$D$22:$D$210,"*Faltas*",$O$22:$O$210,"&lt;&gt;Cancelada")&gt;0,"Faltas ","")&amp;IF(COUNTIFS($C$22:$C$210,D12,$D$22:$D$210,"*Semanal c/*",$O$22:$O$210,"&lt;&gt;Cancelada")&gt;0,"Acomp. ","")&amp;IF(COUNTIFS($C$22:$C$210,D12,$D$22:$D$210,"*Reunião*",$O$22:$O$210,"&lt;&gt;Cancelada")&gt;0,"Reunião ","")&amp;IF(COUNTIFS($C$22:$C$210,D12,$D$22:$D$210,"*Férias*",$O$22:$O$210,"&lt;&gt;Cancelada")&gt;0,"Férias ","")&amp;IF(COUNTIFS($C$22:$C$210,D12,$D$22:$D$210,"*Mudança*",$O$22:$O$210,"&lt;&gt;Cancelada")&gt;0,"M.Função ","")&amp;IF(COUNTIFS($C$22:$C$210,D12,$D$22:$D$210,"*Treinamento*",$O$22:$O$210,"&lt;&gt;Cancelada")&gt;0,"Trein. ","")))</f>
        <v/>
      </c>
      <c r="E13" s="62" t="n"/>
      <c r="F13" s="61">
        <f>IF(F12="","",TRIM(IF(COUNTIFS($C$22:$C$210,F12,$D$22:$D$210,"*Erros*",$O$22:$O$210,"&lt;&gt;Cancelada")&gt;0,"Erros ","")&amp;IF(COUNTIFS($C$22:$C$210,F12,$D$22:$D$210,"*Suporte*",$O$22:$O$210,"&lt;&gt;Cancelada")&gt;0,"Suporte ","")&amp;IF(COUNTIFS($C$22:$C$210,F12,$D$22:$D$210,"*Vistoria*",$O$22:$O$210,"&lt;&gt;Cancelada")&gt;0,"Vistoria ","")&amp;IF(COUNTIFS($C$22:$C$210,F12,$D$22:$D$210,"*Metas*",$O$22:$O$210,"&lt;&gt;Cancelada")&gt;0,"Metas ","")&amp;IF(COUNTIFS($C$22:$C$210,F12,$D$22:$D$210,"*Faltas*",$O$22:$O$210,"&lt;&gt;Cancelada")&gt;0,"Faltas ","")&amp;IF(COUNTIFS($C$22:$C$210,F12,$D$22:$D$210,"*Semanal c/*",$O$22:$O$210,"&lt;&gt;Cancelada")&gt;0,"Acomp. ","")&amp;IF(COUNTIFS($C$22:$C$210,F12,$D$22:$D$210,"*Reunião*",$O$22:$O$210,"&lt;&gt;Cancelada")&gt;0,"Reunião ","")&amp;IF(COUNTIFS($C$22:$C$210,F12,$D$22:$D$210,"*Férias*",$O$22:$O$210,"&lt;&gt;Cancelada")&gt;0,"Férias ","")&amp;IF(COUNTIFS($C$22:$C$210,F12,$D$22:$D$210,"*Mudança*",$O$22:$O$210,"&lt;&gt;Cancelada")&gt;0,"M.Função ","")&amp;IF(COUNTIFS($C$22:$C$210,F12,$D$22:$D$210,"*Treinamento*",$O$22:$O$210,"&lt;&gt;Cancelada")&gt;0,"Trein. ","")))</f>
        <v/>
      </c>
      <c r="G13" s="62" t="n"/>
      <c r="H13" s="61">
        <f>IF(H12="","",TRIM(IF(COUNTIFS($C$22:$C$210,H12,$D$22:$D$210,"*Erros*",$O$22:$O$210,"&lt;&gt;Cancelada")&gt;0,"Erros ","")&amp;IF(COUNTIFS($C$22:$C$210,H12,$D$22:$D$210,"*Suporte*",$O$22:$O$210,"&lt;&gt;Cancelada")&gt;0,"Suporte ","")&amp;IF(COUNTIFS($C$22:$C$210,H12,$D$22:$D$210,"*Vistoria*",$O$22:$O$210,"&lt;&gt;Cancelada")&gt;0,"Vistoria ","")&amp;IF(COUNTIFS($C$22:$C$210,H12,$D$22:$D$210,"*Metas*",$O$22:$O$210,"&lt;&gt;Cancelada")&gt;0,"Metas ","")&amp;IF(COUNTIFS($C$22:$C$210,H12,$D$22:$D$210,"*Faltas*",$O$22:$O$210,"&lt;&gt;Cancelada")&gt;0,"Faltas ","")&amp;IF(COUNTIFS($C$22:$C$210,H12,$D$22:$D$210,"*Semanal c/*",$O$22:$O$210,"&lt;&gt;Cancelada")&gt;0,"Acomp. ","")&amp;IF(COUNTIFS($C$22:$C$210,H12,$D$22:$D$210,"*Reunião*",$O$22:$O$210,"&lt;&gt;Cancelada")&gt;0,"Reunião ","")&amp;IF(COUNTIFS($C$22:$C$210,H12,$D$22:$D$210,"*Férias*",$O$22:$O$210,"&lt;&gt;Cancelada")&gt;0,"Férias ","")&amp;IF(COUNTIFS($C$22:$C$210,H12,$D$22:$D$210,"*Mudança*",$O$22:$O$210,"&lt;&gt;Cancelada")&gt;0,"M.Função ","")&amp;IF(COUNTIFS($C$22:$C$210,H12,$D$22:$D$210,"*Treinamento*",$O$22:$O$210,"&lt;&gt;Cancelada")&gt;0,"Trein. ","")))</f>
        <v/>
      </c>
      <c r="I13" s="62" t="n"/>
      <c r="J13" s="61">
        <f>IF(J12="","",TRIM(IF(COUNTIFS($C$22:$C$210,J12,$D$22:$D$210,"*Erros*",$O$22:$O$210,"&lt;&gt;Cancelada")&gt;0,"Erros ","")&amp;IF(COUNTIFS($C$22:$C$210,J12,$D$22:$D$210,"*Suporte*",$O$22:$O$210,"&lt;&gt;Cancelada")&gt;0,"Suporte ","")&amp;IF(COUNTIFS($C$22:$C$210,J12,$D$22:$D$210,"*Vistoria*",$O$22:$O$210,"&lt;&gt;Cancelada")&gt;0,"Vistoria ","")&amp;IF(COUNTIFS($C$22:$C$210,J12,$D$22:$D$210,"*Metas*",$O$22:$O$210,"&lt;&gt;Cancelada")&gt;0,"Metas ","")&amp;IF(COUNTIFS($C$22:$C$210,J12,$D$22:$D$210,"*Faltas*",$O$22:$O$210,"&lt;&gt;Cancelada")&gt;0,"Faltas ","")&amp;IF(COUNTIFS($C$22:$C$210,J12,$D$22:$D$210,"*Semanal c/*",$O$22:$O$210,"&lt;&gt;Cancelada")&gt;0,"Acomp. ","")&amp;IF(COUNTIFS($C$22:$C$210,J12,$D$22:$D$210,"*Reunião*",$O$22:$O$210,"&lt;&gt;Cancelada")&gt;0,"Reunião ","")&amp;IF(COUNTIFS($C$22:$C$210,J12,$D$22:$D$210,"*Férias*",$O$22:$O$210,"&lt;&gt;Cancelada")&gt;0,"Férias ","")&amp;IF(COUNTIFS($C$22:$C$210,J12,$D$22:$D$210,"*Mudança*",$O$22:$O$210,"&lt;&gt;Cancelada")&gt;0,"M.Função ","")&amp;IF(COUNTIFS($C$22:$C$210,J12,$D$22:$D$210,"*Treinamento*",$O$22:$O$210,"&lt;&gt;Cancelada")&gt;0,"Trein. ","")))</f>
        <v/>
      </c>
      <c r="K13" s="62" t="n"/>
      <c r="L13" s="61">
        <f>IF(L12="","",TRIM(IF(COUNTIFS($C$22:$C$210,L12,$D$22:$D$210,"*Erros*",$O$22:$O$210,"&lt;&gt;Cancelada")&gt;0,"Erros ","")&amp;IF(COUNTIFS($C$22:$C$210,L12,$D$22:$D$210,"*Suporte*",$O$22:$O$210,"&lt;&gt;Cancelada")&gt;0,"Suporte ","")&amp;IF(COUNTIFS($C$22:$C$210,L12,$D$22:$D$210,"*Vistoria*",$O$22:$O$210,"&lt;&gt;Cancelada")&gt;0,"Vistoria ","")&amp;IF(COUNTIFS($C$22:$C$210,L12,$D$22:$D$210,"*Metas*",$O$22:$O$210,"&lt;&gt;Cancelada")&gt;0,"Metas ","")&amp;IF(COUNTIFS($C$22:$C$210,L12,$D$22:$D$210,"*Faltas*",$O$22:$O$210,"&lt;&gt;Cancelada")&gt;0,"Faltas ","")&amp;IF(COUNTIFS($C$22:$C$210,L12,$D$22:$D$210,"*Semanal c/*",$O$22:$O$210,"&lt;&gt;Cancelada")&gt;0,"Acomp. ","")&amp;IF(COUNTIFS($C$22:$C$210,L12,$D$22:$D$210,"*Reunião*",$O$22:$O$210,"&lt;&gt;Cancelada")&gt;0,"Reunião ","")&amp;IF(COUNTIFS($C$22:$C$210,L12,$D$22:$D$210,"*Férias*",$O$22:$O$210,"&lt;&gt;Cancelada")&gt;0,"Férias ","")&amp;IF(COUNTIFS($C$22:$C$210,L12,$D$22:$D$210,"*Mudança*",$O$22:$O$210,"&lt;&gt;Cancelada")&gt;0,"M.Função ","")&amp;IF(COUNTIFS($C$22:$C$210,L12,$D$22:$D$210,"*Treinamento*",$O$22:$O$210,"&lt;&gt;Cancelada")&gt;0,"Trein. ","")))</f>
        <v/>
      </c>
      <c r="M13" s="62" t="n"/>
      <c r="N13" s="61">
        <f>IF(N12="","",TRIM(IF(COUNTIFS($C$22:$C$210,N12,$D$22:$D$210,"*Erros*",$O$22:$O$210,"&lt;&gt;Cancelada")&gt;0,"Erros ","")&amp;IF(COUNTIFS($C$22:$C$210,N12,$D$22:$D$210,"*Suporte*",$O$22:$O$210,"&lt;&gt;Cancelada")&gt;0,"Suporte ","")&amp;IF(COUNTIFS($C$22:$C$210,N12,$D$22:$D$210,"*Vistoria*",$O$22:$O$210,"&lt;&gt;Cancelada")&gt;0,"Vistoria ","")&amp;IF(COUNTIFS($C$22:$C$210,N12,$D$22:$D$210,"*Metas*",$O$22:$O$210,"&lt;&gt;Cancelada")&gt;0,"Metas ","")&amp;IF(COUNTIFS($C$22:$C$210,N12,$D$22:$D$210,"*Faltas*",$O$22:$O$210,"&lt;&gt;Cancelada")&gt;0,"Faltas ","")&amp;IF(COUNTIFS($C$22:$C$210,N12,$D$22:$D$210,"*Semanal c/*",$O$22:$O$210,"&lt;&gt;Cancelada")&gt;0,"Acomp. ","")&amp;IF(COUNTIFS($C$22:$C$210,N12,$D$22:$D$210,"*Reunião*",$O$22:$O$210,"&lt;&gt;Cancelada")&gt;0,"Reunião ","")&amp;IF(COUNTIFS($C$22:$C$210,N12,$D$22:$D$210,"*Férias*",$O$22:$O$210,"&lt;&gt;Cancelada")&gt;0,"Férias ","")&amp;IF(COUNTIFS($C$22:$C$210,N12,$D$22:$D$210,"*Mudança*",$O$22:$O$210,"&lt;&gt;Cancelada")&gt;0,"M.Função ","")&amp;IF(COUNTIFS($C$22:$C$210,N12,$D$22:$D$210,"*Treinamento*",$O$22:$O$210,"&lt;&gt;Cancelada")&gt;0,"Trein. ","")))</f>
        <v/>
      </c>
      <c r="O13" s="62" t="n"/>
    </row>
    <row r="14" ht="20" customHeight="1">
      <c r="B14" s="57" t="n">
        <v>46383</v>
      </c>
      <c r="C14" s="58" t="n"/>
      <c r="D14" s="57" t="n">
        <v>46384</v>
      </c>
      <c r="E14" s="58" t="n"/>
      <c r="F14" s="57" t="n">
        <v>46385</v>
      </c>
      <c r="G14" s="58" t="n"/>
      <c r="H14" s="57" t="n">
        <v>46386</v>
      </c>
      <c r="I14" s="58" t="n"/>
      <c r="J14" s="57" t="n">
        <v>46387</v>
      </c>
      <c r="K14" s="58" t="n"/>
      <c r="L14" s="55" t="n"/>
      <c r="M14" s="56" t="n"/>
      <c r="N14" s="55" t="n"/>
      <c r="O14" s="56" t="n"/>
    </row>
    <row r="15" ht="26" customHeight="1">
      <c r="B15" s="61">
        <f>IF(B14="","",TRIM(IF(COUNTIFS($C$22:$C$210,B14,$D$22:$D$210,"*Erros*",$O$22:$O$210,"&lt;&gt;Cancelada")&gt;0,"Erros ","")&amp;IF(COUNTIFS($C$22:$C$210,B14,$D$22:$D$210,"*Suporte*",$O$22:$O$210,"&lt;&gt;Cancelada")&gt;0,"Suporte ","")&amp;IF(COUNTIFS($C$22:$C$210,B14,$D$22:$D$210,"*Vistoria*",$O$22:$O$210,"&lt;&gt;Cancelada")&gt;0,"Vistoria ","")&amp;IF(COUNTIFS($C$22:$C$210,B14,$D$22:$D$210,"*Metas*",$O$22:$O$210,"&lt;&gt;Cancelada")&gt;0,"Metas ","")&amp;IF(COUNTIFS($C$22:$C$210,B14,$D$22:$D$210,"*Faltas*",$O$22:$O$210,"&lt;&gt;Cancelada")&gt;0,"Faltas ","")&amp;IF(COUNTIFS($C$22:$C$210,B14,$D$22:$D$210,"*Semanal c/*",$O$22:$O$210,"&lt;&gt;Cancelada")&gt;0,"Acomp. ","")&amp;IF(COUNTIFS($C$22:$C$210,B14,$D$22:$D$210,"*Reunião*",$O$22:$O$210,"&lt;&gt;Cancelada")&gt;0,"Reunião ","")&amp;IF(COUNTIFS($C$22:$C$210,B14,$D$22:$D$210,"*Férias*",$O$22:$O$210,"&lt;&gt;Cancelada")&gt;0,"Férias ","")&amp;IF(COUNTIFS($C$22:$C$210,B14,$D$22:$D$210,"*Mudança*",$O$22:$O$210,"&lt;&gt;Cancelada")&gt;0,"M.Função ","")&amp;IF(COUNTIFS($C$22:$C$210,B14,$D$22:$D$210,"*Treinamento*",$O$22:$O$210,"&lt;&gt;Cancelada")&gt;0,"Trein. ","")))</f>
        <v/>
      </c>
      <c r="C15" s="62" t="n"/>
      <c r="D15" s="61">
        <f>IF(D14="","",TRIM(IF(COUNTIFS($C$22:$C$210,D14,$D$22:$D$210,"*Erros*",$O$22:$O$210,"&lt;&gt;Cancelada")&gt;0,"Erros ","")&amp;IF(COUNTIFS($C$22:$C$210,D14,$D$22:$D$210,"*Suporte*",$O$22:$O$210,"&lt;&gt;Cancelada")&gt;0,"Suporte ","")&amp;IF(COUNTIFS($C$22:$C$210,D14,$D$22:$D$210,"*Vistoria*",$O$22:$O$210,"&lt;&gt;Cancelada")&gt;0,"Vistoria ","")&amp;IF(COUNTIFS($C$22:$C$210,D14,$D$22:$D$210,"*Metas*",$O$22:$O$210,"&lt;&gt;Cancelada")&gt;0,"Metas ","")&amp;IF(COUNTIFS($C$22:$C$210,D14,$D$22:$D$210,"*Faltas*",$O$22:$O$210,"&lt;&gt;Cancelada")&gt;0,"Faltas ","")&amp;IF(COUNTIFS($C$22:$C$210,D14,$D$22:$D$210,"*Semanal c/*",$O$22:$O$210,"&lt;&gt;Cancelada")&gt;0,"Acomp. ","")&amp;IF(COUNTIFS($C$22:$C$210,D14,$D$22:$D$210,"*Reunião*",$O$22:$O$210,"&lt;&gt;Cancelada")&gt;0,"Reunião ","")&amp;IF(COUNTIFS($C$22:$C$210,D14,$D$22:$D$210,"*Férias*",$O$22:$O$210,"&lt;&gt;Cancelada")&gt;0,"Férias ","")&amp;IF(COUNTIFS($C$22:$C$210,D14,$D$22:$D$210,"*Mudança*",$O$22:$O$210,"&lt;&gt;Cancelada")&gt;0,"M.Função ","")&amp;IF(COUNTIFS($C$22:$C$210,D14,$D$22:$D$210,"*Treinamento*",$O$22:$O$210,"&lt;&gt;Cancelada")&gt;0,"Trein. ","")))</f>
        <v/>
      </c>
      <c r="E15" s="62" t="n"/>
      <c r="F15" s="61">
        <f>IF(F14="","",TRIM(IF(COUNTIFS($C$22:$C$210,F14,$D$22:$D$210,"*Erros*",$O$22:$O$210,"&lt;&gt;Cancelada")&gt;0,"Erros ","")&amp;IF(COUNTIFS($C$22:$C$210,F14,$D$22:$D$210,"*Suporte*",$O$22:$O$210,"&lt;&gt;Cancelada")&gt;0,"Suporte ","")&amp;IF(COUNTIFS($C$22:$C$210,F14,$D$22:$D$210,"*Vistoria*",$O$22:$O$210,"&lt;&gt;Cancelada")&gt;0,"Vistoria ","")&amp;IF(COUNTIFS($C$22:$C$210,F14,$D$22:$D$210,"*Metas*",$O$22:$O$210,"&lt;&gt;Cancelada")&gt;0,"Metas ","")&amp;IF(COUNTIFS($C$22:$C$210,F14,$D$22:$D$210,"*Faltas*",$O$22:$O$210,"&lt;&gt;Cancelada")&gt;0,"Faltas ","")&amp;IF(COUNTIFS($C$22:$C$210,F14,$D$22:$D$210,"*Semanal c/*",$O$22:$O$210,"&lt;&gt;Cancelada")&gt;0,"Acomp. ","")&amp;IF(COUNTIFS($C$22:$C$210,F14,$D$22:$D$210,"*Reunião*",$O$22:$O$210,"&lt;&gt;Cancelada")&gt;0,"Reunião ","")&amp;IF(COUNTIFS($C$22:$C$210,F14,$D$22:$D$210,"*Férias*",$O$22:$O$210,"&lt;&gt;Cancelada")&gt;0,"Férias ","")&amp;IF(COUNTIFS($C$22:$C$210,F14,$D$22:$D$210,"*Mudança*",$O$22:$O$210,"&lt;&gt;Cancelada")&gt;0,"M.Função ","")&amp;IF(COUNTIFS($C$22:$C$210,F14,$D$22:$D$210,"*Treinamento*",$O$22:$O$210,"&lt;&gt;Cancelada")&gt;0,"Trein. ","")))</f>
        <v/>
      </c>
      <c r="G15" s="62" t="n"/>
      <c r="H15" s="61">
        <f>IF(H14="","",TRIM(IF(COUNTIFS($C$22:$C$210,H14,$D$22:$D$210,"*Erros*",$O$22:$O$210,"&lt;&gt;Cancelada")&gt;0,"Erros ","")&amp;IF(COUNTIFS($C$22:$C$210,H14,$D$22:$D$210,"*Suporte*",$O$22:$O$210,"&lt;&gt;Cancelada")&gt;0,"Suporte ","")&amp;IF(COUNTIFS($C$22:$C$210,H14,$D$22:$D$210,"*Vistoria*",$O$22:$O$210,"&lt;&gt;Cancelada")&gt;0,"Vistoria ","")&amp;IF(COUNTIFS($C$22:$C$210,H14,$D$22:$D$210,"*Metas*",$O$22:$O$210,"&lt;&gt;Cancelada")&gt;0,"Metas ","")&amp;IF(COUNTIFS($C$22:$C$210,H14,$D$22:$D$210,"*Faltas*",$O$22:$O$210,"&lt;&gt;Cancelada")&gt;0,"Faltas ","")&amp;IF(COUNTIFS($C$22:$C$210,H14,$D$22:$D$210,"*Semanal c/*",$O$22:$O$210,"&lt;&gt;Cancelada")&gt;0,"Acomp. ","")&amp;IF(COUNTIFS($C$22:$C$210,H14,$D$22:$D$210,"*Reunião*",$O$22:$O$210,"&lt;&gt;Cancelada")&gt;0,"Reunião ","")&amp;IF(COUNTIFS($C$22:$C$210,H14,$D$22:$D$210,"*Férias*",$O$22:$O$210,"&lt;&gt;Cancelada")&gt;0,"Férias ","")&amp;IF(COUNTIFS($C$22:$C$210,H14,$D$22:$D$210,"*Mudança*",$O$22:$O$210,"&lt;&gt;Cancelada")&gt;0,"M.Função ","")&amp;IF(COUNTIFS($C$22:$C$210,H14,$D$22:$D$210,"*Treinamento*",$O$22:$O$210,"&lt;&gt;Cancelada")&gt;0,"Trein. ","")))</f>
        <v/>
      </c>
      <c r="I15" s="62" t="n"/>
      <c r="J15" s="61">
        <f>IF(J14="","",TRIM(IF(COUNTIFS($C$22:$C$210,J14,$D$22:$D$210,"*Erros*",$O$22:$O$210,"&lt;&gt;Cancelada")&gt;0,"Erros ","")&amp;IF(COUNTIFS($C$22:$C$210,J14,$D$22:$D$210,"*Suporte*",$O$22:$O$210,"&lt;&gt;Cancelada")&gt;0,"Suporte ","")&amp;IF(COUNTIFS($C$22:$C$210,J14,$D$22:$D$210,"*Vistoria*",$O$22:$O$210,"&lt;&gt;Cancelada")&gt;0,"Vistoria ","")&amp;IF(COUNTIFS($C$22:$C$210,J14,$D$22:$D$210,"*Metas*",$O$22:$O$210,"&lt;&gt;Cancelada")&gt;0,"Metas ","")&amp;IF(COUNTIFS($C$22:$C$210,J14,$D$22:$D$210,"*Faltas*",$O$22:$O$210,"&lt;&gt;Cancelada")&gt;0,"Faltas ","")&amp;IF(COUNTIFS($C$22:$C$210,J14,$D$22:$D$210,"*Semanal c/*",$O$22:$O$210,"&lt;&gt;Cancelada")&gt;0,"Acomp. ","")&amp;IF(COUNTIFS($C$22:$C$210,J14,$D$22:$D$210,"*Reunião*",$O$22:$O$210,"&lt;&gt;Cancelada")&gt;0,"Reunião ","")&amp;IF(COUNTIFS($C$22:$C$210,J14,$D$22:$D$210,"*Férias*",$O$22:$O$210,"&lt;&gt;Cancelada")&gt;0,"Férias ","")&amp;IF(COUNTIFS($C$22:$C$210,J14,$D$22:$D$210,"*Mudança*",$O$22:$O$210,"&lt;&gt;Cancelada")&gt;0,"M.Função ","")&amp;IF(COUNTIFS($C$22:$C$210,J14,$D$22:$D$210,"*Treinamento*",$O$22:$O$210,"&lt;&gt;Cancelada")&gt;0,"Trein. ","")))</f>
        <v/>
      </c>
      <c r="K15" s="62" t="n"/>
      <c r="L15" s="59" t="n"/>
      <c r="M15" s="60" t="n"/>
      <c r="N15" s="59" t="n"/>
      <c r="O15" s="60" t="n"/>
    </row>
    <row r="16" ht="6" customHeight="1"/>
    <row r="17" ht="6" customHeight="1"/>
    <row r="18">
      <c r="B18" s="63" t="inlineStr">
        <is>
          <t>Amarelo = hoje - Azul = dia com prazo - SEX = reunião com a gerência - Acomp. = Acompanhamento c/ Supervisores - M.Função = Mudança de Função - Trein. = Treinamento programado</t>
        </is>
      </c>
    </row>
    <row r="20">
      <c r="A20" s="26" t="inlineStr">
        <is>
          <t>GESTÃO DE ATIVIDADES — coordenador: selecione a linha e use o menu GSL Bartofil &gt; Anexar entrega (ou cole o link na coluna LINK DO ANEXO)</t>
        </is>
      </c>
    </row>
    <row r="21">
      <c r="A21" s="27" t="inlineStr">
        <is>
          <t>ID</t>
        </is>
      </c>
      <c r="B21" s="27" t="inlineStr">
        <is>
          <t>SEMANA</t>
        </is>
      </c>
      <c r="C21" s="27" t="inlineStr">
        <is>
          <t>PRAZO</t>
        </is>
      </c>
      <c r="D21" s="27" t="inlineStr">
        <is>
          <t>ATIVIDADE</t>
        </is>
      </c>
      <c r="E21" s="53" t="n"/>
      <c r="F21" s="53" t="n"/>
      <c r="G21" s="27" t="inlineStr">
        <is>
          <t>TURNO</t>
        </is>
      </c>
      <c r="H21" s="27" t="inlineStr">
        <is>
          <t>COORDENADOR</t>
        </is>
      </c>
      <c r="I21" s="53" t="n"/>
      <c r="J21" s="27" t="inlineStr">
        <is>
          <t>SETOR (vistoria)</t>
        </is>
      </c>
      <c r="K21" s="53" t="n"/>
      <c r="L21" s="27" t="inlineStr">
        <is>
          <t>LINK DO ANEXO (ENTREGA)</t>
        </is>
      </c>
      <c r="M21" s="53" t="n"/>
      <c r="N21" s="27" t="inlineStr">
        <is>
          <t>ENTREGUE EM</t>
        </is>
      </c>
      <c r="O21" s="27" t="inlineStr">
        <is>
          <t>VALIDAÇÃO</t>
        </is>
      </c>
      <c r="P21" s="27" t="inlineStr">
        <is>
          <t>MOTIVO REPROV. / CANCEL.</t>
        </is>
      </c>
      <c r="Q21" s="53" t="n"/>
      <c r="R21" s="27" t="inlineStr">
        <is>
          <t>STATUS</t>
        </is>
      </c>
      <c r="S21" s="64" t="inlineStr">
        <is>
          <t>fL</t>
        </is>
      </c>
      <c r="T21" s="64" t="inlineStr">
        <is>
          <t>fA</t>
        </is>
      </c>
      <c r="U21" s="64" t="inlineStr">
        <is>
          <t>fE</t>
        </is>
      </c>
    </row>
    <row r="22">
      <c r="A22" s="65" t="inlineStr">
        <is>
          <t>DEZ-S49-ERR-A</t>
        </is>
      </c>
      <c r="B22" s="66" t="inlineStr">
        <is>
          <t>S49</t>
        </is>
      </c>
      <c r="C22" s="67" t="n">
        <v>46357</v>
      </c>
      <c r="D22" s="68" t="inlineStr">
        <is>
          <t>Levantamento de Erros Operacionais</t>
        </is>
      </c>
      <c r="E22" s="53" t="n"/>
      <c r="F22" s="53" t="n"/>
      <c r="G22" s="69" t="inlineStr">
        <is>
          <t>A</t>
        </is>
      </c>
      <c r="H22" s="70">
        <f>IF($G22="A",CONFIG!$B$5,IF($G22="B",CONFIG!$B$6,IF($G22="C",CONFIG!$B$7,IF($G22="Todos","Todos os turnos",""))))</f>
        <v/>
      </c>
      <c r="I22" s="53" t="n"/>
      <c r="J22" s="71" t="inlineStr">
        <is>
          <t>—</t>
        </is>
      </c>
      <c r="K22" s="53" t="n"/>
      <c r="L22" s="72" t="n"/>
      <c r="M22" s="53" t="n"/>
      <c r="N22" s="73" t="n"/>
      <c r="O22" s="74" t="n"/>
      <c r="P22" s="75" t="n"/>
      <c r="Q22" s="53" t="n"/>
      <c r="R22" s="76">
        <f>IF($C22="","",IF($O22="Cancelada","Cancelada",IF($O22="Reprovado","Reprovada",IF($O22="Aprovado","Aprovada",IF($L22&lt;&gt;"","Entregue",IF(TODAY()&gt;$C22,"Atrasada","Pendente"))))))</f>
        <v/>
      </c>
    </row>
    <row r="23">
      <c r="A23" s="65" t="inlineStr">
        <is>
          <t>DEZ-S49-ERR-B</t>
        </is>
      </c>
      <c r="B23" s="66" t="inlineStr">
        <is>
          <t>S49</t>
        </is>
      </c>
      <c r="C23" s="67" t="n">
        <v>46357</v>
      </c>
      <c r="D23" s="68" t="inlineStr">
        <is>
          <t>Levantamento de Erros Operacionais</t>
        </is>
      </c>
      <c r="E23" s="53" t="n"/>
      <c r="F23" s="53" t="n"/>
      <c r="G23" s="69" t="inlineStr">
        <is>
          <t>B</t>
        </is>
      </c>
      <c r="H23" s="70">
        <f>IF($G23="A",CONFIG!$B$5,IF($G23="B",CONFIG!$B$6,IF($G23="C",CONFIG!$B$7,IF($G23="Todos","Todos os turnos",""))))</f>
        <v/>
      </c>
      <c r="I23" s="53" t="n"/>
      <c r="J23" s="71" t="inlineStr">
        <is>
          <t>—</t>
        </is>
      </c>
      <c r="K23" s="53" t="n"/>
      <c r="L23" s="72" t="n"/>
      <c r="M23" s="53" t="n"/>
      <c r="N23" s="73" t="n"/>
      <c r="O23" s="74" t="n"/>
      <c r="P23" s="75" t="n"/>
      <c r="Q23" s="53" t="n"/>
      <c r="R23" s="76">
        <f>IF($C23="","",IF($O23="Cancelada","Cancelada",IF($O23="Reprovado","Reprovada",IF($O23="Aprovado","Aprovada",IF($L23&lt;&gt;"","Entregue",IF(TODAY()&gt;$C23,"Atrasada","Pendente"))))))</f>
        <v/>
      </c>
    </row>
    <row r="24">
      <c r="A24" s="65" t="inlineStr">
        <is>
          <t>DEZ-S49-ERR-C</t>
        </is>
      </c>
      <c r="B24" s="66" t="inlineStr">
        <is>
          <t>S49</t>
        </is>
      </c>
      <c r="C24" s="67" t="n">
        <v>46357</v>
      </c>
      <c r="D24" s="68" t="inlineStr">
        <is>
          <t>Levantamento de Erros Operacionais</t>
        </is>
      </c>
      <c r="E24" s="53" t="n"/>
      <c r="F24" s="53" t="n"/>
      <c r="G24" s="69" t="inlineStr">
        <is>
          <t>C</t>
        </is>
      </c>
      <c r="H24" s="70">
        <f>IF($G24="A",CONFIG!$B$5,IF($G24="B",CONFIG!$B$6,IF($G24="C",CONFIG!$B$7,IF($G24="Todos","Todos os turnos",""))))</f>
        <v/>
      </c>
      <c r="I24" s="53" t="n"/>
      <c r="J24" s="71" t="inlineStr">
        <is>
          <t>—</t>
        </is>
      </c>
      <c r="K24" s="53" t="n"/>
      <c r="L24" s="72" t="n"/>
      <c r="M24" s="53" t="n"/>
      <c r="N24" s="73" t="n"/>
      <c r="O24" s="74" t="n"/>
      <c r="P24" s="75" t="n"/>
      <c r="Q24" s="53" t="n"/>
      <c r="R24" s="76">
        <f>IF($C24="","",IF($O24="Cancelada","Cancelada",IF($O24="Reprovado","Reprovada",IF($O24="Aprovado","Aprovada",IF($L24&lt;&gt;"","Entregue",IF(TODAY()&gt;$C24,"Atrasada","Pendente"))))))</f>
        <v/>
      </c>
    </row>
    <row r="25">
      <c r="A25" s="65" t="inlineStr">
        <is>
          <t>DEZ-S49-SUP-A</t>
        </is>
      </c>
      <c r="B25" s="66" t="inlineStr">
        <is>
          <t>S49</t>
        </is>
      </c>
      <c r="C25" s="67" t="n">
        <v>46357</v>
      </c>
      <c r="D25" s="68" t="inlineStr">
        <is>
          <t>Suporte de Supervisores</t>
        </is>
      </c>
      <c r="E25" s="53" t="n"/>
      <c r="F25" s="53" t="n"/>
      <c r="G25" s="69" t="inlineStr">
        <is>
          <t>A</t>
        </is>
      </c>
      <c r="H25" s="70">
        <f>IF($G25="A",CONFIG!$B$5,IF($G25="B",CONFIG!$B$6,IF($G25="C",CONFIG!$B$7,IF($G25="Todos","Todos os turnos",""))))</f>
        <v/>
      </c>
      <c r="I25" s="53" t="n"/>
      <c r="J25" s="71" t="inlineStr">
        <is>
          <t>—</t>
        </is>
      </c>
      <c r="K25" s="53" t="n"/>
      <c r="L25" s="72" t="n"/>
      <c r="M25" s="53" t="n"/>
      <c r="N25" s="73" t="n"/>
      <c r="O25" s="74" t="n"/>
      <c r="P25" s="75" t="n"/>
      <c r="Q25" s="53" t="n"/>
      <c r="R25" s="76">
        <f>IF($C25="","",IF($O25="Cancelada","Cancelada",IF($O25="Reprovado","Reprovada",IF($O25="Aprovado","Aprovada",IF($L25&lt;&gt;"","Entregue",IF(TODAY()&gt;$C25,"Atrasada","Pendente"))))))</f>
        <v/>
      </c>
    </row>
    <row r="26">
      <c r="A26" s="65" t="inlineStr">
        <is>
          <t>DEZ-S49-SUP-B</t>
        </is>
      </c>
      <c r="B26" s="66" t="inlineStr">
        <is>
          <t>S49</t>
        </is>
      </c>
      <c r="C26" s="67" t="n">
        <v>46357</v>
      </c>
      <c r="D26" s="68" t="inlineStr">
        <is>
          <t>Suporte de Supervisores</t>
        </is>
      </c>
      <c r="E26" s="53" t="n"/>
      <c r="F26" s="53" t="n"/>
      <c r="G26" s="69" t="inlineStr">
        <is>
          <t>B</t>
        </is>
      </c>
      <c r="H26" s="70">
        <f>IF($G26="A",CONFIG!$B$5,IF($G26="B",CONFIG!$B$6,IF($G26="C",CONFIG!$B$7,IF($G26="Todos","Todos os turnos",""))))</f>
        <v/>
      </c>
      <c r="I26" s="53" t="n"/>
      <c r="J26" s="71" t="inlineStr">
        <is>
          <t>—</t>
        </is>
      </c>
      <c r="K26" s="53" t="n"/>
      <c r="L26" s="72" t="n"/>
      <c r="M26" s="53" t="n"/>
      <c r="N26" s="73" t="n"/>
      <c r="O26" s="74" t="n"/>
      <c r="P26" s="75" t="n"/>
      <c r="Q26" s="53" t="n"/>
      <c r="R26" s="76">
        <f>IF($C26="","",IF($O26="Cancelada","Cancelada",IF($O26="Reprovado","Reprovada",IF($O26="Aprovado","Aprovada",IF($L26&lt;&gt;"","Entregue",IF(TODAY()&gt;$C26,"Atrasada","Pendente"))))))</f>
        <v/>
      </c>
    </row>
    <row r="27">
      <c r="A27" s="65" t="inlineStr">
        <is>
          <t>DEZ-S49-SUP-C</t>
        </is>
      </c>
      <c r="B27" s="66" t="inlineStr">
        <is>
          <t>S49</t>
        </is>
      </c>
      <c r="C27" s="67" t="n">
        <v>46357</v>
      </c>
      <c r="D27" s="68" t="inlineStr">
        <is>
          <t>Suporte de Supervisores</t>
        </is>
      </c>
      <c r="E27" s="53" t="n"/>
      <c r="F27" s="53" t="n"/>
      <c r="G27" s="69" t="inlineStr">
        <is>
          <t>C</t>
        </is>
      </c>
      <c r="H27" s="70">
        <f>IF($G27="A",CONFIG!$B$5,IF($G27="B",CONFIG!$B$6,IF($G27="C",CONFIG!$B$7,IF($G27="Todos","Todos os turnos",""))))</f>
        <v/>
      </c>
      <c r="I27" s="53" t="n"/>
      <c r="J27" s="71" t="inlineStr">
        <is>
          <t>—</t>
        </is>
      </c>
      <c r="K27" s="53" t="n"/>
      <c r="L27" s="72" t="n"/>
      <c r="M27" s="53" t="n"/>
      <c r="N27" s="73" t="n"/>
      <c r="O27" s="74" t="n"/>
      <c r="P27" s="75" t="n"/>
      <c r="Q27" s="53" t="n"/>
      <c r="R27" s="76">
        <f>IF($C27="","",IF($O27="Cancelada","Cancelada",IF($O27="Reprovado","Reprovada",IF($O27="Aprovado","Aprovada",IF($L27&lt;&gt;"","Entregue",IF(TODAY()&gt;$C27,"Atrasada","Pendente"))))))</f>
        <v/>
      </c>
    </row>
    <row r="28">
      <c r="A28" s="65" t="inlineStr">
        <is>
          <t>DEZ-S49-VIS-A</t>
        </is>
      </c>
      <c r="B28" s="66" t="inlineStr">
        <is>
          <t>S49</t>
        </is>
      </c>
      <c r="C28" s="67" t="n">
        <v>46358</v>
      </c>
      <c r="D28" s="68" t="inlineStr">
        <is>
          <t>Acomp. Organizacional Setorial (Vistoria)</t>
        </is>
      </c>
      <c r="E28" s="53" t="n"/>
      <c r="F28" s="53" t="n"/>
      <c r="G28" s="69" t="inlineStr">
        <is>
          <t>A</t>
        </is>
      </c>
      <c r="H28" s="70">
        <f>IF($G28="A",CONFIG!$B$5,IF($G28="B",CONFIG!$B$6,IF($G28="C",CONFIG!$B$7,IF($G28="Todos","Todos os turnos",""))))</f>
        <v/>
      </c>
      <c r="I28" s="53" t="n"/>
      <c r="J28" s="77" t="n"/>
      <c r="K28" s="53" t="n"/>
      <c r="L28" s="72" t="n"/>
      <c r="M28" s="53" t="n"/>
      <c r="N28" s="73" t="n"/>
      <c r="O28" s="74" t="n"/>
      <c r="P28" s="75" t="n"/>
      <c r="Q28" s="53" t="n"/>
      <c r="R28" s="76">
        <f>IF($C28="","",IF($O28="Cancelada","Cancelada",IF($O28="Reprovado","Reprovada",IF($O28="Aprovado","Aprovada",IF($L28&lt;&gt;"","Entregue",IF(TODAY()&gt;$C28,"Atrasada","Pendente"))))))</f>
        <v/>
      </c>
    </row>
    <row r="29">
      <c r="A29" s="65" t="inlineStr">
        <is>
          <t>DEZ-S49-VIS-B</t>
        </is>
      </c>
      <c r="B29" s="66" t="inlineStr">
        <is>
          <t>S49</t>
        </is>
      </c>
      <c r="C29" s="67" t="n">
        <v>46358</v>
      </c>
      <c r="D29" s="68" t="inlineStr">
        <is>
          <t>Acomp. Organizacional Setorial (Vistoria)</t>
        </is>
      </c>
      <c r="E29" s="53" t="n"/>
      <c r="F29" s="53" t="n"/>
      <c r="G29" s="69" t="inlineStr">
        <is>
          <t>B</t>
        </is>
      </c>
      <c r="H29" s="70">
        <f>IF($G29="A",CONFIG!$B$5,IF($G29="B",CONFIG!$B$6,IF($G29="C",CONFIG!$B$7,IF($G29="Todos","Todos os turnos",""))))</f>
        <v/>
      </c>
      <c r="I29" s="53" t="n"/>
      <c r="J29" s="77" t="n"/>
      <c r="K29" s="53" t="n"/>
      <c r="L29" s="72" t="n"/>
      <c r="M29" s="53" t="n"/>
      <c r="N29" s="73" t="n"/>
      <c r="O29" s="74" t="n"/>
      <c r="P29" s="75" t="n"/>
      <c r="Q29" s="53" t="n"/>
      <c r="R29" s="76">
        <f>IF($C29="","",IF($O29="Cancelada","Cancelada",IF($O29="Reprovado","Reprovada",IF($O29="Aprovado","Aprovada",IF($L29&lt;&gt;"","Entregue",IF(TODAY()&gt;$C29,"Atrasada","Pendente"))))))</f>
        <v/>
      </c>
    </row>
    <row r="30">
      <c r="A30" s="65" t="inlineStr">
        <is>
          <t>DEZ-S49-VIS-C</t>
        </is>
      </c>
      <c r="B30" s="66" t="inlineStr">
        <is>
          <t>S49</t>
        </is>
      </c>
      <c r="C30" s="67" t="n">
        <v>46358</v>
      </c>
      <c r="D30" s="68" t="inlineStr">
        <is>
          <t>Acomp. Organizacional Setorial (Vistoria)</t>
        </is>
      </c>
      <c r="E30" s="53" t="n"/>
      <c r="F30" s="53" t="n"/>
      <c r="G30" s="69" t="inlineStr">
        <is>
          <t>C</t>
        </is>
      </c>
      <c r="H30" s="70">
        <f>IF($G30="A",CONFIG!$B$5,IF($G30="B",CONFIG!$B$6,IF($G30="C",CONFIG!$B$7,IF($G30="Todos","Todos os turnos",""))))</f>
        <v/>
      </c>
      <c r="I30" s="53" t="n"/>
      <c r="J30" s="77" t="n"/>
      <c r="K30" s="53" t="n"/>
      <c r="L30" s="72" t="n"/>
      <c r="M30" s="53" t="n"/>
      <c r="N30" s="73" t="n"/>
      <c r="O30" s="74" t="n"/>
      <c r="P30" s="75" t="n"/>
      <c r="Q30" s="53" t="n"/>
      <c r="R30" s="76">
        <f>IF($C30="","",IF($O30="Cancelada","Cancelada",IF($O30="Reprovado","Reprovada",IF($O30="Aprovado","Aprovada",IF($L30&lt;&gt;"","Entregue",IF(TODAY()&gt;$C30,"Atrasada","Pendente"))))))</f>
        <v/>
      </c>
    </row>
    <row r="31">
      <c r="A31" s="65" t="inlineStr">
        <is>
          <t>DEZ-S49-MET-A</t>
        </is>
      </c>
      <c r="B31" s="66" t="inlineStr">
        <is>
          <t>S49</t>
        </is>
      </c>
      <c r="C31" s="67" t="n">
        <v>46359</v>
      </c>
      <c r="D31" s="68" t="inlineStr">
        <is>
          <t>Metas</t>
        </is>
      </c>
      <c r="E31" s="53" t="n"/>
      <c r="F31" s="53" t="n"/>
      <c r="G31" s="69" t="inlineStr">
        <is>
          <t>A</t>
        </is>
      </c>
      <c r="H31" s="70">
        <f>IF($G31="A",CONFIG!$B$5,IF($G31="B",CONFIG!$B$6,IF($G31="C",CONFIG!$B$7,IF($G31="Todos","Todos os turnos",""))))</f>
        <v/>
      </c>
      <c r="I31" s="53" t="n"/>
      <c r="J31" s="71" t="inlineStr">
        <is>
          <t>—</t>
        </is>
      </c>
      <c r="K31" s="53" t="n"/>
      <c r="L31" s="72" t="n"/>
      <c r="M31" s="53" t="n"/>
      <c r="N31" s="73" t="n"/>
      <c r="O31" s="74" t="n"/>
      <c r="P31" s="75" t="n"/>
      <c r="Q31" s="53" t="n"/>
      <c r="R31" s="76">
        <f>IF($C31="","",IF($O31="Cancelada","Cancelada",IF($O31="Reprovado","Reprovada",IF($O31="Aprovado","Aprovada",IF($L31&lt;&gt;"","Entregue",IF(TODAY()&gt;$C31,"Atrasada","Pendente"))))))</f>
        <v/>
      </c>
    </row>
    <row r="32">
      <c r="A32" s="65" t="inlineStr">
        <is>
          <t>DEZ-S49-MET-B</t>
        </is>
      </c>
      <c r="B32" s="66" t="inlineStr">
        <is>
          <t>S49</t>
        </is>
      </c>
      <c r="C32" s="67" t="n">
        <v>46359</v>
      </c>
      <c r="D32" s="68" t="inlineStr">
        <is>
          <t>Metas</t>
        </is>
      </c>
      <c r="E32" s="53" t="n"/>
      <c r="F32" s="53" t="n"/>
      <c r="G32" s="69" t="inlineStr">
        <is>
          <t>B</t>
        </is>
      </c>
      <c r="H32" s="70">
        <f>IF($G32="A",CONFIG!$B$5,IF($G32="B",CONFIG!$B$6,IF($G32="C",CONFIG!$B$7,IF($G32="Todos","Todos os turnos",""))))</f>
        <v/>
      </c>
      <c r="I32" s="53" t="n"/>
      <c r="J32" s="71" t="inlineStr">
        <is>
          <t>—</t>
        </is>
      </c>
      <c r="K32" s="53" t="n"/>
      <c r="L32" s="72" t="n"/>
      <c r="M32" s="53" t="n"/>
      <c r="N32" s="73" t="n"/>
      <c r="O32" s="74" t="n"/>
      <c r="P32" s="75" t="n"/>
      <c r="Q32" s="53" t="n"/>
      <c r="R32" s="76">
        <f>IF($C32="","",IF($O32="Cancelada","Cancelada",IF($O32="Reprovado","Reprovada",IF($O32="Aprovado","Aprovada",IF($L32&lt;&gt;"","Entregue",IF(TODAY()&gt;$C32,"Atrasada","Pendente"))))))</f>
        <v/>
      </c>
    </row>
    <row r="33">
      <c r="A33" s="65" t="inlineStr">
        <is>
          <t>DEZ-S49-MET-C</t>
        </is>
      </c>
      <c r="B33" s="66" t="inlineStr">
        <is>
          <t>S49</t>
        </is>
      </c>
      <c r="C33" s="67" t="n">
        <v>46359</v>
      </c>
      <c r="D33" s="68" t="inlineStr">
        <is>
          <t>Metas</t>
        </is>
      </c>
      <c r="E33" s="53" t="n"/>
      <c r="F33" s="53" t="n"/>
      <c r="G33" s="69" t="inlineStr">
        <is>
          <t>C</t>
        </is>
      </c>
      <c r="H33" s="70">
        <f>IF($G33="A",CONFIG!$B$5,IF($G33="B",CONFIG!$B$6,IF($G33="C",CONFIG!$B$7,IF($G33="Todos","Todos os turnos",""))))</f>
        <v/>
      </c>
      <c r="I33" s="53" t="n"/>
      <c r="J33" s="71" t="inlineStr">
        <is>
          <t>—</t>
        </is>
      </c>
      <c r="K33" s="53" t="n"/>
      <c r="L33" s="72" t="n"/>
      <c r="M33" s="53" t="n"/>
      <c r="N33" s="73" t="n"/>
      <c r="O33" s="74" t="n"/>
      <c r="P33" s="75" t="n"/>
      <c r="Q33" s="53" t="n"/>
      <c r="R33" s="76">
        <f>IF($C33="","",IF($O33="Cancelada","Cancelada",IF($O33="Reprovado","Reprovada",IF($O33="Aprovado","Aprovada",IF($L33&lt;&gt;"","Entregue",IF(TODAY()&gt;$C33,"Atrasada","Pendente"))))))</f>
        <v/>
      </c>
    </row>
    <row r="34">
      <c r="A34" s="65" t="inlineStr">
        <is>
          <t>DEZ-S49-ACO-A</t>
        </is>
      </c>
      <c r="B34" s="66" t="inlineStr">
        <is>
          <t>S49</t>
        </is>
      </c>
      <c r="C34" s="67" t="n">
        <v>46360</v>
      </c>
      <c r="D34" s="68" t="inlineStr">
        <is>
          <t>Acompanhamento Semanal c/ Supervisores</t>
        </is>
      </c>
      <c r="E34" s="53" t="n"/>
      <c r="F34" s="53" t="n"/>
      <c r="G34" s="69" t="inlineStr">
        <is>
          <t>A</t>
        </is>
      </c>
      <c r="H34" s="70">
        <f>IF($G34="A",CONFIG!$B$5,IF($G34="B",CONFIG!$B$6,IF($G34="C",CONFIG!$B$7,IF($G34="Todos","Todos os turnos",""))))</f>
        <v/>
      </c>
      <c r="I34" s="53" t="n"/>
      <c r="J34" s="71" t="inlineStr">
        <is>
          <t>—</t>
        </is>
      </c>
      <c r="K34" s="53" t="n"/>
      <c r="L34" s="72" t="n"/>
      <c r="M34" s="53" t="n"/>
      <c r="N34" s="73" t="n"/>
      <c r="O34" s="74" t="n"/>
      <c r="P34" s="75" t="n"/>
      <c r="Q34" s="53" t="n"/>
      <c r="R34" s="76">
        <f>IF($C34="","",IF($O34="Cancelada","Cancelada",IF($O34="Reprovado","Reprovada",IF($O34="Aprovado","Aprovada",IF($L34&lt;&gt;"","Entregue",IF(TODAY()&gt;$C34,"Atrasada","Pendente"))))))</f>
        <v/>
      </c>
    </row>
    <row r="35">
      <c r="A35" s="65" t="inlineStr">
        <is>
          <t>DEZ-S49-ACO-B</t>
        </is>
      </c>
      <c r="B35" s="66" t="inlineStr">
        <is>
          <t>S49</t>
        </is>
      </c>
      <c r="C35" s="67" t="n">
        <v>46360</v>
      </c>
      <c r="D35" s="68" t="inlineStr">
        <is>
          <t>Acompanhamento Semanal c/ Supervisores</t>
        </is>
      </c>
      <c r="E35" s="53" t="n"/>
      <c r="F35" s="53" t="n"/>
      <c r="G35" s="69" t="inlineStr">
        <is>
          <t>B</t>
        </is>
      </c>
      <c r="H35" s="70">
        <f>IF($G35="A",CONFIG!$B$5,IF($G35="B",CONFIG!$B$6,IF($G35="C",CONFIG!$B$7,IF($G35="Todos","Todos os turnos",""))))</f>
        <v/>
      </c>
      <c r="I35" s="53" t="n"/>
      <c r="J35" s="71" t="inlineStr">
        <is>
          <t>—</t>
        </is>
      </c>
      <c r="K35" s="53" t="n"/>
      <c r="L35" s="72" t="n"/>
      <c r="M35" s="53" t="n"/>
      <c r="N35" s="73" t="n"/>
      <c r="O35" s="74" t="n"/>
      <c r="P35" s="75" t="n"/>
      <c r="Q35" s="53" t="n"/>
      <c r="R35" s="76">
        <f>IF($C35="","",IF($O35="Cancelada","Cancelada",IF($O35="Reprovado","Reprovada",IF($O35="Aprovado","Aprovada",IF($L35&lt;&gt;"","Entregue",IF(TODAY()&gt;$C35,"Atrasada","Pendente"))))))</f>
        <v/>
      </c>
    </row>
    <row r="36">
      <c r="A36" s="65" t="inlineStr">
        <is>
          <t>DEZ-S49-ACO-C</t>
        </is>
      </c>
      <c r="B36" s="66" t="inlineStr">
        <is>
          <t>S49</t>
        </is>
      </c>
      <c r="C36" s="67" t="n">
        <v>46360</v>
      </c>
      <c r="D36" s="68" t="inlineStr">
        <is>
          <t>Acompanhamento Semanal c/ Supervisores</t>
        </is>
      </c>
      <c r="E36" s="53" t="n"/>
      <c r="F36" s="53" t="n"/>
      <c r="G36" s="69" t="inlineStr">
        <is>
          <t>C</t>
        </is>
      </c>
      <c r="H36" s="70">
        <f>IF($G36="A",CONFIG!$B$5,IF($G36="B",CONFIG!$B$6,IF($G36="C",CONFIG!$B$7,IF($G36="Todos","Todos os turnos",""))))</f>
        <v/>
      </c>
      <c r="I36" s="53" t="n"/>
      <c r="J36" s="71" t="inlineStr">
        <is>
          <t>—</t>
        </is>
      </c>
      <c r="K36" s="53" t="n"/>
      <c r="L36" s="72" t="n"/>
      <c r="M36" s="53" t="n"/>
      <c r="N36" s="73" t="n"/>
      <c r="O36" s="74" t="n"/>
      <c r="P36" s="75" t="n"/>
      <c r="Q36" s="53" t="n"/>
      <c r="R36" s="76">
        <f>IF($C36="","",IF($O36="Cancelada","Cancelada",IF($O36="Reprovado","Reprovada",IF($O36="Aprovado","Aprovada",IF($L36&lt;&gt;"","Entregue",IF(TODAY()&gt;$C36,"Atrasada","Pendente"))))))</f>
        <v/>
      </c>
    </row>
    <row r="37">
      <c r="A37" s="65" t="inlineStr">
        <is>
          <t>DEZ-S49-FAL-A</t>
        </is>
      </c>
      <c r="B37" s="66" t="inlineStr">
        <is>
          <t>S49</t>
        </is>
      </c>
      <c r="C37" s="67" t="n">
        <v>46360</v>
      </c>
      <c r="D37" s="68" t="inlineStr">
        <is>
          <t>Faltas e Atestados</t>
        </is>
      </c>
      <c r="E37" s="53" t="n"/>
      <c r="F37" s="53" t="n"/>
      <c r="G37" s="69" t="inlineStr">
        <is>
          <t>A</t>
        </is>
      </c>
      <c r="H37" s="70">
        <f>IF($G37="A",CONFIG!$B$5,IF($G37="B",CONFIG!$B$6,IF($G37="C",CONFIG!$B$7,IF($G37="Todos","Todos os turnos",""))))</f>
        <v/>
      </c>
      <c r="I37" s="53" t="n"/>
      <c r="J37" s="71" t="inlineStr">
        <is>
          <t>—</t>
        </is>
      </c>
      <c r="K37" s="53" t="n"/>
      <c r="L37" s="72" t="n"/>
      <c r="M37" s="53" t="n"/>
      <c r="N37" s="73" t="n"/>
      <c r="O37" s="74" t="n"/>
      <c r="P37" s="75" t="n"/>
      <c r="Q37" s="53" t="n"/>
      <c r="R37" s="76">
        <f>IF($C37="","",IF($O37="Cancelada","Cancelada",IF($O37="Reprovado","Reprovada",IF($O37="Aprovado","Aprovada",IF($L37&lt;&gt;"","Entregue",IF(TODAY()&gt;$C37,"Atrasada","Pendente"))))))</f>
        <v/>
      </c>
    </row>
    <row r="38">
      <c r="A38" s="65" t="inlineStr">
        <is>
          <t>DEZ-S49-FAL-B</t>
        </is>
      </c>
      <c r="B38" s="66" t="inlineStr">
        <is>
          <t>S49</t>
        </is>
      </c>
      <c r="C38" s="67" t="n">
        <v>46360</v>
      </c>
      <c r="D38" s="68" t="inlineStr">
        <is>
          <t>Faltas e Atestados</t>
        </is>
      </c>
      <c r="E38" s="53" t="n"/>
      <c r="F38" s="53" t="n"/>
      <c r="G38" s="69" t="inlineStr">
        <is>
          <t>B</t>
        </is>
      </c>
      <c r="H38" s="70">
        <f>IF($G38="A",CONFIG!$B$5,IF($G38="B",CONFIG!$B$6,IF($G38="C",CONFIG!$B$7,IF($G38="Todos","Todos os turnos",""))))</f>
        <v/>
      </c>
      <c r="I38" s="53" t="n"/>
      <c r="J38" s="71" t="inlineStr">
        <is>
          <t>—</t>
        </is>
      </c>
      <c r="K38" s="53" t="n"/>
      <c r="L38" s="72" t="n"/>
      <c r="M38" s="53" t="n"/>
      <c r="N38" s="73" t="n"/>
      <c r="O38" s="74" t="n"/>
      <c r="P38" s="75" t="n"/>
      <c r="Q38" s="53" t="n"/>
      <c r="R38" s="76">
        <f>IF($C38="","",IF($O38="Cancelada","Cancelada",IF($O38="Reprovado","Reprovada",IF($O38="Aprovado","Aprovada",IF($L38&lt;&gt;"","Entregue",IF(TODAY()&gt;$C38,"Atrasada","Pendente"))))))</f>
        <v/>
      </c>
    </row>
    <row r="39">
      <c r="A39" s="65" t="inlineStr">
        <is>
          <t>DEZ-S49-FAL-C</t>
        </is>
      </c>
      <c r="B39" s="66" t="inlineStr">
        <is>
          <t>S49</t>
        </is>
      </c>
      <c r="C39" s="67" t="n">
        <v>46360</v>
      </c>
      <c r="D39" s="68" t="inlineStr">
        <is>
          <t>Faltas e Atestados</t>
        </is>
      </c>
      <c r="E39" s="53" t="n"/>
      <c r="F39" s="53" t="n"/>
      <c r="G39" s="69" t="inlineStr">
        <is>
          <t>C</t>
        </is>
      </c>
      <c r="H39" s="70">
        <f>IF($G39="A",CONFIG!$B$5,IF($G39="B",CONFIG!$B$6,IF($G39="C",CONFIG!$B$7,IF($G39="Todos","Todos os turnos",""))))</f>
        <v/>
      </c>
      <c r="I39" s="53" t="n"/>
      <c r="J39" s="71" t="inlineStr">
        <is>
          <t>—</t>
        </is>
      </c>
      <c r="K39" s="53" t="n"/>
      <c r="L39" s="72" t="n"/>
      <c r="M39" s="53" t="n"/>
      <c r="N39" s="73" t="n"/>
      <c r="O39" s="74" t="n"/>
      <c r="P39" s="75" t="n"/>
      <c r="Q39" s="53" t="n"/>
      <c r="R39" s="76">
        <f>IF($C39="","",IF($O39="Cancelada","Cancelada",IF($O39="Reprovado","Reprovada",IF($O39="Aprovado","Aprovada",IF($L39&lt;&gt;"","Entregue",IF(TODAY()&gt;$C39,"Atrasada","Pendente"))))))</f>
        <v/>
      </c>
    </row>
    <row r="40">
      <c r="A40" s="65" t="inlineStr">
        <is>
          <t>DEZ-S49-REU-T</t>
        </is>
      </c>
      <c r="B40" s="66" t="inlineStr">
        <is>
          <t>S49</t>
        </is>
      </c>
      <c r="C40" s="67" t="n">
        <v>46360</v>
      </c>
      <c r="D40" s="68" t="inlineStr">
        <is>
          <t>Reunião Semanal com a Gerência</t>
        </is>
      </c>
      <c r="E40" s="53" t="n"/>
      <c r="F40" s="53" t="n"/>
      <c r="G40" s="69" t="inlineStr">
        <is>
          <t>Todos</t>
        </is>
      </c>
      <c r="H40" s="70">
        <f>IF($G40="A",CONFIG!$B$5,IF($G40="B",CONFIG!$B$6,IF($G40="C",CONFIG!$B$7,IF($G40="Todos","Todos os turnos",""))))</f>
        <v/>
      </c>
      <c r="I40" s="53" t="n"/>
      <c r="J40" s="71" t="inlineStr">
        <is>
          <t>—</t>
        </is>
      </c>
      <c r="K40" s="53" t="n"/>
      <c r="L40" s="72" t="n"/>
      <c r="M40" s="53" t="n"/>
      <c r="N40" s="73" t="n"/>
      <c r="O40" s="74" t="n"/>
      <c r="P40" s="75" t="n"/>
      <c r="Q40" s="53" t="n"/>
      <c r="R40" s="76">
        <f>IF($C40="","",IF($O40="Cancelada","Cancelada",IF($O40="Reprovado","Reprovada",IF($O40="Aprovado","Aprovada",IF($L40&lt;&gt;"","Entregue",IF(TODAY()&gt;$C40,"Atrasada","Pendente"))))))</f>
        <v/>
      </c>
    </row>
    <row r="41">
      <c r="A41" s="65" t="inlineStr">
        <is>
          <t>DEZ-S50-FER-A</t>
        </is>
      </c>
      <c r="B41" s="66" t="inlineStr">
        <is>
          <t>S50</t>
        </is>
      </c>
      <c r="C41" s="67" t="n">
        <v>46363</v>
      </c>
      <c r="D41" s="68" t="inlineStr">
        <is>
          <t>Programação de Férias (mensal)</t>
        </is>
      </c>
      <c r="E41" s="53" t="n"/>
      <c r="F41" s="53" t="n"/>
      <c r="G41" s="69" t="inlineStr">
        <is>
          <t>A</t>
        </is>
      </c>
      <c r="H41" s="70">
        <f>IF($G41="A",CONFIG!$B$5,IF($G41="B",CONFIG!$B$6,IF($G41="C",CONFIG!$B$7,IF($G41="Todos","Todos os turnos",""))))</f>
        <v/>
      </c>
      <c r="I41" s="53" t="n"/>
      <c r="J41" s="71" t="inlineStr">
        <is>
          <t>—</t>
        </is>
      </c>
      <c r="K41" s="53" t="n"/>
      <c r="L41" s="72" t="n"/>
      <c r="M41" s="53" t="n"/>
      <c r="N41" s="73" t="n"/>
      <c r="O41" s="74" t="n"/>
      <c r="P41" s="75" t="n"/>
      <c r="Q41" s="53" t="n"/>
      <c r="R41" s="76">
        <f>IF($C41="","",IF($O41="Cancelada","Cancelada",IF($O41="Reprovado","Reprovada",IF($O41="Aprovado","Aprovada",IF($L41&lt;&gt;"","Entregue",IF(TODAY()&gt;$C41,"Atrasada","Pendente"))))))</f>
        <v/>
      </c>
    </row>
    <row r="42">
      <c r="A42" s="65" t="inlineStr">
        <is>
          <t>DEZ-S50-FER-B</t>
        </is>
      </c>
      <c r="B42" s="66" t="inlineStr">
        <is>
          <t>S50</t>
        </is>
      </c>
      <c r="C42" s="67" t="n">
        <v>46363</v>
      </c>
      <c r="D42" s="68" t="inlineStr">
        <is>
          <t>Programação de Férias (mensal)</t>
        </is>
      </c>
      <c r="E42" s="53" t="n"/>
      <c r="F42" s="53" t="n"/>
      <c r="G42" s="69" t="inlineStr">
        <is>
          <t>B</t>
        </is>
      </c>
      <c r="H42" s="70">
        <f>IF($G42="A",CONFIG!$B$5,IF($G42="B",CONFIG!$B$6,IF($G42="C",CONFIG!$B$7,IF($G42="Todos","Todos os turnos",""))))</f>
        <v/>
      </c>
      <c r="I42" s="53" t="n"/>
      <c r="J42" s="71" t="inlineStr">
        <is>
          <t>—</t>
        </is>
      </c>
      <c r="K42" s="53" t="n"/>
      <c r="L42" s="72" t="n"/>
      <c r="M42" s="53" t="n"/>
      <c r="N42" s="73" t="n"/>
      <c r="O42" s="74" t="n"/>
      <c r="P42" s="75" t="n"/>
      <c r="Q42" s="53" t="n"/>
      <c r="R42" s="76">
        <f>IF($C42="","",IF($O42="Cancelada","Cancelada",IF($O42="Reprovado","Reprovada",IF($O42="Aprovado","Aprovada",IF($L42&lt;&gt;"","Entregue",IF(TODAY()&gt;$C42,"Atrasada","Pendente"))))))</f>
        <v/>
      </c>
    </row>
    <row r="43">
      <c r="A43" s="65" t="inlineStr">
        <is>
          <t>DEZ-S50-FER-C</t>
        </is>
      </c>
      <c r="B43" s="66" t="inlineStr">
        <is>
          <t>S50</t>
        </is>
      </c>
      <c r="C43" s="67" t="n">
        <v>46363</v>
      </c>
      <c r="D43" s="68" t="inlineStr">
        <is>
          <t>Programação de Férias (mensal)</t>
        </is>
      </c>
      <c r="E43" s="53" t="n"/>
      <c r="F43" s="53" t="n"/>
      <c r="G43" s="69" t="inlineStr">
        <is>
          <t>C</t>
        </is>
      </c>
      <c r="H43" s="70">
        <f>IF($G43="A",CONFIG!$B$5,IF($G43="B",CONFIG!$B$6,IF($G43="C",CONFIG!$B$7,IF($G43="Todos","Todos os turnos",""))))</f>
        <v/>
      </c>
      <c r="I43" s="53" t="n"/>
      <c r="J43" s="71" t="inlineStr">
        <is>
          <t>—</t>
        </is>
      </c>
      <c r="K43" s="53" t="n"/>
      <c r="L43" s="72" t="n"/>
      <c r="M43" s="53" t="n"/>
      <c r="N43" s="73" t="n"/>
      <c r="O43" s="74" t="n"/>
      <c r="P43" s="75" t="n"/>
      <c r="Q43" s="53" t="n"/>
      <c r="R43" s="76">
        <f>IF($C43="","",IF($O43="Cancelada","Cancelada",IF($O43="Reprovado","Reprovada",IF($O43="Aprovado","Aprovada",IF($L43&lt;&gt;"","Entregue",IF(TODAY()&gt;$C43,"Atrasada","Pendente"))))))</f>
        <v/>
      </c>
    </row>
    <row r="44">
      <c r="A44" s="65" t="inlineStr">
        <is>
          <t>DEZ-S50-ERR-A</t>
        </is>
      </c>
      <c r="B44" s="66" t="inlineStr">
        <is>
          <t>S50</t>
        </is>
      </c>
      <c r="C44" s="67" t="n">
        <v>46363</v>
      </c>
      <c r="D44" s="68" t="inlineStr">
        <is>
          <t>Levantamento de Erros Operacionais</t>
        </is>
      </c>
      <c r="E44" s="53" t="n"/>
      <c r="F44" s="53" t="n"/>
      <c r="G44" s="69" t="inlineStr">
        <is>
          <t>A</t>
        </is>
      </c>
      <c r="H44" s="70">
        <f>IF($G44="A",CONFIG!$B$5,IF($G44="B",CONFIG!$B$6,IF($G44="C",CONFIG!$B$7,IF($G44="Todos","Todos os turnos",""))))</f>
        <v/>
      </c>
      <c r="I44" s="53" t="n"/>
      <c r="J44" s="71" t="inlineStr">
        <is>
          <t>—</t>
        </is>
      </c>
      <c r="K44" s="53" t="n"/>
      <c r="L44" s="72" t="n"/>
      <c r="M44" s="53" t="n"/>
      <c r="N44" s="73" t="n"/>
      <c r="O44" s="74" t="n"/>
      <c r="P44" s="75" t="n"/>
      <c r="Q44" s="53" t="n"/>
      <c r="R44" s="76">
        <f>IF($C44="","",IF($O44="Cancelada","Cancelada",IF($O44="Reprovado","Reprovada",IF($O44="Aprovado","Aprovada",IF($L44&lt;&gt;"","Entregue",IF(TODAY()&gt;$C44,"Atrasada","Pendente"))))))</f>
        <v/>
      </c>
    </row>
    <row r="45">
      <c r="A45" s="65" t="inlineStr">
        <is>
          <t>DEZ-S50-ERR-B</t>
        </is>
      </c>
      <c r="B45" s="66" t="inlineStr">
        <is>
          <t>S50</t>
        </is>
      </c>
      <c r="C45" s="67" t="n">
        <v>46363</v>
      </c>
      <c r="D45" s="68" t="inlineStr">
        <is>
          <t>Levantamento de Erros Operacionais</t>
        </is>
      </c>
      <c r="E45" s="53" t="n"/>
      <c r="F45" s="53" t="n"/>
      <c r="G45" s="69" t="inlineStr">
        <is>
          <t>B</t>
        </is>
      </c>
      <c r="H45" s="70">
        <f>IF($G45="A",CONFIG!$B$5,IF($G45="B",CONFIG!$B$6,IF($G45="C",CONFIG!$B$7,IF($G45="Todos","Todos os turnos",""))))</f>
        <v/>
      </c>
      <c r="I45" s="53" t="n"/>
      <c r="J45" s="71" t="inlineStr">
        <is>
          <t>—</t>
        </is>
      </c>
      <c r="K45" s="53" t="n"/>
      <c r="L45" s="72" t="n"/>
      <c r="M45" s="53" t="n"/>
      <c r="N45" s="73" t="n"/>
      <c r="O45" s="74" t="n"/>
      <c r="P45" s="75" t="n"/>
      <c r="Q45" s="53" t="n"/>
      <c r="R45" s="76">
        <f>IF($C45="","",IF($O45="Cancelada","Cancelada",IF($O45="Reprovado","Reprovada",IF($O45="Aprovado","Aprovada",IF($L45&lt;&gt;"","Entregue",IF(TODAY()&gt;$C45,"Atrasada","Pendente"))))))</f>
        <v/>
      </c>
    </row>
    <row r="46">
      <c r="A46" s="65" t="inlineStr">
        <is>
          <t>DEZ-S50-ERR-C</t>
        </is>
      </c>
      <c r="B46" s="66" t="inlineStr">
        <is>
          <t>S50</t>
        </is>
      </c>
      <c r="C46" s="67" t="n">
        <v>46363</v>
      </c>
      <c r="D46" s="68" t="inlineStr">
        <is>
          <t>Levantamento de Erros Operacionais</t>
        </is>
      </c>
      <c r="E46" s="53" t="n"/>
      <c r="F46" s="53" t="n"/>
      <c r="G46" s="69" t="inlineStr">
        <is>
          <t>C</t>
        </is>
      </c>
      <c r="H46" s="70">
        <f>IF($G46="A",CONFIG!$B$5,IF($G46="B",CONFIG!$B$6,IF($G46="C",CONFIG!$B$7,IF($G46="Todos","Todos os turnos",""))))</f>
        <v/>
      </c>
      <c r="I46" s="53" t="n"/>
      <c r="J46" s="71" t="inlineStr">
        <is>
          <t>—</t>
        </is>
      </c>
      <c r="K46" s="53" t="n"/>
      <c r="L46" s="72" t="n"/>
      <c r="M46" s="53" t="n"/>
      <c r="N46" s="73" t="n"/>
      <c r="O46" s="74" t="n"/>
      <c r="P46" s="75" t="n"/>
      <c r="Q46" s="53" t="n"/>
      <c r="R46" s="76">
        <f>IF($C46="","",IF($O46="Cancelada","Cancelada",IF($O46="Reprovado","Reprovada",IF($O46="Aprovado","Aprovada",IF($L46&lt;&gt;"","Entregue",IF(TODAY()&gt;$C46,"Atrasada","Pendente"))))))</f>
        <v/>
      </c>
    </row>
    <row r="47">
      <c r="A47" s="65" t="inlineStr">
        <is>
          <t>DEZ-S50-SUP-A</t>
        </is>
      </c>
      <c r="B47" s="66" t="inlineStr">
        <is>
          <t>S50</t>
        </is>
      </c>
      <c r="C47" s="67" t="n">
        <v>46364</v>
      </c>
      <c r="D47" s="68" t="inlineStr">
        <is>
          <t>Suporte de Supervisores</t>
        </is>
      </c>
      <c r="E47" s="53" t="n"/>
      <c r="F47" s="53" t="n"/>
      <c r="G47" s="69" t="inlineStr">
        <is>
          <t>A</t>
        </is>
      </c>
      <c r="H47" s="70">
        <f>IF($G47="A",CONFIG!$B$5,IF($G47="B",CONFIG!$B$6,IF($G47="C",CONFIG!$B$7,IF($G47="Todos","Todos os turnos",""))))</f>
        <v/>
      </c>
      <c r="I47" s="53" t="n"/>
      <c r="J47" s="71" t="inlineStr">
        <is>
          <t>—</t>
        </is>
      </c>
      <c r="K47" s="53" t="n"/>
      <c r="L47" s="72" t="n"/>
      <c r="M47" s="53" t="n"/>
      <c r="N47" s="73" t="n"/>
      <c r="O47" s="74" t="n"/>
      <c r="P47" s="75" t="n"/>
      <c r="Q47" s="53" t="n"/>
      <c r="R47" s="76">
        <f>IF($C47="","",IF($O47="Cancelada","Cancelada",IF($O47="Reprovado","Reprovada",IF($O47="Aprovado","Aprovada",IF($L47&lt;&gt;"","Entregue",IF(TODAY()&gt;$C47,"Atrasada","Pendente"))))))</f>
        <v/>
      </c>
    </row>
    <row r="48">
      <c r="A48" s="65" t="inlineStr">
        <is>
          <t>DEZ-S50-SUP-B</t>
        </is>
      </c>
      <c r="B48" s="66" t="inlineStr">
        <is>
          <t>S50</t>
        </is>
      </c>
      <c r="C48" s="67" t="n">
        <v>46364</v>
      </c>
      <c r="D48" s="68" t="inlineStr">
        <is>
          <t>Suporte de Supervisores</t>
        </is>
      </c>
      <c r="E48" s="53" t="n"/>
      <c r="F48" s="53" t="n"/>
      <c r="G48" s="69" t="inlineStr">
        <is>
          <t>B</t>
        </is>
      </c>
      <c r="H48" s="70">
        <f>IF($G48="A",CONFIG!$B$5,IF($G48="B",CONFIG!$B$6,IF($G48="C",CONFIG!$B$7,IF($G48="Todos","Todos os turnos",""))))</f>
        <v/>
      </c>
      <c r="I48" s="53" t="n"/>
      <c r="J48" s="71" t="inlineStr">
        <is>
          <t>—</t>
        </is>
      </c>
      <c r="K48" s="53" t="n"/>
      <c r="L48" s="72" t="n"/>
      <c r="M48" s="53" t="n"/>
      <c r="N48" s="73" t="n"/>
      <c r="O48" s="74" t="n"/>
      <c r="P48" s="75" t="n"/>
      <c r="Q48" s="53" t="n"/>
      <c r="R48" s="76">
        <f>IF($C48="","",IF($O48="Cancelada","Cancelada",IF($O48="Reprovado","Reprovada",IF($O48="Aprovado","Aprovada",IF($L48&lt;&gt;"","Entregue",IF(TODAY()&gt;$C48,"Atrasada","Pendente"))))))</f>
        <v/>
      </c>
    </row>
    <row r="49">
      <c r="A49" s="65" t="inlineStr">
        <is>
          <t>DEZ-S50-SUP-C</t>
        </is>
      </c>
      <c r="B49" s="66" t="inlineStr">
        <is>
          <t>S50</t>
        </is>
      </c>
      <c r="C49" s="67" t="n">
        <v>46364</v>
      </c>
      <c r="D49" s="68" t="inlineStr">
        <is>
          <t>Suporte de Supervisores</t>
        </is>
      </c>
      <c r="E49" s="53" t="n"/>
      <c r="F49" s="53" t="n"/>
      <c r="G49" s="69" t="inlineStr">
        <is>
          <t>C</t>
        </is>
      </c>
      <c r="H49" s="70">
        <f>IF($G49="A",CONFIG!$B$5,IF($G49="B",CONFIG!$B$6,IF($G49="C",CONFIG!$B$7,IF($G49="Todos","Todos os turnos",""))))</f>
        <v/>
      </c>
      <c r="I49" s="53" t="n"/>
      <c r="J49" s="71" t="inlineStr">
        <is>
          <t>—</t>
        </is>
      </c>
      <c r="K49" s="53" t="n"/>
      <c r="L49" s="72" t="n"/>
      <c r="M49" s="53" t="n"/>
      <c r="N49" s="73" t="n"/>
      <c r="O49" s="74" t="n"/>
      <c r="P49" s="75" t="n"/>
      <c r="Q49" s="53" t="n"/>
      <c r="R49" s="76">
        <f>IF($C49="","",IF($O49="Cancelada","Cancelada",IF($O49="Reprovado","Reprovada",IF($O49="Aprovado","Aprovada",IF($L49&lt;&gt;"","Entregue",IF(TODAY()&gt;$C49,"Atrasada","Pendente"))))))</f>
        <v/>
      </c>
    </row>
    <row r="50">
      <c r="A50" s="65" t="inlineStr">
        <is>
          <t>DEZ-S50-VIS-A</t>
        </is>
      </c>
      <c r="B50" s="66" t="inlineStr">
        <is>
          <t>S50</t>
        </is>
      </c>
      <c r="C50" s="67" t="n">
        <v>46365</v>
      </c>
      <c r="D50" s="68" t="inlineStr">
        <is>
          <t>Acomp. Organizacional Setorial (Vistoria)</t>
        </is>
      </c>
      <c r="E50" s="53" t="n"/>
      <c r="F50" s="53" t="n"/>
      <c r="G50" s="69" t="inlineStr">
        <is>
          <t>A</t>
        </is>
      </c>
      <c r="H50" s="70">
        <f>IF($G50="A",CONFIG!$B$5,IF($G50="B",CONFIG!$B$6,IF($G50="C",CONFIG!$B$7,IF($G50="Todos","Todos os turnos",""))))</f>
        <v/>
      </c>
      <c r="I50" s="53" t="n"/>
      <c r="J50" s="77" t="n"/>
      <c r="K50" s="53" t="n"/>
      <c r="L50" s="72" t="n"/>
      <c r="M50" s="53" t="n"/>
      <c r="N50" s="73" t="n"/>
      <c r="O50" s="74" t="n"/>
      <c r="P50" s="75" t="n"/>
      <c r="Q50" s="53" t="n"/>
      <c r="R50" s="76">
        <f>IF($C50="","",IF($O50="Cancelada","Cancelada",IF($O50="Reprovado","Reprovada",IF($O50="Aprovado","Aprovada",IF($L50&lt;&gt;"","Entregue",IF(TODAY()&gt;$C50,"Atrasada","Pendente"))))))</f>
        <v/>
      </c>
    </row>
    <row r="51">
      <c r="A51" s="65" t="inlineStr">
        <is>
          <t>DEZ-S50-VIS-B</t>
        </is>
      </c>
      <c r="B51" s="66" t="inlineStr">
        <is>
          <t>S50</t>
        </is>
      </c>
      <c r="C51" s="67" t="n">
        <v>46365</v>
      </c>
      <c r="D51" s="68" t="inlineStr">
        <is>
          <t>Acomp. Organizacional Setorial (Vistoria)</t>
        </is>
      </c>
      <c r="E51" s="53" t="n"/>
      <c r="F51" s="53" t="n"/>
      <c r="G51" s="69" t="inlineStr">
        <is>
          <t>B</t>
        </is>
      </c>
      <c r="H51" s="70">
        <f>IF($G51="A",CONFIG!$B$5,IF($G51="B",CONFIG!$B$6,IF($G51="C",CONFIG!$B$7,IF($G51="Todos","Todos os turnos",""))))</f>
        <v/>
      </c>
      <c r="I51" s="53" t="n"/>
      <c r="J51" s="77" t="n"/>
      <c r="K51" s="53" t="n"/>
      <c r="L51" s="72" t="n"/>
      <c r="M51" s="53" t="n"/>
      <c r="N51" s="73" t="n"/>
      <c r="O51" s="74" t="n"/>
      <c r="P51" s="75" t="n"/>
      <c r="Q51" s="53" t="n"/>
      <c r="R51" s="76">
        <f>IF($C51="","",IF($O51="Cancelada","Cancelada",IF($O51="Reprovado","Reprovada",IF($O51="Aprovado","Aprovada",IF($L51&lt;&gt;"","Entregue",IF(TODAY()&gt;$C51,"Atrasada","Pendente"))))))</f>
        <v/>
      </c>
    </row>
    <row r="52">
      <c r="A52" s="65" t="inlineStr">
        <is>
          <t>DEZ-S50-VIS-C</t>
        </is>
      </c>
      <c r="B52" s="66" t="inlineStr">
        <is>
          <t>S50</t>
        </is>
      </c>
      <c r="C52" s="67" t="n">
        <v>46365</v>
      </c>
      <c r="D52" s="68" t="inlineStr">
        <is>
          <t>Acomp. Organizacional Setorial (Vistoria)</t>
        </is>
      </c>
      <c r="E52" s="53" t="n"/>
      <c r="F52" s="53" t="n"/>
      <c r="G52" s="69" t="inlineStr">
        <is>
          <t>C</t>
        </is>
      </c>
      <c r="H52" s="70">
        <f>IF($G52="A",CONFIG!$B$5,IF($G52="B",CONFIG!$B$6,IF($G52="C",CONFIG!$B$7,IF($G52="Todos","Todos os turnos",""))))</f>
        <v/>
      </c>
      <c r="I52" s="53" t="n"/>
      <c r="J52" s="77" t="n"/>
      <c r="K52" s="53" t="n"/>
      <c r="L52" s="72" t="n"/>
      <c r="M52" s="53" t="n"/>
      <c r="N52" s="73" t="n"/>
      <c r="O52" s="74" t="n"/>
      <c r="P52" s="75" t="n"/>
      <c r="Q52" s="53" t="n"/>
      <c r="R52" s="76">
        <f>IF($C52="","",IF($O52="Cancelada","Cancelada",IF($O52="Reprovado","Reprovada",IF($O52="Aprovado","Aprovada",IF($L52&lt;&gt;"","Entregue",IF(TODAY()&gt;$C52,"Atrasada","Pendente"))))))</f>
        <v/>
      </c>
    </row>
    <row r="53">
      <c r="A53" s="65" t="inlineStr">
        <is>
          <t>DEZ-S50-MET-A</t>
        </is>
      </c>
      <c r="B53" s="66" t="inlineStr">
        <is>
          <t>S50</t>
        </is>
      </c>
      <c r="C53" s="67" t="n">
        <v>46366</v>
      </c>
      <c r="D53" s="68" t="inlineStr">
        <is>
          <t>Metas</t>
        </is>
      </c>
      <c r="E53" s="53" t="n"/>
      <c r="F53" s="53" t="n"/>
      <c r="G53" s="69" t="inlineStr">
        <is>
          <t>A</t>
        </is>
      </c>
      <c r="H53" s="70">
        <f>IF($G53="A",CONFIG!$B$5,IF($G53="B",CONFIG!$B$6,IF($G53="C",CONFIG!$B$7,IF($G53="Todos","Todos os turnos",""))))</f>
        <v/>
      </c>
      <c r="I53" s="53" t="n"/>
      <c r="J53" s="71" t="inlineStr">
        <is>
          <t>—</t>
        </is>
      </c>
      <c r="K53" s="53" t="n"/>
      <c r="L53" s="72" t="n"/>
      <c r="M53" s="53" t="n"/>
      <c r="N53" s="73" t="n"/>
      <c r="O53" s="74" t="n"/>
      <c r="P53" s="75" t="n"/>
      <c r="Q53" s="53" t="n"/>
      <c r="R53" s="76">
        <f>IF($C53="","",IF($O53="Cancelada","Cancelada",IF($O53="Reprovado","Reprovada",IF($O53="Aprovado","Aprovada",IF($L53&lt;&gt;"","Entregue",IF(TODAY()&gt;$C53,"Atrasada","Pendente"))))))</f>
        <v/>
      </c>
    </row>
    <row r="54">
      <c r="A54" s="65" t="inlineStr">
        <is>
          <t>DEZ-S50-MET-B</t>
        </is>
      </c>
      <c r="B54" s="66" t="inlineStr">
        <is>
          <t>S50</t>
        </is>
      </c>
      <c r="C54" s="67" t="n">
        <v>46366</v>
      </c>
      <c r="D54" s="68" t="inlineStr">
        <is>
          <t>Metas</t>
        </is>
      </c>
      <c r="E54" s="53" t="n"/>
      <c r="F54" s="53" t="n"/>
      <c r="G54" s="69" t="inlineStr">
        <is>
          <t>B</t>
        </is>
      </c>
      <c r="H54" s="70">
        <f>IF($G54="A",CONFIG!$B$5,IF($G54="B",CONFIG!$B$6,IF($G54="C",CONFIG!$B$7,IF($G54="Todos","Todos os turnos",""))))</f>
        <v/>
      </c>
      <c r="I54" s="53" t="n"/>
      <c r="J54" s="71" t="inlineStr">
        <is>
          <t>—</t>
        </is>
      </c>
      <c r="K54" s="53" t="n"/>
      <c r="L54" s="72" t="n"/>
      <c r="M54" s="53" t="n"/>
      <c r="N54" s="73" t="n"/>
      <c r="O54" s="74" t="n"/>
      <c r="P54" s="75" t="n"/>
      <c r="Q54" s="53" t="n"/>
      <c r="R54" s="76">
        <f>IF($C54="","",IF($O54="Cancelada","Cancelada",IF($O54="Reprovado","Reprovada",IF($O54="Aprovado","Aprovada",IF($L54&lt;&gt;"","Entregue",IF(TODAY()&gt;$C54,"Atrasada","Pendente"))))))</f>
        <v/>
      </c>
    </row>
    <row r="55">
      <c r="A55" s="65" t="inlineStr">
        <is>
          <t>DEZ-S50-MET-C</t>
        </is>
      </c>
      <c r="B55" s="66" t="inlineStr">
        <is>
          <t>S50</t>
        </is>
      </c>
      <c r="C55" s="67" t="n">
        <v>46366</v>
      </c>
      <c r="D55" s="68" t="inlineStr">
        <is>
          <t>Metas</t>
        </is>
      </c>
      <c r="E55" s="53" t="n"/>
      <c r="F55" s="53" t="n"/>
      <c r="G55" s="69" t="inlineStr">
        <is>
          <t>C</t>
        </is>
      </c>
      <c r="H55" s="70">
        <f>IF($G55="A",CONFIG!$B$5,IF($G55="B",CONFIG!$B$6,IF($G55="C",CONFIG!$B$7,IF($G55="Todos","Todos os turnos",""))))</f>
        <v/>
      </c>
      <c r="I55" s="53" t="n"/>
      <c r="J55" s="71" t="inlineStr">
        <is>
          <t>—</t>
        </is>
      </c>
      <c r="K55" s="53" t="n"/>
      <c r="L55" s="72" t="n"/>
      <c r="M55" s="53" t="n"/>
      <c r="N55" s="73" t="n"/>
      <c r="O55" s="74" t="n"/>
      <c r="P55" s="75" t="n"/>
      <c r="Q55" s="53" t="n"/>
      <c r="R55" s="76">
        <f>IF($C55="","",IF($O55="Cancelada","Cancelada",IF($O55="Reprovado","Reprovada",IF($O55="Aprovado","Aprovada",IF($L55&lt;&gt;"","Entregue",IF(TODAY()&gt;$C55,"Atrasada","Pendente"))))))</f>
        <v/>
      </c>
    </row>
    <row r="56">
      <c r="A56" s="65" t="inlineStr">
        <is>
          <t>DEZ-S50-ACO-A</t>
        </is>
      </c>
      <c r="B56" s="66" t="inlineStr">
        <is>
          <t>S50</t>
        </is>
      </c>
      <c r="C56" s="67" t="n">
        <v>46367</v>
      </c>
      <c r="D56" s="68" t="inlineStr">
        <is>
          <t>Acompanhamento Semanal c/ Supervisores</t>
        </is>
      </c>
      <c r="E56" s="53" t="n"/>
      <c r="F56" s="53" t="n"/>
      <c r="G56" s="69" t="inlineStr">
        <is>
          <t>A</t>
        </is>
      </c>
      <c r="H56" s="70">
        <f>IF($G56="A",CONFIG!$B$5,IF($G56="B",CONFIG!$B$6,IF($G56="C",CONFIG!$B$7,IF($G56="Todos","Todos os turnos",""))))</f>
        <v/>
      </c>
      <c r="I56" s="53" t="n"/>
      <c r="J56" s="71" t="inlineStr">
        <is>
          <t>—</t>
        </is>
      </c>
      <c r="K56" s="53" t="n"/>
      <c r="L56" s="72" t="n"/>
      <c r="M56" s="53" t="n"/>
      <c r="N56" s="73" t="n"/>
      <c r="O56" s="74" t="n"/>
      <c r="P56" s="75" t="n"/>
      <c r="Q56" s="53" t="n"/>
      <c r="R56" s="76">
        <f>IF($C56="","",IF($O56="Cancelada","Cancelada",IF($O56="Reprovado","Reprovada",IF($O56="Aprovado","Aprovada",IF($L56&lt;&gt;"","Entregue",IF(TODAY()&gt;$C56,"Atrasada","Pendente"))))))</f>
        <v/>
      </c>
    </row>
    <row r="57">
      <c r="A57" s="65" t="inlineStr">
        <is>
          <t>DEZ-S50-ACO-B</t>
        </is>
      </c>
      <c r="B57" s="66" t="inlineStr">
        <is>
          <t>S50</t>
        </is>
      </c>
      <c r="C57" s="67" t="n">
        <v>46367</v>
      </c>
      <c r="D57" s="68" t="inlineStr">
        <is>
          <t>Acompanhamento Semanal c/ Supervisores</t>
        </is>
      </c>
      <c r="E57" s="53" t="n"/>
      <c r="F57" s="53" t="n"/>
      <c r="G57" s="69" t="inlineStr">
        <is>
          <t>B</t>
        </is>
      </c>
      <c r="H57" s="70">
        <f>IF($G57="A",CONFIG!$B$5,IF($G57="B",CONFIG!$B$6,IF($G57="C",CONFIG!$B$7,IF($G57="Todos","Todos os turnos",""))))</f>
        <v/>
      </c>
      <c r="I57" s="53" t="n"/>
      <c r="J57" s="71" t="inlineStr">
        <is>
          <t>—</t>
        </is>
      </c>
      <c r="K57" s="53" t="n"/>
      <c r="L57" s="72" t="n"/>
      <c r="M57" s="53" t="n"/>
      <c r="N57" s="73" t="n"/>
      <c r="O57" s="74" t="n"/>
      <c r="P57" s="75" t="n"/>
      <c r="Q57" s="53" t="n"/>
      <c r="R57" s="76">
        <f>IF($C57="","",IF($O57="Cancelada","Cancelada",IF($O57="Reprovado","Reprovada",IF($O57="Aprovado","Aprovada",IF($L57&lt;&gt;"","Entregue",IF(TODAY()&gt;$C57,"Atrasada","Pendente"))))))</f>
        <v/>
      </c>
    </row>
    <row r="58">
      <c r="A58" s="65" t="inlineStr">
        <is>
          <t>DEZ-S50-ACO-C</t>
        </is>
      </c>
      <c r="B58" s="66" t="inlineStr">
        <is>
          <t>S50</t>
        </is>
      </c>
      <c r="C58" s="67" t="n">
        <v>46367</v>
      </c>
      <c r="D58" s="68" t="inlineStr">
        <is>
          <t>Acompanhamento Semanal c/ Supervisores</t>
        </is>
      </c>
      <c r="E58" s="53" t="n"/>
      <c r="F58" s="53" t="n"/>
      <c r="G58" s="69" t="inlineStr">
        <is>
          <t>C</t>
        </is>
      </c>
      <c r="H58" s="70">
        <f>IF($G58="A",CONFIG!$B$5,IF($G58="B",CONFIG!$B$6,IF($G58="C",CONFIG!$B$7,IF($G58="Todos","Todos os turnos",""))))</f>
        <v/>
      </c>
      <c r="I58" s="53" t="n"/>
      <c r="J58" s="71" t="inlineStr">
        <is>
          <t>—</t>
        </is>
      </c>
      <c r="K58" s="53" t="n"/>
      <c r="L58" s="72" t="n"/>
      <c r="M58" s="53" t="n"/>
      <c r="N58" s="73" t="n"/>
      <c r="O58" s="74" t="n"/>
      <c r="P58" s="75" t="n"/>
      <c r="Q58" s="53" t="n"/>
      <c r="R58" s="76">
        <f>IF($C58="","",IF($O58="Cancelada","Cancelada",IF($O58="Reprovado","Reprovada",IF($O58="Aprovado","Aprovada",IF($L58&lt;&gt;"","Entregue",IF(TODAY()&gt;$C58,"Atrasada","Pendente"))))))</f>
        <v/>
      </c>
    </row>
    <row r="59">
      <c r="A59" s="65" t="inlineStr">
        <is>
          <t>DEZ-S50-FAL-A</t>
        </is>
      </c>
      <c r="B59" s="66" t="inlineStr">
        <is>
          <t>S50</t>
        </is>
      </c>
      <c r="C59" s="67" t="n">
        <v>46367</v>
      </c>
      <c r="D59" s="68" t="inlineStr">
        <is>
          <t>Faltas e Atestados</t>
        </is>
      </c>
      <c r="E59" s="53" t="n"/>
      <c r="F59" s="53" t="n"/>
      <c r="G59" s="69" t="inlineStr">
        <is>
          <t>A</t>
        </is>
      </c>
      <c r="H59" s="70">
        <f>IF($G59="A",CONFIG!$B$5,IF($G59="B",CONFIG!$B$6,IF($G59="C",CONFIG!$B$7,IF($G59="Todos","Todos os turnos",""))))</f>
        <v/>
      </c>
      <c r="I59" s="53" t="n"/>
      <c r="J59" s="71" t="inlineStr">
        <is>
          <t>—</t>
        </is>
      </c>
      <c r="K59" s="53" t="n"/>
      <c r="L59" s="72" t="n"/>
      <c r="M59" s="53" t="n"/>
      <c r="N59" s="73" t="n"/>
      <c r="O59" s="74" t="n"/>
      <c r="P59" s="75" t="n"/>
      <c r="Q59" s="53" t="n"/>
      <c r="R59" s="76">
        <f>IF($C59="","",IF($O59="Cancelada","Cancelada",IF($O59="Reprovado","Reprovada",IF($O59="Aprovado","Aprovada",IF($L59&lt;&gt;"","Entregue",IF(TODAY()&gt;$C59,"Atrasada","Pendente"))))))</f>
        <v/>
      </c>
    </row>
    <row r="60">
      <c r="A60" s="65" t="inlineStr">
        <is>
          <t>DEZ-S50-FAL-B</t>
        </is>
      </c>
      <c r="B60" s="66" t="inlineStr">
        <is>
          <t>S50</t>
        </is>
      </c>
      <c r="C60" s="67" t="n">
        <v>46367</v>
      </c>
      <c r="D60" s="68" t="inlineStr">
        <is>
          <t>Faltas e Atestados</t>
        </is>
      </c>
      <c r="E60" s="53" t="n"/>
      <c r="F60" s="53" t="n"/>
      <c r="G60" s="69" t="inlineStr">
        <is>
          <t>B</t>
        </is>
      </c>
      <c r="H60" s="70">
        <f>IF($G60="A",CONFIG!$B$5,IF($G60="B",CONFIG!$B$6,IF($G60="C",CONFIG!$B$7,IF($G60="Todos","Todos os turnos",""))))</f>
        <v/>
      </c>
      <c r="I60" s="53" t="n"/>
      <c r="J60" s="71" t="inlineStr">
        <is>
          <t>—</t>
        </is>
      </c>
      <c r="K60" s="53" t="n"/>
      <c r="L60" s="72" t="n"/>
      <c r="M60" s="53" t="n"/>
      <c r="N60" s="73" t="n"/>
      <c r="O60" s="74" t="n"/>
      <c r="P60" s="75" t="n"/>
      <c r="Q60" s="53" t="n"/>
      <c r="R60" s="76">
        <f>IF($C60="","",IF($O60="Cancelada","Cancelada",IF($O60="Reprovado","Reprovada",IF($O60="Aprovado","Aprovada",IF($L60&lt;&gt;"","Entregue",IF(TODAY()&gt;$C60,"Atrasada","Pendente"))))))</f>
        <v/>
      </c>
    </row>
    <row r="61">
      <c r="A61" s="65" t="inlineStr">
        <is>
          <t>DEZ-S50-FAL-C</t>
        </is>
      </c>
      <c r="B61" s="66" t="inlineStr">
        <is>
          <t>S50</t>
        </is>
      </c>
      <c r="C61" s="67" t="n">
        <v>46367</v>
      </c>
      <c r="D61" s="68" t="inlineStr">
        <is>
          <t>Faltas e Atestados</t>
        </is>
      </c>
      <c r="E61" s="53" t="n"/>
      <c r="F61" s="53" t="n"/>
      <c r="G61" s="69" t="inlineStr">
        <is>
          <t>C</t>
        </is>
      </c>
      <c r="H61" s="70">
        <f>IF($G61="A",CONFIG!$B$5,IF($G61="B",CONFIG!$B$6,IF($G61="C",CONFIG!$B$7,IF($G61="Todos","Todos os turnos",""))))</f>
        <v/>
      </c>
      <c r="I61" s="53" t="n"/>
      <c r="J61" s="71" t="inlineStr">
        <is>
          <t>—</t>
        </is>
      </c>
      <c r="K61" s="53" t="n"/>
      <c r="L61" s="72" t="n"/>
      <c r="M61" s="53" t="n"/>
      <c r="N61" s="73" t="n"/>
      <c r="O61" s="74" t="n"/>
      <c r="P61" s="75" t="n"/>
      <c r="Q61" s="53" t="n"/>
      <c r="R61" s="76">
        <f>IF($C61="","",IF($O61="Cancelada","Cancelada",IF($O61="Reprovado","Reprovada",IF($O61="Aprovado","Aprovada",IF($L61&lt;&gt;"","Entregue",IF(TODAY()&gt;$C61,"Atrasada","Pendente"))))))</f>
        <v/>
      </c>
    </row>
    <row r="62">
      <c r="A62" s="65" t="inlineStr">
        <is>
          <t>DEZ-S50-REU-T</t>
        </is>
      </c>
      <c r="B62" s="66" t="inlineStr">
        <is>
          <t>S50</t>
        </is>
      </c>
      <c r="C62" s="67" t="n">
        <v>46367</v>
      </c>
      <c r="D62" s="68" t="inlineStr">
        <is>
          <t>Reunião Semanal com a Gerência</t>
        </is>
      </c>
      <c r="E62" s="53" t="n"/>
      <c r="F62" s="53" t="n"/>
      <c r="G62" s="69" t="inlineStr">
        <is>
          <t>Todos</t>
        </is>
      </c>
      <c r="H62" s="70">
        <f>IF($G62="A",CONFIG!$B$5,IF($G62="B",CONFIG!$B$6,IF($G62="C",CONFIG!$B$7,IF($G62="Todos","Todos os turnos",""))))</f>
        <v/>
      </c>
      <c r="I62" s="53" t="n"/>
      <c r="J62" s="71" t="inlineStr">
        <is>
          <t>—</t>
        </is>
      </c>
      <c r="K62" s="53" t="n"/>
      <c r="L62" s="72" t="n"/>
      <c r="M62" s="53" t="n"/>
      <c r="N62" s="73" t="n"/>
      <c r="O62" s="74" t="n"/>
      <c r="P62" s="75" t="n"/>
      <c r="Q62" s="53" t="n"/>
      <c r="R62" s="76">
        <f>IF($C62="","",IF($O62="Cancelada","Cancelada",IF($O62="Reprovado","Reprovada",IF($O62="Aprovado","Aprovada",IF($L62&lt;&gt;"","Entregue",IF(TODAY()&gt;$C62,"Atrasada","Pendente"))))))</f>
        <v/>
      </c>
    </row>
    <row r="63">
      <c r="A63" s="65" t="inlineStr">
        <is>
          <t>DEZ-S51-ERR-A</t>
        </is>
      </c>
      <c r="B63" s="66" t="inlineStr">
        <is>
          <t>S51</t>
        </is>
      </c>
      <c r="C63" s="67" t="n">
        <v>46370</v>
      </c>
      <c r="D63" s="68" t="inlineStr">
        <is>
          <t>Levantamento de Erros Operacionais</t>
        </is>
      </c>
      <c r="E63" s="53" t="n"/>
      <c r="F63" s="53" t="n"/>
      <c r="G63" s="69" t="inlineStr">
        <is>
          <t>A</t>
        </is>
      </c>
      <c r="H63" s="70">
        <f>IF($G63="A",CONFIG!$B$5,IF($G63="B",CONFIG!$B$6,IF($G63="C",CONFIG!$B$7,IF($G63="Todos","Todos os turnos",""))))</f>
        <v/>
      </c>
      <c r="I63" s="53" t="n"/>
      <c r="J63" s="71" t="inlineStr">
        <is>
          <t>—</t>
        </is>
      </c>
      <c r="K63" s="53" t="n"/>
      <c r="L63" s="72" t="n"/>
      <c r="M63" s="53" t="n"/>
      <c r="N63" s="73" t="n"/>
      <c r="O63" s="74" t="n"/>
      <c r="P63" s="75" t="n"/>
      <c r="Q63" s="53" t="n"/>
      <c r="R63" s="76">
        <f>IF($C63="","",IF($O63="Cancelada","Cancelada",IF($O63="Reprovado","Reprovada",IF($O63="Aprovado","Aprovada",IF($L63&lt;&gt;"","Entregue",IF(TODAY()&gt;$C63,"Atrasada","Pendente"))))))</f>
        <v/>
      </c>
    </row>
    <row r="64">
      <c r="A64" s="65" t="inlineStr">
        <is>
          <t>DEZ-S51-ERR-B</t>
        </is>
      </c>
      <c r="B64" s="66" t="inlineStr">
        <is>
          <t>S51</t>
        </is>
      </c>
      <c r="C64" s="67" t="n">
        <v>46370</v>
      </c>
      <c r="D64" s="68" t="inlineStr">
        <is>
          <t>Levantamento de Erros Operacionais</t>
        </is>
      </c>
      <c r="E64" s="53" t="n"/>
      <c r="F64" s="53" t="n"/>
      <c r="G64" s="69" t="inlineStr">
        <is>
          <t>B</t>
        </is>
      </c>
      <c r="H64" s="70">
        <f>IF($G64="A",CONFIG!$B$5,IF($G64="B",CONFIG!$B$6,IF($G64="C",CONFIG!$B$7,IF($G64="Todos","Todos os turnos",""))))</f>
        <v/>
      </c>
      <c r="I64" s="53" t="n"/>
      <c r="J64" s="71" t="inlineStr">
        <is>
          <t>—</t>
        </is>
      </c>
      <c r="K64" s="53" t="n"/>
      <c r="L64" s="72" t="n"/>
      <c r="M64" s="53" t="n"/>
      <c r="N64" s="73" t="n"/>
      <c r="O64" s="74" t="n"/>
      <c r="P64" s="75" t="n"/>
      <c r="Q64" s="53" t="n"/>
      <c r="R64" s="76">
        <f>IF($C64="","",IF($O64="Cancelada","Cancelada",IF($O64="Reprovado","Reprovada",IF($O64="Aprovado","Aprovada",IF($L64&lt;&gt;"","Entregue",IF(TODAY()&gt;$C64,"Atrasada","Pendente"))))))</f>
        <v/>
      </c>
    </row>
    <row r="65">
      <c r="A65" s="65" t="inlineStr">
        <is>
          <t>DEZ-S51-ERR-C</t>
        </is>
      </c>
      <c r="B65" s="66" t="inlineStr">
        <is>
          <t>S51</t>
        </is>
      </c>
      <c r="C65" s="67" t="n">
        <v>46370</v>
      </c>
      <c r="D65" s="68" t="inlineStr">
        <is>
          <t>Levantamento de Erros Operacionais</t>
        </is>
      </c>
      <c r="E65" s="53" t="n"/>
      <c r="F65" s="53" t="n"/>
      <c r="G65" s="69" t="inlineStr">
        <is>
          <t>C</t>
        </is>
      </c>
      <c r="H65" s="70">
        <f>IF($G65="A",CONFIG!$B$5,IF($G65="B",CONFIG!$B$6,IF($G65="C",CONFIG!$B$7,IF($G65="Todos","Todos os turnos",""))))</f>
        <v/>
      </c>
      <c r="I65" s="53" t="n"/>
      <c r="J65" s="71" t="inlineStr">
        <is>
          <t>—</t>
        </is>
      </c>
      <c r="K65" s="53" t="n"/>
      <c r="L65" s="72" t="n"/>
      <c r="M65" s="53" t="n"/>
      <c r="N65" s="73" t="n"/>
      <c r="O65" s="74" t="n"/>
      <c r="P65" s="75" t="n"/>
      <c r="Q65" s="53" t="n"/>
      <c r="R65" s="76">
        <f>IF($C65="","",IF($O65="Cancelada","Cancelada",IF($O65="Reprovado","Reprovada",IF($O65="Aprovado","Aprovada",IF($L65&lt;&gt;"","Entregue",IF(TODAY()&gt;$C65,"Atrasada","Pendente"))))))</f>
        <v/>
      </c>
    </row>
    <row r="66">
      <c r="A66" s="65" t="inlineStr">
        <is>
          <t>DEZ-S51-SUP-A</t>
        </is>
      </c>
      <c r="B66" s="66" t="inlineStr">
        <is>
          <t>S51</t>
        </is>
      </c>
      <c r="C66" s="67" t="n">
        <v>46371</v>
      </c>
      <c r="D66" s="68" t="inlineStr">
        <is>
          <t>Suporte de Supervisores</t>
        </is>
      </c>
      <c r="E66" s="53" t="n"/>
      <c r="F66" s="53" t="n"/>
      <c r="G66" s="69" t="inlineStr">
        <is>
          <t>A</t>
        </is>
      </c>
      <c r="H66" s="70">
        <f>IF($G66="A",CONFIG!$B$5,IF($G66="B",CONFIG!$B$6,IF($G66="C",CONFIG!$B$7,IF($G66="Todos","Todos os turnos",""))))</f>
        <v/>
      </c>
      <c r="I66" s="53" t="n"/>
      <c r="J66" s="71" t="inlineStr">
        <is>
          <t>—</t>
        </is>
      </c>
      <c r="K66" s="53" t="n"/>
      <c r="L66" s="72" t="n"/>
      <c r="M66" s="53" t="n"/>
      <c r="N66" s="73" t="n"/>
      <c r="O66" s="74" t="n"/>
      <c r="P66" s="75" t="n"/>
      <c r="Q66" s="53" t="n"/>
      <c r="R66" s="76">
        <f>IF($C66="","",IF($O66="Cancelada","Cancelada",IF($O66="Reprovado","Reprovada",IF($O66="Aprovado","Aprovada",IF($L66&lt;&gt;"","Entregue",IF(TODAY()&gt;$C66,"Atrasada","Pendente"))))))</f>
        <v/>
      </c>
    </row>
    <row r="67">
      <c r="A67" s="65" t="inlineStr">
        <is>
          <t>DEZ-S51-SUP-B</t>
        </is>
      </c>
      <c r="B67" s="66" t="inlineStr">
        <is>
          <t>S51</t>
        </is>
      </c>
      <c r="C67" s="67" t="n">
        <v>46371</v>
      </c>
      <c r="D67" s="68" t="inlineStr">
        <is>
          <t>Suporte de Supervisores</t>
        </is>
      </c>
      <c r="E67" s="53" t="n"/>
      <c r="F67" s="53" t="n"/>
      <c r="G67" s="69" t="inlineStr">
        <is>
          <t>B</t>
        </is>
      </c>
      <c r="H67" s="70">
        <f>IF($G67="A",CONFIG!$B$5,IF($G67="B",CONFIG!$B$6,IF($G67="C",CONFIG!$B$7,IF($G67="Todos","Todos os turnos",""))))</f>
        <v/>
      </c>
      <c r="I67" s="53" t="n"/>
      <c r="J67" s="71" t="inlineStr">
        <is>
          <t>—</t>
        </is>
      </c>
      <c r="K67" s="53" t="n"/>
      <c r="L67" s="72" t="n"/>
      <c r="M67" s="53" t="n"/>
      <c r="N67" s="73" t="n"/>
      <c r="O67" s="74" t="n"/>
      <c r="P67" s="75" t="n"/>
      <c r="Q67" s="53" t="n"/>
      <c r="R67" s="76">
        <f>IF($C67="","",IF($O67="Cancelada","Cancelada",IF($O67="Reprovado","Reprovada",IF($O67="Aprovado","Aprovada",IF($L67&lt;&gt;"","Entregue",IF(TODAY()&gt;$C67,"Atrasada","Pendente"))))))</f>
        <v/>
      </c>
    </row>
    <row r="68">
      <c r="A68" s="65" t="inlineStr">
        <is>
          <t>DEZ-S51-SUP-C</t>
        </is>
      </c>
      <c r="B68" s="66" t="inlineStr">
        <is>
          <t>S51</t>
        </is>
      </c>
      <c r="C68" s="67" t="n">
        <v>46371</v>
      </c>
      <c r="D68" s="68" t="inlineStr">
        <is>
          <t>Suporte de Supervisores</t>
        </is>
      </c>
      <c r="E68" s="53" t="n"/>
      <c r="F68" s="53" t="n"/>
      <c r="G68" s="69" t="inlineStr">
        <is>
          <t>C</t>
        </is>
      </c>
      <c r="H68" s="70">
        <f>IF($G68="A",CONFIG!$B$5,IF($G68="B",CONFIG!$B$6,IF($G68="C",CONFIG!$B$7,IF($G68="Todos","Todos os turnos",""))))</f>
        <v/>
      </c>
      <c r="I68" s="53" t="n"/>
      <c r="J68" s="71" t="inlineStr">
        <is>
          <t>—</t>
        </is>
      </c>
      <c r="K68" s="53" t="n"/>
      <c r="L68" s="72" t="n"/>
      <c r="M68" s="53" t="n"/>
      <c r="N68" s="73" t="n"/>
      <c r="O68" s="74" t="n"/>
      <c r="P68" s="75" t="n"/>
      <c r="Q68" s="53" t="n"/>
      <c r="R68" s="76">
        <f>IF($C68="","",IF($O68="Cancelada","Cancelada",IF($O68="Reprovado","Reprovada",IF($O68="Aprovado","Aprovada",IF($L68&lt;&gt;"","Entregue",IF(TODAY()&gt;$C68,"Atrasada","Pendente"))))))</f>
        <v/>
      </c>
    </row>
    <row r="69">
      <c r="A69" s="65" t="inlineStr">
        <is>
          <t>DEZ-S51-VIS-A</t>
        </is>
      </c>
      <c r="B69" s="66" t="inlineStr">
        <is>
          <t>S51</t>
        </is>
      </c>
      <c r="C69" s="67" t="n">
        <v>46372</v>
      </c>
      <c r="D69" s="68" t="inlineStr">
        <is>
          <t>Acomp. Organizacional Setorial (Vistoria)</t>
        </is>
      </c>
      <c r="E69" s="53" t="n"/>
      <c r="F69" s="53" t="n"/>
      <c r="G69" s="69" t="inlineStr">
        <is>
          <t>A</t>
        </is>
      </c>
      <c r="H69" s="70">
        <f>IF($G69="A",CONFIG!$B$5,IF($G69="B",CONFIG!$B$6,IF($G69="C",CONFIG!$B$7,IF($G69="Todos","Todos os turnos",""))))</f>
        <v/>
      </c>
      <c r="I69" s="53" t="n"/>
      <c r="J69" s="77" t="n"/>
      <c r="K69" s="53" t="n"/>
      <c r="L69" s="72" t="n"/>
      <c r="M69" s="53" t="n"/>
      <c r="N69" s="73" t="n"/>
      <c r="O69" s="74" t="n"/>
      <c r="P69" s="75" t="n"/>
      <c r="Q69" s="53" t="n"/>
      <c r="R69" s="76">
        <f>IF($C69="","",IF($O69="Cancelada","Cancelada",IF($O69="Reprovado","Reprovada",IF($O69="Aprovado","Aprovada",IF($L69&lt;&gt;"","Entregue",IF(TODAY()&gt;$C69,"Atrasada","Pendente"))))))</f>
        <v/>
      </c>
    </row>
    <row r="70">
      <c r="A70" s="65" t="inlineStr">
        <is>
          <t>DEZ-S51-VIS-B</t>
        </is>
      </c>
      <c r="B70" s="66" t="inlineStr">
        <is>
          <t>S51</t>
        </is>
      </c>
      <c r="C70" s="67" t="n">
        <v>46372</v>
      </c>
      <c r="D70" s="68" t="inlineStr">
        <is>
          <t>Acomp. Organizacional Setorial (Vistoria)</t>
        </is>
      </c>
      <c r="E70" s="53" t="n"/>
      <c r="F70" s="53" t="n"/>
      <c r="G70" s="69" t="inlineStr">
        <is>
          <t>B</t>
        </is>
      </c>
      <c r="H70" s="70">
        <f>IF($G70="A",CONFIG!$B$5,IF($G70="B",CONFIG!$B$6,IF($G70="C",CONFIG!$B$7,IF($G70="Todos","Todos os turnos",""))))</f>
        <v/>
      </c>
      <c r="I70" s="53" t="n"/>
      <c r="J70" s="77" t="n"/>
      <c r="K70" s="53" t="n"/>
      <c r="L70" s="72" t="n"/>
      <c r="M70" s="53" t="n"/>
      <c r="N70" s="73" t="n"/>
      <c r="O70" s="74" t="n"/>
      <c r="P70" s="75" t="n"/>
      <c r="Q70" s="53" t="n"/>
      <c r="R70" s="76">
        <f>IF($C70="","",IF($O70="Cancelada","Cancelada",IF($O70="Reprovado","Reprovada",IF($O70="Aprovado","Aprovada",IF($L70&lt;&gt;"","Entregue",IF(TODAY()&gt;$C70,"Atrasada","Pendente"))))))</f>
        <v/>
      </c>
    </row>
    <row r="71">
      <c r="A71" s="65" t="inlineStr">
        <is>
          <t>DEZ-S51-VIS-C</t>
        </is>
      </c>
      <c r="B71" s="66" t="inlineStr">
        <is>
          <t>S51</t>
        </is>
      </c>
      <c r="C71" s="67" t="n">
        <v>46372</v>
      </c>
      <c r="D71" s="68" t="inlineStr">
        <is>
          <t>Acomp. Organizacional Setorial (Vistoria)</t>
        </is>
      </c>
      <c r="E71" s="53" t="n"/>
      <c r="F71" s="53" t="n"/>
      <c r="G71" s="69" t="inlineStr">
        <is>
          <t>C</t>
        </is>
      </c>
      <c r="H71" s="70">
        <f>IF($G71="A",CONFIG!$B$5,IF($G71="B",CONFIG!$B$6,IF($G71="C",CONFIG!$B$7,IF($G71="Todos","Todos os turnos",""))))</f>
        <v/>
      </c>
      <c r="I71" s="53" t="n"/>
      <c r="J71" s="77" t="n"/>
      <c r="K71" s="53" t="n"/>
      <c r="L71" s="72" t="n"/>
      <c r="M71" s="53" t="n"/>
      <c r="N71" s="73" t="n"/>
      <c r="O71" s="74" t="n"/>
      <c r="P71" s="75" t="n"/>
      <c r="Q71" s="53" t="n"/>
      <c r="R71" s="76">
        <f>IF($C71="","",IF($O71="Cancelada","Cancelada",IF($O71="Reprovado","Reprovada",IF($O71="Aprovado","Aprovada",IF($L71&lt;&gt;"","Entregue",IF(TODAY()&gt;$C71,"Atrasada","Pendente"))))))</f>
        <v/>
      </c>
    </row>
    <row r="72">
      <c r="A72" s="65" t="inlineStr">
        <is>
          <t>DEZ-S51-MET-A</t>
        </is>
      </c>
      <c r="B72" s="66" t="inlineStr">
        <is>
          <t>S51</t>
        </is>
      </c>
      <c r="C72" s="67" t="n">
        <v>46373</v>
      </c>
      <c r="D72" s="68" t="inlineStr">
        <is>
          <t>Metas</t>
        </is>
      </c>
      <c r="E72" s="53" t="n"/>
      <c r="F72" s="53" t="n"/>
      <c r="G72" s="69" t="inlineStr">
        <is>
          <t>A</t>
        </is>
      </c>
      <c r="H72" s="70">
        <f>IF($G72="A",CONFIG!$B$5,IF($G72="B",CONFIG!$B$6,IF($G72="C",CONFIG!$B$7,IF($G72="Todos","Todos os turnos",""))))</f>
        <v/>
      </c>
      <c r="I72" s="53" t="n"/>
      <c r="J72" s="71" t="inlineStr">
        <is>
          <t>—</t>
        </is>
      </c>
      <c r="K72" s="53" t="n"/>
      <c r="L72" s="72" t="n"/>
      <c r="M72" s="53" t="n"/>
      <c r="N72" s="73" t="n"/>
      <c r="O72" s="74" t="n"/>
      <c r="P72" s="75" t="n"/>
      <c r="Q72" s="53" t="n"/>
      <c r="R72" s="76">
        <f>IF($C72="","",IF($O72="Cancelada","Cancelada",IF($O72="Reprovado","Reprovada",IF($O72="Aprovado","Aprovada",IF($L72&lt;&gt;"","Entregue",IF(TODAY()&gt;$C72,"Atrasada","Pendente"))))))</f>
        <v/>
      </c>
    </row>
    <row r="73">
      <c r="A73" s="65" t="inlineStr">
        <is>
          <t>DEZ-S51-MET-B</t>
        </is>
      </c>
      <c r="B73" s="66" t="inlineStr">
        <is>
          <t>S51</t>
        </is>
      </c>
      <c r="C73" s="67" t="n">
        <v>46373</v>
      </c>
      <c r="D73" s="68" t="inlineStr">
        <is>
          <t>Metas</t>
        </is>
      </c>
      <c r="E73" s="53" t="n"/>
      <c r="F73" s="53" t="n"/>
      <c r="G73" s="69" t="inlineStr">
        <is>
          <t>B</t>
        </is>
      </c>
      <c r="H73" s="70">
        <f>IF($G73="A",CONFIG!$B$5,IF($G73="B",CONFIG!$B$6,IF($G73="C",CONFIG!$B$7,IF($G73="Todos","Todos os turnos",""))))</f>
        <v/>
      </c>
      <c r="I73" s="53" t="n"/>
      <c r="J73" s="71" t="inlineStr">
        <is>
          <t>—</t>
        </is>
      </c>
      <c r="K73" s="53" t="n"/>
      <c r="L73" s="72" t="n"/>
      <c r="M73" s="53" t="n"/>
      <c r="N73" s="73" t="n"/>
      <c r="O73" s="74" t="n"/>
      <c r="P73" s="75" t="n"/>
      <c r="Q73" s="53" t="n"/>
      <c r="R73" s="76">
        <f>IF($C73="","",IF($O73="Cancelada","Cancelada",IF($O73="Reprovado","Reprovada",IF($O73="Aprovado","Aprovada",IF($L73&lt;&gt;"","Entregue",IF(TODAY()&gt;$C73,"Atrasada","Pendente"))))))</f>
        <v/>
      </c>
    </row>
    <row r="74">
      <c r="A74" s="65" t="inlineStr">
        <is>
          <t>DEZ-S51-MET-C</t>
        </is>
      </c>
      <c r="B74" s="66" t="inlineStr">
        <is>
          <t>S51</t>
        </is>
      </c>
      <c r="C74" s="67" t="n">
        <v>46373</v>
      </c>
      <c r="D74" s="68" t="inlineStr">
        <is>
          <t>Metas</t>
        </is>
      </c>
      <c r="E74" s="53" t="n"/>
      <c r="F74" s="53" t="n"/>
      <c r="G74" s="69" t="inlineStr">
        <is>
          <t>C</t>
        </is>
      </c>
      <c r="H74" s="70">
        <f>IF($G74="A",CONFIG!$B$5,IF($G74="B",CONFIG!$B$6,IF($G74="C",CONFIG!$B$7,IF($G74="Todos","Todos os turnos",""))))</f>
        <v/>
      </c>
      <c r="I74" s="53" t="n"/>
      <c r="J74" s="71" t="inlineStr">
        <is>
          <t>—</t>
        </is>
      </c>
      <c r="K74" s="53" t="n"/>
      <c r="L74" s="72" t="n"/>
      <c r="M74" s="53" t="n"/>
      <c r="N74" s="73" t="n"/>
      <c r="O74" s="74" t="n"/>
      <c r="P74" s="75" t="n"/>
      <c r="Q74" s="53" t="n"/>
      <c r="R74" s="76">
        <f>IF($C74="","",IF($O74="Cancelada","Cancelada",IF($O74="Reprovado","Reprovada",IF($O74="Aprovado","Aprovada",IF($L74&lt;&gt;"","Entregue",IF(TODAY()&gt;$C74,"Atrasada","Pendente"))))))</f>
        <v/>
      </c>
    </row>
    <row r="75">
      <c r="A75" s="65" t="inlineStr">
        <is>
          <t>DEZ-S51-ACO-A</t>
        </is>
      </c>
      <c r="B75" s="66" t="inlineStr">
        <is>
          <t>S51</t>
        </is>
      </c>
      <c r="C75" s="67" t="n">
        <v>46374</v>
      </c>
      <c r="D75" s="68" t="inlineStr">
        <is>
          <t>Acompanhamento Semanal c/ Supervisores</t>
        </is>
      </c>
      <c r="E75" s="53" t="n"/>
      <c r="F75" s="53" t="n"/>
      <c r="G75" s="69" t="inlineStr">
        <is>
          <t>A</t>
        </is>
      </c>
      <c r="H75" s="70">
        <f>IF($G75="A",CONFIG!$B$5,IF($G75="B",CONFIG!$B$6,IF($G75="C",CONFIG!$B$7,IF($G75="Todos","Todos os turnos",""))))</f>
        <v/>
      </c>
      <c r="I75" s="53" t="n"/>
      <c r="J75" s="71" t="inlineStr">
        <is>
          <t>—</t>
        </is>
      </c>
      <c r="K75" s="53" t="n"/>
      <c r="L75" s="72" t="n"/>
      <c r="M75" s="53" t="n"/>
      <c r="N75" s="73" t="n"/>
      <c r="O75" s="74" t="n"/>
      <c r="P75" s="75" t="n"/>
      <c r="Q75" s="53" t="n"/>
      <c r="R75" s="76">
        <f>IF($C75="","",IF($O75="Cancelada","Cancelada",IF($O75="Reprovado","Reprovada",IF($O75="Aprovado","Aprovada",IF($L75&lt;&gt;"","Entregue",IF(TODAY()&gt;$C75,"Atrasada","Pendente"))))))</f>
        <v/>
      </c>
    </row>
    <row r="76">
      <c r="A76" s="65" t="inlineStr">
        <is>
          <t>DEZ-S51-ACO-B</t>
        </is>
      </c>
      <c r="B76" s="66" t="inlineStr">
        <is>
          <t>S51</t>
        </is>
      </c>
      <c r="C76" s="67" t="n">
        <v>46374</v>
      </c>
      <c r="D76" s="68" t="inlineStr">
        <is>
          <t>Acompanhamento Semanal c/ Supervisores</t>
        </is>
      </c>
      <c r="E76" s="53" t="n"/>
      <c r="F76" s="53" t="n"/>
      <c r="G76" s="69" t="inlineStr">
        <is>
          <t>B</t>
        </is>
      </c>
      <c r="H76" s="70">
        <f>IF($G76="A",CONFIG!$B$5,IF($G76="B",CONFIG!$B$6,IF($G76="C",CONFIG!$B$7,IF($G76="Todos","Todos os turnos",""))))</f>
        <v/>
      </c>
      <c r="I76" s="53" t="n"/>
      <c r="J76" s="71" t="inlineStr">
        <is>
          <t>—</t>
        </is>
      </c>
      <c r="K76" s="53" t="n"/>
      <c r="L76" s="72" t="n"/>
      <c r="M76" s="53" t="n"/>
      <c r="N76" s="73" t="n"/>
      <c r="O76" s="74" t="n"/>
      <c r="P76" s="75" t="n"/>
      <c r="Q76" s="53" t="n"/>
      <c r="R76" s="76">
        <f>IF($C76="","",IF($O76="Cancelada","Cancelada",IF($O76="Reprovado","Reprovada",IF($O76="Aprovado","Aprovada",IF($L76&lt;&gt;"","Entregue",IF(TODAY()&gt;$C76,"Atrasada","Pendente"))))))</f>
        <v/>
      </c>
    </row>
    <row r="77">
      <c r="A77" s="65" t="inlineStr">
        <is>
          <t>DEZ-S51-ACO-C</t>
        </is>
      </c>
      <c r="B77" s="66" t="inlineStr">
        <is>
          <t>S51</t>
        </is>
      </c>
      <c r="C77" s="67" t="n">
        <v>46374</v>
      </c>
      <c r="D77" s="68" t="inlineStr">
        <is>
          <t>Acompanhamento Semanal c/ Supervisores</t>
        </is>
      </c>
      <c r="E77" s="53" t="n"/>
      <c r="F77" s="53" t="n"/>
      <c r="G77" s="69" t="inlineStr">
        <is>
          <t>C</t>
        </is>
      </c>
      <c r="H77" s="70">
        <f>IF($G77="A",CONFIG!$B$5,IF($G77="B",CONFIG!$B$6,IF($G77="C",CONFIG!$B$7,IF($G77="Todos","Todos os turnos",""))))</f>
        <v/>
      </c>
      <c r="I77" s="53" t="n"/>
      <c r="J77" s="71" t="inlineStr">
        <is>
          <t>—</t>
        </is>
      </c>
      <c r="K77" s="53" t="n"/>
      <c r="L77" s="72" t="n"/>
      <c r="M77" s="53" t="n"/>
      <c r="N77" s="73" t="n"/>
      <c r="O77" s="74" t="n"/>
      <c r="P77" s="75" t="n"/>
      <c r="Q77" s="53" t="n"/>
      <c r="R77" s="76">
        <f>IF($C77="","",IF($O77="Cancelada","Cancelada",IF($O77="Reprovado","Reprovada",IF($O77="Aprovado","Aprovada",IF($L77&lt;&gt;"","Entregue",IF(TODAY()&gt;$C77,"Atrasada","Pendente"))))))</f>
        <v/>
      </c>
    </row>
    <row r="78">
      <c r="A78" s="65" t="inlineStr">
        <is>
          <t>DEZ-S51-FAL-A</t>
        </is>
      </c>
      <c r="B78" s="66" t="inlineStr">
        <is>
          <t>S51</t>
        </is>
      </c>
      <c r="C78" s="67" t="n">
        <v>46374</v>
      </c>
      <c r="D78" s="68" t="inlineStr">
        <is>
          <t>Faltas e Atestados</t>
        </is>
      </c>
      <c r="E78" s="53" t="n"/>
      <c r="F78" s="53" t="n"/>
      <c r="G78" s="69" t="inlineStr">
        <is>
          <t>A</t>
        </is>
      </c>
      <c r="H78" s="70">
        <f>IF($G78="A",CONFIG!$B$5,IF($G78="B",CONFIG!$B$6,IF($G78="C",CONFIG!$B$7,IF($G78="Todos","Todos os turnos",""))))</f>
        <v/>
      </c>
      <c r="I78" s="53" t="n"/>
      <c r="J78" s="71" t="inlineStr">
        <is>
          <t>—</t>
        </is>
      </c>
      <c r="K78" s="53" t="n"/>
      <c r="L78" s="72" t="n"/>
      <c r="M78" s="53" t="n"/>
      <c r="N78" s="73" t="n"/>
      <c r="O78" s="74" t="n"/>
      <c r="P78" s="75" t="n"/>
      <c r="Q78" s="53" t="n"/>
      <c r="R78" s="76">
        <f>IF($C78="","",IF($O78="Cancelada","Cancelada",IF($O78="Reprovado","Reprovada",IF($O78="Aprovado","Aprovada",IF($L78&lt;&gt;"","Entregue",IF(TODAY()&gt;$C78,"Atrasada","Pendente"))))))</f>
        <v/>
      </c>
    </row>
    <row r="79">
      <c r="A79" s="65" t="inlineStr">
        <is>
          <t>DEZ-S51-FAL-B</t>
        </is>
      </c>
      <c r="B79" s="66" t="inlineStr">
        <is>
          <t>S51</t>
        </is>
      </c>
      <c r="C79" s="67" t="n">
        <v>46374</v>
      </c>
      <c r="D79" s="68" t="inlineStr">
        <is>
          <t>Faltas e Atestados</t>
        </is>
      </c>
      <c r="E79" s="53" t="n"/>
      <c r="F79" s="53" t="n"/>
      <c r="G79" s="69" t="inlineStr">
        <is>
          <t>B</t>
        </is>
      </c>
      <c r="H79" s="70">
        <f>IF($G79="A",CONFIG!$B$5,IF($G79="B",CONFIG!$B$6,IF($G79="C",CONFIG!$B$7,IF($G79="Todos","Todos os turnos",""))))</f>
        <v/>
      </c>
      <c r="I79" s="53" t="n"/>
      <c r="J79" s="71" t="inlineStr">
        <is>
          <t>—</t>
        </is>
      </c>
      <c r="K79" s="53" t="n"/>
      <c r="L79" s="72" t="n"/>
      <c r="M79" s="53" t="n"/>
      <c r="N79" s="73" t="n"/>
      <c r="O79" s="74" t="n"/>
      <c r="P79" s="75" t="n"/>
      <c r="Q79" s="53" t="n"/>
      <c r="R79" s="76">
        <f>IF($C79="","",IF($O79="Cancelada","Cancelada",IF($O79="Reprovado","Reprovada",IF($O79="Aprovado","Aprovada",IF($L79&lt;&gt;"","Entregue",IF(TODAY()&gt;$C79,"Atrasada","Pendente"))))))</f>
        <v/>
      </c>
    </row>
    <row r="80">
      <c r="A80" s="65" t="inlineStr">
        <is>
          <t>DEZ-S51-FAL-C</t>
        </is>
      </c>
      <c r="B80" s="66" t="inlineStr">
        <is>
          <t>S51</t>
        </is>
      </c>
      <c r="C80" s="67" t="n">
        <v>46374</v>
      </c>
      <c r="D80" s="68" t="inlineStr">
        <is>
          <t>Faltas e Atestados</t>
        </is>
      </c>
      <c r="E80" s="53" t="n"/>
      <c r="F80" s="53" t="n"/>
      <c r="G80" s="69" t="inlineStr">
        <is>
          <t>C</t>
        </is>
      </c>
      <c r="H80" s="70">
        <f>IF($G80="A",CONFIG!$B$5,IF($G80="B",CONFIG!$B$6,IF($G80="C",CONFIG!$B$7,IF($G80="Todos","Todos os turnos",""))))</f>
        <v/>
      </c>
      <c r="I80" s="53" t="n"/>
      <c r="J80" s="71" t="inlineStr">
        <is>
          <t>—</t>
        </is>
      </c>
      <c r="K80" s="53" t="n"/>
      <c r="L80" s="72" t="n"/>
      <c r="M80" s="53" t="n"/>
      <c r="N80" s="73" t="n"/>
      <c r="O80" s="74" t="n"/>
      <c r="P80" s="75" t="n"/>
      <c r="Q80" s="53" t="n"/>
      <c r="R80" s="76">
        <f>IF($C80="","",IF($O80="Cancelada","Cancelada",IF($O80="Reprovado","Reprovada",IF($O80="Aprovado","Aprovada",IF($L80&lt;&gt;"","Entregue",IF(TODAY()&gt;$C80,"Atrasada","Pendente"))))))</f>
        <v/>
      </c>
    </row>
    <row r="81">
      <c r="A81" s="65" t="inlineStr">
        <is>
          <t>DEZ-S51-REU-T</t>
        </is>
      </c>
      <c r="B81" s="66" t="inlineStr">
        <is>
          <t>S51</t>
        </is>
      </c>
      <c r="C81" s="67" t="n">
        <v>46374</v>
      </c>
      <c r="D81" s="68" t="inlineStr">
        <is>
          <t>Reunião Semanal com a Gerência</t>
        </is>
      </c>
      <c r="E81" s="53" t="n"/>
      <c r="F81" s="53" t="n"/>
      <c r="G81" s="69" t="inlineStr">
        <is>
          <t>Todos</t>
        </is>
      </c>
      <c r="H81" s="70">
        <f>IF($G81="A",CONFIG!$B$5,IF($G81="B",CONFIG!$B$6,IF($G81="C",CONFIG!$B$7,IF($G81="Todos","Todos os turnos",""))))</f>
        <v/>
      </c>
      <c r="I81" s="53" t="n"/>
      <c r="J81" s="71" t="inlineStr">
        <is>
          <t>—</t>
        </is>
      </c>
      <c r="K81" s="53" t="n"/>
      <c r="L81" s="72" t="n"/>
      <c r="M81" s="53" t="n"/>
      <c r="N81" s="73" t="n"/>
      <c r="O81" s="74" t="n"/>
      <c r="P81" s="75" t="n"/>
      <c r="Q81" s="53" t="n"/>
      <c r="R81" s="76">
        <f>IF($C81="","",IF($O81="Cancelada","Cancelada",IF($O81="Reprovado","Reprovada",IF($O81="Aprovado","Aprovada",IF($L81&lt;&gt;"","Entregue",IF(TODAY()&gt;$C81,"Atrasada","Pendente"))))))</f>
        <v/>
      </c>
    </row>
    <row r="82">
      <c r="A82" s="65" t="inlineStr">
        <is>
          <t>DEZ-S52-ERR-A</t>
        </is>
      </c>
      <c r="B82" s="66" t="inlineStr">
        <is>
          <t>S52</t>
        </is>
      </c>
      <c r="C82" s="67" t="n">
        <v>46377</v>
      </c>
      <c r="D82" s="68" t="inlineStr">
        <is>
          <t>Levantamento de Erros Operacionais</t>
        </is>
      </c>
      <c r="E82" s="53" t="n"/>
      <c r="F82" s="53" t="n"/>
      <c r="G82" s="69" t="inlineStr">
        <is>
          <t>A</t>
        </is>
      </c>
      <c r="H82" s="70">
        <f>IF($G82="A",CONFIG!$B$5,IF($G82="B",CONFIG!$B$6,IF($G82="C",CONFIG!$B$7,IF($G82="Todos","Todos os turnos",""))))</f>
        <v/>
      </c>
      <c r="I82" s="53" t="n"/>
      <c r="J82" s="71" t="inlineStr">
        <is>
          <t>—</t>
        </is>
      </c>
      <c r="K82" s="53" t="n"/>
      <c r="L82" s="72" t="n"/>
      <c r="M82" s="53" t="n"/>
      <c r="N82" s="73" t="n"/>
      <c r="O82" s="74" t="n"/>
      <c r="P82" s="75" t="n"/>
      <c r="Q82" s="53" t="n"/>
      <c r="R82" s="76">
        <f>IF($C82="","",IF($O82="Cancelada","Cancelada",IF($O82="Reprovado","Reprovada",IF($O82="Aprovado","Aprovada",IF($L82&lt;&gt;"","Entregue",IF(TODAY()&gt;$C82,"Atrasada","Pendente"))))))</f>
        <v/>
      </c>
    </row>
    <row r="83">
      <c r="A83" s="65" t="inlineStr">
        <is>
          <t>DEZ-S52-ERR-B</t>
        </is>
      </c>
      <c r="B83" s="66" t="inlineStr">
        <is>
          <t>S52</t>
        </is>
      </c>
      <c r="C83" s="67" t="n">
        <v>46377</v>
      </c>
      <c r="D83" s="68" t="inlineStr">
        <is>
          <t>Levantamento de Erros Operacionais</t>
        </is>
      </c>
      <c r="E83" s="53" t="n"/>
      <c r="F83" s="53" t="n"/>
      <c r="G83" s="69" t="inlineStr">
        <is>
          <t>B</t>
        </is>
      </c>
      <c r="H83" s="70">
        <f>IF($G83="A",CONFIG!$B$5,IF($G83="B",CONFIG!$B$6,IF($G83="C",CONFIG!$B$7,IF($G83="Todos","Todos os turnos",""))))</f>
        <v/>
      </c>
      <c r="I83" s="53" t="n"/>
      <c r="J83" s="71" t="inlineStr">
        <is>
          <t>—</t>
        </is>
      </c>
      <c r="K83" s="53" t="n"/>
      <c r="L83" s="72" t="n"/>
      <c r="M83" s="53" t="n"/>
      <c r="N83" s="73" t="n"/>
      <c r="O83" s="74" t="n"/>
      <c r="P83" s="75" t="n"/>
      <c r="Q83" s="53" t="n"/>
      <c r="R83" s="76">
        <f>IF($C83="","",IF($O83="Cancelada","Cancelada",IF($O83="Reprovado","Reprovada",IF($O83="Aprovado","Aprovada",IF($L83&lt;&gt;"","Entregue",IF(TODAY()&gt;$C83,"Atrasada","Pendente"))))))</f>
        <v/>
      </c>
    </row>
    <row r="84">
      <c r="A84" s="65" t="inlineStr">
        <is>
          <t>DEZ-S52-ERR-C</t>
        </is>
      </c>
      <c r="B84" s="66" t="inlineStr">
        <is>
          <t>S52</t>
        </is>
      </c>
      <c r="C84" s="67" t="n">
        <v>46377</v>
      </c>
      <c r="D84" s="68" t="inlineStr">
        <is>
          <t>Levantamento de Erros Operacionais</t>
        </is>
      </c>
      <c r="E84" s="53" t="n"/>
      <c r="F84" s="53" t="n"/>
      <c r="G84" s="69" t="inlineStr">
        <is>
          <t>C</t>
        </is>
      </c>
      <c r="H84" s="70">
        <f>IF($G84="A",CONFIG!$B$5,IF($G84="B",CONFIG!$B$6,IF($G84="C",CONFIG!$B$7,IF($G84="Todos","Todos os turnos",""))))</f>
        <v/>
      </c>
      <c r="I84" s="53" t="n"/>
      <c r="J84" s="71" t="inlineStr">
        <is>
          <t>—</t>
        </is>
      </c>
      <c r="K84" s="53" t="n"/>
      <c r="L84" s="72" t="n"/>
      <c r="M84" s="53" t="n"/>
      <c r="N84" s="73" t="n"/>
      <c r="O84" s="74" t="n"/>
      <c r="P84" s="75" t="n"/>
      <c r="Q84" s="53" t="n"/>
      <c r="R84" s="76">
        <f>IF($C84="","",IF($O84="Cancelada","Cancelada",IF($O84="Reprovado","Reprovada",IF($O84="Aprovado","Aprovada",IF($L84&lt;&gt;"","Entregue",IF(TODAY()&gt;$C84,"Atrasada","Pendente"))))))</f>
        <v/>
      </c>
    </row>
    <row r="85">
      <c r="A85" s="65" t="inlineStr">
        <is>
          <t>DEZ-S52-SUP-A</t>
        </is>
      </c>
      <c r="B85" s="66" t="inlineStr">
        <is>
          <t>S52</t>
        </is>
      </c>
      <c r="C85" s="67" t="n">
        <v>46378</v>
      </c>
      <c r="D85" s="68" t="inlineStr">
        <is>
          <t>Suporte de Supervisores</t>
        </is>
      </c>
      <c r="E85" s="53" t="n"/>
      <c r="F85" s="53" t="n"/>
      <c r="G85" s="69" t="inlineStr">
        <is>
          <t>A</t>
        </is>
      </c>
      <c r="H85" s="70">
        <f>IF($G85="A",CONFIG!$B$5,IF($G85="B",CONFIG!$B$6,IF($G85="C",CONFIG!$B$7,IF($G85="Todos","Todos os turnos",""))))</f>
        <v/>
      </c>
      <c r="I85" s="53" t="n"/>
      <c r="J85" s="71" t="inlineStr">
        <is>
          <t>—</t>
        </is>
      </c>
      <c r="K85" s="53" t="n"/>
      <c r="L85" s="72" t="n"/>
      <c r="M85" s="53" t="n"/>
      <c r="N85" s="73" t="n"/>
      <c r="O85" s="74" t="n"/>
      <c r="P85" s="75" t="n"/>
      <c r="Q85" s="53" t="n"/>
      <c r="R85" s="76">
        <f>IF($C85="","",IF($O85="Cancelada","Cancelada",IF($O85="Reprovado","Reprovada",IF($O85="Aprovado","Aprovada",IF($L85&lt;&gt;"","Entregue",IF(TODAY()&gt;$C85,"Atrasada","Pendente"))))))</f>
        <v/>
      </c>
    </row>
    <row r="86">
      <c r="A86" s="65" t="inlineStr">
        <is>
          <t>DEZ-S52-SUP-B</t>
        </is>
      </c>
      <c r="B86" s="66" t="inlineStr">
        <is>
          <t>S52</t>
        </is>
      </c>
      <c r="C86" s="67" t="n">
        <v>46378</v>
      </c>
      <c r="D86" s="68" t="inlineStr">
        <is>
          <t>Suporte de Supervisores</t>
        </is>
      </c>
      <c r="E86" s="53" t="n"/>
      <c r="F86" s="53" t="n"/>
      <c r="G86" s="69" t="inlineStr">
        <is>
          <t>B</t>
        </is>
      </c>
      <c r="H86" s="70">
        <f>IF($G86="A",CONFIG!$B$5,IF($G86="B",CONFIG!$B$6,IF($G86="C",CONFIG!$B$7,IF($G86="Todos","Todos os turnos",""))))</f>
        <v/>
      </c>
      <c r="I86" s="53" t="n"/>
      <c r="J86" s="71" t="inlineStr">
        <is>
          <t>—</t>
        </is>
      </c>
      <c r="K86" s="53" t="n"/>
      <c r="L86" s="72" t="n"/>
      <c r="M86" s="53" t="n"/>
      <c r="N86" s="73" t="n"/>
      <c r="O86" s="74" t="n"/>
      <c r="P86" s="75" t="n"/>
      <c r="Q86" s="53" t="n"/>
      <c r="R86" s="76">
        <f>IF($C86="","",IF($O86="Cancelada","Cancelada",IF($O86="Reprovado","Reprovada",IF($O86="Aprovado","Aprovada",IF($L86&lt;&gt;"","Entregue",IF(TODAY()&gt;$C86,"Atrasada","Pendente"))))))</f>
        <v/>
      </c>
    </row>
    <row r="87">
      <c r="A87" s="65" t="inlineStr">
        <is>
          <t>DEZ-S52-SUP-C</t>
        </is>
      </c>
      <c r="B87" s="66" t="inlineStr">
        <is>
          <t>S52</t>
        </is>
      </c>
      <c r="C87" s="67" t="n">
        <v>46378</v>
      </c>
      <c r="D87" s="68" t="inlineStr">
        <is>
          <t>Suporte de Supervisores</t>
        </is>
      </c>
      <c r="E87" s="53" t="n"/>
      <c r="F87" s="53" t="n"/>
      <c r="G87" s="69" t="inlineStr">
        <is>
          <t>C</t>
        </is>
      </c>
      <c r="H87" s="70">
        <f>IF($G87="A",CONFIG!$B$5,IF($G87="B",CONFIG!$B$6,IF($G87="C",CONFIG!$B$7,IF($G87="Todos","Todos os turnos",""))))</f>
        <v/>
      </c>
      <c r="I87" s="53" t="n"/>
      <c r="J87" s="71" t="inlineStr">
        <is>
          <t>—</t>
        </is>
      </c>
      <c r="K87" s="53" t="n"/>
      <c r="L87" s="72" t="n"/>
      <c r="M87" s="53" t="n"/>
      <c r="N87" s="73" t="n"/>
      <c r="O87" s="74" t="n"/>
      <c r="P87" s="75" t="n"/>
      <c r="Q87" s="53" t="n"/>
      <c r="R87" s="76">
        <f>IF($C87="","",IF($O87="Cancelada","Cancelada",IF($O87="Reprovado","Reprovada",IF($O87="Aprovado","Aprovada",IF($L87&lt;&gt;"","Entregue",IF(TODAY()&gt;$C87,"Atrasada","Pendente"))))))</f>
        <v/>
      </c>
    </row>
    <row r="88">
      <c r="A88" s="65" t="inlineStr">
        <is>
          <t>DEZ-S52-VIS-A</t>
        </is>
      </c>
      <c r="B88" s="66" t="inlineStr">
        <is>
          <t>S52</t>
        </is>
      </c>
      <c r="C88" s="67" t="n">
        <v>46379</v>
      </c>
      <c r="D88" s="68" t="inlineStr">
        <is>
          <t>Acomp. Organizacional Setorial (Vistoria)</t>
        </is>
      </c>
      <c r="E88" s="53" t="n"/>
      <c r="F88" s="53" t="n"/>
      <c r="G88" s="69" t="inlineStr">
        <is>
          <t>A</t>
        </is>
      </c>
      <c r="H88" s="70">
        <f>IF($G88="A",CONFIG!$B$5,IF($G88="B",CONFIG!$B$6,IF($G88="C",CONFIG!$B$7,IF($G88="Todos","Todos os turnos",""))))</f>
        <v/>
      </c>
      <c r="I88" s="53" t="n"/>
      <c r="J88" s="77" t="n"/>
      <c r="K88" s="53" t="n"/>
      <c r="L88" s="72" t="n"/>
      <c r="M88" s="53" t="n"/>
      <c r="N88" s="73" t="n"/>
      <c r="O88" s="74" t="n"/>
      <c r="P88" s="75" t="n"/>
      <c r="Q88" s="53" t="n"/>
      <c r="R88" s="76">
        <f>IF($C88="","",IF($O88="Cancelada","Cancelada",IF($O88="Reprovado","Reprovada",IF($O88="Aprovado","Aprovada",IF($L88&lt;&gt;"","Entregue",IF(TODAY()&gt;$C88,"Atrasada","Pendente"))))))</f>
        <v/>
      </c>
    </row>
    <row r="89">
      <c r="A89" s="65" t="inlineStr">
        <is>
          <t>DEZ-S52-VIS-B</t>
        </is>
      </c>
      <c r="B89" s="66" t="inlineStr">
        <is>
          <t>S52</t>
        </is>
      </c>
      <c r="C89" s="67" t="n">
        <v>46379</v>
      </c>
      <c r="D89" s="68" t="inlineStr">
        <is>
          <t>Acomp. Organizacional Setorial (Vistoria)</t>
        </is>
      </c>
      <c r="E89" s="53" t="n"/>
      <c r="F89" s="53" t="n"/>
      <c r="G89" s="69" t="inlineStr">
        <is>
          <t>B</t>
        </is>
      </c>
      <c r="H89" s="70">
        <f>IF($G89="A",CONFIG!$B$5,IF($G89="B",CONFIG!$B$6,IF($G89="C",CONFIG!$B$7,IF($G89="Todos","Todos os turnos",""))))</f>
        <v/>
      </c>
      <c r="I89" s="53" t="n"/>
      <c r="J89" s="77" t="n"/>
      <c r="K89" s="53" t="n"/>
      <c r="L89" s="72" t="n"/>
      <c r="M89" s="53" t="n"/>
      <c r="N89" s="73" t="n"/>
      <c r="O89" s="74" t="n"/>
      <c r="P89" s="75" t="n"/>
      <c r="Q89" s="53" t="n"/>
      <c r="R89" s="76">
        <f>IF($C89="","",IF($O89="Cancelada","Cancelada",IF($O89="Reprovado","Reprovada",IF($O89="Aprovado","Aprovada",IF($L89&lt;&gt;"","Entregue",IF(TODAY()&gt;$C89,"Atrasada","Pendente"))))))</f>
        <v/>
      </c>
    </row>
    <row r="90">
      <c r="A90" s="65" t="inlineStr">
        <is>
          <t>DEZ-S52-VIS-C</t>
        </is>
      </c>
      <c r="B90" s="66" t="inlineStr">
        <is>
          <t>S52</t>
        </is>
      </c>
      <c r="C90" s="67" t="n">
        <v>46379</v>
      </c>
      <c r="D90" s="68" t="inlineStr">
        <is>
          <t>Acomp. Organizacional Setorial (Vistoria)</t>
        </is>
      </c>
      <c r="E90" s="53" t="n"/>
      <c r="F90" s="53" t="n"/>
      <c r="G90" s="69" t="inlineStr">
        <is>
          <t>C</t>
        </is>
      </c>
      <c r="H90" s="70">
        <f>IF($G90="A",CONFIG!$B$5,IF($G90="B",CONFIG!$B$6,IF($G90="C",CONFIG!$B$7,IF($G90="Todos","Todos os turnos",""))))</f>
        <v/>
      </c>
      <c r="I90" s="53" t="n"/>
      <c r="J90" s="77" t="n"/>
      <c r="K90" s="53" t="n"/>
      <c r="L90" s="72" t="n"/>
      <c r="M90" s="53" t="n"/>
      <c r="N90" s="73" t="n"/>
      <c r="O90" s="74" t="n"/>
      <c r="P90" s="75" t="n"/>
      <c r="Q90" s="53" t="n"/>
      <c r="R90" s="76">
        <f>IF($C90="","",IF($O90="Cancelada","Cancelada",IF($O90="Reprovado","Reprovada",IF($O90="Aprovado","Aprovada",IF($L90&lt;&gt;"","Entregue",IF(TODAY()&gt;$C90,"Atrasada","Pendente"))))))</f>
        <v/>
      </c>
    </row>
    <row r="91">
      <c r="A91" s="65" t="inlineStr">
        <is>
          <t>DEZ-S52-MET-A</t>
        </is>
      </c>
      <c r="B91" s="66" t="inlineStr">
        <is>
          <t>S52</t>
        </is>
      </c>
      <c r="C91" s="67" t="n">
        <v>46380</v>
      </c>
      <c r="D91" s="68" t="inlineStr">
        <is>
          <t>Metas</t>
        </is>
      </c>
      <c r="E91" s="53" t="n"/>
      <c r="F91" s="53" t="n"/>
      <c r="G91" s="69" t="inlineStr">
        <is>
          <t>A</t>
        </is>
      </c>
      <c r="H91" s="70">
        <f>IF($G91="A",CONFIG!$B$5,IF($G91="B",CONFIG!$B$6,IF($G91="C",CONFIG!$B$7,IF($G91="Todos","Todos os turnos",""))))</f>
        <v/>
      </c>
      <c r="I91" s="53" t="n"/>
      <c r="J91" s="71" t="inlineStr">
        <is>
          <t>—</t>
        </is>
      </c>
      <c r="K91" s="53" t="n"/>
      <c r="L91" s="72" t="n"/>
      <c r="M91" s="53" t="n"/>
      <c r="N91" s="73" t="n"/>
      <c r="O91" s="74" t="n"/>
      <c r="P91" s="75" t="n"/>
      <c r="Q91" s="53" t="n"/>
      <c r="R91" s="76">
        <f>IF($C91="","",IF($O91="Cancelada","Cancelada",IF($O91="Reprovado","Reprovada",IF($O91="Aprovado","Aprovada",IF($L91&lt;&gt;"","Entregue",IF(TODAY()&gt;$C91,"Atrasada","Pendente"))))))</f>
        <v/>
      </c>
    </row>
    <row r="92">
      <c r="A92" s="65" t="inlineStr">
        <is>
          <t>DEZ-S52-MET-B</t>
        </is>
      </c>
      <c r="B92" s="66" t="inlineStr">
        <is>
          <t>S52</t>
        </is>
      </c>
      <c r="C92" s="67" t="n">
        <v>46380</v>
      </c>
      <c r="D92" s="68" t="inlineStr">
        <is>
          <t>Metas</t>
        </is>
      </c>
      <c r="E92" s="53" t="n"/>
      <c r="F92" s="53" t="n"/>
      <c r="G92" s="69" t="inlineStr">
        <is>
          <t>B</t>
        </is>
      </c>
      <c r="H92" s="70">
        <f>IF($G92="A",CONFIG!$B$5,IF($G92="B",CONFIG!$B$6,IF($G92="C",CONFIG!$B$7,IF($G92="Todos","Todos os turnos",""))))</f>
        <v/>
      </c>
      <c r="I92" s="53" t="n"/>
      <c r="J92" s="71" t="inlineStr">
        <is>
          <t>—</t>
        </is>
      </c>
      <c r="K92" s="53" t="n"/>
      <c r="L92" s="72" t="n"/>
      <c r="M92" s="53" t="n"/>
      <c r="N92" s="73" t="n"/>
      <c r="O92" s="74" t="n"/>
      <c r="P92" s="75" t="n"/>
      <c r="Q92" s="53" t="n"/>
      <c r="R92" s="76">
        <f>IF($C92="","",IF($O92="Cancelada","Cancelada",IF($O92="Reprovado","Reprovada",IF($O92="Aprovado","Aprovada",IF($L92&lt;&gt;"","Entregue",IF(TODAY()&gt;$C92,"Atrasada","Pendente"))))))</f>
        <v/>
      </c>
    </row>
    <row r="93">
      <c r="A93" s="65" t="inlineStr">
        <is>
          <t>DEZ-S52-MET-C</t>
        </is>
      </c>
      <c r="B93" s="66" t="inlineStr">
        <is>
          <t>S52</t>
        </is>
      </c>
      <c r="C93" s="67" t="n">
        <v>46380</v>
      </c>
      <c r="D93" s="68" t="inlineStr">
        <is>
          <t>Metas</t>
        </is>
      </c>
      <c r="E93" s="53" t="n"/>
      <c r="F93" s="53" t="n"/>
      <c r="G93" s="69" t="inlineStr">
        <is>
          <t>C</t>
        </is>
      </c>
      <c r="H93" s="70">
        <f>IF($G93="A",CONFIG!$B$5,IF($G93="B",CONFIG!$B$6,IF($G93="C",CONFIG!$B$7,IF($G93="Todos","Todos os turnos",""))))</f>
        <v/>
      </c>
      <c r="I93" s="53" t="n"/>
      <c r="J93" s="71" t="inlineStr">
        <is>
          <t>—</t>
        </is>
      </c>
      <c r="K93" s="53" t="n"/>
      <c r="L93" s="72" t="n"/>
      <c r="M93" s="53" t="n"/>
      <c r="N93" s="73" t="n"/>
      <c r="O93" s="74" t="n"/>
      <c r="P93" s="75" t="n"/>
      <c r="Q93" s="53" t="n"/>
      <c r="R93" s="76">
        <f>IF($C93="","",IF($O93="Cancelada","Cancelada",IF($O93="Reprovado","Reprovada",IF($O93="Aprovado","Aprovada",IF($L93&lt;&gt;"","Entregue",IF(TODAY()&gt;$C93,"Atrasada","Pendente"))))))</f>
        <v/>
      </c>
    </row>
    <row r="94">
      <c r="A94" s="65" t="inlineStr">
        <is>
          <t>DEZ-S52-ACO-A</t>
        </is>
      </c>
      <c r="B94" s="66" t="inlineStr">
        <is>
          <t>S52</t>
        </is>
      </c>
      <c r="C94" s="67" t="n">
        <v>46381</v>
      </c>
      <c r="D94" s="68" t="inlineStr">
        <is>
          <t>Acompanhamento Semanal c/ Supervisores</t>
        </is>
      </c>
      <c r="E94" s="53" t="n"/>
      <c r="F94" s="53" t="n"/>
      <c r="G94" s="69" t="inlineStr">
        <is>
          <t>A</t>
        </is>
      </c>
      <c r="H94" s="70">
        <f>IF($G94="A",CONFIG!$B$5,IF($G94="B",CONFIG!$B$6,IF($G94="C",CONFIG!$B$7,IF($G94="Todos","Todos os turnos",""))))</f>
        <v/>
      </c>
      <c r="I94" s="53" t="n"/>
      <c r="J94" s="71" t="inlineStr">
        <is>
          <t>—</t>
        </is>
      </c>
      <c r="K94" s="53" t="n"/>
      <c r="L94" s="72" t="n"/>
      <c r="M94" s="53" t="n"/>
      <c r="N94" s="73" t="n"/>
      <c r="O94" s="74" t="n"/>
      <c r="P94" s="75" t="n"/>
      <c r="Q94" s="53" t="n"/>
      <c r="R94" s="76">
        <f>IF($C94="","",IF($O94="Cancelada","Cancelada",IF($O94="Reprovado","Reprovada",IF($O94="Aprovado","Aprovada",IF($L94&lt;&gt;"","Entregue",IF(TODAY()&gt;$C94,"Atrasada","Pendente"))))))</f>
        <v/>
      </c>
    </row>
    <row r="95">
      <c r="A95" s="65" t="inlineStr">
        <is>
          <t>DEZ-S52-ACO-B</t>
        </is>
      </c>
      <c r="B95" s="66" t="inlineStr">
        <is>
          <t>S52</t>
        </is>
      </c>
      <c r="C95" s="67" t="n">
        <v>46381</v>
      </c>
      <c r="D95" s="68" t="inlineStr">
        <is>
          <t>Acompanhamento Semanal c/ Supervisores</t>
        </is>
      </c>
      <c r="E95" s="53" t="n"/>
      <c r="F95" s="53" t="n"/>
      <c r="G95" s="69" t="inlineStr">
        <is>
          <t>B</t>
        </is>
      </c>
      <c r="H95" s="70">
        <f>IF($G95="A",CONFIG!$B$5,IF($G95="B",CONFIG!$B$6,IF($G95="C",CONFIG!$B$7,IF($G95="Todos","Todos os turnos",""))))</f>
        <v/>
      </c>
      <c r="I95" s="53" t="n"/>
      <c r="J95" s="71" t="inlineStr">
        <is>
          <t>—</t>
        </is>
      </c>
      <c r="K95" s="53" t="n"/>
      <c r="L95" s="72" t="n"/>
      <c r="M95" s="53" t="n"/>
      <c r="N95" s="73" t="n"/>
      <c r="O95" s="74" t="n"/>
      <c r="P95" s="75" t="n"/>
      <c r="Q95" s="53" t="n"/>
      <c r="R95" s="76">
        <f>IF($C95="","",IF($O95="Cancelada","Cancelada",IF($O95="Reprovado","Reprovada",IF($O95="Aprovado","Aprovada",IF($L95&lt;&gt;"","Entregue",IF(TODAY()&gt;$C95,"Atrasada","Pendente"))))))</f>
        <v/>
      </c>
    </row>
    <row r="96">
      <c r="A96" s="65" t="inlineStr">
        <is>
          <t>DEZ-S52-ACO-C</t>
        </is>
      </c>
      <c r="B96" s="66" t="inlineStr">
        <is>
          <t>S52</t>
        </is>
      </c>
      <c r="C96" s="67" t="n">
        <v>46381</v>
      </c>
      <c r="D96" s="68" t="inlineStr">
        <is>
          <t>Acompanhamento Semanal c/ Supervisores</t>
        </is>
      </c>
      <c r="E96" s="53" t="n"/>
      <c r="F96" s="53" t="n"/>
      <c r="G96" s="69" t="inlineStr">
        <is>
          <t>C</t>
        </is>
      </c>
      <c r="H96" s="70">
        <f>IF($G96="A",CONFIG!$B$5,IF($G96="B",CONFIG!$B$6,IF($G96="C",CONFIG!$B$7,IF($G96="Todos","Todos os turnos",""))))</f>
        <v/>
      </c>
      <c r="I96" s="53" t="n"/>
      <c r="J96" s="71" t="inlineStr">
        <is>
          <t>—</t>
        </is>
      </c>
      <c r="K96" s="53" t="n"/>
      <c r="L96" s="72" t="n"/>
      <c r="M96" s="53" t="n"/>
      <c r="N96" s="73" t="n"/>
      <c r="O96" s="74" t="n"/>
      <c r="P96" s="75" t="n"/>
      <c r="Q96" s="53" t="n"/>
      <c r="R96" s="76">
        <f>IF($C96="","",IF($O96="Cancelada","Cancelada",IF($O96="Reprovado","Reprovada",IF($O96="Aprovado","Aprovada",IF($L96&lt;&gt;"","Entregue",IF(TODAY()&gt;$C96,"Atrasada","Pendente"))))))</f>
        <v/>
      </c>
    </row>
    <row r="97">
      <c r="A97" s="65" t="inlineStr">
        <is>
          <t>DEZ-S52-FAL-A</t>
        </is>
      </c>
      <c r="B97" s="66" t="inlineStr">
        <is>
          <t>S52</t>
        </is>
      </c>
      <c r="C97" s="67" t="n">
        <v>46381</v>
      </c>
      <c r="D97" s="68" t="inlineStr">
        <is>
          <t>Faltas e Atestados</t>
        </is>
      </c>
      <c r="E97" s="53" t="n"/>
      <c r="F97" s="53" t="n"/>
      <c r="G97" s="69" t="inlineStr">
        <is>
          <t>A</t>
        </is>
      </c>
      <c r="H97" s="70">
        <f>IF($G97="A",CONFIG!$B$5,IF($G97="B",CONFIG!$B$6,IF($G97="C",CONFIG!$B$7,IF($G97="Todos","Todos os turnos",""))))</f>
        <v/>
      </c>
      <c r="I97" s="53" t="n"/>
      <c r="J97" s="71" t="inlineStr">
        <is>
          <t>—</t>
        </is>
      </c>
      <c r="K97" s="53" t="n"/>
      <c r="L97" s="72" t="n"/>
      <c r="M97" s="53" t="n"/>
      <c r="N97" s="73" t="n"/>
      <c r="O97" s="74" t="n"/>
      <c r="P97" s="75" t="n"/>
      <c r="Q97" s="53" t="n"/>
      <c r="R97" s="76">
        <f>IF($C97="","",IF($O97="Cancelada","Cancelada",IF($O97="Reprovado","Reprovada",IF($O97="Aprovado","Aprovada",IF($L97&lt;&gt;"","Entregue",IF(TODAY()&gt;$C97,"Atrasada","Pendente"))))))</f>
        <v/>
      </c>
    </row>
    <row r="98">
      <c r="A98" s="65" t="inlineStr">
        <is>
          <t>DEZ-S52-FAL-B</t>
        </is>
      </c>
      <c r="B98" s="66" t="inlineStr">
        <is>
          <t>S52</t>
        </is>
      </c>
      <c r="C98" s="67" t="n">
        <v>46381</v>
      </c>
      <c r="D98" s="68" t="inlineStr">
        <is>
          <t>Faltas e Atestados</t>
        </is>
      </c>
      <c r="E98" s="53" t="n"/>
      <c r="F98" s="53" t="n"/>
      <c r="G98" s="69" t="inlineStr">
        <is>
          <t>B</t>
        </is>
      </c>
      <c r="H98" s="70">
        <f>IF($G98="A",CONFIG!$B$5,IF($G98="B",CONFIG!$B$6,IF($G98="C",CONFIG!$B$7,IF($G98="Todos","Todos os turnos",""))))</f>
        <v/>
      </c>
      <c r="I98" s="53" t="n"/>
      <c r="J98" s="71" t="inlineStr">
        <is>
          <t>—</t>
        </is>
      </c>
      <c r="K98" s="53" t="n"/>
      <c r="L98" s="72" t="n"/>
      <c r="M98" s="53" t="n"/>
      <c r="N98" s="73" t="n"/>
      <c r="O98" s="74" t="n"/>
      <c r="P98" s="75" t="n"/>
      <c r="Q98" s="53" t="n"/>
      <c r="R98" s="76">
        <f>IF($C98="","",IF($O98="Cancelada","Cancelada",IF($O98="Reprovado","Reprovada",IF($O98="Aprovado","Aprovada",IF($L98&lt;&gt;"","Entregue",IF(TODAY()&gt;$C98,"Atrasada","Pendente"))))))</f>
        <v/>
      </c>
    </row>
    <row r="99">
      <c r="A99" s="65" t="inlineStr">
        <is>
          <t>DEZ-S52-FAL-C</t>
        </is>
      </c>
      <c r="B99" s="66" t="inlineStr">
        <is>
          <t>S52</t>
        </is>
      </c>
      <c r="C99" s="67" t="n">
        <v>46381</v>
      </c>
      <c r="D99" s="68" t="inlineStr">
        <is>
          <t>Faltas e Atestados</t>
        </is>
      </c>
      <c r="E99" s="53" t="n"/>
      <c r="F99" s="53" t="n"/>
      <c r="G99" s="69" t="inlineStr">
        <is>
          <t>C</t>
        </is>
      </c>
      <c r="H99" s="70">
        <f>IF($G99="A",CONFIG!$B$5,IF($G99="B",CONFIG!$B$6,IF($G99="C",CONFIG!$B$7,IF($G99="Todos","Todos os turnos",""))))</f>
        <v/>
      </c>
      <c r="I99" s="53" t="n"/>
      <c r="J99" s="71" t="inlineStr">
        <is>
          <t>—</t>
        </is>
      </c>
      <c r="K99" s="53" t="n"/>
      <c r="L99" s="72" t="n"/>
      <c r="M99" s="53" t="n"/>
      <c r="N99" s="73" t="n"/>
      <c r="O99" s="74" t="n"/>
      <c r="P99" s="75" t="n"/>
      <c r="Q99" s="53" t="n"/>
      <c r="R99" s="76">
        <f>IF($C99="","",IF($O99="Cancelada","Cancelada",IF($O99="Reprovado","Reprovada",IF($O99="Aprovado","Aprovada",IF($L99&lt;&gt;"","Entregue",IF(TODAY()&gt;$C99,"Atrasada","Pendente"))))))</f>
        <v/>
      </c>
    </row>
    <row r="100">
      <c r="A100" s="65" t="inlineStr">
        <is>
          <t>DEZ-S52-REU-T</t>
        </is>
      </c>
      <c r="B100" s="66" t="inlineStr">
        <is>
          <t>S52</t>
        </is>
      </c>
      <c r="C100" s="67" t="n">
        <v>46381</v>
      </c>
      <c r="D100" s="68" t="inlineStr">
        <is>
          <t>Reunião Semanal com a Gerência</t>
        </is>
      </c>
      <c r="E100" s="53" t="n"/>
      <c r="F100" s="53" t="n"/>
      <c r="G100" s="69" t="inlineStr">
        <is>
          <t>Todos</t>
        </is>
      </c>
      <c r="H100" s="70">
        <f>IF($G100="A",CONFIG!$B$5,IF($G100="B",CONFIG!$B$6,IF($G100="C",CONFIG!$B$7,IF($G100="Todos","Todos os turnos",""))))</f>
        <v/>
      </c>
      <c r="I100" s="53" t="n"/>
      <c r="J100" s="71" t="inlineStr">
        <is>
          <t>—</t>
        </is>
      </c>
      <c r="K100" s="53" t="n"/>
      <c r="L100" s="72" t="n"/>
      <c r="M100" s="53" t="n"/>
      <c r="N100" s="73" t="n"/>
      <c r="O100" s="74" t="n"/>
      <c r="P100" s="75" t="n"/>
      <c r="Q100" s="53" t="n"/>
      <c r="R100" s="76">
        <f>IF($C100="","",IF($O100="Cancelada","Cancelada",IF($O100="Reprovado","Reprovada",IF($O100="Aprovado","Aprovada",IF($L100&lt;&gt;"","Entregue",IF(TODAY()&gt;$C100,"Atrasada","Pendente"))))))</f>
        <v/>
      </c>
    </row>
    <row r="101">
      <c r="A101" s="65" t="inlineStr">
        <is>
          <t>DEZ-S52-MDF-T</t>
        </is>
      </c>
      <c r="B101" s="66" t="inlineStr">
        <is>
          <t>S52</t>
        </is>
      </c>
      <c r="C101" s="67" t="n">
        <v>46381</v>
      </c>
      <c r="D101" s="68" t="inlineStr">
        <is>
          <t>Mudança de Função — reunião mensal</t>
        </is>
      </c>
      <c r="E101" s="53" t="n"/>
      <c r="F101" s="53" t="n"/>
      <c r="G101" s="69" t="inlineStr">
        <is>
          <t>Todos</t>
        </is>
      </c>
      <c r="H101" s="70">
        <f>IF($G101="A",CONFIG!$B$5,IF($G101="B",CONFIG!$B$6,IF($G101="C",CONFIG!$B$7,IF($G101="Todos","Todos os turnos",""))))</f>
        <v/>
      </c>
      <c r="I101" s="53" t="n"/>
      <c r="J101" s="71" t="inlineStr">
        <is>
          <t>—</t>
        </is>
      </c>
      <c r="K101" s="53" t="n"/>
      <c r="L101" s="72" t="n"/>
      <c r="M101" s="53" t="n"/>
      <c r="N101" s="73" t="n"/>
      <c r="O101" s="74" t="n"/>
      <c r="P101" s="75" t="n"/>
      <c r="Q101" s="53" t="n"/>
      <c r="R101" s="76">
        <f>IF($C101="","",IF($O101="Cancelada","Cancelada",IF($O101="Reprovado","Reprovada",IF($O101="Aprovado","Aprovada",IF($L101&lt;&gt;"","Entregue",IF(TODAY()&gt;$C101,"Atrasada","Pendente"))))))</f>
        <v/>
      </c>
    </row>
    <row r="102">
      <c r="A102" s="78" t="inlineStr">
        <is>
          <t>TREINAMENTOS PROGRAMADOS PELO GERENTE — preencha PRAZO + tema; os coordenadores serão avisados por e-mail</t>
        </is>
      </c>
    </row>
    <row r="103" ht="14" customHeight="1">
      <c r="A103" s="79" t="inlineStr">
        <is>
          <t>Como usar: o gerente preenche apenas o PRAZO (data), completa o tema em ATIVIDADE e escolhe o TURNO. O resto fica em branco até o treinamento ocorrer; depois o coordenador anexa a lista de presença em LINK DO ANEXO e o gerente valida.</t>
        </is>
      </c>
    </row>
    <row r="104">
      <c r="A104" s="65" t="inlineStr">
        <is>
          <t>DEZ-TRE-1</t>
        </is>
      </c>
      <c r="B104" s="66">
        <f>IF($C104="","","S"&amp;ISOWEEKNUM($C104))</f>
        <v/>
      </c>
      <c r="C104" s="67" t="n"/>
      <c r="D104" s="80" t="inlineStr">
        <is>
          <t xml:space="preserve">Treinamento com Colaboradores — tema: </t>
        </is>
      </c>
      <c r="E104" s="53" t="n"/>
      <c r="F104" s="53" t="n"/>
      <c r="G104" s="81" t="inlineStr">
        <is>
          <t>Todos</t>
        </is>
      </c>
      <c r="H104" s="70">
        <f>IF($G104="A",CONFIG!$B$5,IF($G104="B",CONFIG!$B$6,IF($G104="C",CONFIG!$B$7,IF($G104="Todos","Todos os turnos",""))))</f>
        <v/>
      </c>
      <c r="I104" s="53" t="n"/>
      <c r="J104" s="71" t="inlineStr">
        <is>
          <t>—</t>
        </is>
      </c>
      <c r="K104" s="53" t="n"/>
      <c r="L104" s="72" t="n"/>
      <c r="M104" s="53" t="n"/>
      <c r="N104" s="73" t="n"/>
      <c r="O104" s="74" t="n"/>
      <c r="P104" s="75" t="n"/>
      <c r="Q104" s="53" t="n"/>
      <c r="R104" s="76">
        <f>IF($C104="","Não agendado",IF($O104="Cancelada","Cancelada",IF($O104="Reprovado","Reprovada",IF($O104="Aprovado","Aprovada",IF($L104&lt;&gt;"","Entregue",IF(TODAY()&gt;$C104,"Atrasada","Pendente"))))))</f>
        <v/>
      </c>
    </row>
    <row r="105">
      <c r="A105" s="65" t="inlineStr">
        <is>
          <t>DEZ-TRE-2</t>
        </is>
      </c>
      <c r="B105" s="66">
        <f>IF($C105="","","S"&amp;ISOWEEKNUM($C105))</f>
        <v/>
      </c>
      <c r="C105" s="67" t="n"/>
      <c r="D105" s="80" t="inlineStr">
        <is>
          <t xml:space="preserve">Treinamento com Colaboradores — tema: </t>
        </is>
      </c>
      <c r="E105" s="53" t="n"/>
      <c r="F105" s="53" t="n"/>
      <c r="G105" s="81" t="inlineStr">
        <is>
          <t>Todos</t>
        </is>
      </c>
      <c r="H105" s="70">
        <f>IF($G105="A",CONFIG!$B$5,IF($G105="B",CONFIG!$B$6,IF($G105="C",CONFIG!$B$7,IF($G105="Todos","Todos os turnos",""))))</f>
        <v/>
      </c>
      <c r="I105" s="53" t="n"/>
      <c r="J105" s="71" t="inlineStr">
        <is>
          <t>—</t>
        </is>
      </c>
      <c r="K105" s="53" t="n"/>
      <c r="L105" s="72" t="n"/>
      <c r="M105" s="53" t="n"/>
      <c r="N105" s="73" t="n"/>
      <c r="O105" s="74" t="n"/>
      <c r="P105" s="75" t="n"/>
      <c r="Q105" s="53" t="n"/>
      <c r="R105" s="76">
        <f>IF($C105="","Não agendado",IF($O105="Cancelada","Cancelada",IF($O105="Reprovado","Reprovada",IF($O105="Aprovado","Aprovada",IF($L105&lt;&gt;"","Entregue",IF(TODAY()&gt;$C105,"Atrasada","Pendente"))))))</f>
        <v/>
      </c>
    </row>
    <row r="106">
      <c r="A106" s="65" t="inlineStr">
        <is>
          <t>DEZ-TRE-3</t>
        </is>
      </c>
      <c r="B106" s="66">
        <f>IF($C106="","","S"&amp;ISOWEEKNUM($C106))</f>
        <v/>
      </c>
      <c r="C106" s="67" t="n"/>
      <c r="D106" s="80" t="inlineStr">
        <is>
          <t xml:space="preserve">Treinamento com Colaboradores — tema: </t>
        </is>
      </c>
      <c r="E106" s="53" t="n"/>
      <c r="F106" s="53" t="n"/>
      <c r="G106" s="81" t="inlineStr">
        <is>
          <t>Todos</t>
        </is>
      </c>
      <c r="H106" s="70">
        <f>IF($G106="A",CONFIG!$B$5,IF($G106="B",CONFIG!$B$6,IF($G106="C",CONFIG!$B$7,IF($G106="Todos","Todos os turnos",""))))</f>
        <v/>
      </c>
      <c r="I106" s="53" t="n"/>
      <c r="J106" s="71" t="inlineStr">
        <is>
          <t>—</t>
        </is>
      </c>
      <c r="K106" s="53" t="n"/>
      <c r="L106" s="72" t="n"/>
      <c r="M106" s="53" t="n"/>
      <c r="N106" s="73" t="n"/>
      <c r="O106" s="74" t="n"/>
      <c r="P106" s="75" t="n"/>
      <c r="Q106" s="53" t="n"/>
      <c r="R106" s="76">
        <f>IF($C106="","Não agendado",IF($O106="Cancelada","Cancelada",IF($O106="Reprovado","Reprovada",IF($O106="Aprovado","Aprovada",IF($L106&lt;&gt;"","Entregue",IF(TODAY()&gt;$C106,"Atrasada","Pendente"))))))</f>
        <v/>
      </c>
    </row>
    <row r="107">
      <c r="A107" s="65" t="inlineStr">
        <is>
          <t>DEZ-TRE-4</t>
        </is>
      </c>
      <c r="B107" s="66">
        <f>IF($C107="","","S"&amp;ISOWEEKNUM($C107))</f>
        <v/>
      </c>
      <c r="C107" s="67" t="n"/>
      <c r="D107" s="80" t="inlineStr">
        <is>
          <t xml:space="preserve">Treinamento com Colaboradores — tema: </t>
        </is>
      </c>
      <c r="E107" s="53" t="n"/>
      <c r="F107" s="53" t="n"/>
      <c r="G107" s="81" t="inlineStr">
        <is>
          <t>Todos</t>
        </is>
      </c>
      <c r="H107" s="70">
        <f>IF($G107="A",CONFIG!$B$5,IF($G107="B",CONFIG!$B$6,IF($G107="C",CONFIG!$B$7,IF($G107="Todos","Todos os turnos",""))))</f>
        <v/>
      </c>
      <c r="I107" s="53" t="n"/>
      <c r="J107" s="71" t="inlineStr">
        <is>
          <t>—</t>
        </is>
      </c>
      <c r="K107" s="53" t="n"/>
      <c r="L107" s="72" t="n"/>
      <c r="M107" s="53" t="n"/>
      <c r="N107" s="73" t="n"/>
      <c r="O107" s="74" t="n"/>
      <c r="P107" s="75" t="n"/>
      <c r="Q107" s="53" t="n"/>
      <c r="R107" s="76">
        <f>IF($C107="","Não agendado",IF($O107="Cancelada","Cancelada",IF($O107="Reprovado","Reprovada",IF($O107="Aprovado","Aprovada",IF($L107&lt;&gt;"","Entregue",IF(TODAY()&gt;$C107,"Atrasada","Pendente"))))))</f>
        <v/>
      </c>
    </row>
    <row r="108">
      <c r="A108" s="65" t="inlineStr">
        <is>
          <t>DEZ-TRE-5</t>
        </is>
      </c>
      <c r="B108" s="66">
        <f>IF($C108="","","S"&amp;ISOWEEKNUM($C108))</f>
        <v/>
      </c>
      <c r="C108" s="67" t="n"/>
      <c r="D108" s="80" t="inlineStr">
        <is>
          <t xml:space="preserve">Treinamento com Colaboradores — tema: </t>
        </is>
      </c>
      <c r="E108" s="53" t="n"/>
      <c r="F108" s="53" t="n"/>
      <c r="G108" s="81" t="inlineStr">
        <is>
          <t>Todos</t>
        </is>
      </c>
      <c r="H108" s="70">
        <f>IF($G108="A",CONFIG!$B$5,IF($G108="B",CONFIG!$B$6,IF($G108="C",CONFIG!$B$7,IF($G108="Todos","Todos os turnos",""))))</f>
        <v/>
      </c>
      <c r="I108" s="53" t="n"/>
      <c r="J108" s="71" t="inlineStr">
        <is>
          <t>—</t>
        </is>
      </c>
      <c r="K108" s="53" t="n"/>
      <c r="L108" s="72" t="n"/>
      <c r="M108" s="53" t="n"/>
      <c r="N108" s="73" t="n"/>
      <c r="O108" s="74" t="n"/>
      <c r="P108" s="75" t="n"/>
      <c r="Q108" s="53" t="n"/>
      <c r="R108" s="76">
        <f>IF($C108="","Não agendado",IF($O108="Cancelada","Cancelada",IF($O108="Reprovado","Reprovada",IF($O108="Aprovado","Aprovada",IF($L108&lt;&gt;"","Entregue",IF(TODAY()&gt;$C108,"Atrasada","Pendente"))))))</f>
        <v/>
      </c>
    </row>
    <row r="109">
      <c r="A109" s="65" t="inlineStr">
        <is>
          <t>DEZ-TRE-6</t>
        </is>
      </c>
      <c r="B109" s="66">
        <f>IF($C109="","","S"&amp;ISOWEEKNUM($C109))</f>
        <v/>
      </c>
      <c r="C109" s="67" t="n"/>
      <c r="D109" s="80" t="inlineStr">
        <is>
          <t xml:space="preserve">Treinamento com Colaboradores — tema: </t>
        </is>
      </c>
      <c r="E109" s="53" t="n"/>
      <c r="F109" s="53" t="n"/>
      <c r="G109" s="81" t="inlineStr">
        <is>
          <t>Todos</t>
        </is>
      </c>
      <c r="H109" s="70">
        <f>IF($G109="A",CONFIG!$B$5,IF($G109="B",CONFIG!$B$6,IF($G109="C",CONFIG!$B$7,IF($G109="Todos","Todos os turnos",""))))</f>
        <v/>
      </c>
      <c r="I109" s="53" t="n"/>
      <c r="J109" s="71" t="inlineStr">
        <is>
          <t>—</t>
        </is>
      </c>
      <c r="K109" s="53" t="n"/>
      <c r="L109" s="72" t="n"/>
      <c r="M109" s="53" t="n"/>
      <c r="N109" s="73" t="n"/>
      <c r="O109" s="74" t="n"/>
      <c r="P109" s="75" t="n"/>
      <c r="Q109" s="53" t="n"/>
      <c r="R109" s="76">
        <f>IF($C109="","Não agendado",IF($O109="Cancelada","Cancelada",IF($O109="Reprovado","Reprovada",IF($O109="Aprovado","Aprovada",IF($L109&lt;&gt;"","Entregue",IF(TODAY()&gt;$C109,"Atrasada","Pendente"))))))</f>
        <v/>
      </c>
    </row>
    <row r="111">
      <c r="A111" s="11" t="inlineStr">
        <is>
          <t>Amarelo = o GERENTE/ADM edita (prazo, setor da vistoria, validação, motivo, treinamentos) - Azul-claro = entrega do COORDENADOR (menu Anexar entrega ou link manual) - demais células são automáticas</t>
        </is>
      </c>
    </row>
  </sheetData>
  <mergeCells count="520">
    <mergeCell ref="P76:Q76"/>
    <mergeCell ref="D66:F66"/>
    <mergeCell ref="P94:Q94"/>
    <mergeCell ref="J59:K59"/>
    <mergeCell ref="D53:F53"/>
    <mergeCell ref="D47:F47"/>
    <mergeCell ref="H9:I9"/>
    <mergeCell ref="P69:Q69"/>
    <mergeCell ref="J9:K9"/>
    <mergeCell ref="B12:C12"/>
    <mergeCell ref="B14:C14"/>
    <mergeCell ref="B13:C13"/>
    <mergeCell ref="L29:M29"/>
    <mergeCell ref="D7:E7"/>
    <mergeCell ref="J31:K31"/>
    <mergeCell ref="L31:M31"/>
    <mergeCell ref="H96:I96"/>
    <mergeCell ref="P87:Q87"/>
    <mergeCell ref="H87:I87"/>
    <mergeCell ref="H62:I62"/>
    <mergeCell ref="J62:K62"/>
    <mergeCell ref="P24:Q24"/>
    <mergeCell ref="P89:Q89"/>
    <mergeCell ref="P88:Q88"/>
    <mergeCell ref="J64:K64"/>
    <mergeCell ref="P26:Q26"/>
    <mergeCell ref="H91:I91"/>
    <mergeCell ref="D41:F41"/>
    <mergeCell ref="L107:M107"/>
    <mergeCell ref="J57:K57"/>
    <mergeCell ref="L57:M57"/>
    <mergeCell ref="H93:I93"/>
    <mergeCell ref="J93:K93"/>
    <mergeCell ref="D43:F43"/>
    <mergeCell ref="L42:M42"/>
    <mergeCell ref="D74:F74"/>
    <mergeCell ref="D68:F68"/>
    <mergeCell ref="D55:F55"/>
    <mergeCell ref="P77:Q77"/>
    <mergeCell ref="H11:I11"/>
    <mergeCell ref="J11:K11"/>
    <mergeCell ref="D67:F67"/>
    <mergeCell ref="H109:I109"/>
    <mergeCell ref="H75:I75"/>
    <mergeCell ref="J75:K75"/>
    <mergeCell ref="P37:Q37"/>
    <mergeCell ref="D69:F69"/>
    <mergeCell ref="H12:I12"/>
    <mergeCell ref="J12:K12"/>
    <mergeCell ref="B15:C15"/>
    <mergeCell ref="D15:E15"/>
    <mergeCell ref="H48:I48"/>
    <mergeCell ref="H104:I104"/>
    <mergeCell ref="H14:I14"/>
    <mergeCell ref="D21:F21"/>
    <mergeCell ref="L70:M70"/>
    <mergeCell ref="H106:I106"/>
    <mergeCell ref="J81:K81"/>
    <mergeCell ref="L32:M32"/>
    <mergeCell ref="H43:I43"/>
    <mergeCell ref="L47:M47"/>
    <mergeCell ref="D87:F87"/>
    <mergeCell ref="P96:Q96"/>
    <mergeCell ref="P90:Q90"/>
    <mergeCell ref="J65:K65"/>
    <mergeCell ref="P27:Q27"/>
    <mergeCell ref="D51:F51"/>
    <mergeCell ref="D82:F82"/>
    <mergeCell ref="L58:M58"/>
    <mergeCell ref="P91:Q91"/>
    <mergeCell ref="J25:K25"/>
    <mergeCell ref="L50:M50"/>
    <mergeCell ref="L25:M25"/>
    <mergeCell ref="L60:M60"/>
    <mergeCell ref="L52:M52"/>
    <mergeCell ref="B5:C5"/>
    <mergeCell ref="P108:Q108"/>
    <mergeCell ref="D5:E5"/>
    <mergeCell ref="P45:Q45"/>
    <mergeCell ref="D77:F77"/>
    <mergeCell ref="P38:Q38"/>
    <mergeCell ref="J14:K14"/>
    <mergeCell ref="P109:Q109"/>
    <mergeCell ref="J13:K13"/>
    <mergeCell ref="J84:K84"/>
    <mergeCell ref="L13:M13"/>
    <mergeCell ref="J78:K78"/>
    <mergeCell ref="P40:Q40"/>
    <mergeCell ref="D72:F72"/>
    <mergeCell ref="A3:R3"/>
    <mergeCell ref="L78:M78"/>
    <mergeCell ref="H64:I64"/>
    <mergeCell ref="J15:K15"/>
    <mergeCell ref="L15:M15"/>
    <mergeCell ref="H51:I51"/>
    <mergeCell ref="L71:M71"/>
    <mergeCell ref="J80:K80"/>
    <mergeCell ref="J107:K107"/>
    <mergeCell ref="J55:K55"/>
    <mergeCell ref="L55:M55"/>
    <mergeCell ref="D24:F24"/>
    <mergeCell ref="J79:K79"/>
    <mergeCell ref="D89:F89"/>
    <mergeCell ref="L73:M73"/>
    <mergeCell ref="P98:Q98"/>
    <mergeCell ref="D88:F88"/>
    <mergeCell ref="D26:F26"/>
    <mergeCell ref="D90:F90"/>
    <mergeCell ref="P106:Q106"/>
    <mergeCell ref="D65:F65"/>
    <mergeCell ref="P93:Q93"/>
    <mergeCell ref="H33:I33"/>
    <mergeCell ref="J33:K33"/>
    <mergeCell ref="H8:I8"/>
    <mergeCell ref="J8:K8"/>
    <mergeCell ref="H35:I35"/>
    <mergeCell ref="H10:I10"/>
    <mergeCell ref="J10:K10"/>
    <mergeCell ref="L66:M66"/>
    <mergeCell ref="J28:K28"/>
    <mergeCell ref="L53:M53"/>
    <mergeCell ref="L28:M28"/>
    <mergeCell ref="D6:E6"/>
    <mergeCell ref="H39:I39"/>
    <mergeCell ref="J68:K68"/>
    <mergeCell ref="L68:M68"/>
    <mergeCell ref="D37:F37"/>
    <mergeCell ref="P59:Q59"/>
    <mergeCell ref="P46:Q46"/>
    <mergeCell ref="H89:I89"/>
    <mergeCell ref="L5:M5"/>
    <mergeCell ref="N5:O5"/>
    <mergeCell ref="P61:Q61"/>
    <mergeCell ref="J86:K86"/>
    <mergeCell ref="P48:Q48"/>
    <mergeCell ref="H72:I72"/>
    <mergeCell ref="L79:M79"/>
    <mergeCell ref="H65:I65"/>
    <mergeCell ref="J21:K21"/>
    <mergeCell ref="L21:M21"/>
    <mergeCell ref="P43:Q43"/>
    <mergeCell ref="L81:M81"/>
    <mergeCell ref="D80:F80"/>
    <mergeCell ref="H23:I23"/>
    <mergeCell ref="D96:F96"/>
    <mergeCell ref="J23:K23"/>
    <mergeCell ref="D27:F27"/>
    <mergeCell ref="H54:I54"/>
    <mergeCell ref="H41:I41"/>
    <mergeCell ref="F6:G6"/>
    <mergeCell ref="D91:F91"/>
    <mergeCell ref="P34:Q34"/>
    <mergeCell ref="H56:I56"/>
    <mergeCell ref="H34:I34"/>
    <mergeCell ref="H83:I83"/>
    <mergeCell ref="J34:K34"/>
    <mergeCell ref="D106:F106"/>
    <mergeCell ref="J99:K99"/>
    <mergeCell ref="D93:F93"/>
    <mergeCell ref="H49:I49"/>
    <mergeCell ref="P36:Q36"/>
    <mergeCell ref="J49:K49"/>
    <mergeCell ref="H36:I36"/>
    <mergeCell ref="H85:I85"/>
    <mergeCell ref="J36:K36"/>
    <mergeCell ref="L92:M92"/>
    <mergeCell ref="J101:K101"/>
    <mergeCell ref="L30:M30"/>
    <mergeCell ref="J100:K100"/>
    <mergeCell ref="J94:K94"/>
    <mergeCell ref="L94:M94"/>
    <mergeCell ref="A111:R111"/>
    <mergeCell ref="L69:M69"/>
    <mergeCell ref="D9:E9"/>
    <mergeCell ref="L44:M44"/>
    <mergeCell ref="H80:I80"/>
    <mergeCell ref="F9:G9"/>
    <mergeCell ref="D109:F109"/>
    <mergeCell ref="L6:M6"/>
    <mergeCell ref="N6:O6"/>
    <mergeCell ref="D46:F46"/>
    <mergeCell ref="D40:F40"/>
    <mergeCell ref="P62:Q62"/>
    <mergeCell ref="D86:F86"/>
    <mergeCell ref="D104:F104"/>
    <mergeCell ref="P64:Q64"/>
    <mergeCell ref="J29:K29"/>
    <mergeCell ref="B7:C7"/>
    <mergeCell ref="P51:Q51"/>
    <mergeCell ref="H31:I31"/>
    <mergeCell ref="H58:I58"/>
    <mergeCell ref="H73:I73"/>
    <mergeCell ref="J24:K24"/>
    <mergeCell ref="L24:M24"/>
    <mergeCell ref="H60:I60"/>
    <mergeCell ref="J89:K89"/>
    <mergeCell ref="L89:M89"/>
    <mergeCell ref="P67:Q67"/>
    <mergeCell ref="D33:F33"/>
    <mergeCell ref="J26:K26"/>
    <mergeCell ref="L88:M88"/>
    <mergeCell ref="L26:M26"/>
    <mergeCell ref="P82:Q82"/>
    <mergeCell ref="D35:F35"/>
    <mergeCell ref="H57:I57"/>
    <mergeCell ref="D59:F59"/>
    <mergeCell ref="H84:I84"/>
    <mergeCell ref="H22:I22"/>
    <mergeCell ref="P75:Q75"/>
    <mergeCell ref="D34:F34"/>
    <mergeCell ref="L100:M100"/>
    <mergeCell ref="D99:F99"/>
    <mergeCell ref="J50:K50"/>
    <mergeCell ref="H86:I86"/>
    <mergeCell ref="H42:I42"/>
    <mergeCell ref="J42:K42"/>
    <mergeCell ref="D36:F36"/>
    <mergeCell ref="D101:F101"/>
    <mergeCell ref="J52:K52"/>
    <mergeCell ref="L77:M77"/>
    <mergeCell ref="L108:M108"/>
    <mergeCell ref="J39:K39"/>
    <mergeCell ref="F11:G11"/>
    <mergeCell ref="J44:K44"/>
    <mergeCell ref="L95:M95"/>
    <mergeCell ref="D61:F61"/>
    <mergeCell ref="D48:F48"/>
    <mergeCell ref="J37:K37"/>
    <mergeCell ref="L37:M37"/>
    <mergeCell ref="L97:M97"/>
    <mergeCell ref="F12:G12"/>
    <mergeCell ref="B18:R18"/>
    <mergeCell ref="P72:Q72"/>
    <mergeCell ref="D62:F62"/>
    <mergeCell ref="D56:F56"/>
    <mergeCell ref="P65:Q65"/>
    <mergeCell ref="B8:C8"/>
    <mergeCell ref="H70:I70"/>
    <mergeCell ref="J70:K70"/>
    <mergeCell ref="A20:R20"/>
    <mergeCell ref="D64:F64"/>
    <mergeCell ref="H32:I32"/>
    <mergeCell ref="H7:I7"/>
    <mergeCell ref="J32:K32"/>
    <mergeCell ref="J7:K7"/>
    <mergeCell ref="B10:C10"/>
    <mergeCell ref="J63:K63"/>
    <mergeCell ref="L63:M63"/>
    <mergeCell ref="P74:Q74"/>
    <mergeCell ref="H99:I99"/>
    <mergeCell ref="H47:I47"/>
    <mergeCell ref="J109:K109"/>
    <mergeCell ref="J47:K47"/>
    <mergeCell ref="J96:K96"/>
    <mergeCell ref="J90:K90"/>
    <mergeCell ref="L96:M96"/>
    <mergeCell ref="L90:M90"/>
    <mergeCell ref="H101:I101"/>
    <mergeCell ref="H76:I76"/>
    <mergeCell ref="J76:K76"/>
    <mergeCell ref="L27:M27"/>
    <mergeCell ref="P83:Q83"/>
    <mergeCell ref="D49:F49"/>
    <mergeCell ref="L91:M91"/>
    <mergeCell ref="P85:Q85"/>
    <mergeCell ref="D75:F75"/>
    <mergeCell ref="P84:Q84"/>
    <mergeCell ref="J60:K60"/>
    <mergeCell ref="P22:Q22"/>
    <mergeCell ref="J53:K53"/>
    <mergeCell ref="P80:Q80"/>
    <mergeCell ref="H94:I94"/>
    <mergeCell ref="J45:K45"/>
    <mergeCell ref="D39:F39"/>
    <mergeCell ref="L45:M45"/>
    <mergeCell ref="L38:M38"/>
    <mergeCell ref="L109:M109"/>
    <mergeCell ref="F13:G13"/>
    <mergeCell ref="H13:I13"/>
    <mergeCell ref="L40:M40"/>
    <mergeCell ref="H105:I105"/>
    <mergeCell ref="N15:O15"/>
    <mergeCell ref="H15:I15"/>
    <mergeCell ref="H71:I71"/>
    <mergeCell ref="P58:Q58"/>
    <mergeCell ref="P33:Q33"/>
    <mergeCell ref="J71:K71"/>
    <mergeCell ref="H107:I107"/>
    <mergeCell ref="J58:K58"/>
    <mergeCell ref="D57:F57"/>
    <mergeCell ref="P79:Q79"/>
    <mergeCell ref="P73:Q73"/>
    <mergeCell ref="J73:K73"/>
    <mergeCell ref="P35:Q35"/>
    <mergeCell ref="L98:M98"/>
    <mergeCell ref="A1:N1"/>
    <mergeCell ref="H25:I25"/>
    <mergeCell ref="J77:K77"/>
    <mergeCell ref="L106:M106"/>
    <mergeCell ref="B11:C11"/>
    <mergeCell ref="D11:E11"/>
    <mergeCell ref="L93:M93"/>
    <mergeCell ref="D83:F83"/>
    <mergeCell ref="P86:Q86"/>
    <mergeCell ref="D85:F85"/>
    <mergeCell ref="P28:Q28"/>
    <mergeCell ref="D60:F60"/>
    <mergeCell ref="H28:I28"/>
    <mergeCell ref="B6:C6"/>
    <mergeCell ref="L59:M59"/>
    <mergeCell ref="H95:I95"/>
    <mergeCell ref="P30:Q30"/>
    <mergeCell ref="J46:K46"/>
    <mergeCell ref="L46:M46"/>
    <mergeCell ref="H5:I5"/>
    <mergeCell ref="J61:K61"/>
    <mergeCell ref="L61:M61"/>
    <mergeCell ref="H97:I97"/>
    <mergeCell ref="J48:K48"/>
    <mergeCell ref="J97:K97"/>
    <mergeCell ref="L48:M48"/>
    <mergeCell ref="P104:Q104"/>
    <mergeCell ref="P41:Q41"/>
    <mergeCell ref="D78:F78"/>
    <mergeCell ref="H21:I21"/>
    <mergeCell ref="L43:M43"/>
    <mergeCell ref="P56:Q56"/>
    <mergeCell ref="P105:Q105"/>
    <mergeCell ref="D71:F71"/>
    <mergeCell ref="P99:Q99"/>
    <mergeCell ref="D58:F58"/>
    <mergeCell ref="P49:Q49"/>
    <mergeCell ref="J74:K74"/>
    <mergeCell ref="L74:M74"/>
    <mergeCell ref="P107:Q107"/>
    <mergeCell ref="D73:F73"/>
    <mergeCell ref="P101:Q101"/>
    <mergeCell ref="L76:M76"/>
    <mergeCell ref="L9:M9"/>
    <mergeCell ref="D12:E12"/>
    <mergeCell ref="N9:O9"/>
    <mergeCell ref="D84:F84"/>
    <mergeCell ref="D22:F22"/>
    <mergeCell ref="L11:M11"/>
    <mergeCell ref="D14:E14"/>
    <mergeCell ref="F14:G14"/>
    <mergeCell ref="H92:I92"/>
    <mergeCell ref="H30:I30"/>
    <mergeCell ref="J92:K92"/>
    <mergeCell ref="P54:Q54"/>
    <mergeCell ref="H67:I67"/>
    <mergeCell ref="J67:K67"/>
    <mergeCell ref="P29:Q29"/>
    <mergeCell ref="J5:K5"/>
    <mergeCell ref="L67:M67"/>
    <mergeCell ref="H29:I29"/>
    <mergeCell ref="H78:I78"/>
    <mergeCell ref="P100:Q100"/>
    <mergeCell ref="P44:Q44"/>
    <mergeCell ref="H44:I44"/>
    <mergeCell ref="J69:K69"/>
    <mergeCell ref="P31:Q31"/>
    <mergeCell ref="J87:K87"/>
    <mergeCell ref="L87:M87"/>
    <mergeCell ref="H6:I6"/>
    <mergeCell ref="J6:K6"/>
    <mergeCell ref="L62:M62"/>
    <mergeCell ref="P95:Q95"/>
    <mergeCell ref="H98:I98"/>
    <mergeCell ref="J98:K98"/>
    <mergeCell ref="L64:M64"/>
    <mergeCell ref="L51:M51"/>
    <mergeCell ref="D79:F79"/>
    <mergeCell ref="P57:Q57"/>
    <mergeCell ref="D8:E8"/>
    <mergeCell ref="D81:F81"/>
    <mergeCell ref="H24:I24"/>
    <mergeCell ref="P42:Q42"/>
    <mergeCell ref="H26:I26"/>
    <mergeCell ref="H82:I82"/>
    <mergeCell ref="H53:I53"/>
    <mergeCell ref="J82:K82"/>
    <mergeCell ref="D76:F76"/>
    <mergeCell ref="L82:M82"/>
    <mergeCell ref="N11:O11"/>
    <mergeCell ref="H55:I55"/>
    <mergeCell ref="L75:M75"/>
    <mergeCell ref="D28:F28"/>
    <mergeCell ref="L12:M12"/>
    <mergeCell ref="N12:O12"/>
    <mergeCell ref="F15:G15"/>
    <mergeCell ref="D13:E13"/>
    <mergeCell ref="D92:F92"/>
    <mergeCell ref="D30:F30"/>
    <mergeCell ref="L14:M14"/>
    <mergeCell ref="L39:M39"/>
    <mergeCell ref="H52:I52"/>
    <mergeCell ref="N14:O14"/>
    <mergeCell ref="H79:I79"/>
    <mergeCell ref="P39:Q39"/>
    <mergeCell ref="H108:I108"/>
    <mergeCell ref="P70:Q70"/>
    <mergeCell ref="J108:K108"/>
    <mergeCell ref="D29:F29"/>
    <mergeCell ref="J95:K95"/>
    <mergeCell ref="D23:F23"/>
    <mergeCell ref="D94:F94"/>
    <mergeCell ref="H45:I45"/>
    <mergeCell ref="P32:Q32"/>
    <mergeCell ref="H81:I81"/>
    <mergeCell ref="P97:Q97"/>
    <mergeCell ref="H37:I37"/>
    <mergeCell ref="P47:Q47"/>
    <mergeCell ref="O1:R1"/>
    <mergeCell ref="L72:M72"/>
    <mergeCell ref="L65:M65"/>
    <mergeCell ref="D105:F105"/>
    <mergeCell ref="L7:M7"/>
    <mergeCell ref="D10:E10"/>
    <mergeCell ref="N7:O7"/>
    <mergeCell ref="F10:G10"/>
    <mergeCell ref="D107:F107"/>
    <mergeCell ref="P63:Q63"/>
    <mergeCell ref="H63:I63"/>
    <mergeCell ref="J88:K88"/>
    <mergeCell ref="P50:Q50"/>
    <mergeCell ref="P25:Q25"/>
    <mergeCell ref="H50:I50"/>
    <mergeCell ref="P60:Q60"/>
    <mergeCell ref="H74:I74"/>
    <mergeCell ref="H68:I68"/>
    <mergeCell ref="P52:Q52"/>
    <mergeCell ref="F5:G5"/>
    <mergeCell ref="J27:K27"/>
    <mergeCell ref="J83:K83"/>
    <mergeCell ref="D25:F25"/>
    <mergeCell ref="L83:M83"/>
    <mergeCell ref="H69:I69"/>
    <mergeCell ref="J85:K85"/>
    <mergeCell ref="L85:M85"/>
    <mergeCell ref="D54:F54"/>
    <mergeCell ref="A102:R102"/>
    <mergeCell ref="J22:K22"/>
    <mergeCell ref="L84:M84"/>
    <mergeCell ref="N13:O13"/>
    <mergeCell ref="L22:M22"/>
    <mergeCell ref="D100:F100"/>
    <mergeCell ref="P78:Q78"/>
    <mergeCell ref="D31:F31"/>
    <mergeCell ref="J51:K51"/>
    <mergeCell ref="L80:M80"/>
    <mergeCell ref="P71:Q71"/>
    <mergeCell ref="A103:R103"/>
    <mergeCell ref="D108:F108"/>
    <mergeCell ref="D95:F95"/>
    <mergeCell ref="P55:Q55"/>
    <mergeCell ref="H38:I38"/>
    <mergeCell ref="J38:K38"/>
    <mergeCell ref="D32:F32"/>
    <mergeCell ref="D97:F97"/>
    <mergeCell ref="H40:I40"/>
    <mergeCell ref="F7:G7"/>
    <mergeCell ref="J40:K40"/>
    <mergeCell ref="L33:M33"/>
    <mergeCell ref="L8:M8"/>
    <mergeCell ref="N8:O8"/>
    <mergeCell ref="F8:G8"/>
    <mergeCell ref="D42:F42"/>
    <mergeCell ref="J35:K35"/>
    <mergeCell ref="L35:M35"/>
    <mergeCell ref="H100:I100"/>
    <mergeCell ref="L10:M10"/>
    <mergeCell ref="N10:O10"/>
    <mergeCell ref="D50:F50"/>
    <mergeCell ref="D44:F44"/>
    <mergeCell ref="P66:Q66"/>
    <mergeCell ref="H66:I66"/>
    <mergeCell ref="B9:C9"/>
    <mergeCell ref="J91:K91"/>
    <mergeCell ref="P53:Q53"/>
    <mergeCell ref="J66:K66"/>
    <mergeCell ref="H77:I77"/>
    <mergeCell ref="J106:K106"/>
    <mergeCell ref="P68:Q68"/>
    <mergeCell ref="D45:F45"/>
    <mergeCell ref="L86:M86"/>
    <mergeCell ref="J72:K72"/>
    <mergeCell ref="L101:M101"/>
    <mergeCell ref="D70:F70"/>
    <mergeCell ref="J30:K30"/>
    <mergeCell ref="H59:I59"/>
    <mergeCell ref="P21:Q21"/>
    <mergeCell ref="H46:I46"/>
    <mergeCell ref="P81:Q81"/>
    <mergeCell ref="L23:M23"/>
    <mergeCell ref="H61:I61"/>
    <mergeCell ref="H88:I88"/>
    <mergeCell ref="P23:Q23"/>
    <mergeCell ref="D38:F38"/>
    <mergeCell ref="J104:K104"/>
    <mergeCell ref="D98:F98"/>
    <mergeCell ref="L104:M104"/>
    <mergeCell ref="J54:K54"/>
    <mergeCell ref="L54:M54"/>
    <mergeCell ref="H90:I90"/>
    <mergeCell ref="J41:K41"/>
    <mergeCell ref="L41:M41"/>
    <mergeCell ref="H27:I27"/>
    <mergeCell ref="D63:F63"/>
    <mergeCell ref="J56:K56"/>
    <mergeCell ref="L56:M56"/>
    <mergeCell ref="J105:K105"/>
    <mergeCell ref="L34:M34"/>
    <mergeCell ref="J43:K43"/>
    <mergeCell ref="L105:M105"/>
    <mergeCell ref="L99:M99"/>
    <mergeCell ref="L49:M49"/>
    <mergeCell ref="D52:F52"/>
    <mergeCell ref="L36:M36"/>
    <mergeCell ref="P92:Q92"/>
  </mergeCells>
  <conditionalFormatting sqref="A3">
    <cfRule type="expression" priority="1" dxfId="1" stopIfTrue="1">
      <formula>LEFT($A$3,3)="MÊS"</formula>
    </cfRule>
  </conditionalFormatting>
  <conditionalFormatting sqref="F6:G7">
    <cfRule type="expression" priority="2" dxfId="3" stopIfTrue="1">
      <formula>AND(F6&lt;&gt;"",F6=TODAY())</formula>
    </cfRule>
    <cfRule type="expression" priority="3" dxfId="4">
      <formula>AND(F6&lt;&gt;"",COUNTIFS($C$22:$C$210,F6,$O$22:$O$210,"&lt;&gt;Cancelada")&gt;0)</formula>
    </cfRule>
  </conditionalFormatting>
  <conditionalFormatting sqref="H6:I7">
    <cfRule type="expression" priority="4" dxfId="3" stopIfTrue="1">
      <formula>AND(H6&lt;&gt;"",H6=TODAY())</formula>
    </cfRule>
    <cfRule type="expression" priority="5" dxfId="4">
      <formula>AND(H6&lt;&gt;"",COUNTIFS($C$22:$C$210,H6,$O$22:$O$210,"&lt;&gt;Cancelada")&gt;0)</formula>
    </cfRule>
  </conditionalFormatting>
  <conditionalFormatting sqref="J6:K7">
    <cfRule type="expression" priority="6" dxfId="3" stopIfTrue="1">
      <formula>AND(J6&lt;&gt;"",J6=TODAY())</formula>
    </cfRule>
    <cfRule type="expression" priority="7" dxfId="4">
      <formula>AND(J6&lt;&gt;"",COUNTIFS($C$22:$C$210,J6,$O$22:$O$210,"&lt;&gt;Cancelada")&gt;0)</formula>
    </cfRule>
  </conditionalFormatting>
  <conditionalFormatting sqref="L6:M7">
    <cfRule type="expression" priority="8" dxfId="3" stopIfTrue="1">
      <formula>AND(L6&lt;&gt;"",L6=TODAY())</formula>
    </cfRule>
    <cfRule type="expression" priority="9" dxfId="4">
      <formula>AND(L6&lt;&gt;"",COUNTIFS($C$22:$C$210,L6,$O$22:$O$210,"&lt;&gt;Cancelada")&gt;0)</formula>
    </cfRule>
  </conditionalFormatting>
  <conditionalFormatting sqref="N6:O7">
    <cfRule type="expression" priority="10" dxfId="3" stopIfTrue="1">
      <formula>AND(N6&lt;&gt;"",N6=TODAY())</formula>
    </cfRule>
    <cfRule type="expression" priority="11" dxfId="4">
      <formula>AND(N6&lt;&gt;"",COUNTIFS($C$22:$C$210,N6,$O$22:$O$210,"&lt;&gt;Cancelada")&gt;0)</formula>
    </cfRule>
  </conditionalFormatting>
  <conditionalFormatting sqref="B8:C9">
    <cfRule type="expression" priority="12" dxfId="3" stopIfTrue="1">
      <formula>AND(B8&lt;&gt;"",B8=TODAY())</formula>
    </cfRule>
    <cfRule type="expression" priority="13" dxfId="4">
      <formula>AND(B8&lt;&gt;"",COUNTIFS($C$22:$C$210,B8,$O$22:$O$210,"&lt;&gt;Cancelada")&gt;0)</formula>
    </cfRule>
  </conditionalFormatting>
  <conditionalFormatting sqref="D8:E9">
    <cfRule type="expression" priority="14" dxfId="3" stopIfTrue="1">
      <formula>AND(D8&lt;&gt;"",D8=TODAY())</formula>
    </cfRule>
    <cfRule type="expression" priority="15" dxfId="4">
      <formula>AND(D8&lt;&gt;"",COUNTIFS($C$22:$C$210,D8,$O$22:$O$210,"&lt;&gt;Cancelada")&gt;0)</formula>
    </cfRule>
  </conditionalFormatting>
  <conditionalFormatting sqref="F8:G9">
    <cfRule type="expression" priority="16" dxfId="3" stopIfTrue="1">
      <formula>AND(F8&lt;&gt;"",F8=TODAY())</formula>
    </cfRule>
    <cfRule type="expression" priority="17" dxfId="4">
      <formula>AND(F8&lt;&gt;"",COUNTIFS($C$22:$C$210,F8,$O$22:$O$210,"&lt;&gt;Cancelada")&gt;0)</formula>
    </cfRule>
  </conditionalFormatting>
  <conditionalFormatting sqref="H8:I9">
    <cfRule type="expression" priority="18" dxfId="3" stopIfTrue="1">
      <formula>AND(H8&lt;&gt;"",H8=TODAY())</formula>
    </cfRule>
    <cfRule type="expression" priority="19" dxfId="4">
      <formula>AND(H8&lt;&gt;"",COUNTIFS($C$22:$C$210,H8,$O$22:$O$210,"&lt;&gt;Cancelada")&gt;0)</formula>
    </cfRule>
  </conditionalFormatting>
  <conditionalFormatting sqref="J8:K9">
    <cfRule type="expression" priority="20" dxfId="3" stopIfTrue="1">
      <formula>AND(J8&lt;&gt;"",J8=TODAY())</formula>
    </cfRule>
    <cfRule type="expression" priority="21" dxfId="4">
      <formula>AND(J8&lt;&gt;"",COUNTIFS($C$22:$C$210,J8,$O$22:$O$210,"&lt;&gt;Cancelada")&gt;0)</formula>
    </cfRule>
  </conditionalFormatting>
  <conditionalFormatting sqref="L8:M9">
    <cfRule type="expression" priority="22" dxfId="3" stopIfTrue="1">
      <formula>AND(L8&lt;&gt;"",L8=TODAY())</formula>
    </cfRule>
    <cfRule type="expression" priority="23" dxfId="4">
      <formula>AND(L8&lt;&gt;"",COUNTIFS($C$22:$C$210,L8,$O$22:$O$210,"&lt;&gt;Cancelada")&gt;0)</formula>
    </cfRule>
  </conditionalFormatting>
  <conditionalFormatting sqref="N8:O9">
    <cfRule type="expression" priority="24" dxfId="3" stopIfTrue="1">
      <formula>AND(N8&lt;&gt;"",N8=TODAY())</formula>
    </cfRule>
    <cfRule type="expression" priority="25" dxfId="4">
      <formula>AND(N8&lt;&gt;"",COUNTIFS($C$22:$C$210,N8,$O$22:$O$210,"&lt;&gt;Cancelada")&gt;0)</formula>
    </cfRule>
  </conditionalFormatting>
  <conditionalFormatting sqref="B10:C11">
    <cfRule type="expression" priority="26" dxfId="3" stopIfTrue="1">
      <formula>AND(B10&lt;&gt;"",B10=TODAY())</formula>
    </cfRule>
    <cfRule type="expression" priority="27" dxfId="4">
      <formula>AND(B10&lt;&gt;"",COUNTIFS($C$22:$C$210,B10,$O$22:$O$210,"&lt;&gt;Cancelada")&gt;0)</formula>
    </cfRule>
  </conditionalFormatting>
  <conditionalFormatting sqref="D10:E11">
    <cfRule type="expression" priority="28" dxfId="3" stopIfTrue="1">
      <formula>AND(D10&lt;&gt;"",D10=TODAY())</formula>
    </cfRule>
    <cfRule type="expression" priority="29" dxfId="4">
      <formula>AND(D10&lt;&gt;"",COUNTIFS($C$22:$C$210,D10,$O$22:$O$210,"&lt;&gt;Cancelada")&gt;0)</formula>
    </cfRule>
  </conditionalFormatting>
  <conditionalFormatting sqref="F10:G11">
    <cfRule type="expression" priority="30" dxfId="3" stopIfTrue="1">
      <formula>AND(F10&lt;&gt;"",F10=TODAY())</formula>
    </cfRule>
    <cfRule type="expression" priority="31" dxfId="4">
      <formula>AND(F10&lt;&gt;"",COUNTIFS($C$22:$C$210,F10,$O$22:$O$210,"&lt;&gt;Cancelada")&gt;0)</formula>
    </cfRule>
  </conditionalFormatting>
  <conditionalFormatting sqref="H10:I11">
    <cfRule type="expression" priority="32" dxfId="3" stopIfTrue="1">
      <formula>AND(H10&lt;&gt;"",H10=TODAY())</formula>
    </cfRule>
    <cfRule type="expression" priority="33" dxfId="4">
      <formula>AND(H10&lt;&gt;"",COUNTIFS($C$22:$C$210,H10,$O$22:$O$210,"&lt;&gt;Cancelada")&gt;0)</formula>
    </cfRule>
  </conditionalFormatting>
  <conditionalFormatting sqref="J10:K11">
    <cfRule type="expression" priority="34" dxfId="3" stopIfTrue="1">
      <formula>AND(J10&lt;&gt;"",J10=TODAY())</formula>
    </cfRule>
    <cfRule type="expression" priority="35" dxfId="4">
      <formula>AND(J10&lt;&gt;"",COUNTIFS($C$22:$C$210,J10,$O$22:$O$210,"&lt;&gt;Cancelada")&gt;0)</formula>
    </cfRule>
  </conditionalFormatting>
  <conditionalFormatting sqref="L10:M11">
    <cfRule type="expression" priority="36" dxfId="3" stopIfTrue="1">
      <formula>AND(L10&lt;&gt;"",L10=TODAY())</formula>
    </cfRule>
    <cfRule type="expression" priority="37" dxfId="4">
      <formula>AND(L10&lt;&gt;"",COUNTIFS($C$22:$C$210,L10,$O$22:$O$210,"&lt;&gt;Cancelada")&gt;0)</formula>
    </cfRule>
  </conditionalFormatting>
  <conditionalFormatting sqref="N10:O11">
    <cfRule type="expression" priority="38" dxfId="3" stopIfTrue="1">
      <formula>AND(N10&lt;&gt;"",N10=TODAY())</formula>
    </cfRule>
    <cfRule type="expression" priority="39" dxfId="4">
      <formula>AND(N10&lt;&gt;"",COUNTIFS($C$22:$C$210,N10,$O$22:$O$210,"&lt;&gt;Cancelada")&gt;0)</formula>
    </cfRule>
  </conditionalFormatting>
  <conditionalFormatting sqref="B12:C13">
    <cfRule type="expression" priority="40" dxfId="3" stopIfTrue="1">
      <formula>AND(B12&lt;&gt;"",B12=TODAY())</formula>
    </cfRule>
    <cfRule type="expression" priority="41" dxfId="4">
      <formula>AND(B12&lt;&gt;"",COUNTIFS($C$22:$C$210,B12,$O$22:$O$210,"&lt;&gt;Cancelada")&gt;0)</formula>
    </cfRule>
  </conditionalFormatting>
  <conditionalFormatting sqref="D12:E13">
    <cfRule type="expression" priority="42" dxfId="3" stopIfTrue="1">
      <formula>AND(D12&lt;&gt;"",D12=TODAY())</formula>
    </cfRule>
    <cfRule type="expression" priority="43" dxfId="4">
      <formula>AND(D12&lt;&gt;"",COUNTIFS($C$22:$C$210,D12,$O$22:$O$210,"&lt;&gt;Cancelada")&gt;0)</formula>
    </cfRule>
  </conditionalFormatting>
  <conditionalFormatting sqref="F12:G13">
    <cfRule type="expression" priority="44" dxfId="3" stopIfTrue="1">
      <formula>AND(F12&lt;&gt;"",F12=TODAY())</formula>
    </cfRule>
    <cfRule type="expression" priority="45" dxfId="4">
      <formula>AND(F12&lt;&gt;"",COUNTIFS($C$22:$C$210,F12,$O$22:$O$210,"&lt;&gt;Cancelada")&gt;0)</formula>
    </cfRule>
  </conditionalFormatting>
  <conditionalFormatting sqref="H12:I13">
    <cfRule type="expression" priority="46" dxfId="3" stopIfTrue="1">
      <formula>AND(H12&lt;&gt;"",H12=TODAY())</formula>
    </cfRule>
    <cfRule type="expression" priority="47" dxfId="4">
      <formula>AND(H12&lt;&gt;"",COUNTIFS($C$22:$C$210,H12,$O$22:$O$210,"&lt;&gt;Cancelada")&gt;0)</formula>
    </cfRule>
  </conditionalFormatting>
  <conditionalFormatting sqref="J12:K13">
    <cfRule type="expression" priority="48" dxfId="3" stopIfTrue="1">
      <formula>AND(J12&lt;&gt;"",J12=TODAY())</formula>
    </cfRule>
    <cfRule type="expression" priority="49" dxfId="4">
      <formula>AND(J12&lt;&gt;"",COUNTIFS($C$22:$C$210,J12,$O$22:$O$210,"&lt;&gt;Cancelada")&gt;0)</formula>
    </cfRule>
  </conditionalFormatting>
  <conditionalFormatting sqref="L12:M13">
    <cfRule type="expression" priority="50" dxfId="3" stopIfTrue="1">
      <formula>AND(L12&lt;&gt;"",L12=TODAY())</formula>
    </cfRule>
    <cfRule type="expression" priority="51" dxfId="4">
      <formula>AND(L12&lt;&gt;"",COUNTIFS($C$22:$C$210,L12,$O$22:$O$210,"&lt;&gt;Cancelada")&gt;0)</formula>
    </cfRule>
  </conditionalFormatting>
  <conditionalFormatting sqref="N12:O13">
    <cfRule type="expression" priority="52" dxfId="3" stopIfTrue="1">
      <formula>AND(N12&lt;&gt;"",N12=TODAY())</formula>
    </cfRule>
    <cfRule type="expression" priority="53" dxfId="4">
      <formula>AND(N12&lt;&gt;"",COUNTIFS($C$22:$C$210,N12,$O$22:$O$210,"&lt;&gt;Cancelada")&gt;0)</formula>
    </cfRule>
  </conditionalFormatting>
  <conditionalFormatting sqref="B14:C15">
    <cfRule type="expression" priority="54" dxfId="3" stopIfTrue="1">
      <formula>AND(B14&lt;&gt;"",B14=TODAY())</formula>
    </cfRule>
    <cfRule type="expression" priority="55" dxfId="4">
      <formula>AND(B14&lt;&gt;"",COUNTIFS($C$22:$C$210,B14,$O$22:$O$210,"&lt;&gt;Cancelada")&gt;0)</formula>
    </cfRule>
  </conditionalFormatting>
  <conditionalFormatting sqref="D14:E15">
    <cfRule type="expression" priority="56" dxfId="3" stopIfTrue="1">
      <formula>AND(D14&lt;&gt;"",D14=TODAY())</formula>
    </cfRule>
    <cfRule type="expression" priority="57" dxfId="4">
      <formula>AND(D14&lt;&gt;"",COUNTIFS($C$22:$C$210,D14,$O$22:$O$210,"&lt;&gt;Cancelada")&gt;0)</formula>
    </cfRule>
  </conditionalFormatting>
  <conditionalFormatting sqref="F14:G15">
    <cfRule type="expression" priority="58" dxfId="3" stopIfTrue="1">
      <formula>AND(F14&lt;&gt;"",F14=TODAY())</formula>
    </cfRule>
    <cfRule type="expression" priority="59" dxfId="4">
      <formula>AND(F14&lt;&gt;"",COUNTIFS($C$22:$C$210,F14,$O$22:$O$210,"&lt;&gt;Cancelada")&gt;0)</formula>
    </cfRule>
  </conditionalFormatting>
  <conditionalFormatting sqref="H14:I15">
    <cfRule type="expression" priority="60" dxfId="3" stopIfTrue="1">
      <formula>AND(H14&lt;&gt;"",H14=TODAY())</formula>
    </cfRule>
    <cfRule type="expression" priority="61" dxfId="4">
      <formula>AND(H14&lt;&gt;"",COUNTIFS($C$22:$C$210,H14,$O$22:$O$210,"&lt;&gt;Cancelada")&gt;0)</formula>
    </cfRule>
  </conditionalFormatting>
  <conditionalFormatting sqref="J14:K15">
    <cfRule type="expression" priority="62" dxfId="3" stopIfTrue="1">
      <formula>AND(J14&lt;&gt;"",J14=TODAY())</formula>
    </cfRule>
    <cfRule type="expression" priority="63" dxfId="4">
      <formula>AND(J14&lt;&gt;"",COUNTIFS($C$22:$C$210,J14,$O$22:$O$210,"&lt;&gt;Cancelada")&gt;0)</formula>
    </cfRule>
  </conditionalFormatting>
  <conditionalFormatting sqref="R22:R109">
    <cfRule type="expression" priority="64" dxfId="5">
      <formula>$R22="Aprovada"</formula>
    </cfRule>
    <cfRule type="expression" priority="65" dxfId="6">
      <formula>$R22="Atrasada"</formula>
    </cfRule>
    <cfRule type="expression" priority="66" dxfId="7">
      <formula>$R22="Reprovada"</formula>
    </cfRule>
    <cfRule type="expression" priority="67" dxfId="8">
      <formula>$R22="Entregue"</formula>
    </cfRule>
    <cfRule type="expression" priority="68" dxfId="9">
      <formula>$R22="Pendente"</formula>
    </cfRule>
    <cfRule type="expression" priority="69" dxfId="10">
      <formula>$R22="Cancelada"</formula>
    </cfRule>
    <cfRule type="expression" priority="70" dxfId="11">
      <formula>$R22="Não agendado"</formula>
    </cfRule>
  </conditionalFormatting>
  <dataValidations count="3">
    <dataValidation sqref="O22:O109" showDropDown="0" showInputMessage="0" showErrorMessage="0" allowBlank="1" type="list">
      <formula1>"Aprovado,Reprovado,Cancelada"</formula1>
    </dataValidation>
    <dataValidation sqref="J22:J101" showDropDown="0" showInputMessage="0" showErrorMessage="0" allowBlank="1" type="list">
      <formula1>=Setores</formula1>
    </dataValidation>
    <dataValidation sqref="G104:G109" showDropDown="0" showInputMessage="0" showErrorMessage="0" allowBlank="1" type="list">
      <formula1>"A,B,C,Todos"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2026-07-16T04:04:11Z</dcterms:created>
  <dcterms:modified xmlns:dcterms="http://purl.org/dc/terms/" xmlns:xsi="http://www.w3.org/2001/XMLSchema-instance" xsi:type="dcterms:W3CDTF">2026-07-16T04:04:12Z</dcterms:modified>
</cp:coreProperties>
</file>