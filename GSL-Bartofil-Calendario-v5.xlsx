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INÍCIO" sheetId="1" state="visible" r:id="rId3"/>
    <sheet name="INSIGHTS" sheetId="2" state="visible" r:id="rId4"/>
    <sheet name="CENTRAL" sheetId="3" state="visible" r:id="rId5"/>
    <sheet name="CONFIG" sheetId="4" state="visible" r:id="rId6"/>
    <sheet name="JUL 2026" sheetId="5" state="visible" r:id="rId7"/>
    <sheet name="AGO 2026" sheetId="6" state="visible" r:id="rId8"/>
    <sheet name="SET 2026" sheetId="7" state="visible" r:id="rId9"/>
    <sheet name="OUT 2026" sheetId="8" state="visible" r:id="rId10"/>
    <sheet name="NOV 2026" sheetId="9" state="visible" r:id="rId11"/>
    <sheet name="DEZ 2026" sheetId="10" state="visible" r:id="rId12"/>
    <sheet name="MODELO_MES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<sst xmlns="http://schemas.openxmlformats.org/spreadsheetml/2006/main" count="492" uniqueCount="157">
  <si>
    <t xml:space="preserve">GSL BARTOFIL — SISTEMA DE GESTÃO OPERACIONAL · CD FEIRA DE SANTANA</t>
  </si>
  <si>
    <t xml:space="preserve">Turnos A (manhã) · B (tarde) · C (noite) — a semana orbita a VISTORIA de quarta e a REUNIÃO de sexta. Meses novos são gerados automaticamente pelo script.</t>
  </si>
  <si>
    <t xml:space="preserve">A SEMANA — 3 compromissos, tudo apontando para a reunião</t>
  </si>
  <si>
    <t xml:space="preserve">QUA</t>
  </si>
  <si>
    <t xml:space="preserve">Vistoria Setorial</t>
  </si>
  <si>
    <t xml:space="preserve">Checklist impresso no setor definido pelo gerente; anexar escaneado.</t>
  </si>
  <si>
    <t xml:space="preserve">QUI</t>
  </si>
  <si>
    <t xml:space="preserve">Relatório Semanal Consolidado</t>
  </si>
  <si>
    <t xml:space="preserve">UM único documento por turno: erros + metas + faltas/atestados + supervisores. O conteúdo vem das planilhas dos setores; aqui só se controla a entrega e a validação.</t>
  </si>
  <si>
    <t xml:space="preserve">SEX</t>
  </si>
  <si>
    <t xml:space="preserve">Reunião Semanal com a Gerência</t>
  </si>
  <si>
    <t xml:space="preserve">O marco da semana. O gerente chega com a pauta pronta (aba GERÊNCIA + briefing por e-mail) e valida as entregas.</t>
  </si>
  <si>
    <t xml:space="preserve">Mensais: Programação de Férias (1ª segunda) · Mudança de Função (última sexta) · Treinamentos (quando o gerente marcar).</t>
  </si>
  <si>
    <t xml:space="preserve">MODELOS PARA DOWNLOAD — administrador: cole ao lado o link de cada arquivo no Drive</t>
  </si>
  <si>
    <t xml:space="preserve">1.</t>
  </si>
  <si>
    <t xml:space="preserve">Relatório Semanal Consolidado (QUI) — Modelo-Relatorio-Semanal.docx</t>
  </si>
  <si>
    <t xml:space="preserve">(cole aqui o link do arquivo no Drive)</t>
  </si>
  <si>
    <t xml:space="preserve">2.</t>
  </si>
  <si>
    <t xml:space="preserve">Checklist de Vistoria (QUA) — Checklist-Vistoria.docx</t>
  </si>
  <si>
    <t xml:space="preserve">Compartilhe como 'qualquer pessoa com o link pode ver'. Os links entram automaticamente nos e-mails.</t>
  </si>
  <si>
    <t xml:space="preserve">O SISTEMA — acompanhamento, insights e meses infinitos</t>
  </si>
  <si>
    <t xml:space="preserve">Escopo do GSL</t>
  </si>
  <si>
    <t xml:space="preserve">Esta planilha controla SÓ atividades: o que foi programado, quem entregou, quando e se o gerente aprovou. Nenhum dado individual de colaborador é digitado ou guardado aqui.</t>
  </si>
  <si>
    <t xml:space="preserve">Aba CENTRAL</t>
  </si>
  <si>
    <t xml:space="preserve">Andamento geral: total programado, aprovadas, atrasadas e % de conclusão — mês a mês até DEZ/2027 e acumulado por turno (A, B e C).</t>
  </si>
  <si>
    <t xml:space="preserve">Aba INSIGHTS</t>
  </si>
  <si>
    <t xml:space="preserve">O script analisa o próprio calendário e escreve diagnósticos em português: atrasos recorrentes, reprovações, turno fora da curva e concentração por dia da semana. Roda toda 5ª e no fechamento do mês.</t>
  </si>
  <si>
    <t xml:space="preserve">Planilha GSL-DADOS</t>
  </si>
  <si>
    <t xml:space="preserve">Planilha SEPARADA que recebe RH (faltas, atestados, saídas), erros e metas dos setores e alimenta o BI. Coordenadores não têm acesso a ela — no GSL eles só veem as próprias atividades.</t>
  </si>
  <si>
    <t xml:space="preserve">Meses automáticos</t>
  </si>
  <si>
    <t xml:space="preserve">Todo dia 20 o script gera a aba do mês seguinte sozinho (ou use o menu Gerar aba do próximo mês). CENTRAL já espera os meses até DEZ/2027.</t>
  </si>
  <si>
    <t xml:space="preserve">E-mails automáticos</t>
  </si>
  <si>
    <t xml:space="preserve">Digesto matinal único por coordenador (atrasadas, hoje, AMANHÃ, próximos), briefing do gerente na véspera e no dia da reunião, e avisos em tempo real de entregas, validações e prazos.</t>
  </si>
  <si>
    <t xml:space="preserve">INSTALAÇÃO (5 min) — APÓS IMPORTAR NO GOOGLE DRIVE</t>
  </si>
  <si>
    <t xml:space="preserve">OBRIGATÓRIO: Arquivo → Salvar como Planilhas Google (em modo .xlsx o script NÃO roda).</t>
  </si>
  <si>
    <t xml:space="preserve">Extensões → Apps Script → cole o Code.gs entregue junto e salve.</t>
  </si>
  <si>
    <t xml:space="preserve">3.</t>
  </si>
  <si>
    <t xml:space="preserve">Preencha a aba CONFIG (nomes e e-mails da equipe).</t>
  </si>
  <si>
    <t xml:space="preserve">4.</t>
  </si>
  <si>
    <t xml:space="preserve">No Apps Script, execute instalarGatilhos uma vez e autorize com a conta do gerente ou do administrador.</t>
  </si>
  <si>
    <t xml:space="preserve">5.</t>
  </si>
  <si>
    <t xml:space="preserve">Recarregue a página: o menu GSL Bartofil aparece na barra. Cada coordenador autoriza no 1º uso.</t>
  </si>
  <si>
    <t xml:space="preserve">6.</t>
  </si>
  <si>
    <t xml:space="preserve">Suba os 2 modelos Word na subpasta Modelos da pasta do Drive e cole os links acima.</t>
  </si>
  <si>
    <t xml:space="preserve">7.</t>
  </si>
  <si>
    <t xml:space="preserve">Recomendado: proteja as colunas do gerente (Dados → Proteger intervalos): PRAZO C, SETOR J, VALIDAÇÃO Q, MOTIVO R.</t>
  </si>
  <si>
    <t xml:space="preserve">8.</t>
  </si>
  <si>
    <t xml:space="preserve">NÃO exclua nem renomeie a aba oculta MODELO_MES — é dela que o script cria os meses novos.</t>
  </si>
  <si>
    <t xml:space="preserve">Identidade visual: paleta oficial Bartofil — azul #111785, verde #01973A e amarelo #FFEE03.</t>
  </si>
  <si>
    <t xml:space="preserve">INSIGHTS — O QUE OS DADOS ESTÃO DIZENDO</t>
  </si>
  <si>
    <t xml:space="preserve">Diagnósticos gerados automaticamente pelo script a partir das abas mensais deste calendário: atrasos recorrentes, reprovações, turno fora da curva e concentração por dia da semana. Atualiza sozinho toda 5ª-feira e no fechamento do mês — ou na hora: GSL Bartofil &gt; Gerar insights agora. Análises de faltas, erros e metas ficam no BI da planilha GSL-DADOS. 🔴 crítico · 🟡 atenção · 🟢 positivo.</t>
  </si>
  <si>
    <t xml:space="preserve">GERADO EM</t>
  </si>
  <si>
    <t xml:space="preserve">NÍVEL</t>
  </si>
  <si>
    <t xml:space="preserve">INSIGHT</t>
  </si>
  <si>
    <t xml:space="preserve">RECOMENDAÇÃO</t>
  </si>
  <si>
    <t xml:space="preserve">(ainda sem análise — use o menu GSL Bartofil &gt; Gerar insights agora)</t>
  </si>
  <si>
    <t xml:space="preserve">CENTRAL — ANDAMENTO GERAL</t>
  </si>
  <si>
    <t xml:space="preserve">TOTAL PROGRAMADO</t>
  </si>
  <si>
    <t xml:space="preserve">APROVADAS</t>
  </si>
  <si>
    <t xml:space="preserve">ATRASADAS AGORA</t>
  </si>
  <si>
    <t xml:space="preserve">% CONCLUÍDO</t>
  </si>
  <si>
    <t xml:space="preserve">ANDAMENTO MÊS A MÊS — meses futuros aparecem sozinhos quando o script gera a aba</t>
  </si>
  <si>
    <t xml:space="preserve">MÊS</t>
  </si>
  <si>
    <t xml:space="preserve">TOTAL</t>
  </si>
  <si>
    <t xml:space="preserve">APROV.</t>
  </si>
  <si>
    <t xml:space="preserve">AGUARD. VALID.</t>
  </si>
  <si>
    <t xml:space="preserve">PEND.</t>
  </si>
  <si>
    <t xml:space="preserve">ATRAS.</t>
  </si>
  <si>
    <t xml:space="preserve">REPROV.</t>
  </si>
  <si>
    <t xml:space="preserve">% CONCL.</t>
  </si>
  <si>
    <t xml:space="preserve">PROGRESSO</t>
  </si>
  <si>
    <t xml:space="preserve">SITUAÇÃO</t>
  </si>
  <si>
    <t xml:space="preserve">DESEMPENHO ACUMULADO POR TURNO</t>
  </si>
  <si>
    <t xml:space="preserve">TURNO</t>
  </si>
  <si>
    <t xml:space="preserve">% APROV.</t>
  </si>
  <si>
    <t xml:space="preserve">A</t>
  </si>
  <si>
    <t xml:space="preserve">B</t>
  </si>
  <si>
    <t xml:space="preserve">C</t>
  </si>
  <si>
    <t xml:space="preserve">"Aguard. valid." = entregue e à espera do Aprovado/Reprovado. Análises de erros, absenteísmo e tendências: aba PAINEL.</t>
  </si>
  <si>
    <t xml:space="preserve">CONFIG — EQUIPE, SETORES E PARÂMETROS</t>
  </si>
  <si>
    <t xml:space="preserve">1 · EQUIPE (usada nas fórmulas e nos e-mails do script)</t>
  </si>
  <si>
    <t xml:space="preserve">PAPEL</t>
  </si>
  <si>
    <t xml:space="preserve">NOME</t>
  </si>
  <si>
    <t xml:space="preserve">E-MAIL</t>
  </si>
  <si>
    <t xml:space="preserve">Coordenador · Turno A (manhã)</t>
  </si>
  <si>
    <t xml:space="preserve">(preencha o nome)</t>
  </si>
  <si>
    <t xml:space="preserve">turnoA@bartofil.com.br</t>
  </si>
  <si>
    <t xml:space="preserve">Coordenador · Turno B (tarde)</t>
  </si>
  <si>
    <t xml:space="preserve">turnoB@bartofil.com.br</t>
  </si>
  <si>
    <t xml:space="preserve">Coordenador · Turno C (noite)</t>
  </si>
  <si>
    <t xml:space="preserve">turnoC@bartofil.com.br</t>
  </si>
  <si>
    <t xml:space="preserve">Gerente de Logística</t>
  </si>
  <si>
    <t xml:space="preserve">gerente@bartofil.com.br</t>
  </si>
  <si>
    <t xml:space="preserve">Administrador da planilha</t>
  </si>
  <si>
    <t xml:space="preserve">Hércules</t>
  </si>
  <si>
    <t xml:space="preserve">hercules@bartofil.com.br</t>
  </si>
  <si>
    <t xml:space="preserve">2 · SETORES DO CD (lista do campo 'Setor' e das ocorrências)</t>
  </si>
  <si>
    <t xml:space="preserve">3 · PARÂMETROS DO SCRIPT</t>
  </si>
  <si>
    <t xml:space="preserve">Recebimento</t>
  </si>
  <si>
    <t xml:space="preserve">Janela de "próximos prazos" no e-mail matinal (dias)</t>
  </si>
  <si>
    <t xml:space="preserve">Conferência</t>
  </si>
  <si>
    <t xml:space="preserve">Copiar a gestão no digesto após atraso de (dias)</t>
  </si>
  <si>
    <t xml:space="preserve">Armazenagem / Porta-paletes</t>
  </si>
  <si>
    <t xml:space="preserve">E-mail em cópia (opcional)</t>
  </si>
  <si>
    <t xml:space="preserve">Separação (Picking)</t>
  </si>
  <si>
    <t xml:space="preserve">Pasta do Drive p/ entregas (o script cria e preenche)</t>
  </si>
  <si>
    <t xml:space="preserve">Reposição</t>
  </si>
  <si>
    <t xml:space="preserve">E-mail da diretoria p/ relatório mensal (opcional)</t>
  </si>
  <si>
    <t xml:space="preserve">Expedição</t>
  </si>
  <si>
    <t xml:space="preserve">Carregamento / Docas</t>
  </si>
  <si>
    <t xml:space="preserve">Devolução / Avarias</t>
  </si>
  <si>
    <t xml:space="preserve">Inventário</t>
  </si>
  <si>
    <t xml:space="preserve">Manutenção</t>
  </si>
  <si>
    <t xml:space="preserve">Pátio / Área externa</t>
  </si>
  <si>
    <t xml:space="preserve">Administrativo do CD</t>
  </si>
  <si>
    <t xml:space="preserve">Células em amarelo são editáveis. NÃO mova linhas/colunas desta aba: o script lê B5:C9, D12:D16 e A12:A40 (setores — só nomes de setor nessa faixa).</t>
  </si>
  <si>
    <t xml:space="preserve">Para editar setores, SOBRESCREVA ou LIMPE células (Delete). Não exclua linhas — se o menu suspenso quebrar, use GSL Bartofil &gt; Reaplicar lista de setores.</t>
  </si>
  <si>
    <t xml:space="preserve">07 · JULHO 2026 — CALENDÁRIO OPERACIONAL</t>
  </si>
  <si>
    <t xml:space="preserve">JUL</t>
  </si>
  <si>
    <t xml:space="preserve">DOM</t>
  </si>
  <si>
    <t xml:space="preserve">SEG</t>
  </si>
  <si>
    <t xml:space="preserve">TER</t>
  </si>
  <si>
    <t xml:space="preserve">SÁB</t>
  </si>
  <si>
    <t xml:space="preserve">Amarelo = hoje · Azul = dia com prazo · Vermelho = dia com atraso · SEX (verde) = reunião com a gerência — o marco da semana</t>
  </si>
  <si>
    <t xml:space="preserve">GESTÃO DE ATIVIDADES — este calendário controla APENAS atividades. Faltas, atestados, erros e metas ficam na planilha GSL-DADOS (nenhum dado de pessoa entra aqui).</t>
  </si>
  <si>
    <t xml:space="preserve">ID</t>
  </si>
  <si>
    <t xml:space="preserve">SEM.</t>
  </si>
  <si>
    <t xml:space="preserve">PRAZO</t>
  </si>
  <si>
    <t xml:space="preserve">ATIVIDADE</t>
  </si>
  <si>
    <t xml:space="preserve">COORDENADOR</t>
  </si>
  <si>
    <t xml:space="preserve">SETOR (vistoria)</t>
  </si>
  <si>
    <t xml:space="preserve">LINK DO ANEXO (ENTREGA)</t>
  </si>
  <si>
    <t xml:space="preserve">ENTREGUE EM</t>
  </si>
  <si>
    <t xml:space="preserve">VALIDAÇÃO</t>
  </si>
  <si>
    <t xml:space="preserve">MOTIVO REPROV./CANCEL.</t>
  </si>
  <si>
    <t xml:space="preserve">STATUS</t>
  </si>
  <si>
    <t xml:space="preserve">fL</t>
  </si>
  <si>
    <t xml:space="preserve">fA</t>
  </si>
  <si>
    <t xml:space="preserve">fE</t>
  </si>
  <si>
    <t xml:space="preserve">TREINAMENTOS PROGRAMADOS PELO GERENTE — preencha o PRAZO (e complete o tema); o turno é avisado por e-mail na hora</t>
  </si>
  <si>
    <t xml:space="preserve">Treinamento com Colaboradores — tema: </t>
  </si>
  <si>
    <t xml:space="preserve">Todos</t>
  </si>
  <si>
    <t xml:space="preserve">Gerência + coordenadores</t>
  </si>
  <si>
    <t xml:space="preserve">—</t>
  </si>
  <si>
    <t xml:space="preserve">Amarelo = o GERENTE edita (prazo, setor da vistoria, validação, motivo, tema do treinamento) · Azul-claro = o COORDENADOR anexa a entrega. Semanas que não caem neste mês aparecem como linhas vazias — é normal.</t>
  </si>
  <si>
    <t xml:space="preserve">08 · AGOSTO 2026 — CALENDÁRIO OPERACIONAL</t>
  </si>
  <si>
    <t xml:space="preserve">AGO</t>
  </si>
  <si>
    <t xml:space="preserve">09 · SETEMBRO 2026 — CALENDÁRIO OPERACIONAL</t>
  </si>
  <si>
    <t xml:space="preserve">SET</t>
  </si>
  <si>
    <t xml:space="preserve">10 · OUTUBRO 2026 — CALENDÁRIO OPERACIONAL</t>
  </si>
  <si>
    <t xml:space="preserve">OUT</t>
  </si>
  <si>
    <t xml:space="preserve">11 · NOVEMBRO 2026 — CALENDÁRIO OPERACIONAL</t>
  </si>
  <si>
    <t xml:space="preserve">NOV</t>
  </si>
  <si>
    <t xml:space="preserve">12 · DEZEMBRO 2026 — CALENDÁRIO OPERACIONAL</t>
  </si>
  <si>
    <t xml:space="preserve">DEZ</t>
  </si>
  <si>
    <t xml:space="preserve">MODELO — NÃO EDITAR · o script duplica esta aba para criar novos meses</t>
  </si>
  <si>
    <t xml:space="preserve">JAN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</si>
</sst>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m/d/yyyy"/>
    <numFmt numFmtId="168" formatCode="d"/>
    <numFmt numFmtId="169" formatCode="m/d/yyyy\ h:mm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111785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.5"/>
      <color rgb="FF222222"/>
      <name val="Arial"/>
      <family val="0"/>
      <charset val="1"/>
    </font>
    <font>
      <sz val="9.5"/>
      <color rgb="FF222222"/>
      <name val="Arial"/>
      <family val="0"/>
      <charset val="1"/>
    </font>
    <font>
      <sz val="9.5"/>
      <color rgb="FF6B7280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8.5"/>
      <color rgb="FF6B7280"/>
      <name val="Arial"/>
      <family val="0"/>
      <charset val="1"/>
    </font>
    <font>
      <sz val="8.5"/>
      <color rgb="FF6B7280"/>
      <name val="Arial"/>
      <family val="0"/>
      <charset val="1"/>
    </font>
    <font>
      <b val="true"/>
      <sz val="16"/>
      <color rgb="FF111785"/>
      <name val="Arial"/>
      <family val="0"/>
      <charset val="1"/>
    </font>
    <font>
      <b val="true"/>
      <sz val="16"/>
      <color rgb="FFD71920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8"/>
      <color rgb="FF9CA3A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111785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7.5"/>
      <color rgb="FF111785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9"/>
      <color rgb="FF111785"/>
      <name val="Arial"/>
      <family val="0"/>
      <charset val="1"/>
    </font>
    <font>
      <b val="true"/>
      <sz val="9.5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11785"/>
        <bgColor rgb="FF000080"/>
      </patternFill>
    </fill>
    <fill>
      <patternFill patternType="solid">
        <fgColor rgb="FF01973A"/>
        <bgColor rgb="FF00B050"/>
      </patternFill>
    </fill>
    <fill>
      <patternFill patternType="solid">
        <fgColor rgb="FFFFEE03"/>
        <bgColor rgb="FFFFFF00"/>
      </patternFill>
    </fill>
    <fill>
      <patternFill patternType="solid">
        <fgColor rgb="FFFFF6BF"/>
        <bgColor rgb="FFF3F4F6"/>
      </patternFill>
    </fill>
    <fill>
      <patternFill patternType="solid">
        <fgColor rgb="FFF8F9FC"/>
        <bgColor rgb="FFF3F4F6"/>
      </patternFill>
    </fill>
    <fill>
      <patternFill patternType="solid">
        <fgColor rgb="FF2A2F8F"/>
        <bgColor rgb="FF111785"/>
      </patternFill>
    </fill>
    <fill>
      <patternFill patternType="solid">
        <fgColor rgb="FFDDEBFF"/>
        <bgColor rgb="FFE3E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D71920"/>
        <sz val="9"/>
      </font>
    </dxf>
    <dxf>
      <font>
        <name val="Arial"/>
        <charset val="1"/>
        <family val="0"/>
        <b val="1"/>
        <color rgb="FFD71920"/>
        <sz val="9"/>
      </font>
      <fill>
        <patternFill>
          <bgColor rgb="FFFBDCDC"/>
        </patternFill>
      </fill>
    </dxf>
    <dxf>
      <font>
        <name val="Arial"/>
        <charset val="1"/>
        <family val="0"/>
        <b val="1"/>
        <color rgb="FF01652A"/>
        <sz val="9"/>
      </font>
      <fill>
        <patternFill>
          <bgColor rgb="FFDCF3E6"/>
        </patternFill>
      </fill>
    </dxf>
    <dxf>
      <font>
        <name val="Arial"/>
        <charset val="1"/>
        <family val="0"/>
        <b val="1"/>
        <color rgb="FF01973A"/>
        <sz val="10"/>
      </font>
    </dxf>
    <dxf>
      <font>
        <name val="Arial"/>
        <charset val="1"/>
        <family val="0"/>
        <color rgb="FF01652A"/>
        <sz val="9"/>
      </font>
      <fill>
        <patternFill>
          <bgColor rgb="FFDCF3E6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01973A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111785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D7192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E8590C"/>
        </patternFill>
      </fill>
    </dxf>
    <dxf>
      <font>
        <name val="Arial"/>
        <charset val="1"/>
        <family val="0"/>
        <b val="1"/>
        <color rgb="FF374151"/>
        <sz val="9"/>
      </font>
      <fill>
        <patternFill>
          <bgColor rgb="FFF3F4F6"/>
        </patternFill>
      </fill>
    </dxf>
    <dxf>
      <font>
        <name val="Arial"/>
        <charset val="1"/>
        <family val="0"/>
        <b val="1"/>
        <color rgb="FF6B7280"/>
        <sz val="9"/>
      </font>
      <fill>
        <patternFill>
          <bgColor rgb="FFE5E7EB"/>
        </patternFill>
      </fill>
    </dxf>
    <dxf>
      <fill>
        <patternFill>
          <bgColor rgb="FFFFEE03"/>
        </patternFill>
      </fill>
    </dxf>
    <dxf>
      <fill>
        <patternFill>
          <bgColor rgb="FFFBDCDC"/>
        </patternFill>
      </fill>
    </dxf>
    <dxf>
      <fill>
        <patternFill>
          <bgColor rgb="FFE3E6FF"/>
        </patternFill>
      </fill>
    </dxf>
  </dxfs>
  <colors>
    <indexedColors>
      <rgbColor rgb="FF000000"/>
      <rgbColor rgb="FFFFFFFF"/>
      <rgbColor rgb="FFD71920"/>
      <rgbColor rgb="FF00FF00"/>
      <rgbColor rgb="FF0000FF"/>
      <rgbColor rgb="FFFFFF00"/>
      <rgbColor rgb="FFFF00FF"/>
      <rgbColor rgb="FF00FFFF"/>
      <rgbColor rgb="FF800000"/>
      <rgbColor rgb="FF01652A"/>
      <rgbColor rgb="FF111785"/>
      <rgbColor rgb="FF808000"/>
      <rgbColor rgb="FF800080"/>
      <rgbColor rgb="FF01973A"/>
      <rgbColor rgb="FFE3E6FF"/>
      <rgbColor rgb="FF808080"/>
      <rgbColor rgb="FF9999FF"/>
      <rgbColor rgb="FF993366"/>
      <rgbColor rgb="FFFFF6BF"/>
      <rgbColor rgb="FFDCF3E6"/>
      <rgbColor rgb="FF660066"/>
      <rgbColor rgb="FFFF8080"/>
      <rgbColor rgb="FF0070C0"/>
      <rgbColor rgb="FFD8DEE9"/>
      <rgbColor rgb="FF000080"/>
      <rgbColor rgb="FFFF00FF"/>
      <rgbColor rgb="FFFFEE03"/>
      <rgbColor rgb="FF00FFFF"/>
      <rgbColor rgb="FF800080"/>
      <rgbColor rgb="FF800000"/>
      <rgbColor rgb="FF008080"/>
      <rgbColor rgb="FF0000FF"/>
      <rgbColor rgb="FF00CCFF"/>
      <rgbColor rgb="FFDDEBFF"/>
      <rgbColor rgb="FFE5E7EB"/>
      <rgbColor rgb="FFF3F4F6"/>
      <rgbColor rgb="FFF8F9FC"/>
      <rgbColor rgb="FFFF99CC"/>
      <rgbColor rgb="FFCC99FF"/>
      <rgbColor rgb="FFFBDCDC"/>
      <rgbColor rgb="FF3366FF"/>
      <rgbColor rgb="FF33CCCC"/>
      <rgbColor rgb="FF99CC00"/>
      <rgbColor rgb="FFFFCC00"/>
      <rgbColor rgb="FFFF9900"/>
      <rgbColor rgb="FFE8590C"/>
      <rgbColor rgb="FF6B7280"/>
      <rgbColor rgb="FF9CA3AF"/>
      <rgbColor rgb="FF003366"/>
      <rgbColor rgb="FF00B050"/>
      <rgbColor rgb="FF003300"/>
      <rgbColor rgb="FF222222"/>
      <rgbColor rgb="FF993300"/>
      <rgbColor rgb="FF993366"/>
      <rgbColor rgb="FF2A2F8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2</xdr:col>
      <xdr:colOff>2399760</xdr:colOff>
      <xdr:row>0</xdr:row>
      <xdr:rowOff>818280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453840" y="0"/>
          <a:ext cx="2399760" cy="818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3</xdr:col>
      <xdr:colOff>1599480</xdr:colOff>
      <xdr:row>0</xdr:row>
      <xdr:rowOff>542160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6061680" y="0"/>
          <a:ext cx="1599480" cy="542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9</xdr:col>
      <xdr:colOff>189720</xdr:colOff>
      <xdr:row>0</xdr:row>
      <xdr:rowOff>542160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5709240" y="0"/>
          <a:ext cx="1599480" cy="542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0</xdr:row>
      <xdr:rowOff>0</xdr:rowOff>
    </xdr:from>
    <xdr:to>
      <xdr:col>24</xdr:col>
      <xdr:colOff>246960</xdr:colOff>
      <xdr:row>0</xdr:row>
      <xdr:rowOff>542160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3884120" y="0"/>
          <a:ext cx="1585080" cy="542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0</xdr:row>
      <xdr:rowOff>0</xdr:rowOff>
    </xdr:from>
    <xdr:to>
      <xdr:col>24</xdr:col>
      <xdr:colOff>246960</xdr:colOff>
      <xdr:row>0</xdr:row>
      <xdr:rowOff>542160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3884120" y="0"/>
          <a:ext cx="1585080" cy="542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0</xdr:row>
      <xdr:rowOff>0</xdr:rowOff>
    </xdr:from>
    <xdr:to>
      <xdr:col>24</xdr:col>
      <xdr:colOff>246960</xdr:colOff>
      <xdr:row>0</xdr:row>
      <xdr:rowOff>542160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3884120" y="0"/>
          <a:ext cx="1585080" cy="542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0</xdr:row>
      <xdr:rowOff>0</xdr:rowOff>
    </xdr:from>
    <xdr:to>
      <xdr:col>24</xdr:col>
      <xdr:colOff>246960</xdr:colOff>
      <xdr:row>0</xdr:row>
      <xdr:rowOff>542160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3884120" y="0"/>
          <a:ext cx="1585080" cy="542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0</xdr:row>
      <xdr:rowOff>0</xdr:rowOff>
    </xdr:from>
    <xdr:to>
      <xdr:col>24</xdr:col>
      <xdr:colOff>246960</xdr:colOff>
      <xdr:row>0</xdr:row>
      <xdr:rowOff>542160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3884120" y="0"/>
          <a:ext cx="1585080" cy="542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0</xdr:row>
      <xdr:rowOff>0</xdr:rowOff>
    </xdr:from>
    <xdr:to>
      <xdr:col>24</xdr:col>
      <xdr:colOff>246960</xdr:colOff>
      <xdr:row>0</xdr:row>
      <xdr:rowOff>542160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3884120" y="0"/>
          <a:ext cx="1585080" cy="542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56"/>
  </cols>
  <sheetData>
    <row r="1" customFormat="false" ht="66" hidden="false" customHeight="true" outlineLevel="0" collapsed="false">
      <c r="A1" s="1" t="s">
        <v>0</v>
      </c>
      <c r="B1" s="1"/>
      <c r="C1" s="2"/>
    </row>
    <row r="2" customFormat="false" ht="4.5" hidden="false" customHeight="true" outlineLevel="0" collapsed="false">
      <c r="A2" s="3"/>
      <c r="B2" s="4"/>
      <c r="C2" s="4"/>
    </row>
    <row r="3" customFormat="false" ht="23.25" hidden="false" customHeight="true" outlineLevel="0" collapsed="false">
      <c r="A3" s="5" t="s">
        <v>1</v>
      </c>
      <c r="B3" s="5"/>
      <c r="C3" s="5"/>
    </row>
    <row r="5" customFormat="false" ht="19.5" hidden="false" customHeight="true" outlineLevel="0" collapsed="false">
      <c r="A5" s="6" t="s">
        <v>2</v>
      </c>
      <c r="B5" s="6"/>
      <c r="C5" s="6"/>
    </row>
    <row r="6" customFormat="false" ht="33.75" hidden="false" customHeight="true" outlineLevel="0" collapsed="false">
      <c r="A6" s="7" t="s">
        <v>3</v>
      </c>
      <c r="B6" s="8" t="s">
        <v>4</v>
      </c>
      <c r="C6" s="9" t="s">
        <v>5</v>
      </c>
    </row>
    <row r="7" customFormat="false" ht="33.75" hidden="false" customHeight="true" outlineLevel="0" collapsed="false">
      <c r="A7" s="7" t="s">
        <v>6</v>
      </c>
      <c r="B7" s="8" t="s">
        <v>7</v>
      </c>
      <c r="C7" s="9" t="s">
        <v>8</v>
      </c>
    </row>
    <row r="8" customFormat="false" ht="33.75" hidden="false" customHeight="true" outlineLevel="0" collapsed="false">
      <c r="A8" s="10" t="s">
        <v>9</v>
      </c>
      <c r="B8" s="8" t="s">
        <v>10</v>
      </c>
      <c r="C8" s="9" t="s">
        <v>11</v>
      </c>
    </row>
    <row r="9" customFormat="false" ht="15" hidden="false" customHeight="true" outlineLevel="0" collapsed="false">
      <c r="B9" s="11" t="s">
        <v>12</v>
      </c>
      <c r="C9" s="11"/>
    </row>
    <row r="11" customFormat="false" ht="19.5" hidden="false" customHeight="true" outlineLevel="0" collapsed="false">
      <c r="A11" s="6" t="s">
        <v>13</v>
      </c>
      <c r="B11" s="6"/>
      <c r="C11" s="6"/>
    </row>
    <row r="12" customFormat="false" ht="25.5" hidden="false" customHeight="true" outlineLevel="0" collapsed="false">
      <c r="A12" s="12" t="s">
        <v>14</v>
      </c>
      <c r="B12" s="13" t="s">
        <v>15</v>
      </c>
      <c r="C12" s="14" t="s">
        <v>16</v>
      </c>
    </row>
    <row r="13" customFormat="false" ht="25.5" hidden="false" customHeight="true" outlineLevel="0" collapsed="false">
      <c r="A13" s="12" t="s">
        <v>17</v>
      </c>
      <c r="B13" s="13" t="s">
        <v>18</v>
      </c>
      <c r="C13" s="14" t="s">
        <v>16</v>
      </c>
    </row>
    <row r="14" customFormat="false" ht="15" hidden="false" customHeight="false" outlineLevel="0" collapsed="false">
      <c r="B14" s="15" t="s">
        <v>19</v>
      </c>
    </row>
    <row r="16" customFormat="false" ht="19.5" hidden="false" customHeight="true" outlineLevel="0" collapsed="false">
      <c r="A16" s="16" t="s">
        <v>20</v>
      </c>
      <c r="B16" s="16"/>
      <c r="C16" s="16"/>
    </row>
    <row r="17" customFormat="false" ht="33.75" hidden="false" customHeight="true" outlineLevel="0" collapsed="false">
      <c r="B17" s="17" t="s">
        <v>21</v>
      </c>
      <c r="C17" s="9" t="s">
        <v>22</v>
      </c>
    </row>
    <row r="18" customFormat="false" ht="33.75" hidden="false" customHeight="true" outlineLevel="0" collapsed="false">
      <c r="B18" s="17" t="s">
        <v>23</v>
      </c>
      <c r="C18" s="9" t="s">
        <v>24</v>
      </c>
    </row>
    <row r="19" customFormat="false" ht="33.75" hidden="false" customHeight="true" outlineLevel="0" collapsed="false">
      <c r="B19" s="17" t="s">
        <v>25</v>
      </c>
      <c r="C19" s="9" t="s">
        <v>26</v>
      </c>
    </row>
    <row r="20" customFormat="false" ht="33.75" hidden="false" customHeight="true" outlineLevel="0" collapsed="false">
      <c r="B20" s="17" t="s">
        <v>27</v>
      </c>
      <c r="C20" s="9" t="s">
        <v>28</v>
      </c>
    </row>
    <row r="21" customFormat="false" ht="33.75" hidden="false" customHeight="true" outlineLevel="0" collapsed="false">
      <c r="B21" s="17" t="s">
        <v>29</v>
      </c>
      <c r="C21" s="9" t="s">
        <v>30</v>
      </c>
    </row>
    <row r="22" customFormat="false" ht="33.75" hidden="false" customHeight="true" outlineLevel="0" collapsed="false">
      <c r="B22" s="17" t="s">
        <v>31</v>
      </c>
      <c r="C22" s="9" t="s">
        <v>32</v>
      </c>
    </row>
    <row r="23" customFormat="false" ht="33.75" hidden="false" customHeight="true" outlineLevel="0" collapsed="false">
      <c r="B23" s="17"/>
      <c r="C23" s="9"/>
    </row>
    <row r="25" customFormat="false" ht="19.5" hidden="false" customHeight="true" outlineLevel="0" collapsed="false">
      <c r="A25" s="6" t="s">
        <v>33</v>
      </c>
      <c r="B25" s="6"/>
      <c r="C25" s="6"/>
    </row>
    <row r="26" customFormat="false" ht="15" hidden="false" customHeight="true" outlineLevel="0" collapsed="false">
      <c r="A26" s="12" t="s">
        <v>14</v>
      </c>
      <c r="B26" s="18" t="s">
        <v>34</v>
      </c>
      <c r="C26" s="18"/>
    </row>
    <row r="27" customFormat="false" ht="15" hidden="false" customHeight="true" outlineLevel="0" collapsed="false">
      <c r="A27" s="12" t="s">
        <v>17</v>
      </c>
      <c r="B27" s="18" t="s">
        <v>35</v>
      </c>
      <c r="C27" s="18"/>
    </row>
    <row r="28" customFormat="false" ht="15" hidden="false" customHeight="true" outlineLevel="0" collapsed="false">
      <c r="A28" s="12" t="s">
        <v>36</v>
      </c>
      <c r="B28" s="18" t="s">
        <v>37</v>
      </c>
      <c r="C28" s="18"/>
    </row>
    <row r="29" customFormat="false" ht="15" hidden="false" customHeight="true" outlineLevel="0" collapsed="false">
      <c r="A29" s="12" t="s">
        <v>38</v>
      </c>
      <c r="B29" s="18" t="s">
        <v>39</v>
      </c>
      <c r="C29" s="18"/>
    </row>
    <row r="30" customFormat="false" ht="15" hidden="false" customHeight="true" outlineLevel="0" collapsed="false">
      <c r="A30" s="12" t="s">
        <v>40</v>
      </c>
      <c r="B30" s="18" t="s">
        <v>41</v>
      </c>
      <c r="C30" s="18"/>
    </row>
    <row r="31" customFormat="false" ht="15" hidden="false" customHeight="true" outlineLevel="0" collapsed="false">
      <c r="A31" s="12" t="s">
        <v>42</v>
      </c>
      <c r="B31" s="18" t="s">
        <v>43</v>
      </c>
      <c r="C31" s="18"/>
    </row>
    <row r="32" customFormat="false" ht="23.25" hidden="false" customHeight="true" outlineLevel="0" collapsed="false">
      <c r="A32" s="12" t="s">
        <v>44</v>
      </c>
      <c r="B32" s="18" t="s">
        <v>45</v>
      </c>
      <c r="C32" s="18"/>
    </row>
    <row r="33" customFormat="false" ht="15" hidden="false" customHeight="true" outlineLevel="0" collapsed="false">
      <c r="A33" s="12" t="s">
        <v>46</v>
      </c>
      <c r="B33" s="18" t="s">
        <v>47</v>
      </c>
      <c r="C33" s="18"/>
    </row>
    <row r="35" customFormat="false" ht="15" hidden="false" customHeight="false" outlineLevel="0" collapsed="false">
      <c r="B35" s="15" t="s">
        <v>48</v>
      </c>
    </row>
  </sheetData>
  <mergeCells count="15">
    <mergeCell ref="A1:B1"/>
    <mergeCell ref="A3:C3"/>
    <mergeCell ref="A5:C5"/>
    <mergeCell ref="B9:C9"/>
    <mergeCell ref="A11:C11"/>
    <mergeCell ref="A16:C16"/>
    <mergeCell ref="A25:C25"/>
    <mergeCell ref="B26:C26"/>
    <mergeCell ref="B27:C27"/>
    <mergeCell ref="B28:C28"/>
    <mergeCell ref="B29:C29"/>
    <mergeCell ref="B30:C30"/>
    <mergeCell ref="B31:C31"/>
    <mergeCell ref="B32:C3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64"/>
    <col collapsed="false" customWidth="true" hidden="false" outlineLevel="0" max="4" min="4" style="0" width="52"/>
  </cols>
  <sheetData>
    <row r="1" customFormat="false" ht="45.75" hidden="false" customHeight="true" outlineLevel="0" collapsed="false">
      <c r="A1" s="1" t="s">
        <v>49</v>
      </c>
      <c r="B1" s="1"/>
      <c r="C1" s="2"/>
      <c r="D1" s="2"/>
    </row>
    <row r="2" customFormat="false" ht="4.5" hidden="false" customHeight="true" outlineLevel="0" collapsed="false">
      <c r="A2" s="3"/>
      <c r="B2" s="3"/>
      <c r="C2" s="4"/>
      <c r="D2" s="4"/>
    </row>
    <row r="3" customFormat="false" ht="42" hidden="false" customHeight="true" outlineLevel="0" collapsed="false">
      <c r="A3" s="11" t="s">
        <v>50</v>
      </c>
      <c r="B3" s="11"/>
      <c r="C3" s="11"/>
      <c r="D3" s="11"/>
    </row>
    <row r="5" customFormat="false" ht="15" hidden="false" customHeight="false" outlineLevel="0" collapsed="false">
      <c r="A5" s="19" t="s">
        <v>51</v>
      </c>
      <c r="B5" s="19" t="s">
        <v>52</v>
      </c>
      <c r="C5" s="19" t="s">
        <v>53</v>
      </c>
      <c r="D5" s="19" t="s">
        <v>54</v>
      </c>
    </row>
    <row r="6" customFormat="false" ht="15" hidden="false" customHeight="false" outlineLevel="0" collapsed="false">
      <c r="C6" s="20" t="s">
        <v>55</v>
      </c>
    </row>
  </sheetData>
  <mergeCells count="2">
    <mergeCell ref="A1:B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8" min="7" style="0" width="10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true" outlineLevel="0" max="12" min="12" style="0" width="11"/>
    <col collapsed="false" customWidth="true" hidden="true" outlineLevel="0" max="15" min="13" style="0" width="13"/>
  </cols>
  <sheetData>
    <row r="1" customFormat="false" ht="45.7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2"/>
      <c r="I1" s="2"/>
      <c r="J1" s="2"/>
    </row>
    <row r="2" customFormat="false" ht="4.5" hidden="false" customHeight="true" outlineLevel="0" collapsed="false">
      <c r="A2" s="3"/>
      <c r="B2" s="3"/>
      <c r="C2" s="3"/>
      <c r="D2" s="3"/>
      <c r="E2" s="3"/>
      <c r="F2" s="4"/>
      <c r="G2" s="4"/>
      <c r="H2" s="4"/>
      <c r="I2" s="4"/>
      <c r="J2" s="4"/>
    </row>
    <row r="3" customFormat="false" ht="15" hidden="false" customHeight="false" outlineLevel="0" collapsed="false">
      <c r="A3" s="21" t="s">
        <v>57</v>
      </c>
      <c r="C3" s="21" t="s">
        <v>58</v>
      </c>
      <c r="E3" s="21" t="s">
        <v>59</v>
      </c>
      <c r="G3" s="21" t="s">
        <v>60</v>
      </c>
      <c r="I3" s="22" t="str">
        <f aca="true">TEXT(TODAY(),"dd/mm/yyyy")&amp;" — visão geral"</f>
        <v>05/08/2026 — visão geral</v>
      </c>
    </row>
    <row r="4" customFormat="false" ht="20.25" hidden="false" customHeight="true" outlineLevel="0" collapsed="false">
      <c r="A4" s="23" t="n">
        <f aca="false">SUM(B8:B25)</f>
        <v>212</v>
      </c>
      <c r="C4" s="23" t="n">
        <f aca="false">SUM(C8:C25)</f>
        <v>0</v>
      </c>
      <c r="E4" s="24" t="n">
        <f aca="false">SUM(F8:F25)</f>
        <v>42</v>
      </c>
      <c r="G4" s="25" t="n">
        <f aca="false">IF(SUM(B8:B25)=0,0,SUM(C8:C25)/SUM(B8:B25))</f>
        <v>0</v>
      </c>
    </row>
    <row r="6" customFormat="false" ht="15" hidden="false" customHeight="false" outlineLevel="0" collapsed="false">
      <c r="A6" s="26" t="s">
        <v>61</v>
      </c>
    </row>
    <row r="7" customFormat="false" ht="22.5" hidden="false" customHeight="true" outlineLevel="0" collapsed="false">
      <c r="A7" s="19" t="s">
        <v>62</v>
      </c>
      <c r="B7" s="19" t="s">
        <v>63</v>
      </c>
      <c r="C7" s="19" t="s">
        <v>64</v>
      </c>
      <c r="D7" s="19" t="s">
        <v>65</v>
      </c>
      <c r="E7" s="19" t="s">
        <v>66</v>
      </c>
      <c r="F7" s="19" t="s">
        <v>67</v>
      </c>
      <c r="G7" s="19" t="s">
        <v>68</v>
      </c>
      <c r="H7" s="19" t="s">
        <v>69</v>
      </c>
      <c r="I7" s="19" t="s">
        <v>70</v>
      </c>
      <c r="J7" s="19" t="s">
        <v>71</v>
      </c>
    </row>
    <row r="8" customFormat="false" ht="24" hidden="false" customHeight="true" outlineLevel="0" collapsed="false">
      <c r="A8" s="27" t="str">
        <f aca="false">CHOOSE(MONTH($L8),"JAN","FEV","MAR","ABR","MAI","JUN","JUL","AGO","SET","OUT","NOV","DEZ")&amp;" "&amp;YEAR($L8)</f>
        <v>JUL 2026</v>
      </c>
      <c r="B8" s="28" t="n">
        <f aca="true">IFERROR(COUNTIF(INDIRECT("'"&amp;$A8&amp;"'!$S$22:$S$150"),"Aprovada"),0)+IFERROR(COUNTIF(INDIRECT("'"&amp;$A8&amp;"'!$S$22:$S$150"),"Entregue"),0)+IFERROR(COUNTIF(INDIRECT("'"&amp;$A8&amp;"'!$S$22:$S$150"),"Pendente"),0)+IFERROR(COUNTIF(INDIRECT("'"&amp;$A8&amp;"'!$S$22:$S$150"),"Atrasada"),0)+IFERROR(COUNTIF(INDIRECT("'"&amp;$A8&amp;"'!$S$22:$S$150"),"Reprovada"),0)</f>
        <v>39</v>
      </c>
      <c r="C8" s="28" t="n">
        <f aca="true">IFERROR(COUNTIF(INDIRECT("'"&amp;$A8&amp;"'!$S$22:$S$150"),"Aprovada"),0)</f>
        <v>0</v>
      </c>
      <c r="D8" s="28" t="n">
        <f aca="true">IFERROR(COUNTIF(INDIRECT("'"&amp;$A8&amp;"'!$S$22:$S$150"),"Entregue"),0)</f>
        <v>0</v>
      </c>
      <c r="E8" s="28" t="n">
        <f aca="true">IFERROR(COUNTIF(INDIRECT("'"&amp;$A8&amp;"'!$S$22:$S$150"),"Pendente"),0)</f>
        <v>0</v>
      </c>
      <c r="F8" s="28" t="n">
        <f aca="true">IFERROR(COUNTIF(INDIRECT("'"&amp;$A8&amp;"'!$S$22:$S$150"),"Atrasada"),0)</f>
        <v>39</v>
      </c>
      <c r="G8" s="28" t="n">
        <f aca="true">IFERROR(COUNTIF(INDIRECT("'"&amp;$A8&amp;"'!$S$22:$S$150"),"Reprovada"),0)</f>
        <v>0</v>
      </c>
      <c r="H8" s="29" t="n">
        <f aca="false">IF($B8=0,0,$C8/$B8)</f>
        <v>0</v>
      </c>
      <c r="I8" s="28" t="str">
        <f aca="false">IF($B8=0,"",REPT("█",ROUND($H8*15,0))&amp;REPT("░",15-ROUND($H8*15,0)))</f>
        <v>░░░░░░░░░░░░░░░</v>
      </c>
      <c r="J8" s="30" t="str">
        <f aca="false">IF($B8=0,"—",IF($C8=$B8,"Concluído",IF($F8&gt;0,"Com atrasos","Em andamento")))</f>
        <v>Com atrasos</v>
      </c>
      <c r="L8" s="31" t="n">
        <f aca="false">EDATE(DATE(2026,7,1),0)</f>
        <v>46204</v>
      </c>
    </row>
    <row r="9" customFormat="false" ht="24" hidden="false" customHeight="true" outlineLevel="0" collapsed="false">
      <c r="A9" s="9" t="str">
        <f aca="false">CHOOSE(MONTH($L9),"JAN","FEV","MAR","ABR","MAI","JUN","JUL","AGO","SET","OUT","NOV","DEZ")&amp;" "&amp;YEAR($L9)</f>
        <v>AGO 2026</v>
      </c>
      <c r="B9" s="32" t="n">
        <f aca="true">IFERROR(COUNTIF(INDIRECT("'"&amp;$A9&amp;"'!$S$22:$S$150"),"Aprovada"),0)+IFERROR(COUNTIF(INDIRECT("'"&amp;$A9&amp;"'!$S$22:$S$150"),"Entregue"),0)+IFERROR(COUNTIF(INDIRECT("'"&amp;$A9&amp;"'!$S$22:$S$150"),"Pendente"),0)+IFERROR(COUNTIF(INDIRECT("'"&amp;$A9&amp;"'!$S$22:$S$150"),"Atrasada"),0)+IFERROR(COUNTIF(INDIRECT("'"&amp;$A9&amp;"'!$S$22:$S$150"),"Reprovada"),0)</f>
        <v>32</v>
      </c>
      <c r="C9" s="32" t="n">
        <f aca="true">IFERROR(COUNTIF(INDIRECT("'"&amp;$A9&amp;"'!$S$22:$S$150"),"Aprovada"),0)</f>
        <v>0</v>
      </c>
      <c r="D9" s="32" t="n">
        <f aca="true">IFERROR(COUNTIF(INDIRECT("'"&amp;$A9&amp;"'!$S$22:$S$150"),"Entregue"),0)</f>
        <v>0</v>
      </c>
      <c r="E9" s="32" t="n">
        <f aca="true">IFERROR(COUNTIF(INDIRECT("'"&amp;$A9&amp;"'!$S$22:$S$150"),"Pendente"),0)</f>
        <v>29</v>
      </c>
      <c r="F9" s="32" t="n">
        <f aca="true">IFERROR(COUNTIF(INDIRECT("'"&amp;$A9&amp;"'!$S$22:$S$150"),"Atrasada"),0)</f>
        <v>3</v>
      </c>
      <c r="G9" s="32" t="n">
        <f aca="true">IFERROR(COUNTIF(INDIRECT("'"&amp;$A9&amp;"'!$S$22:$S$150"),"Reprovada"),0)</f>
        <v>0</v>
      </c>
      <c r="H9" s="33" t="n">
        <f aca="false">IF($B9=0,0,$C9/$B9)</f>
        <v>0</v>
      </c>
      <c r="I9" s="32" t="str">
        <f aca="false">IF($B9=0,"",REPT("█",ROUND($H9*15,0))&amp;REPT("░",15-ROUND($H9*15,0)))</f>
        <v>░░░░░░░░░░░░░░░</v>
      </c>
      <c r="J9" s="34" t="str">
        <f aca="false">IF($B9=0,"—",IF($C9=$B9,"Concluído",IF($F9&gt;0,"Com atrasos","Em andamento")))</f>
        <v>Com atrasos</v>
      </c>
      <c r="L9" s="31" t="n">
        <f aca="false">EDATE(DATE(2026,7,1),1)</f>
        <v>46235</v>
      </c>
    </row>
    <row r="10" customFormat="false" ht="24" hidden="false" customHeight="true" outlineLevel="0" collapsed="false">
      <c r="A10" s="27" t="str">
        <f aca="false">CHOOSE(MONTH($L10),"JAN","FEV","MAR","ABR","MAI","JUN","JUL","AGO","SET","OUT","NOV","DEZ")&amp;" "&amp;YEAR($L10)</f>
        <v>SET 2026</v>
      </c>
      <c r="B10" s="28" t="n">
        <f aca="true">IFERROR(COUNTIF(INDIRECT("'"&amp;$A10&amp;"'!$S$22:$S$150"),"Aprovada"),0)+IFERROR(COUNTIF(INDIRECT("'"&amp;$A10&amp;"'!$S$22:$S$150"),"Entregue"),0)+IFERROR(COUNTIF(INDIRECT("'"&amp;$A10&amp;"'!$S$22:$S$150"),"Pendente"),0)+IFERROR(COUNTIF(INDIRECT("'"&amp;$A10&amp;"'!$S$22:$S$150"),"Atrasada"),0)+IFERROR(COUNTIF(INDIRECT("'"&amp;$A10&amp;"'!$S$22:$S$150"),"Reprovada"),0)</f>
        <v>35</v>
      </c>
      <c r="C10" s="28" t="n">
        <f aca="true">IFERROR(COUNTIF(INDIRECT("'"&amp;$A10&amp;"'!$S$22:$S$150"),"Aprovada"),0)</f>
        <v>0</v>
      </c>
      <c r="D10" s="28" t="n">
        <f aca="true">IFERROR(COUNTIF(INDIRECT("'"&amp;$A10&amp;"'!$S$22:$S$150"),"Entregue"),0)</f>
        <v>0</v>
      </c>
      <c r="E10" s="28" t="n">
        <f aca="true">IFERROR(COUNTIF(INDIRECT("'"&amp;$A10&amp;"'!$S$22:$S$150"),"Pendente"),0)</f>
        <v>35</v>
      </c>
      <c r="F10" s="28" t="n">
        <f aca="true">IFERROR(COUNTIF(INDIRECT("'"&amp;$A10&amp;"'!$S$22:$S$150"),"Atrasada"),0)</f>
        <v>0</v>
      </c>
      <c r="G10" s="28" t="n">
        <f aca="true">IFERROR(COUNTIF(INDIRECT("'"&amp;$A10&amp;"'!$S$22:$S$150"),"Reprovada"),0)</f>
        <v>0</v>
      </c>
      <c r="H10" s="29" t="n">
        <f aca="false">IF($B10=0,0,$C10/$B10)</f>
        <v>0</v>
      </c>
      <c r="I10" s="28" t="str">
        <f aca="false">IF($B10=0,"",REPT("█",ROUND($H10*15,0))&amp;REPT("░",15-ROUND($H10*15,0)))</f>
        <v>░░░░░░░░░░░░░░░</v>
      </c>
      <c r="J10" s="30" t="str">
        <f aca="false">IF($B10=0,"—",IF($C10=$B10,"Concluído",IF($F10&gt;0,"Com atrasos","Em andamento")))</f>
        <v>Em andamento</v>
      </c>
      <c r="L10" s="31" t="n">
        <f aca="false">EDATE(DATE(2026,7,1),2)</f>
        <v>46266</v>
      </c>
    </row>
    <row r="11" customFormat="false" ht="24" hidden="false" customHeight="true" outlineLevel="0" collapsed="false">
      <c r="A11" s="9" t="str">
        <f aca="false">CHOOSE(MONTH($L11),"JAN","FEV","MAR","ABR","MAI","JUN","JUL","AGO","SET","OUT","NOV","DEZ")&amp;" "&amp;YEAR($L11)</f>
        <v>OUT 2026</v>
      </c>
      <c r="B11" s="32" t="n">
        <f aca="true">IFERROR(COUNTIF(INDIRECT("'"&amp;$A11&amp;"'!$S$22:$S$150"),"Aprovada"),0)+IFERROR(COUNTIF(INDIRECT("'"&amp;$A11&amp;"'!$S$22:$S$150"),"Entregue"),0)+IFERROR(COUNTIF(INDIRECT("'"&amp;$A11&amp;"'!$S$22:$S$150"),"Pendente"),0)+IFERROR(COUNTIF(INDIRECT("'"&amp;$A11&amp;"'!$S$22:$S$150"),"Atrasada"),0)+IFERROR(COUNTIF(INDIRECT("'"&amp;$A11&amp;"'!$S$22:$S$150"),"Reprovada"),0)</f>
        <v>36</v>
      </c>
      <c r="C11" s="32" t="n">
        <f aca="true">IFERROR(COUNTIF(INDIRECT("'"&amp;$A11&amp;"'!$S$22:$S$150"),"Aprovada"),0)</f>
        <v>0</v>
      </c>
      <c r="D11" s="32" t="n">
        <f aca="true">IFERROR(COUNTIF(INDIRECT("'"&amp;$A11&amp;"'!$S$22:$S$150"),"Entregue"),0)</f>
        <v>0</v>
      </c>
      <c r="E11" s="32" t="n">
        <f aca="true">IFERROR(COUNTIF(INDIRECT("'"&amp;$A11&amp;"'!$S$22:$S$150"),"Pendente"),0)</f>
        <v>36</v>
      </c>
      <c r="F11" s="32" t="n">
        <f aca="true">IFERROR(COUNTIF(INDIRECT("'"&amp;$A11&amp;"'!$S$22:$S$150"),"Atrasada"),0)</f>
        <v>0</v>
      </c>
      <c r="G11" s="32" t="n">
        <f aca="true">IFERROR(COUNTIF(INDIRECT("'"&amp;$A11&amp;"'!$S$22:$S$150"),"Reprovada"),0)</f>
        <v>0</v>
      </c>
      <c r="H11" s="33" t="n">
        <f aca="false">IF($B11=0,0,$C11/$B11)</f>
        <v>0</v>
      </c>
      <c r="I11" s="32" t="str">
        <f aca="false">IF($B11=0,"",REPT("█",ROUND($H11*15,0))&amp;REPT("░",15-ROUND($H11*15,0)))</f>
        <v>░░░░░░░░░░░░░░░</v>
      </c>
      <c r="J11" s="34" t="str">
        <f aca="false">IF($B11=0,"—",IF($C11=$B11,"Concluído",IF($F11&gt;0,"Com atrasos","Em andamento")))</f>
        <v>Em andamento</v>
      </c>
      <c r="L11" s="31" t="n">
        <f aca="false">EDATE(DATE(2026,7,1),3)</f>
        <v>46296</v>
      </c>
    </row>
    <row r="12" customFormat="false" ht="24" hidden="false" customHeight="true" outlineLevel="0" collapsed="false">
      <c r="A12" s="27" t="str">
        <f aca="false">CHOOSE(MONTH($L12),"JAN","FEV","MAR","ABR","MAI","JUN","JUL","AGO","SET","OUT","NOV","DEZ")&amp;" "&amp;YEAR($L12)</f>
        <v>NOV 2026</v>
      </c>
      <c r="B12" s="28" t="n">
        <f aca="true">IFERROR(COUNTIF(INDIRECT("'"&amp;$A12&amp;"'!$S$22:$S$150"),"Aprovada"),0)+IFERROR(COUNTIF(INDIRECT("'"&amp;$A12&amp;"'!$S$22:$S$150"),"Entregue"),0)+IFERROR(COUNTIF(INDIRECT("'"&amp;$A12&amp;"'!$S$22:$S$150"),"Pendente"),0)+IFERROR(COUNTIF(INDIRECT("'"&amp;$A12&amp;"'!$S$22:$S$150"),"Atrasada"),0)+IFERROR(COUNTIF(INDIRECT("'"&amp;$A12&amp;"'!$S$22:$S$150"),"Reprovada"),0)</f>
        <v>32</v>
      </c>
      <c r="C12" s="28" t="n">
        <f aca="true">IFERROR(COUNTIF(INDIRECT("'"&amp;$A12&amp;"'!$S$22:$S$150"),"Aprovada"),0)</f>
        <v>0</v>
      </c>
      <c r="D12" s="28" t="n">
        <f aca="true">IFERROR(COUNTIF(INDIRECT("'"&amp;$A12&amp;"'!$S$22:$S$150"),"Entregue"),0)</f>
        <v>0</v>
      </c>
      <c r="E12" s="28" t="n">
        <f aca="true">IFERROR(COUNTIF(INDIRECT("'"&amp;$A12&amp;"'!$S$22:$S$150"),"Pendente"),0)</f>
        <v>32</v>
      </c>
      <c r="F12" s="28" t="n">
        <f aca="true">IFERROR(COUNTIF(INDIRECT("'"&amp;$A12&amp;"'!$S$22:$S$150"),"Atrasada"),0)</f>
        <v>0</v>
      </c>
      <c r="G12" s="28" t="n">
        <f aca="true">IFERROR(COUNTIF(INDIRECT("'"&amp;$A12&amp;"'!$S$22:$S$150"),"Reprovada"),0)</f>
        <v>0</v>
      </c>
      <c r="H12" s="29" t="n">
        <f aca="false">IF($B12=0,0,$C12/$B12)</f>
        <v>0</v>
      </c>
      <c r="I12" s="28" t="str">
        <f aca="false">IF($B12=0,"",REPT("█",ROUND($H12*15,0))&amp;REPT("░",15-ROUND($H12*15,0)))</f>
        <v>░░░░░░░░░░░░░░░</v>
      </c>
      <c r="J12" s="30" t="str">
        <f aca="false">IF($B12=0,"—",IF($C12=$B12,"Concluído",IF($F12&gt;0,"Com atrasos","Em andamento")))</f>
        <v>Em andamento</v>
      </c>
      <c r="L12" s="31" t="n">
        <f aca="false">EDATE(DATE(2026,7,1),4)</f>
        <v>46327</v>
      </c>
    </row>
    <row r="13" customFormat="false" ht="24" hidden="false" customHeight="true" outlineLevel="0" collapsed="false">
      <c r="A13" s="9" t="str">
        <f aca="false">CHOOSE(MONTH($L13),"JAN","FEV","MAR","ABR","MAI","JUN","JUL","AGO","SET","OUT","NOV","DEZ")&amp;" "&amp;YEAR($L13)</f>
        <v>DEZ 2026</v>
      </c>
      <c r="B13" s="32" t="n">
        <f aca="true">IFERROR(COUNTIF(INDIRECT("'"&amp;$A13&amp;"'!$S$22:$S$150"),"Aprovada"),0)+IFERROR(COUNTIF(INDIRECT("'"&amp;$A13&amp;"'!$S$22:$S$150"),"Entregue"),0)+IFERROR(COUNTIF(INDIRECT("'"&amp;$A13&amp;"'!$S$22:$S$150"),"Pendente"),0)+IFERROR(COUNTIF(INDIRECT("'"&amp;$A13&amp;"'!$S$22:$S$150"),"Atrasada"),0)+IFERROR(COUNTIF(INDIRECT("'"&amp;$A13&amp;"'!$S$22:$S$150"),"Reprovada"),0)</f>
        <v>38</v>
      </c>
      <c r="C13" s="32" t="n">
        <f aca="true">IFERROR(COUNTIF(INDIRECT("'"&amp;$A13&amp;"'!$S$22:$S$150"),"Aprovada"),0)</f>
        <v>0</v>
      </c>
      <c r="D13" s="32" t="n">
        <f aca="true">IFERROR(COUNTIF(INDIRECT("'"&amp;$A13&amp;"'!$S$22:$S$150"),"Entregue"),0)</f>
        <v>0</v>
      </c>
      <c r="E13" s="32" t="n">
        <f aca="true">IFERROR(COUNTIF(INDIRECT("'"&amp;$A13&amp;"'!$S$22:$S$150"),"Pendente"),0)</f>
        <v>38</v>
      </c>
      <c r="F13" s="32" t="n">
        <f aca="true">IFERROR(COUNTIF(INDIRECT("'"&amp;$A13&amp;"'!$S$22:$S$150"),"Atrasada"),0)</f>
        <v>0</v>
      </c>
      <c r="G13" s="32" t="n">
        <f aca="true">IFERROR(COUNTIF(INDIRECT("'"&amp;$A13&amp;"'!$S$22:$S$150"),"Reprovada"),0)</f>
        <v>0</v>
      </c>
      <c r="H13" s="33" t="n">
        <f aca="false">IF($B13=0,0,$C13/$B13)</f>
        <v>0</v>
      </c>
      <c r="I13" s="32" t="str">
        <f aca="false">IF($B13=0,"",REPT("█",ROUND($H13*15,0))&amp;REPT("░",15-ROUND($H13*15,0)))</f>
        <v>░░░░░░░░░░░░░░░</v>
      </c>
      <c r="J13" s="34" t="str">
        <f aca="false">IF($B13=0,"—",IF($C13=$B13,"Concluído",IF($F13&gt;0,"Com atrasos","Em andamento")))</f>
        <v>Em andamento</v>
      </c>
      <c r="L13" s="31" t="n">
        <f aca="false">EDATE(DATE(2026,7,1),5)</f>
        <v>46357</v>
      </c>
    </row>
    <row r="14" customFormat="false" ht="15" hidden="false" customHeight="false" outlineLevel="0" collapsed="false">
      <c r="A14" s="27" t="str">
        <f aca="false">CHOOSE(MONTH($L14),"JAN","FEV","MAR","ABR","MAI","JUN","JUL","AGO","SET","OUT","NOV","DEZ")&amp;" "&amp;YEAR($L14)</f>
        <v>JAN 2027</v>
      </c>
      <c r="B14" s="28" t="n">
        <f aca="true">IFERROR(COUNTIF(INDIRECT("'"&amp;$A14&amp;"'!$S$22:$S$150"),"Aprovada"),0)+IFERROR(COUNTIF(INDIRECT("'"&amp;$A14&amp;"'!$S$22:$S$150"),"Entregue"),0)+IFERROR(COUNTIF(INDIRECT("'"&amp;$A14&amp;"'!$S$22:$S$150"),"Pendente"),0)+IFERROR(COUNTIF(INDIRECT("'"&amp;$A14&amp;"'!$S$22:$S$150"),"Atrasada"),0)+IFERROR(COUNTIF(INDIRECT("'"&amp;$A14&amp;"'!$S$22:$S$150"),"Reprovada"),0)</f>
        <v>0</v>
      </c>
      <c r="C14" s="28" t="n">
        <f aca="true">IFERROR(COUNTIF(INDIRECT("'"&amp;$A14&amp;"'!$S$22:$S$150"),"Aprovada"),0)</f>
        <v>0</v>
      </c>
      <c r="D14" s="28" t="n">
        <f aca="true">IFERROR(COUNTIF(INDIRECT("'"&amp;$A14&amp;"'!$S$22:$S$150"),"Entregue"),0)</f>
        <v>0</v>
      </c>
      <c r="E14" s="28" t="n">
        <f aca="true">IFERROR(COUNTIF(INDIRECT("'"&amp;$A14&amp;"'!$S$22:$S$150"),"Pendente"),0)</f>
        <v>0</v>
      </c>
      <c r="F14" s="28" t="n">
        <f aca="true">IFERROR(COUNTIF(INDIRECT("'"&amp;$A14&amp;"'!$S$22:$S$150"),"Atrasada"),0)</f>
        <v>0</v>
      </c>
      <c r="G14" s="28" t="n">
        <f aca="true">IFERROR(COUNTIF(INDIRECT("'"&amp;$A14&amp;"'!$S$22:$S$150"),"Reprovada"),0)</f>
        <v>0</v>
      </c>
      <c r="H14" s="29" t="n">
        <f aca="false">IF($B14=0,0,$C14/$B14)</f>
        <v>0</v>
      </c>
      <c r="I14" s="28" t="str">
        <f aca="false">IF($B14=0,"",REPT("█",ROUND($H14*15,0))&amp;REPT("░",15-ROUND($H14*15,0)))</f>
        <v/>
      </c>
      <c r="J14" s="30" t="str">
        <f aca="false">IF($B14=0,"—",IF($C14=$B14,"Concluído",IF($F14&gt;0,"Com atrasos","Em andamento")))</f>
        <v>—</v>
      </c>
      <c r="L14" s="31" t="n">
        <f aca="false">EDATE(DATE(2026,7,1),6)</f>
        <v>46388</v>
      </c>
    </row>
    <row r="15" customFormat="false" ht="15" hidden="false" customHeight="false" outlineLevel="0" collapsed="false">
      <c r="A15" s="9" t="str">
        <f aca="false">CHOOSE(MONTH($L15),"JAN","FEV","MAR","ABR","MAI","JUN","JUL","AGO","SET","OUT","NOV","DEZ")&amp;" "&amp;YEAR($L15)</f>
        <v>FEV 2027</v>
      </c>
      <c r="B15" s="32" t="n">
        <f aca="true">IFERROR(COUNTIF(INDIRECT("'"&amp;$A15&amp;"'!$S$22:$S$150"),"Aprovada"),0)+IFERROR(COUNTIF(INDIRECT("'"&amp;$A15&amp;"'!$S$22:$S$150"),"Entregue"),0)+IFERROR(COUNTIF(INDIRECT("'"&amp;$A15&amp;"'!$S$22:$S$150"),"Pendente"),0)+IFERROR(COUNTIF(INDIRECT("'"&amp;$A15&amp;"'!$S$22:$S$150"),"Atrasada"),0)+IFERROR(COUNTIF(INDIRECT("'"&amp;$A15&amp;"'!$S$22:$S$150"),"Reprovada"),0)</f>
        <v>0</v>
      </c>
      <c r="C15" s="32" t="n">
        <f aca="true">IFERROR(COUNTIF(INDIRECT("'"&amp;$A15&amp;"'!$S$22:$S$150"),"Aprovada"),0)</f>
        <v>0</v>
      </c>
      <c r="D15" s="32" t="n">
        <f aca="true">IFERROR(COUNTIF(INDIRECT("'"&amp;$A15&amp;"'!$S$22:$S$150"),"Entregue"),0)</f>
        <v>0</v>
      </c>
      <c r="E15" s="32" t="n">
        <f aca="true">IFERROR(COUNTIF(INDIRECT("'"&amp;$A15&amp;"'!$S$22:$S$150"),"Pendente"),0)</f>
        <v>0</v>
      </c>
      <c r="F15" s="32" t="n">
        <f aca="true">IFERROR(COUNTIF(INDIRECT("'"&amp;$A15&amp;"'!$S$22:$S$150"),"Atrasada"),0)</f>
        <v>0</v>
      </c>
      <c r="G15" s="32" t="n">
        <f aca="true">IFERROR(COUNTIF(INDIRECT("'"&amp;$A15&amp;"'!$S$22:$S$150"),"Reprovada"),0)</f>
        <v>0</v>
      </c>
      <c r="H15" s="33" t="n">
        <f aca="false">IF($B15=0,0,$C15/$B15)</f>
        <v>0</v>
      </c>
      <c r="I15" s="32" t="str">
        <f aca="false">IF($B15=0,"",REPT("█",ROUND($H15*15,0))&amp;REPT("░",15-ROUND($H15*15,0)))</f>
        <v/>
      </c>
      <c r="J15" s="34" t="str">
        <f aca="false">IF($B15=0,"—",IF($C15=$B15,"Concluído",IF($F15&gt;0,"Com atrasos","Em andamento")))</f>
        <v>—</v>
      </c>
      <c r="L15" s="31" t="n">
        <f aca="false">EDATE(DATE(2026,7,1),7)</f>
        <v>46419</v>
      </c>
    </row>
    <row r="16" customFormat="false" ht="15" hidden="false" customHeight="false" outlineLevel="0" collapsed="false">
      <c r="A16" s="27" t="str">
        <f aca="false">CHOOSE(MONTH($L16),"JAN","FEV","MAR","ABR","MAI","JUN","JUL","AGO","SET","OUT","NOV","DEZ")&amp;" "&amp;YEAR($L16)</f>
        <v>MAR 2027</v>
      </c>
      <c r="B16" s="28" t="n">
        <f aca="true">IFERROR(COUNTIF(INDIRECT("'"&amp;$A16&amp;"'!$S$22:$S$150"),"Aprovada"),0)+IFERROR(COUNTIF(INDIRECT("'"&amp;$A16&amp;"'!$S$22:$S$150"),"Entregue"),0)+IFERROR(COUNTIF(INDIRECT("'"&amp;$A16&amp;"'!$S$22:$S$150"),"Pendente"),0)+IFERROR(COUNTIF(INDIRECT("'"&amp;$A16&amp;"'!$S$22:$S$150"),"Atrasada"),0)+IFERROR(COUNTIF(INDIRECT("'"&amp;$A16&amp;"'!$S$22:$S$150"),"Reprovada"),0)</f>
        <v>0</v>
      </c>
      <c r="C16" s="28" t="n">
        <f aca="true">IFERROR(COUNTIF(INDIRECT("'"&amp;$A16&amp;"'!$S$22:$S$150"),"Aprovada"),0)</f>
        <v>0</v>
      </c>
      <c r="D16" s="28" t="n">
        <f aca="true">IFERROR(COUNTIF(INDIRECT("'"&amp;$A16&amp;"'!$S$22:$S$150"),"Entregue"),0)</f>
        <v>0</v>
      </c>
      <c r="E16" s="28" t="n">
        <f aca="true">IFERROR(COUNTIF(INDIRECT("'"&amp;$A16&amp;"'!$S$22:$S$150"),"Pendente"),0)</f>
        <v>0</v>
      </c>
      <c r="F16" s="28" t="n">
        <f aca="true">IFERROR(COUNTIF(INDIRECT("'"&amp;$A16&amp;"'!$S$22:$S$150"),"Atrasada"),0)</f>
        <v>0</v>
      </c>
      <c r="G16" s="28" t="n">
        <f aca="true">IFERROR(COUNTIF(INDIRECT("'"&amp;$A16&amp;"'!$S$22:$S$150"),"Reprovada"),0)</f>
        <v>0</v>
      </c>
      <c r="H16" s="29" t="n">
        <f aca="false">IF($B16=0,0,$C16/$B16)</f>
        <v>0</v>
      </c>
      <c r="I16" s="28" t="str">
        <f aca="false">IF($B16=0,"",REPT("█",ROUND($H16*15,0))&amp;REPT("░",15-ROUND($H16*15,0)))</f>
        <v/>
      </c>
      <c r="J16" s="30" t="str">
        <f aca="false">IF($B16=0,"—",IF($C16=$B16,"Concluído",IF($F16&gt;0,"Com atrasos","Em andamento")))</f>
        <v>—</v>
      </c>
      <c r="L16" s="31" t="n">
        <f aca="false">EDATE(DATE(2026,7,1),8)</f>
        <v>46447</v>
      </c>
    </row>
    <row r="17" customFormat="false" ht="15" hidden="false" customHeight="false" outlineLevel="0" collapsed="false">
      <c r="A17" s="9" t="str">
        <f aca="false">CHOOSE(MONTH($L17),"JAN","FEV","MAR","ABR","MAI","JUN","JUL","AGO","SET","OUT","NOV","DEZ")&amp;" "&amp;YEAR($L17)</f>
        <v>ABR 2027</v>
      </c>
      <c r="B17" s="32" t="n">
        <f aca="true">IFERROR(COUNTIF(INDIRECT("'"&amp;$A17&amp;"'!$S$22:$S$150"),"Aprovada"),0)+IFERROR(COUNTIF(INDIRECT("'"&amp;$A17&amp;"'!$S$22:$S$150"),"Entregue"),0)+IFERROR(COUNTIF(INDIRECT("'"&amp;$A17&amp;"'!$S$22:$S$150"),"Pendente"),0)+IFERROR(COUNTIF(INDIRECT("'"&amp;$A17&amp;"'!$S$22:$S$150"),"Atrasada"),0)+IFERROR(COUNTIF(INDIRECT("'"&amp;$A17&amp;"'!$S$22:$S$150"),"Reprovada"),0)</f>
        <v>0</v>
      </c>
      <c r="C17" s="32" t="n">
        <f aca="true">IFERROR(COUNTIF(INDIRECT("'"&amp;$A17&amp;"'!$S$22:$S$150"),"Aprovada"),0)</f>
        <v>0</v>
      </c>
      <c r="D17" s="32" t="n">
        <f aca="true">IFERROR(COUNTIF(INDIRECT("'"&amp;$A17&amp;"'!$S$22:$S$150"),"Entregue"),0)</f>
        <v>0</v>
      </c>
      <c r="E17" s="32" t="n">
        <f aca="true">IFERROR(COUNTIF(INDIRECT("'"&amp;$A17&amp;"'!$S$22:$S$150"),"Pendente"),0)</f>
        <v>0</v>
      </c>
      <c r="F17" s="32" t="n">
        <f aca="true">IFERROR(COUNTIF(INDIRECT("'"&amp;$A17&amp;"'!$S$22:$S$150"),"Atrasada"),0)</f>
        <v>0</v>
      </c>
      <c r="G17" s="32" t="n">
        <f aca="true">IFERROR(COUNTIF(INDIRECT("'"&amp;$A17&amp;"'!$S$22:$S$150"),"Reprovada"),0)</f>
        <v>0</v>
      </c>
      <c r="H17" s="33" t="n">
        <f aca="false">IF($B17=0,0,$C17/$B17)</f>
        <v>0</v>
      </c>
      <c r="I17" s="32" t="str">
        <f aca="false">IF($B17=0,"",REPT("█",ROUND($H17*15,0))&amp;REPT("░",15-ROUND($H17*15,0)))</f>
        <v/>
      </c>
      <c r="J17" s="34" t="str">
        <f aca="false">IF($B17=0,"—",IF($C17=$B17,"Concluído",IF($F17&gt;0,"Com atrasos","Em andamento")))</f>
        <v>—</v>
      </c>
      <c r="L17" s="31" t="n">
        <f aca="false">EDATE(DATE(2026,7,1),9)</f>
        <v>46478</v>
      </c>
    </row>
    <row r="18" customFormat="false" ht="15" hidden="false" customHeight="false" outlineLevel="0" collapsed="false">
      <c r="A18" s="27" t="str">
        <f aca="false">CHOOSE(MONTH($L18),"JAN","FEV","MAR","ABR","MAI","JUN","JUL","AGO","SET","OUT","NOV","DEZ")&amp;" "&amp;YEAR($L18)</f>
        <v>MAI 2027</v>
      </c>
      <c r="B18" s="28" t="n">
        <f aca="true">IFERROR(COUNTIF(INDIRECT("'"&amp;$A18&amp;"'!$S$22:$S$150"),"Aprovada"),0)+IFERROR(COUNTIF(INDIRECT("'"&amp;$A18&amp;"'!$S$22:$S$150"),"Entregue"),0)+IFERROR(COUNTIF(INDIRECT("'"&amp;$A18&amp;"'!$S$22:$S$150"),"Pendente"),0)+IFERROR(COUNTIF(INDIRECT("'"&amp;$A18&amp;"'!$S$22:$S$150"),"Atrasada"),0)+IFERROR(COUNTIF(INDIRECT("'"&amp;$A18&amp;"'!$S$22:$S$150"),"Reprovada"),0)</f>
        <v>0</v>
      </c>
      <c r="C18" s="28" t="n">
        <f aca="true">IFERROR(COUNTIF(INDIRECT("'"&amp;$A18&amp;"'!$S$22:$S$150"),"Aprovada"),0)</f>
        <v>0</v>
      </c>
      <c r="D18" s="28" t="n">
        <f aca="true">IFERROR(COUNTIF(INDIRECT("'"&amp;$A18&amp;"'!$S$22:$S$150"),"Entregue"),0)</f>
        <v>0</v>
      </c>
      <c r="E18" s="28" t="n">
        <f aca="true">IFERROR(COUNTIF(INDIRECT("'"&amp;$A18&amp;"'!$S$22:$S$150"),"Pendente"),0)</f>
        <v>0</v>
      </c>
      <c r="F18" s="28" t="n">
        <f aca="true">IFERROR(COUNTIF(INDIRECT("'"&amp;$A18&amp;"'!$S$22:$S$150"),"Atrasada"),0)</f>
        <v>0</v>
      </c>
      <c r="G18" s="28" t="n">
        <f aca="true">IFERROR(COUNTIF(INDIRECT("'"&amp;$A18&amp;"'!$S$22:$S$150"),"Reprovada"),0)</f>
        <v>0</v>
      </c>
      <c r="H18" s="29" t="n">
        <f aca="false">IF($B18=0,0,$C18/$B18)</f>
        <v>0</v>
      </c>
      <c r="I18" s="28" t="str">
        <f aca="false">IF($B18=0,"",REPT("█",ROUND($H18*15,0))&amp;REPT("░",15-ROUND($H18*15,0)))</f>
        <v/>
      </c>
      <c r="J18" s="30" t="str">
        <f aca="false">IF($B18=0,"—",IF($C18=$B18,"Concluído",IF($F18&gt;0,"Com atrasos","Em andamento")))</f>
        <v>—</v>
      </c>
      <c r="L18" s="31" t="n">
        <f aca="false">EDATE(DATE(2026,7,1),10)</f>
        <v>46508</v>
      </c>
    </row>
    <row r="19" customFormat="false" ht="15" hidden="false" customHeight="false" outlineLevel="0" collapsed="false">
      <c r="A19" s="9" t="str">
        <f aca="false">CHOOSE(MONTH($L19),"JAN","FEV","MAR","ABR","MAI","JUN","JUL","AGO","SET","OUT","NOV","DEZ")&amp;" "&amp;YEAR($L19)</f>
        <v>JUN 2027</v>
      </c>
      <c r="B19" s="32" t="n">
        <f aca="true">IFERROR(COUNTIF(INDIRECT("'"&amp;$A19&amp;"'!$S$22:$S$150"),"Aprovada"),0)+IFERROR(COUNTIF(INDIRECT("'"&amp;$A19&amp;"'!$S$22:$S$150"),"Entregue"),0)+IFERROR(COUNTIF(INDIRECT("'"&amp;$A19&amp;"'!$S$22:$S$150"),"Pendente"),0)+IFERROR(COUNTIF(INDIRECT("'"&amp;$A19&amp;"'!$S$22:$S$150"),"Atrasada"),0)+IFERROR(COUNTIF(INDIRECT("'"&amp;$A19&amp;"'!$S$22:$S$150"),"Reprovada"),0)</f>
        <v>0</v>
      </c>
      <c r="C19" s="32" t="n">
        <f aca="true">IFERROR(COUNTIF(INDIRECT("'"&amp;$A19&amp;"'!$S$22:$S$150"),"Aprovada"),0)</f>
        <v>0</v>
      </c>
      <c r="D19" s="32" t="n">
        <f aca="true">IFERROR(COUNTIF(INDIRECT("'"&amp;$A19&amp;"'!$S$22:$S$150"),"Entregue"),0)</f>
        <v>0</v>
      </c>
      <c r="E19" s="32" t="n">
        <f aca="true">IFERROR(COUNTIF(INDIRECT("'"&amp;$A19&amp;"'!$S$22:$S$150"),"Pendente"),0)</f>
        <v>0</v>
      </c>
      <c r="F19" s="32" t="n">
        <f aca="true">IFERROR(COUNTIF(INDIRECT("'"&amp;$A19&amp;"'!$S$22:$S$150"),"Atrasada"),0)</f>
        <v>0</v>
      </c>
      <c r="G19" s="32" t="n">
        <f aca="true">IFERROR(COUNTIF(INDIRECT("'"&amp;$A19&amp;"'!$S$22:$S$150"),"Reprovada"),0)</f>
        <v>0</v>
      </c>
      <c r="H19" s="33" t="n">
        <f aca="false">IF($B19=0,0,$C19/$B19)</f>
        <v>0</v>
      </c>
      <c r="I19" s="32" t="str">
        <f aca="false">IF($B19=0,"",REPT("█",ROUND($H19*15,0))&amp;REPT("░",15-ROUND($H19*15,0)))</f>
        <v/>
      </c>
      <c r="J19" s="34" t="str">
        <f aca="false">IF($B19=0,"—",IF($C19=$B19,"Concluído",IF($F19&gt;0,"Com atrasos","Em andamento")))</f>
        <v>—</v>
      </c>
      <c r="L19" s="31" t="n">
        <f aca="false">EDATE(DATE(2026,7,1),11)</f>
        <v>46539</v>
      </c>
    </row>
    <row r="20" customFormat="false" ht="15" hidden="false" customHeight="false" outlineLevel="0" collapsed="false">
      <c r="A20" s="27" t="str">
        <f aca="false">CHOOSE(MONTH($L20),"JAN","FEV","MAR","ABR","MAI","JUN","JUL","AGO","SET","OUT","NOV","DEZ")&amp;" "&amp;YEAR($L20)</f>
        <v>JUL 2027</v>
      </c>
      <c r="B20" s="28" t="n">
        <f aca="true">IFERROR(COUNTIF(INDIRECT("'"&amp;$A20&amp;"'!$S$22:$S$150"),"Aprovada"),0)+IFERROR(COUNTIF(INDIRECT("'"&amp;$A20&amp;"'!$S$22:$S$150"),"Entregue"),0)+IFERROR(COUNTIF(INDIRECT("'"&amp;$A20&amp;"'!$S$22:$S$150"),"Pendente"),0)+IFERROR(COUNTIF(INDIRECT("'"&amp;$A20&amp;"'!$S$22:$S$150"),"Atrasada"),0)+IFERROR(COUNTIF(INDIRECT("'"&amp;$A20&amp;"'!$S$22:$S$150"),"Reprovada"),0)</f>
        <v>0</v>
      </c>
      <c r="C20" s="28" t="n">
        <f aca="true">IFERROR(COUNTIF(INDIRECT("'"&amp;$A20&amp;"'!$S$22:$S$150"),"Aprovada"),0)</f>
        <v>0</v>
      </c>
      <c r="D20" s="28" t="n">
        <f aca="true">IFERROR(COUNTIF(INDIRECT("'"&amp;$A20&amp;"'!$S$22:$S$150"),"Entregue"),0)</f>
        <v>0</v>
      </c>
      <c r="E20" s="28" t="n">
        <f aca="true">IFERROR(COUNTIF(INDIRECT("'"&amp;$A20&amp;"'!$S$22:$S$150"),"Pendente"),0)</f>
        <v>0</v>
      </c>
      <c r="F20" s="28" t="n">
        <f aca="true">IFERROR(COUNTIF(INDIRECT("'"&amp;$A20&amp;"'!$S$22:$S$150"),"Atrasada"),0)</f>
        <v>0</v>
      </c>
      <c r="G20" s="28" t="n">
        <f aca="true">IFERROR(COUNTIF(INDIRECT("'"&amp;$A20&amp;"'!$S$22:$S$150"),"Reprovada"),0)</f>
        <v>0</v>
      </c>
      <c r="H20" s="29" t="n">
        <f aca="false">IF($B20=0,0,$C20/$B20)</f>
        <v>0</v>
      </c>
      <c r="I20" s="28" t="str">
        <f aca="false">IF($B20=0,"",REPT("█",ROUND($H20*15,0))&amp;REPT("░",15-ROUND($H20*15,0)))</f>
        <v/>
      </c>
      <c r="J20" s="30" t="str">
        <f aca="false">IF($B20=0,"—",IF($C20=$B20,"Concluído",IF($F20&gt;0,"Com atrasos","Em andamento")))</f>
        <v>—</v>
      </c>
      <c r="L20" s="31" t="n">
        <f aca="false">EDATE(DATE(2026,7,1),12)</f>
        <v>46569</v>
      </c>
    </row>
    <row r="21" customFormat="false" ht="15" hidden="false" customHeight="false" outlineLevel="0" collapsed="false">
      <c r="A21" s="9" t="str">
        <f aca="false">CHOOSE(MONTH($L21),"JAN","FEV","MAR","ABR","MAI","JUN","JUL","AGO","SET","OUT","NOV","DEZ")&amp;" "&amp;YEAR($L21)</f>
        <v>AGO 2027</v>
      </c>
      <c r="B21" s="32" t="n">
        <f aca="true">IFERROR(COUNTIF(INDIRECT("'"&amp;$A21&amp;"'!$S$22:$S$150"),"Aprovada"),0)+IFERROR(COUNTIF(INDIRECT("'"&amp;$A21&amp;"'!$S$22:$S$150"),"Entregue"),0)+IFERROR(COUNTIF(INDIRECT("'"&amp;$A21&amp;"'!$S$22:$S$150"),"Pendente"),0)+IFERROR(COUNTIF(INDIRECT("'"&amp;$A21&amp;"'!$S$22:$S$150"),"Atrasada"),0)+IFERROR(COUNTIF(INDIRECT("'"&amp;$A21&amp;"'!$S$22:$S$150"),"Reprovada"),0)</f>
        <v>0</v>
      </c>
      <c r="C21" s="32" t="n">
        <f aca="true">IFERROR(COUNTIF(INDIRECT("'"&amp;$A21&amp;"'!$S$22:$S$150"),"Aprovada"),0)</f>
        <v>0</v>
      </c>
      <c r="D21" s="32" t="n">
        <f aca="true">IFERROR(COUNTIF(INDIRECT("'"&amp;$A21&amp;"'!$S$22:$S$150"),"Entregue"),0)</f>
        <v>0</v>
      </c>
      <c r="E21" s="32" t="n">
        <f aca="true">IFERROR(COUNTIF(INDIRECT("'"&amp;$A21&amp;"'!$S$22:$S$150"),"Pendente"),0)</f>
        <v>0</v>
      </c>
      <c r="F21" s="32" t="n">
        <f aca="true">IFERROR(COUNTIF(INDIRECT("'"&amp;$A21&amp;"'!$S$22:$S$150"),"Atrasada"),0)</f>
        <v>0</v>
      </c>
      <c r="G21" s="32" t="n">
        <f aca="true">IFERROR(COUNTIF(INDIRECT("'"&amp;$A21&amp;"'!$S$22:$S$150"),"Reprovada"),0)</f>
        <v>0</v>
      </c>
      <c r="H21" s="33" t="n">
        <f aca="false">IF($B21=0,0,$C21/$B21)</f>
        <v>0</v>
      </c>
      <c r="I21" s="32" t="str">
        <f aca="false">IF($B21=0,"",REPT("█",ROUND($H21*15,0))&amp;REPT("░",15-ROUND($H21*15,0)))</f>
        <v/>
      </c>
      <c r="J21" s="34" t="str">
        <f aca="false">IF($B21=0,"—",IF($C21=$B21,"Concluído",IF($F21&gt;0,"Com atrasos","Em andamento")))</f>
        <v>—</v>
      </c>
      <c r="L21" s="31" t="n">
        <f aca="false">EDATE(DATE(2026,7,1),13)</f>
        <v>46600</v>
      </c>
    </row>
    <row r="22" customFormat="false" ht="15" hidden="false" customHeight="false" outlineLevel="0" collapsed="false">
      <c r="A22" s="27" t="str">
        <f aca="false">CHOOSE(MONTH($L22),"JAN","FEV","MAR","ABR","MAI","JUN","JUL","AGO","SET","OUT","NOV","DEZ")&amp;" "&amp;YEAR($L22)</f>
        <v>SET 2027</v>
      </c>
      <c r="B22" s="28" t="n">
        <f aca="true">IFERROR(COUNTIF(INDIRECT("'"&amp;$A22&amp;"'!$S$22:$S$150"),"Aprovada"),0)+IFERROR(COUNTIF(INDIRECT("'"&amp;$A22&amp;"'!$S$22:$S$150"),"Entregue"),0)+IFERROR(COUNTIF(INDIRECT("'"&amp;$A22&amp;"'!$S$22:$S$150"),"Pendente"),0)+IFERROR(COUNTIF(INDIRECT("'"&amp;$A22&amp;"'!$S$22:$S$150"),"Atrasada"),0)+IFERROR(COUNTIF(INDIRECT("'"&amp;$A22&amp;"'!$S$22:$S$150"),"Reprovada"),0)</f>
        <v>0</v>
      </c>
      <c r="C22" s="28" t="n">
        <f aca="true">IFERROR(COUNTIF(INDIRECT("'"&amp;$A22&amp;"'!$S$22:$S$150"),"Aprovada"),0)</f>
        <v>0</v>
      </c>
      <c r="D22" s="28" t="n">
        <f aca="true">IFERROR(COUNTIF(INDIRECT("'"&amp;$A22&amp;"'!$S$22:$S$150"),"Entregue"),0)</f>
        <v>0</v>
      </c>
      <c r="E22" s="28" t="n">
        <f aca="true">IFERROR(COUNTIF(INDIRECT("'"&amp;$A22&amp;"'!$S$22:$S$150"),"Pendente"),0)</f>
        <v>0</v>
      </c>
      <c r="F22" s="28" t="n">
        <f aca="true">IFERROR(COUNTIF(INDIRECT("'"&amp;$A22&amp;"'!$S$22:$S$150"),"Atrasada"),0)</f>
        <v>0</v>
      </c>
      <c r="G22" s="28" t="n">
        <f aca="true">IFERROR(COUNTIF(INDIRECT("'"&amp;$A22&amp;"'!$S$22:$S$150"),"Reprovada"),0)</f>
        <v>0</v>
      </c>
      <c r="H22" s="29" t="n">
        <f aca="false">IF($B22=0,0,$C22/$B22)</f>
        <v>0</v>
      </c>
      <c r="I22" s="28" t="str">
        <f aca="false">IF($B22=0,"",REPT("█",ROUND($H22*15,0))&amp;REPT("░",15-ROUND($H22*15,0)))</f>
        <v/>
      </c>
      <c r="J22" s="30" t="str">
        <f aca="false">IF($B22=0,"—",IF($C22=$B22,"Concluído",IF($F22&gt;0,"Com atrasos","Em andamento")))</f>
        <v>—</v>
      </c>
      <c r="L22" s="31" t="n">
        <f aca="false">EDATE(DATE(2026,7,1),14)</f>
        <v>46631</v>
      </c>
    </row>
    <row r="23" customFormat="false" ht="15" hidden="false" customHeight="false" outlineLevel="0" collapsed="false">
      <c r="A23" s="9" t="str">
        <f aca="false">CHOOSE(MONTH($L23),"JAN","FEV","MAR","ABR","MAI","JUN","JUL","AGO","SET","OUT","NOV","DEZ")&amp;" "&amp;YEAR($L23)</f>
        <v>OUT 2027</v>
      </c>
      <c r="B23" s="32" t="n">
        <f aca="true">IFERROR(COUNTIF(INDIRECT("'"&amp;$A23&amp;"'!$S$22:$S$150"),"Aprovada"),0)+IFERROR(COUNTIF(INDIRECT("'"&amp;$A23&amp;"'!$S$22:$S$150"),"Entregue"),0)+IFERROR(COUNTIF(INDIRECT("'"&amp;$A23&amp;"'!$S$22:$S$150"),"Pendente"),0)+IFERROR(COUNTIF(INDIRECT("'"&amp;$A23&amp;"'!$S$22:$S$150"),"Atrasada"),0)+IFERROR(COUNTIF(INDIRECT("'"&amp;$A23&amp;"'!$S$22:$S$150"),"Reprovada"),0)</f>
        <v>0</v>
      </c>
      <c r="C23" s="32" t="n">
        <f aca="true">IFERROR(COUNTIF(INDIRECT("'"&amp;$A23&amp;"'!$S$22:$S$150"),"Aprovada"),0)</f>
        <v>0</v>
      </c>
      <c r="D23" s="32" t="n">
        <f aca="true">IFERROR(COUNTIF(INDIRECT("'"&amp;$A23&amp;"'!$S$22:$S$150"),"Entregue"),0)</f>
        <v>0</v>
      </c>
      <c r="E23" s="32" t="n">
        <f aca="true">IFERROR(COUNTIF(INDIRECT("'"&amp;$A23&amp;"'!$S$22:$S$150"),"Pendente"),0)</f>
        <v>0</v>
      </c>
      <c r="F23" s="32" t="n">
        <f aca="true">IFERROR(COUNTIF(INDIRECT("'"&amp;$A23&amp;"'!$S$22:$S$150"),"Atrasada"),0)</f>
        <v>0</v>
      </c>
      <c r="G23" s="32" t="n">
        <f aca="true">IFERROR(COUNTIF(INDIRECT("'"&amp;$A23&amp;"'!$S$22:$S$150"),"Reprovada"),0)</f>
        <v>0</v>
      </c>
      <c r="H23" s="33" t="n">
        <f aca="false">IF($B23=0,0,$C23/$B23)</f>
        <v>0</v>
      </c>
      <c r="I23" s="32" t="str">
        <f aca="false">IF($B23=0,"",REPT("█",ROUND($H23*15,0))&amp;REPT("░",15-ROUND($H23*15,0)))</f>
        <v/>
      </c>
      <c r="J23" s="34" t="str">
        <f aca="false">IF($B23=0,"—",IF($C23=$B23,"Concluído",IF($F23&gt;0,"Com atrasos","Em andamento")))</f>
        <v>—</v>
      </c>
      <c r="L23" s="31" t="n">
        <f aca="false">EDATE(DATE(2026,7,1),15)</f>
        <v>46661</v>
      </c>
    </row>
    <row r="24" customFormat="false" ht="15" hidden="false" customHeight="false" outlineLevel="0" collapsed="false">
      <c r="A24" s="27" t="str">
        <f aca="false">CHOOSE(MONTH($L24),"JAN","FEV","MAR","ABR","MAI","JUN","JUL","AGO","SET","OUT","NOV","DEZ")&amp;" "&amp;YEAR($L24)</f>
        <v>NOV 2027</v>
      </c>
      <c r="B24" s="28" t="n">
        <f aca="true">IFERROR(COUNTIF(INDIRECT("'"&amp;$A24&amp;"'!$S$22:$S$150"),"Aprovada"),0)+IFERROR(COUNTIF(INDIRECT("'"&amp;$A24&amp;"'!$S$22:$S$150"),"Entregue"),0)+IFERROR(COUNTIF(INDIRECT("'"&amp;$A24&amp;"'!$S$22:$S$150"),"Pendente"),0)+IFERROR(COUNTIF(INDIRECT("'"&amp;$A24&amp;"'!$S$22:$S$150"),"Atrasada"),0)+IFERROR(COUNTIF(INDIRECT("'"&amp;$A24&amp;"'!$S$22:$S$150"),"Reprovada"),0)</f>
        <v>0</v>
      </c>
      <c r="C24" s="28" t="n">
        <f aca="true">IFERROR(COUNTIF(INDIRECT("'"&amp;$A24&amp;"'!$S$22:$S$150"),"Aprovada"),0)</f>
        <v>0</v>
      </c>
      <c r="D24" s="28" t="n">
        <f aca="true">IFERROR(COUNTIF(INDIRECT("'"&amp;$A24&amp;"'!$S$22:$S$150"),"Entregue"),0)</f>
        <v>0</v>
      </c>
      <c r="E24" s="28" t="n">
        <f aca="true">IFERROR(COUNTIF(INDIRECT("'"&amp;$A24&amp;"'!$S$22:$S$150"),"Pendente"),0)</f>
        <v>0</v>
      </c>
      <c r="F24" s="28" t="n">
        <f aca="true">IFERROR(COUNTIF(INDIRECT("'"&amp;$A24&amp;"'!$S$22:$S$150"),"Atrasada"),0)</f>
        <v>0</v>
      </c>
      <c r="G24" s="28" t="n">
        <f aca="true">IFERROR(COUNTIF(INDIRECT("'"&amp;$A24&amp;"'!$S$22:$S$150"),"Reprovada"),0)</f>
        <v>0</v>
      </c>
      <c r="H24" s="29" t="n">
        <f aca="false">IF($B24=0,0,$C24/$B24)</f>
        <v>0</v>
      </c>
      <c r="I24" s="28" t="str">
        <f aca="false">IF($B24=0,"",REPT("█",ROUND($H24*15,0))&amp;REPT("░",15-ROUND($H24*15,0)))</f>
        <v/>
      </c>
      <c r="J24" s="30" t="str">
        <f aca="false">IF($B24=0,"—",IF($C24=$B24,"Concluído",IF($F24&gt;0,"Com atrasos","Em andamento")))</f>
        <v>—</v>
      </c>
      <c r="L24" s="31" t="n">
        <f aca="false">EDATE(DATE(2026,7,1),16)</f>
        <v>46692</v>
      </c>
    </row>
    <row r="25" customFormat="false" ht="15" hidden="false" customHeight="false" outlineLevel="0" collapsed="false">
      <c r="A25" s="9" t="str">
        <f aca="false">CHOOSE(MONTH($L25),"JAN","FEV","MAR","ABR","MAI","JUN","JUL","AGO","SET","OUT","NOV","DEZ")&amp;" "&amp;YEAR($L25)</f>
        <v>DEZ 2027</v>
      </c>
      <c r="B25" s="32" t="n">
        <f aca="true">IFERROR(COUNTIF(INDIRECT("'"&amp;$A25&amp;"'!$S$22:$S$150"),"Aprovada"),0)+IFERROR(COUNTIF(INDIRECT("'"&amp;$A25&amp;"'!$S$22:$S$150"),"Entregue"),0)+IFERROR(COUNTIF(INDIRECT("'"&amp;$A25&amp;"'!$S$22:$S$150"),"Pendente"),0)+IFERROR(COUNTIF(INDIRECT("'"&amp;$A25&amp;"'!$S$22:$S$150"),"Atrasada"),0)+IFERROR(COUNTIF(INDIRECT("'"&amp;$A25&amp;"'!$S$22:$S$150"),"Reprovada"),0)</f>
        <v>0</v>
      </c>
      <c r="C25" s="32" t="n">
        <f aca="true">IFERROR(COUNTIF(INDIRECT("'"&amp;$A25&amp;"'!$S$22:$S$150"),"Aprovada"),0)</f>
        <v>0</v>
      </c>
      <c r="D25" s="32" t="n">
        <f aca="true">IFERROR(COUNTIF(INDIRECT("'"&amp;$A25&amp;"'!$S$22:$S$150"),"Entregue"),0)</f>
        <v>0</v>
      </c>
      <c r="E25" s="32" t="n">
        <f aca="true">IFERROR(COUNTIF(INDIRECT("'"&amp;$A25&amp;"'!$S$22:$S$150"),"Pendente"),0)</f>
        <v>0</v>
      </c>
      <c r="F25" s="32" t="n">
        <f aca="true">IFERROR(COUNTIF(INDIRECT("'"&amp;$A25&amp;"'!$S$22:$S$150"),"Atrasada"),0)</f>
        <v>0</v>
      </c>
      <c r="G25" s="32" t="n">
        <f aca="true">IFERROR(COUNTIF(INDIRECT("'"&amp;$A25&amp;"'!$S$22:$S$150"),"Reprovada"),0)</f>
        <v>0</v>
      </c>
      <c r="H25" s="33" t="n">
        <f aca="false">IF($B25=0,0,$C25/$B25)</f>
        <v>0</v>
      </c>
      <c r="I25" s="32" t="str">
        <f aca="false">IF($B25=0,"",REPT("█",ROUND($H25*15,0))&amp;REPT("░",15-ROUND($H25*15,0)))</f>
        <v/>
      </c>
      <c r="J25" s="34" t="str">
        <f aca="false">IF($B25=0,"—",IF($C25=$B25,"Concluído",IF($F25&gt;0,"Com atrasos","Em andamento")))</f>
        <v>—</v>
      </c>
      <c r="L25" s="31" t="n">
        <f aca="false">EDATE(DATE(2026,7,1),17)</f>
        <v>46722</v>
      </c>
    </row>
    <row r="26" customFormat="false" ht="24" hidden="false" customHeight="true" outlineLevel="0" collapsed="false">
      <c r="A26" s="35" t="s">
        <v>63</v>
      </c>
      <c r="B26" s="36" t="n">
        <f aca="false">SUM(B8:B25)</f>
        <v>212</v>
      </c>
      <c r="C26" s="36" t="n">
        <f aca="false">SUM(C8:C25)</f>
        <v>0</v>
      </c>
      <c r="D26" s="36" t="n">
        <f aca="false">SUM(D8:D25)</f>
        <v>0</v>
      </c>
      <c r="E26" s="36" t="n">
        <f aca="false">SUM(E8:E25)</f>
        <v>170</v>
      </c>
      <c r="F26" s="36" t="n">
        <f aca="false">SUM(F8:F25)</f>
        <v>42</v>
      </c>
      <c r="G26" s="36" t="n">
        <f aca="false">SUM(G8:G25)</f>
        <v>0</v>
      </c>
      <c r="H26" s="37" t="n">
        <f aca="false">IF($B26=0,0,$C26/$B26)</f>
        <v>0</v>
      </c>
      <c r="I26" s="36" t="str">
        <f aca="false">REPT("█",ROUND($H26*15,0))&amp;REPT("░",15-ROUND($H26*15,0))</f>
        <v>░░░░░░░░░░░░░░░</v>
      </c>
      <c r="J26" s="36"/>
    </row>
    <row r="28" customFormat="false" ht="15" hidden="false" customHeight="false" outlineLevel="0" collapsed="false">
      <c r="A28" s="26" t="s">
        <v>72</v>
      </c>
    </row>
    <row r="29" customFormat="false" ht="22.5" hidden="false" customHeight="true" outlineLevel="0" collapsed="false">
      <c r="A29" s="38" t="s">
        <v>73</v>
      </c>
      <c r="B29" s="38" t="s">
        <v>63</v>
      </c>
      <c r="C29" s="38" t="s">
        <v>64</v>
      </c>
      <c r="D29" s="38" t="s">
        <v>67</v>
      </c>
      <c r="E29" s="38" t="s">
        <v>74</v>
      </c>
      <c r="F29" s="38" t="s">
        <v>70</v>
      </c>
    </row>
    <row r="30" customFormat="false" ht="36" hidden="false" customHeight="true" outlineLevel="0" collapsed="false">
      <c r="A30" s="9" t="s">
        <v>75</v>
      </c>
      <c r="B30" s="32" t="n">
        <f aca="false">$C30+$D30+$M30+$N30+$O30</f>
        <v>60</v>
      </c>
      <c r="C30" s="32" t="n">
        <f aca="true">IFERROR(COUNTIFS(INDIRECT("'"&amp;$A$8&amp;"'!$G$22:$G$150"),$A30,INDIRECT("'"&amp;$A$8&amp;"'!$S$22:$S$150"),"Aprovada"),0)+IFERROR(COUNTIFS(INDIRECT("'"&amp;$A$9&amp;"'!$G$22:$G$150"),$A30,INDIRECT("'"&amp;$A$9&amp;"'!$S$22:$S$150"),"Aprovada"),0)+IFERROR(COUNTIFS(INDIRECT("'"&amp;$A$10&amp;"'!$G$22:$G$150"),$A30,INDIRECT("'"&amp;$A$10&amp;"'!$S$22:$S$150"),"Aprovada"),0)+IFERROR(COUNTIFS(INDIRECT("'"&amp;$A$11&amp;"'!$G$22:$G$150"),$A30,INDIRECT("'"&amp;$A$11&amp;"'!$S$22:$S$150"),"Aprovada"),0)+IFERROR(COUNTIFS(INDIRECT("'"&amp;$A$12&amp;"'!$G$22:$G$150"),$A30,INDIRECT("'"&amp;$A$12&amp;"'!$S$22:$S$150"),"Aprovada"),0)+IFERROR(COUNTIFS(INDIRECT("'"&amp;$A$13&amp;"'!$G$22:$G$150"),$A30,INDIRECT("'"&amp;$A$13&amp;"'!$S$22:$S$150"),"Aprovada"),0)+IFERROR(COUNTIFS(INDIRECT("'"&amp;$A$14&amp;"'!$G$22:$G$150"),$A30,INDIRECT("'"&amp;$A$14&amp;"'!$S$22:$S$150"),"Aprovada"),0)+IFERROR(COUNTIFS(INDIRECT("'"&amp;$A$15&amp;"'!$G$22:$G$150"),$A30,INDIRECT("'"&amp;$A$15&amp;"'!$S$22:$S$150"),"Aprovada"),0)+IFERROR(COUNTIFS(INDIRECT("'"&amp;$A$16&amp;"'!$G$22:$G$150"),$A30,INDIRECT("'"&amp;$A$16&amp;"'!$S$22:$S$150"),"Aprovada"),0)+IFERROR(COUNTIFS(INDIRECT("'"&amp;$A$17&amp;"'!$G$22:$G$150"),$A30,INDIRECT("'"&amp;$A$17&amp;"'!$S$22:$S$150"),"Aprovada"),0)+IFERROR(COUNTIFS(INDIRECT("'"&amp;$A$18&amp;"'!$G$22:$G$150"),$A30,INDIRECT("'"&amp;$A$18&amp;"'!$S$22:$S$150"),"Aprovada"),0)+IFERROR(COUNTIFS(INDIRECT("'"&amp;$A$19&amp;"'!$G$22:$G$150"),$A30,INDIRECT("'"&amp;$A$19&amp;"'!$S$22:$S$150"),"Aprovada"),0)+IFERROR(COUNTIFS(INDIRECT("'"&amp;$A$20&amp;"'!$G$22:$G$150"),$A30,INDIRECT("'"&amp;$A$20&amp;"'!$S$22:$S$150"),"Aprovada"),0)+IFERROR(COUNTIFS(INDIRECT("'"&amp;$A$21&amp;"'!$G$22:$G$150"),$A30,INDIRECT("'"&amp;$A$21&amp;"'!$S$22:$S$150"),"Aprovada"),0)+IFERROR(COUNTIFS(INDIRECT("'"&amp;$A$22&amp;"'!$G$22:$G$150"),$A30,INDIRECT("'"&amp;$A$22&amp;"'!$S$22:$S$150"),"Aprovada"),0)+IFERROR(COUNTIFS(INDIRECT("'"&amp;$A$23&amp;"'!$G$22:$G$150"),$A30,INDIRECT("'"&amp;$A$23&amp;"'!$S$22:$S$150"),"Aprovada"),0)+IFERROR(COUNTIFS(INDIRECT("'"&amp;$A$24&amp;"'!$G$22:$G$150"),$A30,INDIRECT("'"&amp;$A$24&amp;"'!$S$22:$S$150"),"Aprovada"),0)+IFERROR(COUNTIFS(INDIRECT("'"&amp;$A$25&amp;"'!$G$22:$G$150"),$A30,INDIRECT("'"&amp;$A$25&amp;"'!$S$22:$S$150"),"Aprovada"),0)</f>
        <v>0</v>
      </c>
      <c r="D30" s="32" t="n">
        <f aca="true">IFERROR(COUNTIFS(INDIRECT("'"&amp;$A$8&amp;"'!$G$22:$G$150"),$A30,INDIRECT("'"&amp;$A$8&amp;"'!$S$22:$S$150"),"Atrasada"),0)+IFERROR(COUNTIFS(INDIRECT("'"&amp;$A$9&amp;"'!$G$22:$G$150"),$A30,INDIRECT("'"&amp;$A$9&amp;"'!$S$22:$S$150"),"Atrasada"),0)+IFERROR(COUNTIFS(INDIRECT("'"&amp;$A$10&amp;"'!$G$22:$G$150"),$A30,INDIRECT("'"&amp;$A$10&amp;"'!$S$22:$S$150"),"Atrasada"),0)+IFERROR(COUNTIFS(INDIRECT("'"&amp;$A$11&amp;"'!$G$22:$G$150"),$A30,INDIRECT("'"&amp;$A$11&amp;"'!$S$22:$S$150"),"Atrasada"),0)+IFERROR(COUNTIFS(INDIRECT("'"&amp;$A$12&amp;"'!$G$22:$G$150"),$A30,INDIRECT("'"&amp;$A$12&amp;"'!$S$22:$S$150"),"Atrasada"),0)+IFERROR(COUNTIFS(INDIRECT("'"&amp;$A$13&amp;"'!$G$22:$G$150"),$A30,INDIRECT("'"&amp;$A$13&amp;"'!$S$22:$S$150"),"Atrasada"),0)+IFERROR(COUNTIFS(INDIRECT("'"&amp;$A$14&amp;"'!$G$22:$G$150"),$A30,INDIRECT("'"&amp;$A$14&amp;"'!$S$22:$S$150"),"Atrasada"),0)+IFERROR(COUNTIFS(INDIRECT("'"&amp;$A$15&amp;"'!$G$22:$G$150"),$A30,INDIRECT("'"&amp;$A$15&amp;"'!$S$22:$S$150"),"Atrasada"),0)+IFERROR(COUNTIFS(INDIRECT("'"&amp;$A$16&amp;"'!$G$22:$G$150"),$A30,INDIRECT("'"&amp;$A$16&amp;"'!$S$22:$S$150"),"Atrasada"),0)+IFERROR(COUNTIFS(INDIRECT("'"&amp;$A$17&amp;"'!$G$22:$G$150"),$A30,INDIRECT("'"&amp;$A$17&amp;"'!$S$22:$S$150"),"Atrasada"),0)+IFERROR(COUNTIFS(INDIRECT("'"&amp;$A$18&amp;"'!$G$22:$G$150"),$A30,INDIRECT("'"&amp;$A$18&amp;"'!$S$22:$S$150"),"Atrasada"),0)+IFERROR(COUNTIFS(INDIRECT("'"&amp;$A$19&amp;"'!$G$22:$G$150"),$A30,INDIRECT("'"&amp;$A$19&amp;"'!$S$22:$S$150"),"Atrasada"),0)+IFERROR(COUNTIFS(INDIRECT("'"&amp;$A$20&amp;"'!$G$22:$G$150"),$A30,INDIRECT("'"&amp;$A$20&amp;"'!$S$22:$S$150"),"Atrasada"),0)+IFERROR(COUNTIFS(INDIRECT("'"&amp;$A$21&amp;"'!$G$22:$G$150"),$A30,INDIRECT("'"&amp;$A$21&amp;"'!$S$22:$S$150"),"Atrasada"),0)+IFERROR(COUNTIFS(INDIRECT("'"&amp;$A$22&amp;"'!$G$22:$G$150"),$A30,INDIRECT("'"&amp;$A$22&amp;"'!$S$22:$S$150"),"Atrasada"),0)+IFERROR(COUNTIFS(INDIRECT("'"&amp;$A$23&amp;"'!$G$22:$G$150"),$A30,INDIRECT("'"&amp;$A$23&amp;"'!$S$22:$S$150"),"Atrasada"),0)+IFERROR(COUNTIFS(INDIRECT("'"&amp;$A$24&amp;"'!$G$22:$G$150"),$A30,INDIRECT("'"&amp;$A$24&amp;"'!$S$22:$S$150"),"Atrasada"),0)+IFERROR(COUNTIFS(INDIRECT("'"&amp;$A$25&amp;"'!$G$22:$G$150"),$A30,INDIRECT("'"&amp;$A$25&amp;"'!$S$22:$S$150"),"Atrasada"),0)</f>
        <v>12</v>
      </c>
      <c r="E30" s="33" t="n">
        <f aca="false">IF($B30=0,0,$C30/$B30)</f>
        <v>0</v>
      </c>
      <c r="F30" s="32" t="str">
        <f aca="false">REPT("█",ROUND($E30*15,0))&amp;REPT("░",15-ROUND($E30*15,0))</f>
        <v>░░░░░░░░░░░░░░░</v>
      </c>
      <c r="M30" s="39" t="n">
        <f aca="true">IFERROR(COUNTIFS(INDIRECT("'"&amp;$A$8&amp;"'!$G$22:$G$150"),$A30,INDIRECT("'"&amp;$A$8&amp;"'!$S$22:$S$150"),"Entregue"),0)+IFERROR(COUNTIFS(INDIRECT("'"&amp;$A$9&amp;"'!$G$22:$G$150"),$A30,INDIRECT("'"&amp;$A$9&amp;"'!$S$22:$S$150"),"Entregue"),0)+IFERROR(COUNTIFS(INDIRECT("'"&amp;$A$10&amp;"'!$G$22:$G$150"),$A30,INDIRECT("'"&amp;$A$10&amp;"'!$S$22:$S$150"),"Entregue"),0)+IFERROR(COUNTIFS(INDIRECT("'"&amp;$A$11&amp;"'!$G$22:$G$150"),$A30,INDIRECT("'"&amp;$A$11&amp;"'!$S$22:$S$150"),"Entregue"),0)+IFERROR(COUNTIFS(INDIRECT("'"&amp;$A$12&amp;"'!$G$22:$G$150"),$A30,INDIRECT("'"&amp;$A$12&amp;"'!$S$22:$S$150"),"Entregue"),0)+IFERROR(COUNTIFS(INDIRECT("'"&amp;$A$13&amp;"'!$G$22:$G$150"),$A30,INDIRECT("'"&amp;$A$13&amp;"'!$S$22:$S$150"),"Entregue"),0)+IFERROR(COUNTIFS(INDIRECT("'"&amp;$A$14&amp;"'!$G$22:$G$150"),$A30,INDIRECT("'"&amp;$A$14&amp;"'!$S$22:$S$150"),"Entregue"),0)+IFERROR(COUNTIFS(INDIRECT("'"&amp;$A$15&amp;"'!$G$22:$G$150"),$A30,INDIRECT("'"&amp;$A$15&amp;"'!$S$22:$S$150"),"Entregue"),0)+IFERROR(COUNTIFS(INDIRECT("'"&amp;$A$16&amp;"'!$G$22:$G$150"),$A30,INDIRECT("'"&amp;$A$16&amp;"'!$S$22:$S$150"),"Entregue"),0)+IFERROR(COUNTIFS(INDIRECT("'"&amp;$A$17&amp;"'!$G$22:$G$150"),$A30,INDIRECT("'"&amp;$A$17&amp;"'!$S$22:$S$150"),"Entregue"),0)+IFERROR(COUNTIFS(INDIRECT("'"&amp;$A$18&amp;"'!$G$22:$G$150"),$A30,INDIRECT("'"&amp;$A$18&amp;"'!$S$22:$S$150"),"Entregue"),0)+IFERROR(COUNTIFS(INDIRECT("'"&amp;$A$19&amp;"'!$G$22:$G$150"),$A30,INDIRECT("'"&amp;$A$19&amp;"'!$S$22:$S$150"),"Entregue"),0)+IFERROR(COUNTIFS(INDIRECT("'"&amp;$A$20&amp;"'!$G$22:$G$150"),$A30,INDIRECT("'"&amp;$A$20&amp;"'!$S$22:$S$150"),"Entregue"),0)+IFERROR(COUNTIFS(INDIRECT("'"&amp;$A$21&amp;"'!$G$22:$G$150"),$A30,INDIRECT("'"&amp;$A$21&amp;"'!$S$22:$S$150"),"Entregue"),0)+IFERROR(COUNTIFS(INDIRECT("'"&amp;$A$22&amp;"'!$G$22:$G$150"),$A30,INDIRECT("'"&amp;$A$22&amp;"'!$S$22:$S$150"),"Entregue"),0)+IFERROR(COUNTIFS(INDIRECT("'"&amp;$A$23&amp;"'!$G$22:$G$150"),$A30,INDIRECT("'"&amp;$A$23&amp;"'!$S$22:$S$150"),"Entregue"),0)+IFERROR(COUNTIFS(INDIRECT("'"&amp;$A$24&amp;"'!$G$22:$G$150"),$A30,INDIRECT("'"&amp;$A$24&amp;"'!$S$22:$S$150"),"Entregue"),0)+IFERROR(COUNTIFS(INDIRECT("'"&amp;$A$25&amp;"'!$G$22:$G$150"),$A30,INDIRECT("'"&amp;$A$25&amp;"'!$S$22:$S$150"),"Entregue"),0)</f>
        <v>0</v>
      </c>
      <c r="N30" s="39" t="n">
        <f aca="true">IFERROR(COUNTIFS(INDIRECT("'"&amp;$A$8&amp;"'!$G$22:$G$150"),$A30,INDIRECT("'"&amp;$A$8&amp;"'!$S$22:$S$150"),"Pendente"),0)+IFERROR(COUNTIFS(INDIRECT("'"&amp;$A$9&amp;"'!$G$22:$G$150"),$A30,INDIRECT("'"&amp;$A$9&amp;"'!$S$22:$S$150"),"Pendente"),0)+IFERROR(COUNTIFS(INDIRECT("'"&amp;$A$10&amp;"'!$G$22:$G$150"),$A30,INDIRECT("'"&amp;$A$10&amp;"'!$S$22:$S$150"),"Pendente"),0)+IFERROR(COUNTIFS(INDIRECT("'"&amp;$A$11&amp;"'!$G$22:$G$150"),$A30,INDIRECT("'"&amp;$A$11&amp;"'!$S$22:$S$150"),"Pendente"),0)+IFERROR(COUNTIFS(INDIRECT("'"&amp;$A$12&amp;"'!$G$22:$G$150"),$A30,INDIRECT("'"&amp;$A$12&amp;"'!$S$22:$S$150"),"Pendente"),0)+IFERROR(COUNTIFS(INDIRECT("'"&amp;$A$13&amp;"'!$G$22:$G$150"),$A30,INDIRECT("'"&amp;$A$13&amp;"'!$S$22:$S$150"),"Pendente"),0)+IFERROR(COUNTIFS(INDIRECT("'"&amp;$A$14&amp;"'!$G$22:$G$150"),$A30,INDIRECT("'"&amp;$A$14&amp;"'!$S$22:$S$150"),"Pendente"),0)+IFERROR(COUNTIFS(INDIRECT("'"&amp;$A$15&amp;"'!$G$22:$G$150"),$A30,INDIRECT("'"&amp;$A$15&amp;"'!$S$22:$S$150"),"Pendente"),0)+IFERROR(COUNTIFS(INDIRECT("'"&amp;$A$16&amp;"'!$G$22:$G$150"),$A30,INDIRECT("'"&amp;$A$16&amp;"'!$S$22:$S$150"),"Pendente"),0)+IFERROR(COUNTIFS(INDIRECT("'"&amp;$A$17&amp;"'!$G$22:$G$150"),$A30,INDIRECT("'"&amp;$A$17&amp;"'!$S$22:$S$150"),"Pendente"),0)+IFERROR(COUNTIFS(INDIRECT("'"&amp;$A$18&amp;"'!$G$22:$G$150"),$A30,INDIRECT("'"&amp;$A$18&amp;"'!$S$22:$S$150"),"Pendente"),0)+IFERROR(COUNTIFS(INDIRECT("'"&amp;$A$19&amp;"'!$G$22:$G$150"),$A30,INDIRECT("'"&amp;$A$19&amp;"'!$S$22:$S$150"),"Pendente"),0)+IFERROR(COUNTIFS(INDIRECT("'"&amp;$A$20&amp;"'!$G$22:$G$150"),$A30,INDIRECT("'"&amp;$A$20&amp;"'!$S$22:$S$150"),"Pendente"),0)+IFERROR(COUNTIFS(INDIRECT("'"&amp;$A$21&amp;"'!$G$22:$G$150"),$A30,INDIRECT("'"&amp;$A$21&amp;"'!$S$22:$S$150"),"Pendente"),0)+IFERROR(COUNTIFS(INDIRECT("'"&amp;$A$22&amp;"'!$G$22:$G$150"),$A30,INDIRECT("'"&amp;$A$22&amp;"'!$S$22:$S$150"),"Pendente"),0)+IFERROR(COUNTIFS(INDIRECT("'"&amp;$A$23&amp;"'!$G$22:$G$150"),$A30,INDIRECT("'"&amp;$A$23&amp;"'!$S$22:$S$150"),"Pendente"),0)+IFERROR(COUNTIFS(INDIRECT("'"&amp;$A$24&amp;"'!$G$22:$G$150"),$A30,INDIRECT("'"&amp;$A$24&amp;"'!$S$22:$S$150"),"Pendente"),0)+IFERROR(COUNTIFS(INDIRECT("'"&amp;$A$25&amp;"'!$G$22:$G$150"),$A30,INDIRECT("'"&amp;$A$25&amp;"'!$S$22:$S$150"),"Pendente"),0)</f>
        <v>48</v>
      </c>
      <c r="O30" s="39" t="n">
        <f aca="true">IFERROR(COUNTIFS(INDIRECT("'"&amp;$A$8&amp;"'!$G$22:$G$150"),$A30,INDIRECT("'"&amp;$A$8&amp;"'!$S$22:$S$150"),"Reprovada"),0)+IFERROR(COUNTIFS(INDIRECT("'"&amp;$A$9&amp;"'!$G$22:$G$150"),$A30,INDIRECT("'"&amp;$A$9&amp;"'!$S$22:$S$150"),"Reprovada"),0)+IFERROR(COUNTIFS(INDIRECT("'"&amp;$A$10&amp;"'!$G$22:$G$150"),$A30,INDIRECT("'"&amp;$A$10&amp;"'!$S$22:$S$150"),"Reprovada"),0)+IFERROR(COUNTIFS(INDIRECT("'"&amp;$A$11&amp;"'!$G$22:$G$150"),$A30,INDIRECT("'"&amp;$A$11&amp;"'!$S$22:$S$150"),"Reprovada"),0)+IFERROR(COUNTIFS(INDIRECT("'"&amp;$A$12&amp;"'!$G$22:$G$150"),$A30,INDIRECT("'"&amp;$A$12&amp;"'!$S$22:$S$150"),"Reprovada"),0)+IFERROR(COUNTIFS(INDIRECT("'"&amp;$A$13&amp;"'!$G$22:$G$150"),$A30,INDIRECT("'"&amp;$A$13&amp;"'!$S$22:$S$150"),"Reprovada"),0)+IFERROR(COUNTIFS(INDIRECT("'"&amp;$A$14&amp;"'!$G$22:$G$150"),$A30,INDIRECT("'"&amp;$A$14&amp;"'!$S$22:$S$150"),"Reprovada"),0)+IFERROR(COUNTIFS(INDIRECT("'"&amp;$A$15&amp;"'!$G$22:$G$150"),$A30,INDIRECT("'"&amp;$A$15&amp;"'!$S$22:$S$150"),"Reprovada"),0)+IFERROR(COUNTIFS(INDIRECT("'"&amp;$A$16&amp;"'!$G$22:$G$150"),$A30,INDIRECT("'"&amp;$A$16&amp;"'!$S$22:$S$150"),"Reprovada"),0)+IFERROR(COUNTIFS(INDIRECT("'"&amp;$A$17&amp;"'!$G$22:$G$150"),$A30,INDIRECT("'"&amp;$A$17&amp;"'!$S$22:$S$150"),"Reprovada"),0)+IFERROR(COUNTIFS(INDIRECT("'"&amp;$A$18&amp;"'!$G$22:$G$150"),$A30,INDIRECT("'"&amp;$A$18&amp;"'!$S$22:$S$150"),"Reprovada"),0)+IFERROR(COUNTIFS(INDIRECT("'"&amp;$A$19&amp;"'!$G$22:$G$150"),$A30,INDIRECT("'"&amp;$A$19&amp;"'!$S$22:$S$150"),"Reprovada"),0)+IFERROR(COUNTIFS(INDIRECT("'"&amp;$A$20&amp;"'!$G$22:$G$150"),$A30,INDIRECT("'"&amp;$A$20&amp;"'!$S$22:$S$150"),"Reprovada"),0)+IFERROR(COUNTIFS(INDIRECT("'"&amp;$A$21&amp;"'!$G$22:$G$150"),$A30,INDIRECT("'"&amp;$A$21&amp;"'!$S$22:$S$150"),"Reprovada"),0)+IFERROR(COUNTIFS(INDIRECT("'"&amp;$A$22&amp;"'!$G$22:$G$150"),$A30,INDIRECT("'"&amp;$A$22&amp;"'!$S$22:$S$150"),"Reprovada"),0)+IFERROR(COUNTIFS(INDIRECT("'"&amp;$A$23&amp;"'!$G$22:$G$150"),$A30,INDIRECT("'"&amp;$A$23&amp;"'!$S$22:$S$150"),"Reprovada"),0)+IFERROR(COUNTIFS(INDIRECT("'"&amp;$A$24&amp;"'!$G$22:$G$150"),$A30,INDIRECT("'"&amp;$A$24&amp;"'!$S$22:$S$150"),"Reprovada"),0)+IFERROR(COUNTIFS(INDIRECT("'"&amp;$A$25&amp;"'!$G$22:$G$150"),$A30,INDIRECT("'"&amp;$A$25&amp;"'!$S$22:$S$150"),"Reprovada"),0)</f>
        <v>0</v>
      </c>
    </row>
    <row r="31" customFormat="false" ht="36" hidden="false" customHeight="true" outlineLevel="0" collapsed="false">
      <c r="A31" s="9" t="s">
        <v>76</v>
      </c>
      <c r="B31" s="32" t="n">
        <f aca="false">$C31+$D31+$M31+$N31+$O31</f>
        <v>60</v>
      </c>
      <c r="C31" s="32" t="n">
        <f aca="true">IFERROR(COUNTIFS(INDIRECT("'"&amp;$A$8&amp;"'!$G$22:$G$150"),$A31,INDIRECT("'"&amp;$A$8&amp;"'!$S$22:$S$150"),"Aprovada"),0)+IFERROR(COUNTIFS(INDIRECT("'"&amp;$A$9&amp;"'!$G$22:$G$150"),$A31,INDIRECT("'"&amp;$A$9&amp;"'!$S$22:$S$150"),"Aprovada"),0)+IFERROR(COUNTIFS(INDIRECT("'"&amp;$A$10&amp;"'!$G$22:$G$150"),$A31,INDIRECT("'"&amp;$A$10&amp;"'!$S$22:$S$150"),"Aprovada"),0)+IFERROR(COUNTIFS(INDIRECT("'"&amp;$A$11&amp;"'!$G$22:$G$150"),$A31,INDIRECT("'"&amp;$A$11&amp;"'!$S$22:$S$150"),"Aprovada"),0)+IFERROR(COUNTIFS(INDIRECT("'"&amp;$A$12&amp;"'!$G$22:$G$150"),$A31,INDIRECT("'"&amp;$A$12&amp;"'!$S$22:$S$150"),"Aprovada"),0)+IFERROR(COUNTIFS(INDIRECT("'"&amp;$A$13&amp;"'!$G$22:$G$150"),$A31,INDIRECT("'"&amp;$A$13&amp;"'!$S$22:$S$150"),"Aprovada"),0)+IFERROR(COUNTIFS(INDIRECT("'"&amp;$A$14&amp;"'!$G$22:$G$150"),$A31,INDIRECT("'"&amp;$A$14&amp;"'!$S$22:$S$150"),"Aprovada"),0)+IFERROR(COUNTIFS(INDIRECT("'"&amp;$A$15&amp;"'!$G$22:$G$150"),$A31,INDIRECT("'"&amp;$A$15&amp;"'!$S$22:$S$150"),"Aprovada"),0)+IFERROR(COUNTIFS(INDIRECT("'"&amp;$A$16&amp;"'!$G$22:$G$150"),$A31,INDIRECT("'"&amp;$A$16&amp;"'!$S$22:$S$150"),"Aprovada"),0)+IFERROR(COUNTIFS(INDIRECT("'"&amp;$A$17&amp;"'!$G$22:$G$150"),$A31,INDIRECT("'"&amp;$A$17&amp;"'!$S$22:$S$150"),"Aprovada"),0)+IFERROR(COUNTIFS(INDIRECT("'"&amp;$A$18&amp;"'!$G$22:$G$150"),$A31,INDIRECT("'"&amp;$A$18&amp;"'!$S$22:$S$150"),"Aprovada"),0)+IFERROR(COUNTIFS(INDIRECT("'"&amp;$A$19&amp;"'!$G$22:$G$150"),$A31,INDIRECT("'"&amp;$A$19&amp;"'!$S$22:$S$150"),"Aprovada"),0)+IFERROR(COUNTIFS(INDIRECT("'"&amp;$A$20&amp;"'!$G$22:$G$150"),$A31,INDIRECT("'"&amp;$A$20&amp;"'!$S$22:$S$150"),"Aprovada"),0)+IFERROR(COUNTIFS(INDIRECT("'"&amp;$A$21&amp;"'!$G$22:$G$150"),$A31,INDIRECT("'"&amp;$A$21&amp;"'!$S$22:$S$150"),"Aprovada"),0)+IFERROR(COUNTIFS(INDIRECT("'"&amp;$A$22&amp;"'!$G$22:$G$150"),$A31,INDIRECT("'"&amp;$A$22&amp;"'!$S$22:$S$150"),"Aprovada"),0)+IFERROR(COUNTIFS(INDIRECT("'"&amp;$A$23&amp;"'!$G$22:$G$150"),$A31,INDIRECT("'"&amp;$A$23&amp;"'!$S$22:$S$150"),"Aprovada"),0)+IFERROR(COUNTIFS(INDIRECT("'"&amp;$A$24&amp;"'!$G$22:$G$150"),$A31,INDIRECT("'"&amp;$A$24&amp;"'!$S$22:$S$150"),"Aprovada"),0)+IFERROR(COUNTIFS(INDIRECT("'"&amp;$A$25&amp;"'!$G$22:$G$150"),$A31,INDIRECT("'"&amp;$A$25&amp;"'!$S$22:$S$150"),"Aprovada"),0)</f>
        <v>0</v>
      </c>
      <c r="D31" s="32" t="n">
        <f aca="true">IFERROR(COUNTIFS(INDIRECT("'"&amp;$A$8&amp;"'!$G$22:$G$150"),$A31,INDIRECT("'"&amp;$A$8&amp;"'!$S$22:$S$150"),"Atrasada"),0)+IFERROR(COUNTIFS(INDIRECT("'"&amp;$A$9&amp;"'!$G$22:$G$150"),$A31,INDIRECT("'"&amp;$A$9&amp;"'!$S$22:$S$150"),"Atrasada"),0)+IFERROR(COUNTIFS(INDIRECT("'"&amp;$A$10&amp;"'!$G$22:$G$150"),$A31,INDIRECT("'"&amp;$A$10&amp;"'!$S$22:$S$150"),"Atrasada"),0)+IFERROR(COUNTIFS(INDIRECT("'"&amp;$A$11&amp;"'!$G$22:$G$150"),$A31,INDIRECT("'"&amp;$A$11&amp;"'!$S$22:$S$150"),"Atrasada"),0)+IFERROR(COUNTIFS(INDIRECT("'"&amp;$A$12&amp;"'!$G$22:$G$150"),$A31,INDIRECT("'"&amp;$A$12&amp;"'!$S$22:$S$150"),"Atrasada"),0)+IFERROR(COUNTIFS(INDIRECT("'"&amp;$A$13&amp;"'!$G$22:$G$150"),$A31,INDIRECT("'"&amp;$A$13&amp;"'!$S$22:$S$150"),"Atrasada"),0)+IFERROR(COUNTIFS(INDIRECT("'"&amp;$A$14&amp;"'!$G$22:$G$150"),$A31,INDIRECT("'"&amp;$A$14&amp;"'!$S$22:$S$150"),"Atrasada"),0)+IFERROR(COUNTIFS(INDIRECT("'"&amp;$A$15&amp;"'!$G$22:$G$150"),$A31,INDIRECT("'"&amp;$A$15&amp;"'!$S$22:$S$150"),"Atrasada"),0)+IFERROR(COUNTIFS(INDIRECT("'"&amp;$A$16&amp;"'!$G$22:$G$150"),$A31,INDIRECT("'"&amp;$A$16&amp;"'!$S$22:$S$150"),"Atrasada"),0)+IFERROR(COUNTIFS(INDIRECT("'"&amp;$A$17&amp;"'!$G$22:$G$150"),$A31,INDIRECT("'"&amp;$A$17&amp;"'!$S$22:$S$150"),"Atrasada"),0)+IFERROR(COUNTIFS(INDIRECT("'"&amp;$A$18&amp;"'!$G$22:$G$150"),$A31,INDIRECT("'"&amp;$A$18&amp;"'!$S$22:$S$150"),"Atrasada"),0)+IFERROR(COUNTIFS(INDIRECT("'"&amp;$A$19&amp;"'!$G$22:$G$150"),$A31,INDIRECT("'"&amp;$A$19&amp;"'!$S$22:$S$150"),"Atrasada"),0)+IFERROR(COUNTIFS(INDIRECT("'"&amp;$A$20&amp;"'!$G$22:$G$150"),$A31,INDIRECT("'"&amp;$A$20&amp;"'!$S$22:$S$150"),"Atrasada"),0)+IFERROR(COUNTIFS(INDIRECT("'"&amp;$A$21&amp;"'!$G$22:$G$150"),$A31,INDIRECT("'"&amp;$A$21&amp;"'!$S$22:$S$150"),"Atrasada"),0)+IFERROR(COUNTIFS(INDIRECT("'"&amp;$A$22&amp;"'!$G$22:$G$150"),$A31,INDIRECT("'"&amp;$A$22&amp;"'!$S$22:$S$150"),"Atrasada"),0)+IFERROR(COUNTIFS(INDIRECT("'"&amp;$A$23&amp;"'!$G$22:$G$150"),$A31,INDIRECT("'"&amp;$A$23&amp;"'!$S$22:$S$150"),"Atrasada"),0)+IFERROR(COUNTIFS(INDIRECT("'"&amp;$A$24&amp;"'!$G$22:$G$150"),$A31,INDIRECT("'"&amp;$A$24&amp;"'!$S$22:$S$150"),"Atrasada"),0)+IFERROR(COUNTIFS(INDIRECT("'"&amp;$A$25&amp;"'!$G$22:$G$150"),$A31,INDIRECT("'"&amp;$A$25&amp;"'!$S$22:$S$150"),"Atrasada"),0)</f>
        <v>12</v>
      </c>
      <c r="E31" s="33" t="n">
        <f aca="false">IF($B31=0,0,$C31/$B31)</f>
        <v>0</v>
      </c>
      <c r="F31" s="32" t="str">
        <f aca="false">REPT("█",ROUND($E31*15,0))&amp;REPT("░",15-ROUND($E31*15,0))</f>
        <v>░░░░░░░░░░░░░░░</v>
      </c>
      <c r="M31" s="39" t="n">
        <f aca="true">IFERROR(COUNTIFS(INDIRECT("'"&amp;$A$8&amp;"'!$G$22:$G$150"),$A31,INDIRECT("'"&amp;$A$8&amp;"'!$S$22:$S$150"),"Entregue"),0)+IFERROR(COUNTIFS(INDIRECT("'"&amp;$A$9&amp;"'!$G$22:$G$150"),$A31,INDIRECT("'"&amp;$A$9&amp;"'!$S$22:$S$150"),"Entregue"),0)+IFERROR(COUNTIFS(INDIRECT("'"&amp;$A$10&amp;"'!$G$22:$G$150"),$A31,INDIRECT("'"&amp;$A$10&amp;"'!$S$22:$S$150"),"Entregue"),0)+IFERROR(COUNTIFS(INDIRECT("'"&amp;$A$11&amp;"'!$G$22:$G$150"),$A31,INDIRECT("'"&amp;$A$11&amp;"'!$S$22:$S$150"),"Entregue"),0)+IFERROR(COUNTIFS(INDIRECT("'"&amp;$A$12&amp;"'!$G$22:$G$150"),$A31,INDIRECT("'"&amp;$A$12&amp;"'!$S$22:$S$150"),"Entregue"),0)+IFERROR(COUNTIFS(INDIRECT("'"&amp;$A$13&amp;"'!$G$22:$G$150"),$A31,INDIRECT("'"&amp;$A$13&amp;"'!$S$22:$S$150"),"Entregue"),0)+IFERROR(COUNTIFS(INDIRECT("'"&amp;$A$14&amp;"'!$G$22:$G$150"),$A31,INDIRECT("'"&amp;$A$14&amp;"'!$S$22:$S$150"),"Entregue"),0)+IFERROR(COUNTIFS(INDIRECT("'"&amp;$A$15&amp;"'!$G$22:$G$150"),$A31,INDIRECT("'"&amp;$A$15&amp;"'!$S$22:$S$150"),"Entregue"),0)+IFERROR(COUNTIFS(INDIRECT("'"&amp;$A$16&amp;"'!$G$22:$G$150"),$A31,INDIRECT("'"&amp;$A$16&amp;"'!$S$22:$S$150"),"Entregue"),0)+IFERROR(COUNTIFS(INDIRECT("'"&amp;$A$17&amp;"'!$G$22:$G$150"),$A31,INDIRECT("'"&amp;$A$17&amp;"'!$S$22:$S$150"),"Entregue"),0)+IFERROR(COUNTIFS(INDIRECT("'"&amp;$A$18&amp;"'!$G$22:$G$150"),$A31,INDIRECT("'"&amp;$A$18&amp;"'!$S$22:$S$150"),"Entregue"),0)+IFERROR(COUNTIFS(INDIRECT("'"&amp;$A$19&amp;"'!$G$22:$G$150"),$A31,INDIRECT("'"&amp;$A$19&amp;"'!$S$22:$S$150"),"Entregue"),0)+IFERROR(COUNTIFS(INDIRECT("'"&amp;$A$20&amp;"'!$G$22:$G$150"),$A31,INDIRECT("'"&amp;$A$20&amp;"'!$S$22:$S$150"),"Entregue"),0)+IFERROR(COUNTIFS(INDIRECT("'"&amp;$A$21&amp;"'!$G$22:$G$150"),$A31,INDIRECT("'"&amp;$A$21&amp;"'!$S$22:$S$150"),"Entregue"),0)+IFERROR(COUNTIFS(INDIRECT("'"&amp;$A$22&amp;"'!$G$22:$G$150"),$A31,INDIRECT("'"&amp;$A$22&amp;"'!$S$22:$S$150"),"Entregue"),0)+IFERROR(COUNTIFS(INDIRECT("'"&amp;$A$23&amp;"'!$G$22:$G$150"),$A31,INDIRECT("'"&amp;$A$23&amp;"'!$S$22:$S$150"),"Entregue"),0)+IFERROR(COUNTIFS(INDIRECT("'"&amp;$A$24&amp;"'!$G$22:$G$150"),$A31,INDIRECT("'"&amp;$A$24&amp;"'!$S$22:$S$150"),"Entregue"),0)+IFERROR(COUNTIFS(INDIRECT("'"&amp;$A$25&amp;"'!$G$22:$G$150"),$A31,INDIRECT("'"&amp;$A$25&amp;"'!$S$22:$S$150"),"Entregue"),0)</f>
        <v>0</v>
      </c>
      <c r="N31" s="39" t="n">
        <f aca="true">IFERROR(COUNTIFS(INDIRECT("'"&amp;$A$8&amp;"'!$G$22:$G$150"),$A31,INDIRECT("'"&amp;$A$8&amp;"'!$S$22:$S$150"),"Pendente"),0)+IFERROR(COUNTIFS(INDIRECT("'"&amp;$A$9&amp;"'!$G$22:$G$150"),$A31,INDIRECT("'"&amp;$A$9&amp;"'!$S$22:$S$150"),"Pendente"),0)+IFERROR(COUNTIFS(INDIRECT("'"&amp;$A$10&amp;"'!$G$22:$G$150"),$A31,INDIRECT("'"&amp;$A$10&amp;"'!$S$22:$S$150"),"Pendente"),0)+IFERROR(COUNTIFS(INDIRECT("'"&amp;$A$11&amp;"'!$G$22:$G$150"),$A31,INDIRECT("'"&amp;$A$11&amp;"'!$S$22:$S$150"),"Pendente"),0)+IFERROR(COUNTIFS(INDIRECT("'"&amp;$A$12&amp;"'!$G$22:$G$150"),$A31,INDIRECT("'"&amp;$A$12&amp;"'!$S$22:$S$150"),"Pendente"),0)+IFERROR(COUNTIFS(INDIRECT("'"&amp;$A$13&amp;"'!$G$22:$G$150"),$A31,INDIRECT("'"&amp;$A$13&amp;"'!$S$22:$S$150"),"Pendente"),0)+IFERROR(COUNTIFS(INDIRECT("'"&amp;$A$14&amp;"'!$G$22:$G$150"),$A31,INDIRECT("'"&amp;$A$14&amp;"'!$S$22:$S$150"),"Pendente"),0)+IFERROR(COUNTIFS(INDIRECT("'"&amp;$A$15&amp;"'!$G$22:$G$150"),$A31,INDIRECT("'"&amp;$A$15&amp;"'!$S$22:$S$150"),"Pendente"),0)+IFERROR(COUNTIFS(INDIRECT("'"&amp;$A$16&amp;"'!$G$22:$G$150"),$A31,INDIRECT("'"&amp;$A$16&amp;"'!$S$22:$S$150"),"Pendente"),0)+IFERROR(COUNTIFS(INDIRECT("'"&amp;$A$17&amp;"'!$G$22:$G$150"),$A31,INDIRECT("'"&amp;$A$17&amp;"'!$S$22:$S$150"),"Pendente"),0)+IFERROR(COUNTIFS(INDIRECT("'"&amp;$A$18&amp;"'!$G$22:$G$150"),$A31,INDIRECT("'"&amp;$A$18&amp;"'!$S$22:$S$150"),"Pendente"),0)+IFERROR(COUNTIFS(INDIRECT("'"&amp;$A$19&amp;"'!$G$22:$G$150"),$A31,INDIRECT("'"&amp;$A$19&amp;"'!$S$22:$S$150"),"Pendente"),0)+IFERROR(COUNTIFS(INDIRECT("'"&amp;$A$20&amp;"'!$G$22:$G$150"),$A31,INDIRECT("'"&amp;$A$20&amp;"'!$S$22:$S$150"),"Pendente"),0)+IFERROR(COUNTIFS(INDIRECT("'"&amp;$A$21&amp;"'!$G$22:$G$150"),$A31,INDIRECT("'"&amp;$A$21&amp;"'!$S$22:$S$150"),"Pendente"),0)+IFERROR(COUNTIFS(INDIRECT("'"&amp;$A$22&amp;"'!$G$22:$G$150"),$A31,INDIRECT("'"&amp;$A$22&amp;"'!$S$22:$S$150"),"Pendente"),0)+IFERROR(COUNTIFS(INDIRECT("'"&amp;$A$23&amp;"'!$G$22:$G$150"),$A31,INDIRECT("'"&amp;$A$23&amp;"'!$S$22:$S$150"),"Pendente"),0)+IFERROR(COUNTIFS(INDIRECT("'"&amp;$A$24&amp;"'!$G$22:$G$150"),$A31,INDIRECT("'"&amp;$A$24&amp;"'!$S$22:$S$150"),"Pendente"),0)+IFERROR(COUNTIFS(INDIRECT("'"&amp;$A$25&amp;"'!$G$22:$G$150"),$A31,INDIRECT("'"&amp;$A$25&amp;"'!$S$22:$S$150"),"Pendente"),0)</f>
        <v>48</v>
      </c>
      <c r="O31" s="39" t="n">
        <f aca="true">IFERROR(COUNTIFS(INDIRECT("'"&amp;$A$8&amp;"'!$G$22:$G$150"),$A31,INDIRECT("'"&amp;$A$8&amp;"'!$S$22:$S$150"),"Reprovada"),0)+IFERROR(COUNTIFS(INDIRECT("'"&amp;$A$9&amp;"'!$G$22:$G$150"),$A31,INDIRECT("'"&amp;$A$9&amp;"'!$S$22:$S$150"),"Reprovada"),0)+IFERROR(COUNTIFS(INDIRECT("'"&amp;$A$10&amp;"'!$G$22:$G$150"),$A31,INDIRECT("'"&amp;$A$10&amp;"'!$S$22:$S$150"),"Reprovada"),0)+IFERROR(COUNTIFS(INDIRECT("'"&amp;$A$11&amp;"'!$G$22:$G$150"),$A31,INDIRECT("'"&amp;$A$11&amp;"'!$S$22:$S$150"),"Reprovada"),0)+IFERROR(COUNTIFS(INDIRECT("'"&amp;$A$12&amp;"'!$G$22:$G$150"),$A31,INDIRECT("'"&amp;$A$12&amp;"'!$S$22:$S$150"),"Reprovada"),0)+IFERROR(COUNTIFS(INDIRECT("'"&amp;$A$13&amp;"'!$G$22:$G$150"),$A31,INDIRECT("'"&amp;$A$13&amp;"'!$S$22:$S$150"),"Reprovada"),0)+IFERROR(COUNTIFS(INDIRECT("'"&amp;$A$14&amp;"'!$G$22:$G$150"),$A31,INDIRECT("'"&amp;$A$14&amp;"'!$S$22:$S$150"),"Reprovada"),0)+IFERROR(COUNTIFS(INDIRECT("'"&amp;$A$15&amp;"'!$G$22:$G$150"),$A31,INDIRECT("'"&amp;$A$15&amp;"'!$S$22:$S$150"),"Reprovada"),0)+IFERROR(COUNTIFS(INDIRECT("'"&amp;$A$16&amp;"'!$G$22:$G$150"),$A31,INDIRECT("'"&amp;$A$16&amp;"'!$S$22:$S$150"),"Reprovada"),0)+IFERROR(COUNTIFS(INDIRECT("'"&amp;$A$17&amp;"'!$G$22:$G$150"),$A31,INDIRECT("'"&amp;$A$17&amp;"'!$S$22:$S$150"),"Reprovada"),0)+IFERROR(COUNTIFS(INDIRECT("'"&amp;$A$18&amp;"'!$G$22:$G$150"),$A31,INDIRECT("'"&amp;$A$18&amp;"'!$S$22:$S$150"),"Reprovada"),0)+IFERROR(COUNTIFS(INDIRECT("'"&amp;$A$19&amp;"'!$G$22:$G$150"),$A31,INDIRECT("'"&amp;$A$19&amp;"'!$S$22:$S$150"),"Reprovada"),0)+IFERROR(COUNTIFS(INDIRECT("'"&amp;$A$20&amp;"'!$G$22:$G$150"),$A31,INDIRECT("'"&amp;$A$20&amp;"'!$S$22:$S$150"),"Reprovada"),0)+IFERROR(COUNTIFS(INDIRECT("'"&amp;$A$21&amp;"'!$G$22:$G$150"),$A31,INDIRECT("'"&amp;$A$21&amp;"'!$S$22:$S$150"),"Reprovada"),0)+IFERROR(COUNTIFS(INDIRECT("'"&amp;$A$22&amp;"'!$G$22:$G$150"),$A31,INDIRECT("'"&amp;$A$22&amp;"'!$S$22:$S$150"),"Reprovada"),0)+IFERROR(COUNTIFS(INDIRECT("'"&amp;$A$23&amp;"'!$G$22:$G$150"),$A31,INDIRECT("'"&amp;$A$23&amp;"'!$S$22:$S$150"),"Reprovada"),0)+IFERROR(COUNTIFS(INDIRECT("'"&amp;$A$24&amp;"'!$G$22:$G$150"),$A31,INDIRECT("'"&amp;$A$24&amp;"'!$S$22:$S$150"),"Reprovada"),0)+IFERROR(COUNTIFS(INDIRECT("'"&amp;$A$25&amp;"'!$G$22:$G$150"),$A31,INDIRECT("'"&amp;$A$25&amp;"'!$S$22:$S$150"),"Reprovada"),0)</f>
        <v>0</v>
      </c>
    </row>
    <row r="32" customFormat="false" ht="36" hidden="false" customHeight="true" outlineLevel="0" collapsed="false">
      <c r="A32" s="9" t="s">
        <v>77</v>
      </c>
      <c r="B32" s="32" t="n">
        <f aca="false">$C32+$D32+$M32+$N32+$O32</f>
        <v>60</v>
      </c>
      <c r="C32" s="32" t="n">
        <f aca="true">IFERROR(COUNTIFS(INDIRECT("'"&amp;$A$8&amp;"'!$G$22:$G$150"),$A32,INDIRECT("'"&amp;$A$8&amp;"'!$S$22:$S$150"),"Aprovada"),0)+IFERROR(COUNTIFS(INDIRECT("'"&amp;$A$9&amp;"'!$G$22:$G$150"),$A32,INDIRECT("'"&amp;$A$9&amp;"'!$S$22:$S$150"),"Aprovada"),0)+IFERROR(COUNTIFS(INDIRECT("'"&amp;$A$10&amp;"'!$G$22:$G$150"),$A32,INDIRECT("'"&amp;$A$10&amp;"'!$S$22:$S$150"),"Aprovada"),0)+IFERROR(COUNTIFS(INDIRECT("'"&amp;$A$11&amp;"'!$G$22:$G$150"),$A32,INDIRECT("'"&amp;$A$11&amp;"'!$S$22:$S$150"),"Aprovada"),0)+IFERROR(COUNTIFS(INDIRECT("'"&amp;$A$12&amp;"'!$G$22:$G$150"),$A32,INDIRECT("'"&amp;$A$12&amp;"'!$S$22:$S$150"),"Aprovada"),0)+IFERROR(COUNTIFS(INDIRECT("'"&amp;$A$13&amp;"'!$G$22:$G$150"),$A32,INDIRECT("'"&amp;$A$13&amp;"'!$S$22:$S$150"),"Aprovada"),0)+IFERROR(COUNTIFS(INDIRECT("'"&amp;$A$14&amp;"'!$G$22:$G$150"),$A32,INDIRECT("'"&amp;$A$14&amp;"'!$S$22:$S$150"),"Aprovada"),0)+IFERROR(COUNTIFS(INDIRECT("'"&amp;$A$15&amp;"'!$G$22:$G$150"),$A32,INDIRECT("'"&amp;$A$15&amp;"'!$S$22:$S$150"),"Aprovada"),0)+IFERROR(COUNTIFS(INDIRECT("'"&amp;$A$16&amp;"'!$G$22:$G$150"),$A32,INDIRECT("'"&amp;$A$16&amp;"'!$S$22:$S$150"),"Aprovada"),0)+IFERROR(COUNTIFS(INDIRECT("'"&amp;$A$17&amp;"'!$G$22:$G$150"),$A32,INDIRECT("'"&amp;$A$17&amp;"'!$S$22:$S$150"),"Aprovada"),0)+IFERROR(COUNTIFS(INDIRECT("'"&amp;$A$18&amp;"'!$G$22:$G$150"),$A32,INDIRECT("'"&amp;$A$18&amp;"'!$S$22:$S$150"),"Aprovada"),0)+IFERROR(COUNTIFS(INDIRECT("'"&amp;$A$19&amp;"'!$G$22:$G$150"),$A32,INDIRECT("'"&amp;$A$19&amp;"'!$S$22:$S$150"),"Aprovada"),0)+IFERROR(COUNTIFS(INDIRECT("'"&amp;$A$20&amp;"'!$G$22:$G$150"),$A32,INDIRECT("'"&amp;$A$20&amp;"'!$S$22:$S$150"),"Aprovada"),0)+IFERROR(COUNTIFS(INDIRECT("'"&amp;$A$21&amp;"'!$G$22:$G$150"),$A32,INDIRECT("'"&amp;$A$21&amp;"'!$S$22:$S$150"),"Aprovada"),0)+IFERROR(COUNTIFS(INDIRECT("'"&amp;$A$22&amp;"'!$G$22:$G$150"),$A32,INDIRECT("'"&amp;$A$22&amp;"'!$S$22:$S$150"),"Aprovada"),0)+IFERROR(COUNTIFS(INDIRECT("'"&amp;$A$23&amp;"'!$G$22:$G$150"),$A32,INDIRECT("'"&amp;$A$23&amp;"'!$S$22:$S$150"),"Aprovada"),0)+IFERROR(COUNTIFS(INDIRECT("'"&amp;$A$24&amp;"'!$G$22:$G$150"),$A32,INDIRECT("'"&amp;$A$24&amp;"'!$S$22:$S$150"),"Aprovada"),0)+IFERROR(COUNTIFS(INDIRECT("'"&amp;$A$25&amp;"'!$G$22:$G$150"),$A32,INDIRECT("'"&amp;$A$25&amp;"'!$S$22:$S$150"),"Aprovada"),0)</f>
        <v>0</v>
      </c>
      <c r="D32" s="32" t="n">
        <f aca="true">IFERROR(COUNTIFS(INDIRECT("'"&amp;$A$8&amp;"'!$G$22:$G$150"),$A32,INDIRECT("'"&amp;$A$8&amp;"'!$S$22:$S$150"),"Atrasada"),0)+IFERROR(COUNTIFS(INDIRECT("'"&amp;$A$9&amp;"'!$G$22:$G$150"),$A32,INDIRECT("'"&amp;$A$9&amp;"'!$S$22:$S$150"),"Atrasada"),0)+IFERROR(COUNTIFS(INDIRECT("'"&amp;$A$10&amp;"'!$G$22:$G$150"),$A32,INDIRECT("'"&amp;$A$10&amp;"'!$S$22:$S$150"),"Atrasada"),0)+IFERROR(COUNTIFS(INDIRECT("'"&amp;$A$11&amp;"'!$G$22:$G$150"),$A32,INDIRECT("'"&amp;$A$11&amp;"'!$S$22:$S$150"),"Atrasada"),0)+IFERROR(COUNTIFS(INDIRECT("'"&amp;$A$12&amp;"'!$G$22:$G$150"),$A32,INDIRECT("'"&amp;$A$12&amp;"'!$S$22:$S$150"),"Atrasada"),0)+IFERROR(COUNTIFS(INDIRECT("'"&amp;$A$13&amp;"'!$G$22:$G$150"),$A32,INDIRECT("'"&amp;$A$13&amp;"'!$S$22:$S$150"),"Atrasada"),0)+IFERROR(COUNTIFS(INDIRECT("'"&amp;$A$14&amp;"'!$G$22:$G$150"),$A32,INDIRECT("'"&amp;$A$14&amp;"'!$S$22:$S$150"),"Atrasada"),0)+IFERROR(COUNTIFS(INDIRECT("'"&amp;$A$15&amp;"'!$G$22:$G$150"),$A32,INDIRECT("'"&amp;$A$15&amp;"'!$S$22:$S$150"),"Atrasada"),0)+IFERROR(COUNTIFS(INDIRECT("'"&amp;$A$16&amp;"'!$G$22:$G$150"),$A32,INDIRECT("'"&amp;$A$16&amp;"'!$S$22:$S$150"),"Atrasada"),0)+IFERROR(COUNTIFS(INDIRECT("'"&amp;$A$17&amp;"'!$G$22:$G$150"),$A32,INDIRECT("'"&amp;$A$17&amp;"'!$S$22:$S$150"),"Atrasada"),0)+IFERROR(COUNTIFS(INDIRECT("'"&amp;$A$18&amp;"'!$G$22:$G$150"),$A32,INDIRECT("'"&amp;$A$18&amp;"'!$S$22:$S$150"),"Atrasada"),0)+IFERROR(COUNTIFS(INDIRECT("'"&amp;$A$19&amp;"'!$G$22:$G$150"),$A32,INDIRECT("'"&amp;$A$19&amp;"'!$S$22:$S$150"),"Atrasada"),0)+IFERROR(COUNTIFS(INDIRECT("'"&amp;$A$20&amp;"'!$G$22:$G$150"),$A32,INDIRECT("'"&amp;$A$20&amp;"'!$S$22:$S$150"),"Atrasada"),0)+IFERROR(COUNTIFS(INDIRECT("'"&amp;$A$21&amp;"'!$G$22:$G$150"),$A32,INDIRECT("'"&amp;$A$21&amp;"'!$S$22:$S$150"),"Atrasada"),0)+IFERROR(COUNTIFS(INDIRECT("'"&amp;$A$22&amp;"'!$G$22:$G$150"),$A32,INDIRECT("'"&amp;$A$22&amp;"'!$S$22:$S$150"),"Atrasada"),0)+IFERROR(COUNTIFS(INDIRECT("'"&amp;$A$23&amp;"'!$G$22:$G$150"),$A32,INDIRECT("'"&amp;$A$23&amp;"'!$S$22:$S$150"),"Atrasada"),0)+IFERROR(COUNTIFS(INDIRECT("'"&amp;$A$24&amp;"'!$G$22:$G$150"),$A32,INDIRECT("'"&amp;$A$24&amp;"'!$S$22:$S$150"),"Atrasada"),0)+IFERROR(COUNTIFS(INDIRECT("'"&amp;$A$25&amp;"'!$G$22:$G$150"),$A32,INDIRECT("'"&amp;$A$25&amp;"'!$S$22:$S$150"),"Atrasada"),0)</f>
        <v>12</v>
      </c>
      <c r="E32" s="33" t="n">
        <f aca="false">IF($B32=0,0,$C32/$B32)</f>
        <v>0</v>
      </c>
      <c r="F32" s="32" t="str">
        <f aca="false">REPT("█",ROUND($E32*15,0))&amp;REPT("░",15-ROUND($E32*15,0))</f>
        <v>░░░░░░░░░░░░░░░</v>
      </c>
      <c r="M32" s="39" t="n">
        <f aca="true">IFERROR(COUNTIFS(INDIRECT("'"&amp;$A$8&amp;"'!$G$22:$G$150"),$A32,INDIRECT("'"&amp;$A$8&amp;"'!$S$22:$S$150"),"Entregue"),0)+IFERROR(COUNTIFS(INDIRECT("'"&amp;$A$9&amp;"'!$G$22:$G$150"),$A32,INDIRECT("'"&amp;$A$9&amp;"'!$S$22:$S$150"),"Entregue"),0)+IFERROR(COUNTIFS(INDIRECT("'"&amp;$A$10&amp;"'!$G$22:$G$150"),$A32,INDIRECT("'"&amp;$A$10&amp;"'!$S$22:$S$150"),"Entregue"),0)+IFERROR(COUNTIFS(INDIRECT("'"&amp;$A$11&amp;"'!$G$22:$G$150"),$A32,INDIRECT("'"&amp;$A$11&amp;"'!$S$22:$S$150"),"Entregue"),0)+IFERROR(COUNTIFS(INDIRECT("'"&amp;$A$12&amp;"'!$G$22:$G$150"),$A32,INDIRECT("'"&amp;$A$12&amp;"'!$S$22:$S$150"),"Entregue"),0)+IFERROR(COUNTIFS(INDIRECT("'"&amp;$A$13&amp;"'!$G$22:$G$150"),$A32,INDIRECT("'"&amp;$A$13&amp;"'!$S$22:$S$150"),"Entregue"),0)+IFERROR(COUNTIFS(INDIRECT("'"&amp;$A$14&amp;"'!$G$22:$G$150"),$A32,INDIRECT("'"&amp;$A$14&amp;"'!$S$22:$S$150"),"Entregue"),0)+IFERROR(COUNTIFS(INDIRECT("'"&amp;$A$15&amp;"'!$G$22:$G$150"),$A32,INDIRECT("'"&amp;$A$15&amp;"'!$S$22:$S$150"),"Entregue"),0)+IFERROR(COUNTIFS(INDIRECT("'"&amp;$A$16&amp;"'!$G$22:$G$150"),$A32,INDIRECT("'"&amp;$A$16&amp;"'!$S$22:$S$150"),"Entregue"),0)+IFERROR(COUNTIFS(INDIRECT("'"&amp;$A$17&amp;"'!$G$22:$G$150"),$A32,INDIRECT("'"&amp;$A$17&amp;"'!$S$22:$S$150"),"Entregue"),0)+IFERROR(COUNTIFS(INDIRECT("'"&amp;$A$18&amp;"'!$G$22:$G$150"),$A32,INDIRECT("'"&amp;$A$18&amp;"'!$S$22:$S$150"),"Entregue"),0)+IFERROR(COUNTIFS(INDIRECT("'"&amp;$A$19&amp;"'!$G$22:$G$150"),$A32,INDIRECT("'"&amp;$A$19&amp;"'!$S$22:$S$150"),"Entregue"),0)+IFERROR(COUNTIFS(INDIRECT("'"&amp;$A$20&amp;"'!$G$22:$G$150"),$A32,INDIRECT("'"&amp;$A$20&amp;"'!$S$22:$S$150"),"Entregue"),0)+IFERROR(COUNTIFS(INDIRECT("'"&amp;$A$21&amp;"'!$G$22:$G$150"),$A32,INDIRECT("'"&amp;$A$21&amp;"'!$S$22:$S$150"),"Entregue"),0)+IFERROR(COUNTIFS(INDIRECT("'"&amp;$A$22&amp;"'!$G$22:$G$150"),$A32,INDIRECT("'"&amp;$A$22&amp;"'!$S$22:$S$150"),"Entregue"),0)+IFERROR(COUNTIFS(INDIRECT("'"&amp;$A$23&amp;"'!$G$22:$G$150"),$A32,INDIRECT("'"&amp;$A$23&amp;"'!$S$22:$S$150"),"Entregue"),0)+IFERROR(COUNTIFS(INDIRECT("'"&amp;$A$24&amp;"'!$G$22:$G$150"),$A32,INDIRECT("'"&amp;$A$24&amp;"'!$S$22:$S$150"),"Entregue"),0)+IFERROR(COUNTIFS(INDIRECT("'"&amp;$A$25&amp;"'!$G$22:$G$150"),$A32,INDIRECT("'"&amp;$A$25&amp;"'!$S$22:$S$150"),"Entregue"),0)</f>
        <v>0</v>
      </c>
      <c r="N32" s="39" t="n">
        <f aca="true">IFERROR(COUNTIFS(INDIRECT("'"&amp;$A$8&amp;"'!$G$22:$G$150"),$A32,INDIRECT("'"&amp;$A$8&amp;"'!$S$22:$S$150"),"Pendente"),0)+IFERROR(COUNTIFS(INDIRECT("'"&amp;$A$9&amp;"'!$G$22:$G$150"),$A32,INDIRECT("'"&amp;$A$9&amp;"'!$S$22:$S$150"),"Pendente"),0)+IFERROR(COUNTIFS(INDIRECT("'"&amp;$A$10&amp;"'!$G$22:$G$150"),$A32,INDIRECT("'"&amp;$A$10&amp;"'!$S$22:$S$150"),"Pendente"),0)+IFERROR(COUNTIFS(INDIRECT("'"&amp;$A$11&amp;"'!$G$22:$G$150"),$A32,INDIRECT("'"&amp;$A$11&amp;"'!$S$22:$S$150"),"Pendente"),0)+IFERROR(COUNTIFS(INDIRECT("'"&amp;$A$12&amp;"'!$G$22:$G$150"),$A32,INDIRECT("'"&amp;$A$12&amp;"'!$S$22:$S$150"),"Pendente"),0)+IFERROR(COUNTIFS(INDIRECT("'"&amp;$A$13&amp;"'!$G$22:$G$150"),$A32,INDIRECT("'"&amp;$A$13&amp;"'!$S$22:$S$150"),"Pendente"),0)+IFERROR(COUNTIFS(INDIRECT("'"&amp;$A$14&amp;"'!$G$22:$G$150"),$A32,INDIRECT("'"&amp;$A$14&amp;"'!$S$22:$S$150"),"Pendente"),0)+IFERROR(COUNTIFS(INDIRECT("'"&amp;$A$15&amp;"'!$G$22:$G$150"),$A32,INDIRECT("'"&amp;$A$15&amp;"'!$S$22:$S$150"),"Pendente"),0)+IFERROR(COUNTIFS(INDIRECT("'"&amp;$A$16&amp;"'!$G$22:$G$150"),$A32,INDIRECT("'"&amp;$A$16&amp;"'!$S$22:$S$150"),"Pendente"),0)+IFERROR(COUNTIFS(INDIRECT("'"&amp;$A$17&amp;"'!$G$22:$G$150"),$A32,INDIRECT("'"&amp;$A$17&amp;"'!$S$22:$S$150"),"Pendente"),0)+IFERROR(COUNTIFS(INDIRECT("'"&amp;$A$18&amp;"'!$G$22:$G$150"),$A32,INDIRECT("'"&amp;$A$18&amp;"'!$S$22:$S$150"),"Pendente"),0)+IFERROR(COUNTIFS(INDIRECT("'"&amp;$A$19&amp;"'!$G$22:$G$150"),$A32,INDIRECT("'"&amp;$A$19&amp;"'!$S$22:$S$150"),"Pendente"),0)+IFERROR(COUNTIFS(INDIRECT("'"&amp;$A$20&amp;"'!$G$22:$G$150"),$A32,INDIRECT("'"&amp;$A$20&amp;"'!$S$22:$S$150"),"Pendente"),0)+IFERROR(COUNTIFS(INDIRECT("'"&amp;$A$21&amp;"'!$G$22:$G$150"),$A32,INDIRECT("'"&amp;$A$21&amp;"'!$S$22:$S$150"),"Pendente"),0)+IFERROR(COUNTIFS(INDIRECT("'"&amp;$A$22&amp;"'!$G$22:$G$150"),$A32,INDIRECT("'"&amp;$A$22&amp;"'!$S$22:$S$150"),"Pendente"),0)+IFERROR(COUNTIFS(INDIRECT("'"&amp;$A$23&amp;"'!$G$22:$G$150"),$A32,INDIRECT("'"&amp;$A$23&amp;"'!$S$22:$S$150"),"Pendente"),0)+IFERROR(COUNTIFS(INDIRECT("'"&amp;$A$24&amp;"'!$G$22:$G$150"),$A32,INDIRECT("'"&amp;$A$24&amp;"'!$S$22:$S$150"),"Pendente"),0)+IFERROR(COUNTIFS(INDIRECT("'"&amp;$A$25&amp;"'!$G$22:$G$150"),$A32,INDIRECT("'"&amp;$A$25&amp;"'!$S$22:$S$150"),"Pendente"),0)</f>
        <v>48</v>
      </c>
      <c r="O32" s="39" t="n">
        <f aca="true">IFERROR(COUNTIFS(INDIRECT("'"&amp;$A$8&amp;"'!$G$22:$G$150"),$A32,INDIRECT("'"&amp;$A$8&amp;"'!$S$22:$S$150"),"Reprovada"),0)+IFERROR(COUNTIFS(INDIRECT("'"&amp;$A$9&amp;"'!$G$22:$G$150"),$A32,INDIRECT("'"&amp;$A$9&amp;"'!$S$22:$S$150"),"Reprovada"),0)+IFERROR(COUNTIFS(INDIRECT("'"&amp;$A$10&amp;"'!$G$22:$G$150"),$A32,INDIRECT("'"&amp;$A$10&amp;"'!$S$22:$S$150"),"Reprovada"),0)+IFERROR(COUNTIFS(INDIRECT("'"&amp;$A$11&amp;"'!$G$22:$G$150"),$A32,INDIRECT("'"&amp;$A$11&amp;"'!$S$22:$S$150"),"Reprovada"),0)+IFERROR(COUNTIFS(INDIRECT("'"&amp;$A$12&amp;"'!$G$22:$G$150"),$A32,INDIRECT("'"&amp;$A$12&amp;"'!$S$22:$S$150"),"Reprovada"),0)+IFERROR(COUNTIFS(INDIRECT("'"&amp;$A$13&amp;"'!$G$22:$G$150"),$A32,INDIRECT("'"&amp;$A$13&amp;"'!$S$22:$S$150"),"Reprovada"),0)+IFERROR(COUNTIFS(INDIRECT("'"&amp;$A$14&amp;"'!$G$22:$G$150"),$A32,INDIRECT("'"&amp;$A$14&amp;"'!$S$22:$S$150"),"Reprovada"),0)+IFERROR(COUNTIFS(INDIRECT("'"&amp;$A$15&amp;"'!$G$22:$G$150"),$A32,INDIRECT("'"&amp;$A$15&amp;"'!$S$22:$S$150"),"Reprovada"),0)+IFERROR(COUNTIFS(INDIRECT("'"&amp;$A$16&amp;"'!$G$22:$G$150"),$A32,INDIRECT("'"&amp;$A$16&amp;"'!$S$22:$S$150"),"Reprovada"),0)+IFERROR(COUNTIFS(INDIRECT("'"&amp;$A$17&amp;"'!$G$22:$G$150"),$A32,INDIRECT("'"&amp;$A$17&amp;"'!$S$22:$S$150"),"Reprovada"),0)+IFERROR(COUNTIFS(INDIRECT("'"&amp;$A$18&amp;"'!$G$22:$G$150"),$A32,INDIRECT("'"&amp;$A$18&amp;"'!$S$22:$S$150"),"Reprovada"),0)+IFERROR(COUNTIFS(INDIRECT("'"&amp;$A$19&amp;"'!$G$22:$G$150"),$A32,INDIRECT("'"&amp;$A$19&amp;"'!$S$22:$S$150"),"Reprovada"),0)+IFERROR(COUNTIFS(INDIRECT("'"&amp;$A$20&amp;"'!$G$22:$G$150"),$A32,INDIRECT("'"&amp;$A$20&amp;"'!$S$22:$S$150"),"Reprovada"),0)+IFERROR(COUNTIFS(INDIRECT("'"&amp;$A$21&amp;"'!$G$22:$G$150"),$A32,INDIRECT("'"&amp;$A$21&amp;"'!$S$22:$S$150"),"Reprovada"),0)+IFERROR(COUNTIFS(INDIRECT("'"&amp;$A$22&amp;"'!$G$22:$G$150"),$A32,INDIRECT("'"&amp;$A$22&amp;"'!$S$22:$S$150"),"Reprovada"),0)+IFERROR(COUNTIFS(INDIRECT("'"&amp;$A$23&amp;"'!$G$22:$G$150"),$A32,INDIRECT("'"&amp;$A$23&amp;"'!$S$22:$S$150"),"Reprovada"),0)+IFERROR(COUNTIFS(INDIRECT("'"&amp;$A$24&amp;"'!$G$22:$G$150"),$A32,INDIRECT("'"&amp;$A$24&amp;"'!$S$22:$S$150"),"Reprovada"),0)+IFERROR(COUNTIFS(INDIRECT("'"&amp;$A$25&amp;"'!$G$22:$G$150"),$A32,INDIRECT("'"&amp;$A$25&amp;"'!$S$22:$S$150"),"Reprovada"),0)</f>
        <v>0</v>
      </c>
    </row>
    <row r="34" customFormat="false" ht="15" hidden="false" customHeight="false" outlineLevel="0" collapsed="false">
      <c r="A34" s="15" t="s">
        <v>78</v>
      </c>
    </row>
  </sheetData>
  <mergeCells count="1">
    <mergeCell ref="A1:G1"/>
  </mergeCells>
  <conditionalFormatting sqref="F8:F26">
    <cfRule type="expression" priority="2" aboveAverage="0" equalAverage="0" bottom="0" percent="0" rank="0" text="" dxfId="0">
      <formula>F8&gt;0</formula>
    </cfRule>
  </conditionalFormatting>
  <conditionalFormatting sqref="J8:J25">
    <cfRule type="expression" priority="3" aboveAverage="0" equalAverage="0" bottom="0" percent="0" rank="0" text="" dxfId="1">
      <formula>$J8="Com atrasos"</formula>
    </cfRule>
    <cfRule type="expression" priority="4" aboveAverage="0" equalAverage="0" bottom="0" percent="0" rank="0" text="" dxfId="2">
      <formula>$J8="Concluído"</formula>
    </cfRule>
  </conditionalFormatting>
  <conditionalFormatting sqref="H8:H26">
    <cfRule type="colorScale" priority="5">
      <colorScale>
        <cfvo type="num" val="0"/>
        <cfvo type="num" val="0.5"/>
        <cfvo type="num" val="1"/>
        <color rgb="FFFBDCDC"/>
        <color rgb="FFFFF6BF"/>
        <color rgb="FFDCF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45.75" hidden="false" customHeight="true" outlineLevel="0" collapsed="false">
      <c r="A1" s="1" t="s">
        <v>79</v>
      </c>
      <c r="B1" s="1"/>
      <c r="C1" s="1"/>
      <c r="D1" s="1"/>
      <c r="E1" s="1"/>
    </row>
    <row r="2" customFormat="false" ht="4.5" hidden="false" customHeight="true" outlineLevel="0" collapsed="false">
      <c r="A2" s="3"/>
      <c r="B2" s="3"/>
      <c r="C2" s="4"/>
      <c r="D2" s="4"/>
      <c r="E2" s="4"/>
    </row>
    <row r="3" customFormat="false" ht="15" hidden="false" customHeight="false" outlineLevel="0" collapsed="false">
      <c r="A3" s="26" t="s">
        <v>80</v>
      </c>
    </row>
    <row r="4" customFormat="false" ht="15" hidden="false" customHeight="false" outlineLevel="0" collapsed="false">
      <c r="A4" s="40" t="s">
        <v>81</v>
      </c>
      <c r="B4" s="40" t="s">
        <v>82</v>
      </c>
      <c r="C4" s="40" t="s">
        <v>83</v>
      </c>
    </row>
    <row r="5" customFormat="false" ht="15" hidden="false" customHeight="false" outlineLevel="0" collapsed="false">
      <c r="A5" s="41" t="s">
        <v>84</v>
      </c>
      <c r="B5" s="42" t="s">
        <v>85</v>
      </c>
      <c r="C5" s="42" t="s">
        <v>86</v>
      </c>
    </row>
    <row r="6" customFormat="false" ht="15" hidden="false" customHeight="false" outlineLevel="0" collapsed="false">
      <c r="A6" s="41" t="s">
        <v>87</v>
      </c>
      <c r="B6" s="42" t="s">
        <v>85</v>
      </c>
      <c r="C6" s="42" t="s">
        <v>88</v>
      </c>
    </row>
    <row r="7" customFormat="false" ht="15" hidden="false" customHeight="false" outlineLevel="0" collapsed="false">
      <c r="A7" s="41" t="s">
        <v>89</v>
      </c>
      <c r="B7" s="42" t="s">
        <v>85</v>
      </c>
      <c r="C7" s="42" t="s">
        <v>90</v>
      </c>
    </row>
    <row r="8" customFormat="false" ht="15" hidden="false" customHeight="false" outlineLevel="0" collapsed="false">
      <c r="A8" s="41" t="s">
        <v>91</v>
      </c>
      <c r="B8" s="42" t="s">
        <v>85</v>
      </c>
      <c r="C8" s="42" t="s">
        <v>92</v>
      </c>
    </row>
    <row r="9" customFormat="false" ht="15" hidden="false" customHeight="false" outlineLevel="0" collapsed="false">
      <c r="A9" s="41" t="s">
        <v>93</v>
      </c>
      <c r="B9" s="42" t="s">
        <v>94</v>
      </c>
      <c r="C9" s="42" t="s">
        <v>95</v>
      </c>
    </row>
    <row r="11" customFormat="false" ht="15" hidden="false" customHeight="false" outlineLevel="0" collapsed="false">
      <c r="A11" s="26" t="s">
        <v>96</v>
      </c>
      <c r="C11" s="26" t="s">
        <v>97</v>
      </c>
    </row>
    <row r="12" customFormat="false" ht="15" hidden="false" customHeight="false" outlineLevel="0" collapsed="false">
      <c r="A12" s="42" t="s">
        <v>98</v>
      </c>
      <c r="C12" s="41" t="s">
        <v>99</v>
      </c>
      <c r="D12" s="42" t="n">
        <v>7</v>
      </c>
    </row>
    <row r="13" customFormat="false" ht="15" hidden="false" customHeight="false" outlineLevel="0" collapsed="false">
      <c r="A13" s="42" t="s">
        <v>100</v>
      </c>
      <c r="C13" s="41" t="s">
        <v>101</v>
      </c>
      <c r="D13" s="42" t="n">
        <v>2</v>
      </c>
    </row>
    <row r="14" customFormat="false" ht="15" hidden="false" customHeight="false" outlineLevel="0" collapsed="false">
      <c r="A14" s="42" t="s">
        <v>102</v>
      </c>
      <c r="C14" s="41" t="s">
        <v>103</v>
      </c>
      <c r="D14" s="42"/>
    </row>
    <row r="15" customFormat="false" ht="15" hidden="false" customHeight="false" outlineLevel="0" collapsed="false">
      <c r="A15" s="42" t="s">
        <v>104</v>
      </c>
      <c r="C15" s="41" t="s">
        <v>105</v>
      </c>
      <c r="D15" s="42"/>
    </row>
    <row r="16" customFormat="false" ht="15" hidden="false" customHeight="false" outlineLevel="0" collapsed="false">
      <c r="A16" s="42" t="s">
        <v>106</v>
      </c>
      <c r="C16" s="41" t="s">
        <v>107</v>
      </c>
      <c r="D16" s="42"/>
    </row>
    <row r="17" customFormat="false" ht="15" hidden="false" customHeight="false" outlineLevel="0" collapsed="false">
      <c r="A17" s="42" t="s">
        <v>108</v>
      </c>
    </row>
    <row r="18" customFormat="false" ht="15" hidden="false" customHeight="false" outlineLevel="0" collapsed="false">
      <c r="A18" s="42" t="s">
        <v>109</v>
      </c>
    </row>
    <row r="19" customFormat="false" ht="15" hidden="false" customHeight="false" outlineLevel="0" collapsed="false">
      <c r="A19" s="42" t="s">
        <v>110</v>
      </c>
    </row>
    <row r="20" customFormat="false" ht="15" hidden="false" customHeight="false" outlineLevel="0" collapsed="false">
      <c r="A20" s="42" t="s">
        <v>111</v>
      </c>
    </row>
    <row r="21" customFormat="false" ht="15" hidden="false" customHeight="false" outlineLevel="0" collapsed="false">
      <c r="A21" s="42" t="s">
        <v>112</v>
      </c>
    </row>
    <row r="22" customFormat="false" ht="15" hidden="false" customHeight="false" outlineLevel="0" collapsed="false">
      <c r="A22" s="42" t="s">
        <v>113</v>
      </c>
    </row>
    <row r="23" customFormat="false" ht="15" hidden="false" customHeight="false" outlineLevel="0" collapsed="false">
      <c r="A23" s="42" t="s">
        <v>114</v>
      </c>
    </row>
    <row r="41" customFormat="false" ht="15" hidden="false" customHeight="false" outlineLevel="0" collapsed="false">
      <c r="A41" s="22" t="s">
        <v>115</v>
      </c>
    </row>
    <row r="42" customFormat="false" ht="15" hidden="false" customHeight="false" outlineLevel="0" collapsed="false">
      <c r="A42" s="22" t="s">
        <v>116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X70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60" activeCellId="0" sqref="A6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.57"/>
    <col collapsed="false" customWidth="true" hidden="false" outlineLevel="0" max="3" min="3" style="0" width="10.57"/>
    <col collapsed="false" customWidth="true" hidden="false" outlineLevel="0" max="6" min="4" style="0" width="12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true" outlineLevel="0" max="11" min="11" style="0" width="8"/>
    <col collapsed="false" customWidth="true" hidden="true" outlineLevel="0" max="12" min="12" style="0" width="9.57"/>
    <col collapsed="false" customWidth="true" hidden="false" outlineLevel="0" max="16" min="13" style="0" width="12"/>
    <col collapsed="false" customWidth="true" hidden="false" outlineLevel="0" max="17" min="17" style="0" width="11.43"/>
    <col collapsed="false" customWidth="true" hidden="false" outlineLevel="0" max="18" min="18" style="0" width="17"/>
    <col collapsed="false" customWidth="true" hidden="false" outlineLevel="0" max="19" min="19" style="0" width="12.42"/>
    <col collapsed="false" customWidth="true" hidden="false" outlineLevel="0" max="22" min="20" style="0" width="3.42"/>
    <col collapsed="false" customWidth="true" hidden="true" outlineLevel="0" max="24" min="24" style="0" width="4"/>
  </cols>
  <sheetData>
    <row r="1" customFormat="false" ht="45.75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X1" s="43" t="n">
        <v>46204</v>
      </c>
    </row>
    <row r="2" customFormat="false" ht="4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X2" s="44" t="s">
        <v>118</v>
      </c>
    </row>
    <row r="3" customFormat="false" ht="15" hidden="false" customHeight="false" outlineLevel="0" collapsed="false">
      <c r="A3" s="5" t="str">
        <f aca="false">IF((COUNTIF($S$22:$S$143,"Aprovada")+COUNTIF($S$22:$S$143,"Entregue")+COUNTIF($S$22:$S$143,"Pendente")+COUNTIF($S$22:$S$143,"Atrasada")+COUNTIF($S$22:$S$143,"Reprovada"))=0,"",IF(COUNTIF($S$22:$S$143,"Aprovada")=(COUNTIF($S$22:$S$143,"Aprovada")+COUNTIF($S$22:$S$143,"Entregue")+COUNTIF($S$22:$S$143,"Pendente")+COUNTIF($S$22:$S$143,"Atrasada")+COUNTIF($S$22:$S$143,"Reprovada")),"MÊS CONCLUÍDO — todas as atividades aprovadas","EM ANDAMENTO — "&amp;COUNTIF($S$22:$S$143,"Aprovada")&amp;" de "&amp;(COUNTIF($S$22:$S$143,"Aprovada")+COUNTIF($S$22:$S$143,"Entregue")+COUNTIF($S$22:$S$143,"Pendente")+COUNTIF($S$22:$S$143,"Atrasada")+COUNTIF($S$22:$S$143,"Reprovada"))&amp;" atividades aprovadas · "&amp;COUNTIF($S$22:$S$143,"Atrasada")&amp;" em atraso"))</f>
        <v>EM ANDAMENTO — 0 de 39 atividades aprovadas · 39 em atraso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8" hidden="false" customHeight="true" outlineLevel="0" collapsed="false">
      <c r="B5" s="40" t="s">
        <v>119</v>
      </c>
      <c r="C5" s="40"/>
      <c r="D5" s="40" t="s">
        <v>120</v>
      </c>
      <c r="E5" s="40"/>
      <c r="F5" s="40" t="s">
        <v>121</v>
      </c>
      <c r="G5" s="40"/>
      <c r="H5" s="40" t="s">
        <v>3</v>
      </c>
      <c r="I5" s="40"/>
      <c r="J5" s="40" t="s">
        <v>6</v>
      </c>
      <c r="K5" s="40"/>
      <c r="L5" s="45" t="s">
        <v>9</v>
      </c>
      <c r="M5" s="45"/>
      <c r="N5" s="40" t="s">
        <v>122</v>
      </c>
      <c r="O5" s="40"/>
    </row>
    <row r="6" customFormat="false" ht="15" hidden="false" customHeight="true" outlineLevel="0" collapsed="false">
      <c r="B6" s="46" t="str">
        <f aca="false">IF(MONTH($X$1-WEEKDAY($X$1)+1+0)=MONTH($X$1),$X$1-WEEKDAY($X$1)+1+0,"")</f>
        <v/>
      </c>
      <c r="C6" s="46"/>
      <c r="D6" s="46" t="str">
        <f aca="false">IF(MONTH($X$1-WEEKDAY($X$1)+1+1)=MONTH($X$1),$X$1-WEEKDAY($X$1)+1+1,"")</f>
        <v/>
      </c>
      <c r="E6" s="46"/>
      <c r="F6" s="46" t="str">
        <f aca="false">IF(MONTH($X$1-WEEKDAY($X$1)+1+2)=MONTH($X$1),$X$1-WEEKDAY($X$1)+1+2,"")</f>
        <v/>
      </c>
      <c r="G6" s="46"/>
      <c r="H6" s="46" t="n">
        <f aca="false">IF(MONTH($X$1-WEEKDAY($X$1)+1+3)=MONTH($X$1),$X$1-WEEKDAY($X$1)+1+3,"")</f>
        <v>46204</v>
      </c>
      <c r="I6" s="46"/>
      <c r="J6" s="46" t="n">
        <f aca="false">IF(MONTH($X$1-WEEKDAY($X$1)+1+4)=MONTH($X$1),$X$1-WEEKDAY($X$1)+1+4,"")</f>
        <v>46205</v>
      </c>
      <c r="K6" s="46"/>
      <c r="L6" s="46" t="n">
        <f aca="false">IF(MONTH($X$1-WEEKDAY($X$1)+1+5)=MONTH($X$1),$X$1-WEEKDAY($X$1)+1+5,"")</f>
        <v>46206</v>
      </c>
      <c r="M6" s="46"/>
      <c r="N6" s="46" t="n">
        <f aca="false">IF(MONTH($X$1-WEEKDAY($X$1)+1+6)=MONTH($X$1),$X$1-WEEKDAY($X$1)+1+6,"")</f>
        <v>46207</v>
      </c>
      <c r="O6" s="46"/>
    </row>
    <row r="7" customFormat="false" ht="25.5" hidden="false" customHeight="true" outlineLevel="0" collapsed="false">
      <c r="B7" s="47" t="str">
        <f aca="false">IF(B6="","",TRIM(IF(COUNTIFS($C$22:$C$143,B6,$D$22:$D$143,"*Vistoria*",$Q$22:$Q$143,"&lt;&gt;Cancelada")&gt;0,"Vistoria ","")&amp;IF(COUNTIFS($C$22:$C$143,B6,$D$22:$D$143,"*Relatório*",$Q$22:$Q$143,"&lt;&gt;Cancelada")&gt;0,"Relatório ","")&amp;IF(COUNTIFS($C$22:$C$143,B6,$D$22:$D$143,"*Reunião*",$Q$22:$Q$143,"&lt;&gt;Cancelada")&gt;0,"REUNIÃO ","")&amp;IF(COUNTIFS($C$22:$C$143,B6,$D$22:$D$143,"*Férias*",$Q$22:$Q$143,"&lt;&gt;Cancelada")&gt;0,"Férias ","")&amp;IF(COUNTIFS($C$22:$C$143,B6,$D$22:$D$143,"*Mudança*",$Q$22:$Q$143,"&lt;&gt;Cancelada")&gt;0,"M.Função ","")&amp;IF(COUNTIFS($C$22:$C$143,B6,$D$22:$D$143,"*Treinamento*",$Q$22:$Q$143,"&lt;&gt;Cancelada")&gt;0,"Trein. ","")))</f>
        <v/>
      </c>
      <c r="C7" s="47"/>
      <c r="D7" s="47" t="str">
        <f aca="false">IF(D6="","",TRIM(IF(COUNTIFS($C$22:$C$143,D6,$D$22:$D$143,"*Vistoria*",$Q$22:$Q$143,"&lt;&gt;Cancelada")&gt;0,"Vistoria ","")&amp;IF(COUNTIFS($C$22:$C$143,D6,$D$22:$D$143,"*Relatório*",$Q$22:$Q$143,"&lt;&gt;Cancelada")&gt;0,"Relatório ","")&amp;IF(COUNTIFS($C$22:$C$143,D6,$D$22:$D$143,"*Reunião*",$Q$22:$Q$143,"&lt;&gt;Cancelada")&gt;0,"REUNIÃO ","")&amp;IF(COUNTIFS($C$22:$C$143,D6,$D$22:$D$143,"*Férias*",$Q$22:$Q$143,"&lt;&gt;Cancelada")&gt;0,"Férias ","")&amp;IF(COUNTIFS($C$22:$C$143,D6,$D$22:$D$143,"*Mudança*",$Q$22:$Q$143,"&lt;&gt;Cancelada")&gt;0,"M.Função ","")&amp;IF(COUNTIFS($C$22:$C$143,D6,$D$22:$D$143,"*Treinamento*",$Q$22:$Q$143,"&lt;&gt;Cancelada")&gt;0,"Trein. ","")))</f>
        <v/>
      </c>
      <c r="E7" s="47"/>
      <c r="F7" s="47" t="str">
        <f aca="false">IF(F6="","",TRIM(IF(COUNTIFS($C$22:$C$143,F6,$D$22:$D$143,"*Vistoria*",$Q$22:$Q$143,"&lt;&gt;Cancelada")&gt;0,"Vistoria ","")&amp;IF(COUNTIFS($C$22:$C$143,F6,$D$22:$D$143,"*Relatório*",$Q$22:$Q$143,"&lt;&gt;Cancelada")&gt;0,"Relatório ","")&amp;IF(COUNTIFS($C$22:$C$143,F6,$D$22:$D$143,"*Reunião*",$Q$22:$Q$143,"&lt;&gt;Cancelada")&gt;0,"REUNIÃO ","")&amp;IF(COUNTIFS($C$22:$C$143,F6,$D$22:$D$143,"*Férias*",$Q$22:$Q$143,"&lt;&gt;Cancelada")&gt;0,"Férias ","")&amp;IF(COUNTIFS($C$22:$C$143,F6,$D$22:$D$143,"*Mudança*",$Q$22:$Q$143,"&lt;&gt;Cancelada")&gt;0,"M.Função ","")&amp;IF(COUNTIFS($C$22:$C$143,F6,$D$22:$D$143,"*Treinamento*",$Q$22:$Q$143,"&lt;&gt;Cancelada")&gt;0,"Trein. ","")))</f>
        <v/>
      </c>
      <c r="G7" s="47"/>
      <c r="H7" s="47" t="str">
        <f aca="false">IF(H6="","",TRIM(IF(COUNTIFS($C$22:$C$143,H6,$D$22:$D$143,"*Vistoria*",$Q$22:$Q$143,"&lt;&gt;Cancelada")&gt;0,"Vistoria ","")&amp;IF(COUNTIFS($C$22:$C$143,H6,$D$22:$D$143,"*Relatório*",$Q$22:$Q$143,"&lt;&gt;Cancelada")&gt;0,"Relatório ","")&amp;IF(COUNTIFS($C$22:$C$143,H6,$D$22:$D$143,"*Reunião*",$Q$22:$Q$143,"&lt;&gt;Cancelada")&gt;0,"REUNIÃO ","")&amp;IF(COUNTIFS($C$22:$C$143,H6,$D$22:$D$143,"*Férias*",$Q$22:$Q$143,"&lt;&gt;Cancelada")&gt;0,"Férias ","")&amp;IF(COUNTIFS($C$22:$C$143,H6,$D$22:$D$143,"*Mudança*",$Q$22:$Q$143,"&lt;&gt;Cancelada")&gt;0,"M.Função ","")&amp;IF(COUNTIFS($C$22:$C$143,H6,$D$22:$D$143,"*Treinamento*",$Q$22:$Q$143,"&lt;&gt;Cancelada")&gt;0,"Trein. ","")))</f>
        <v>Vistoria</v>
      </c>
      <c r="I7" s="47"/>
      <c r="J7" s="47" t="str">
        <f aca="false">IF(J6="","",TRIM(IF(COUNTIFS($C$22:$C$143,J6,$D$22:$D$143,"*Vistoria*",$Q$22:$Q$143,"&lt;&gt;Cancelada")&gt;0,"Vistoria ","")&amp;IF(COUNTIFS($C$22:$C$143,J6,$D$22:$D$143,"*Relatório*",$Q$22:$Q$143,"&lt;&gt;Cancelada")&gt;0,"Relatório ","")&amp;IF(COUNTIFS($C$22:$C$143,J6,$D$22:$D$143,"*Reunião*",$Q$22:$Q$143,"&lt;&gt;Cancelada")&gt;0,"REUNIÃO ","")&amp;IF(COUNTIFS($C$22:$C$143,J6,$D$22:$D$143,"*Férias*",$Q$22:$Q$143,"&lt;&gt;Cancelada")&gt;0,"Férias ","")&amp;IF(COUNTIFS($C$22:$C$143,J6,$D$22:$D$143,"*Mudança*",$Q$22:$Q$143,"&lt;&gt;Cancelada")&gt;0,"M.Função ","")&amp;IF(COUNTIFS($C$22:$C$143,J6,$D$22:$D$143,"*Treinamento*",$Q$22:$Q$143,"&lt;&gt;Cancelada")&gt;0,"Trein. ","")))</f>
        <v>Relatório</v>
      </c>
      <c r="K7" s="47"/>
      <c r="L7" s="47" t="str">
        <f aca="false">IF(L6="","",TRIM(IF(COUNTIFS($C$22:$C$143,L6,$D$22:$D$143,"*Vistoria*",$Q$22:$Q$143,"&lt;&gt;Cancelada")&gt;0,"Vistoria ","")&amp;IF(COUNTIFS($C$22:$C$143,L6,$D$22:$D$143,"*Relatório*",$Q$22:$Q$143,"&lt;&gt;Cancelada")&gt;0,"Relatório ","")&amp;IF(COUNTIFS($C$22:$C$143,L6,$D$22:$D$143,"*Reunião*",$Q$22:$Q$143,"&lt;&gt;Cancelada")&gt;0,"REUNIÃO ","")&amp;IF(COUNTIFS($C$22:$C$143,L6,$D$22:$D$143,"*Férias*",$Q$22:$Q$143,"&lt;&gt;Cancelada")&gt;0,"Férias ","")&amp;IF(COUNTIFS($C$22:$C$143,L6,$D$22:$D$143,"*Mudança*",$Q$22:$Q$143,"&lt;&gt;Cancelada")&gt;0,"M.Função ","")&amp;IF(COUNTIFS($C$22:$C$143,L6,$D$22:$D$143,"*Treinamento*",$Q$22:$Q$143,"&lt;&gt;Cancelada")&gt;0,"Trein. ","")))</f>
        <v>REUNIÃO</v>
      </c>
      <c r="M7" s="47"/>
      <c r="N7" s="47" t="str">
        <f aca="false">IF(N6="","",TRIM(IF(COUNTIFS($C$22:$C$143,N6,$D$22:$D$143,"*Vistoria*",$Q$22:$Q$143,"&lt;&gt;Cancelada")&gt;0,"Vistoria ","")&amp;IF(COUNTIFS($C$22:$C$143,N6,$D$22:$D$143,"*Relatório*",$Q$22:$Q$143,"&lt;&gt;Cancelada")&gt;0,"Relatório ","")&amp;IF(COUNTIFS($C$22:$C$143,N6,$D$22:$D$143,"*Reunião*",$Q$22:$Q$143,"&lt;&gt;Cancelada")&gt;0,"REUNIÃO ","")&amp;IF(COUNTIFS($C$22:$C$143,N6,$D$22:$D$143,"*Férias*",$Q$22:$Q$143,"&lt;&gt;Cancelada")&gt;0,"Férias ","")&amp;IF(COUNTIFS($C$22:$C$143,N6,$D$22:$D$143,"*Mudança*",$Q$22:$Q$143,"&lt;&gt;Cancelada")&gt;0,"M.Função ","")&amp;IF(COUNTIFS($C$22:$C$143,N6,$D$22:$D$143,"*Treinamento*",$Q$22:$Q$143,"&lt;&gt;Cancelada")&gt;0,"Trein. ","")))</f>
        <v/>
      </c>
      <c r="O7" s="47"/>
    </row>
    <row r="8" customFormat="false" ht="15" hidden="false" customHeight="true" outlineLevel="0" collapsed="false">
      <c r="B8" s="46" t="n">
        <f aca="false">IF(MONTH($X$1-WEEKDAY($X$1)+1+7)=MONTH($X$1),$X$1-WEEKDAY($X$1)+1+7,"")</f>
        <v>46208</v>
      </c>
      <c r="C8" s="46"/>
      <c r="D8" s="46" t="n">
        <f aca="false">IF(MONTH($X$1-WEEKDAY($X$1)+1+8)=MONTH($X$1),$X$1-WEEKDAY($X$1)+1+8,"")</f>
        <v>46209</v>
      </c>
      <c r="E8" s="46"/>
      <c r="F8" s="46" t="n">
        <f aca="false">IF(MONTH($X$1-WEEKDAY($X$1)+1+9)=MONTH($X$1),$X$1-WEEKDAY($X$1)+1+9,"")</f>
        <v>46210</v>
      </c>
      <c r="G8" s="46"/>
      <c r="H8" s="46" t="n">
        <f aca="false">IF(MONTH($X$1-WEEKDAY($X$1)+1+10)=MONTH($X$1),$X$1-WEEKDAY($X$1)+1+10,"")</f>
        <v>46211</v>
      </c>
      <c r="I8" s="46"/>
      <c r="J8" s="46" t="n">
        <f aca="false">IF(MONTH($X$1-WEEKDAY($X$1)+1+11)=MONTH($X$1),$X$1-WEEKDAY($X$1)+1+11,"")</f>
        <v>46212</v>
      </c>
      <c r="K8" s="46"/>
      <c r="L8" s="46" t="n">
        <f aca="false">IF(MONTH($X$1-WEEKDAY($X$1)+1+12)=MONTH($X$1),$X$1-WEEKDAY($X$1)+1+12,"")</f>
        <v>46213</v>
      </c>
      <c r="M8" s="46"/>
      <c r="N8" s="46" t="n">
        <f aca="false">IF(MONTH($X$1-WEEKDAY($X$1)+1+13)=MONTH($X$1),$X$1-WEEKDAY($X$1)+1+13,"")</f>
        <v>46214</v>
      </c>
      <c r="O8" s="46"/>
    </row>
    <row r="9" customFormat="false" ht="25.5" hidden="false" customHeight="true" outlineLevel="0" collapsed="false">
      <c r="B9" s="47" t="str">
        <f aca="false">IF(B8="","",TRIM(IF(COUNTIFS($C$22:$C$143,B8,$D$22:$D$143,"*Vistoria*",$Q$22:$Q$143,"&lt;&gt;Cancelada")&gt;0,"Vistoria ","")&amp;IF(COUNTIFS($C$22:$C$143,B8,$D$22:$D$143,"*Relatório*",$Q$22:$Q$143,"&lt;&gt;Cancelada")&gt;0,"Relatório ","")&amp;IF(COUNTIFS($C$22:$C$143,B8,$D$22:$D$143,"*Reunião*",$Q$22:$Q$143,"&lt;&gt;Cancelada")&gt;0,"REUNIÃO ","")&amp;IF(COUNTIFS($C$22:$C$143,B8,$D$22:$D$143,"*Férias*",$Q$22:$Q$143,"&lt;&gt;Cancelada")&gt;0,"Férias ","")&amp;IF(COUNTIFS($C$22:$C$143,B8,$D$22:$D$143,"*Mudança*",$Q$22:$Q$143,"&lt;&gt;Cancelada")&gt;0,"M.Função ","")&amp;IF(COUNTIFS($C$22:$C$143,B8,$D$22:$D$143,"*Treinamento*",$Q$22:$Q$143,"&lt;&gt;Cancelada")&gt;0,"Trein. ","")))</f>
        <v/>
      </c>
      <c r="C9" s="47"/>
      <c r="D9" s="47" t="str">
        <f aca="false">IF(D8="","",TRIM(IF(COUNTIFS($C$22:$C$143,D8,$D$22:$D$143,"*Vistoria*",$Q$22:$Q$143,"&lt;&gt;Cancelada")&gt;0,"Vistoria ","")&amp;IF(COUNTIFS($C$22:$C$143,D8,$D$22:$D$143,"*Relatório*",$Q$22:$Q$143,"&lt;&gt;Cancelada")&gt;0,"Relatório ","")&amp;IF(COUNTIFS($C$22:$C$143,D8,$D$22:$D$143,"*Reunião*",$Q$22:$Q$143,"&lt;&gt;Cancelada")&gt;0,"REUNIÃO ","")&amp;IF(COUNTIFS($C$22:$C$143,D8,$D$22:$D$143,"*Férias*",$Q$22:$Q$143,"&lt;&gt;Cancelada")&gt;0,"Férias ","")&amp;IF(COUNTIFS($C$22:$C$143,D8,$D$22:$D$143,"*Mudança*",$Q$22:$Q$143,"&lt;&gt;Cancelada")&gt;0,"M.Função ","")&amp;IF(COUNTIFS($C$22:$C$143,D8,$D$22:$D$143,"*Treinamento*",$Q$22:$Q$143,"&lt;&gt;Cancelada")&gt;0,"Trein. ","")))</f>
        <v>Férias</v>
      </c>
      <c r="E9" s="47"/>
      <c r="F9" s="47" t="str">
        <f aca="false">IF(F8="","",TRIM(IF(COUNTIFS($C$22:$C$143,F8,$D$22:$D$143,"*Vistoria*",$Q$22:$Q$143,"&lt;&gt;Cancelada")&gt;0,"Vistoria ","")&amp;IF(COUNTIFS($C$22:$C$143,F8,$D$22:$D$143,"*Relatório*",$Q$22:$Q$143,"&lt;&gt;Cancelada")&gt;0,"Relatório ","")&amp;IF(COUNTIFS($C$22:$C$143,F8,$D$22:$D$143,"*Reunião*",$Q$22:$Q$143,"&lt;&gt;Cancelada")&gt;0,"REUNIÃO ","")&amp;IF(COUNTIFS($C$22:$C$143,F8,$D$22:$D$143,"*Férias*",$Q$22:$Q$143,"&lt;&gt;Cancelada")&gt;0,"Férias ","")&amp;IF(COUNTIFS($C$22:$C$143,F8,$D$22:$D$143,"*Mudança*",$Q$22:$Q$143,"&lt;&gt;Cancelada")&gt;0,"M.Função ","")&amp;IF(COUNTIFS($C$22:$C$143,F8,$D$22:$D$143,"*Treinamento*",$Q$22:$Q$143,"&lt;&gt;Cancelada")&gt;0,"Trein. ","")))</f>
        <v/>
      </c>
      <c r="G9" s="47"/>
      <c r="H9" s="47" t="str">
        <f aca="false">IF(H8="","",TRIM(IF(COUNTIFS($C$22:$C$143,H8,$D$22:$D$143,"*Vistoria*",$Q$22:$Q$143,"&lt;&gt;Cancelada")&gt;0,"Vistoria ","")&amp;IF(COUNTIFS($C$22:$C$143,H8,$D$22:$D$143,"*Relatório*",$Q$22:$Q$143,"&lt;&gt;Cancelada")&gt;0,"Relatório ","")&amp;IF(COUNTIFS($C$22:$C$143,H8,$D$22:$D$143,"*Reunião*",$Q$22:$Q$143,"&lt;&gt;Cancelada")&gt;0,"REUNIÃO ","")&amp;IF(COUNTIFS($C$22:$C$143,H8,$D$22:$D$143,"*Férias*",$Q$22:$Q$143,"&lt;&gt;Cancelada")&gt;0,"Férias ","")&amp;IF(COUNTIFS($C$22:$C$143,H8,$D$22:$D$143,"*Mudança*",$Q$22:$Q$143,"&lt;&gt;Cancelada")&gt;0,"M.Função ","")&amp;IF(COUNTIFS($C$22:$C$143,H8,$D$22:$D$143,"*Treinamento*",$Q$22:$Q$143,"&lt;&gt;Cancelada")&gt;0,"Trein. ","")))</f>
        <v>Vistoria</v>
      </c>
      <c r="I9" s="47"/>
      <c r="J9" s="47" t="str">
        <f aca="false">IF(J8="","",TRIM(IF(COUNTIFS($C$22:$C$143,J8,$D$22:$D$143,"*Vistoria*",$Q$22:$Q$143,"&lt;&gt;Cancelada")&gt;0,"Vistoria ","")&amp;IF(COUNTIFS($C$22:$C$143,J8,$D$22:$D$143,"*Relatório*",$Q$22:$Q$143,"&lt;&gt;Cancelada")&gt;0,"Relatório ","")&amp;IF(COUNTIFS($C$22:$C$143,J8,$D$22:$D$143,"*Reunião*",$Q$22:$Q$143,"&lt;&gt;Cancelada")&gt;0,"REUNIÃO ","")&amp;IF(COUNTIFS($C$22:$C$143,J8,$D$22:$D$143,"*Férias*",$Q$22:$Q$143,"&lt;&gt;Cancelada")&gt;0,"Férias ","")&amp;IF(COUNTIFS($C$22:$C$143,J8,$D$22:$D$143,"*Mudança*",$Q$22:$Q$143,"&lt;&gt;Cancelada")&gt;0,"M.Função ","")&amp;IF(COUNTIFS($C$22:$C$143,J8,$D$22:$D$143,"*Treinamento*",$Q$22:$Q$143,"&lt;&gt;Cancelada")&gt;0,"Trein. ","")))</f>
        <v>Relatório</v>
      </c>
      <c r="K9" s="47"/>
      <c r="L9" s="47" t="str">
        <f aca="false">IF(L8="","",TRIM(IF(COUNTIFS($C$22:$C$143,L8,$D$22:$D$143,"*Vistoria*",$Q$22:$Q$143,"&lt;&gt;Cancelada")&gt;0,"Vistoria ","")&amp;IF(COUNTIFS($C$22:$C$143,L8,$D$22:$D$143,"*Relatório*",$Q$22:$Q$143,"&lt;&gt;Cancelada")&gt;0,"Relatório ","")&amp;IF(COUNTIFS($C$22:$C$143,L8,$D$22:$D$143,"*Reunião*",$Q$22:$Q$143,"&lt;&gt;Cancelada")&gt;0,"REUNIÃO ","")&amp;IF(COUNTIFS($C$22:$C$143,L8,$D$22:$D$143,"*Férias*",$Q$22:$Q$143,"&lt;&gt;Cancelada")&gt;0,"Férias ","")&amp;IF(COUNTIFS($C$22:$C$143,L8,$D$22:$D$143,"*Mudança*",$Q$22:$Q$143,"&lt;&gt;Cancelada")&gt;0,"M.Função ","")&amp;IF(COUNTIFS($C$22:$C$143,L8,$D$22:$D$143,"*Treinamento*",$Q$22:$Q$143,"&lt;&gt;Cancelada")&gt;0,"Trein. ","")))</f>
        <v>REUNIÃO</v>
      </c>
      <c r="M9" s="47"/>
      <c r="N9" s="47" t="str">
        <f aca="false">IF(N8="","",TRIM(IF(COUNTIFS($C$22:$C$143,N8,$D$22:$D$143,"*Vistoria*",$Q$22:$Q$143,"&lt;&gt;Cancelada")&gt;0,"Vistoria ","")&amp;IF(COUNTIFS($C$22:$C$143,N8,$D$22:$D$143,"*Relatório*",$Q$22:$Q$143,"&lt;&gt;Cancelada")&gt;0,"Relatório ","")&amp;IF(COUNTIFS($C$22:$C$143,N8,$D$22:$D$143,"*Reunião*",$Q$22:$Q$143,"&lt;&gt;Cancelada")&gt;0,"REUNIÃO ","")&amp;IF(COUNTIFS($C$22:$C$143,N8,$D$22:$D$143,"*Férias*",$Q$22:$Q$143,"&lt;&gt;Cancelada")&gt;0,"Férias ","")&amp;IF(COUNTIFS($C$22:$C$143,N8,$D$22:$D$143,"*Mudança*",$Q$22:$Q$143,"&lt;&gt;Cancelada")&gt;0,"M.Função ","")&amp;IF(COUNTIFS($C$22:$C$143,N8,$D$22:$D$143,"*Treinamento*",$Q$22:$Q$143,"&lt;&gt;Cancelada")&gt;0,"Trein. ","")))</f>
        <v/>
      </c>
      <c r="O9" s="47"/>
    </row>
    <row r="10" customFormat="false" ht="15" hidden="false" customHeight="true" outlineLevel="0" collapsed="false">
      <c r="B10" s="46" t="n">
        <f aca="false">IF(MONTH($X$1-WEEKDAY($X$1)+1+14)=MONTH($X$1),$X$1-WEEKDAY($X$1)+1+14,"")</f>
        <v>46215</v>
      </c>
      <c r="C10" s="46"/>
      <c r="D10" s="46" t="n">
        <f aca="false">IF(MONTH($X$1-WEEKDAY($X$1)+1+15)=MONTH($X$1),$X$1-WEEKDAY($X$1)+1+15,"")</f>
        <v>46216</v>
      </c>
      <c r="E10" s="46"/>
      <c r="F10" s="46" t="n">
        <f aca="false">IF(MONTH($X$1-WEEKDAY($X$1)+1+16)=MONTH($X$1),$X$1-WEEKDAY($X$1)+1+16,"")</f>
        <v>46217</v>
      </c>
      <c r="G10" s="46"/>
      <c r="H10" s="46" t="n">
        <f aca="false">IF(MONTH($X$1-WEEKDAY($X$1)+1+17)=MONTH($X$1),$X$1-WEEKDAY($X$1)+1+17,"")</f>
        <v>46218</v>
      </c>
      <c r="I10" s="46"/>
      <c r="J10" s="46" t="n">
        <f aca="false">IF(MONTH($X$1-WEEKDAY($X$1)+1+18)=MONTH($X$1),$X$1-WEEKDAY($X$1)+1+18,"")</f>
        <v>46219</v>
      </c>
      <c r="K10" s="46"/>
      <c r="L10" s="46" t="n">
        <f aca="false">IF(MONTH($X$1-WEEKDAY($X$1)+1+19)=MONTH($X$1),$X$1-WEEKDAY($X$1)+1+19,"")</f>
        <v>46220</v>
      </c>
      <c r="M10" s="46"/>
      <c r="N10" s="46" t="n">
        <f aca="false">IF(MONTH($X$1-WEEKDAY($X$1)+1+20)=MONTH($X$1),$X$1-WEEKDAY($X$1)+1+20,"")</f>
        <v>46221</v>
      </c>
      <c r="O10" s="46"/>
    </row>
    <row r="11" customFormat="false" ht="25.5" hidden="false" customHeight="true" outlineLevel="0" collapsed="false">
      <c r="B11" s="47" t="str">
        <f aca="false">IF(B10="","",TRIM(IF(COUNTIFS($C$22:$C$143,B10,$D$22:$D$143,"*Vistoria*",$Q$22:$Q$143,"&lt;&gt;Cancelada")&gt;0,"Vistoria ","")&amp;IF(COUNTIFS($C$22:$C$143,B10,$D$22:$D$143,"*Relatório*",$Q$22:$Q$143,"&lt;&gt;Cancelada")&gt;0,"Relatório ","")&amp;IF(COUNTIFS($C$22:$C$143,B10,$D$22:$D$143,"*Reunião*",$Q$22:$Q$143,"&lt;&gt;Cancelada")&gt;0,"REUNIÃO ","")&amp;IF(COUNTIFS($C$22:$C$143,B10,$D$22:$D$143,"*Férias*",$Q$22:$Q$143,"&lt;&gt;Cancelada")&gt;0,"Férias ","")&amp;IF(COUNTIFS($C$22:$C$143,B10,$D$22:$D$143,"*Mudança*",$Q$22:$Q$143,"&lt;&gt;Cancelada")&gt;0,"M.Função ","")&amp;IF(COUNTIFS($C$22:$C$143,B10,$D$22:$D$143,"*Treinamento*",$Q$22:$Q$143,"&lt;&gt;Cancelada")&gt;0,"Trein. ","")))</f>
        <v/>
      </c>
      <c r="C11" s="47"/>
      <c r="D11" s="47" t="str">
        <f aca="false">IF(D10="","",TRIM(IF(COUNTIFS($C$22:$C$143,D10,$D$22:$D$143,"*Vistoria*",$Q$22:$Q$143,"&lt;&gt;Cancelada")&gt;0,"Vistoria ","")&amp;IF(COUNTIFS($C$22:$C$143,D10,$D$22:$D$143,"*Relatório*",$Q$22:$Q$143,"&lt;&gt;Cancelada")&gt;0,"Relatório ","")&amp;IF(COUNTIFS($C$22:$C$143,D10,$D$22:$D$143,"*Reunião*",$Q$22:$Q$143,"&lt;&gt;Cancelada")&gt;0,"REUNIÃO ","")&amp;IF(COUNTIFS($C$22:$C$143,D10,$D$22:$D$143,"*Férias*",$Q$22:$Q$143,"&lt;&gt;Cancelada")&gt;0,"Férias ","")&amp;IF(COUNTIFS($C$22:$C$143,D10,$D$22:$D$143,"*Mudança*",$Q$22:$Q$143,"&lt;&gt;Cancelada")&gt;0,"M.Função ","")&amp;IF(COUNTIFS($C$22:$C$143,D10,$D$22:$D$143,"*Treinamento*",$Q$22:$Q$143,"&lt;&gt;Cancelada")&gt;0,"Trein. ","")))</f>
        <v/>
      </c>
      <c r="E11" s="47"/>
      <c r="F11" s="47" t="str">
        <f aca="false">IF(F10="","",TRIM(IF(COUNTIFS($C$22:$C$143,F10,$D$22:$D$143,"*Vistoria*",$Q$22:$Q$143,"&lt;&gt;Cancelada")&gt;0,"Vistoria ","")&amp;IF(COUNTIFS($C$22:$C$143,F10,$D$22:$D$143,"*Relatório*",$Q$22:$Q$143,"&lt;&gt;Cancelada")&gt;0,"Relatório ","")&amp;IF(COUNTIFS($C$22:$C$143,F10,$D$22:$D$143,"*Reunião*",$Q$22:$Q$143,"&lt;&gt;Cancelada")&gt;0,"REUNIÃO ","")&amp;IF(COUNTIFS($C$22:$C$143,F10,$D$22:$D$143,"*Férias*",$Q$22:$Q$143,"&lt;&gt;Cancelada")&gt;0,"Férias ","")&amp;IF(COUNTIFS($C$22:$C$143,F10,$D$22:$D$143,"*Mudança*",$Q$22:$Q$143,"&lt;&gt;Cancelada")&gt;0,"M.Função ","")&amp;IF(COUNTIFS($C$22:$C$143,F10,$D$22:$D$143,"*Treinamento*",$Q$22:$Q$143,"&lt;&gt;Cancelada")&gt;0,"Trein. ","")))</f>
        <v/>
      </c>
      <c r="G11" s="47"/>
      <c r="H11" s="47" t="str">
        <f aca="false">IF(H10="","",TRIM(IF(COUNTIFS($C$22:$C$143,H10,$D$22:$D$143,"*Vistoria*",$Q$22:$Q$143,"&lt;&gt;Cancelada")&gt;0,"Vistoria ","")&amp;IF(COUNTIFS($C$22:$C$143,H10,$D$22:$D$143,"*Relatório*",$Q$22:$Q$143,"&lt;&gt;Cancelada")&gt;0,"Relatório ","")&amp;IF(COUNTIFS($C$22:$C$143,H10,$D$22:$D$143,"*Reunião*",$Q$22:$Q$143,"&lt;&gt;Cancelada")&gt;0,"REUNIÃO ","")&amp;IF(COUNTIFS($C$22:$C$143,H10,$D$22:$D$143,"*Férias*",$Q$22:$Q$143,"&lt;&gt;Cancelada")&gt;0,"Férias ","")&amp;IF(COUNTIFS($C$22:$C$143,H10,$D$22:$D$143,"*Mudança*",$Q$22:$Q$143,"&lt;&gt;Cancelada")&gt;0,"M.Função ","")&amp;IF(COUNTIFS($C$22:$C$143,H10,$D$22:$D$143,"*Treinamento*",$Q$22:$Q$143,"&lt;&gt;Cancelada")&gt;0,"Trein. ","")))</f>
        <v>Vistoria</v>
      </c>
      <c r="I11" s="47"/>
      <c r="J11" s="47" t="str">
        <f aca="false">IF(J10="","",TRIM(IF(COUNTIFS($C$22:$C$143,J10,$D$22:$D$143,"*Vistoria*",$Q$22:$Q$143,"&lt;&gt;Cancelada")&gt;0,"Vistoria ","")&amp;IF(COUNTIFS($C$22:$C$143,J10,$D$22:$D$143,"*Relatório*",$Q$22:$Q$143,"&lt;&gt;Cancelada")&gt;0,"Relatório ","")&amp;IF(COUNTIFS($C$22:$C$143,J10,$D$22:$D$143,"*Reunião*",$Q$22:$Q$143,"&lt;&gt;Cancelada")&gt;0,"REUNIÃO ","")&amp;IF(COUNTIFS($C$22:$C$143,J10,$D$22:$D$143,"*Férias*",$Q$22:$Q$143,"&lt;&gt;Cancelada")&gt;0,"Férias ","")&amp;IF(COUNTIFS($C$22:$C$143,J10,$D$22:$D$143,"*Mudança*",$Q$22:$Q$143,"&lt;&gt;Cancelada")&gt;0,"M.Função ","")&amp;IF(COUNTIFS($C$22:$C$143,J10,$D$22:$D$143,"*Treinamento*",$Q$22:$Q$143,"&lt;&gt;Cancelada")&gt;0,"Trein. ","")))</f>
        <v>Relatório</v>
      </c>
      <c r="K11" s="47"/>
      <c r="L11" s="47" t="str">
        <f aca="false">IF(L10="","",TRIM(IF(COUNTIFS($C$22:$C$143,L10,$D$22:$D$143,"*Vistoria*",$Q$22:$Q$143,"&lt;&gt;Cancelada")&gt;0,"Vistoria ","")&amp;IF(COUNTIFS($C$22:$C$143,L10,$D$22:$D$143,"*Relatório*",$Q$22:$Q$143,"&lt;&gt;Cancelada")&gt;0,"Relatório ","")&amp;IF(COUNTIFS($C$22:$C$143,L10,$D$22:$D$143,"*Reunião*",$Q$22:$Q$143,"&lt;&gt;Cancelada")&gt;0,"REUNIÃO ","")&amp;IF(COUNTIFS($C$22:$C$143,L10,$D$22:$D$143,"*Férias*",$Q$22:$Q$143,"&lt;&gt;Cancelada")&gt;0,"Férias ","")&amp;IF(COUNTIFS($C$22:$C$143,L10,$D$22:$D$143,"*Mudança*",$Q$22:$Q$143,"&lt;&gt;Cancelada")&gt;0,"M.Função ","")&amp;IF(COUNTIFS($C$22:$C$143,L10,$D$22:$D$143,"*Treinamento*",$Q$22:$Q$143,"&lt;&gt;Cancelada")&gt;0,"Trein. ","")))</f>
        <v>REUNIÃO</v>
      </c>
      <c r="M11" s="47"/>
      <c r="N11" s="47" t="str">
        <f aca="false">IF(N10="","",TRIM(IF(COUNTIFS($C$22:$C$143,N10,$D$22:$D$143,"*Vistoria*",$Q$22:$Q$143,"&lt;&gt;Cancelada")&gt;0,"Vistoria ","")&amp;IF(COUNTIFS($C$22:$C$143,N10,$D$22:$D$143,"*Relatório*",$Q$22:$Q$143,"&lt;&gt;Cancelada")&gt;0,"Relatório ","")&amp;IF(COUNTIFS($C$22:$C$143,N10,$D$22:$D$143,"*Reunião*",$Q$22:$Q$143,"&lt;&gt;Cancelada")&gt;0,"REUNIÃO ","")&amp;IF(COUNTIFS($C$22:$C$143,N10,$D$22:$D$143,"*Férias*",$Q$22:$Q$143,"&lt;&gt;Cancelada")&gt;0,"Férias ","")&amp;IF(COUNTIFS($C$22:$C$143,N10,$D$22:$D$143,"*Mudança*",$Q$22:$Q$143,"&lt;&gt;Cancelada")&gt;0,"M.Função ","")&amp;IF(COUNTIFS($C$22:$C$143,N10,$D$22:$D$143,"*Treinamento*",$Q$22:$Q$143,"&lt;&gt;Cancelada")&gt;0,"Trein. ","")))</f>
        <v/>
      </c>
      <c r="O11" s="47"/>
    </row>
    <row r="12" customFormat="false" ht="15" hidden="false" customHeight="true" outlineLevel="0" collapsed="false">
      <c r="B12" s="46" t="n">
        <f aca="false">IF(MONTH($X$1-WEEKDAY($X$1)+1+21)=MONTH($X$1),$X$1-WEEKDAY($X$1)+1+21,"")</f>
        <v>46222</v>
      </c>
      <c r="C12" s="46"/>
      <c r="D12" s="46" t="n">
        <f aca="false">IF(MONTH($X$1-WEEKDAY($X$1)+1+22)=MONTH($X$1),$X$1-WEEKDAY($X$1)+1+22,"")</f>
        <v>46223</v>
      </c>
      <c r="E12" s="46"/>
      <c r="F12" s="46" t="n">
        <f aca="false">IF(MONTH($X$1-WEEKDAY($X$1)+1+23)=MONTH($X$1),$X$1-WEEKDAY($X$1)+1+23,"")</f>
        <v>46224</v>
      </c>
      <c r="G12" s="46"/>
      <c r="H12" s="46" t="n">
        <f aca="false">IF(MONTH($X$1-WEEKDAY($X$1)+1+24)=MONTH($X$1),$X$1-WEEKDAY($X$1)+1+24,"")</f>
        <v>46225</v>
      </c>
      <c r="I12" s="46"/>
      <c r="J12" s="46" t="n">
        <f aca="false">IF(MONTH($X$1-WEEKDAY($X$1)+1+25)=MONTH($X$1),$X$1-WEEKDAY($X$1)+1+25,"")</f>
        <v>46226</v>
      </c>
      <c r="K12" s="46"/>
      <c r="L12" s="46" t="n">
        <f aca="false">IF(MONTH($X$1-WEEKDAY($X$1)+1+26)=MONTH($X$1),$X$1-WEEKDAY($X$1)+1+26,"")</f>
        <v>46227</v>
      </c>
      <c r="M12" s="46"/>
      <c r="N12" s="46" t="n">
        <f aca="false">IF(MONTH($X$1-WEEKDAY($X$1)+1+27)=MONTH($X$1),$X$1-WEEKDAY($X$1)+1+27,"")</f>
        <v>46228</v>
      </c>
      <c r="O12" s="46"/>
    </row>
    <row r="13" customFormat="false" ht="25.5" hidden="false" customHeight="true" outlineLevel="0" collapsed="false">
      <c r="B13" s="47" t="str">
        <f aca="false">IF(B12="","",TRIM(IF(COUNTIFS($C$22:$C$143,B12,$D$22:$D$143,"*Vistoria*",$Q$22:$Q$143,"&lt;&gt;Cancelada")&gt;0,"Vistoria ","")&amp;IF(COUNTIFS($C$22:$C$143,B12,$D$22:$D$143,"*Relatório*",$Q$22:$Q$143,"&lt;&gt;Cancelada")&gt;0,"Relatório ","")&amp;IF(COUNTIFS($C$22:$C$143,B12,$D$22:$D$143,"*Reunião*",$Q$22:$Q$143,"&lt;&gt;Cancelada")&gt;0,"REUNIÃO ","")&amp;IF(COUNTIFS($C$22:$C$143,B12,$D$22:$D$143,"*Férias*",$Q$22:$Q$143,"&lt;&gt;Cancelada")&gt;0,"Férias ","")&amp;IF(COUNTIFS($C$22:$C$143,B12,$D$22:$D$143,"*Mudança*",$Q$22:$Q$143,"&lt;&gt;Cancelada")&gt;0,"M.Função ","")&amp;IF(COUNTIFS($C$22:$C$143,B12,$D$22:$D$143,"*Treinamento*",$Q$22:$Q$143,"&lt;&gt;Cancelada")&gt;0,"Trein. ","")))</f>
        <v/>
      </c>
      <c r="C13" s="47"/>
      <c r="D13" s="47" t="str">
        <f aca="false">IF(D12="","",TRIM(IF(COUNTIFS($C$22:$C$143,D12,$D$22:$D$143,"*Vistoria*",$Q$22:$Q$143,"&lt;&gt;Cancelada")&gt;0,"Vistoria ","")&amp;IF(COUNTIFS($C$22:$C$143,D12,$D$22:$D$143,"*Relatório*",$Q$22:$Q$143,"&lt;&gt;Cancelada")&gt;0,"Relatório ","")&amp;IF(COUNTIFS($C$22:$C$143,D12,$D$22:$D$143,"*Reunião*",$Q$22:$Q$143,"&lt;&gt;Cancelada")&gt;0,"REUNIÃO ","")&amp;IF(COUNTIFS($C$22:$C$143,D12,$D$22:$D$143,"*Férias*",$Q$22:$Q$143,"&lt;&gt;Cancelada")&gt;0,"Férias ","")&amp;IF(COUNTIFS($C$22:$C$143,D12,$D$22:$D$143,"*Mudança*",$Q$22:$Q$143,"&lt;&gt;Cancelada")&gt;0,"M.Função ","")&amp;IF(COUNTIFS($C$22:$C$143,D12,$D$22:$D$143,"*Treinamento*",$Q$22:$Q$143,"&lt;&gt;Cancelada")&gt;0,"Trein. ","")))</f>
        <v/>
      </c>
      <c r="E13" s="47"/>
      <c r="F13" s="47" t="str">
        <f aca="false">IF(F12="","",TRIM(IF(COUNTIFS($C$22:$C$143,F12,$D$22:$D$143,"*Vistoria*",$Q$22:$Q$143,"&lt;&gt;Cancelada")&gt;0,"Vistoria ","")&amp;IF(COUNTIFS($C$22:$C$143,F12,$D$22:$D$143,"*Relatório*",$Q$22:$Q$143,"&lt;&gt;Cancelada")&gt;0,"Relatório ","")&amp;IF(COUNTIFS($C$22:$C$143,F12,$D$22:$D$143,"*Reunião*",$Q$22:$Q$143,"&lt;&gt;Cancelada")&gt;0,"REUNIÃO ","")&amp;IF(COUNTIFS($C$22:$C$143,F12,$D$22:$D$143,"*Férias*",$Q$22:$Q$143,"&lt;&gt;Cancelada")&gt;0,"Férias ","")&amp;IF(COUNTIFS($C$22:$C$143,F12,$D$22:$D$143,"*Mudança*",$Q$22:$Q$143,"&lt;&gt;Cancelada")&gt;0,"M.Função ","")&amp;IF(COUNTIFS($C$22:$C$143,F12,$D$22:$D$143,"*Treinamento*",$Q$22:$Q$143,"&lt;&gt;Cancelada")&gt;0,"Trein. ","")))</f>
        <v/>
      </c>
      <c r="G13" s="47"/>
      <c r="H13" s="47" t="str">
        <f aca="false">IF(H12="","",TRIM(IF(COUNTIFS($C$22:$C$143,H12,$D$22:$D$143,"*Vistoria*",$Q$22:$Q$143,"&lt;&gt;Cancelada")&gt;0,"Vistoria ","")&amp;IF(COUNTIFS($C$22:$C$143,H12,$D$22:$D$143,"*Relatório*",$Q$22:$Q$143,"&lt;&gt;Cancelada")&gt;0,"Relatório ","")&amp;IF(COUNTIFS($C$22:$C$143,H12,$D$22:$D$143,"*Reunião*",$Q$22:$Q$143,"&lt;&gt;Cancelada")&gt;0,"REUNIÃO ","")&amp;IF(COUNTIFS($C$22:$C$143,H12,$D$22:$D$143,"*Férias*",$Q$22:$Q$143,"&lt;&gt;Cancelada")&gt;0,"Férias ","")&amp;IF(COUNTIFS($C$22:$C$143,H12,$D$22:$D$143,"*Mudança*",$Q$22:$Q$143,"&lt;&gt;Cancelada")&gt;0,"M.Função ","")&amp;IF(COUNTIFS($C$22:$C$143,H12,$D$22:$D$143,"*Treinamento*",$Q$22:$Q$143,"&lt;&gt;Cancelada")&gt;0,"Trein. ","")))</f>
        <v>Vistoria</v>
      </c>
      <c r="I13" s="47"/>
      <c r="J13" s="47" t="str">
        <f aca="false">IF(J12="","",TRIM(IF(COUNTIFS($C$22:$C$143,J12,$D$22:$D$143,"*Vistoria*",$Q$22:$Q$143,"&lt;&gt;Cancelada")&gt;0,"Vistoria ","")&amp;IF(COUNTIFS($C$22:$C$143,J12,$D$22:$D$143,"*Relatório*",$Q$22:$Q$143,"&lt;&gt;Cancelada")&gt;0,"Relatório ","")&amp;IF(COUNTIFS($C$22:$C$143,J12,$D$22:$D$143,"*Reunião*",$Q$22:$Q$143,"&lt;&gt;Cancelada")&gt;0,"REUNIÃO ","")&amp;IF(COUNTIFS($C$22:$C$143,J12,$D$22:$D$143,"*Férias*",$Q$22:$Q$143,"&lt;&gt;Cancelada")&gt;0,"Férias ","")&amp;IF(COUNTIFS($C$22:$C$143,J12,$D$22:$D$143,"*Mudança*",$Q$22:$Q$143,"&lt;&gt;Cancelada")&gt;0,"M.Função ","")&amp;IF(COUNTIFS($C$22:$C$143,J12,$D$22:$D$143,"*Treinamento*",$Q$22:$Q$143,"&lt;&gt;Cancelada")&gt;0,"Trein. ","")))</f>
        <v>Relatório</v>
      </c>
      <c r="K13" s="47"/>
      <c r="L13" s="47" t="str">
        <f aca="false">IF(L12="","",TRIM(IF(COUNTIFS($C$22:$C$143,L12,$D$22:$D$143,"*Vistoria*",$Q$22:$Q$143,"&lt;&gt;Cancelada")&gt;0,"Vistoria ","")&amp;IF(COUNTIFS($C$22:$C$143,L12,$D$22:$D$143,"*Relatório*",$Q$22:$Q$143,"&lt;&gt;Cancelada")&gt;0,"Relatório ","")&amp;IF(COUNTIFS($C$22:$C$143,L12,$D$22:$D$143,"*Reunião*",$Q$22:$Q$143,"&lt;&gt;Cancelada")&gt;0,"REUNIÃO ","")&amp;IF(COUNTIFS($C$22:$C$143,L12,$D$22:$D$143,"*Férias*",$Q$22:$Q$143,"&lt;&gt;Cancelada")&gt;0,"Férias ","")&amp;IF(COUNTIFS($C$22:$C$143,L12,$D$22:$D$143,"*Mudança*",$Q$22:$Q$143,"&lt;&gt;Cancelada")&gt;0,"M.Função ","")&amp;IF(COUNTIFS($C$22:$C$143,L12,$D$22:$D$143,"*Treinamento*",$Q$22:$Q$143,"&lt;&gt;Cancelada")&gt;0,"Trein. ","")))</f>
        <v>REUNIÃO</v>
      </c>
      <c r="M13" s="47"/>
      <c r="N13" s="47" t="str">
        <f aca="false">IF(N12="","",TRIM(IF(COUNTIFS($C$22:$C$143,N12,$D$22:$D$143,"*Vistoria*",$Q$22:$Q$143,"&lt;&gt;Cancelada")&gt;0,"Vistoria ","")&amp;IF(COUNTIFS($C$22:$C$143,N12,$D$22:$D$143,"*Relatório*",$Q$22:$Q$143,"&lt;&gt;Cancelada")&gt;0,"Relatório ","")&amp;IF(COUNTIFS($C$22:$C$143,N12,$D$22:$D$143,"*Reunião*",$Q$22:$Q$143,"&lt;&gt;Cancelada")&gt;0,"REUNIÃO ","")&amp;IF(COUNTIFS($C$22:$C$143,N12,$D$22:$D$143,"*Férias*",$Q$22:$Q$143,"&lt;&gt;Cancelada")&gt;0,"Férias ","")&amp;IF(COUNTIFS($C$22:$C$143,N12,$D$22:$D$143,"*Mudança*",$Q$22:$Q$143,"&lt;&gt;Cancelada")&gt;0,"M.Função ","")&amp;IF(COUNTIFS($C$22:$C$143,N12,$D$22:$D$143,"*Treinamento*",$Q$22:$Q$143,"&lt;&gt;Cancelada")&gt;0,"Trein. ","")))</f>
        <v/>
      </c>
      <c r="O13" s="47"/>
    </row>
    <row r="14" customFormat="false" ht="15" hidden="false" customHeight="true" outlineLevel="0" collapsed="false">
      <c r="B14" s="46" t="n">
        <f aca="false">IF(MONTH($X$1-WEEKDAY($X$1)+1+28)=MONTH($X$1),$X$1-WEEKDAY($X$1)+1+28,"")</f>
        <v>46229</v>
      </c>
      <c r="C14" s="46"/>
      <c r="D14" s="46" t="n">
        <f aca="false">IF(MONTH($X$1-WEEKDAY($X$1)+1+29)=MONTH($X$1),$X$1-WEEKDAY($X$1)+1+29,"")</f>
        <v>46230</v>
      </c>
      <c r="E14" s="46"/>
      <c r="F14" s="46" t="n">
        <f aca="false">IF(MONTH($X$1-WEEKDAY($X$1)+1+30)=MONTH($X$1),$X$1-WEEKDAY($X$1)+1+30,"")</f>
        <v>46231</v>
      </c>
      <c r="G14" s="46"/>
      <c r="H14" s="46" t="n">
        <f aca="false">IF(MONTH($X$1-WEEKDAY($X$1)+1+31)=MONTH($X$1),$X$1-WEEKDAY($X$1)+1+31,"")</f>
        <v>46232</v>
      </c>
      <c r="I14" s="46"/>
      <c r="J14" s="46" t="n">
        <f aca="false">IF(MONTH($X$1-WEEKDAY($X$1)+1+32)=MONTH($X$1),$X$1-WEEKDAY($X$1)+1+32,"")</f>
        <v>46233</v>
      </c>
      <c r="K14" s="46"/>
      <c r="L14" s="46" t="n">
        <f aca="false">IF(MONTH($X$1-WEEKDAY($X$1)+1+33)=MONTH($X$1),$X$1-WEEKDAY($X$1)+1+33,"")</f>
        <v>46234</v>
      </c>
      <c r="M14" s="46"/>
      <c r="N14" s="46" t="str">
        <f aca="false">IF(MONTH($X$1-WEEKDAY($X$1)+1+34)=MONTH($X$1),$X$1-WEEKDAY($X$1)+1+34,"")</f>
        <v/>
      </c>
      <c r="O14" s="46"/>
    </row>
    <row r="15" customFormat="false" ht="25.5" hidden="false" customHeight="true" outlineLevel="0" collapsed="false">
      <c r="B15" s="47" t="str">
        <f aca="false">IF(B14="","",TRIM(IF(COUNTIFS($C$22:$C$143,B14,$D$22:$D$143,"*Vistoria*",$Q$22:$Q$143,"&lt;&gt;Cancelada")&gt;0,"Vistoria ","")&amp;IF(COUNTIFS($C$22:$C$143,B14,$D$22:$D$143,"*Relatório*",$Q$22:$Q$143,"&lt;&gt;Cancelada")&gt;0,"Relatório ","")&amp;IF(COUNTIFS($C$22:$C$143,B14,$D$22:$D$143,"*Reunião*",$Q$22:$Q$143,"&lt;&gt;Cancelada")&gt;0,"REUNIÃO ","")&amp;IF(COUNTIFS($C$22:$C$143,B14,$D$22:$D$143,"*Férias*",$Q$22:$Q$143,"&lt;&gt;Cancelada")&gt;0,"Férias ","")&amp;IF(COUNTIFS($C$22:$C$143,B14,$D$22:$D$143,"*Mudança*",$Q$22:$Q$143,"&lt;&gt;Cancelada")&gt;0,"M.Função ","")&amp;IF(COUNTIFS($C$22:$C$143,B14,$D$22:$D$143,"*Treinamento*",$Q$22:$Q$143,"&lt;&gt;Cancelada")&gt;0,"Trein. ","")))</f>
        <v/>
      </c>
      <c r="C15" s="47"/>
      <c r="D15" s="47" t="str">
        <f aca="false">IF(D14="","",TRIM(IF(COUNTIFS($C$22:$C$143,D14,$D$22:$D$143,"*Vistoria*",$Q$22:$Q$143,"&lt;&gt;Cancelada")&gt;0,"Vistoria ","")&amp;IF(COUNTIFS($C$22:$C$143,D14,$D$22:$D$143,"*Relatório*",$Q$22:$Q$143,"&lt;&gt;Cancelada")&gt;0,"Relatório ","")&amp;IF(COUNTIFS($C$22:$C$143,D14,$D$22:$D$143,"*Reunião*",$Q$22:$Q$143,"&lt;&gt;Cancelada")&gt;0,"REUNIÃO ","")&amp;IF(COUNTIFS($C$22:$C$143,D14,$D$22:$D$143,"*Férias*",$Q$22:$Q$143,"&lt;&gt;Cancelada")&gt;0,"Férias ","")&amp;IF(COUNTIFS($C$22:$C$143,D14,$D$22:$D$143,"*Mudança*",$Q$22:$Q$143,"&lt;&gt;Cancelada")&gt;0,"M.Função ","")&amp;IF(COUNTIFS($C$22:$C$143,D14,$D$22:$D$143,"*Treinamento*",$Q$22:$Q$143,"&lt;&gt;Cancelada")&gt;0,"Trein. ","")))</f>
        <v/>
      </c>
      <c r="E15" s="47"/>
      <c r="F15" s="47" t="str">
        <f aca="false">IF(F14="","",TRIM(IF(COUNTIFS($C$22:$C$143,F14,$D$22:$D$143,"*Vistoria*",$Q$22:$Q$143,"&lt;&gt;Cancelada")&gt;0,"Vistoria ","")&amp;IF(COUNTIFS($C$22:$C$143,F14,$D$22:$D$143,"*Relatório*",$Q$22:$Q$143,"&lt;&gt;Cancelada")&gt;0,"Relatório ","")&amp;IF(COUNTIFS($C$22:$C$143,F14,$D$22:$D$143,"*Reunião*",$Q$22:$Q$143,"&lt;&gt;Cancelada")&gt;0,"REUNIÃO ","")&amp;IF(COUNTIFS($C$22:$C$143,F14,$D$22:$D$143,"*Férias*",$Q$22:$Q$143,"&lt;&gt;Cancelada")&gt;0,"Férias ","")&amp;IF(COUNTIFS($C$22:$C$143,F14,$D$22:$D$143,"*Mudança*",$Q$22:$Q$143,"&lt;&gt;Cancelada")&gt;0,"M.Função ","")&amp;IF(COUNTIFS($C$22:$C$143,F14,$D$22:$D$143,"*Treinamento*",$Q$22:$Q$143,"&lt;&gt;Cancelada")&gt;0,"Trein. ","")))</f>
        <v/>
      </c>
      <c r="G15" s="47"/>
      <c r="H15" s="47" t="str">
        <f aca="false">IF(H14="","",TRIM(IF(COUNTIFS($C$22:$C$143,H14,$D$22:$D$143,"*Vistoria*",$Q$22:$Q$143,"&lt;&gt;Cancelada")&gt;0,"Vistoria ","")&amp;IF(COUNTIFS($C$22:$C$143,H14,$D$22:$D$143,"*Relatório*",$Q$22:$Q$143,"&lt;&gt;Cancelada")&gt;0,"Relatório ","")&amp;IF(COUNTIFS($C$22:$C$143,H14,$D$22:$D$143,"*Reunião*",$Q$22:$Q$143,"&lt;&gt;Cancelada")&gt;0,"REUNIÃO ","")&amp;IF(COUNTIFS($C$22:$C$143,H14,$D$22:$D$143,"*Férias*",$Q$22:$Q$143,"&lt;&gt;Cancelada")&gt;0,"Férias ","")&amp;IF(COUNTIFS($C$22:$C$143,H14,$D$22:$D$143,"*Mudança*",$Q$22:$Q$143,"&lt;&gt;Cancelada")&gt;0,"M.Função ","")&amp;IF(COUNTIFS($C$22:$C$143,H14,$D$22:$D$143,"*Treinamento*",$Q$22:$Q$143,"&lt;&gt;Cancelada")&gt;0,"Trein. ","")))</f>
        <v>Vistoria</v>
      </c>
      <c r="I15" s="47"/>
      <c r="J15" s="47" t="str">
        <f aca="false">IF(J14="","",TRIM(IF(COUNTIFS($C$22:$C$143,J14,$D$22:$D$143,"*Vistoria*",$Q$22:$Q$143,"&lt;&gt;Cancelada")&gt;0,"Vistoria ","")&amp;IF(COUNTIFS($C$22:$C$143,J14,$D$22:$D$143,"*Relatório*",$Q$22:$Q$143,"&lt;&gt;Cancelada")&gt;0,"Relatório ","")&amp;IF(COUNTIFS($C$22:$C$143,J14,$D$22:$D$143,"*Reunião*",$Q$22:$Q$143,"&lt;&gt;Cancelada")&gt;0,"REUNIÃO ","")&amp;IF(COUNTIFS($C$22:$C$143,J14,$D$22:$D$143,"*Férias*",$Q$22:$Q$143,"&lt;&gt;Cancelada")&gt;0,"Férias ","")&amp;IF(COUNTIFS($C$22:$C$143,J14,$D$22:$D$143,"*Mudança*",$Q$22:$Q$143,"&lt;&gt;Cancelada")&gt;0,"M.Função ","")&amp;IF(COUNTIFS($C$22:$C$143,J14,$D$22:$D$143,"*Treinamento*",$Q$22:$Q$143,"&lt;&gt;Cancelada")&gt;0,"Trein. ","")))</f>
        <v>Relatório</v>
      </c>
      <c r="K15" s="47"/>
      <c r="L15" s="47" t="str">
        <f aca="false">IF(L14="","",TRIM(IF(COUNTIFS($C$22:$C$143,L14,$D$22:$D$143,"*Vistoria*",$Q$22:$Q$143,"&lt;&gt;Cancelada")&gt;0,"Vistoria ","")&amp;IF(COUNTIFS($C$22:$C$143,L14,$D$22:$D$143,"*Relatório*",$Q$22:$Q$143,"&lt;&gt;Cancelada")&gt;0,"Relatório ","")&amp;IF(COUNTIFS($C$22:$C$143,L14,$D$22:$D$143,"*Reunião*",$Q$22:$Q$143,"&lt;&gt;Cancelada")&gt;0,"REUNIÃO ","")&amp;IF(COUNTIFS($C$22:$C$143,L14,$D$22:$D$143,"*Férias*",$Q$22:$Q$143,"&lt;&gt;Cancelada")&gt;0,"Férias ","")&amp;IF(COUNTIFS($C$22:$C$143,L14,$D$22:$D$143,"*Mudança*",$Q$22:$Q$143,"&lt;&gt;Cancelada")&gt;0,"M.Função ","")&amp;IF(COUNTIFS($C$22:$C$143,L14,$D$22:$D$143,"*Treinamento*",$Q$22:$Q$143,"&lt;&gt;Cancelada")&gt;0,"Trein. ","")))</f>
        <v>REUNIÃO M.Função</v>
      </c>
      <c r="M15" s="47"/>
      <c r="N15" s="47" t="str">
        <f aca="false">IF(N14="","",TRIM(IF(COUNTIFS($C$22:$C$143,N14,$D$22:$D$143,"*Vistoria*",$Q$22:$Q$143,"&lt;&gt;Cancelada")&gt;0,"Vistoria ","")&amp;IF(COUNTIFS($C$22:$C$143,N14,$D$22:$D$143,"*Relatório*",$Q$22:$Q$143,"&lt;&gt;Cancelada")&gt;0,"Relatório ","")&amp;IF(COUNTIFS($C$22:$C$143,N14,$D$22:$D$143,"*Reunião*",$Q$22:$Q$143,"&lt;&gt;Cancelada")&gt;0,"REUNIÃO ","")&amp;IF(COUNTIFS($C$22:$C$143,N14,$D$22:$D$143,"*Férias*",$Q$22:$Q$143,"&lt;&gt;Cancelada")&gt;0,"Férias ","")&amp;IF(COUNTIFS($C$22:$C$143,N14,$D$22:$D$143,"*Mudança*",$Q$22:$Q$143,"&lt;&gt;Cancelada")&gt;0,"M.Função ","")&amp;IF(COUNTIFS($C$22:$C$143,N14,$D$22:$D$143,"*Treinamento*",$Q$22:$Q$143,"&lt;&gt;Cancelada")&gt;0,"Trein. ","")))</f>
        <v/>
      </c>
      <c r="O15" s="47"/>
    </row>
    <row r="16" customFormat="false" ht="15" hidden="false" customHeight="true" outlineLevel="0" collapsed="false">
      <c r="B16" s="46" t="str">
        <f aca="false">IF(MONTH($X$1-WEEKDAY($X$1)+1+35)=MONTH($X$1),$X$1-WEEKDAY($X$1)+1+35,"")</f>
        <v/>
      </c>
      <c r="C16" s="46"/>
      <c r="D16" s="46" t="str">
        <f aca="false">IF(MONTH($X$1-WEEKDAY($X$1)+1+36)=MONTH($X$1),$X$1-WEEKDAY($X$1)+1+36,"")</f>
        <v/>
      </c>
      <c r="E16" s="46"/>
      <c r="F16" s="46" t="str">
        <f aca="false">IF(MONTH($X$1-WEEKDAY($X$1)+1+37)=MONTH($X$1),$X$1-WEEKDAY($X$1)+1+37,"")</f>
        <v/>
      </c>
      <c r="G16" s="46"/>
      <c r="H16" s="46" t="str">
        <f aca="false">IF(MONTH($X$1-WEEKDAY($X$1)+1+38)=MONTH($X$1),$X$1-WEEKDAY($X$1)+1+38,"")</f>
        <v/>
      </c>
      <c r="I16" s="46"/>
      <c r="J16" s="46" t="str">
        <f aca="false">IF(MONTH($X$1-WEEKDAY($X$1)+1+39)=MONTH($X$1),$X$1-WEEKDAY($X$1)+1+39,"")</f>
        <v/>
      </c>
      <c r="K16" s="46"/>
      <c r="L16" s="46" t="str">
        <f aca="false">IF(MONTH($X$1-WEEKDAY($X$1)+1+40)=MONTH($X$1),$X$1-WEEKDAY($X$1)+1+40,"")</f>
        <v/>
      </c>
      <c r="M16" s="46"/>
      <c r="N16" s="46" t="str">
        <f aca="false">IF(MONTH($X$1-WEEKDAY($X$1)+1+41)=MONTH($X$1),$X$1-WEEKDAY($X$1)+1+41,"")</f>
        <v/>
      </c>
      <c r="O16" s="46"/>
    </row>
    <row r="17" customFormat="false" ht="25.5" hidden="false" customHeight="true" outlineLevel="0" collapsed="false">
      <c r="B17" s="47" t="str">
        <f aca="false">IF(B16="","",TRIM(IF(COUNTIFS($C$22:$C$143,B16,$D$22:$D$143,"*Vistoria*",$Q$22:$Q$143,"&lt;&gt;Cancelada")&gt;0,"Vistoria ","")&amp;IF(COUNTIFS($C$22:$C$143,B16,$D$22:$D$143,"*Relatório*",$Q$22:$Q$143,"&lt;&gt;Cancelada")&gt;0,"Relatório ","")&amp;IF(COUNTIFS($C$22:$C$143,B16,$D$22:$D$143,"*Reunião*",$Q$22:$Q$143,"&lt;&gt;Cancelada")&gt;0,"REUNIÃO ","")&amp;IF(COUNTIFS($C$22:$C$143,B16,$D$22:$D$143,"*Férias*",$Q$22:$Q$143,"&lt;&gt;Cancelada")&gt;0,"Férias ","")&amp;IF(COUNTIFS($C$22:$C$143,B16,$D$22:$D$143,"*Mudança*",$Q$22:$Q$143,"&lt;&gt;Cancelada")&gt;0,"M.Função ","")&amp;IF(COUNTIFS($C$22:$C$143,B16,$D$22:$D$143,"*Treinamento*",$Q$22:$Q$143,"&lt;&gt;Cancelada")&gt;0,"Trein. ","")))</f>
        <v/>
      </c>
      <c r="C17" s="47"/>
      <c r="D17" s="47" t="str">
        <f aca="false">IF(D16="","",TRIM(IF(COUNTIFS($C$22:$C$143,D16,$D$22:$D$143,"*Vistoria*",$Q$22:$Q$143,"&lt;&gt;Cancelada")&gt;0,"Vistoria ","")&amp;IF(COUNTIFS($C$22:$C$143,D16,$D$22:$D$143,"*Relatório*",$Q$22:$Q$143,"&lt;&gt;Cancelada")&gt;0,"Relatório ","")&amp;IF(COUNTIFS($C$22:$C$143,D16,$D$22:$D$143,"*Reunião*",$Q$22:$Q$143,"&lt;&gt;Cancelada")&gt;0,"REUNIÃO ","")&amp;IF(COUNTIFS($C$22:$C$143,D16,$D$22:$D$143,"*Férias*",$Q$22:$Q$143,"&lt;&gt;Cancelada")&gt;0,"Férias ","")&amp;IF(COUNTIFS($C$22:$C$143,D16,$D$22:$D$143,"*Mudança*",$Q$22:$Q$143,"&lt;&gt;Cancelada")&gt;0,"M.Função ","")&amp;IF(COUNTIFS($C$22:$C$143,D16,$D$22:$D$143,"*Treinamento*",$Q$22:$Q$143,"&lt;&gt;Cancelada")&gt;0,"Trein. ","")))</f>
        <v/>
      </c>
      <c r="E17" s="47"/>
      <c r="F17" s="47" t="str">
        <f aca="false">IF(F16="","",TRIM(IF(COUNTIFS($C$22:$C$143,F16,$D$22:$D$143,"*Vistoria*",$Q$22:$Q$143,"&lt;&gt;Cancelada")&gt;0,"Vistoria ","")&amp;IF(COUNTIFS($C$22:$C$143,F16,$D$22:$D$143,"*Relatório*",$Q$22:$Q$143,"&lt;&gt;Cancelada")&gt;0,"Relatório ","")&amp;IF(COUNTIFS($C$22:$C$143,F16,$D$22:$D$143,"*Reunião*",$Q$22:$Q$143,"&lt;&gt;Cancelada")&gt;0,"REUNIÃO ","")&amp;IF(COUNTIFS($C$22:$C$143,F16,$D$22:$D$143,"*Férias*",$Q$22:$Q$143,"&lt;&gt;Cancelada")&gt;0,"Férias ","")&amp;IF(COUNTIFS($C$22:$C$143,F16,$D$22:$D$143,"*Mudança*",$Q$22:$Q$143,"&lt;&gt;Cancelada")&gt;0,"M.Função ","")&amp;IF(COUNTIFS($C$22:$C$143,F16,$D$22:$D$143,"*Treinamento*",$Q$22:$Q$143,"&lt;&gt;Cancelada")&gt;0,"Trein. ","")))</f>
        <v/>
      </c>
      <c r="G17" s="47"/>
      <c r="H17" s="47" t="str">
        <f aca="false">IF(H16="","",TRIM(IF(COUNTIFS($C$22:$C$143,H16,$D$22:$D$143,"*Vistoria*",$Q$22:$Q$143,"&lt;&gt;Cancelada")&gt;0,"Vistoria ","")&amp;IF(COUNTIFS($C$22:$C$143,H16,$D$22:$D$143,"*Relatório*",$Q$22:$Q$143,"&lt;&gt;Cancelada")&gt;0,"Relatório ","")&amp;IF(COUNTIFS($C$22:$C$143,H16,$D$22:$D$143,"*Reunião*",$Q$22:$Q$143,"&lt;&gt;Cancelada")&gt;0,"REUNIÃO ","")&amp;IF(COUNTIFS($C$22:$C$143,H16,$D$22:$D$143,"*Férias*",$Q$22:$Q$143,"&lt;&gt;Cancelada")&gt;0,"Férias ","")&amp;IF(COUNTIFS($C$22:$C$143,H16,$D$22:$D$143,"*Mudança*",$Q$22:$Q$143,"&lt;&gt;Cancelada")&gt;0,"M.Função ","")&amp;IF(COUNTIFS($C$22:$C$143,H16,$D$22:$D$143,"*Treinamento*",$Q$22:$Q$143,"&lt;&gt;Cancelada")&gt;0,"Trein. ","")))</f>
        <v/>
      </c>
      <c r="I17" s="47"/>
      <c r="J17" s="47" t="str">
        <f aca="false">IF(J16="","",TRIM(IF(COUNTIFS($C$22:$C$143,J16,$D$22:$D$143,"*Vistoria*",$Q$22:$Q$143,"&lt;&gt;Cancelada")&gt;0,"Vistoria ","")&amp;IF(COUNTIFS($C$22:$C$143,J16,$D$22:$D$143,"*Relatório*",$Q$22:$Q$143,"&lt;&gt;Cancelada")&gt;0,"Relatório ","")&amp;IF(COUNTIFS($C$22:$C$143,J16,$D$22:$D$143,"*Reunião*",$Q$22:$Q$143,"&lt;&gt;Cancelada")&gt;0,"REUNIÃO ","")&amp;IF(COUNTIFS($C$22:$C$143,J16,$D$22:$D$143,"*Férias*",$Q$22:$Q$143,"&lt;&gt;Cancelada")&gt;0,"Férias ","")&amp;IF(COUNTIFS($C$22:$C$143,J16,$D$22:$D$143,"*Mudança*",$Q$22:$Q$143,"&lt;&gt;Cancelada")&gt;0,"M.Função ","")&amp;IF(COUNTIFS($C$22:$C$143,J16,$D$22:$D$143,"*Treinamento*",$Q$22:$Q$143,"&lt;&gt;Cancelada")&gt;0,"Trein. ","")))</f>
        <v/>
      </c>
      <c r="K17" s="47"/>
      <c r="L17" s="47" t="str">
        <f aca="false">IF(L16="","",TRIM(IF(COUNTIFS($C$22:$C$143,L16,$D$22:$D$143,"*Vistoria*",$Q$22:$Q$143,"&lt;&gt;Cancelada")&gt;0,"Vistoria ","")&amp;IF(COUNTIFS($C$22:$C$143,L16,$D$22:$D$143,"*Relatório*",$Q$22:$Q$143,"&lt;&gt;Cancelada")&gt;0,"Relatório ","")&amp;IF(COUNTIFS($C$22:$C$143,L16,$D$22:$D$143,"*Reunião*",$Q$22:$Q$143,"&lt;&gt;Cancelada")&gt;0,"REUNIÃO ","")&amp;IF(COUNTIFS($C$22:$C$143,L16,$D$22:$D$143,"*Férias*",$Q$22:$Q$143,"&lt;&gt;Cancelada")&gt;0,"Férias ","")&amp;IF(COUNTIFS($C$22:$C$143,L16,$D$22:$D$143,"*Mudança*",$Q$22:$Q$143,"&lt;&gt;Cancelada")&gt;0,"M.Função ","")&amp;IF(COUNTIFS($C$22:$C$143,L16,$D$22:$D$143,"*Treinamento*",$Q$22:$Q$143,"&lt;&gt;Cancelada")&gt;0,"Trein. ","")))</f>
        <v/>
      </c>
      <c r="M17" s="47"/>
      <c r="N17" s="47" t="str">
        <f aca="false">IF(N16="","",TRIM(IF(COUNTIFS($C$22:$C$143,N16,$D$22:$D$143,"*Vistoria*",$Q$22:$Q$143,"&lt;&gt;Cancelada")&gt;0,"Vistoria ","")&amp;IF(COUNTIFS($C$22:$C$143,N16,$D$22:$D$143,"*Relatório*",$Q$22:$Q$143,"&lt;&gt;Cancelada")&gt;0,"Relatório ","")&amp;IF(COUNTIFS($C$22:$C$143,N16,$D$22:$D$143,"*Reunião*",$Q$22:$Q$143,"&lt;&gt;Cancelada")&gt;0,"REUNIÃO ","")&amp;IF(COUNTIFS($C$22:$C$143,N16,$D$22:$D$143,"*Férias*",$Q$22:$Q$143,"&lt;&gt;Cancelada")&gt;0,"Férias ","")&amp;IF(COUNTIFS($C$22:$C$143,N16,$D$22:$D$143,"*Mudança*",$Q$22:$Q$143,"&lt;&gt;Cancelada")&gt;0,"M.Função ","")&amp;IF(COUNTIFS($C$22:$C$143,N16,$D$22:$D$143,"*Treinamento*",$Q$22:$Q$143,"&lt;&gt;Cancelada")&gt;0,"Trein. ","")))</f>
        <v/>
      </c>
      <c r="O17" s="47"/>
    </row>
    <row r="18" customFormat="false" ht="15" hidden="false" customHeight="true" outlineLevel="0" collapsed="false">
      <c r="B18" s="48" t="s">
        <v>123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</row>
    <row r="20" customFormat="false" ht="15" hidden="false" customHeight="true" outlineLevel="0" collapsed="false">
      <c r="A20" s="49" t="s">
        <v>124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customFormat="false" ht="24" hidden="false" customHeight="true" outlineLevel="0" collapsed="false">
      <c r="A21" s="50" t="s">
        <v>125</v>
      </c>
      <c r="B21" s="50" t="s">
        <v>126</v>
      </c>
      <c r="C21" s="50" t="s">
        <v>127</v>
      </c>
      <c r="D21" s="50" t="s">
        <v>128</v>
      </c>
      <c r="E21" s="50"/>
      <c r="F21" s="50"/>
      <c r="G21" s="50" t="s">
        <v>73</v>
      </c>
      <c r="H21" s="50" t="s">
        <v>129</v>
      </c>
      <c r="I21" s="50"/>
      <c r="J21" s="50" t="s">
        <v>130</v>
      </c>
      <c r="K21" s="50"/>
      <c r="L21" s="50"/>
      <c r="M21" s="50" t="s">
        <v>131</v>
      </c>
      <c r="N21" s="50"/>
      <c r="O21" s="50"/>
      <c r="P21" s="50" t="s">
        <v>132</v>
      </c>
      <c r="Q21" s="50" t="s">
        <v>133</v>
      </c>
      <c r="R21" s="50" t="s">
        <v>134</v>
      </c>
      <c r="S21" s="50" t="s">
        <v>135</v>
      </c>
      <c r="T21" s="50" t="s">
        <v>136</v>
      </c>
      <c r="U21" s="50" t="s">
        <v>137</v>
      </c>
      <c r="V21" s="50" t="s">
        <v>138</v>
      </c>
    </row>
    <row r="22" customFormat="false" ht="15" hidden="false" customHeight="false" outlineLevel="0" collapsed="false">
      <c r="A22" s="51" t="str">
        <f aca="false">IF($C22="","",$X$2&amp;"-S"&amp;INT(($C22-WEEKDAY($C22,2)+11-DATE(YEAR($C22+4-WEEKDAY($C22,2)),1,1))/7)&amp;"-FER-A")</f>
        <v>JUL-S28-FER-A</v>
      </c>
      <c r="B22" s="34" t="str">
        <f aca="false">IF($C22="","","S"&amp;INT(($C22-WEEKDAY($C22,2)+11-DATE(YEAR($C22+4-WEEKDAY($C22,2)),1,1))/7))</f>
        <v>S28</v>
      </c>
      <c r="C22" s="52" t="n">
        <f aca="false">$X$1+MOD(8-WEEKDAY($X$1,2),7)</f>
        <v>46209</v>
      </c>
      <c r="D22" s="9" t="str">
        <f aca="false">IF($C22="","","Programação de Férias (mensal)")</f>
        <v>Programação de Férias (mensal)</v>
      </c>
      <c r="E22" s="9"/>
      <c r="F22" s="9"/>
      <c r="G22" s="34" t="str">
        <f aca="false">IF($C22="","","A")</f>
        <v>A</v>
      </c>
      <c r="H22" s="34" t="str">
        <f aca="false">IF($C22="","",IF($G22="A",CONFIG!$B$5,IF($G22="B",CONFIG!$B$6,IF($G22="C",CONFIG!$B$7,"Gerência + coordenadores"))))</f>
        <v>(preencha o nome)</v>
      </c>
      <c r="I22" s="34"/>
      <c r="J22" s="32" t="str">
        <f aca="false">IF($C22="","","—")</f>
        <v>—</v>
      </c>
      <c r="K22" s="53"/>
      <c r="L22" s="53"/>
      <c r="M22" s="54"/>
      <c r="N22" s="54"/>
      <c r="O22" s="54"/>
      <c r="P22" s="55"/>
      <c r="Q22" s="56"/>
      <c r="R22" s="57"/>
      <c r="S22" s="34" t="str">
        <f aca="true">IF($C22="","",IF($Q22="Cancelada","Cancelada",IF($Q22="Reprovado","Reprovada",IF($Q22="Aprovado","Aprovada",IF($M22&lt;&gt;"","Entregue",IF(TODAY()&gt;$C22,"Atrasada","Pendente"))))))</f>
        <v>Atrasada</v>
      </c>
      <c r="T22" s="58"/>
      <c r="U22" s="58"/>
      <c r="V22" s="58"/>
    </row>
    <row r="23" customFormat="false" ht="15" hidden="false" customHeight="false" outlineLevel="0" collapsed="false">
      <c r="A23" s="59" t="str">
        <f aca="false">IF($C23="","",$X$2&amp;"-S"&amp;INT(($C23-WEEKDAY($C23,2)+11-DATE(YEAR($C23+4-WEEKDAY($C23,2)),1,1))/7)&amp;"-FER-B")</f>
        <v>JUL-S28-FER-B</v>
      </c>
      <c r="B23" s="30" t="str">
        <f aca="false">IF($C23="","","S"&amp;INT(($C23-WEEKDAY($C23,2)+11-DATE(YEAR($C23+4-WEEKDAY($C23,2)),1,1))/7))</f>
        <v>S28</v>
      </c>
      <c r="C23" s="52" t="n">
        <f aca="false">$X$1+MOD(8-WEEKDAY($X$1,2),7)</f>
        <v>46209</v>
      </c>
      <c r="D23" s="27" t="str">
        <f aca="false">IF($C23="","","Programação de Férias (mensal)")</f>
        <v>Programação de Férias (mensal)</v>
      </c>
      <c r="E23" s="27"/>
      <c r="F23" s="27"/>
      <c r="G23" s="30" t="str">
        <f aca="false">IF($C23="","","B")</f>
        <v>B</v>
      </c>
      <c r="H23" s="30" t="str">
        <f aca="false">IF($C23="","",IF($G23="A",CONFIG!$B$5,IF($G23="B",CONFIG!$B$6,IF($G23="C",CONFIG!$B$7,"Gerência + coordenadores"))))</f>
        <v>(preencha o nome)</v>
      </c>
      <c r="I23" s="30"/>
      <c r="J23" s="32" t="str">
        <f aca="false">IF($C23="","","—")</f>
        <v>—</v>
      </c>
      <c r="K23" s="53"/>
      <c r="L23" s="53"/>
      <c r="M23" s="54"/>
      <c r="N23" s="54"/>
      <c r="O23" s="54"/>
      <c r="P23" s="60"/>
      <c r="Q23" s="56"/>
      <c r="R23" s="57"/>
      <c r="S23" s="30" t="str">
        <f aca="true">IF($C23="","",IF($Q23="Cancelada","Cancelada",IF($Q23="Reprovado","Reprovada",IF($Q23="Aprovado","Aprovada",IF($M23&lt;&gt;"","Entregue",IF(TODAY()&gt;$C23,"Atrasada","Pendente"))))))</f>
        <v>Atrasada</v>
      </c>
      <c r="T23" s="58"/>
      <c r="U23" s="58"/>
      <c r="V23" s="58"/>
    </row>
    <row r="24" customFormat="false" ht="15" hidden="false" customHeight="false" outlineLevel="0" collapsed="false">
      <c r="A24" s="51" t="str">
        <f aca="false">IF($C24="","",$X$2&amp;"-S"&amp;INT(($C24-WEEKDAY($C24,2)+11-DATE(YEAR($C24+4-WEEKDAY($C24,2)),1,1))/7)&amp;"-FER-C")</f>
        <v>JUL-S28-FER-C</v>
      </c>
      <c r="B24" s="34" t="str">
        <f aca="false">IF($C24="","","S"&amp;INT(($C24-WEEKDAY($C24,2)+11-DATE(YEAR($C24+4-WEEKDAY($C24,2)),1,1))/7))</f>
        <v>S28</v>
      </c>
      <c r="C24" s="52" t="n">
        <f aca="false">$X$1+MOD(8-WEEKDAY($X$1,2),7)</f>
        <v>46209</v>
      </c>
      <c r="D24" s="9" t="str">
        <f aca="false">IF($C24="","","Programação de Férias (mensal)")</f>
        <v>Programação de Férias (mensal)</v>
      </c>
      <c r="E24" s="9"/>
      <c r="F24" s="9"/>
      <c r="G24" s="34" t="str">
        <f aca="false">IF($C24="","","C")</f>
        <v>C</v>
      </c>
      <c r="H24" s="34" t="str">
        <f aca="false">IF($C24="","",IF($G24="A",CONFIG!$B$5,IF($G24="B",CONFIG!$B$6,IF($G24="C",CONFIG!$B$7,"Gerência + coordenadores"))))</f>
        <v>(preencha o nome)</v>
      </c>
      <c r="I24" s="34"/>
      <c r="J24" s="32" t="str">
        <f aca="false">IF($C24="","","—")</f>
        <v>—</v>
      </c>
      <c r="K24" s="53"/>
      <c r="L24" s="53"/>
      <c r="M24" s="54"/>
      <c r="N24" s="54"/>
      <c r="O24" s="54"/>
      <c r="P24" s="55"/>
      <c r="Q24" s="56"/>
      <c r="R24" s="57"/>
      <c r="S24" s="34" t="str">
        <f aca="true">IF($C24="","",IF($Q24="Cancelada","Cancelada",IF($Q24="Reprovado","Reprovada",IF($Q24="Aprovado","Aprovada",IF($M24&lt;&gt;"","Entregue",IF(TODAY()&gt;$C24,"Atrasada","Pendente"))))))</f>
        <v>Atrasada</v>
      </c>
      <c r="T24" s="58"/>
      <c r="U24" s="58"/>
      <c r="V24" s="58"/>
    </row>
    <row r="25" customFormat="false" ht="22.35" hidden="false" customHeight="false" outlineLevel="0" collapsed="false">
      <c r="A25" s="59" t="str">
        <f aca="false">IF($C25="","",$X$2&amp;"-S"&amp;INT(($C25-WEEKDAY($C25,2)+11-DATE(YEAR($C25+4-WEEKDAY($C25,2)),1,1))/7)&amp;"-VIS-A")</f>
        <v>JUL-S27-VIS-A</v>
      </c>
      <c r="B25" s="30" t="str">
        <f aca="false">IF($C25="","","S"&amp;INT(($C25-WEEKDAY($C25,2)+11-DATE(YEAR($C25+4-WEEKDAY($C25,2)),1,1))/7))</f>
        <v>S27</v>
      </c>
      <c r="C25" s="52" t="n">
        <f aca="false">IF(MONTH(($X$1-WEEKDAY($X$1,3)+0)+2)=MONTH($X$1),($X$1-WEEKDAY($X$1,3)+0)+2,"")</f>
        <v>46204</v>
      </c>
      <c r="D25" s="27" t="str">
        <f aca="false">IF($C25="","","Vistoria Setorial (checklist no setor definido pelo gerente)")</f>
        <v>Vistoria Setorial (checklist no setor definido pelo gerente)</v>
      </c>
      <c r="E25" s="27"/>
      <c r="F25" s="27"/>
      <c r="G25" s="30" t="str">
        <f aca="false">IF($C25="","","A")</f>
        <v>A</v>
      </c>
      <c r="H25" s="30" t="str">
        <f aca="false">IF($C25="","",IF($G25="A",CONFIG!$B$5,IF($G25="B",CONFIG!$B$6,IF($G25="C",CONFIG!$B$7,"Gerência + coordenadores"))))</f>
        <v>(preencha o nome)</v>
      </c>
      <c r="I25" s="30"/>
      <c r="J25" s="56"/>
      <c r="K25" s="53"/>
      <c r="L25" s="53"/>
      <c r="M25" s="54"/>
      <c r="N25" s="54"/>
      <c r="O25" s="54"/>
      <c r="P25" s="60"/>
      <c r="Q25" s="56"/>
      <c r="R25" s="57"/>
      <c r="S25" s="30" t="str">
        <f aca="true">IF($C25="","",IF($Q25="Cancelada","Cancelada",IF($Q25="Reprovado","Reprovada",IF($Q25="Aprovado","Aprovada",IF($M25&lt;&gt;"","Entregue",IF(TODAY()&gt;$C25,"Atrasada","Pendente"))))))</f>
        <v>Atrasada</v>
      </c>
      <c r="T25" s="58"/>
      <c r="U25" s="58"/>
      <c r="V25" s="58"/>
    </row>
    <row r="26" customFormat="false" ht="22.35" hidden="false" customHeight="false" outlineLevel="0" collapsed="false">
      <c r="A26" s="51" t="str">
        <f aca="false">IF($C26="","",$X$2&amp;"-S"&amp;INT(($C26-WEEKDAY($C26,2)+11-DATE(YEAR($C26+4-WEEKDAY($C26,2)),1,1))/7)&amp;"-VIS-B")</f>
        <v>JUL-S27-VIS-B</v>
      </c>
      <c r="B26" s="34" t="str">
        <f aca="false">IF($C26="","","S"&amp;INT(($C26-WEEKDAY($C26,2)+11-DATE(YEAR($C26+4-WEEKDAY($C26,2)),1,1))/7))</f>
        <v>S27</v>
      </c>
      <c r="C26" s="52" t="n">
        <f aca="false">IF(MONTH(($X$1-WEEKDAY($X$1,3)+0)+2)=MONTH($X$1),($X$1-WEEKDAY($X$1,3)+0)+2,"")</f>
        <v>46204</v>
      </c>
      <c r="D26" s="9" t="str">
        <f aca="false">IF($C26="","","Vistoria Setorial (checklist no setor definido pelo gerente)")</f>
        <v>Vistoria Setorial (checklist no setor definido pelo gerente)</v>
      </c>
      <c r="E26" s="9"/>
      <c r="F26" s="9"/>
      <c r="G26" s="34" t="str">
        <f aca="false">IF($C26="","","B")</f>
        <v>B</v>
      </c>
      <c r="H26" s="34" t="str">
        <f aca="false">IF($C26="","",IF($G26="A",CONFIG!$B$5,IF($G26="B",CONFIG!$B$6,IF($G26="C",CONFIG!$B$7,"Gerência + coordenadores"))))</f>
        <v>(preencha o nome)</v>
      </c>
      <c r="I26" s="34"/>
      <c r="J26" s="56"/>
      <c r="K26" s="53"/>
      <c r="L26" s="53"/>
      <c r="M26" s="54"/>
      <c r="N26" s="54"/>
      <c r="O26" s="54"/>
      <c r="P26" s="55"/>
      <c r="Q26" s="56"/>
      <c r="R26" s="57"/>
      <c r="S26" s="34" t="str">
        <f aca="true">IF($C26="","",IF($Q26="Cancelada","Cancelada",IF($Q26="Reprovado","Reprovada",IF($Q26="Aprovado","Aprovada",IF($M26&lt;&gt;"","Entregue",IF(TODAY()&gt;$C26,"Atrasada","Pendente"))))))</f>
        <v>Atrasada</v>
      </c>
      <c r="T26" s="58"/>
      <c r="U26" s="58"/>
      <c r="V26" s="58"/>
    </row>
    <row r="27" customFormat="false" ht="22.35" hidden="false" customHeight="false" outlineLevel="0" collapsed="false">
      <c r="A27" s="59" t="str">
        <f aca="false">IF($C27="","",$X$2&amp;"-S"&amp;INT(($C27-WEEKDAY($C27,2)+11-DATE(YEAR($C27+4-WEEKDAY($C27,2)),1,1))/7)&amp;"-VIS-C")</f>
        <v>JUL-S27-VIS-C</v>
      </c>
      <c r="B27" s="30" t="str">
        <f aca="false">IF($C27="","","S"&amp;INT(($C27-WEEKDAY($C27,2)+11-DATE(YEAR($C27+4-WEEKDAY($C27,2)),1,1))/7))</f>
        <v>S27</v>
      </c>
      <c r="C27" s="52" t="n">
        <f aca="false">IF(MONTH(($X$1-WEEKDAY($X$1,3)+0)+2)=MONTH($X$1),($X$1-WEEKDAY($X$1,3)+0)+2,"")</f>
        <v>46204</v>
      </c>
      <c r="D27" s="27" t="str">
        <f aca="false">IF($C27="","","Vistoria Setorial (checklist no setor definido pelo gerente)")</f>
        <v>Vistoria Setorial (checklist no setor definido pelo gerente)</v>
      </c>
      <c r="E27" s="27"/>
      <c r="F27" s="27"/>
      <c r="G27" s="30" t="str">
        <f aca="false">IF($C27="","","C")</f>
        <v>C</v>
      </c>
      <c r="H27" s="30" t="str">
        <f aca="false">IF($C27="","",IF($G27="A",CONFIG!$B$5,IF($G27="B",CONFIG!$B$6,IF($G27="C",CONFIG!$B$7,"Gerência + coordenadores"))))</f>
        <v>(preencha o nome)</v>
      </c>
      <c r="I27" s="30"/>
      <c r="J27" s="56"/>
      <c r="K27" s="53"/>
      <c r="L27" s="53"/>
      <c r="M27" s="54"/>
      <c r="N27" s="54"/>
      <c r="O27" s="54"/>
      <c r="P27" s="60"/>
      <c r="Q27" s="56"/>
      <c r="R27" s="57"/>
      <c r="S27" s="30" t="str">
        <f aca="true">IF($C27="","",IF($Q27="Cancelada","Cancelada",IF($Q27="Reprovado","Reprovada",IF($Q27="Aprovado","Aprovada",IF($M27&lt;&gt;"","Entregue",IF(TODAY()&gt;$C27,"Atrasada","Pendente"))))))</f>
        <v>Atrasada</v>
      </c>
      <c r="T27" s="58"/>
      <c r="U27" s="58"/>
      <c r="V27" s="58"/>
    </row>
    <row r="28" customFormat="false" ht="22.35" hidden="false" customHeight="false" outlineLevel="0" collapsed="false">
      <c r="A28" s="51" t="str">
        <f aca="false">IF($C28="","",$X$2&amp;"-S"&amp;INT(($C28-WEEKDAY($C28,2)+11-DATE(YEAR($C28+4-WEEKDAY($C28,2)),1,1))/7)&amp;"-RSC-A")</f>
        <v>JUL-S27-RSC-A</v>
      </c>
      <c r="B28" s="34" t="str">
        <f aca="false">IF($C28="","","S"&amp;INT(($C28-WEEKDAY($C28,2)+11-DATE(YEAR($C28+4-WEEKDAY($C28,2)),1,1))/7))</f>
        <v>S27</v>
      </c>
      <c r="C28" s="52" t="n">
        <f aca="false">IF(MONTH(($X$1-WEEKDAY($X$1,3)+0)+3)=MONTH($X$1),($X$1-WEEKDAY($X$1,3)+0)+3,"")</f>
        <v>46205</v>
      </c>
      <c r="D28" s="9" t="str">
        <f aca="false">IF($C28="","","Relatório Semanal Consolidado (erros + metas + faltas + supervisores)")</f>
        <v>Relatório Semanal Consolidado (erros + metas + faltas + supervisores)</v>
      </c>
      <c r="E28" s="9"/>
      <c r="F28" s="9"/>
      <c r="G28" s="34" t="str">
        <f aca="false">IF($C28="","","A")</f>
        <v>A</v>
      </c>
      <c r="H28" s="34" t="str">
        <f aca="false">IF($C28="","",IF($G28="A",CONFIG!$B$5,IF($G28="B",CONFIG!$B$6,IF($G28="C",CONFIG!$B$7,"Gerência + coordenadores"))))</f>
        <v>(preencha o nome)</v>
      </c>
      <c r="I28" s="34"/>
      <c r="J28" s="32" t="str">
        <f aca="false">IF($C28="","","—")</f>
        <v>—</v>
      </c>
      <c r="K28" s="61"/>
      <c r="L28" s="61"/>
      <c r="M28" s="54"/>
      <c r="N28" s="54"/>
      <c r="O28" s="54"/>
      <c r="P28" s="55"/>
      <c r="Q28" s="56"/>
      <c r="R28" s="57"/>
      <c r="S28" s="34" t="str">
        <f aca="true">IF($C28="","",IF($Q28="Cancelada","Cancelada",IF($Q28="Reprovado","Reprovada",IF($Q28="Aprovado","Aprovada",IF($M28&lt;&gt;"","Entregue",IF(TODAY()&gt;$C28,"Atrasada","Pendente"))))))</f>
        <v>Atrasada</v>
      </c>
      <c r="T28" s="58"/>
      <c r="U28" s="58"/>
      <c r="V28" s="58"/>
    </row>
    <row r="29" customFormat="false" ht="22.35" hidden="false" customHeight="false" outlineLevel="0" collapsed="false">
      <c r="A29" s="59" t="str">
        <f aca="false">IF($C29="","",$X$2&amp;"-S"&amp;INT(($C29-WEEKDAY($C29,2)+11-DATE(YEAR($C29+4-WEEKDAY($C29,2)),1,1))/7)&amp;"-RSC-B")</f>
        <v>JUL-S27-RSC-B</v>
      </c>
      <c r="B29" s="30" t="str">
        <f aca="false">IF($C29="","","S"&amp;INT(($C29-WEEKDAY($C29,2)+11-DATE(YEAR($C29+4-WEEKDAY($C29,2)),1,1))/7))</f>
        <v>S27</v>
      </c>
      <c r="C29" s="52" t="n">
        <f aca="false">IF(MONTH(($X$1-WEEKDAY($X$1,3)+0)+3)=MONTH($X$1),($X$1-WEEKDAY($X$1,3)+0)+3,"")</f>
        <v>46205</v>
      </c>
      <c r="D29" s="27" t="str">
        <f aca="false">IF($C29="","","Relatório Semanal Consolidado (erros + metas + faltas + supervisores)")</f>
        <v>Relatório Semanal Consolidado (erros + metas + faltas + supervisores)</v>
      </c>
      <c r="E29" s="27"/>
      <c r="F29" s="27"/>
      <c r="G29" s="30" t="str">
        <f aca="false">IF($C29="","","B")</f>
        <v>B</v>
      </c>
      <c r="H29" s="30" t="str">
        <f aca="false">IF($C29="","",IF($G29="A",CONFIG!$B$5,IF($G29="B",CONFIG!$B$6,IF($G29="C",CONFIG!$B$7,"Gerência + coordenadores"))))</f>
        <v>(preencha o nome)</v>
      </c>
      <c r="I29" s="30"/>
      <c r="J29" s="32" t="str">
        <f aca="false">IF($C29="","","—")</f>
        <v>—</v>
      </c>
      <c r="K29" s="61"/>
      <c r="L29" s="61"/>
      <c r="M29" s="54"/>
      <c r="N29" s="54"/>
      <c r="O29" s="54"/>
      <c r="P29" s="60"/>
      <c r="Q29" s="56"/>
      <c r="R29" s="57"/>
      <c r="S29" s="30" t="str">
        <f aca="true">IF($C29="","",IF($Q29="Cancelada","Cancelada",IF($Q29="Reprovado","Reprovada",IF($Q29="Aprovado","Aprovada",IF($M29&lt;&gt;"","Entregue",IF(TODAY()&gt;$C29,"Atrasada","Pendente"))))))</f>
        <v>Atrasada</v>
      </c>
      <c r="T29" s="58"/>
      <c r="U29" s="58"/>
      <c r="V29" s="58"/>
    </row>
    <row r="30" customFormat="false" ht="22.35" hidden="false" customHeight="false" outlineLevel="0" collapsed="false">
      <c r="A30" s="51" t="str">
        <f aca="false">IF($C30="","",$X$2&amp;"-S"&amp;INT(($C30-WEEKDAY($C30,2)+11-DATE(YEAR($C30+4-WEEKDAY($C30,2)),1,1))/7)&amp;"-RSC-C")</f>
        <v>JUL-S27-RSC-C</v>
      </c>
      <c r="B30" s="34" t="str">
        <f aca="false">IF($C30="","","S"&amp;INT(($C30-WEEKDAY($C30,2)+11-DATE(YEAR($C30+4-WEEKDAY($C30,2)),1,1))/7))</f>
        <v>S27</v>
      </c>
      <c r="C30" s="52" t="n">
        <f aca="false">IF(MONTH(($X$1-WEEKDAY($X$1,3)+0)+3)=MONTH($X$1),($X$1-WEEKDAY($X$1,3)+0)+3,"")</f>
        <v>46205</v>
      </c>
      <c r="D30" s="9" t="str">
        <f aca="false">IF($C30="","","Relatório Semanal Consolidado (erros + metas + faltas + supervisores)")</f>
        <v>Relatório Semanal Consolidado (erros + metas + faltas + supervisores)</v>
      </c>
      <c r="E30" s="9"/>
      <c r="F30" s="9"/>
      <c r="G30" s="34" t="str">
        <f aca="false">IF($C30="","","C")</f>
        <v>C</v>
      </c>
      <c r="H30" s="34" t="str">
        <f aca="false">IF($C30="","",IF($G30="A",CONFIG!$B$5,IF($G30="B",CONFIG!$B$6,IF($G30="C",CONFIG!$B$7,"Gerência + coordenadores"))))</f>
        <v>(preencha o nome)</v>
      </c>
      <c r="I30" s="34"/>
      <c r="J30" s="32" t="str">
        <f aca="false">IF($C30="","","—")</f>
        <v>—</v>
      </c>
      <c r="K30" s="61"/>
      <c r="L30" s="61"/>
      <c r="M30" s="54"/>
      <c r="N30" s="54"/>
      <c r="O30" s="54"/>
      <c r="P30" s="55"/>
      <c r="Q30" s="56"/>
      <c r="R30" s="57"/>
      <c r="S30" s="34" t="str">
        <f aca="true">IF($C30="","",IF($Q30="Cancelada","Cancelada",IF($Q30="Reprovado","Reprovada",IF($Q30="Aprovado","Aprovada",IF($M30&lt;&gt;"","Entregue",IF(TODAY()&gt;$C30,"Atrasada","Pendente"))))))</f>
        <v>Atrasada</v>
      </c>
      <c r="T30" s="58"/>
      <c r="U30" s="58"/>
      <c r="V30" s="58"/>
    </row>
    <row r="31" customFormat="false" ht="22.35" hidden="false" customHeight="false" outlineLevel="0" collapsed="false">
      <c r="A31" s="59" t="str">
        <f aca="false">IF($C31="","",$X$2&amp;"-S"&amp;INT(($C31-WEEKDAY($C31,2)+11-DATE(YEAR($C31+4-WEEKDAY($C31,2)),1,1))/7)&amp;"-REU-T")</f>
        <v>JUL-S27-REU-T</v>
      </c>
      <c r="B31" s="30" t="str">
        <f aca="false">IF($C31="","","S"&amp;INT(($C31-WEEKDAY($C31,2)+11-DATE(YEAR($C31+4-WEEKDAY($C31,2)),1,1))/7))</f>
        <v>S27</v>
      </c>
      <c r="C31" s="52" t="n">
        <f aca="false">IF(MONTH(($X$1-WEEKDAY($X$1,3)+0)+4)=MONTH($X$1),($X$1-WEEKDAY($X$1,3)+0)+4,"")</f>
        <v>46206</v>
      </c>
      <c r="D31" s="27" t="str">
        <f aca="false">IF($C31="","","Reunião Semanal com a Gerência")</f>
        <v>Reunião Semanal com a Gerência</v>
      </c>
      <c r="E31" s="27"/>
      <c r="F31" s="27"/>
      <c r="G31" s="30" t="str">
        <f aca="false">IF($C31="","","Todos")</f>
        <v>Todos</v>
      </c>
      <c r="H31" s="30" t="str">
        <f aca="false">IF($C31="","",IF($G31="A",CONFIG!$B$5,IF($G31="B",CONFIG!$B$6,IF($G31="C",CONFIG!$B$7,"Gerência + coordenadores"))))</f>
        <v>Gerência + coordenadores</v>
      </c>
      <c r="I31" s="30"/>
      <c r="J31" s="32" t="str">
        <f aca="false">IF($C31="","","—")</f>
        <v>—</v>
      </c>
      <c r="K31" s="53"/>
      <c r="L31" s="53"/>
      <c r="M31" s="54"/>
      <c r="N31" s="54"/>
      <c r="O31" s="54"/>
      <c r="P31" s="60"/>
      <c r="Q31" s="56"/>
      <c r="R31" s="57"/>
      <c r="S31" s="30" t="str">
        <f aca="true">IF($C31="","",IF($Q31="Cancelada","Cancelada",IF($Q31="Reprovado","Reprovada",IF($Q31="Aprovado","Aprovada",IF($M31&lt;&gt;"","Entregue",IF(TODAY()&gt;$C31,"Atrasada","Pendente"))))))</f>
        <v>Atrasada</v>
      </c>
      <c r="T31" s="58"/>
      <c r="U31" s="58"/>
      <c r="V31" s="58"/>
    </row>
    <row r="32" customFormat="false" ht="22.35" hidden="false" customHeight="false" outlineLevel="0" collapsed="false">
      <c r="A32" s="51" t="str">
        <f aca="false">IF($C32="","",$X$2&amp;"-S"&amp;INT(($C32-WEEKDAY($C32,2)+11-DATE(YEAR($C32+4-WEEKDAY($C32,2)),1,1))/7)&amp;"-VIS-A")</f>
        <v>JUL-S28-VIS-A</v>
      </c>
      <c r="B32" s="34" t="str">
        <f aca="false">IF($C32="","","S"&amp;INT(($C32-WEEKDAY($C32,2)+11-DATE(YEAR($C32+4-WEEKDAY($C32,2)),1,1))/7))</f>
        <v>S28</v>
      </c>
      <c r="C32" s="52" t="n">
        <f aca="false">IF(MONTH(($X$1-WEEKDAY($X$1,3)+7)+2)=MONTH($X$1),($X$1-WEEKDAY($X$1,3)+7)+2,"")</f>
        <v>46211</v>
      </c>
      <c r="D32" s="9" t="str">
        <f aca="false">IF($C32="","","Vistoria Setorial (checklist no setor definido pelo gerente)")</f>
        <v>Vistoria Setorial (checklist no setor definido pelo gerente)</v>
      </c>
      <c r="E32" s="9"/>
      <c r="F32" s="9"/>
      <c r="G32" s="34" t="str">
        <f aca="false">IF($C32="","","A")</f>
        <v>A</v>
      </c>
      <c r="H32" s="34" t="str">
        <f aca="false">IF($C32="","",IF($G32="A",CONFIG!$B$5,IF($G32="B",CONFIG!$B$6,IF($G32="C",CONFIG!$B$7,"Gerência + coordenadores"))))</f>
        <v>(preencha o nome)</v>
      </c>
      <c r="I32" s="34"/>
      <c r="J32" s="56"/>
      <c r="K32" s="53"/>
      <c r="L32" s="53"/>
      <c r="M32" s="54"/>
      <c r="N32" s="54"/>
      <c r="O32" s="54"/>
      <c r="P32" s="55"/>
      <c r="Q32" s="56"/>
      <c r="R32" s="57"/>
      <c r="S32" s="34" t="str">
        <f aca="true">IF($C32="","",IF($Q32="Cancelada","Cancelada",IF($Q32="Reprovado","Reprovada",IF($Q32="Aprovado","Aprovada",IF($M32&lt;&gt;"","Entregue",IF(TODAY()&gt;$C32,"Atrasada","Pendente"))))))</f>
        <v>Atrasada</v>
      </c>
      <c r="T32" s="58"/>
      <c r="U32" s="58"/>
      <c r="V32" s="58"/>
    </row>
    <row r="33" customFormat="false" ht="22.35" hidden="false" customHeight="false" outlineLevel="0" collapsed="false">
      <c r="A33" s="59" t="str">
        <f aca="false">IF($C33="","",$X$2&amp;"-S"&amp;INT(($C33-WEEKDAY($C33,2)+11-DATE(YEAR($C33+4-WEEKDAY($C33,2)),1,1))/7)&amp;"-VIS-B")</f>
        <v>JUL-S28-VIS-B</v>
      </c>
      <c r="B33" s="30" t="str">
        <f aca="false">IF($C33="","","S"&amp;INT(($C33-WEEKDAY($C33,2)+11-DATE(YEAR($C33+4-WEEKDAY($C33,2)),1,1))/7))</f>
        <v>S28</v>
      </c>
      <c r="C33" s="52" t="n">
        <f aca="false">IF(MONTH(($X$1-WEEKDAY($X$1,3)+7)+2)=MONTH($X$1),($X$1-WEEKDAY($X$1,3)+7)+2,"")</f>
        <v>46211</v>
      </c>
      <c r="D33" s="27" t="str">
        <f aca="false">IF($C33="","","Vistoria Setorial (checklist no setor definido pelo gerente)")</f>
        <v>Vistoria Setorial (checklist no setor definido pelo gerente)</v>
      </c>
      <c r="E33" s="27"/>
      <c r="F33" s="27"/>
      <c r="G33" s="30" t="str">
        <f aca="false">IF($C33="","","B")</f>
        <v>B</v>
      </c>
      <c r="H33" s="30" t="str">
        <f aca="false">IF($C33="","",IF($G33="A",CONFIG!$B$5,IF($G33="B",CONFIG!$B$6,IF($G33="C",CONFIG!$B$7,"Gerência + coordenadores"))))</f>
        <v>(preencha o nome)</v>
      </c>
      <c r="I33" s="30"/>
      <c r="J33" s="56"/>
      <c r="K33" s="53"/>
      <c r="L33" s="53"/>
      <c r="M33" s="54"/>
      <c r="N33" s="54"/>
      <c r="O33" s="54"/>
      <c r="P33" s="60"/>
      <c r="Q33" s="56"/>
      <c r="R33" s="57"/>
      <c r="S33" s="30" t="str">
        <f aca="true">IF($C33="","",IF($Q33="Cancelada","Cancelada",IF($Q33="Reprovado","Reprovada",IF($Q33="Aprovado","Aprovada",IF($M33&lt;&gt;"","Entregue",IF(TODAY()&gt;$C33,"Atrasada","Pendente"))))))</f>
        <v>Atrasada</v>
      </c>
      <c r="T33" s="58"/>
      <c r="U33" s="58"/>
      <c r="V33" s="58"/>
    </row>
    <row r="34" customFormat="false" ht="22.35" hidden="false" customHeight="false" outlineLevel="0" collapsed="false">
      <c r="A34" s="51" t="str">
        <f aca="false">IF($C34="","",$X$2&amp;"-S"&amp;INT(($C34-WEEKDAY($C34,2)+11-DATE(YEAR($C34+4-WEEKDAY($C34,2)),1,1))/7)&amp;"-VIS-C")</f>
        <v>JUL-S28-VIS-C</v>
      </c>
      <c r="B34" s="34" t="str">
        <f aca="false">IF($C34="","","S"&amp;INT(($C34-WEEKDAY($C34,2)+11-DATE(YEAR($C34+4-WEEKDAY($C34,2)),1,1))/7))</f>
        <v>S28</v>
      </c>
      <c r="C34" s="52" t="n">
        <f aca="false">IF(MONTH(($X$1-WEEKDAY($X$1,3)+7)+2)=MONTH($X$1),($X$1-WEEKDAY($X$1,3)+7)+2,"")</f>
        <v>46211</v>
      </c>
      <c r="D34" s="9" t="str">
        <f aca="false">IF($C34="","","Vistoria Setorial (checklist no setor definido pelo gerente)")</f>
        <v>Vistoria Setorial (checklist no setor definido pelo gerente)</v>
      </c>
      <c r="E34" s="9"/>
      <c r="F34" s="9"/>
      <c r="G34" s="34" t="str">
        <f aca="false">IF($C34="","","C")</f>
        <v>C</v>
      </c>
      <c r="H34" s="34" t="str">
        <f aca="false">IF($C34="","",IF($G34="A",CONFIG!$B$5,IF($G34="B",CONFIG!$B$6,IF($G34="C",CONFIG!$B$7,"Gerência + coordenadores"))))</f>
        <v>(preencha o nome)</v>
      </c>
      <c r="I34" s="34"/>
      <c r="J34" s="56"/>
      <c r="K34" s="53"/>
      <c r="L34" s="53"/>
      <c r="M34" s="54"/>
      <c r="N34" s="54"/>
      <c r="O34" s="54"/>
      <c r="P34" s="55"/>
      <c r="Q34" s="56"/>
      <c r="R34" s="57"/>
      <c r="S34" s="34" t="str">
        <f aca="true">IF($C34="","",IF($Q34="Cancelada","Cancelada",IF($Q34="Reprovado","Reprovada",IF($Q34="Aprovado","Aprovada",IF($M34&lt;&gt;"","Entregue",IF(TODAY()&gt;$C34,"Atrasada","Pendente"))))))</f>
        <v>Atrasada</v>
      </c>
      <c r="T34" s="58"/>
      <c r="U34" s="58"/>
      <c r="V34" s="58"/>
    </row>
    <row r="35" customFormat="false" ht="22.35" hidden="false" customHeight="false" outlineLevel="0" collapsed="false">
      <c r="A35" s="59" t="str">
        <f aca="false">IF($C35="","",$X$2&amp;"-S"&amp;INT(($C35-WEEKDAY($C35,2)+11-DATE(YEAR($C35+4-WEEKDAY($C35,2)),1,1))/7)&amp;"-RSC-A")</f>
        <v>JUL-S28-RSC-A</v>
      </c>
      <c r="B35" s="30" t="str">
        <f aca="false">IF($C35="","","S"&amp;INT(($C35-WEEKDAY($C35,2)+11-DATE(YEAR($C35+4-WEEKDAY($C35,2)),1,1))/7))</f>
        <v>S28</v>
      </c>
      <c r="C35" s="52" t="n">
        <f aca="false">IF(MONTH(($X$1-WEEKDAY($X$1,3)+7)+3)=MONTH($X$1),($X$1-WEEKDAY($X$1,3)+7)+3,"")</f>
        <v>46212</v>
      </c>
      <c r="D35" s="27" t="str">
        <f aca="false">IF($C35="","","Relatório Semanal Consolidado (erros + metas + faltas + supervisores)")</f>
        <v>Relatório Semanal Consolidado (erros + metas + faltas + supervisores)</v>
      </c>
      <c r="E35" s="27"/>
      <c r="F35" s="27"/>
      <c r="G35" s="30" t="str">
        <f aca="false">IF($C35="","","A")</f>
        <v>A</v>
      </c>
      <c r="H35" s="30" t="str">
        <f aca="false">IF($C35="","",IF($G35="A",CONFIG!$B$5,IF($G35="B",CONFIG!$B$6,IF($G35="C",CONFIG!$B$7,"Gerência + coordenadores"))))</f>
        <v>(preencha o nome)</v>
      </c>
      <c r="I35" s="30"/>
      <c r="J35" s="32" t="str">
        <f aca="false">IF($C35="","","—")</f>
        <v>—</v>
      </c>
      <c r="K35" s="61"/>
      <c r="L35" s="61"/>
      <c r="M35" s="54"/>
      <c r="N35" s="54"/>
      <c r="O35" s="54"/>
      <c r="P35" s="60"/>
      <c r="Q35" s="56"/>
      <c r="R35" s="57"/>
      <c r="S35" s="30" t="str">
        <f aca="true">IF($C35="","",IF($Q35="Cancelada","Cancelada",IF($Q35="Reprovado","Reprovada",IF($Q35="Aprovado","Aprovada",IF($M35&lt;&gt;"","Entregue",IF(TODAY()&gt;$C35,"Atrasada","Pendente"))))))</f>
        <v>Atrasada</v>
      </c>
      <c r="T35" s="58"/>
      <c r="U35" s="58"/>
      <c r="V35" s="58"/>
    </row>
    <row r="36" customFormat="false" ht="22.35" hidden="false" customHeight="false" outlineLevel="0" collapsed="false">
      <c r="A36" s="51" t="str">
        <f aca="false">IF($C36="","",$X$2&amp;"-S"&amp;INT(($C36-WEEKDAY($C36,2)+11-DATE(YEAR($C36+4-WEEKDAY($C36,2)),1,1))/7)&amp;"-RSC-B")</f>
        <v>JUL-S28-RSC-B</v>
      </c>
      <c r="B36" s="34" t="str">
        <f aca="false">IF($C36="","","S"&amp;INT(($C36-WEEKDAY($C36,2)+11-DATE(YEAR($C36+4-WEEKDAY($C36,2)),1,1))/7))</f>
        <v>S28</v>
      </c>
      <c r="C36" s="52" t="n">
        <f aca="false">IF(MONTH(($X$1-WEEKDAY($X$1,3)+7)+3)=MONTH($X$1),($X$1-WEEKDAY($X$1,3)+7)+3,"")</f>
        <v>46212</v>
      </c>
      <c r="D36" s="9" t="str">
        <f aca="false">IF($C36="","","Relatório Semanal Consolidado (erros + metas + faltas + supervisores)")</f>
        <v>Relatório Semanal Consolidado (erros + metas + faltas + supervisores)</v>
      </c>
      <c r="E36" s="9"/>
      <c r="F36" s="9"/>
      <c r="G36" s="34" t="str">
        <f aca="false">IF($C36="","","B")</f>
        <v>B</v>
      </c>
      <c r="H36" s="34" t="str">
        <f aca="false">IF($C36="","",IF($G36="A",CONFIG!$B$5,IF($G36="B",CONFIG!$B$6,IF($G36="C",CONFIG!$B$7,"Gerência + coordenadores"))))</f>
        <v>(preencha o nome)</v>
      </c>
      <c r="I36" s="34"/>
      <c r="J36" s="32" t="str">
        <f aca="false">IF($C36="","","—")</f>
        <v>—</v>
      </c>
      <c r="K36" s="61"/>
      <c r="L36" s="61"/>
      <c r="M36" s="54"/>
      <c r="N36" s="54"/>
      <c r="O36" s="54"/>
      <c r="P36" s="55"/>
      <c r="Q36" s="56"/>
      <c r="R36" s="57"/>
      <c r="S36" s="34" t="str">
        <f aca="true">IF($C36="","",IF($Q36="Cancelada","Cancelada",IF($Q36="Reprovado","Reprovada",IF($Q36="Aprovado","Aprovada",IF($M36&lt;&gt;"","Entregue",IF(TODAY()&gt;$C36,"Atrasada","Pendente"))))))</f>
        <v>Atrasada</v>
      </c>
      <c r="T36" s="58"/>
      <c r="U36" s="58"/>
      <c r="V36" s="58"/>
    </row>
    <row r="37" customFormat="false" ht="22.35" hidden="false" customHeight="false" outlineLevel="0" collapsed="false">
      <c r="A37" s="59" t="str">
        <f aca="false">IF($C37="","",$X$2&amp;"-S"&amp;INT(($C37-WEEKDAY($C37,2)+11-DATE(YEAR($C37+4-WEEKDAY($C37,2)),1,1))/7)&amp;"-RSC-C")</f>
        <v>JUL-S28-RSC-C</v>
      </c>
      <c r="B37" s="30" t="str">
        <f aca="false">IF($C37="","","S"&amp;INT(($C37-WEEKDAY($C37,2)+11-DATE(YEAR($C37+4-WEEKDAY($C37,2)),1,1))/7))</f>
        <v>S28</v>
      </c>
      <c r="C37" s="52" t="n">
        <f aca="false">IF(MONTH(($X$1-WEEKDAY($X$1,3)+7)+3)=MONTH($X$1),($X$1-WEEKDAY($X$1,3)+7)+3,"")</f>
        <v>46212</v>
      </c>
      <c r="D37" s="27" t="str">
        <f aca="false">IF($C37="","","Relatório Semanal Consolidado (erros + metas + faltas + supervisores)")</f>
        <v>Relatório Semanal Consolidado (erros + metas + faltas + supervisores)</v>
      </c>
      <c r="E37" s="27"/>
      <c r="F37" s="27"/>
      <c r="G37" s="30" t="str">
        <f aca="false">IF($C37="","","C")</f>
        <v>C</v>
      </c>
      <c r="H37" s="30" t="str">
        <f aca="false">IF($C37="","",IF($G37="A",CONFIG!$B$5,IF($G37="B",CONFIG!$B$6,IF($G37="C",CONFIG!$B$7,"Gerência + coordenadores"))))</f>
        <v>(preencha o nome)</v>
      </c>
      <c r="I37" s="30"/>
      <c r="J37" s="32" t="str">
        <f aca="false">IF($C37="","","—")</f>
        <v>—</v>
      </c>
      <c r="K37" s="61"/>
      <c r="L37" s="61"/>
      <c r="M37" s="54"/>
      <c r="N37" s="54"/>
      <c r="O37" s="54"/>
      <c r="P37" s="60"/>
      <c r="Q37" s="56"/>
      <c r="R37" s="57"/>
      <c r="S37" s="30" t="str">
        <f aca="true">IF($C37="","",IF($Q37="Cancelada","Cancelada",IF($Q37="Reprovado","Reprovada",IF($Q37="Aprovado","Aprovada",IF($M37&lt;&gt;"","Entregue",IF(TODAY()&gt;$C37,"Atrasada","Pendente"))))))</f>
        <v>Atrasada</v>
      </c>
      <c r="T37" s="58"/>
      <c r="U37" s="58"/>
      <c r="V37" s="58"/>
    </row>
    <row r="38" customFormat="false" ht="22.35" hidden="false" customHeight="false" outlineLevel="0" collapsed="false">
      <c r="A38" s="51" t="str">
        <f aca="false">IF($C38="","",$X$2&amp;"-S"&amp;INT(($C38-WEEKDAY($C38,2)+11-DATE(YEAR($C38+4-WEEKDAY($C38,2)),1,1))/7)&amp;"-REU-T")</f>
        <v>JUL-S28-REU-T</v>
      </c>
      <c r="B38" s="34" t="str">
        <f aca="false">IF($C38="","","S"&amp;INT(($C38-WEEKDAY($C38,2)+11-DATE(YEAR($C38+4-WEEKDAY($C38,2)),1,1))/7))</f>
        <v>S28</v>
      </c>
      <c r="C38" s="52" t="n">
        <f aca="false">IF(MONTH(($X$1-WEEKDAY($X$1,3)+7)+4)=MONTH($X$1),($X$1-WEEKDAY($X$1,3)+7)+4,"")</f>
        <v>46213</v>
      </c>
      <c r="D38" s="9" t="str">
        <f aca="false">IF($C38="","","Reunião Semanal com a Gerência")</f>
        <v>Reunião Semanal com a Gerência</v>
      </c>
      <c r="E38" s="9"/>
      <c r="F38" s="9"/>
      <c r="G38" s="34" t="str">
        <f aca="false">IF($C38="","","Todos")</f>
        <v>Todos</v>
      </c>
      <c r="H38" s="34" t="str">
        <f aca="false">IF($C38="","",IF($G38="A",CONFIG!$B$5,IF($G38="B",CONFIG!$B$6,IF($G38="C",CONFIG!$B$7,"Gerência + coordenadores"))))</f>
        <v>Gerência + coordenadores</v>
      </c>
      <c r="I38" s="34"/>
      <c r="J38" s="32" t="str">
        <f aca="false">IF($C38="","","—")</f>
        <v>—</v>
      </c>
      <c r="K38" s="53"/>
      <c r="L38" s="53"/>
      <c r="M38" s="54"/>
      <c r="N38" s="54"/>
      <c r="O38" s="54"/>
      <c r="P38" s="55"/>
      <c r="Q38" s="56"/>
      <c r="R38" s="57"/>
      <c r="S38" s="34" t="str">
        <f aca="true">IF($C38="","",IF($Q38="Cancelada","Cancelada",IF($Q38="Reprovado","Reprovada",IF($Q38="Aprovado","Aprovada",IF($M38&lt;&gt;"","Entregue",IF(TODAY()&gt;$C38,"Atrasada","Pendente"))))))</f>
        <v>Atrasada</v>
      </c>
      <c r="T38" s="58"/>
      <c r="U38" s="58"/>
      <c r="V38" s="58"/>
    </row>
    <row r="39" customFormat="false" ht="22.35" hidden="false" customHeight="false" outlineLevel="0" collapsed="false">
      <c r="A39" s="59" t="str">
        <f aca="false">IF($C39="","",$X$2&amp;"-S"&amp;INT(($C39-WEEKDAY($C39,2)+11-DATE(YEAR($C39+4-WEEKDAY($C39,2)),1,1))/7)&amp;"-VIS-A")</f>
        <v>JUL-S29-VIS-A</v>
      </c>
      <c r="B39" s="30" t="str">
        <f aca="false">IF($C39="","","S"&amp;INT(($C39-WEEKDAY($C39,2)+11-DATE(YEAR($C39+4-WEEKDAY($C39,2)),1,1))/7))</f>
        <v>S29</v>
      </c>
      <c r="C39" s="52" t="n">
        <f aca="false">IF(MONTH(($X$1-WEEKDAY($X$1,3)+14)+2)=MONTH($X$1),($X$1-WEEKDAY($X$1,3)+14)+2,"")</f>
        <v>46218</v>
      </c>
      <c r="D39" s="27" t="str">
        <f aca="false">IF($C39="","","Vistoria Setorial (checklist no setor definido pelo gerente)")</f>
        <v>Vistoria Setorial (checklist no setor definido pelo gerente)</v>
      </c>
      <c r="E39" s="27"/>
      <c r="F39" s="27"/>
      <c r="G39" s="30" t="str">
        <f aca="false">IF($C39="","","A")</f>
        <v>A</v>
      </c>
      <c r="H39" s="30" t="str">
        <f aca="false">IF($C39="","",IF($G39="A",CONFIG!$B$5,IF($G39="B",CONFIG!$B$6,IF($G39="C",CONFIG!$B$7,"Gerência + coordenadores"))))</f>
        <v>(preencha o nome)</v>
      </c>
      <c r="I39" s="30"/>
      <c r="J39" s="56"/>
      <c r="K39" s="53"/>
      <c r="L39" s="53"/>
      <c r="M39" s="54"/>
      <c r="N39" s="54"/>
      <c r="O39" s="54"/>
      <c r="P39" s="60"/>
      <c r="Q39" s="56"/>
      <c r="R39" s="57"/>
      <c r="S39" s="30" t="str">
        <f aca="true">IF($C39="","",IF($Q39="Cancelada","Cancelada",IF($Q39="Reprovado","Reprovada",IF($Q39="Aprovado","Aprovada",IF($M39&lt;&gt;"","Entregue",IF(TODAY()&gt;$C39,"Atrasada","Pendente"))))))</f>
        <v>Atrasada</v>
      </c>
      <c r="T39" s="58"/>
      <c r="U39" s="58"/>
      <c r="V39" s="58"/>
    </row>
    <row r="40" customFormat="false" ht="22.35" hidden="false" customHeight="false" outlineLevel="0" collapsed="false">
      <c r="A40" s="51" t="str">
        <f aca="false">IF($C40="","",$X$2&amp;"-S"&amp;INT(($C40-WEEKDAY($C40,2)+11-DATE(YEAR($C40+4-WEEKDAY($C40,2)),1,1))/7)&amp;"-VIS-B")</f>
        <v>JUL-S29-VIS-B</v>
      </c>
      <c r="B40" s="34" t="str">
        <f aca="false">IF($C40="","","S"&amp;INT(($C40-WEEKDAY($C40,2)+11-DATE(YEAR($C40+4-WEEKDAY($C40,2)),1,1))/7))</f>
        <v>S29</v>
      </c>
      <c r="C40" s="52" t="n">
        <f aca="false">IF(MONTH(($X$1-WEEKDAY($X$1,3)+14)+2)=MONTH($X$1),($X$1-WEEKDAY($X$1,3)+14)+2,"")</f>
        <v>46218</v>
      </c>
      <c r="D40" s="9" t="str">
        <f aca="false">IF($C40="","","Vistoria Setorial (checklist no setor definido pelo gerente)")</f>
        <v>Vistoria Setorial (checklist no setor definido pelo gerente)</v>
      </c>
      <c r="E40" s="9"/>
      <c r="F40" s="9"/>
      <c r="G40" s="34" t="str">
        <f aca="false">IF($C40="","","B")</f>
        <v>B</v>
      </c>
      <c r="H40" s="34" t="str">
        <f aca="false">IF($C40="","",IF($G40="A",CONFIG!$B$5,IF($G40="B",CONFIG!$B$6,IF($G40="C",CONFIG!$B$7,"Gerência + coordenadores"))))</f>
        <v>(preencha o nome)</v>
      </c>
      <c r="I40" s="34"/>
      <c r="J40" s="56"/>
      <c r="K40" s="53"/>
      <c r="L40" s="53"/>
      <c r="M40" s="54"/>
      <c r="N40" s="54"/>
      <c r="O40" s="54"/>
      <c r="P40" s="55"/>
      <c r="Q40" s="56"/>
      <c r="R40" s="57"/>
      <c r="S40" s="34" t="str">
        <f aca="true">IF($C40="","",IF($Q40="Cancelada","Cancelada",IF($Q40="Reprovado","Reprovada",IF($Q40="Aprovado","Aprovada",IF($M40&lt;&gt;"","Entregue",IF(TODAY()&gt;$C40,"Atrasada","Pendente"))))))</f>
        <v>Atrasada</v>
      </c>
      <c r="T40" s="58"/>
      <c r="U40" s="58"/>
      <c r="V40" s="58"/>
    </row>
    <row r="41" customFormat="false" ht="22.35" hidden="false" customHeight="false" outlineLevel="0" collapsed="false">
      <c r="A41" s="59" t="str">
        <f aca="false">IF($C41="","",$X$2&amp;"-S"&amp;INT(($C41-WEEKDAY($C41,2)+11-DATE(YEAR($C41+4-WEEKDAY($C41,2)),1,1))/7)&amp;"-VIS-C")</f>
        <v>JUL-S29-VIS-C</v>
      </c>
      <c r="B41" s="30" t="str">
        <f aca="false">IF($C41="","","S"&amp;INT(($C41-WEEKDAY($C41,2)+11-DATE(YEAR($C41+4-WEEKDAY($C41,2)),1,1))/7))</f>
        <v>S29</v>
      </c>
      <c r="C41" s="52" t="n">
        <f aca="false">IF(MONTH(($X$1-WEEKDAY($X$1,3)+14)+2)=MONTH($X$1),($X$1-WEEKDAY($X$1,3)+14)+2,"")</f>
        <v>46218</v>
      </c>
      <c r="D41" s="27" t="str">
        <f aca="false">IF($C41="","","Vistoria Setorial (checklist no setor definido pelo gerente)")</f>
        <v>Vistoria Setorial (checklist no setor definido pelo gerente)</v>
      </c>
      <c r="E41" s="27"/>
      <c r="F41" s="27"/>
      <c r="G41" s="30" t="str">
        <f aca="false">IF($C41="","","C")</f>
        <v>C</v>
      </c>
      <c r="H41" s="30" t="str">
        <f aca="false">IF($C41="","",IF($G41="A",CONFIG!$B$5,IF($G41="B",CONFIG!$B$6,IF($G41="C",CONFIG!$B$7,"Gerência + coordenadores"))))</f>
        <v>(preencha o nome)</v>
      </c>
      <c r="I41" s="30"/>
      <c r="J41" s="56"/>
      <c r="K41" s="53"/>
      <c r="L41" s="53"/>
      <c r="M41" s="54"/>
      <c r="N41" s="54"/>
      <c r="O41" s="54"/>
      <c r="P41" s="60"/>
      <c r="Q41" s="56"/>
      <c r="R41" s="57"/>
      <c r="S41" s="30" t="str">
        <f aca="true">IF($C41="","",IF($Q41="Cancelada","Cancelada",IF($Q41="Reprovado","Reprovada",IF($Q41="Aprovado","Aprovada",IF($M41&lt;&gt;"","Entregue",IF(TODAY()&gt;$C41,"Atrasada","Pendente"))))))</f>
        <v>Atrasada</v>
      </c>
      <c r="T41" s="58"/>
      <c r="U41" s="58"/>
      <c r="V41" s="58"/>
    </row>
    <row r="42" customFormat="false" ht="22.35" hidden="false" customHeight="false" outlineLevel="0" collapsed="false">
      <c r="A42" s="51" t="str">
        <f aca="false">IF($C42="","",$X$2&amp;"-S"&amp;INT(($C42-WEEKDAY($C42,2)+11-DATE(YEAR($C42+4-WEEKDAY($C42,2)),1,1))/7)&amp;"-RSC-A")</f>
        <v>JUL-S29-RSC-A</v>
      </c>
      <c r="B42" s="34" t="str">
        <f aca="false">IF($C42="","","S"&amp;INT(($C42-WEEKDAY($C42,2)+11-DATE(YEAR($C42+4-WEEKDAY($C42,2)),1,1))/7))</f>
        <v>S29</v>
      </c>
      <c r="C42" s="52" t="n">
        <f aca="false">IF(MONTH(($X$1-WEEKDAY($X$1,3)+14)+3)=MONTH($X$1),($X$1-WEEKDAY($X$1,3)+14)+3,"")</f>
        <v>46219</v>
      </c>
      <c r="D42" s="9" t="str">
        <f aca="false">IF($C42="","","Relatório Semanal Consolidado (erros + metas + faltas + supervisores)")</f>
        <v>Relatório Semanal Consolidado (erros + metas + faltas + supervisores)</v>
      </c>
      <c r="E42" s="9"/>
      <c r="F42" s="9"/>
      <c r="G42" s="34" t="str">
        <f aca="false">IF($C42="","","A")</f>
        <v>A</v>
      </c>
      <c r="H42" s="34" t="str">
        <f aca="false">IF($C42="","",IF($G42="A",CONFIG!$B$5,IF($G42="B",CONFIG!$B$6,IF($G42="C",CONFIG!$B$7,"Gerência + coordenadores"))))</f>
        <v>(preencha o nome)</v>
      </c>
      <c r="I42" s="34"/>
      <c r="J42" s="32" t="str">
        <f aca="false">IF($C42="","","—")</f>
        <v>—</v>
      </c>
      <c r="K42" s="61"/>
      <c r="L42" s="61"/>
      <c r="M42" s="54"/>
      <c r="N42" s="54"/>
      <c r="O42" s="54"/>
      <c r="P42" s="55"/>
      <c r="Q42" s="56"/>
      <c r="R42" s="57"/>
      <c r="S42" s="34" t="str">
        <f aca="true">IF($C42="","",IF($Q42="Cancelada","Cancelada",IF($Q42="Reprovado","Reprovada",IF($Q42="Aprovado","Aprovada",IF($M42&lt;&gt;"","Entregue",IF(TODAY()&gt;$C42,"Atrasada","Pendente"))))))</f>
        <v>Atrasada</v>
      </c>
      <c r="T42" s="58"/>
      <c r="U42" s="58"/>
      <c r="V42" s="58"/>
    </row>
    <row r="43" customFormat="false" ht="22.35" hidden="false" customHeight="false" outlineLevel="0" collapsed="false">
      <c r="A43" s="59" t="str">
        <f aca="false">IF($C43="","",$X$2&amp;"-S"&amp;INT(($C43-WEEKDAY($C43,2)+11-DATE(YEAR($C43+4-WEEKDAY($C43,2)),1,1))/7)&amp;"-RSC-B")</f>
        <v>JUL-S29-RSC-B</v>
      </c>
      <c r="B43" s="30" t="str">
        <f aca="false">IF($C43="","","S"&amp;INT(($C43-WEEKDAY($C43,2)+11-DATE(YEAR($C43+4-WEEKDAY($C43,2)),1,1))/7))</f>
        <v>S29</v>
      </c>
      <c r="C43" s="52" t="n">
        <f aca="false">IF(MONTH(($X$1-WEEKDAY($X$1,3)+14)+3)=MONTH($X$1),($X$1-WEEKDAY($X$1,3)+14)+3,"")</f>
        <v>46219</v>
      </c>
      <c r="D43" s="27" t="str">
        <f aca="false">IF($C43="","","Relatório Semanal Consolidado (erros + metas + faltas + supervisores)")</f>
        <v>Relatório Semanal Consolidado (erros + metas + faltas + supervisores)</v>
      </c>
      <c r="E43" s="27"/>
      <c r="F43" s="27"/>
      <c r="G43" s="30" t="str">
        <f aca="false">IF($C43="","","B")</f>
        <v>B</v>
      </c>
      <c r="H43" s="30" t="str">
        <f aca="false">IF($C43="","",IF($G43="A",CONFIG!$B$5,IF($G43="B",CONFIG!$B$6,IF($G43="C",CONFIG!$B$7,"Gerência + coordenadores"))))</f>
        <v>(preencha o nome)</v>
      </c>
      <c r="I43" s="30"/>
      <c r="J43" s="32" t="str">
        <f aca="false">IF($C43="","","—")</f>
        <v>—</v>
      </c>
      <c r="K43" s="61"/>
      <c r="L43" s="61"/>
      <c r="M43" s="54"/>
      <c r="N43" s="54"/>
      <c r="O43" s="54"/>
      <c r="P43" s="60"/>
      <c r="Q43" s="56"/>
      <c r="R43" s="57"/>
      <c r="S43" s="30" t="str">
        <f aca="true">IF($C43="","",IF($Q43="Cancelada","Cancelada",IF($Q43="Reprovado","Reprovada",IF($Q43="Aprovado","Aprovada",IF($M43&lt;&gt;"","Entregue",IF(TODAY()&gt;$C43,"Atrasada","Pendente"))))))</f>
        <v>Atrasada</v>
      </c>
      <c r="T43" s="58"/>
      <c r="U43" s="58"/>
      <c r="V43" s="58"/>
    </row>
    <row r="44" customFormat="false" ht="22.35" hidden="false" customHeight="false" outlineLevel="0" collapsed="false">
      <c r="A44" s="51" t="str">
        <f aca="false">IF($C44="","",$X$2&amp;"-S"&amp;INT(($C44-WEEKDAY($C44,2)+11-DATE(YEAR($C44+4-WEEKDAY($C44,2)),1,1))/7)&amp;"-RSC-C")</f>
        <v>JUL-S29-RSC-C</v>
      </c>
      <c r="B44" s="34" t="str">
        <f aca="false">IF($C44="","","S"&amp;INT(($C44-WEEKDAY($C44,2)+11-DATE(YEAR($C44+4-WEEKDAY($C44,2)),1,1))/7))</f>
        <v>S29</v>
      </c>
      <c r="C44" s="52" t="n">
        <f aca="false">IF(MONTH(($X$1-WEEKDAY($X$1,3)+14)+3)=MONTH($X$1),($X$1-WEEKDAY($X$1,3)+14)+3,"")</f>
        <v>46219</v>
      </c>
      <c r="D44" s="9" t="str">
        <f aca="false">IF($C44="","","Relatório Semanal Consolidado (erros + metas + faltas + supervisores)")</f>
        <v>Relatório Semanal Consolidado (erros + metas + faltas + supervisores)</v>
      </c>
      <c r="E44" s="9"/>
      <c r="F44" s="9"/>
      <c r="G44" s="34" t="str">
        <f aca="false">IF($C44="","","C")</f>
        <v>C</v>
      </c>
      <c r="H44" s="34" t="str">
        <f aca="false">IF($C44="","",IF($G44="A",CONFIG!$B$5,IF($G44="B",CONFIG!$B$6,IF($G44="C",CONFIG!$B$7,"Gerência + coordenadores"))))</f>
        <v>(preencha o nome)</v>
      </c>
      <c r="I44" s="34"/>
      <c r="J44" s="32" t="str">
        <f aca="false">IF($C44="","","—")</f>
        <v>—</v>
      </c>
      <c r="K44" s="61"/>
      <c r="L44" s="61"/>
      <c r="M44" s="54"/>
      <c r="N44" s="54"/>
      <c r="O44" s="54"/>
      <c r="P44" s="55"/>
      <c r="Q44" s="56"/>
      <c r="R44" s="57"/>
      <c r="S44" s="34" t="str">
        <f aca="true">IF($C44="","",IF($Q44="Cancelada","Cancelada",IF($Q44="Reprovado","Reprovada",IF($Q44="Aprovado","Aprovada",IF($M44&lt;&gt;"","Entregue",IF(TODAY()&gt;$C44,"Atrasada","Pendente"))))))</f>
        <v>Atrasada</v>
      </c>
      <c r="T44" s="58"/>
      <c r="U44" s="58"/>
      <c r="V44" s="58"/>
    </row>
    <row r="45" customFormat="false" ht="22.35" hidden="false" customHeight="false" outlineLevel="0" collapsed="false">
      <c r="A45" s="59" t="str">
        <f aca="false">IF($C45="","",$X$2&amp;"-S"&amp;INT(($C45-WEEKDAY($C45,2)+11-DATE(YEAR($C45+4-WEEKDAY($C45,2)),1,1))/7)&amp;"-REU-T")</f>
        <v>JUL-S29-REU-T</v>
      </c>
      <c r="B45" s="30" t="str">
        <f aca="false">IF($C45="","","S"&amp;INT(($C45-WEEKDAY($C45,2)+11-DATE(YEAR($C45+4-WEEKDAY($C45,2)),1,1))/7))</f>
        <v>S29</v>
      </c>
      <c r="C45" s="52" t="n">
        <f aca="false">IF(MONTH(($X$1-WEEKDAY($X$1,3)+14)+4)=MONTH($X$1),($X$1-WEEKDAY($X$1,3)+14)+4,"")</f>
        <v>46220</v>
      </c>
      <c r="D45" s="27" t="str">
        <f aca="false">IF($C45="","","Reunião Semanal com a Gerência")</f>
        <v>Reunião Semanal com a Gerência</v>
      </c>
      <c r="E45" s="27"/>
      <c r="F45" s="27"/>
      <c r="G45" s="30" t="str">
        <f aca="false">IF($C45="","","Todos")</f>
        <v>Todos</v>
      </c>
      <c r="H45" s="30" t="str">
        <f aca="false">IF($C45="","",IF($G45="A",CONFIG!$B$5,IF($G45="B",CONFIG!$B$6,IF($G45="C",CONFIG!$B$7,"Gerência + coordenadores"))))</f>
        <v>Gerência + coordenadores</v>
      </c>
      <c r="I45" s="30"/>
      <c r="J45" s="32" t="str">
        <f aca="false">IF($C45="","","—")</f>
        <v>—</v>
      </c>
      <c r="K45" s="53"/>
      <c r="L45" s="53"/>
      <c r="M45" s="54"/>
      <c r="N45" s="54"/>
      <c r="O45" s="54"/>
      <c r="P45" s="60"/>
      <c r="Q45" s="56"/>
      <c r="R45" s="57"/>
      <c r="S45" s="30" t="str">
        <f aca="true">IF($C45="","",IF($Q45="Cancelada","Cancelada",IF($Q45="Reprovado","Reprovada",IF($Q45="Aprovado","Aprovada",IF($M45&lt;&gt;"","Entregue",IF(TODAY()&gt;$C45,"Atrasada","Pendente"))))))</f>
        <v>Atrasada</v>
      </c>
      <c r="T45" s="58"/>
      <c r="U45" s="58"/>
      <c r="V45" s="58"/>
    </row>
    <row r="46" customFormat="false" ht="22.35" hidden="false" customHeight="false" outlineLevel="0" collapsed="false">
      <c r="A46" s="51" t="str">
        <f aca="false">IF($C46="","",$X$2&amp;"-S"&amp;INT(($C46-WEEKDAY($C46,2)+11-DATE(YEAR($C46+4-WEEKDAY($C46,2)),1,1))/7)&amp;"-VIS-A")</f>
        <v>JUL-S30-VIS-A</v>
      </c>
      <c r="B46" s="34" t="str">
        <f aca="false">IF($C46="","","S"&amp;INT(($C46-WEEKDAY($C46,2)+11-DATE(YEAR($C46+4-WEEKDAY($C46,2)),1,1))/7))</f>
        <v>S30</v>
      </c>
      <c r="C46" s="52" t="n">
        <f aca="false">IF(MONTH(($X$1-WEEKDAY($X$1,3)+21)+2)=MONTH($X$1),($X$1-WEEKDAY($X$1,3)+21)+2,"")</f>
        <v>46225</v>
      </c>
      <c r="D46" s="9" t="str">
        <f aca="false">IF($C46="","","Vistoria Setorial (checklist no setor definido pelo gerente)")</f>
        <v>Vistoria Setorial (checklist no setor definido pelo gerente)</v>
      </c>
      <c r="E46" s="9"/>
      <c r="F46" s="9"/>
      <c r="G46" s="34" t="str">
        <f aca="false">IF($C46="","","A")</f>
        <v>A</v>
      </c>
      <c r="H46" s="34" t="str">
        <f aca="false">IF($C46="","",IF($G46="A",CONFIG!$B$5,IF($G46="B",CONFIG!$B$6,IF($G46="C",CONFIG!$B$7,"Gerência + coordenadores"))))</f>
        <v>(preencha o nome)</v>
      </c>
      <c r="I46" s="34"/>
      <c r="J46" s="56"/>
      <c r="K46" s="53"/>
      <c r="L46" s="53"/>
      <c r="M46" s="54"/>
      <c r="N46" s="54"/>
      <c r="O46" s="54"/>
      <c r="P46" s="55"/>
      <c r="Q46" s="56"/>
      <c r="R46" s="57"/>
      <c r="S46" s="34" t="str">
        <f aca="true">IF($C46="","",IF($Q46="Cancelada","Cancelada",IF($Q46="Reprovado","Reprovada",IF($Q46="Aprovado","Aprovada",IF($M46&lt;&gt;"","Entregue",IF(TODAY()&gt;$C46,"Atrasada","Pendente"))))))</f>
        <v>Atrasada</v>
      </c>
      <c r="T46" s="58"/>
      <c r="U46" s="58"/>
      <c r="V46" s="58"/>
    </row>
    <row r="47" customFormat="false" ht="22.35" hidden="false" customHeight="false" outlineLevel="0" collapsed="false">
      <c r="A47" s="59" t="str">
        <f aca="false">IF($C47="","",$X$2&amp;"-S"&amp;INT(($C47-WEEKDAY($C47,2)+11-DATE(YEAR($C47+4-WEEKDAY($C47,2)),1,1))/7)&amp;"-VIS-B")</f>
        <v>JUL-S30-VIS-B</v>
      </c>
      <c r="B47" s="30" t="str">
        <f aca="false">IF($C47="","","S"&amp;INT(($C47-WEEKDAY($C47,2)+11-DATE(YEAR($C47+4-WEEKDAY($C47,2)),1,1))/7))</f>
        <v>S30</v>
      </c>
      <c r="C47" s="52" t="n">
        <f aca="false">IF(MONTH(($X$1-WEEKDAY($X$1,3)+21)+2)=MONTH($X$1),($X$1-WEEKDAY($X$1,3)+21)+2,"")</f>
        <v>46225</v>
      </c>
      <c r="D47" s="27" t="str">
        <f aca="false">IF($C47="","","Vistoria Setorial (checklist no setor definido pelo gerente)")</f>
        <v>Vistoria Setorial (checklist no setor definido pelo gerente)</v>
      </c>
      <c r="E47" s="27"/>
      <c r="F47" s="27"/>
      <c r="G47" s="30" t="str">
        <f aca="false">IF($C47="","","B")</f>
        <v>B</v>
      </c>
      <c r="H47" s="30" t="str">
        <f aca="false">IF($C47="","",IF($G47="A",CONFIG!$B$5,IF($G47="B",CONFIG!$B$6,IF($G47="C",CONFIG!$B$7,"Gerência + coordenadores"))))</f>
        <v>(preencha o nome)</v>
      </c>
      <c r="I47" s="30"/>
      <c r="J47" s="56"/>
      <c r="K47" s="53"/>
      <c r="L47" s="53"/>
      <c r="M47" s="54"/>
      <c r="N47" s="54"/>
      <c r="O47" s="54"/>
      <c r="P47" s="60"/>
      <c r="Q47" s="56"/>
      <c r="R47" s="57"/>
      <c r="S47" s="30" t="str">
        <f aca="true">IF($C47="","",IF($Q47="Cancelada","Cancelada",IF($Q47="Reprovado","Reprovada",IF($Q47="Aprovado","Aprovada",IF($M47&lt;&gt;"","Entregue",IF(TODAY()&gt;$C47,"Atrasada","Pendente"))))))</f>
        <v>Atrasada</v>
      </c>
      <c r="T47" s="58"/>
      <c r="U47" s="58"/>
      <c r="V47" s="58"/>
    </row>
    <row r="48" customFormat="false" ht="22.35" hidden="false" customHeight="false" outlineLevel="0" collapsed="false">
      <c r="A48" s="51" t="str">
        <f aca="false">IF($C48="","",$X$2&amp;"-S"&amp;INT(($C48-WEEKDAY($C48,2)+11-DATE(YEAR($C48+4-WEEKDAY($C48,2)),1,1))/7)&amp;"-VIS-C")</f>
        <v>JUL-S30-VIS-C</v>
      </c>
      <c r="B48" s="34" t="str">
        <f aca="false">IF($C48="","","S"&amp;INT(($C48-WEEKDAY($C48,2)+11-DATE(YEAR($C48+4-WEEKDAY($C48,2)),1,1))/7))</f>
        <v>S30</v>
      </c>
      <c r="C48" s="52" t="n">
        <f aca="false">IF(MONTH(($X$1-WEEKDAY($X$1,3)+21)+2)=MONTH($X$1),($X$1-WEEKDAY($X$1,3)+21)+2,"")</f>
        <v>46225</v>
      </c>
      <c r="D48" s="9" t="str">
        <f aca="false">IF($C48="","","Vistoria Setorial (checklist no setor definido pelo gerente)")</f>
        <v>Vistoria Setorial (checklist no setor definido pelo gerente)</v>
      </c>
      <c r="E48" s="9"/>
      <c r="F48" s="9"/>
      <c r="G48" s="34" t="str">
        <f aca="false">IF($C48="","","C")</f>
        <v>C</v>
      </c>
      <c r="H48" s="34" t="str">
        <f aca="false">IF($C48="","",IF($G48="A",CONFIG!$B$5,IF($G48="B",CONFIG!$B$6,IF($G48="C",CONFIG!$B$7,"Gerência + coordenadores"))))</f>
        <v>(preencha o nome)</v>
      </c>
      <c r="I48" s="34"/>
      <c r="J48" s="56"/>
      <c r="K48" s="53"/>
      <c r="L48" s="53"/>
      <c r="M48" s="54"/>
      <c r="N48" s="54"/>
      <c r="O48" s="54"/>
      <c r="P48" s="55"/>
      <c r="Q48" s="56"/>
      <c r="R48" s="57"/>
      <c r="S48" s="34" t="str">
        <f aca="true">IF($C48="","",IF($Q48="Cancelada","Cancelada",IF($Q48="Reprovado","Reprovada",IF($Q48="Aprovado","Aprovada",IF($M48&lt;&gt;"","Entregue",IF(TODAY()&gt;$C48,"Atrasada","Pendente"))))))</f>
        <v>Atrasada</v>
      </c>
      <c r="T48" s="58"/>
      <c r="U48" s="58"/>
      <c r="V48" s="58"/>
    </row>
    <row r="49" customFormat="false" ht="22.35" hidden="false" customHeight="false" outlineLevel="0" collapsed="false">
      <c r="A49" s="59" t="str">
        <f aca="false">IF($C49="","",$X$2&amp;"-S"&amp;INT(($C49-WEEKDAY($C49,2)+11-DATE(YEAR($C49+4-WEEKDAY($C49,2)),1,1))/7)&amp;"-RSC-A")</f>
        <v>JUL-S30-RSC-A</v>
      </c>
      <c r="B49" s="30" t="str">
        <f aca="false">IF($C49="","","S"&amp;INT(($C49-WEEKDAY($C49,2)+11-DATE(YEAR($C49+4-WEEKDAY($C49,2)),1,1))/7))</f>
        <v>S30</v>
      </c>
      <c r="C49" s="52" t="n">
        <f aca="false">IF(MONTH(($X$1-WEEKDAY($X$1,3)+21)+3)=MONTH($X$1),($X$1-WEEKDAY($X$1,3)+21)+3,"")</f>
        <v>46226</v>
      </c>
      <c r="D49" s="27" t="str">
        <f aca="false">IF($C49="","","Relatório Semanal Consolidado (erros + metas + faltas + supervisores)")</f>
        <v>Relatório Semanal Consolidado (erros + metas + faltas + supervisores)</v>
      </c>
      <c r="E49" s="27"/>
      <c r="F49" s="27"/>
      <c r="G49" s="30" t="str">
        <f aca="false">IF($C49="","","A")</f>
        <v>A</v>
      </c>
      <c r="H49" s="30" t="str">
        <f aca="false">IF($C49="","",IF($G49="A",CONFIG!$B$5,IF($G49="B",CONFIG!$B$6,IF($G49="C",CONFIG!$B$7,"Gerência + coordenadores"))))</f>
        <v>(preencha o nome)</v>
      </c>
      <c r="I49" s="30"/>
      <c r="J49" s="32" t="str">
        <f aca="false">IF($C49="","","—")</f>
        <v>—</v>
      </c>
      <c r="K49" s="61"/>
      <c r="L49" s="61"/>
      <c r="M49" s="54"/>
      <c r="N49" s="54"/>
      <c r="O49" s="54"/>
      <c r="P49" s="60"/>
      <c r="Q49" s="56"/>
      <c r="R49" s="57"/>
      <c r="S49" s="30" t="str">
        <f aca="true">IF($C49="","",IF($Q49="Cancelada","Cancelada",IF($Q49="Reprovado","Reprovada",IF($Q49="Aprovado","Aprovada",IF($M49&lt;&gt;"","Entregue",IF(TODAY()&gt;$C49,"Atrasada","Pendente"))))))</f>
        <v>Atrasada</v>
      </c>
      <c r="T49" s="58"/>
      <c r="U49" s="58"/>
      <c r="V49" s="58"/>
    </row>
    <row r="50" customFormat="false" ht="22.35" hidden="false" customHeight="false" outlineLevel="0" collapsed="false">
      <c r="A50" s="51" t="str">
        <f aca="false">IF($C50="","",$X$2&amp;"-S"&amp;INT(($C50-WEEKDAY($C50,2)+11-DATE(YEAR($C50+4-WEEKDAY($C50,2)),1,1))/7)&amp;"-RSC-B")</f>
        <v>JUL-S30-RSC-B</v>
      </c>
      <c r="B50" s="34" t="str">
        <f aca="false">IF($C50="","","S"&amp;INT(($C50-WEEKDAY($C50,2)+11-DATE(YEAR($C50+4-WEEKDAY($C50,2)),1,1))/7))</f>
        <v>S30</v>
      </c>
      <c r="C50" s="52" t="n">
        <f aca="false">IF(MONTH(($X$1-WEEKDAY($X$1,3)+21)+3)=MONTH($X$1),($X$1-WEEKDAY($X$1,3)+21)+3,"")</f>
        <v>46226</v>
      </c>
      <c r="D50" s="9" t="str">
        <f aca="false">IF($C50="","","Relatório Semanal Consolidado (erros + metas + faltas + supervisores)")</f>
        <v>Relatório Semanal Consolidado (erros + metas + faltas + supervisores)</v>
      </c>
      <c r="E50" s="9"/>
      <c r="F50" s="9"/>
      <c r="G50" s="34" t="str">
        <f aca="false">IF($C50="","","B")</f>
        <v>B</v>
      </c>
      <c r="H50" s="34" t="str">
        <f aca="false">IF($C50="","",IF($G50="A",CONFIG!$B$5,IF($G50="B",CONFIG!$B$6,IF($G50="C",CONFIG!$B$7,"Gerência + coordenadores"))))</f>
        <v>(preencha o nome)</v>
      </c>
      <c r="I50" s="34"/>
      <c r="J50" s="32" t="str">
        <f aca="false">IF($C50="","","—")</f>
        <v>—</v>
      </c>
      <c r="K50" s="61"/>
      <c r="L50" s="61"/>
      <c r="M50" s="54"/>
      <c r="N50" s="54"/>
      <c r="O50" s="54"/>
      <c r="P50" s="55"/>
      <c r="Q50" s="56"/>
      <c r="R50" s="57"/>
      <c r="S50" s="34" t="str">
        <f aca="true">IF($C50="","",IF($Q50="Cancelada","Cancelada",IF($Q50="Reprovado","Reprovada",IF($Q50="Aprovado","Aprovada",IF($M50&lt;&gt;"","Entregue",IF(TODAY()&gt;$C50,"Atrasada","Pendente"))))))</f>
        <v>Atrasada</v>
      </c>
      <c r="T50" s="58"/>
      <c r="U50" s="58"/>
      <c r="V50" s="58"/>
    </row>
    <row r="51" customFormat="false" ht="22.35" hidden="false" customHeight="false" outlineLevel="0" collapsed="false">
      <c r="A51" s="59" t="str">
        <f aca="false">IF($C51="","",$X$2&amp;"-S"&amp;INT(($C51-WEEKDAY($C51,2)+11-DATE(YEAR($C51+4-WEEKDAY($C51,2)),1,1))/7)&amp;"-RSC-C")</f>
        <v>JUL-S30-RSC-C</v>
      </c>
      <c r="B51" s="30" t="str">
        <f aca="false">IF($C51="","","S"&amp;INT(($C51-WEEKDAY($C51,2)+11-DATE(YEAR($C51+4-WEEKDAY($C51,2)),1,1))/7))</f>
        <v>S30</v>
      </c>
      <c r="C51" s="52" t="n">
        <f aca="false">IF(MONTH(($X$1-WEEKDAY($X$1,3)+21)+3)=MONTH($X$1),($X$1-WEEKDAY($X$1,3)+21)+3,"")</f>
        <v>46226</v>
      </c>
      <c r="D51" s="27" t="str">
        <f aca="false">IF($C51="","","Relatório Semanal Consolidado (erros + metas + faltas + supervisores)")</f>
        <v>Relatório Semanal Consolidado (erros + metas + faltas + supervisores)</v>
      </c>
      <c r="E51" s="27"/>
      <c r="F51" s="27"/>
      <c r="G51" s="30" t="str">
        <f aca="false">IF($C51="","","C")</f>
        <v>C</v>
      </c>
      <c r="H51" s="30" t="str">
        <f aca="false">IF($C51="","",IF($G51="A",CONFIG!$B$5,IF($G51="B",CONFIG!$B$6,IF($G51="C",CONFIG!$B$7,"Gerência + coordenadores"))))</f>
        <v>(preencha o nome)</v>
      </c>
      <c r="I51" s="30"/>
      <c r="J51" s="32" t="str">
        <f aca="false">IF($C51="","","—")</f>
        <v>—</v>
      </c>
      <c r="K51" s="61"/>
      <c r="L51" s="61"/>
      <c r="M51" s="54"/>
      <c r="N51" s="54"/>
      <c r="O51" s="54"/>
      <c r="P51" s="60"/>
      <c r="Q51" s="56"/>
      <c r="R51" s="57"/>
      <c r="S51" s="30" t="str">
        <f aca="true">IF($C51="","",IF($Q51="Cancelada","Cancelada",IF($Q51="Reprovado","Reprovada",IF($Q51="Aprovado","Aprovada",IF($M51&lt;&gt;"","Entregue",IF(TODAY()&gt;$C51,"Atrasada","Pendente"))))))</f>
        <v>Atrasada</v>
      </c>
      <c r="T51" s="58"/>
      <c r="U51" s="58"/>
      <c r="V51" s="58"/>
    </row>
    <row r="52" customFormat="false" ht="22.35" hidden="false" customHeight="false" outlineLevel="0" collapsed="false">
      <c r="A52" s="51" t="str">
        <f aca="false">IF($C52="","",$X$2&amp;"-S"&amp;INT(($C52-WEEKDAY($C52,2)+11-DATE(YEAR($C52+4-WEEKDAY($C52,2)),1,1))/7)&amp;"-REU-T")</f>
        <v>JUL-S30-REU-T</v>
      </c>
      <c r="B52" s="34" t="str">
        <f aca="false">IF($C52="","","S"&amp;INT(($C52-WEEKDAY($C52,2)+11-DATE(YEAR($C52+4-WEEKDAY($C52,2)),1,1))/7))</f>
        <v>S30</v>
      </c>
      <c r="C52" s="52" t="n">
        <f aca="false">IF(MONTH(($X$1-WEEKDAY($X$1,3)+21)+4)=MONTH($X$1),($X$1-WEEKDAY($X$1,3)+21)+4,"")</f>
        <v>46227</v>
      </c>
      <c r="D52" s="9" t="str">
        <f aca="false">IF($C52="","","Reunião Semanal com a Gerência")</f>
        <v>Reunião Semanal com a Gerência</v>
      </c>
      <c r="E52" s="9"/>
      <c r="F52" s="9"/>
      <c r="G52" s="34" t="str">
        <f aca="false">IF($C52="","","Todos")</f>
        <v>Todos</v>
      </c>
      <c r="H52" s="34" t="str">
        <f aca="false">IF($C52="","",IF($G52="A",CONFIG!$B$5,IF($G52="B",CONFIG!$B$6,IF($G52="C",CONFIG!$B$7,"Gerência + coordenadores"))))</f>
        <v>Gerência + coordenadores</v>
      </c>
      <c r="I52" s="34"/>
      <c r="J52" s="32" t="str">
        <f aca="false">IF($C52="","","—")</f>
        <v>—</v>
      </c>
      <c r="K52" s="53"/>
      <c r="L52" s="53"/>
      <c r="M52" s="54"/>
      <c r="N52" s="54"/>
      <c r="O52" s="54"/>
      <c r="P52" s="55"/>
      <c r="Q52" s="56"/>
      <c r="R52" s="57"/>
      <c r="S52" s="34" t="str">
        <f aca="true">IF($C52="","",IF($Q52="Cancelada","Cancelada",IF($Q52="Reprovado","Reprovada",IF($Q52="Aprovado","Aprovada",IF($M52&lt;&gt;"","Entregue",IF(TODAY()&gt;$C52,"Atrasada","Pendente"))))))</f>
        <v>Atrasada</v>
      </c>
      <c r="T52" s="58"/>
      <c r="U52" s="58"/>
      <c r="V52" s="58"/>
    </row>
    <row r="53" customFormat="false" ht="22.35" hidden="false" customHeight="false" outlineLevel="0" collapsed="false">
      <c r="A53" s="59" t="str">
        <f aca="false">IF($C53="","",$X$2&amp;"-S"&amp;INT(($C53-WEEKDAY($C53,2)+11-DATE(YEAR($C53+4-WEEKDAY($C53,2)),1,1))/7)&amp;"-VIS-A")</f>
        <v>JUL-S31-VIS-A</v>
      </c>
      <c r="B53" s="30" t="str">
        <f aca="false">IF($C53="","","S"&amp;INT(($C53-WEEKDAY($C53,2)+11-DATE(YEAR($C53+4-WEEKDAY($C53,2)),1,1))/7))</f>
        <v>S31</v>
      </c>
      <c r="C53" s="52" t="n">
        <f aca="false">IF(MONTH(($X$1-WEEKDAY($X$1,3)+28)+2)=MONTH($X$1),($X$1-WEEKDAY($X$1,3)+28)+2,"")</f>
        <v>46232</v>
      </c>
      <c r="D53" s="27" t="str">
        <f aca="false">IF($C53="","","Vistoria Setorial (checklist no setor definido pelo gerente)")</f>
        <v>Vistoria Setorial (checklist no setor definido pelo gerente)</v>
      </c>
      <c r="E53" s="27"/>
      <c r="F53" s="27"/>
      <c r="G53" s="30" t="str">
        <f aca="false">IF($C53="","","A")</f>
        <v>A</v>
      </c>
      <c r="H53" s="30" t="str">
        <f aca="false">IF($C53="","",IF($G53="A",CONFIG!$B$5,IF($G53="B",CONFIG!$B$6,IF($G53="C",CONFIG!$B$7,"Gerência + coordenadores"))))</f>
        <v>(preencha o nome)</v>
      </c>
      <c r="I53" s="30"/>
      <c r="J53" s="56"/>
      <c r="K53" s="53"/>
      <c r="L53" s="53"/>
      <c r="M53" s="54"/>
      <c r="N53" s="54"/>
      <c r="O53" s="54"/>
      <c r="P53" s="60"/>
      <c r="Q53" s="56"/>
      <c r="R53" s="57"/>
      <c r="S53" s="30" t="str">
        <f aca="true">IF($C53="","",IF($Q53="Cancelada","Cancelada",IF($Q53="Reprovado","Reprovada",IF($Q53="Aprovado","Aprovada",IF($M53&lt;&gt;"","Entregue",IF(TODAY()&gt;$C53,"Atrasada","Pendente"))))))</f>
        <v>Atrasada</v>
      </c>
      <c r="T53" s="58"/>
      <c r="U53" s="58"/>
      <c r="V53" s="58"/>
    </row>
    <row r="54" customFormat="false" ht="22.35" hidden="false" customHeight="false" outlineLevel="0" collapsed="false">
      <c r="A54" s="51" t="str">
        <f aca="false">IF($C54="","",$X$2&amp;"-S"&amp;INT(($C54-WEEKDAY($C54,2)+11-DATE(YEAR($C54+4-WEEKDAY($C54,2)),1,1))/7)&amp;"-VIS-B")</f>
        <v>JUL-S31-VIS-B</v>
      </c>
      <c r="B54" s="34" t="str">
        <f aca="false">IF($C54="","","S"&amp;INT(($C54-WEEKDAY($C54,2)+11-DATE(YEAR($C54+4-WEEKDAY($C54,2)),1,1))/7))</f>
        <v>S31</v>
      </c>
      <c r="C54" s="52" t="n">
        <f aca="false">IF(MONTH(($X$1-WEEKDAY($X$1,3)+28)+2)=MONTH($X$1),($X$1-WEEKDAY($X$1,3)+28)+2,"")</f>
        <v>46232</v>
      </c>
      <c r="D54" s="9" t="str">
        <f aca="false">IF($C54="","","Vistoria Setorial (checklist no setor definido pelo gerente)")</f>
        <v>Vistoria Setorial (checklist no setor definido pelo gerente)</v>
      </c>
      <c r="E54" s="9"/>
      <c r="F54" s="9"/>
      <c r="G54" s="34" t="str">
        <f aca="false">IF($C54="","","B")</f>
        <v>B</v>
      </c>
      <c r="H54" s="34" t="str">
        <f aca="false">IF($C54="","",IF($G54="A",CONFIG!$B$5,IF($G54="B",CONFIG!$B$6,IF($G54="C",CONFIG!$B$7,"Gerência + coordenadores"))))</f>
        <v>(preencha o nome)</v>
      </c>
      <c r="I54" s="34"/>
      <c r="J54" s="56"/>
      <c r="K54" s="53"/>
      <c r="L54" s="53"/>
      <c r="M54" s="54"/>
      <c r="N54" s="54"/>
      <c r="O54" s="54"/>
      <c r="P54" s="55"/>
      <c r="Q54" s="56"/>
      <c r="R54" s="57"/>
      <c r="S54" s="34" t="str">
        <f aca="true">IF($C54="","",IF($Q54="Cancelada","Cancelada",IF($Q54="Reprovado","Reprovada",IF($Q54="Aprovado","Aprovada",IF($M54&lt;&gt;"","Entregue",IF(TODAY()&gt;$C54,"Atrasada","Pendente"))))))</f>
        <v>Atrasada</v>
      </c>
      <c r="T54" s="58"/>
      <c r="U54" s="58"/>
      <c r="V54" s="58"/>
    </row>
    <row r="55" customFormat="false" ht="22.35" hidden="false" customHeight="false" outlineLevel="0" collapsed="false">
      <c r="A55" s="59" t="str">
        <f aca="false">IF($C55="","",$X$2&amp;"-S"&amp;INT(($C55-WEEKDAY($C55,2)+11-DATE(YEAR($C55+4-WEEKDAY($C55,2)),1,1))/7)&amp;"-VIS-C")</f>
        <v>JUL-S31-VIS-C</v>
      </c>
      <c r="B55" s="30" t="str">
        <f aca="false">IF($C55="","","S"&amp;INT(($C55-WEEKDAY($C55,2)+11-DATE(YEAR($C55+4-WEEKDAY($C55,2)),1,1))/7))</f>
        <v>S31</v>
      </c>
      <c r="C55" s="52" t="n">
        <f aca="false">IF(MONTH(($X$1-WEEKDAY($X$1,3)+28)+2)=MONTH($X$1),($X$1-WEEKDAY($X$1,3)+28)+2,"")</f>
        <v>46232</v>
      </c>
      <c r="D55" s="27" t="str">
        <f aca="false">IF($C55="","","Vistoria Setorial (checklist no setor definido pelo gerente)")</f>
        <v>Vistoria Setorial (checklist no setor definido pelo gerente)</v>
      </c>
      <c r="E55" s="27"/>
      <c r="F55" s="27"/>
      <c r="G55" s="30" t="str">
        <f aca="false">IF($C55="","","C")</f>
        <v>C</v>
      </c>
      <c r="H55" s="30" t="str">
        <f aca="false">IF($C55="","",IF($G55="A",CONFIG!$B$5,IF($G55="B",CONFIG!$B$6,IF($G55="C",CONFIG!$B$7,"Gerência + coordenadores"))))</f>
        <v>(preencha o nome)</v>
      </c>
      <c r="I55" s="30"/>
      <c r="J55" s="56"/>
      <c r="K55" s="53"/>
      <c r="L55" s="53"/>
      <c r="M55" s="54"/>
      <c r="N55" s="54"/>
      <c r="O55" s="54"/>
      <c r="P55" s="60"/>
      <c r="Q55" s="56"/>
      <c r="R55" s="57"/>
      <c r="S55" s="30" t="str">
        <f aca="true">IF($C55="","",IF($Q55="Cancelada","Cancelada",IF($Q55="Reprovado","Reprovada",IF($Q55="Aprovado","Aprovada",IF($M55&lt;&gt;"","Entregue",IF(TODAY()&gt;$C55,"Atrasada","Pendente"))))))</f>
        <v>Atrasada</v>
      </c>
      <c r="T55" s="58"/>
      <c r="U55" s="58"/>
      <c r="V55" s="58"/>
    </row>
    <row r="56" customFormat="false" ht="22.35" hidden="false" customHeight="false" outlineLevel="0" collapsed="false">
      <c r="A56" s="51" t="str">
        <f aca="false">IF($C56="","",$X$2&amp;"-S"&amp;INT(($C56-WEEKDAY($C56,2)+11-DATE(YEAR($C56+4-WEEKDAY($C56,2)),1,1))/7)&amp;"-RSC-A")</f>
        <v>JUL-S31-RSC-A</v>
      </c>
      <c r="B56" s="34" t="str">
        <f aca="false">IF($C56="","","S"&amp;INT(($C56-WEEKDAY($C56,2)+11-DATE(YEAR($C56+4-WEEKDAY($C56,2)),1,1))/7))</f>
        <v>S31</v>
      </c>
      <c r="C56" s="52" t="n">
        <f aca="false">IF(MONTH(($X$1-WEEKDAY($X$1,3)+28)+3)=MONTH($X$1),($X$1-WEEKDAY($X$1,3)+28)+3,"")</f>
        <v>46233</v>
      </c>
      <c r="D56" s="9" t="str">
        <f aca="false">IF($C56="","","Relatório Semanal Consolidado (erros + metas + faltas + supervisores)")</f>
        <v>Relatório Semanal Consolidado (erros + metas + faltas + supervisores)</v>
      </c>
      <c r="E56" s="9"/>
      <c r="F56" s="9"/>
      <c r="G56" s="34" t="str">
        <f aca="false">IF($C56="","","A")</f>
        <v>A</v>
      </c>
      <c r="H56" s="34" t="str">
        <f aca="false">IF($C56="","",IF($G56="A",CONFIG!$B$5,IF($G56="B",CONFIG!$B$6,IF($G56="C",CONFIG!$B$7,"Gerência + coordenadores"))))</f>
        <v>(preencha o nome)</v>
      </c>
      <c r="I56" s="34"/>
      <c r="J56" s="32" t="str">
        <f aca="false">IF($C56="","","—")</f>
        <v>—</v>
      </c>
      <c r="K56" s="61"/>
      <c r="L56" s="61"/>
      <c r="M56" s="54"/>
      <c r="N56" s="54"/>
      <c r="O56" s="54"/>
      <c r="P56" s="55"/>
      <c r="Q56" s="56"/>
      <c r="R56" s="57"/>
      <c r="S56" s="34" t="str">
        <f aca="true">IF($C56="","",IF($Q56="Cancelada","Cancelada",IF($Q56="Reprovado","Reprovada",IF($Q56="Aprovado","Aprovada",IF($M56&lt;&gt;"","Entregue",IF(TODAY()&gt;$C56,"Atrasada","Pendente"))))))</f>
        <v>Atrasada</v>
      </c>
      <c r="T56" s="58"/>
      <c r="U56" s="58"/>
      <c r="V56" s="58"/>
    </row>
    <row r="57" customFormat="false" ht="22.35" hidden="false" customHeight="false" outlineLevel="0" collapsed="false">
      <c r="A57" s="59" t="str">
        <f aca="false">IF($C57="","",$X$2&amp;"-S"&amp;INT(($C57-WEEKDAY($C57,2)+11-DATE(YEAR($C57+4-WEEKDAY($C57,2)),1,1))/7)&amp;"-RSC-B")</f>
        <v>JUL-S31-RSC-B</v>
      </c>
      <c r="B57" s="30" t="str">
        <f aca="false">IF($C57="","","S"&amp;INT(($C57-WEEKDAY($C57,2)+11-DATE(YEAR($C57+4-WEEKDAY($C57,2)),1,1))/7))</f>
        <v>S31</v>
      </c>
      <c r="C57" s="52" t="n">
        <f aca="false">IF(MONTH(($X$1-WEEKDAY($X$1,3)+28)+3)=MONTH($X$1),($X$1-WEEKDAY($X$1,3)+28)+3,"")</f>
        <v>46233</v>
      </c>
      <c r="D57" s="27" t="str">
        <f aca="false">IF($C57="","","Relatório Semanal Consolidado (erros + metas + faltas + supervisores)")</f>
        <v>Relatório Semanal Consolidado (erros + metas + faltas + supervisores)</v>
      </c>
      <c r="E57" s="27"/>
      <c r="F57" s="27"/>
      <c r="G57" s="30" t="str">
        <f aca="false">IF($C57="","","B")</f>
        <v>B</v>
      </c>
      <c r="H57" s="30" t="str">
        <f aca="false">IF($C57="","",IF($G57="A",CONFIG!$B$5,IF($G57="B",CONFIG!$B$6,IF($G57="C",CONFIG!$B$7,"Gerência + coordenadores"))))</f>
        <v>(preencha o nome)</v>
      </c>
      <c r="I57" s="30"/>
      <c r="J57" s="32" t="str">
        <f aca="false">IF($C57="","","—")</f>
        <v>—</v>
      </c>
      <c r="K57" s="61"/>
      <c r="L57" s="61"/>
      <c r="M57" s="54"/>
      <c r="N57" s="54"/>
      <c r="O57" s="54"/>
      <c r="P57" s="60"/>
      <c r="Q57" s="56"/>
      <c r="R57" s="57"/>
      <c r="S57" s="30" t="str">
        <f aca="true">IF($C57="","",IF($Q57="Cancelada","Cancelada",IF($Q57="Reprovado","Reprovada",IF($Q57="Aprovado","Aprovada",IF($M57&lt;&gt;"","Entregue",IF(TODAY()&gt;$C57,"Atrasada","Pendente"))))))</f>
        <v>Atrasada</v>
      </c>
      <c r="T57" s="58"/>
      <c r="U57" s="58"/>
      <c r="V57" s="58"/>
    </row>
    <row r="58" customFormat="false" ht="22.35" hidden="false" customHeight="false" outlineLevel="0" collapsed="false">
      <c r="A58" s="51" t="str">
        <f aca="false">IF($C58="","",$X$2&amp;"-S"&amp;INT(($C58-WEEKDAY($C58,2)+11-DATE(YEAR($C58+4-WEEKDAY($C58,2)),1,1))/7)&amp;"-RSC-C")</f>
        <v>JUL-S31-RSC-C</v>
      </c>
      <c r="B58" s="34" t="str">
        <f aca="false">IF($C58="","","S"&amp;INT(($C58-WEEKDAY($C58,2)+11-DATE(YEAR($C58+4-WEEKDAY($C58,2)),1,1))/7))</f>
        <v>S31</v>
      </c>
      <c r="C58" s="52" t="n">
        <f aca="false">IF(MONTH(($X$1-WEEKDAY($X$1,3)+28)+3)=MONTH($X$1),($X$1-WEEKDAY($X$1,3)+28)+3,"")</f>
        <v>46233</v>
      </c>
      <c r="D58" s="9" t="str">
        <f aca="false">IF($C58="","","Relatório Semanal Consolidado (erros + metas + faltas + supervisores)")</f>
        <v>Relatório Semanal Consolidado (erros + metas + faltas + supervisores)</v>
      </c>
      <c r="E58" s="9"/>
      <c r="F58" s="9"/>
      <c r="G58" s="34" t="str">
        <f aca="false">IF($C58="","","C")</f>
        <v>C</v>
      </c>
      <c r="H58" s="34" t="str">
        <f aca="false">IF($C58="","",IF($G58="A",CONFIG!$B$5,IF($G58="B",CONFIG!$B$6,IF($G58="C",CONFIG!$B$7,"Gerência + coordenadores"))))</f>
        <v>(preencha o nome)</v>
      </c>
      <c r="I58" s="34"/>
      <c r="J58" s="32" t="str">
        <f aca="false">IF($C58="","","—")</f>
        <v>—</v>
      </c>
      <c r="K58" s="61"/>
      <c r="L58" s="61"/>
      <c r="M58" s="54"/>
      <c r="N58" s="54"/>
      <c r="O58" s="54"/>
      <c r="P58" s="55"/>
      <c r="Q58" s="56"/>
      <c r="R58" s="57"/>
      <c r="S58" s="34" t="str">
        <f aca="true">IF($C58="","",IF($Q58="Cancelada","Cancelada",IF($Q58="Reprovado","Reprovada",IF($Q58="Aprovado","Aprovada",IF($M58&lt;&gt;"","Entregue",IF(TODAY()&gt;$C58,"Atrasada","Pendente"))))))</f>
        <v>Atrasada</v>
      </c>
      <c r="T58" s="58"/>
      <c r="U58" s="58"/>
      <c r="V58" s="58"/>
    </row>
    <row r="59" customFormat="false" ht="22.35" hidden="false" customHeight="false" outlineLevel="0" collapsed="false">
      <c r="A59" s="59" t="str">
        <f aca="false">IF($C59="","",$X$2&amp;"-S"&amp;INT(($C59-WEEKDAY($C59,2)+11-DATE(YEAR($C59+4-WEEKDAY($C59,2)),1,1))/7)&amp;"-REU-T")</f>
        <v>JUL-S31-REU-T</v>
      </c>
      <c r="B59" s="30" t="str">
        <f aca="false">IF($C59="","","S"&amp;INT(($C59-WEEKDAY($C59,2)+11-DATE(YEAR($C59+4-WEEKDAY($C59,2)),1,1))/7))</f>
        <v>S31</v>
      </c>
      <c r="C59" s="52" t="n">
        <f aca="false">IF(MONTH(($X$1-WEEKDAY($X$1,3)+28)+4)=MONTH($X$1),($X$1-WEEKDAY($X$1,3)+28)+4,"")</f>
        <v>46234</v>
      </c>
      <c r="D59" s="27" t="str">
        <f aca="false">IF($C59="","","Reunião Semanal com a Gerência")</f>
        <v>Reunião Semanal com a Gerência</v>
      </c>
      <c r="E59" s="27"/>
      <c r="F59" s="27"/>
      <c r="G59" s="30" t="str">
        <f aca="false">IF($C59="","","Todos")</f>
        <v>Todos</v>
      </c>
      <c r="H59" s="30" t="str">
        <f aca="false">IF($C59="","",IF($G59="A",CONFIG!$B$5,IF($G59="B",CONFIG!$B$6,IF($G59="C",CONFIG!$B$7,"Gerência + coordenadores"))))</f>
        <v>Gerência + coordenadores</v>
      </c>
      <c r="I59" s="30"/>
      <c r="J59" s="32" t="str">
        <f aca="false">IF($C59="","","—")</f>
        <v>—</v>
      </c>
      <c r="K59" s="53"/>
      <c r="L59" s="53"/>
      <c r="M59" s="54"/>
      <c r="N59" s="54"/>
      <c r="O59" s="54"/>
      <c r="P59" s="60"/>
      <c r="Q59" s="56"/>
      <c r="R59" s="57"/>
      <c r="S59" s="30" t="str">
        <f aca="true">IF($C59="","",IF($Q59="Cancelada","Cancelada",IF($Q59="Reprovado","Reprovada",IF($Q59="Aprovado","Aprovada",IF($M59&lt;&gt;"","Entregue",IF(TODAY()&gt;$C59,"Atrasada","Pendente"))))))</f>
        <v>Atrasada</v>
      </c>
      <c r="T59" s="58"/>
      <c r="U59" s="58"/>
      <c r="V59" s="58"/>
    </row>
    <row r="60" customFormat="false" ht="22.35" hidden="false" customHeight="false" outlineLevel="0" collapsed="false">
      <c r="A60" s="59" t="str">
        <f aca="false">IF($C60="","",$X$2&amp;"-S"&amp;INT(($C60-WEEKDAY($C60,2)+11-DATE(YEAR($C60+4-WEEKDAY($C60,2)),1,1))/7)&amp;"-MDF-T")</f>
        <v>JUL-S31-MDF-T</v>
      </c>
      <c r="B60" s="30" t="str">
        <f aca="false">IF($C60="","","S"&amp;INT(($C60-WEEKDAY($C60,2)+11-DATE(YEAR($C60+4-WEEKDAY($C60,2)),1,1))/7))</f>
        <v>S31</v>
      </c>
      <c r="C60" s="52" t="n">
        <f aca="false">EOMONTH($X$1,0)-MOD(WEEKDAY(EOMONTH($X$1,0),2)-5,7)</f>
        <v>46234</v>
      </c>
      <c r="D60" s="27" t="str">
        <f aca="false">IF($C60="","","Mudança de Função — reunião mensal")</f>
        <v>Mudança de Função — reunião mensal</v>
      </c>
      <c r="E60" s="27"/>
      <c r="F60" s="27"/>
      <c r="G60" s="30" t="str">
        <f aca="false">IF($C60="","","Todos")</f>
        <v>Todos</v>
      </c>
      <c r="H60" s="30" t="str">
        <f aca="false">IF($C60="","",IF($G60="A",CONFIG!$B$5,IF($G60="B",CONFIG!$B$6,IF($G60="C",CONFIG!$B$7,"Gerência + coordenadores"))))</f>
        <v>Gerência + coordenadores</v>
      </c>
      <c r="I60" s="30"/>
      <c r="J60" s="32" t="str">
        <f aca="false">IF($C60="","","—")</f>
        <v>—</v>
      </c>
      <c r="K60" s="53"/>
      <c r="L60" s="53"/>
      <c r="M60" s="54"/>
      <c r="N60" s="54"/>
      <c r="O60" s="54"/>
      <c r="P60" s="60"/>
      <c r="Q60" s="56"/>
      <c r="R60" s="57"/>
      <c r="S60" s="30" t="str">
        <f aca="true">IF($C60="","",IF($Q60="Cancelada","Cancelada",IF($Q60="Reprovado","Reprovada",IF($Q60="Aprovado","Aprovada",IF($M60&lt;&gt;"","Entregue",IF(TODAY()&gt;$C60,"Atrasada","Pendente"))))))</f>
        <v>Atrasada</v>
      </c>
      <c r="T60" s="58"/>
      <c r="U60" s="58"/>
      <c r="V60" s="58"/>
    </row>
    <row r="62" customFormat="false" ht="15" hidden="false" customHeight="true" outlineLevel="0" collapsed="false">
      <c r="A62" s="62" t="s">
        <v>139</v>
      </c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</row>
    <row r="63" customFormat="false" ht="21.75" hidden="false" customHeight="true" outlineLevel="0" collapsed="false">
      <c r="A63" s="51" t="str">
        <f aca="false">$X$2&amp;"-TRE-1"</f>
        <v>JUL-TRE-1</v>
      </c>
      <c r="B63" s="32" t="str">
        <f aca="false">IF($C63="","","S"&amp;INT(($C63-WEEKDAY($C63,2)+11-DATE(YEAR($C63+4-WEEKDAY($C63,2)),1,1))/7))</f>
        <v/>
      </c>
      <c r="C63" s="52"/>
      <c r="D63" s="57" t="s">
        <v>140</v>
      </c>
      <c r="E63" s="57"/>
      <c r="F63" s="57"/>
      <c r="G63" s="32" t="s">
        <v>141</v>
      </c>
      <c r="H63" s="34" t="s">
        <v>142</v>
      </c>
      <c r="I63" s="34"/>
      <c r="J63" s="32" t="s">
        <v>143</v>
      </c>
      <c r="K63" s="53"/>
      <c r="L63" s="53"/>
      <c r="M63" s="54"/>
      <c r="N63" s="54"/>
      <c r="O63" s="54"/>
      <c r="P63" s="55"/>
      <c r="Q63" s="56"/>
      <c r="R63" s="57"/>
      <c r="S63" s="34" t="str">
        <f aca="true">IF($C63="","Não agendado",IF($Q63="Cancelada","Cancelada",IF($Q63="Reprovado","Reprovada",IF($Q63="Aprovado","Aprovada",IF($M63&lt;&gt;"","Entregue",IF(TODAY()&gt;$C63,"Atrasada","Pendente"))))))</f>
        <v>Não agendado</v>
      </c>
      <c r="T63" s="58"/>
      <c r="U63" s="58"/>
      <c r="V63" s="58"/>
    </row>
    <row r="64" customFormat="false" ht="21.75" hidden="false" customHeight="true" outlineLevel="0" collapsed="false">
      <c r="A64" s="51" t="str">
        <f aca="false">$X$2&amp;"-TRE-2"</f>
        <v>JUL-TRE-2</v>
      </c>
      <c r="B64" s="32" t="str">
        <f aca="false">IF($C64="","","S"&amp;INT(($C64-WEEKDAY($C64,2)+11-DATE(YEAR($C64+4-WEEKDAY($C64,2)),1,1))/7))</f>
        <v/>
      </c>
      <c r="C64" s="52"/>
      <c r="D64" s="57" t="s">
        <v>140</v>
      </c>
      <c r="E64" s="57"/>
      <c r="F64" s="57"/>
      <c r="G64" s="32" t="s">
        <v>141</v>
      </c>
      <c r="H64" s="34" t="s">
        <v>142</v>
      </c>
      <c r="I64" s="34"/>
      <c r="J64" s="32" t="s">
        <v>143</v>
      </c>
      <c r="K64" s="53"/>
      <c r="L64" s="53"/>
      <c r="M64" s="54"/>
      <c r="N64" s="54"/>
      <c r="O64" s="54"/>
      <c r="P64" s="55"/>
      <c r="Q64" s="56"/>
      <c r="R64" s="57"/>
      <c r="S64" s="34" t="str">
        <f aca="true">IF($C64="","Não agendado",IF($Q64="Cancelada","Cancelada",IF($Q64="Reprovado","Reprovada",IF($Q64="Aprovado","Aprovada",IF($M64&lt;&gt;"","Entregue",IF(TODAY()&gt;$C64,"Atrasada","Pendente"))))))</f>
        <v>Não agendado</v>
      </c>
      <c r="T64" s="58"/>
      <c r="U64" s="58"/>
      <c r="V64" s="58"/>
    </row>
    <row r="65" customFormat="false" ht="21.75" hidden="false" customHeight="true" outlineLevel="0" collapsed="false">
      <c r="A65" s="51" t="str">
        <f aca="false">$X$2&amp;"-TRE-3"</f>
        <v>JUL-TRE-3</v>
      </c>
      <c r="B65" s="32" t="str">
        <f aca="false">IF($C65="","","S"&amp;INT(($C65-WEEKDAY($C65,2)+11-DATE(YEAR($C65+4-WEEKDAY($C65,2)),1,1))/7))</f>
        <v/>
      </c>
      <c r="C65" s="52"/>
      <c r="D65" s="57" t="s">
        <v>140</v>
      </c>
      <c r="E65" s="57"/>
      <c r="F65" s="57"/>
      <c r="G65" s="32" t="s">
        <v>141</v>
      </c>
      <c r="H65" s="34" t="s">
        <v>142</v>
      </c>
      <c r="I65" s="34"/>
      <c r="J65" s="32" t="s">
        <v>143</v>
      </c>
      <c r="K65" s="53"/>
      <c r="L65" s="53"/>
      <c r="M65" s="54"/>
      <c r="N65" s="54"/>
      <c r="O65" s="54"/>
      <c r="P65" s="55"/>
      <c r="Q65" s="56"/>
      <c r="R65" s="57"/>
      <c r="S65" s="34" t="str">
        <f aca="true">IF($C65="","Não agendado",IF($Q65="Cancelada","Cancelada",IF($Q65="Reprovado","Reprovada",IF($Q65="Aprovado","Aprovada",IF($M65&lt;&gt;"","Entregue",IF(TODAY()&gt;$C65,"Atrasada","Pendente"))))))</f>
        <v>Não agendado</v>
      </c>
      <c r="T65" s="58"/>
      <c r="U65" s="58"/>
      <c r="V65" s="58"/>
    </row>
    <row r="66" customFormat="false" ht="21.75" hidden="false" customHeight="true" outlineLevel="0" collapsed="false">
      <c r="A66" s="51" t="str">
        <f aca="false">$X$2&amp;"-TRE-4"</f>
        <v>JUL-TRE-4</v>
      </c>
      <c r="B66" s="32" t="str">
        <f aca="false">IF($C66="","","S"&amp;INT(($C66-WEEKDAY($C66,2)+11-DATE(YEAR($C66+4-WEEKDAY($C66,2)),1,1))/7))</f>
        <v/>
      </c>
      <c r="C66" s="52"/>
      <c r="D66" s="57" t="s">
        <v>140</v>
      </c>
      <c r="E66" s="57"/>
      <c r="F66" s="57"/>
      <c r="G66" s="32" t="s">
        <v>141</v>
      </c>
      <c r="H66" s="34" t="s">
        <v>142</v>
      </c>
      <c r="I66" s="34"/>
      <c r="J66" s="32" t="s">
        <v>143</v>
      </c>
      <c r="K66" s="53"/>
      <c r="L66" s="53"/>
      <c r="M66" s="54"/>
      <c r="N66" s="54"/>
      <c r="O66" s="54"/>
      <c r="P66" s="55"/>
      <c r="Q66" s="56"/>
      <c r="R66" s="57"/>
      <c r="S66" s="34" t="str">
        <f aca="true">IF($C66="","Não agendado",IF($Q66="Cancelada","Cancelada",IF($Q66="Reprovado","Reprovada",IF($Q66="Aprovado","Aprovada",IF($M66&lt;&gt;"","Entregue",IF(TODAY()&gt;$C66,"Atrasada","Pendente"))))))</f>
        <v>Não agendado</v>
      </c>
      <c r="T66" s="58"/>
      <c r="U66" s="58"/>
      <c r="V66" s="58"/>
    </row>
    <row r="67" customFormat="false" ht="21.75" hidden="false" customHeight="true" outlineLevel="0" collapsed="false">
      <c r="A67" s="51" t="str">
        <f aca="false">$X$2&amp;"-TRE-5"</f>
        <v>JUL-TRE-5</v>
      </c>
      <c r="B67" s="32" t="str">
        <f aca="false">IF($C67="","","S"&amp;INT(($C67-WEEKDAY($C67,2)+11-DATE(YEAR($C67+4-WEEKDAY($C67,2)),1,1))/7))</f>
        <v/>
      </c>
      <c r="C67" s="52"/>
      <c r="D67" s="57" t="s">
        <v>140</v>
      </c>
      <c r="E67" s="57"/>
      <c r="F67" s="57"/>
      <c r="G67" s="32" t="s">
        <v>141</v>
      </c>
      <c r="H67" s="34" t="s">
        <v>142</v>
      </c>
      <c r="I67" s="34"/>
      <c r="J67" s="32" t="s">
        <v>143</v>
      </c>
      <c r="K67" s="53"/>
      <c r="L67" s="53"/>
      <c r="M67" s="54"/>
      <c r="N67" s="54"/>
      <c r="O67" s="54"/>
      <c r="P67" s="55"/>
      <c r="Q67" s="56"/>
      <c r="R67" s="57"/>
      <c r="S67" s="34" t="str">
        <f aca="true">IF($C67="","Não agendado",IF($Q67="Cancelada","Cancelada",IF($Q67="Reprovado","Reprovada",IF($Q67="Aprovado","Aprovada",IF($M67&lt;&gt;"","Entregue",IF(TODAY()&gt;$C67,"Atrasada","Pendente"))))))</f>
        <v>Não agendado</v>
      </c>
      <c r="T67" s="58"/>
      <c r="U67" s="58"/>
      <c r="V67" s="58"/>
    </row>
    <row r="68" customFormat="false" ht="21.75" hidden="false" customHeight="true" outlineLevel="0" collapsed="false">
      <c r="A68" s="51" t="str">
        <f aca="false">$X$2&amp;"-TRE-6"</f>
        <v>JUL-TRE-6</v>
      </c>
      <c r="B68" s="32" t="str">
        <f aca="false">IF($C68="","","S"&amp;INT(($C68-WEEKDAY($C68,2)+11-DATE(YEAR($C68+4-WEEKDAY($C68,2)),1,1))/7))</f>
        <v/>
      </c>
      <c r="C68" s="52"/>
      <c r="D68" s="57" t="s">
        <v>140</v>
      </c>
      <c r="E68" s="57"/>
      <c r="F68" s="57"/>
      <c r="G68" s="32" t="s">
        <v>141</v>
      </c>
      <c r="H68" s="34" t="s">
        <v>142</v>
      </c>
      <c r="I68" s="34"/>
      <c r="J68" s="32" t="s">
        <v>143</v>
      </c>
      <c r="K68" s="53"/>
      <c r="L68" s="53"/>
      <c r="M68" s="54"/>
      <c r="N68" s="54"/>
      <c r="O68" s="54"/>
      <c r="P68" s="55"/>
      <c r="Q68" s="56"/>
      <c r="R68" s="57"/>
      <c r="S68" s="34" t="str">
        <f aca="true">IF($C68="","Não agendado",IF($Q68="Cancelada","Cancelada",IF($Q68="Reprovado","Reprovada",IF($Q68="Aprovado","Aprovada",IF($M68&lt;&gt;"","Entregue",IF(TODAY()&gt;$C68,"Atrasada","Pendente"))))))</f>
        <v>Não agendado</v>
      </c>
      <c r="T68" s="58"/>
      <c r="U68" s="58"/>
      <c r="V68" s="58"/>
    </row>
    <row r="70" customFormat="false" ht="15" hidden="false" customHeight="true" outlineLevel="0" collapsed="false">
      <c r="A70" s="48" t="s">
        <v>144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</row>
  </sheetData>
  <mergeCells count="235">
    <mergeCell ref="A1:S1"/>
    <mergeCell ref="A3:O3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O18"/>
    <mergeCell ref="A20:V20"/>
    <mergeCell ref="D21:F21"/>
    <mergeCell ref="H21:I21"/>
    <mergeCell ref="M21:O21"/>
    <mergeCell ref="D22:F22"/>
    <mergeCell ref="H22:I22"/>
    <mergeCell ref="M22:O22"/>
    <mergeCell ref="D23:F23"/>
    <mergeCell ref="H23:I23"/>
    <mergeCell ref="M23:O23"/>
    <mergeCell ref="D24:F24"/>
    <mergeCell ref="H24:I24"/>
    <mergeCell ref="M24:O24"/>
    <mergeCell ref="D25:F25"/>
    <mergeCell ref="H25:I25"/>
    <mergeCell ref="M25:O25"/>
    <mergeCell ref="D26:F26"/>
    <mergeCell ref="H26:I26"/>
    <mergeCell ref="M26:O26"/>
    <mergeCell ref="D27:F27"/>
    <mergeCell ref="H27:I27"/>
    <mergeCell ref="M27:O27"/>
    <mergeCell ref="D28:F28"/>
    <mergeCell ref="H28:I28"/>
    <mergeCell ref="M28:O28"/>
    <mergeCell ref="D29:F29"/>
    <mergeCell ref="H29:I29"/>
    <mergeCell ref="M29:O29"/>
    <mergeCell ref="D30:F30"/>
    <mergeCell ref="H30:I30"/>
    <mergeCell ref="M30:O30"/>
    <mergeCell ref="D31:F31"/>
    <mergeCell ref="H31:I31"/>
    <mergeCell ref="M31:O31"/>
    <mergeCell ref="D32:F32"/>
    <mergeCell ref="H32:I32"/>
    <mergeCell ref="M32:O32"/>
    <mergeCell ref="D33:F33"/>
    <mergeCell ref="H33:I33"/>
    <mergeCell ref="M33:O33"/>
    <mergeCell ref="D34:F34"/>
    <mergeCell ref="H34:I34"/>
    <mergeCell ref="M34:O34"/>
    <mergeCell ref="D35:F35"/>
    <mergeCell ref="H35:I35"/>
    <mergeCell ref="M35:O35"/>
    <mergeCell ref="D36:F36"/>
    <mergeCell ref="H36:I36"/>
    <mergeCell ref="M36:O36"/>
    <mergeCell ref="D37:F37"/>
    <mergeCell ref="H37:I37"/>
    <mergeCell ref="M37:O37"/>
    <mergeCell ref="D38:F38"/>
    <mergeCell ref="H38:I38"/>
    <mergeCell ref="M38:O38"/>
    <mergeCell ref="D39:F39"/>
    <mergeCell ref="H39:I39"/>
    <mergeCell ref="M39:O39"/>
    <mergeCell ref="D40:F40"/>
    <mergeCell ref="H40:I40"/>
    <mergeCell ref="M40:O40"/>
    <mergeCell ref="D41:F41"/>
    <mergeCell ref="H41:I41"/>
    <mergeCell ref="M41:O41"/>
    <mergeCell ref="D42:F42"/>
    <mergeCell ref="H42:I42"/>
    <mergeCell ref="M42:O42"/>
    <mergeCell ref="D43:F43"/>
    <mergeCell ref="H43:I43"/>
    <mergeCell ref="M43:O43"/>
    <mergeCell ref="D44:F44"/>
    <mergeCell ref="H44:I44"/>
    <mergeCell ref="M44:O44"/>
    <mergeCell ref="D45:F45"/>
    <mergeCell ref="H45:I45"/>
    <mergeCell ref="M45:O45"/>
    <mergeCell ref="D46:F46"/>
    <mergeCell ref="H46:I46"/>
    <mergeCell ref="M46:O46"/>
    <mergeCell ref="D47:F47"/>
    <mergeCell ref="H47:I47"/>
    <mergeCell ref="M47:O47"/>
    <mergeCell ref="D48:F48"/>
    <mergeCell ref="H48:I48"/>
    <mergeCell ref="M48:O48"/>
    <mergeCell ref="D49:F49"/>
    <mergeCell ref="H49:I49"/>
    <mergeCell ref="M49:O49"/>
    <mergeCell ref="D50:F50"/>
    <mergeCell ref="H50:I50"/>
    <mergeCell ref="M50:O50"/>
    <mergeCell ref="D51:F51"/>
    <mergeCell ref="H51:I51"/>
    <mergeCell ref="M51:O51"/>
    <mergeCell ref="D52:F52"/>
    <mergeCell ref="H52:I52"/>
    <mergeCell ref="M52:O52"/>
    <mergeCell ref="D53:F53"/>
    <mergeCell ref="H53:I53"/>
    <mergeCell ref="M53:O53"/>
    <mergeCell ref="D54:F54"/>
    <mergeCell ref="H54:I54"/>
    <mergeCell ref="M54:O54"/>
    <mergeCell ref="D55:F55"/>
    <mergeCell ref="H55:I55"/>
    <mergeCell ref="M55:O55"/>
    <mergeCell ref="D56:F56"/>
    <mergeCell ref="H56:I56"/>
    <mergeCell ref="M56:O56"/>
    <mergeCell ref="D57:F57"/>
    <mergeCell ref="H57:I57"/>
    <mergeCell ref="M57:O57"/>
    <mergeCell ref="D58:F58"/>
    <mergeCell ref="H58:I58"/>
    <mergeCell ref="M58:O58"/>
    <mergeCell ref="D59:F59"/>
    <mergeCell ref="H59:I59"/>
    <mergeCell ref="M59:O59"/>
    <mergeCell ref="D60:F60"/>
    <mergeCell ref="H60:I60"/>
    <mergeCell ref="M60:O60"/>
    <mergeCell ref="A62:V62"/>
    <mergeCell ref="D63:F63"/>
    <mergeCell ref="H63:I63"/>
    <mergeCell ref="M63:O63"/>
    <mergeCell ref="D64:F64"/>
    <mergeCell ref="H64:I64"/>
    <mergeCell ref="M64:O64"/>
    <mergeCell ref="D65:F65"/>
    <mergeCell ref="H65:I65"/>
    <mergeCell ref="M65:O65"/>
    <mergeCell ref="D66:F66"/>
    <mergeCell ref="H66:I66"/>
    <mergeCell ref="M66:O66"/>
    <mergeCell ref="D67:F67"/>
    <mergeCell ref="H67:I67"/>
    <mergeCell ref="M67:O67"/>
    <mergeCell ref="D68:F68"/>
    <mergeCell ref="H68:I68"/>
    <mergeCell ref="M68:O68"/>
    <mergeCell ref="A70:V70"/>
  </mergeCells>
  <conditionalFormatting sqref="A3">
    <cfRule type="expression" priority="2" aboveAverage="0" equalAverage="0" bottom="0" percent="0" rank="0" text="" dxfId="3">
      <formula>LEFT($A$3,3)="MÊS"</formula>
    </cfRule>
  </conditionalFormatting>
  <conditionalFormatting sqref="A22:I60">
    <cfRule type="expression" priority="3" aboveAverage="0" equalAverage="0" bottom="0" percent="0" rank="0" text="" dxfId="4">
      <formula>ISNUMBER(SEARCH("-REU-",$A22))</formula>
    </cfRule>
  </conditionalFormatting>
  <conditionalFormatting sqref="S22:S143">
    <cfRule type="expression" priority="4" aboveAverage="0" equalAverage="0" bottom="0" percent="0" rank="0" text="" dxfId="5">
      <formula>$S22="Aprovada"</formula>
    </cfRule>
    <cfRule type="expression" priority="5" aboveAverage="0" equalAverage="0" bottom="0" percent="0" rank="0" text="" dxfId="6">
      <formula>$S22="Entregue"</formula>
    </cfRule>
    <cfRule type="expression" priority="6" aboveAverage="0" equalAverage="0" bottom="0" percent="0" rank="0" text="" dxfId="7">
      <formula>$S22="Atrasada"</formula>
    </cfRule>
    <cfRule type="expression" priority="7" aboveAverage="0" equalAverage="0" bottom="0" percent="0" rank="0" text="" dxfId="8">
      <formula>$S22="Reprovada"</formula>
    </cfRule>
    <cfRule type="expression" priority="8" aboveAverage="0" equalAverage="0" bottom="0" percent="0" rank="0" text="" dxfId="9">
      <formula>$S22="Pendente"</formula>
    </cfRule>
    <cfRule type="expression" priority="9" aboveAverage="0" equalAverage="0" bottom="0" percent="0" rank="0" text="" dxfId="10">
      <formula>$S22="Cancelada"</formula>
    </cfRule>
  </conditionalFormatting>
  <conditionalFormatting sqref="B6:O17">
    <cfRule type="expression" priority="10" aboveAverage="0" equalAverage="0" bottom="0" percent="0" rank="0" text="" dxfId="11">
      <formula>AND(B6&lt;&gt;"",B6=TODAY())</formula>
    </cfRule>
    <cfRule type="expression" priority="11" aboveAverage="0" equalAverage="0" bottom="0" percent="0" rank="0" text="" dxfId="12">
      <formula>AND(B6&lt;&gt;"",COUNTIFS($C$22:$C$143,B6,$S$22:$S$143,"Atrasada")&gt;0)</formula>
    </cfRule>
    <cfRule type="expression" priority="12" aboveAverage="0" equalAverage="0" bottom="0" percent="0" rank="0" text="" dxfId="13">
      <formula>AND(B6&lt;&gt;"",COUNTIFS($C$22:$C$143,B6,$Q$22:$Q$143,"&lt;&gt;Cancelada")&gt;0)</formula>
    </cfRule>
  </conditionalFormatting>
  <dataValidations count="1">
    <dataValidation allowBlank="true" errorStyle="stop" operator="between" showDropDown="false" showErrorMessage="false" showInputMessage="false" sqref="Q22:Q143" type="list">
      <formula1>"Aprovado,Reprovado,Cancelada"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X63"/>
  <sheetViews>
    <sheetView showFormulas="false" showGridLines="fals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A53" activeCellId="0" sqref="A5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.57"/>
    <col collapsed="false" customWidth="true" hidden="false" outlineLevel="0" max="3" min="3" style="0" width="10.57"/>
    <col collapsed="false" customWidth="true" hidden="false" outlineLevel="0" max="6" min="4" style="0" width="12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true" outlineLevel="0" max="11" min="11" style="0" width="8"/>
    <col collapsed="false" customWidth="true" hidden="true" outlineLevel="0" max="12" min="12" style="0" width="9.57"/>
    <col collapsed="false" customWidth="true" hidden="false" outlineLevel="0" max="16" min="13" style="0" width="12"/>
    <col collapsed="false" customWidth="true" hidden="false" outlineLevel="0" max="17" min="17" style="0" width="11.43"/>
    <col collapsed="false" customWidth="true" hidden="false" outlineLevel="0" max="18" min="18" style="0" width="17"/>
    <col collapsed="false" customWidth="true" hidden="false" outlineLevel="0" max="19" min="19" style="0" width="12.42"/>
    <col collapsed="false" customWidth="true" hidden="false" outlineLevel="0" max="22" min="20" style="0" width="3.42"/>
    <col collapsed="false" customWidth="true" hidden="true" outlineLevel="0" max="24" min="24" style="0" width="4"/>
  </cols>
  <sheetData>
    <row r="1" customFormat="false" ht="45.7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X1" s="43" t="n">
        <v>46235</v>
      </c>
    </row>
    <row r="2" customFormat="false" ht="4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X2" s="44" t="s">
        <v>146</v>
      </c>
    </row>
    <row r="3" customFormat="false" ht="15" hidden="false" customHeight="false" outlineLevel="0" collapsed="false">
      <c r="A3" s="5" t="str">
        <f aca="false">IF((COUNTIF($S$22:$S$136,"Aprovada")+COUNTIF($S$22:$S$136,"Entregue")+COUNTIF($S$22:$S$136,"Pendente")+COUNTIF($S$22:$S$136,"Atrasada")+COUNTIF($S$22:$S$136,"Reprovada"))=0,"",IF(COUNTIF($S$22:$S$136,"Aprovada")=(COUNTIF($S$22:$S$136,"Aprovada")+COUNTIF($S$22:$S$136,"Entregue")+COUNTIF($S$22:$S$136,"Pendente")+COUNTIF($S$22:$S$136,"Atrasada")+COUNTIF($S$22:$S$136,"Reprovada")),"MÊS CONCLUÍDO — todas as atividades aprovadas","EM ANDAMENTO — "&amp;COUNTIF($S$22:$S$136,"Aprovada")&amp;" de "&amp;(COUNTIF($S$22:$S$136,"Aprovada")+COUNTIF($S$22:$S$136,"Entregue")+COUNTIF($S$22:$S$136,"Pendente")+COUNTIF($S$22:$S$136,"Atrasada")+COUNTIF($S$22:$S$136,"Reprovada"))&amp;" atividades aprovadas · "&amp;COUNTIF($S$22:$S$136,"Atrasada")&amp;" em atraso"))</f>
        <v>EM ANDAMENTO — 0 de 32 atividades aprovadas · 3 em atraso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8" hidden="false" customHeight="true" outlineLevel="0" collapsed="false">
      <c r="B5" s="40" t="s">
        <v>119</v>
      </c>
      <c r="C5" s="40"/>
      <c r="D5" s="40" t="s">
        <v>120</v>
      </c>
      <c r="E5" s="40"/>
      <c r="F5" s="40" t="s">
        <v>121</v>
      </c>
      <c r="G5" s="40"/>
      <c r="H5" s="40" t="s">
        <v>3</v>
      </c>
      <c r="I5" s="40"/>
      <c r="J5" s="40" t="s">
        <v>6</v>
      </c>
      <c r="K5" s="40"/>
      <c r="L5" s="45" t="s">
        <v>9</v>
      </c>
      <c r="M5" s="45"/>
      <c r="N5" s="40" t="s">
        <v>122</v>
      </c>
      <c r="O5" s="40"/>
    </row>
    <row r="6" customFormat="false" ht="15" hidden="false" customHeight="true" outlineLevel="0" collapsed="false">
      <c r="B6" s="46" t="str">
        <f aca="false">IF(MONTH($X$1-WEEKDAY($X$1)+1+0)=MONTH($X$1),$X$1-WEEKDAY($X$1)+1+0,"")</f>
        <v/>
      </c>
      <c r="C6" s="46"/>
      <c r="D6" s="46" t="str">
        <f aca="false">IF(MONTH($X$1-WEEKDAY($X$1)+1+1)=MONTH($X$1),$X$1-WEEKDAY($X$1)+1+1,"")</f>
        <v/>
      </c>
      <c r="E6" s="46"/>
      <c r="F6" s="46" t="str">
        <f aca="false">IF(MONTH($X$1-WEEKDAY($X$1)+1+2)=MONTH($X$1),$X$1-WEEKDAY($X$1)+1+2,"")</f>
        <v/>
      </c>
      <c r="G6" s="46"/>
      <c r="H6" s="46" t="str">
        <f aca="false">IF(MONTH($X$1-WEEKDAY($X$1)+1+3)=MONTH($X$1),$X$1-WEEKDAY($X$1)+1+3,"")</f>
        <v/>
      </c>
      <c r="I6" s="46"/>
      <c r="J6" s="46" t="str">
        <f aca="false">IF(MONTH($X$1-WEEKDAY($X$1)+1+4)=MONTH($X$1),$X$1-WEEKDAY($X$1)+1+4,"")</f>
        <v/>
      </c>
      <c r="K6" s="46"/>
      <c r="L6" s="46" t="str">
        <f aca="false">IF(MONTH($X$1-WEEKDAY($X$1)+1+5)=MONTH($X$1),$X$1-WEEKDAY($X$1)+1+5,"")</f>
        <v/>
      </c>
      <c r="M6" s="46"/>
      <c r="N6" s="46" t="n">
        <f aca="false">IF(MONTH($X$1-WEEKDAY($X$1)+1+6)=MONTH($X$1),$X$1-WEEKDAY($X$1)+1+6,"")</f>
        <v>46235</v>
      </c>
      <c r="O6" s="46"/>
    </row>
    <row r="7" customFormat="false" ht="25.5" hidden="false" customHeight="true" outlineLevel="0" collapsed="false">
      <c r="B7" s="47" t="str">
        <f aca="false">IF(B6="","",TRIM(IF(COUNTIFS($C$22:$C$136,B6,$D$22:$D$136,"*Vistoria*",$Q$22:$Q$136,"&lt;&gt;Cancelada")&gt;0,"Vistoria ","")&amp;IF(COUNTIFS($C$22:$C$136,B6,$D$22:$D$136,"*Relatório*",$Q$22:$Q$136,"&lt;&gt;Cancelada")&gt;0,"Relatório ","")&amp;IF(COUNTIFS($C$22:$C$136,B6,$D$22:$D$136,"*Reunião*",$Q$22:$Q$136,"&lt;&gt;Cancelada")&gt;0,"REUNIÃO ","")&amp;IF(COUNTIFS($C$22:$C$136,B6,$D$22:$D$136,"*Férias*",$Q$22:$Q$136,"&lt;&gt;Cancelada")&gt;0,"Férias ","")&amp;IF(COUNTIFS($C$22:$C$136,B6,$D$22:$D$136,"*Mudança*",$Q$22:$Q$136,"&lt;&gt;Cancelada")&gt;0,"M.Função ","")&amp;IF(COUNTIFS($C$22:$C$136,B6,$D$22:$D$136,"*Treinamento*",$Q$22:$Q$136,"&lt;&gt;Cancelada")&gt;0,"Trein. ","")))</f>
        <v/>
      </c>
      <c r="C7" s="47"/>
      <c r="D7" s="47" t="str">
        <f aca="false">IF(D6="","",TRIM(IF(COUNTIFS($C$22:$C$136,D6,$D$22:$D$136,"*Vistoria*",$Q$22:$Q$136,"&lt;&gt;Cancelada")&gt;0,"Vistoria ","")&amp;IF(COUNTIFS($C$22:$C$136,D6,$D$22:$D$136,"*Relatório*",$Q$22:$Q$136,"&lt;&gt;Cancelada")&gt;0,"Relatório ","")&amp;IF(COUNTIFS($C$22:$C$136,D6,$D$22:$D$136,"*Reunião*",$Q$22:$Q$136,"&lt;&gt;Cancelada")&gt;0,"REUNIÃO ","")&amp;IF(COUNTIFS($C$22:$C$136,D6,$D$22:$D$136,"*Férias*",$Q$22:$Q$136,"&lt;&gt;Cancelada")&gt;0,"Férias ","")&amp;IF(COUNTIFS($C$22:$C$136,D6,$D$22:$D$136,"*Mudança*",$Q$22:$Q$136,"&lt;&gt;Cancelada")&gt;0,"M.Função ","")&amp;IF(COUNTIFS($C$22:$C$136,D6,$D$22:$D$136,"*Treinamento*",$Q$22:$Q$136,"&lt;&gt;Cancelada")&gt;0,"Trein. ","")))</f>
        <v/>
      </c>
      <c r="E7" s="47"/>
      <c r="F7" s="47" t="str">
        <f aca="false">IF(F6="","",TRIM(IF(COUNTIFS($C$22:$C$136,F6,$D$22:$D$136,"*Vistoria*",$Q$22:$Q$136,"&lt;&gt;Cancelada")&gt;0,"Vistoria ","")&amp;IF(COUNTIFS($C$22:$C$136,F6,$D$22:$D$136,"*Relatório*",$Q$22:$Q$136,"&lt;&gt;Cancelada")&gt;0,"Relatório ","")&amp;IF(COUNTIFS($C$22:$C$136,F6,$D$22:$D$136,"*Reunião*",$Q$22:$Q$136,"&lt;&gt;Cancelada")&gt;0,"REUNIÃO ","")&amp;IF(COUNTIFS($C$22:$C$136,F6,$D$22:$D$136,"*Férias*",$Q$22:$Q$136,"&lt;&gt;Cancelada")&gt;0,"Férias ","")&amp;IF(COUNTIFS($C$22:$C$136,F6,$D$22:$D$136,"*Mudança*",$Q$22:$Q$136,"&lt;&gt;Cancelada")&gt;0,"M.Função ","")&amp;IF(COUNTIFS($C$22:$C$136,F6,$D$22:$D$136,"*Treinamento*",$Q$22:$Q$136,"&lt;&gt;Cancelada")&gt;0,"Trein. ","")))</f>
        <v/>
      </c>
      <c r="G7" s="47"/>
      <c r="H7" s="47" t="str">
        <f aca="false">IF(H6="","",TRIM(IF(COUNTIFS($C$22:$C$136,H6,$D$22:$D$136,"*Vistoria*",$Q$22:$Q$136,"&lt;&gt;Cancelada")&gt;0,"Vistoria ","")&amp;IF(COUNTIFS($C$22:$C$136,H6,$D$22:$D$136,"*Relatório*",$Q$22:$Q$136,"&lt;&gt;Cancelada")&gt;0,"Relatório ","")&amp;IF(COUNTIFS($C$22:$C$136,H6,$D$22:$D$136,"*Reunião*",$Q$22:$Q$136,"&lt;&gt;Cancelada")&gt;0,"REUNIÃO ","")&amp;IF(COUNTIFS($C$22:$C$136,H6,$D$22:$D$136,"*Férias*",$Q$22:$Q$136,"&lt;&gt;Cancelada")&gt;0,"Férias ","")&amp;IF(COUNTIFS($C$22:$C$136,H6,$D$22:$D$136,"*Mudança*",$Q$22:$Q$136,"&lt;&gt;Cancelada")&gt;0,"M.Função ","")&amp;IF(COUNTIFS($C$22:$C$136,H6,$D$22:$D$136,"*Treinamento*",$Q$22:$Q$136,"&lt;&gt;Cancelada")&gt;0,"Trein. ","")))</f>
        <v/>
      </c>
      <c r="I7" s="47"/>
      <c r="J7" s="47" t="str">
        <f aca="false">IF(J6="","",TRIM(IF(COUNTIFS($C$22:$C$136,J6,$D$22:$D$136,"*Vistoria*",$Q$22:$Q$136,"&lt;&gt;Cancelada")&gt;0,"Vistoria ","")&amp;IF(COUNTIFS($C$22:$C$136,J6,$D$22:$D$136,"*Relatório*",$Q$22:$Q$136,"&lt;&gt;Cancelada")&gt;0,"Relatório ","")&amp;IF(COUNTIFS($C$22:$C$136,J6,$D$22:$D$136,"*Reunião*",$Q$22:$Q$136,"&lt;&gt;Cancelada")&gt;0,"REUNIÃO ","")&amp;IF(COUNTIFS($C$22:$C$136,J6,$D$22:$D$136,"*Férias*",$Q$22:$Q$136,"&lt;&gt;Cancelada")&gt;0,"Férias ","")&amp;IF(COUNTIFS($C$22:$C$136,J6,$D$22:$D$136,"*Mudança*",$Q$22:$Q$136,"&lt;&gt;Cancelada")&gt;0,"M.Função ","")&amp;IF(COUNTIFS($C$22:$C$136,J6,$D$22:$D$136,"*Treinamento*",$Q$22:$Q$136,"&lt;&gt;Cancelada")&gt;0,"Trein. ","")))</f>
        <v/>
      </c>
      <c r="K7" s="47"/>
      <c r="L7" s="47" t="str">
        <f aca="false">IF(L6="","",TRIM(IF(COUNTIFS($C$22:$C$136,L6,$D$22:$D$136,"*Vistoria*",$Q$22:$Q$136,"&lt;&gt;Cancelada")&gt;0,"Vistoria ","")&amp;IF(COUNTIFS($C$22:$C$136,L6,$D$22:$D$136,"*Relatório*",$Q$22:$Q$136,"&lt;&gt;Cancelada")&gt;0,"Relatório ","")&amp;IF(COUNTIFS($C$22:$C$136,L6,$D$22:$D$136,"*Reunião*",$Q$22:$Q$136,"&lt;&gt;Cancelada")&gt;0,"REUNIÃO ","")&amp;IF(COUNTIFS($C$22:$C$136,L6,$D$22:$D$136,"*Férias*",$Q$22:$Q$136,"&lt;&gt;Cancelada")&gt;0,"Férias ","")&amp;IF(COUNTIFS($C$22:$C$136,L6,$D$22:$D$136,"*Mudança*",$Q$22:$Q$136,"&lt;&gt;Cancelada")&gt;0,"M.Função ","")&amp;IF(COUNTIFS($C$22:$C$136,L6,$D$22:$D$136,"*Treinamento*",$Q$22:$Q$136,"&lt;&gt;Cancelada")&gt;0,"Trein. ","")))</f>
        <v/>
      </c>
      <c r="M7" s="47"/>
      <c r="N7" s="47" t="str">
        <f aca="false">IF(N6="","",TRIM(IF(COUNTIFS($C$22:$C$136,N6,$D$22:$D$136,"*Vistoria*",$Q$22:$Q$136,"&lt;&gt;Cancelada")&gt;0,"Vistoria ","")&amp;IF(COUNTIFS($C$22:$C$136,N6,$D$22:$D$136,"*Relatório*",$Q$22:$Q$136,"&lt;&gt;Cancelada")&gt;0,"Relatório ","")&amp;IF(COUNTIFS($C$22:$C$136,N6,$D$22:$D$136,"*Reunião*",$Q$22:$Q$136,"&lt;&gt;Cancelada")&gt;0,"REUNIÃO ","")&amp;IF(COUNTIFS($C$22:$C$136,N6,$D$22:$D$136,"*Férias*",$Q$22:$Q$136,"&lt;&gt;Cancelada")&gt;0,"Férias ","")&amp;IF(COUNTIFS($C$22:$C$136,N6,$D$22:$D$136,"*Mudança*",$Q$22:$Q$136,"&lt;&gt;Cancelada")&gt;0,"M.Função ","")&amp;IF(COUNTIFS($C$22:$C$136,N6,$D$22:$D$136,"*Treinamento*",$Q$22:$Q$136,"&lt;&gt;Cancelada")&gt;0,"Trein. ","")))</f>
        <v/>
      </c>
      <c r="O7" s="47"/>
    </row>
    <row r="8" customFormat="false" ht="15" hidden="false" customHeight="true" outlineLevel="0" collapsed="false">
      <c r="B8" s="46" t="n">
        <f aca="false">IF(MONTH($X$1-WEEKDAY($X$1)+1+7)=MONTH($X$1),$X$1-WEEKDAY($X$1)+1+7,"")</f>
        <v>46236</v>
      </c>
      <c r="C8" s="46"/>
      <c r="D8" s="46" t="n">
        <f aca="false">IF(MONTH($X$1-WEEKDAY($X$1)+1+8)=MONTH($X$1),$X$1-WEEKDAY($X$1)+1+8,"")</f>
        <v>46237</v>
      </c>
      <c r="E8" s="46"/>
      <c r="F8" s="46" t="n">
        <f aca="false">IF(MONTH($X$1-WEEKDAY($X$1)+1+9)=MONTH($X$1),$X$1-WEEKDAY($X$1)+1+9,"")</f>
        <v>46238</v>
      </c>
      <c r="G8" s="46"/>
      <c r="H8" s="46" t="n">
        <f aca="false">IF(MONTH($X$1-WEEKDAY($X$1)+1+10)=MONTH($X$1),$X$1-WEEKDAY($X$1)+1+10,"")</f>
        <v>46239</v>
      </c>
      <c r="I8" s="46"/>
      <c r="J8" s="46" t="n">
        <f aca="false">IF(MONTH($X$1-WEEKDAY($X$1)+1+11)=MONTH($X$1),$X$1-WEEKDAY($X$1)+1+11,"")</f>
        <v>46240</v>
      </c>
      <c r="K8" s="46"/>
      <c r="L8" s="46" t="n">
        <f aca="false">IF(MONTH($X$1-WEEKDAY($X$1)+1+12)=MONTH($X$1),$X$1-WEEKDAY($X$1)+1+12,"")</f>
        <v>46241</v>
      </c>
      <c r="M8" s="46"/>
      <c r="N8" s="46" t="n">
        <f aca="false">IF(MONTH($X$1-WEEKDAY($X$1)+1+13)=MONTH($X$1),$X$1-WEEKDAY($X$1)+1+13,"")</f>
        <v>46242</v>
      </c>
      <c r="O8" s="46"/>
    </row>
    <row r="9" customFormat="false" ht="25.5" hidden="false" customHeight="true" outlineLevel="0" collapsed="false">
      <c r="B9" s="47" t="str">
        <f aca="false">IF(B8="","",TRIM(IF(COUNTIFS($C$22:$C$136,B8,$D$22:$D$136,"*Vistoria*",$Q$22:$Q$136,"&lt;&gt;Cancelada")&gt;0,"Vistoria ","")&amp;IF(COUNTIFS($C$22:$C$136,B8,$D$22:$D$136,"*Relatório*",$Q$22:$Q$136,"&lt;&gt;Cancelada")&gt;0,"Relatório ","")&amp;IF(COUNTIFS($C$22:$C$136,B8,$D$22:$D$136,"*Reunião*",$Q$22:$Q$136,"&lt;&gt;Cancelada")&gt;0,"REUNIÃO ","")&amp;IF(COUNTIFS($C$22:$C$136,B8,$D$22:$D$136,"*Férias*",$Q$22:$Q$136,"&lt;&gt;Cancelada")&gt;0,"Férias ","")&amp;IF(COUNTIFS($C$22:$C$136,B8,$D$22:$D$136,"*Mudança*",$Q$22:$Q$136,"&lt;&gt;Cancelada")&gt;0,"M.Função ","")&amp;IF(COUNTIFS($C$22:$C$136,B8,$D$22:$D$136,"*Treinamento*",$Q$22:$Q$136,"&lt;&gt;Cancelada")&gt;0,"Trein. ","")))</f>
        <v/>
      </c>
      <c r="C9" s="47"/>
      <c r="D9" s="47" t="str">
        <f aca="false">IF(D8="","",TRIM(IF(COUNTIFS($C$22:$C$136,D8,$D$22:$D$136,"*Vistoria*",$Q$22:$Q$136,"&lt;&gt;Cancelada")&gt;0,"Vistoria ","")&amp;IF(COUNTIFS($C$22:$C$136,D8,$D$22:$D$136,"*Relatório*",$Q$22:$Q$136,"&lt;&gt;Cancelada")&gt;0,"Relatório ","")&amp;IF(COUNTIFS($C$22:$C$136,D8,$D$22:$D$136,"*Reunião*",$Q$22:$Q$136,"&lt;&gt;Cancelada")&gt;0,"REUNIÃO ","")&amp;IF(COUNTIFS($C$22:$C$136,D8,$D$22:$D$136,"*Férias*",$Q$22:$Q$136,"&lt;&gt;Cancelada")&gt;0,"Férias ","")&amp;IF(COUNTIFS($C$22:$C$136,D8,$D$22:$D$136,"*Mudança*",$Q$22:$Q$136,"&lt;&gt;Cancelada")&gt;0,"M.Função ","")&amp;IF(COUNTIFS($C$22:$C$136,D8,$D$22:$D$136,"*Treinamento*",$Q$22:$Q$136,"&lt;&gt;Cancelada")&gt;0,"Trein. ","")))</f>
        <v>Férias</v>
      </c>
      <c r="E9" s="47"/>
      <c r="F9" s="47" t="str">
        <f aca="false">IF(F8="","",TRIM(IF(COUNTIFS($C$22:$C$136,F8,$D$22:$D$136,"*Vistoria*",$Q$22:$Q$136,"&lt;&gt;Cancelada")&gt;0,"Vistoria ","")&amp;IF(COUNTIFS($C$22:$C$136,F8,$D$22:$D$136,"*Relatório*",$Q$22:$Q$136,"&lt;&gt;Cancelada")&gt;0,"Relatório ","")&amp;IF(COUNTIFS($C$22:$C$136,F8,$D$22:$D$136,"*Reunião*",$Q$22:$Q$136,"&lt;&gt;Cancelada")&gt;0,"REUNIÃO ","")&amp;IF(COUNTIFS($C$22:$C$136,F8,$D$22:$D$136,"*Férias*",$Q$22:$Q$136,"&lt;&gt;Cancelada")&gt;0,"Férias ","")&amp;IF(COUNTIFS($C$22:$C$136,F8,$D$22:$D$136,"*Mudança*",$Q$22:$Q$136,"&lt;&gt;Cancelada")&gt;0,"M.Função ","")&amp;IF(COUNTIFS($C$22:$C$136,F8,$D$22:$D$136,"*Treinamento*",$Q$22:$Q$136,"&lt;&gt;Cancelada")&gt;0,"Trein. ","")))</f>
        <v/>
      </c>
      <c r="G9" s="47"/>
      <c r="H9" s="47" t="str">
        <f aca="false">IF(H8="","",TRIM(IF(COUNTIFS($C$22:$C$136,H8,$D$22:$D$136,"*Vistoria*",$Q$22:$Q$136,"&lt;&gt;Cancelada")&gt;0,"Vistoria ","")&amp;IF(COUNTIFS($C$22:$C$136,H8,$D$22:$D$136,"*Relatório*",$Q$22:$Q$136,"&lt;&gt;Cancelada")&gt;0,"Relatório ","")&amp;IF(COUNTIFS($C$22:$C$136,H8,$D$22:$D$136,"*Reunião*",$Q$22:$Q$136,"&lt;&gt;Cancelada")&gt;0,"REUNIÃO ","")&amp;IF(COUNTIFS($C$22:$C$136,H8,$D$22:$D$136,"*Férias*",$Q$22:$Q$136,"&lt;&gt;Cancelada")&gt;0,"Férias ","")&amp;IF(COUNTIFS($C$22:$C$136,H8,$D$22:$D$136,"*Mudança*",$Q$22:$Q$136,"&lt;&gt;Cancelada")&gt;0,"M.Função ","")&amp;IF(COUNTIFS($C$22:$C$136,H8,$D$22:$D$136,"*Treinamento*",$Q$22:$Q$136,"&lt;&gt;Cancelada")&gt;0,"Trein. ","")))</f>
        <v>Vistoria</v>
      </c>
      <c r="I9" s="47"/>
      <c r="J9" s="47" t="str">
        <f aca="false">IF(J8="","",TRIM(IF(COUNTIFS($C$22:$C$136,J8,$D$22:$D$136,"*Vistoria*",$Q$22:$Q$136,"&lt;&gt;Cancelada")&gt;0,"Vistoria ","")&amp;IF(COUNTIFS($C$22:$C$136,J8,$D$22:$D$136,"*Relatório*",$Q$22:$Q$136,"&lt;&gt;Cancelada")&gt;0,"Relatório ","")&amp;IF(COUNTIFS($C$22:$C$136,J8,$D$22:$D$136,"*Reunião*",$Q$22:$Q$136,"&lt;&gt;Cancelada")&gt;0,"REUNIÃO ","")&amp;IF(COUNTIFS($C$22:$C$136,J8,$D$22:$D$136,"*Férias*",$Q$22:$Q$136,"&lt;&gt;Cancelada")&gt;0,"Férias ","")&amp;IF(COUNTIFS($C$22:$C$136,J8,$D$22:$D$136,"*Mudança*",$Q$22:$Q$136,"&lt;&gt;Cancelada")&gt;0,"M.Função ","")&amp;IF(COUNTIFS($C$22:$C$136,J8,$D$22:$D$136,"*Treinamento*",$Q$22:$Q$136,"&lt;&gt;Cancelada")&gt;0,"Trein. ","")))</f>
        <v>Relatório</v>
      </c>
      <c r="K9" s="47"/>
      <c r="L9" s="47" t="str">
        <f aca="false">IF(L8="","",TRIM(IF(COUNTIFS($C$22:$C$136,L8,$D$22:$D$136,"*Vistoria*",$Q$22:$Q$136,"&lt;&gt;Cancelada")&gt;0,"Vistoria ","")&amp;IF(COUNTIFS($C$22:$C$136,L8,$D$22:$D$136,"*Relatório*",$Q$22:$Q$136,"&lt;&gt;Cancelada")&gt;0,"Relatório ","")&amp;IF(COUNTIFS($C$22:$C$136,L8,$D$22:$D$136,"*Reunião*",$Q$22:$Q$136,"&lt;&gt;Cancelada")&gt;0,"REUNIÃO ","")&amp;IF(COUNTIFS($C$22:$C$136,L8,$D$22:$D$136,"*Férias*",$Q$22:$Q$136,"&lt;&gt;Cancelada")&gt;0,"Férias ","")&amp;IF(COUNTIFS($C$22:$C$136,L8,$D$22:$D$136,"*Mudança*",$Q$22:$Q$136,"&lt;&gt;Cancelada")&gt;0,"M.Função ","")&amp;IF(COUNTIFS($C$22:$C$136,L8,$D$22:$D$136,"*Treinamento*",$Q$22:$Q$136,"&lt;&gt;Cancelada")&gt;0,"Trein. ","")))</f>
        <v>REUNIÃO</v>
      </c>
      <c r="M9" s="47"/>
      <c r="N9" s="47" t="str">
        <f aca="false">IF(N8="","",TRIM(IF(COUNTIFS($C$22:$C$136,N8,$D$22:$D$136,"*Vistoria*",$Q$22:$Q$136,"&lt;&gt;Cancelada")&gt;0,"Vistoria ","")&amp;IF(COUNTIFS($C$22:$C$136,N8,$D$22:$D$136,"*Relatório*",$Q$22:$Q$136,"&lt;&gt;Cancelada")&gt;0,"Relatório ","")&amp;IF(COUNTIFS($C$22:$C$136,N8,$D$22:$D$136,"*Reunião*",$Q$22:$Q$136,"&lt;&gt;Cancelada")&gt;0,"REUNIÃO ","")&amp;IF(COUNTIFS($C$22:$C$136,N8,$D$22:$D$136,"*Férias*",$Q$22:$Q$136,"&lt;&gt;Cancelada")&gt;0,"Férias ","")&amp;IF(COUNTIFS($C$22:$C$136,N8,$D$22:$D$136,"*Mudança*",$Q$22:$Q$136,"&lt;&gt;Cancelada")&gt;0,"M.Função ","")&amp;IF(COUNTIFS($C$22:$C$136,N8,$D$22:$D$136,"*Treinamento*",$Q$22:$Q$136,"&lt;&gt;Cancelada")&gt;0,"Trein. ","")))</f>
        <v/>
      </c>
      <c r="O9" s="47"/>
    </row>
    <row r="10" customFormat="false" ht="15" hidden="false" customHeight="true" outlineLevel="0" collapsed="false">
      <c r="B10" s="46" t="n">
        <f aca="false">IF(MONTH($X$1-WEEKDAY($X$1)+1+14)=MONTH($X$1),$X$1-WEEKDAY($X$1)+1+14,"")</f>
        <v>46243</v>
      </c>
      <c r="C10" s="46"/>
      <c r="D10" s="46" t="n">
        <f aca="false">IF(MONTH($X$1-WEEKDAY($X$1)+1+15)=MONTH($X$1),$X$1-WEEKDAY($X$1)+1+15,"")</f>
        <v>46244</v>
      </c>
      <c r="E10" s="46"/>
      <c r="F10" s="46" t="n">
        <f aca="false">IF(MONTH($X$1-WEEKDAY($X$1)+1+16)=MONTH($X$1),$X$1-WEEKDAY($X$1)+1+16,"")</f>
        <v>46245</v>
      </c>
      <c r="G10" s="46"/>
      <c r="H10" s="46" t="n">
        <f aca="false">IF(MONTH($X$1-WEEKDAY($X$1)+1+17)=MONTH($X$1),$X$1-WEEKDAY($X$1)+1+17,"")</f>
        <v>46246</v>
      </c>
      <c r="I10" s="46"/>
      <c r="J10" s="46" t="n">
        <f aca="false">IF(MONTH($X$1-WEEKDAY($X$1)+1+18)=MONTH($X$1),$X$1-WEEKDAY($X$1)+1+18,"")</f>
        <v>46247</v>
      </c>
      <c r="K10" s="46"/>
      <c r="L10" s="46" t="n">
        <f aca="false">IF(MONTH($X$1-WEEKDAY($X$1)+1+19)=MONTH($X$1),$X$1-WEEKDAY($X$1)+1+19,"")</f>
        <v>46248</v>
      </c>
      <c r="M10" s="46"/>
      <c r="N10" s="46" t="n">
        <f aca="false">IF(MONTH($X$1-WEEKDAY($X$1)+1+20)=MONTH($X$1),$X$1-WEEKDAY($X$1)+1+20,"")</f>
        <v>46249</v>
      </c>
      <c r="O10" s="46"/>
    </row>
    <row r="11" customFormat="false" ht="25.5" hidden="false" customHeight="true" outlineLevel="0" collapsed="false">
      <c r="B11" s="47" t="str">
        <f aca="false">IF(B10="","",TRIM(IF(COUNTIFS($C$22:$C$136,B10,$D$22:$D$136,"*Vistoria*",$Q$22:$Q$136,"&lt;&gt;Cancelada")&gt;0,"Vistoria ","")&amp;IF(COUNTIFS($C$22:$C$136,B10,$D$22:$D$136,"*Relatório*",$Q$22:$Q$136,"&lt;&gt;Cancelada")&gt;0,"Relatório ","")&amp;IF(COUNTIFS($C$22:$C$136,B10,$D$22:$D$136,"*Reunião*",$Q$22:$Q$136,"&lt;&gt;Cancelada")&gt;0,"REUNIÃO ","")&amp;IF(COUNTIFS($C$22:$C$136,B10,$D$22:$D$136,"*Férias*",$Q$22:$Q$136,"&lt;&gt;Cancelada")&gt;0,"Férias ","")&amp;IF(COUNTIFS($C$22:$C$136,B10,$D$22:$D$136,"*Mudança*",$Q$22:$Q$136,"&lt;&gt;Cancelada")&gt;0,"M.Função ","")&amp;IF(COUNTIFS($C$22:$C$136,B10,$D$22:$D$136,"*Treinamento*",$Q$22:$Q$136,"&lt;&gt;Cancelada")&gt;0,"Trein. ","")))</f>
        <v/>
      </c>
      <c r="C11" s="47"/>
      <c r="D11" s="47" t="str">
        <f aca="false">IF(D10="","",TRIM(IF(COUNTIFS($C$22:$C$136,D10,$D$22:$D$136,"*Vistoria*",$Q$22:$Q$136,"&lt;&gt;Cancelada")&gt;0,"Vistoria ","")&amp;IF(COUNTIFS($C$22:$C$136,D10,$D$22:$D$136,"*Relatório*",$Q$22:$Q$136,"&lt;&gt;Cancelada")&gt;0,"Relatório ","")&amp;IF(COUNTIFS($C$22:$C$136,D10,$D$22:$D$136,"*Reunião*",$Q$22:$Q$136,"&lt;&gt;Cancelada")&gt;0,"REUNIÃO ","")&amp;IF(COUNTIFS($C$22:$C$136,D10,$D$22:$D$136,"*Férias*",$Q$22:$Q$136,"&lt;&gt;Cancelada")&gt;0,"Férias ","")&amp;IF(COUNTIFS($C$22:$C$136,D10,$D$22:$D$136,"*Mudança*",$Q$22:$Q$136,"&lt;&gt;Cancelada")&gt;0,"M.Função ","")&amp;IF(COUNTIFS($C$22:$C$136,D10,$D$22:$D$136,"*Treinamento*",$Q$22:$Q$136,"&lt;&gt;Cancelada")&gt;0,"Trein. ","")))</f>
        <v/>
      </c>
      <c r="E11" s="47"/>
      <c r="F11" s="47" t="str">
        <f aca="false">IF(F10="","",TRIM(IF(COUNTIFS($C$22:$C$136,F10,$D$22:$D$136,"*Vistoria*",$Q$22:$Q$136,"&lt;&gt;Cancelada")&gt;0,"Vistoria ","")&amp;IF(COUNTIFS($C$22:$C$136,F10,$D$22:$D$136,"*Relatório*",$Q$22:$Q$136,"&lt;&gt;Cancelada")&gt;0,"Relatório ","")&amp;IF(COUNTIFS($C$22:$C$136,F10,$D$22:$D$136,"*Reunião*",$Q$22:$Q$136,"&lt;&gt;Cancelada")&gt;0,"REUNIÃO ","")&amp;IF(COUNTIFS($C$22:$C$136,F10,$D$22:$D$136,"*Férias*",$Q$22:$Q$136,"&lt;&gt;Cancelada")&gt;0,"Férias ","")&amp;IF(COUNTIFS($C$22:$C$136,F10,$D$22:$D$136,"*Mudança*",$Q$22:$Q$136,"&lt;&gt;Cancelada")&gt;0,"M.Função ","")&amp;IF(COUNTIFS($C$22:$C$136,F10,$D$22:$D$136,"*Treinamento*",$Q$22:$Q$136,"&lt;&gt;Cancelada")&gt;0,"Trein. ","")))</f>
        <v/>
      </c>
      <c r="G11" s="47"/>
      <c r="H11" s="47" t="str">
        <f aca="false">IF(H10="","",TRIM(IF(COUNTIFS($C$22:$C$136,H10,$D$22:$D$136,"*Vistoria*",$Q$22:$Q$136,"&lt;&gt;Cancelada")&gt;0,"Vistoria ","")&amp;IF(COUNTIFS($C$22:$C$136,H10,$D$22:$D$136,"*Relatório*",$Q$22:$Q$136,"&lt;&gt;Cancelada")&gt;0,"Relatório ","")&amp;IF(COUNTIFS($C$22:$C$136,H10,$D$22:$D$136,"*Reunião*",$Q$22:$Q$136,"&lt;&gt;Cancelada")&gt;0,"REUNIÃO ","")&amp;IF(COUNTIFS($C$22:$C$136,H10,$D$22:$D$136,"*Férias*",$Q$22:$Q$136,"&lt;&gt;Cancelada")&gt;0,"Férias ","")&amp;IF(COUNTIFS($C$22:$C$136,H10,$D$22:$D$136,"*Mudança*",$Q$22:$Q$136,"&lt;&gt;Cancelada")&gt;0,"M.Função ","")&amp;IF(COUNTIFS($C$22:$C$136,H10,$D$22:$D$136,"*Treinamento*",$Q$22:$Q$136,"&lt;&gt;Cancelada")&gt;0,"Trein. ","")))</f>
        <v>Vistoria</v>
      </c>
      <c r="I11" s="47"/>
      <c r="J11" s="47" t="str">
        <f aca="false">IF(J10="","",TRIM(IF(COUNTIFS($C$22:$C$136,J10,$D$22:$D$136,"*Vistoria*",$Q$22:$Q$136,"&lt;&gt;Cancelada")&gt;0,"Vistoria ","")&amp;IF(COUNTIFS($C$22:$C$136,J10,$D$22:$D$136,"*Relatório*",$Q$22:$Q$136,"&lt;&gt;Cancelada")&gt;0,"Relatório ","")&amp;IF(COUNTIFS($C$22:$C$136,J10,$D$22:$D$136,"*Reunião*",$Q$22:$Q$136,"&lt;&gt;Cancelada")&gt;0,"REUNIÃO ","")&amp;IF(COUNTIFS($C$22:$C$136,J10,$D$22:$D$136,"*Férias*",$Q$22:$Q$136,"&lt;&gt;Cancelada")&gt;0,"Férias ","")&amp;IF(COUNTIFS($C$22:$C$136,J10,$D$22:$D$136,"*Mudança*",$Q$22:$Q$136,"&lt;&gt;Cancelada")&gt;0,"M.Função ","")&amp;IF(COUNTIFS($C$22:$C$136,J10,$D$22:$D$136,"*Treinamento*",$Q$22:$Q$136,"&lt;&gt;Cancelada")&gt;0,"Trein. ","")))</f>
        <v>Relatório</v>
      </c>
      <c r="K11" s="47"/>
      <c r="L11" s="47" t="str">
        <f aca="false">IF(L10="","",TRIM(IF(COUNTIFS($C$22:$C$136,L10,$D$22:$D$136,"*Vistoria*",$Q$22:$Q$136,"&lt;&gt;Cancelada")&gt;0,"Vistoria ","")&amp;IF(COUNTIFS($C$22:$C$136,L10,$D$22:$D$136,"*Relatório*",$Q$22:$Q$136,"&lt;&gt;Cancelada")&gt;0,"Relatório ","")&amp;IF(COUNTIFS($C$22:$C$136,L10,$D$22:$D$136,"*Reunião*",$Q$22:$Q$136,"&lt;&gt;Cancelada")&gt;0,"REUNIÃO ","")&amp;IF(COUNTIFS($C$22:$C$136,L10,$D$22:$D$136,"*Férias*",$Q$22:$Q$136,"&lt;&gt;Cancelada")&gt;0,"Férias ","")&amp;IF(COUNTIFS($C$22:$C$136,L10,$D$22:$D$136,"*Mudança*",$Q$22:$Q$136,"&lt;&gt;Cancelada")&gt;0,"M.Função ","")&amp;IF(COUNTIFS($C$22:$C$136,L10,$D$22:$D$136,"*Treinamento*",$Q$22:$Q$136,"&lt;&gt;Cancelada")&gt;0,"Trein. ","")))</f>
        <v>REUNIÃO</v>
      </c>
      <c r="M11" s="47"/>
      <c r="N11" s="47" t="str">
        <f aca="false">IF(N10="","",TRIM(IF(COUNTIFS($C$22:$C$136,N10,$D$22:$D$136,"*Vistoria*",$Q$22:$Q$136,"&lt;&gt;Cancelada")&gt;0,"Vistoria ","")&amp;IF(COUNTIFS($C$22:$C$136,N10,$D$22:$D$136,"*Relatório*",$Q$22:$Q$136,"&lt;&gt;Cancelada")&gt;0,"Relatório ","")&amp;IF(COUNTIFS($C$22:$C$136,N10,$D$22:$D$136,"*Reunião*",$Q$22:$Q$136,"&lt;&gt;Cancelada")&gt;0,"REUNIÃO ","")&amp;IF(COUNTIFS($C$22:$C$136,N10,$D$22:$D$136,"*Férias*",$Q$22:$Q$136,"&lt;&gt;Cancelada")&gt;0,"Férias ","")&amp;IF(COUNTIFS($C$22:$C$136,N10,$D$22:$D$136,"*Mudança*",$Q$22:$Q$136,"&lt;&gt;Cancelada")&gt;0,"M.Função ","")&amp;IF(COUNTIFS($C$22:$C$136,N10,$D$22:$D$136,"*Treinamento*",$Q$22:$Q$136,"&lt;&gt;Cancelada")&gt;0,"Trein. ","")))</f>
        <v/>
      </c>
      <c r="O11" s="47"/>
    </row>
    <row r="12" customFormat="false" ht="15" hidden="false" customHeight="true" outlineLevel="0" collapsed="false">
      <c r="B12" s="46" t="n">
        <f aca="false">IF(MONTH($X$1-WEEKDAY($X$1)+1+21)=MONTH($X$1),$X$1-WEEKDAY($X$1)+1+21,"")</f>
        <v>46250</v>
      </c>
      <c r="C12" s="46"/>
      <c r="D12" s="46" t="n">
        <f aca="false">IF(MONTH($X$1-WEEKDAY($X$1)+1+22)=MONTH($X$1),$X$1-WEEKDAY($X$1)+1+22,"")</f>
        <v>46251</v>
      </c>
      <c r="E12" s="46"/>
      <c r="F12" s="46" t="n">
        <f aca="false">IF(MONTH($X$1-WEEKDAY($X$1)+1+23)=MONTH($X$1),$X$1-WEEKDAY($X$1)+1+23,"")</f>
        <v>46252</v>
      </c>
      <c r="G12" s="46"/>
      <c r="H12" s="46" t="n">
        <f aca="false">IF(MONTH($X$1-WEEKDAY($X$1)+1+24)=MONTH($X$1),$X$1-WEEKDAY($X$1)+1+24,"")</f>
        <v>46253</v>
      </c>
      <c r="I12" s="46"/>
      <c r="J12" s="46" t="n">
        <f aca="false">IF(MONTH($X$1-WEEKDAY($X$1)+1+25)=MONTH($X$1),$X$1-WEEKDAY($X$1)+1+25,"")</f>
        <v>46254</v>
      </c>
      <c r="K12" s="46"/>
      <c r="L12" s="46" t="n">
        <f aca="false">IF(MONTH($X$1-WEEKDAY($X$1)+1+26)=MONTH($X$1),$X$1-WEEKDAY($X$1)+1+26,"")</f>
        <v>46255</v>
      </c>
      <c r="M12" s="46"/>
      <c r="N12" s="46" t="n">
        <f aca="false">IF(MONTH($X$1-WEEKDAY($X$1)+1+27)=MONTH($X$1),$X$1-WEEKDAY($X$1)+1+27,"")</f>
        <v>46256</v>
      </c>
      <c r="O12" s="46"/>
    </row>
    <row r="13" customFormat="false" ht="25.5" hidden="false" customHeight="true" outlineLevel="0" collapsed="false">
      <c r="B13" s="47" t="str">
        <f aca="false">IF(B12="","",TRIM(IF(COUNTIFS($C$22:$C$136,B12,$D$22:$D$136,"*Vistoria*",$Q$22:$Q$136,"&lt;&gt;Cancelada")&gt;0,"Vistoria ","")&amp;IF(COUNTIFS($C$22:$C$136,B12,$D$22:$D$136,"*Relatório*",$Q$22:$Q$136,"&lt;&gt;Cancelada")&gt;0,"Relatório ","")&amp;IF(COUNTIFS($C$22:$C$136,B12,$D$22:$D$136,"*Reunião*",$Q$22:$Q$136,"&lt;&gt;Cancelada")&gt;0,"REUNIÃO ","")&amp;IF(COUNTIFS($C$22:$C$136,B12,$D$22:$D$136,"*Férias*",$Q$22:$Q$136,"&lt;&gt;Cancelada")&gt;0,"Férias ","")&amp;IF(COUNTIFS($C$22:$C$136,B12,$D$22:$D$136,"*Mudança*",$Q$22:$Q$136,"&lt;&gt;Cancelada")&gt;0,"M.Função ","")&amp;IF(COUNTIFS($C$22:$C$136,B12,$D$22:$D$136,"*Treinamento*",$Q$22:$Q$136,"&lt;&gt;Cancelada")&gt;0,"Trein. ","")))</f>
        <v/>
      </c>
      <c r="C13" s="47"/>
      <c r="D13" s="47" t="str">
        <f aca="false">IF(D12="","",TRIM(IF(COUNTIFS($C$22:$C$136,D12,$D$22:$D$136,"*Vistoria*",$Q$22:$Q$136,"&lt;&gt;Cancelada")&gt;0,"Vistoria ","")&amp;IF(COUNTIFS($C$22:$C$136,D12,$D$22:$D$136,"*Relatório*",$Q$22:$Q$136,"&lt;&gt;Cancelada")&gt;0,"Relatório ","")&amp;IF(COUNTIFS($C$22:$C$136,D12,$D$22:$D$136,"*Reunião*",$Q$22:$Q$136,"&lt;&gt;Cancelada")&gt;0,"REUNIÃO ","")&amp;IF(COUNTIFS($C$22:$C$136,D12,$D$22:$D$136,"*Férias*",$Q$22:$Q$136,"&lt;&gt;Cancelada")&gt;0,"Férias ","")&amp;IF(COUNTIFS($C$22:$C$136,D12,$D$22:$D$136,"*Mudança*",$Q$22:$Q$136,"&lt;&gt;Cancelada")&gt;0,"M.Função ","")&amp;IF(COUNTIFS($C$22:$C$136,D12,$D$22:$D$136,"*Treinamento*",$Q$22:$Q$136,"&lt;&gt;Cancelada")&gt;0,"Trein. ","")))</f>
        <v/>
      </c>
      <c r="E13" s="47"/>
      <c r="F13" s="47" t="str">
        <f aca="false">IF(F12="","",TRIM(IF(COUNTIFS($C$22:$C$136,F12,$D$22:$D$136,"*Vistoria*",$Q$22:$Q$136,"&lt;&gt;Cancelada")&gt;0,"Vistoria ","")&amp;IF(COUNTIFS($C$22:$C$136,F12,$D$22:$D$136,"*Relatório*",$Q$22:$Q$136,"&lt;&gt;Cancelada")&gt;0,"Relatório ","")&amp;IF(COUNTIFS($C$22:$C$136,F12,$D$22:$D$136,"*Reunião*",$Q$22:$Q$136,"&lt;&gt;Cancelada")&gt;0,"REUNIÃO ","")&amp;IF(COUNTIFS($C$22:$C$136,F12,$D$22:$D$136,"*Férias*",$Q$22:$Q$136,"&lt;&gt;Cancelada")&gt;0,"Férias ","")&amp;IF(COUNTIFS($C$22:$C$136,F12,$D$22:$D$136,"*Mudança*",$Q$22:$Q$136,"&lt;&gt;Cancelada")&gt;0,"M.Função ","")&amp;IF(COUNTIFS($C$22:$C$136,F12,$D$22:$D$136,"*Treinamento*",$Q$22:$Q$136,"&lt;&gt;Cancelada")&gt;0,"Trein. ","")))</f>
        <v/>
      </c>
      <c r="G13" s="47"/>
      <c r="H13" s="47" t="str">
        <f aca="false">IF(H12="","",TRIM(IF(COUNTIFS($C$22:$C$136,H12,$D$22:$D$136,"*Vistoria*",$Q$22:$Q$136,"&lt;&gt;Cancelada")&gt;0,"Vistoria ","")&amp;IF(COUNTIFS($C$22:$C$136,H12,$D$22:$D$136,"*Relatório*",$Q$22:$Q$136,"&lt;&gt;Cancelada")&gt;0,"Relatório ","")&amp;IF(COUNTIFS($C$22:$C$136,H12,$D$22:$D$136,"*Reunião*",$Q$22:$Q$136,"&lt;&gt;Cancelada")&gt;0,"REUNIÃO ","")&amp;IF(COUNTIFS($C$22:$C$136,H12,$D$22:$D$136,"*Férias*",$Q$22:$Q$136,"&lt;&gt;Cancelada")&gt;0,"Férias ","")&amp;IF(COUNTIFS($C$22:$C$136,H12,$D$22:$D$136,"*Mudança*",$Q$22:$Q$136,"&lt;&gt;Cancelada")&gt;0,"M.Função ","")&amp;IF(COUNTIFS($C$22:$C$136,H12,$D$22:$D$136,"*Treinamento*",$Q$22:$Q$136,"&lt;&gt;Cancelada")&gt;0,"Trein. ","")))</f>
        <v>Vistoria</v>
      </c>
      <c r="I13" s="47"/>
      <c r="J13" s="47" t="str">
        <f aca="false">IF(J12="","",TRIM(IF(COUNTIFS($C$22:$C$136,J12,$D$22:$D$136,"*Vistoria*",$Q$22:$Q$136,"&lt;&gt;Cancelada")&gt;0,"Vistoria ","")&amp;IF(COUNTIFS($C$22:$C$136,J12,$D$22:$D$136,"*Relatório*",$Q$22:$Q$136,"&lt;&gt;Cancelada")&gt;0,"Relatório ","")&amp;IF(COUNTIFS($C$22:$C$136,J12,$D$22:$D$136,"*Reunião*",$Q$22:$Q$136,"&lt;&gt;Cancelada")&gt;0,"REUNIÃO ","")&amp;IF(COUNTIFS($C$22:$C$136,J12,$D$22:$D$136,"*Férias*",$Q$22:$Q$136,"&lt;&gt;Cancelada")&gt;0,"Férias ","")&amp;IF(COUNTIFS($C$22:$C$136,J12,$D$22:$D$136,"*Mudança*",$Q$22:$Q$136,"&lt;&gt;Cancelada")&gt;0,"M.Função ","")&amp;IF(COUNTIFS($C$22:$C$136,J12,$D$22:$D$136,"*Treinamento*",$Q$22:$Q$136,"&lt;&gt;Cancelada")&gt;0,"Trein. ","")))</f>
        <v>Relatório</v>
      </c>
      <c r="K13" s="47"/>
      <c r="L13" s="47" t="str">
        <f aca="false">IF(L12="","",TRIM(IF(COUNTIFS($C$22:$C$136,L12,$D$22:$D$136,"*Vistoria*",$Q$22:$Q$136,"&lt;&gt;Cancelada")&gt;0,"Vistoria ","")&amp;IF(COUNTIFS($C$22:$C$136,L12,$D$22:$D$136,"*Relatório*",$Q$22:$Q$136,"&lt;&gt;Cancelada")&gt;0,"Relatório ","")&amp;IF(COUNTIFS($C$22:$C$136,L12,$D$22:$D$136,"*Reunião*",$Q$22:$Q$136,"&lt;&gt;Cancelada")&gt;0,"REUNIÃO ","")&amp;IF(COUNTIFS($C$22:$C$136,L12,$D$22:$D$136,"*Férias*",$Q$22:$Q$136,"&lt;&gt;Cancelada")&gt;0,"Férias ","")&amp;IF(COUNTIFS($C$22:$C$136,L12,$D$22:$D$136,"*Mudança*",$Q$22:$Q$136,"&lt;&gt;Cancelada")&gt;0,"M.Função ","")&amp;IF(COUNTIFS($C$22:$C$136,L12,$D$22:$D$136,"*Treinamento*",$Q$22:$Q$136,"&lt;&gt;Cancelada")&gt;0,"Trein. ","")))</f>
        <v>REUNIÃO</v>
      </c>
      <c r="M13" s="47"/>
      <c r="N13" s="47" t="str">
        <f aca="false">IF(N12="","",TRIM(IF(COUNTIFS($C$22:$C$136,N12,$D$22:$D$136,"*Vistoria*",$Q$22:$Q$136,"&lt;&gt;Cancelada")&gt;0,"Vistoria ","")&amp;IF(COUNTIFS($C$22:$C$136,N12,$D$22:$D$136,"*Relatório*",$Q$22:$Q$136,"&lt;&gt;Cancelada")&gt;0,"Relatório ","")&amp;IF(COUNTIFS($C$22:$C$136,N12,$D$22:$D$136,"*Reunião*",$Q$22:$Q$136,"&lt;&gt;Cancelada")&gt;0,"REUNIÃO ","")&amp;IF(COUNTIFS($C$22:$C$136,N12,$D$22:$D$136,"*Férias*",$Q$22:$Q$136,"&lt;&gt;Cancelada")&gt;0,"Férias ","")&amp;IF(COUNTIFS($C$22:$C$136,N12,$D$22:$D$136,"*Mudança*",$Q$22:$Q$136,"&lt;&gt;Cancelada")&gt;0,"M.Função ","")&amp;IF(COUNTIFS($C$22:$C$136,N12,$D$22:$D$136,"*Treinamento*",$Q$22:$Q$136,"&lt;&gt;Cancelada")&gt;0,"Trein. ","")))</f>
        <v/>
      </c>
      <c r="O13" s="47"/>
    </row>
    <row r="14" customFormat="false" ht="15" hidden="false" customHeight="true" outlineLevel="0" collapsed="false">
      <c r="B14" s="46" t="n">
        <f aca="false">IF(MONTH($X$1-WEEKDAY($X$1)+1+28)=MONTH($X$1),$X$1-WEEKDAY($X$1)+1+28,"")</f>
        <v>46257</v>
      </c>
      <c r="C14" s="46"/>
      <c r="D14" s="46" t="n">
        <f aca="false">IF(MONTH($X$1-WEEKDAY($X$1)+1+29)=MONTH($X$1),$X$1-WEEKDAY($X$1)+1+29,"")</f>
        <v>46258</v>
      </c>
      <c r="E14" s="46"/>
      <c r="F14" s="46" t="n">
        <f aca="false">IF(MONTH($X$1-WEEKDAY($X$1)+1+30)=MONTH($X$1),$X$1-WEEKDAY($X$1)+1+30,"")</f>
        <v>46259</v>
      </c>
      <c r="G14" s="46"/>
      <c r="H14" s="46" t="n">
        <f aca="false">IF(MONTH($X$1-WEEKDAY($X$1)+1+31)=MONTH($X$1),$X$1-WEEKDAY($X$1)+1+31,"")</f>
        <v>46260</v>
      </c>
      <c r="I14" s="46"/>
      <c r="J14" s="46" t="n">
        <f aca="false">IF(MONTH($X$1-WEEKDAY($X$1)+1+32)=MONTH($X$1),$X$1-WEEKDAY($X$1)+1+32,"")</f>
        <v>46261</v>
      </c>
      <c r="K14" s="46"/>
      <c r="L14" s="46" t="n">
        <f aca="false">IF(MONTH($X$1-WEEKDAY($X$1)+1+33)=MONTH($X$1),$X$1-WEEKDAY($X$1)+1+33,"")</f>
        <v>46262</v>
      </c>
      <c r="M14" s="46"/>
      <c r="N14" s="46" t="n">
        <f aca="false">IF(MONTH($X$1-WEEKDAY($X$1)+1+34)=MONTH($X$1),$X$1-WEEKDAY($X$1)+1+34,"")</f>
        <v>46263</v>
      </c>
      <c r="O14" s="46"/>
    </row>
    <row r="15" customFormat="false" ht="25.5" hidden="false" customHeight="true" outlineLevel="0" collapsed="false">
      <c r="B15" s="47" t="str">
        <f aca="false">IF(B14="","",TRIM(IF(COUNTIFS($C$22:$C$136,B14,$D$22:$D$136,"*Vistoria*",$Q$22:$Q$136,"&lt;&gt;Cancelada")&gt;0,"Vistoria ","")&amp;IF(COUNTIFS($C$22:$C$136,B14,$D$22:$D$136,"*Relatório*",$Q$22:$Q$136,"&lt;&gt;Cancelada")&gt;0,"Relatório ","")&amp;IF(COUNTIFS($C$22:$C$136,B14,$D$22:$D$136,"*Reunião*",$Q$22:$Q$136,"&lt;&gt;Cancelada")&gt;0,"REUNIÃO ","")&amp;IF(COUNTIFS($C$22:$C$136,B14,$D$22:$D$136,"*Férias*",$Q$22:$Q$136,"&lt;&gt;Cancelada")&gt;0,"Férias ","")&amp;IF(COUNTIFS($C$22:$C$136,B14,$D$22:$D$136,"*Mudança*",$Q$22:$Q$136,"&lt;&gt;Cancelada")&gt;0,"M.Função ","")&amp;IF(COUNTIFS($C$22:$C$136,B14,$D$22:$D$136,"*Treinamento*",$Q$22:$Q$136,"&lt;&gt;Cancelada")&gt;0,"Trein. ","")))</f>
        <v/>
      </c>
      <c r="C15" s="47"/>
      <c r="D15" s="47" t="str">
        <f aca="false">IF(D14="","",TRIM(IF(COUNTIFS($C$22:$C$136,D14,$D$22:$D$136,"*Vistoria*",$Q$22:$Q$136,"&lt;&gt;Cancelada")&gt;0,"Vistoria ","")&amp;IF(COUNTIFS($C$22:$C$136,D14,$D$22:$D$136,"*Relatório*",$Q$22:$Q$136,"&lt;&gt;Cancelada")&gt;0,"Relatório ","")&amp;IF(COUNTIFS($C$22:$C$136,D14,$D$22:$D$136,"*Reunião*",$Q$22:$Q$136,"&lt;&gt;Cancelada")&gt;0,"REUNIÃO ","")&amp;IF(COUNTIFS($C$22:$C$136,D14,$D$22:$D$136,"*Férias*",$Q$22:$Q$136,"&lt;&gt;Cancelada")&gt;0,"Férias ","")&amp;IF(COUNTIFS($C$22:$C$136,D14,$D$22:$D$136,"*Mudança*",$Q$22:$Q$136,"&lt;&gt;Cancelada")&gt;0,"M.Função ","")&amp;IF(COUNTIFS($C$22:$C$136,D14,$D$22:$D$136,"*Treinamento*",$Q$22:$Q$136,"&lt;&gt;Cancelada")&gt;0,"Trein. ","")))</f>
        <v/>
      </c>
      <c r="E15" s="47"/>
      <c r="F15" s="47" t="str">
        <f aca="false">IF(F14="","",TRIM(IF(COUNTIFS($C$22:$C$136,F14,$D$22:$D$136,"*Vistoria*",$Q$22:$Q$136,"&lt;&gt;Cancelada")&gt;0,"Vistoria ","")&amp;IF(COUNTIFS($C$22:$C$136,F14,$D$22:$D$136,"*Relatório*",$Q$22:$Q$136,"&lt;&gt;Cancelada")&gt;0,"Relatório ","")&amp;IF(COUNTIFS($C$22:$C$136,F14,$D$22:$D$136,"*Reunião*",$Q$22:$Q$136,"&lt;&gt;Cancelada")&gt;0,"REUNIÃO ","")&amp;IF(COUNTIFS($C$22:$C$136,F14,$D$22:$D$136,"*Férias*",$Q$22:$Q$136,"&lt;&gt;Cancelada")&gt;0,"Férias ","")&amp;IF(COUNTIFS($C$22:$C$136,F14,$D$22:$D$136,"*Mudança*",$Q$22:$Q$136,"&lt;&gt;Cancelada")&gt;0,"M.Função ","")&amp;IF(COUNTIFS($C$22:$C$136,F14,$D$22:$D$136,"*Treinamento*",$Q$22:$Q$136,"&lt;&gt;Cancelada")&gt;0,"Trein. ","")))</f>
        <v/>
      </c>
      <c r="G15" s="47"/>
      <c r="H15" s="47" t="str">
        <f aca="false">IF(H14="","",TRIM(IF(COUNTIFS($C$22:$C$136,H14,$D$22:$D$136,"*Vistoria*",$Q$22:$Q$136,"&lt;&gt;Cancelada")&gt;0,"Vistoria ","")&amp;IF(COUNTIFS($C$22:$C$136,H14,$D$22:$D$136,"*Relatório*",$Q$22:$Q$136,"&lt;&gt;Cancelada")&gt;0,"Relatório ","")&amp;IF(COUNTIFS($C$22:$C$136,H14,$D$22:$D$136,"*Reunião*",$Q$22:$Q$136,"&lt;&gt;Cancelada")&gt;0,"REUNIÃO ","")&amp;IF(COUNTIFS($C$22:$C$136,H14,$D$22:$D$136,"*Férias*",$Q$22:$Q$136,"&lt;&gt;Cancelada")&gt;0,"Férias ","")&amp;IF(COUNTIFS($C$22:$C$136,H14,$D$22:$D$136,"*Mudança*",$Q$22:$Q$136,"&lt;&gt;Cancelada")&gt;0,"M.Função ","")&amp;IF(COUNTIFS($C$22:$C$136,H14,$D$22:$D$136,"*Treinamento*",$Q$22:$Q$136,"&lt;&gt;Cancelada")&gt;0,"Trein. ","")))</f>
        <v>Vistoria</v>
      </c>
      <c r="I15" s="47"/>
      <c r="J15" s="47" t="str">
        <f aca="false">IF(J14="","",TRIM(IF(COUNTIFS($C$22:$C$136,J14,$D$22:$D$136,"*Vistoria*",$Q$22:$Q$136,"&lt;&gt;Cancelada")&gt;0,"Vistoria ","")&amp;IF(COUNTIFS($C$22:$C$136,J14,$D$22:$D$136,"*Relatório*",$Q$22:$Q$136,"&lt;&gt;Cancelada")&gt;0,"Relatório ","")&amp;IF(COUNTIFS($C$22:$C$136,J14,$D$22:$D$136,"*Reunião*",$Q$22:$Q$136,"&lt;&gt;Cancelada")&gt;0,"REUNIÃO ","")&amp;IF(COUNTIFS($C$22:$C$136,J14,$D$22:$D$136,"*Férias*",$Q$22:$Q$136,"&lt;&gt;Cancelada")&gt;0,"Férias ","")&amp;IF(COUNTIFS($C$22:$C$136,J14,$D$22:$D$136,"*Mudança*",$Q$22:$Q$136,"&lt;&gt;Cancelada")&gt;0,"M.Função ","")&amp;IF(COUNTIFS($C$22:$C$136,J14,$D$22:$D$136,"*Treinamento*",$Q$22:$Q$136,"&lt;&gt;Cancelada")&gt;0,"Trein. ","")))</f>
        <v>Relatório</v>
      </c>
      <c r="K15" s="47"/>
      <c r="L15" s="47" t="str">
        <f aca="false">IF(L14="","",TRIM(IF(COUNTIFS($C$22:$C$136,L14,$D$22:$D$136,"*Vistoria*",$Q$22:$Q$136,"&lt;&gt;Cancelada")&gt;0,"Vistoria ","")&amp;IF(COUNTIFS($C$22:$C$136,L14,$D$22:$D$136,"*Relatório*",$Q$22:$Q$136,"&lt;&gt;Cancelada")&gt;0,"Relatório ","")&amp;IF(COUNTIFS($C$22:$C$136,L14,$D$22:$D$136,"*Reunião*",$Q$22:$Q$136,"&lt;&gt;Cancelada")&gt;0,"REUNIÃO ","")&amp;IF(COUNTIFS($C$22:$C$136,L14,$D$22:$D$136,"*Férias*",$Q$22:$Q$136,"&lt;&gt;Cancelada")&gt;0,"Férias ","")&amp;IF(COUNTIFS($C$22:$C$136,L14,$D$22:$D$136,"*Mudança*",$Q$22:$Q$136,"&lt;&gt;Cancelada")&gt;0,"M.Função ","")&amp;IF(COUNTIFS($C$22:$C$136,L14,$D$22:$D$136,"*Treinamento*",$Q$22:$Q$136,"&lt;&gt;Cancelada")&gt;0,"Trein. ","")))</f>
        <v>REUNIÃO M.Função</v>
      </c>
      <c r="M15" s="47"/>
      <c r="N15" s="47" t="str">
        <f aca="false">IF(N14="","",TRIM(IF(COUNTIFS($C$22:$C$136,N14,$D$22:$D$136,"*Vistoria*",$Q$22:$Q$136,"&lt;&gt;Cancelada")&gt;0,"Vistoria ","")&amp;IF(COUNTIFS($C$22:$C$136,N14,$D$22:$D$136,"*Relatório*",$Q$22:$Q$136,"&lt;&gt;Cancelada")&gt;0,"Relatório ","")&amp;IF(COUNTIFS($C$22:$C$136,N14,$D$22:$D$136,"*Reunião*",$Q$22:$Q$136,"&lt;&gt;Cancelada")&gt;0,"REUNIÃO ","")&amp;IF(COUNTIFS($C$22:$C$136,N14,$D$22:$D$136,"*Férias*",$Q$22:$Q$136,"&lt;&gt;Cancelada")&gt;0,"Férias ","")&amp;IF(COUNTIFS($C$22:$C$136,N14,$D$22:$D$136,"*Mudança*",$Q$22:$Q$136,"&lt;&gt;Cancelada")&gt;0,"M.Função ","")&amp;IF(COUNTIFS($C$22:$C$136,N14,$D$22:$D$136,"*Treinamento*",$Q$22:$Q$136,"&lt;&gt;Cancelada")&gt;0,"Trein. ","")))</f>
        <v/>
      </c>
      <c r="O15" s="47"/>
    </row>
    <row r="16" customFormat="false" ht="15" hidden="false" customHeight="true" outlineLevel="0" collapsed="false">
      <c r="B16" s="46" t="n">
        <f aca="false">IF(MONTH($X$1-WEEKDAY($X$1)+1+35)=MONTH($X$1),$X$1-WEEKDAY($X$1)+1+35,"")</f>
        <v>46264</v>
      </c>
      <c r="C16" s="46"/>
      <c r="D16" s="46" t="n">
        <f aca="false">IF(MONTH($X$1-WEEKDAY($X$1)+1+36)=MONTH($X$1),$X$1-WEEKDAY($X$1)+1+36,"")</f>
        <v>46265</v>
      </c>
      <c r="E16" s="46"/>
      <c r="F16" s="46" t="str">
        <f aca="false">IF(MONTH($X$1-WEEKDAY($X$1)+1+37)=MONTH($X$1),$X$1-WEEKDAY($X$1)+1+37,"")</f>
        <v/>
      </c>
      <c r="G16" s="46"/>
      <c r="H16" s="46" t="str">
        <f aca="false">IF(MONTH($X$1-WEEKDAY($X$1)+1+38)=MONTH($X$1),$X$1-WEEKDAY($X$1)+1+38,"")</f>
        <v/>
      </c>
      <c r="I16" s="46"/>
      <c r="J16" s="46" t="str">
        <f aca="false">IF(MONTH($X$1-WEEKDAY($X$1)+1+39)=MONTH($X$1),$X$1-WEEKDAY($X$1)+1+39,"")</f>
        <v/>
      </c>
      <c r="K16" s="46"/>
      <c r="L16" s="46" t="str">
        <f aca="false">IF(MONTH($X$1-WEEKDAY($X$1)+1+40)=MONTH($X$1),$X$1-WEEKDAY($X$1)+1+40,"")</f>
        <v/>
      </c>
      <c r="M16" s="46"/>
      <c r="N16" s="46" t="str">
        <f aca="false">IF(MONTH($X$1-WEEKDAY($X$1)+1+41)=MONTH($X$1),$X$1-WEEKDAY($X$1)+1+41,"")</f>
        <v/>
      </c>
      <c r="O16" s="46"/>
    </row>
    <row r="17" customFormat="false" ht="25.5" hidden="false" customHeight="true" outlineLevel="0" collapsed="false">
      <c r="B17" s="47" t="str">
        <f aca="false">IF(B16="","",TRIM(IF(COUNTIFS($C$22:$C$136,B16,$D$22:$D$136,"*Vistoria*",$Q$22:$Q$136,"&lt;&gt;Cancelada")&gt;0,"Vistoria ","")&amp;IF(COUNTIFS($C$22:$C$136,B16,$D$22:$D$136,"*Relatório*",$Q$22:$Q$136,"&lt;&gt;Cancelada")&gt;0,"Relatório ","")&amp;IF(COUNTIFS($C$22:$C$136,B16,$D$22:$D$136,"*Reunião*",$Q$22:$Q$136,"&lt;&gt;Cancelada")&gt;0,"REUNIÃO ","")&amp;IF(COUNTIFS($C$22:$C$136,B16,$D$22:$D$136,"*Férias*",$Q$22:$Q$136,"&lt;&gt;Cancelada")&gt;0,"Férias ","")&amp;IF(COUNTIFS($C$22:$C$136,B16,$D$22:$D$136,"*Mudança*",$Q$22:$Q$136,"&lt;&gt;Cancelada")&gt;0,"M.Função ","")&amp;IF(COUNTIFS($C$22:$C$136,B16,$D$22:$D$136,"*Treinamento*",$Q$22:$Q$136,"&lt;&gt;Cancelada")&gt;0,"Trein. ","")))</f>
        <v/>
      </c>
      <c r="C17" s="47"/>
      <c r="D17" s="47" t="str">
        <f aca="false">IF(D16="","",TRIM(IF(COUNTIFS($C$22:$C$136,D16,$D$22:$D$136,"*Vistoria*",$Q$22:$Q$136,"&lt;&gt;Cancelada")&gt;0,"Vistoria ","")&amp;IF(COUNTIFS($C$22:$C$136,D16,$D$22:$D$136,"*Relatório*",$Q$22:$Q$136,"&lt;&gt;Cancelada")&gt;0,"Relatório ","")&amp;IF(COUNTIFS($C$22:$C$136,D16,$D$22:$D$136,"*Reunião*",$Q$22:$Q$136,"&lt;&gt;Cancelada")&gt;0,"REUNIÃO ","")&amp;IF(COUNTIFS($C$22:$C$136,D16,$D$22:$D$136,"*Férias*",$Q$22:$Q$136,"&lt;&gt;Cancelada")&gt;0,"Férias ","")&amp;IF(COUNTIFS($C$22:$C$136,D16,$D$22:$D$136,"*Mudança*",$Q$22:$Q$136,"&lt;&gt;Cancelada")&gt;0,"M.Função ","")&amp;IF(COUNTIFS($C$22:$C$136,D16,$D$22:$D$136,"*Treinamento*",$Q$22:$Q$136,"&lt;&gt;Cancelada")&gt;0,"Trein. ","")))</f>
        <v/>
      </c>
      <c r="E17" s="47"/>
      <c r="F17" s="47" t="str">
        <f aca="false">IF(F16="","",TRIM(IF(COUNTIFS($C$22:$C$136,F16,$D$22:$D$136,"*Vistoria*",$Q$22:$Q$136,"&lt;&gt;Cancelada")&gt;0,"Vistoria ","")&amp;IF(COUNTIFS($C$22:$C$136,F16,$D$22:$D$136,"*Relatório*",$Q$22:$Q$136,"&lt;&gt;Cancelada")&gt;0,"Relatório ","")&amp;IF(COUNTIFS($C$22:$C$136,F16,$D$22:$D$136,"*Reunião*",$Q$22:$Q$136,"&lt;&gt;Cancelada")&gt;0,"REUNIÃO ","")&amp;IF(COUNTIFS($C$22:$C$136,F16,$D$22:$D$136,"*Férias*",$Q$22:$Q$136,"&lt;&gt;Cancelada")&gt;0,"Férias ","")&amp;IF(COUNTIFS($C$22:$C$136,F16,$D$22:$D$136,"*Mudança*",$Q$22:$Q$136,"&lt;&gt;Cancelada")&gt;0,"M.Função ","")&amp;IF(COUNTIFS($C$22:$C$136,F16,$D$22:$D$136,"*Treinamento*",$Q$22:$Q$136,"&lt;&gt;Cancelada")&gt;0,"Trein. ","")))</f>
        <v/>
      </c>
      <c r="G17" s="47"/>
      <c r="H17" s="47" t="str">
        <f aca="false">IF(H16="","",TRIM(IF(COUNTIFS($C$22:$C$136,H16,$D$22:$D$136,"*Vistoria*",$Q$22:$Q$136,"&lt;&gt;Cancelada")&gt;0,"Vistoria ","")&amp;IF(COUNTIFS($C$22:$C$136,H16,$D$22:$D$136,"*Relatório*",$Q$22:$Q$136,"&lt;&gt;Cancelada")&gt;0,"Relatório ","")&amp;IF(COUNTIFS($C$22:$C$136,H16,$D$22:$D$136,"*Reunião*",$Q$22:$Q$136,"&lt;&gt;Cancelada")&gt;0,"REUNIÃO ","")&amp;IF(COUNTIFS($C$22:$C$136,H16,$D$22:$D$136,"*Férias*",$Q$22:$Q$136,"&lt;&gt;Cancelada")&gt;0,"Férias ","")&amp;IF(COUNTIFS($C$22:$C$136,H16,$D$22:$D$136,"*Mudança*",$Q$22:$Q$136,"&lt;&gt;Cancelada")&gt;0,"M.Função ","")&amp;IF(COUNTIFS($C$22:$C$136,H16,$D$22:$D$136,"*Treinamento*",$Q$22:$Q$136,"&lt;&gt;Cancelada")&gt;0,"Trein. ","")))</f>
        <v/>
      </c>
      <c r="I17" s="47"/>
      <c r="J17" s="47" t="str">
        <f aca="false">IF(J16="","",TRIM(IF(COUNTIFS($C$22:$C$136,J16,$D$22:$D$136,"*Vistoria*",$Q$22:$Q$136,"&lt;&gt;Cancelada")&gt;0,"Vistoria ","")&amp;IF(COUNTIFS($C$22:$C$136,J16,$D$22:$D$136,"*Relatório*",$Q$22:$Q$136,"&lt;&gt;Cancelada")&gt;0,"Relatório ","")&amp;IF(COUNTIFS($C$22:$C$136,J16,$D$22:$D$136,"*Reunião*",$Q$22:$Q$136,"&lt;&gt;Cancelada")&gt;0,"REUNIÃO ","")&amp;IF(COUNTIFS($C$22:$C$136,J16,$D$22:$D$136,"*Férias*",$Q$22:$Q$136,"&lt;&gt;Cancelada")&gt;0,"Férias ","")&amp;IF(COUNTIFS($C$22:$C$136,J16,$D$22:$D$136,"*Mudança*",$Q$22:$Q$136,"&lt;&gt;Cancelada")&gt;0,"M.Função ","")&amp;IF(COUNTIFS($C$22:$C$136,J16,$D$22:$D$136,"*Treinamento*",$Q$22:$Q$136,"&lt;&gt;Cancelada")&gt;0,"Trein. ","")))</f>
        <v/>
      </c>
      <c r="K17" s="47"/>
      <c r="L17" s="47" t="str">
        <f aca="false">IF(L16="","",TRIM(IF(COUNTIFS($C$22:$C$136,L16,$D$22:$D$136,"*Vistoria*",$Q$22:$Q$136,"&lt;&gt;Cancelada")&gt;0,"Vistoria ","")&amp;IF(COUNTIFS($C$22:$C$136,L16,$D$22:$D$136,"*Relatório*",$Q$22:$Q$136,"&lt;&gt;Cancelada")&gt;0,"Relatório ","")&amp;IF(COUNTIFS($C$22:$C$136,L16,$D$22:$D$136,"*Reunião*",$Q$22:$Q$136,"&lt;&gt;Cancelada")&gt;0,"REUNIÃO ","")&amp;IF(COUNTIFS($C$22:$C$136,L16,$D$22:$D$136,"*Férias*",$Q$22:$Q$136,"&lt;&gt;Cancelada")&gt;0,"Férias ","")&amp;IF(COUNTIFS($C$22:$C$136,L16,$D$22:$D$136,"*Mudança*",$Q$22:$Q$136,"&lt;&gt;Cancelada")&gt;0,"M.Função ","")&amp;IF(COUNTIFS($C$22:$C$136,L16,$D$22:$D$136,"*Treinamento*",$Q$22:$Q$136,"&lt;&gt;Cancelada")&gt;0,"Trein. ","")))</f>
        <v/>
      </c>
      <c r="M17" s="47"/>
      <c r="N17" s="47" t="str">
        <f aca="false">IF(N16="","",TRIM(IF(COUNTIFS($C$22:$C$136,N16,$D$22:$D$136,"*Vistoria*",$Q$22:$Q$136,"&lt;&gt;Cancelada")&gt;0,"Vistoria ","")&amp;IF(COUNTIFS($C$22:$C$136,N16,$D$22:$D$136,"*Relatório*",$Q$22:$Q$136,"&lt;&gt;Cancelada")&gt;0,"Relatório ","")&amp;IF(COUNTIFS($C$22:$C$136,N16,$D$22:$D$136,"*Reunião*",$Q$22:$Q$136,"&lt;&gt;Cancelada")&gt;0,"REUNIÃO ","")&amp;IF(COUNTIFS($C$22:$C$136,N16,$D$22:$D$136,"*Férias*",$Q$22:$Q$136,"&lt;&gt;Cancelada")&gt;0,"Férias ","")&amp;IF(COUNTIFS($C$22:$C$136,N16,$D$22:$D$136,"*Mudança*",$Q$22:$Q$136,"&lt;&gt;Cancelada")&gt;0,"M.Função ","")&amp;IF(COUNTIFS($C$22:$C$136,N16,$D$22:$D$136,"*Treinamento*",$Q$22:$Q$136,"&lt;&gt;Cancelada")&gt;0,"Trein. ","")))</f>
        <v/>
      </c>
      <c r="O17" s="47"/>
    </row>
    <row r="18" customFormat="false" ht="15" hidden="false" customHeight="true" outlineLevel="0" collapsed="false">
      <c r="B18" s="48" t="s">
        <v>123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</row>
    <row r="20" customFormat="false" ht="15" hidden="false" customHeight="true" outlineLevel="0" collapsed="false">
      <c r="A20" s="49" t="s">
        <v>124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customFormat="false" ht="24" hidden="false" customHeight="true" outlineLevel="0" collapsed="false">
      <c r="A21" s="50" t="s">
        <v>125</v>
      </c>
      <c r="B21" s="50" t="s">
        <v>126</v>
      </c>
      <c r="C21" s="50" t="s">
        <v>127</v>
      </c>
      <c r="D21" s="50" t="s">
        <v>128</v>
      </c>
      <c r="E21" s="50"/>
      <c r="F21" s="50"/>
      <c r="G21" s="50" t="s">
        <v>73</v>
      </c>
      <c r="H21" s="50" t="s">
        <v>129</v>
      </c>
      <c r="I21" s="50"/>
      <c r="J21" s="50" t="s">
        <v>130</v>
      </c>
      <c r="K21" s="50"/>
      <c r="L21" s="50"/>
      <c r="M21" s="50" t="s">
        <v>131</v>
      </c>
      <c r="N21" s="50"/>
      <c r="O21" s="50"/>
      <c r="P21" s="50" t="s">
        <v>132</v>
      </c>
      <c r="Q21" s="50" t="s">
        <v>133</v>
      </c>
      <c r="R21" s="50" t="s">
        <v>134</v>
      </c>
      <c r="S21" s="50" t="s">
        <v>135</v>
      </c>
      <c r="T21" s="50" t="s">
        <v>136</v>
      </c>
      <c r="U21" s="50" t="s">
        <v>137</v>
      </c>
      <c r="V21" s="50" t="s">
        <v>138</v>
      </c>
    </row>
    <row r="22" customFormat="false" ht="15" hidden="false" customHeight="false" outlineLevel="0" collapsed="false">
      <c r="A22" s="51" t="str">
        <f aca="false">IF($C22="","",$X$2&amp;"-S"&amp;INT(($C22-WEEKDAY($C22,2)+11-DATE(YEAR($C22+4-WEEKDAY($C22,2)),1,1))/7)&amp;"-FER-A")</f>
        <v>AGO-S32-FER-A</v>
      </c>
      <c r="B22" s="34" t="str">
        <f aca="false">IF($C22="","","S"&amp;INT(($C22-WEEKDAY($C22,2)+11-DATE(YEAR($C22+4-WEEKDAY($C22,2)),1,1))/7))</f>
        <v>S32</v>
      </c>
      <c r="C22" s="52" t="n">
        <f aca="false">$X$1+MOD(8-WEEKDAY($X$1,2),7)</f>
        <v>46237</v>
      </c>
      <c r="D22" s="9" t="str">
        <f aca="false">IF($C22="","","Programação de Férias (mensal)")</f>
        <v>Programação de Férias (mensal)</v>
      </c>
      <c r="E22" s="9"/>
      <c r="F22" s="9"/>
      <c r="G22" s="34" t="str">
        <f aca="false">IF($C22="","","A")</f>
        <v>A</v>
      </c>
      <c r="H22" s="34" t="str">
        <f aca="false">IF($C22="","",IF($G22="A",CONFIG!$B$5,IF($G22="B",CONFIG!$B$6,IF($G22="C",CONFIG!$B$7,"Gerência + coordenadores"))))</f>
        <v>(preencha o nome)</v>
      </c>
      <c r="I22" s="34"/>
      <c r="J22" s="32" t="str">
        <f aca="false">IF($C22="","","—")</f>
        <v>—</v>
      </c>
      <c r="K22" s="53"/>
      <c r="L22" s="53"/>
      <c r="M22" s="54"/>
      <c r="N22" s="54"/>
      <c r="O22" s="54"/>
      <c r="P22" s="55"/>
      <c r="Q22" s="56"/>
      <c r="R22" s="57"/>
      <c r="S22" s="34" t="str">
        <f aca="true">IF($C22="","",IF($Q22="Cancelada","Cancelada",IF($Q22="Reprovado","Reprovada",IF($Q22="Aprovado","Aprovada",IF($M22&lt;&gt;"","Entregue",IF(TODAY()&gt;$C22,"Atrasada","Pendente"))))))</f>
        <v>Atrasada</v>
      </c>
      <c r="T22" s="58"/>
      <c r="U22" s="58"/>
      <c r="V22" s="58"/>
    </row>
    <row r="23" customFormat="false" ht="15" hidden="false" customHeight="false" outlineLevel="0" collapsed="false">
      <c r="A23" s="59" t="str">
        <f aca="false">IF($C23="","",$X$2&amp;"-S"&amp;INT(($C23-WEEKDAY($C23,2)+11-DATE(YEAR($C23+4-WEEKDAY($C23,2)),1,1))/7)&amp;"-FER-B")</f>
        <v>AGO-S32-FER-B</v>
      </c>
      <c r="B23" s="30" t="str">
        <f aca="false">IF($C23="","","S"&amp;INT(($C23-WEEKDAY($C23,2)+11-DATE(YEAR($C23+4-WEEKDAY($C23,2)),1,1))/7))</f>
        <v>S32</v>
      </c>
      <c r="C23" s="52" t="n">
        <f aca="false">$X$1+MOD(8-WEEKDAY($X$1,2),7)</f>
        <v>46237</v>
      </c>
      <c r="D23" s="27" t="str">
        <f aca="false">IF($C23="","","Programação de Férias (mensal)")</f>
        <v>Programação de Férias (mensal)</v>
      </c>
      <c r="E23" s="27"/>
      <c r="F23" s="27"/>
      <c r="G23" s="30" t="str">
        <f aca="false">IF($C23="","","B")</f>
        <v>B</v>
      </c>
      <c r="H23" s="30" t="str">
        <f aca="false">IF($C23="","",IF($G23="A",CONFIG!$B$5,IF($G23="B",CONFIG!$B$6,IF($G23="C",CONFIG!$B$7,"Gerência + coordenadores"))))</f>
        <v>(preencha o nome)</v>
      </c>
      <c r="I23" s="30"/>
      <c r="J23" s="32" t="str">
        <f aca="false">IF($C23="","","—")</f>
        <v>—</v>
      </c>
      <c r="K23" s="53"/>
      <c r="L23" s="53"/>
      <c r="M23" s="54"/>
      <c r="N23" s="54"/>
      <c r="O23" s="54"/>
      <c r="P23" s="60"/>
      <c r="Q23" s="56"/>
      <c r="R23" s="57"/>
      <c r="S23" s="30" t="str">
        <f aca="true">IF($C23="","",IF($Q23="Cancelada","Cancelada",IF($Q23="Reprovado","Reprovada",IF($Q23="Aprovado","Aprovada",IF($M23&lt;&gt;"","Entregue",IF(TODAY()&gt;$C23,"Atrasada","Pendente"))))))</f>
        <v>Atrasada</v>
      </c>
      <c r="T23" s="58"/>
      <c r="U23" s="58"/>
      <c r="V23" s="58"/>
    </row>
    <row r="24" customFormat="false" ht="15" hidden="false" customHeight="false" outlineLevel="0" collapsed="false">
      <c r="A24" s="51" t="str">
        <f aca="false">IF($C24="","",$X$2&amp;"-S"&amp;INT(($C24-WEEKDAY($C24,2)+11-DATE(YEAR($C24+4-WEEKDAY($C24,2)),1,1))/7)&amp;"-FER-C")</f>
        <v>AGO-S32-FER-C</v>
      </c>
      <c r="B24" s="34" t="str">
        <f aca="false">IF($C24="","","S"&amp;INT(($C24-WEEKDAY($C24,2)+11-DATE(YEAR($C24+4-WEEKDAY($C24,2)),1,1))/7))</f>
        <v>S32</v>
      </c>
      <c r="C24" s="52" t="n">
        <f aca="false">$X$1+MOD(8-WEEKDAY($X$1,2),7)</f>
        <v>46237</v>
      </c>
      <c r="D24" s="9" t="str">
        <f aca="false">IF($C24="","","Programação de Férias (mensal)")</f>
        <v>Programação de Férias (mensal)</v>
      </c>
      <c r="E24" s="9"/>
      <c r="F24" s="9"/>
      <c r="G24" s="34" t="str">
        <f aca="false">IF($C24="","","C")</f>
        <v>C</v>
      </c>
      <c r="H24" s="34" t="str">
        <f aca="false">IF($C24="","",IF($G24="A",CONFIG!$B$5,IF($G24="B",CONFIG!$B$6,IF($G24="C",CONFIG!$B$7,"Gerência + coordenadores"))))</f>
        <v>(preencha o nome)</v>
      </c>
      <c r="I24" s="34"/>
      <c r="J24" s="32" t="str">
        <f aca="false">IF($C24="","","—")</f>
        <v>—</v>
      </c>
      <c r="K24" s="53"/>
      <c r="L24" s="53"/>
      <c r="M24" s="54"/>
      <c r="N24" s="54"/>
      <c r="O24" s="54"/>
      <c r="P24" s="55"/>
      <c r="Q24" s="56"/>
      <c r="R24" s="57"/>
      <c r="S24" s="34" t="str">
        <f aca="true">IF($C24="","",IF($Q24="Cancelada","Cancelada",IF($Q24="Reprovado","Reprovada",IF($Q24="Aprovado","Aprovada",IF($M24&lt;&gt;"","Entregue",IF(TODAY()&gt;$C24,"Atrasada","Pendente"))))))</f>
        <v>Atrasada</v>
      </c>
      <c r="T24" s="58"/>
      <c r="U24" s="58"/>
      <c r="V24" s="58"/>
    </row>
    <row r="25" customFormat="false" ht="22.35" hidden="false" customHeight="false" outlineLevel="0" collapsed="false">
      <c r="A25" s="51" t="str">
        <f aca="false">IF($C25="","",$X$2&amp;"-S"&amp;INT(($C25-WEEKDAY($C25,2)+11-DATE(YEAR($C25+4-WEEKDAY($C25,2)),1,1))/7)&amp;"-VIS-A")</f>
        <v>AGO-S32-VIS-A</v>
      </c>
      <c r="B25" s="34" t="str">
        <f aca="false">IF($C25="","","S"&amp;INT(($C25-WEEKDAY($C25,2)+11-DATE(YEAR($C25+4-WEEKDAY($C25,2)),1,1))/7))</f>
        <v>S32</v>
      </c>
      <c r="C25" s="52" t="n">
        <f aca="false">IF(MONTH(($X$1-WEEKDAY($X$1,3)+7)+2)=MONTH($X$1),($X$1-WEEKDAY($X$1,3)+7)+2,"")</f>
        <v>46239</v>
      </c>
      <c r="D25" s="9" t="str">
        <f aca="false">IF($C25="","","Vistoria Setorial (checklist no setor definido pelo gerente)")</f>
        <v>Vistoria Setorial (checklist no setor definido pelo gerente)</v>
      </c>
      <c r="E25" s="9"/>
      <c r="F25" s="9"/>
      <c r="G25" s="34" t="str">
        <f aca="false">IF($C25="","","A")</f>
        <v>A</v>
      </c>
      <c r="H25" s="34" t="str">
        <f aca="false">IF($C25="","",IF($G25="A",CONFIG!$B$5,IF($G25="B",CONFIG!$B$6,IF($G25="C",CONFIG!$B$7,"Gerência + coordenadores"))))</f>
        <v>(preencha o nome)</v>
      </c>
      <c r="I25" s="34"/>
      <c r="J25" s="56"/>
      <c r="K25" s="53"/>
      <c r="L25" s="53"/>
      <c r="M25" s="54"/>
      <c r="N25" s="54"/>
      <c r="O25" s="54"/>
      <c r="P25" s="55"/>
      <c r="Q25" s="56"/>
      <c r="R25" s="57"/>
      <c r="S25" s="34" t="str">
        <f aca="true">IF($C25="","",IF($Q25="Cancelada","Cancelada",IF($Q25="Reprovado","Reprovada",IF($Q25="Aprovado","Aprovada",IF($M25&lt;&gt;"","Entregue",IF(TODAY()&gt;$C25,"Atrasada","Pendente"))))))</f>
        <v>Pendente</v>
      </c>
      <c r="T25" s="58"/>
      <c r="U25" s="58"/>
      <c r="V25" s="58"/>
    </row>
    <row r="26" customFormat="false" ht="22.35" hidden="false" customHeight="false" outlineLevel="0" collapsed="false">
      <c r="A26" s="59" t="str">
        <f aca="false">IF($C26="","",$X$2&amp;"-S"&amp;INT(($C26-WEEKDAY($C26,2)+11-DATE(YEAR($C26+4-WEEKDAY($C26,2)),1,1))/7)&amp;"-VIS-B")</f>
        <v>AGO-S32-VIS-B</v>
      </c>
      <c r="B26" s="30" t="str">
        <f aca="false">IF($C26="","","S"&amp;INT(($C26-WEEKDAY($C26,2)+11-DATE(YEAR($C26+4-WEEKDAY($C26,2)),1,1))/7))</f>
        <v>S32</v>
      </c>
      <c r="C26" s="52" t="n">
        <f aca="false">IF(MONTH(($X$1-WEEKDAY($X$1,3)+7)+2)=MONTH($X$1),($X$1-WEEKDAY($X$1,3)+7)+2,"")</f>
        <v>46239</v>
      </c>
      <c r="D26" s="27" t="str">
        <f aca="false">IF($C26="","","Vistoria Setorial (checklist no setor definido pelo gerente)")</f>
        <v>Vistoria Setorial (checklist no setor definido pelo gerente)</v>
      </c>
      <c r="E26" s="27"/>
      <c r="F26" s="27"/>
      <c r="G26" s="30" t="str">
        <f aca="false">IF($C26="","","B")</f>
        <v>B</v>
      </c>
      <c r="H26" s="30" t="str">
        <f aca="false">IF($C26="","",IF($G26="A",CONFIG!$B$5,IF($G26="B",CONFIG!$B$6,IF($G26="C",CONFIG!$B$7,"Gerência + coordenadores"))))</f>
        <v>(preencha o nome)</v>
      </c>
      <c r="I26" s="30"/>
      <c r="J26" s="56"/>
      <c r="K26" s="53"/>
      <c r="L26" s="53"/>
      <c r="M26" s="54"/>
      <c r="N26" s="54"/>
      <c r="O26" s="54"/>
      <c r="P26" s="60"/>
      <c r="Q26" s="56"/>
      <c r="R26" s="57"/>
      <c r="S26" s="30" t="str">
        <f aca="true">IF($C26="","",IF($Q26="Cancelada","Cancelada",IF($Q26="Reprovado","Reprovada",IF($Q26="Aprovado","Aprovada",IF($M26&lt;&gt;"","Entregue",IF(TODAY()&gt;$C26,"Atrasada","Pendente"))))))</f>
        <v>Pendente</v>
      </c>
      <c r="T26" s="58"/>
      <c r="U26" s="58"/>
      <c r="V26" s="58"/>
    </row>
    <row r="27" customFormat="false" ht="22.35" hidden="false" customHeight="false" outlineLevel="0" collapsed="false">
      <c r="A27" s="51" t="str">
        <f aca="false">IF($C27="","",$X$2&amp;"-S"&amp;INT(($C27-WEEKDAY($C27,2)+11-DATE(YEAR($C27+4-WEEKDAY($C27,2)),1,1))/7)&amp;"-VIS-C")</f>
        <v>AGO-S32-VIS-C</v>
      </c>
      <c r="B27" s="34" t="str">
        <f aca="false">IF($C27="","","S"&amp;INT(($C27-WEEKDAY($C27,2)+11-DATE(YEAR($C27+4-WEEKDAY($C27,2)),1,1))/7))</f>
        <v>S32</v>
      </c>
      <c r="C27" s="52" t="n">
        <f aca="false">IF(MONTH(($X$1-WEEKDAY($X$1,3)+7)+2)=MONTH($X$1),($X$1-WEEKDAY($X$1,3)+7)+2,"")</f>
        <v>46239</v>
      </c>
      <c r="D27" s="9" t="str">
        <f aca="false">IF($C27="","","Vistoria Setorial (checklist no setor definido pelo gerente)")</f>
        <v>Vistoria Setorial (checklist no setor definido pelo gerente)</v>
      </c>
      <c r="E27" s="9"/>
      <c r="F27" s="9"/>
      <c r="G27" s="34" t="str">
        <f aca="false">IF($C27="","","C")</f>
        <v>C</v>
      </c>
      <c r="H27" s="34" t="str">
        <f aca="false">IF($C27="","",IF($G27="A",CONFIG!$B$5,IF($G27="B",CONFIG!$B$6,IF($G27="C",CONFIG!$B$7,"Gerência + coordenadores"))))</f>
        <v>(preencha o nome)</v>
      </c>
      <c r="I27" s="34"/>
      <c r="J27" s="56"/>
      <c r="K27" s="53"/>
      <c r="L27" s="53"/>
      <c r="M27" s="54"/>
      <c r="N27" s="54"/>
      <c r="O27" s="54"/>
      <c r="P27" s="55"/>
      <c r="Q27" s="56"/>
      <c r="R27" s="57"/>
      <c r="S27" s="34" t="str">
        <f aca="true">IF($C27="","",IF($Q27="Cancelada","Cancelada",IF($Q27="Reprovado","Reprovada",IF($Q27="Aprovado","Aprovada",IF($M27&lt;&gt;"","Entregue",IF(TODAY()&gt;$C27,"Atrasada","Pendente"))))))</f>
        <v>Pendente</v>
      </c>
      <c r="T27" s="58"/>
      <c r="U27" s="58"/>
      <c r="V27" s="58"/>
    </row>
    <row r="28" customFormat="false" ht="22.35" hidden="false" customHeight="false" outlineLevel="0" collapsed="false">
      <c r="A28" s="59" t="str">
        <f aca="false">IF($C28="","",$X$2&amp;"-S"&amp;INT(($C28-WEEKDAY($C28,2)+11-DATE(YEAR($C28+4-WEEKDAY($C28,2)),1,1))/7)&amp;"-RSC-A")</f>
        <v>AGO-S32-RSC-A</v>
      </c>
      <c r="B28" s="30" t="str">
        <f aca="false">IF($C28="","","S"&amp;INT(($C28-WEEKDAY($C28,2)+11-DATE(YEAR($C28+4-WEEKDAY($C28,2)),1,1))/7))</f>
        <v>S32</v>
      </c>
      <c r="C28" s="52" t="n">
        <f aca="false">IF(MONTH(($X$1-WEEKDAY($X$1,3)+7)+3)=MONTH($X$1),($X$1-WEEKDAY($X$1,3)+7)+3,"")</f>
        <v>46240</v>
      </c>
      <c r="D28" s="27" t="str">
        <f aca="false">IF($C28="","","Relatório Semanal Consolidado (erros + metas + faltas + supervisores)")</f>
        <v>Relatório Semanal Consolidado (erros + metas + faltas + supervisores)</v>
      </c>
      <c r="E28" s="27"/>
      <c r="F28" s="27"/>
      <c r="G28" s="30" t="str">
        <f aca="false">IF($C28="","","A")</f>
        <v>A</v>
      </c>
      <c r="H28" s="30" t="str">
        <f aca="false">IF($C28="","",IF($G28="A",CONFIG!$B$5,IF($G28="B",CONFIG!$B$6,IF($G28="C",CONFIG!$B$7,"Gerência + coordenadores"))))</f>
        <v>(preencha o nome)</v>
      </c>
      <c r="I28" s="30"/>
      <c r="J28" s="32" t="str">
        <f aca="false">IF($C28="","","—")</f>
        <v>—</v>
      </c>
      <c r="K28" s="61"/>
      <c r="L28" s="61"/>
      <c r="M28" s="54"/>
      <c r="N28" s="54"/>
      <c r="O28" s="54"/>
      <c r="P28" s="60"/>
      <c r="Q28" s="56"/>
      <c r="R28" s="57"/>
      <c r="S28" s="30" t="str">
        <f aca="true">IF($C28="","",IF($Q28="Cancelada","Cancelada",IF($Q28="Reprovado","Reprovada",IF($Q28="Aprovado","Aprovada",IF($M28&lt;&gt;"","Entregue",IF(TODAY()&gt;$C28,"Atrasada","Pendente"))))))</f>
        <v>Pendente</v>
      </c>
      <c r="T28" s="58"/>
      <c r="U28" s="58"/>
      <c r="V28" s="58"/>
    </row>
    <row r="29" customFormat="false" ht="22.35" hidden="false" customHeight="false" outlineLevel="0" collapsed="false">
      <c r="A29" s="51" t="str">
        <f aca="false">IF($C29="","",$X$2&amp;"-S"&amp;INT(($C29-WEEKDAY($C29,2)+11-DATE(YEAR($C29+4-WEEKDAY($C29,2)),1,1))/7)&amp;"-RSC-B")</f>
        <v>AGO-S32-RSC-B</v>
      </c>
      <c r="B29" s="34" t="str">
        <f aca="false">IF($C29="","","S"&amp;INT(($C29-WEEKDAY($C29,2)+11-DATE(YEAR($C29+4-WEEKDAY($C29,2)),1,1))/7))</f>
        <v>S32</v>
      </c>
      <c r="C29" s="52" t="n">
        <f aca="false">IF(MONTH(($X$1-WEEKDAY($X$1,3)+7)+3)=MONTH($X$1),($X$1-WEEKDAY($X$1,3)+7)+3,"")</f>
        <v>46240</v>
      </c>
      <c r="D29" s="9" t="str">
        <f aca="false">IF($C29="","","Relatório Semanal Consolidado (erros + metas + faltas + supervisores)")</f>
        <v>Relatório Semanal Consolidado (erros + metas + faltas + supervisores)</v>
      </c>
      <c r="E29" s="9"/>
      <c r="F29" s="9"/>
      <c r="G29" s="34" t="str">
        <f aca="false">IF($C29="","","B")</f>
        <v>B</v>
      </c>
      <c r="H29" s="34" t="str">
        <f aca="false">IF($C29="","",IF($G29="A",CONFIG!$B$5,IF($G29="B",CONFIG!$B$6,IF($G29="C",CONFIG!$B$7,"Gerência + coordenadores"))))</f>
        <v>(preencha o nome)</v>
      </c>
      <c r="I29" s="34"/>
      <c r="J29" s="32" t="str">
        <f aca="false">IF($C29="","","—")</f>
        <v>—</v>
      </c>
      <c r="K29" s="61"/>
      <c r="L29" s="61"/>
      <c r="M29" s="54"/>
      <c r="N29" s="54"/>
      <c r="O29" s="54"/>
      <c r="P29" s="55"/>
      <c r="Q29" s="56"/>
      <c r="R29" s="57"/>
      <c r="S29" s="34" t="str">
        <f aca="true">IF($C29="","",IF($Q29="Cancelada","Cancelada",IF($Q29="Reprovado","Reprovada",IF($Q29="Aprovado","Aprovada",IF($M29&lt;&gt;"","Entregue",IF(TODAY()&gt;$C29,"Atrasada","Pendente"))))))</f>
        <v>Pendente</v>
      </c>
      <c r="T29" s="58"/>
      <c r="U29" s="58"/>
      <c r="V29" s="58"/>
    </row>
    <row r="30" customFormat="false" ht="22.35" hidden="false" customHeight="false" outlineLevel="0" collapsed="false">
      <c r="A30" s="59" t="str">
        <f aca="false">IF($C30="","",$X$2&amp;"-S"&amp;INT(($C30-WEEKDAY($C30,2)+11-DATE(YEAR($C30+4-WEEKDAY($C30,2)),1,1))/7)&amp;"-RSC-C")</f>
        <v>AGO-S32-RSC-C</v>
      </c>
      <c r="B30" s="30" t="str">
        <f aca="false">IF($C30="","","S"&amp;INT(($C30-WEEKDAY($C30,2)+11-DATE(YEAR($C30+4-WEEKDAY($C30,2)),1,1))/7))</f>
        <v>S32</v>
      </c>
      <c r="C30" s="52" t="n">
        <f aca="false">IF(MONTH(($X$1-WEEKDAY($X$1,3)+7)+3)=MONTH($X$1),($X$1-WEEKDAY($X$1,3)+7)+3,"")</f>
        <v>46240</v>
      </c>
      <c r="D30" s="27" t="str">
        <f aca="false">IF($C30="","","Relatório Semanal Consolidado (erros + metas + faltas + supervisores)")</f>
        <v>Relatório Semanal Consolidado (erros + metas + faltas + supervisores)</v>
      </c>
      <c r="E30" s="27"/>
      <c r="F30" s="27"/>
      <c r="G30" s="30" t="str">
        <f aca="false">IF($C30="","","C")</f>
        <v>C</v>
      </c>
      <c r="H30" s="30" t="str">
        <f aca="false">IF($C30="","",IF($G30="A",CONFIG!$B$5,IF($G30="B",CONFIG!$B$6,IF($G30="C",CONFIG!$B$7,"Gerência + coordenadores"))))</f>
        <v>(preencha o nome)</v>
      </c>
      <c r="I30" s="30"/>
      <c r="J30" s="32" t="str">
        <f aca="false">IF($C30="","","—")</f>
        <v>—</v>
      </c>
      <c r="K30" s="61"/>
      <c r="L30" s="61"/>
      <c r="M30" s="54"/>
      <c r="N30" s="54"/>
      <c r="O30" s="54"/>
      <c r="P30" s="60"/>
      <c r="Q30" s="56"/>
      <c r="R30" s="57"/>
      <c r="S30" s="30" t="str">
        <f aca="true">IF($C30="","",IF($Q30="Cancelada","Cancelada",IF($Q30="Reprovado","Reprovada",IF($Q30="Aprovado","Aprovada",IF($M30&lt;&gt;"","Entregue",IF(TODAY()&gt;$C30,"Atrasada","Pendente"))))))</f>
        <v>Pendente</v>
      </c>
      <c r="T30" s="58"/>
      <c r="U30" s="58"/>
      <c r="V30" s="58"/>
    </row>
    <row r="31" customFormat="false" ht="24" hidden="false" customHeight="true" outlineLevel="0" collapsed="false">
      <c r="A31" s="51" t="str">
        <f aca="false">IF($C31="","",$X$2&amp;"-S"&amp;INT(($C31-WEEKDAY($C31,2)+11-DATE(YEAR($C31+4-WEEKDAY($C31,2)),1,1))/7)&amp;"-REU-T")</f>
        <v>AGO-S32-REU-T</v>
      </c>
      <c r="B31" s="34" t="str">
        <f aca="false">IF($C31="","","S"&amp;INT(($C31-WEEKDAY($C31,2)+11-DATE(YEAR($C31+4-WEEKDAY($C31,2)),1,1))/7))</f>
        <v>S32</v>
      </c>
      <c r="C31" s="52" t="n">
        <f aca="false">IF(MONTH(($X$1-WEEKDAY($X$1,3)+7)+4)=MONTH($X$1),($X$1-WEEKDAY($X$1,3)+7)+4,"")</f>
        <v>46241</v>
      </c>
      <c r="D31" s="9" t="str">
        <f aca="false">IF($C31="","","Reunião Semanal com a Gerência")</f>
        <v>Reunião Semanal com a Gerência</v>
      </c>
      <c r="E31" s="9"/>
      <c r="F31" s="9"/>
      <c r="G31" s="34" t="str">
        <f aca="false">IF($C31="","","Todos")</f>
        <v>Todos</v>
      </c>
      <c r="H31" s="34" t="str">
        <f aca="false">IF($C31="","",IF($G31="A",CONFIG!$B$5,IF($G31="B",CONFIG!$B$6,IF($G31="C",CONFIG!$B$7,"Gerência + coordenadores"))))</f>
        <v>Gerência + coordenadores</v>
      </c>
      <c r="I31" s="34"/>
      <c r="J31" s="32" t="str">
        <f aca="false">IF($C31="","","—")</f>
        <v>—</v>
      </c>
      <c r="K31" s="53"/>
      <c r="L31" s="53"/>
      <c r="M31" s="54"/>
      <c r="N31" s="54"/>
      <c r="O31" s="54"/>
      <c r="P31" s="55"/>
      <c r="Q31" s="56"/>
      <c r="R31" s="57"/>
      <c r="S31" s="34" t="str">
        <f aca="true">IF($C31="","",IF($Q31="Cancelada","Cancelada",IF($Q31="Reprovado","Reprovada",IF($Q31="Aprovado","Aprovada",IF($M31&lt;&gt;"","Entregue",IF(TODAY()&gt;$C31,"Atrasada","Pendente"))))))</f>
        <v>Pendente</v>
      </c>
      <c r="T31" s="58"/>
      <c r="U31" s="58"/>
      <c r="V31" s="58"/>
    </row>
    <row r="32" customFormat="false" ht="22.35" hidden="false" customHeight="false" outlineLevel="0" collapsed="false">
      <c r="A32" s="59" t="str">
        <f aca="false">IF($C32="","",$X$2&amp;"-S"&amp;INT(($C32-WEEKDAY($C32,2)+11-DATE(YEAR($C32+4-WEEKDAY($C32,2)),1,1))/7)&amp;"-VIS-A")</f>
        <v>AGO-S33-VIS-A</v>
      </c>
      <c r="B32" s="30" t="str">
        <f aca="false">IF($C32="","","S"&amp;INT(($C32-WEEKDAY($C32,2)+11-DATE(YEAR($C32+4-WEEKDAY($C32,2)),1,1))/7))</f>
        <v>S33</v>
      </c>
      <c r="C32" s="52" t="n">
        <f aca="false">IF(MONTH(($X$1-WEEKDAY($X$1,3)+14)+2)=MONTH($X$1),($X$1-WEEKDAY($X$1,3)+14)+2,"")</f>
        <v>46246</v>
      </c>
      <c r="D32" s="27" t="str">
        <f aca="false">IF($C32="","","Vistoria Setorial (checklist no setor definido pelo gerente)")</f>
        <v>Vistoria Setorial (checklist no setor definido pelo gerente)</v>
      </c>
      <c r="E32" s="27"/>
      <c r="F32" s="27"/>
      <c r="G32" s="30" t="str">
        <f aca="false">IF($C32="","","A")</f>
        <v>A</v>
      </c>
      <c r="H32" s="30" t="str">
        <f aca="false">IF($C32="","",IF($G32="A",CONFIG!$B$5,IF($G32="B",CONFIG!$B$6,IF($G32="C",CONFIG!$B$7,"Gerência + coordenadores"))))</f>
        <v>(preencha o nome)</v>
      </c>
      <c r="I32" s="30"/>
      <c r="J32" s="56"/>
      <c r="K32" s="53"/>
      <c r="L32" s="53"/>
      <c r="M32" s="54"/>
      <c r="N32" s="54"/>
      <c r="O32" s="54"/>
      <c r="P32" s="60"/>
      <c r="Q32" s="56"/>
      <c r="R32" s="57"/>
      <c r="S32" s="30" t="str">
        <f aca="true">IF($C32="","",IF($Q32="Cancelada","Cancelada",IF($Q32="Reprovado","Reprovada",IF($Q32="Aprovado","Aprovada",IF($M32&lt;&gt;"","Entregue",IF(TODAY()&gt;$C32,"Atrasada","Pendente"))))))</f>
        <v>Pendente</v>
      </c>
      <c r="T32" s="58"/>
      <c r="U32" s="58"/>
      <c r="V32" s="58"/>
    </row>
    <row r="33" customFormat="false" ht="22.35" hidden="false" customHeight="false" outlineLevel="0" collapsed="false">
      <c r="A33" s="51" t="str">
        <f aca="false">IF($C33="","",$X$2&amp;"-S"&amp;INT(($C33-WEEKDAY($C33,2)+11-DATE(YEAR($C33+4-WEEKDAY($C33,2)),1,1))/7)&amp;"-VIS-B")</f>
        <v>AGO-S33-VIS-B</v>
      </c>
      <c r="B33" s="34" t="str">
        <f aca="false">IF($C33="","","S"&amp;INT(($C33-WEEKDAY($C33,2)+11-DATE(YEAR($C33+4-WEEKDAY($C33,2)),1,1))/7))</f>
        <v>S33</v>
      </c>
      <c r="C33" s="52" t="n">
        <f aca="false">IF(MONTH(($X$1-WEEKDAY($X$1,3)+14)+2)=MONTH($X$1),($X$1-WEEKDAY($X$1,3)+14)+2,"")</f>
        <v>46246</v>
      </c>
      <c r="D33" s="9" t="str">
        <f aca="false">IF($C33="","","Vistoria Setorial (checklist no setor definido pelo gerente)")</f>
        <v>Vistoria Setorial (checklist no setor definido pelo gerente)</v>
      </c>
      <c r="E33" s="9"/>
      <c r="F33" s="9"/>
      <c r="G33" s="34" t="str">
        <f aca="false">IF($C33="","","B")</f>
        <v>B</v>
      </c>
      <c r="H33" s="34" t="str">
        <f aca="false">IF($C33="","",IF($G33="A",CONFIG!$B$5,IF($G33="B",CONFIG!$B$6,IF($G33="C",CONFIG!$B$7,"Gerência + coordenadores"))))</f>
        <v>(preencha o nome)</v>
      </c>
      <c r="I33" s="34"/>
      <c r="J33" s="56"/>
      <c r="K33" s="53"/>
      <c r="L33" s="53"/>
      <c r="M33" s="54"/>
      <c r="N33" s="54"/>
      <c r="O33" s="54"/>
      <c r="P33" s="55"/>
      <c r="Q33" s="56"/>
      <c r="R33" s="57"/>
      <c r="S33" s="34" t="str">
        <f aca="true">IF($C33="","",IF($Q33="Cancelada","Cancelada",IF($Q33="Reprovado","Reprovada",IF($Q33="Aprovado","Aprovada",IF($M33&lt;&gt;"","Entregue",IF(TODAY()&gt;$C33,"Atrasada","Pendente"))))))</f>
        <v>Pendente</v>
      </c>
      <c r="T33" s="58"/>
      <c r="U33" s="58"/>
      <c r="V33" s="58"/>
    </row>
    <row r="34" customFormat="false" ht="22.35" hidden="false" customHeight="false" outlineLevel="0" collapsed="false">
      <c r="A34" s="59" t="str">
        <f aca="false">IF($C34="","",$X$2&amp;"-S"&amp;INT(($C34-WEEKDAY($C34,2)+11-DATE(YEAR($C34+4-WEEKDAY($C34,2)),1,1))/7)&amp;"-VIS-C")</f>
        <v>AGO-S33-VIS-C</v>
      </c>
      <c r="B34" s="30" t="str">
        <f aca="false">IF($C34="","","S"&amp;INT(($C34-WEEKDAY($C34,2)+11-DATE(YEAR($C34+4-WEEKDAY($C34,2)),1,1))/7))</f>
        <v>S33</v>
      </c>
      <c r="C34" s="52" t="n">
        <f aca="false">IF(MONTH(($X$1-WEEKDAY($X$1,3)+14)+2)=MONTH($X$1),($X$1-WEEKDAY($X$1,3)+14)+2,"")</f>
        <v>46246</v>
      </c>
      <c r="D34" s="27" t="str">
        <f aca="false">IF($C34="","","Vistoria Setorial (checklist no setor definido pelo gerente)")</f>
        <v>Vistoria Setorial (checklist no setor definido pelo gerente)</v>
      </c>
      <c r="E34" s="27"/>
      <c r="F34" s="27"/>
      <c r="G34" s="30" t="str">
        <f aca="false">IF($C34="","","C")</f>
        <v>C</v>
      </c>
      <c r="H34" s="30" t="str">
        <f aca="false">IF($C34="","",IF($G34="A",CONFIG!$B$5,IF($G34="B",CONFIG!$B$6,IF($G34="C",CONFIG!$B$7,"Gerência + coordenadores"))))</f>
        <v>(preencha o nome)</v>
      </c>
      <c r="I34" s="30"/>
      <c r="J34" s="56"/>
      <c r="K34" s="53"/>
      <c r="L34" s="53"/>
      <c r="M34" s="54"/>
      <c r="N34" s="54"/>
      <c r="O34" s="54"/>
      <c r="P34" s="60"/>
      <c r="Q34" s="56"/>
      <c r="R34" s="57"/>
      <c r="S34" s="30" t="str">
        <f aca="true">IF($C34="","",IF($Q34="Cancelada","Cancelada",IF($Q34="Reprovado","Reprovada",IF($Q34="Aprovado","Aprovada",IF($M34&lt;&gt;"","Entregue",IF(TODAY()&gt;$C34,"Atrasada","Pendente"))))))</f>
        <v>Pendente</v>
      </c>
      <c r="T34" s="58"/>
      <c r="U34" s="58"/>
      <c r="V34" s="58"/>
    </row>
    <row r="35" customFormat="false" ht="22.35" hidden="false" customHeight="false" outlineLevel="0" collapsed="false">
      <c r="A35" s="51" t="str">
        <f aca="false">IF($C35="","",$X$2&amp;"-S"&amp;INT(($C35-WEEKDAY($C35,2)+11-DATE(YEAR($C35+4-WEEKDAY($C35,2)),1,1))/7)&amp;"-RSC-A")</f>
        <v>AGO-S33-RSC-A</v>
      </c>
      <c r="B35" s="34" t="str">
        <f aca="false">IF($C35="","","S"&amp;INT(($C35-WEEKDAY($C35,2)+11-DATE(YEAR($C35+4-WEEKDAY($C35,2)),1,1))/7))</f>
        <v>S33</v>
      </c>
      <c r="C35" s="52" t="n">
        <f aca="false">IF(MONTH(($X$1-WEEKDAY($X$1,3)+14)+3)=MONTH($X$1),($X$1-WEEKDAY($X$1,3)+14)+3,"")</f>
        <v>46247</v>
      </c>
      <c r="D35" s="9" t="str">
        <f aca="false">IF($C35="","","Relatório Semanal Consolidado (erros + metas + faltas + supervisores)")</f>
        <v>Relatório Semanal Consolidado (erros + metas + faltas + supervisores)</v>
      </c>
      <c r="E35" s="9"/>
      <c r="F35" s="9"/>
      <c r="G35" s="34" t="str">
        <f aca="false">IF($C35="","","A")</f>
        <v>A</v>
      </c>
      <c r="H35" s="34" t="str">
        <f aca="false">IF($C35="","",IF($G35="A",CONFIG!$B$5,IF($G35="B",CONFIG!$B$6,IF($G35="C",CONFIG!$B$7,"Gerência + coordenadores"))))</f>
        <v>(preencha o nome)</v>
      </c>
      <c r="I35" s="34"/>
      <c r="J35" s="32" t="str">
        <f aca="false">IF($C35="","","—")</f>
        <v>—</v>
      </c>
      <c r="K35" s="61"/>
      <c r="L35" s="61"/>
      <c r="M35" s="54"/>
      <c r="N35" s="54"/>
      <c r="O35" s="54"/>
      <c r="P35" s="55"/>
      <c r="Q35" s="56"/>
      <c r="R35" s="57"/>
      <c r="S35" s="34" t="str">
        <f aca="true">IF($C35="","",IF($Q35="Cancelada","Cancelada",IF($Q35="Reprovado","Reprovada",IF($Q35="Aprovado","Aprovada",IF($M35&lt;&gt;"","Entregue",IF(TODAY()&gt;$C35,"Atrasada","Pendente"))))))</f>
        <v>Pendente</v>
      </c>
      <c r="T35" s="58"/>
      <c r="U35" s="58"/>
      <c r="V35" s="58"/>
    </row>
    <row r="36" customFormat="false" ht="22.35" hidden="false" customHeight="false" outlineLevel="0" collapsed="false">
      <c r="A36" s="59" t="str">
        <f aca="false">IF($C36="","",$X$2&amp;"-S"&amp;INT(($C36-WEEKDAY($C36,2)+11-DATE(YEAR($C36+4-WEEKDAY($C36,2)),1,1))/7)&amp;"-RSC-B")</f>
        <v>AGO-S33-RSC-B</v>
      </c>
      <c r="B36" s="30" t="str">
        <f aca="false">IF($C36="","","S"&amp;INT(($C36-WEEKDAY($C36,2)+11-DATE(YEAR($C36+4-WEEKDAY($C36,2)),1,1))/7))</f>
        <v>S33</v>
      </c>
      <c r="C36" s="52" t="n">
        <f aca="false">IF(MONTH(($X$1-WEEKDAY($X$1,3)+14)+3)=MONTH($X$1),($X$1-WEEKDAY($X$1,3)+14)+3,"")</f>
        <v>46247</v>
      </c>
      <c r="D36" s="27" t="str">
        <f aca="false">IF($C36="","","Relatório Semanal Consolidado (erros + metas + faltas + supervisores)")</f>
        <v>Relatório Semanal Consolidado (erros + metas + faltas + supervisores)</v>
      </c>
      <c r="E36" s="27"/>
      <c r="F36" s="27"/>
      <c r="G36" s="30" t="str">
        <f aca="false">IF($C36="","","B")</f>
        <v>B</v>
      </c>
      <c r="H36" s="30" t="str">
        <f aca="false">IF($C36="","",IF($G36="A",CONFIG!$B$5,IF($G36="B",CONFIG!$B$6,IF($G36="C",CONFIG!$B$7,"Gerência + coordenadores"))))</f>
        <v>(preencha o nome)</v>
      </c>
      <c r="I36" s="30"/>
      <c r="J36" s="32" t="str">
        <f aca="false">IF($C36="","","—")</f>
        <v>—</v>
      </c>
      <c r="K36" s="61"/>
      <c r="L36" s="61"/>
      <c r="M36" s="54"/>
      <c r="N36" s="54"/>
      <c r="O36" s="54"/>
      <c r="P36" s="60"/>
      <c r="Q36" s="56"/>
      <c r="R36" s="57"/>
      <c r="S36" s="30" t="str">
        <f aca="true">IF($C36="","",IF($Q36="Cancelada","Cancelada",IF($Q36="Reprovado","Reprovada",IF($Q36="Aprovado","Aprovada",IF($M36&lt;&gt;"","Entregue",IF(TODAY()&gt;$C36,"Atrasada","Pendente"))))))</f>
        <v>Pendente</v>
      </c>
      <c r="T36" s="58"/>
      <c r="U36" s="58"/>
      <c r="V36" s="58"/>
    </row>
    <row r="37" customFormat="false" ht="22.35" hidden="false" customHeight="false" outlineLevel="0" collapsed="false">
      <c r="A37" s="51" t="str">
        <f aca="false">IF($C37="","",$X$2&amp;"-S"&amp;INT(($C37-WEEKDAY($C37,2)+11-DATE(YEAR($C37+4-WEEKDAY($C37,2)),1,1))/7)&amp;"-RSC-C")</f>
        <v>AGO-S33-RSC-C</v>
      </c>
      <c r="B37" s="34" t="str">
        <f aca="false">IF($C37="","","S"&amp;INT(($C37-WEEKDAY($C37,2)+11-DATE(YEAR($C37+4-WEEKDAY($C37,2)),1,1))/7))</f>
        <v>S33</v>
      </c>
      <c r="C37" s="52" t="n">
        <f aca="false">IF(MONTH(($X$1-WEEKDAY($X$1,3)+14)+3)=MONTH($X$1),($X$1-WEEKDAY($X$1,3)+14)+3,"")</f>
        <v>46247</v>
      </c>
      <c r="D37" s="9" t="str">
        <f aca="false">IF($C37="","","Relatório Semanal Consolidado (erros + metas + faltas + supervisores)")</f>
        <v>Relatório Semanal Consolidado (erros + metas + faltas + supervisores)</v>
      </c>
      <c r="E37" s="9"/>
      <c r="F37" s="9"/>
      <c r="G37" s="34" t="str">
        <f aca="false">IF($C37="","","C")</f>
        <v>C</v>
      </c>
      <c r="H37" s="34" t="str">
        <f aca="false">IF($C37="","",IF($G37="A",CONFIG!$B$5,IF($G37="B",CONFIG!$B$6,IF($G37="C",CONFIG!$B$7,"Gerência + coordenadores"))))</f>
        <v>(preencha o nome)</v>
      </c>
      <c r="I37" s="34"/>
      <c r="J37" s="32" t="str">
        <f aca="false">IF($C37="","","—")</f>
        <v>—</v>
      </c>
      <c r="K37" s="61"/>
      <c r="L37" s="61"/>
      <c r="M37" s="54"/>
      <c r="N37" s="54"/>
      <c r="O37" s="54"/>
      <c r="P37" s="55"/>
      <c r="Q37" s="56"/>
      <c r="R37" s="57"/>
      <c r="S37" s="34" t="str">
        <f aca="true">IF($C37="","",IF($Q37="Cancelada","Cancelada",IF($Q37="Reprovado","Reprovada",IF($Q37="Aprovado","Aprovada",IF($M37&lt;&gt;"","Entregue",IF(TODAY()&gt;$C37,"Atrasada","Pendente"))))))</f>
        <v>Pendente</v>
      </c>
      <c r="T37" s="58"/>
      <c r="U37" s="58"/>
      <c r="V37" s="58"/>
    </row>
    <row r="38" customFormat="false" ht="24" hidden="false" customHeight="true" outlineLevel="0" collapsed="false">
      <c r="A38" s="59" t="str">
        <f aca="false">IF($C38="","",$X$2&amp;"-S"&amp;INT(($C38-WEEKDAY($C38,2)+11-DATE(YEAR($C38+4-WEEKDAY($C38,2)),1,1))/7)&amp;"-REU-T")</f>
        <v>AGO-S33-REU-T</v>
      </c>
      <c r="B38" s="30" t="str">
        <f aca="false">IF($C38="","","S"&amp;INT(($C38-WEEKDAY($C38,2)+11-DATE(YEAR($C38+4-WEEKDAY($C38,2)),1,1))/7))</f>
        <v>S33</v>
      </c>
      <c r="C38" s="52" t="n">
        <f aca="false">IF(MONTH(($X$1-WEEKDAY($X$1,3)+14)+4)=MONTH($X$1),($X$1-WEEKDAY($X$1,3)+14)+4,"")</f>
        <v>46248</v>
      </c>
      <c r="D38" s="27" t="str">
        <f aca="false">IF($C38="","","Reunião Semanal com a Gerência")</f>
        <v>Reunião Semanal com a Gerência</v>
      </c>
      <c r="E38" s="27"/>
      <c r="F38" s="27"/>
      <c r="G38" s="30" t="str">
        <f aca="false">IF($C38="","","Todos")</f>
        <v>Todos</v>
      </c>
      <c r="H38" s="30" t="str">
        <f aca="false">IF($C38="","",IF($G38="A",CONFIG!$B$5,IF($G38="B",CONFIG!$B$6,IF($G38="C",CONFIG!$B$7,"Gerência + coordenadores"))))</f>
        <v>Gerência + coordenadores</v>
      </c>
      <c r="I38" s="30"/>
      <c r="J38" s="32" t="str">
        <f aca="false">IF($C38="","","—")</f>
        <v>—</v>
      </c>
      <c r="K38" s="53"/>
      <c r="L38" s="53"/>
      <c r="M38" s="54"/>
      <c r="N38" s="54"/>
      <c r="O38" s="54"/>
      <c r="P38" s="60"/>
      <c r="Q38" s="56"/>
      <c r="R38" s="57"/>
      <c r="S38" s="30" t="str">
        <f aca="true">IF($C38="","",IF($Q38="Cancelada","Cancelada",IF($Q38="Reprovado","Reprovada",IF($Q38="Aprovado","Aprovada",IF($M38&lt;&gt;"","Entregue",IF(TODAY()&gt;$C38,"Atrasada","Pendente"))))))</f>
        <v>Pendente</v>
      </c>
      <c r="T38" s="58"/>
      <c r="U38" s="58"/>
      <c r="V38" s="58"/>
    </row>
    <row r="39" customFormat="false" ht="22.35" hidden="false" customHeight="false" outlineLevel="0" collapsed="false">
      <c r="A39" s="51" t="str">
        <f aca="false">IF($C39="","",$X$2&amp;"-S"&amp;INT(($C39-WEEKDAY($C39,2)+11-DATE(YEAR($C39+4-WEEKDAY($C39,2)),1,1))/7)&amp;"-VIS-A")</f>
        <v>AGO-S34-VIS-A</v>
      </c>
      <c r="B39" s="34" t="str">
        <f aca="false">IF($C39="","","S"&amp;INT(($C39-WEEKDAY($C39,2)+11-DATE(YEAR($C39+4-WEEKDAY($C39,2)),1,1))/7))</f>
        <v>S34</v>
      </c>
      <c r="C39" s="52" t="n">
        <f aca="false">IF(MONTH(($X$1-WEEKDAY($X$1,3)+21)+2)=MONTH($X$1),($X$1-WEEKDAY($X$1,3)+21)+2,"")</f>
        <v>46253</v>
      </c>
      <c r="D39" s="9" t="str">
        <f aca="false">IF($C39="","","Vistoria Setorial (checklist no setor definido pelo gerente)")</f>
        <v>Vistoria Setorial (checklist no setor definido pelo gerente)</v>
      </c>
      <c r="E39" s="9"/>
      <c r="F39" s="9"/>
      <c r="G39" s="34" t="str">
        <f aca="false">IF($C39="","","A")</f>
        <v>A</v>
      </c>
      <c r="H39" s="34" t="str">
        <f aca="false">IF($C39="","",IF($G39="A",CONFIG!$B$5,IF($G39="B",CONFIG!$B$6,IF($G39="C",CONFIG!$B$7,"Gerência + coordenadores"))))</f>
        <v>(preencha o nome)</v>
      </c>
      <c r="I39" s="34"/>
      <c r="J39" s="56"/>
      <c r="K39" s="53"/>
      <c r="L39" s="53"/>
      <c r="M39" s="54"/>
      <c r="N39" s="54"/>
      <c r="O39" s="54"/>
      <c r="P39" s="55"/>
      <c r="Q39" s="56"/>
      <c r="R39" s="57"/>
      <c r="S39" s="34" t="str">
        <f aca="true">IF($C39="","",IF($Q39="Cancelada","Cancelada",IF($Q39="Reprovado","Reprovada",IF($Q39="Aprovado","Aprovada",IF($M39&lt;&gt;"","Entregue",IF(TODAY()&gt;$C39,"Atrasada","Pendente"))))))</f>
        <v>Pendente</v>
      </c>
      <c r="T39" s="58"/>
      <c r="U39" s="58"/>
      <c r="V39" s="58"/>
    </row>
    <row r="40" customFormat="false" ht="22.35" hidden="false" customHeight="false" outlineLevel="0" collapsed="false">
      <c r="A40" s="59" t="str">
        <f aca="false">IF($C40="","",$X$2&amp;"-S"&amp;INT(($C40-WEEKDAY($C40,2)+11-DATE(YEAR($C40+4-WEEKDAY($C40,2)),1,1))/7)&amp;"-VIS-B")</f>
        <v>AGO-S34-VIS-B</v>
      </c>
      <c r="B40" s="30" t="str">
        <f aca="false">IF($C40="","","S"&amp;INT(($C40-WEEKDAY($C40,2)+11-DATE(YEAR($C40+4-WEEKDAY($C40,2)),1,1))/7))</f>
        <v>S34</v>
      </c>
      <c r="C40" s="52" t="n">
        <f aca="false">IF(MONTH(($X$1-WEEKDAY($X$1,3)+21)+2)=MONTH($X$1),($X$1-WEEKDAY($X$1,3)+21)+2,"")</f>
        <v>46253</v>
      </c>
      <c r="D40" s="27" t="str">
        <f aca="false">IF($C40="","","Vistoria Setorial (checklist no setor definido pelo gerente)")</f>
        <v>Vistoria Setorial (checklist no setor definido pelo gerente)</v>
      </c>
      <c r="E40" s="27"/>
      <c r="F40" s="27"/>
      <c r="G40" s="30" t="str">
        <f aca="false">IF($C40="","","B")</f>
        <v>B</v>
      </c>
      <c r="H40" s="30" t="str">
        <f aca="false">IF($C40="","",IF($G40="A",CONFIG!$B$5,IF($G40="B",CONFIG!$B$6,IF($G40="C",CONFIG!$B$7,"Gerência + coordenadores"))))</f>
        <v>(preencha o nome)</v>
      </c>
      <c r="I40" s="30"/>
      <c r="J40" s="56"/>
      <c r="K40" s="53"/>
      <c r="L40" s="53"/>
      <c r="M40" s="54"/>
      <c r="N40" s="54"/>
      <c r="O40" s="54"/>
      <c r="P40" s="60"/>
      <c r="Q40" s="56"/>
      <c r="R40" s="57"/>
      <c r="S40" s="30" t="str">
        <f aca="true">IF($C40="","",IF($Q40="Cancelada","Cancelada",IF($Q40="Reprovado","Reprovada",IF($Q40="Aprovado","Aprovada",IF($M40&lt;&gt;"","Entregue",IF(TODAY()&gt;$C40,"Atrasada","Pendente"))))))</f>
        <v>Pendente</v>
      </c>
      <c r="T40" s="58"/>
      <c r="U40" s="58"/>
      <c r="V40" s="58"/>
    </row>
    <row r="41" customFormat="false" ht="22.35" hidden="false" customHeight="false" outlineLevel="0" collapsed="false">
      <c r="A41" s="51" t="str">
        <f aca="false">IF($C41="","",$X$2&amp;"-S"&amp;INT(($C41-WEEKDAY($C41,2)+11-DATE(YEAR($C41+4-WEEKDAY($C41,2)),1,1))/7)&amp;"-VIS-C")</f>
        <v>AGO-S34-VIS-C</v>
      </c>
      <c r="B41" s="34" t="str">
        <f aca="false">IF($C41="","","S"&amp;INT(($C41-WEEKDAY($C41,2)+11-DATE(YEAR($C41+4-WEEKDAY($C41,2)),1,1))/7))</f>
        <v>S34</v>
      </c>
      <c r="C41" s="52" t="n">
        <f aca="false">IF(MONTH(($X$1-WEEKDAY($X$1,3)+21)+2)=MONTH($X$1),($X$1-WEEKDAY($X$1,3)+21)+2,"")</f>
        <v>46253</v>
      </c>
      <c r="D41" s="9" t="str">
        <f aca="false">IF($C41="","","Vistoria Setorial (checklist no setor definido pelo gerente)")</f>
        <v>Vistoria Setorial (checklist no setor definido pelo gerente)</v>
      </c>
      <c r="E41" s="9"/>
      <c r="F41" s="9"/>
      <c r="G41" s="34" t="str">
        <f aca="false">IF($C41="","","C")</f>
        <v>C</v>
      </c>
      <c r="H41" s="34" t="str">
        <f aca="false">IF($C41="","",IF($G41="A",CONFIG!$B$5,IF($G41="B",CONFIG!$B$6,IF($G41="C",CONFIG!$B$7,"Gerência + coordenadores"))))</f>
        <v>(preencha o nome)</v>
      </c>
      <c r="I41" s="34"/>
      <c r="J41" s="56"/>
      <c r="K41" s="53"/>
      <c r="L41" s="53"/>
      <c r="M41" s="54"/>
      <c r="N41" s="54"/>
      <c r="O41" s="54"/>
      <c r="P41" s="55"/>
      <c r="Q41" s="56"/>
      <c r="R41" s="57"/>
      <c r="S41" s="34" t="str">
        <f aca="true">IF($C41="","",IF($Q41="Cancelada","Cancelada",IF($Q41="Reprovado","Reprovada",IF($Q41="Aprovado","Aprovada",IF($M41&lt;&gt;"","Entregue",IF(TODAY()&gt;$C41,"Atrasada","Pendente"))))))</f>
        <v>Pendente</v>
      </c>
      <c r="T41" s="58"/>
      <c r="U41" s="58"/>
      <c r="V41" s="58"/>
    </row>
    <row r="42" customFormat="false" ht="22.35" hidden="false" customHeight="false" outlineLevel="0" collapsed="false">
      <c r="A42" s="59" t="str">
        <f aca="false">IF($C42="","",$X$2&amp;"-S"&amp;INT(($C42-WEEKDAY($C42,2)+11-DATE(YEAR($C42+4-WEEKDAY($C42,2)),1,1))/7)&amp;"-RSC-A")</f>
        <v>AGO-S34-RSC-A</v>
      </c>
      <c r="B42" s="30" t="str">
        <f aca="false">IF($C42="","","S"&amp;INT(($C42-WEEKDAY($C42,2)+11-DATE(YEAR($C42+4-WEEKDAY($C42,2)),1,1))/7))</f>
        <v>S34</v>
      </c>
      <c r="C42" s="52" t="n">
        <f aca="false">IF(MONTH(($X$1-WEEKDAY($X$1,3)+21)+3)=MONTH($X$1),($X$1-WEEKDAY($X$1,3)+21)+3,"")</f>
        <v>46254</v>
      </c>
      <c r="D42" s="27" t="str">
        <f aca="false">IF($C42="","","Relatório Semanal Consolidado (erros + metas + faltas + supervisores)")</f>
        <v>Relatório Semanal Consolidado (erros + metas + faltas + supervisores)</v>
      </c>
      <c r="E42" s="27"/>
      <c r="F42" s="27"/>
      <c r="G42" s="30" t="str">
        <f aca="false">IF($C42="","","A")</f>
        <v>A</v>
      </c>
      <c r="H42" s="30" t="str">
        <f aca="false">IF($C42="","",IF($G42="A",CONFIG!$B$5,IF($G42="B",CONFIG!$B$6,IF($G42="C",CONFIG!$B$7,"Gerência + coordenadores"))))</f>
        <v>(preencha o nome)</v>
      </c>
      <c r="I42" s="30"/>
      <c r="J42" s="32" t="str">
        <f aca="false">IF($C42="","","—")</f>
        <v>—</v>
      </c>
      <c r="K42" s="61"/>
      <c r="L42" s="61"/>
      <c r="M42" s="54"/>
      <c r="N42" s="54"/>
      <c r="O42" s="54"/>
      <c r="P42" s="60"/>
      <c r="Q42" s="56"/>
      <c r="R42" s="57"/>
      <c r="S42" s="30" t="str">
        <f aca="true">IF($C42="","",IF($Q42="Cancelada","Cancelada",IF($Q42="Reprovado","Reprovada",IF($Q42="Aprovado","Aprovada",IF($M42&lt;&gt;"","Entregue",IF(TODAY()&gt;$C42,"Atrasada","Pendente"))))))</f>
        <v>Pendente</v>
      </c>
      <c r="T42" s="58"/>
      <c r="U42" s="58"/>
      <c r="V42" s="58"/>
    </row>
    <row r="43" customFormat="false" ht="22.35" hidden="false" customHeight="false" outlineLevel="0" collapsed="false">
      <c r="A43" s="51" t="str">
        <f aca="false">IF($C43="","",$X$2&amp;"-S"&amp;INT(($C43-WEEKDAY($C43,2)+11-DATE(YEAR($C43+4-WEEKDAY($C43,2)),1,1))/7)&amp;"-RSC-B")</f>
        <v>AGO-S34-RSC-B</v>
      </c>
      <c r="B43" s="34" t="str">
        <f aca="false">IF($C43="","","S"&amp;INT(($C43-WEEKDAY($C43,2)+11-DATE(YEAR($C43+4-WEEKDAY($C43,2)),1,1))/7))</f>
        <v>S34</v>
      </c>
      <c r="C43" s="52" t="n">
        <f aca="false">IF(MONTH(($X$1-WEEKDAY($X$1,3)+21)+3)=MONTH($X$1),($X$1-WEEKDAY($X$1,3)+21)+3,"")</f>
        <v>46254</v>
      </c>
      <c r="D43" s="9" t="str">
        <f aca="false">IF($C43="","","Relatório Semanal Consolidado (erros + metas + faltas + supervisores)")</f>
        <v>Relatório Semanal Consolidado (erros + metas + faltas + supervisores)</v>
      </c>
      <c r="E43" s="9"/>
      <c r="F43" s="9"/>
      <c r="G43" s="34" t="str">
        <f aca="false">IF($C43="","","B")</f>
        <v>B</v>
      </c>
      <c r="H43" s="34" t="str">
        <f aca="false">IF($C43="","",IF($G43="A",CONFIG!$B$5,IF($G43="B",CONFIG!$B$6,IF($G43="C",CONFIG!$B$7,"Gerência + coordenadores"))))</f>
        <v>(preencha o nome)</v>
      </c>
      <c r="I43" s="34"/>
      <c r="J43" s="32" t="str">
        <f aca="false">IF($C43="","","—")</f>
        <v>—</v>
      </c>
      <c r="K43" s="61"/>
      <c r="L43" s="61"/>
      <c r="M43" s="54"/>
      <c r="N43" s="54"/>
      <c r="O43" s="54"/>
      <c r="P43" s="55"/>
      <c r="Q43" s="56"/>
      <c r="R43" s="57"/>
      <c r="S43" s="34" t="str">
        <f aca="true">IF($C43="","",IF($Q43="Cancelada","Cancelada",IF($Q43="Reprovado","Reprovada",IF($Q43="Aprovado","Aprovada",IF($M43&lt;&gt;"","Entregue",IF(TODAY()&gt;$C43,"Atrasada","Pendente"))))))</f>
        <v>Pendente</v>
      </c>
      <c r="T43" s="58"/>
      <c r="U43" s="58"/>
      <c r="V43" s="58"/>
    </row>
    <row r="44" customFormat="false" ht="22.35" hidden="false" customHeight="false" outlineLevel="0" collapsed="false">
      <c r="A44" s="59" t="str">
        <f aca="false">IF($C44="","",$X$2&amp;"-S"&amp;INT(($C44-WEEKDAY($C44,2)+11-DATE(YEAR($C44+4-WEEKDAY($C44,2)),1,1))/7)&amp;"-RSC-C")</f>
        <v>AGO-S34-RSC-C</v>
      </c>
      <c r="B44" s="30" t="str">
        <f aca="false">IF($C44="","","S"&amp;INT(($C44-WEEKDAY($C44,2)+11-DATE(YEAR($C44+4-WEEKDAY($C44,2)),1,1))/7))</f>
        <v>S34</v>
      </c>
      <c r="C44" s="52" t="n">
        <f aca="false">IF(MONTH(($X$1-WEEKDAY($X$1,3)+21)+3)=MONTH($X$1),($X$1-WEEKDAY($X$1,3)+21)+3,"")</f>
        <v>46254</v>
      </c>
      <c r="D44" s="27" t="str">
        <f aca="false">IF($C44="","","Relatório Semanal Consolidado (erros + metas + faltas + supervisores)")</f>
        <v>Relatório Semanal Consolidado (erros + metas + faltas + supervisores)</v>
      </c>
      <c r="E44" s="27"/>
      <c r="F44" s="27"/>
      <c r="G44" s="30" t="str">
        <f aca="false">IF($C44="","","C")</f>
        <v>C</v>
      </c>
      <c r="H44" s="30" t="str">
        <f aca="false">IF($C44="","",IF($G44="A",CONFIG!$B$5,IF($G44="B",CONFIG!$B$6,IF($G44="C",CONFIG!$B$7,"Gerência + coordenadores"))))</f>
        <v>(preencha o nome)</v>
      </c>
      <c r="I44" s="30"/>
      <c r="J44" s="32" t="str">
        <f aca="false">IF($C44="","","—")</f>
        <v>—</v>
      </c>
      <c r="K44" s="61"/>
      <c r="L44" s="61"/>
      <c r="M44" s="54"/>
      <c r="N44" s="54"/>
      <c r="O44" s="54"/>
      <c r="P44" s="60"/>
      <c r="Q44" s="56"/>
      <c r="R44" s="57"/>
      <c r="S44" s="30" t="str">
        <f aca="true">IF($C44="","",IF($Q44="Cancelada","Cancelada",IF($Q44="Reprovado","Reprovada",IF($Q44="Aprovado","Aprovada",IF($M44&lt;&gt;"","Entregue",IF(TODAY()&gt;$C44,"Atrasada","Pendente"))))))</f>
        <v>Pendente</v>
      </c>
      <c r="T44" s="58"/>
      <c r="U44" s="58"/>
      <c r="V44" s="58"/>
    </row>
    <row r="45" customFormat="false" ht="24" hidden="false" customHeight="true" outlineLevel="0" collapsed="false">
      <c r="A45" s="51" t="str">
        <f aca="false">IF($C45="","",$X$2&amp;"-S"&amp;INT(($C45-WEEKDAY($C45,2)+11-DATE(YEAR($C45+4-WEEKDAY($C45,2)),1,1))/7)&amp;"-REU-T")</f>
        <v>AGO-S34-REU-T</v>
      </c>
      <c r="B45" s="34" t="str">
        <f aca="false">IF($C45="","","S"&amp;INT(($C45-WEEKDAY($C45,2)+11-DATE(YEAR($C45+4-WEEKDAY($C45,2)),1,1))/7))</f>
        <v>S34</v>
      </c>
      <c r="C45" s="52" t="n">
        <f aca="false">IF(MONTH(($X$1-WEEKDAY($X$1,3)+21)+4)=MONTH($X$1),($X$1-WEEKDAY($X$1,3)+21)+4,"")</f>
        <v>46255</v>
      </c>
      <c r="D45" s="9" t="str">
        <f aca="false">IF($C45="","","Reunião Semanal com a Gerência")</f>
        <v>Reunião Semanal com a Gerência</v>
      </c>
      <c r="E45" s="9"/>
      <c r="F45" s="9"/>
      <c r="G45" s="34" t="str">
        <f aca="false">IF($C45="","","Todos")</f>
        <v>Todos</v>
      </c>
      <c r="H45" s="34" t="str">
        <f aca="false">IF($C45="","",IF($G45="A",CONFIG!$B$5,IF($G45="B",CONFIG!$B$6,IF($G45="C",CONFIG!$B$7,"Gerência + coordenadores"))))</f>
        <v>Gerência + coordenadores</v>
      </c>
      <c r="I45" s="34"/>
      <c r="J45" s="32" t="str">
        <f aca="false">IF($C45="","","—")</f>
        <v>—</v>
      </c>
      <c r="K45" s="53"/>
      <c r="L45" s="53"/>
      <c r="M45" s="54"/>
      <c r="N45" s="54"/>
      <c r="O45" s="54"/>
      <c r="P45" s="55"/>
      <c r="Q45" s="56"/>
      <c r="R45" s="57"/>
      <c r="S45" s="34" t="str">
        <f aca="true">IF($C45="","",IF($Q45="Cancelada","Cancelada",IF($Q45="Reprovado","Reprovada",IF($Q45="Aprovado","Aprovada",IF($M45&lt;&gt;"","Entregue",IF(TODAY()&gt;$C45,"Atrasada","Pendente"))))))</f>
        <v>Pendente</v>
      </c>
      <c r="T45" s="58"/>
      <c r="U45" s="58"/>
      <c r="V45" s="58"/>
    </row>
    <row r="46" customFormat="false" ht="22.35" hidden="false" customHeight="false" outlineLevel="0" collapsed="false">
      <c r="A46" s="59" t="str">
        <f aca="false">IF($C46="","",$X$2&amp;"-S"&amp;INT(($C46-WEEKDAY($C46,2)+11-DATE(YEAR($C46+4-WEEKDAY($C46,2)),1,1))/7)&amp;"-VIS-A")</f>
        <v>AGO-S35-VIS-A</v>
      </c>
      <c r="B46" s="30" t="str">
        <f aca="false">IF($C46="","","S"&amp;INT(($C46-WEEKDAY($C46,2)+11-DATE(YEAR($C46+4-WEEKDAY($C46,2)),1,1))/7))</f>
        <v>S35</v>
      </c>
      <c r="C46" s="52" t="n">
        <f aca="false">IF(MONTH(($X$1-WEEKDAY($X$1,3)+28)+2)=MONTH($X$1),($X$1-WEEKDAY($X$1,3)+28)+2,"")</f>
        <v>46260</v>
      </c>
      <c r="D46" s="27" t="str">
        <f aca="false">IF($C46="","","Vistoria Setorial (checklist no setor definido pelo gerente)")</f>
        <v>Vistoria Setorial (checklist no setor definido pelo gerente)</v>
      </c>
      <c r="E46" s="27"/>
      <c r="F46" s="27"/>
      <c r="G46" s="30" t="str">
        <f aca="false">IF($C46="","","A")</f>
        <v>A</v>
      </c>
      <c r="H46" s="30" t="str">
        <f aca="false">IF($C46="","",IF($G46="A",CONFIG!$B$5,IF($G46="B",CONFIG!$B$6,IF($G46="C",CONFIG!$B$7,"Gerência + coordenadores"))))</f>
        <v>(preencha o nome)</v>
      </c>
      <c r="I46" s="30"/>
      <c r="J46" s="56"/>
      <c r="K46" s="53"/>
      <c r="L46" s="53"/>
      <c r="M46" s="54"/>
      <c r="N46" s="54"/>
      <c r="O46" s="54"/>
      <c r="P46" s="60"/>
      <c r="Q46" s="56"/>
      <c r="R46" s="57"/>
      <c r="S46" s="30" t="str">
        <f aca="true">IF($C46="","",IF($Q46="Cancelada","Cancelada",IF($Q46="Reprovado","Reprovada",IF($Q46="Aprovado","Aprovada",IF($M46&lt;&gt;"","Entregue",IF(TODAY()&gt;$C46,"Atrasada","Pendente"))))))</f>
        <v>Pendente</v>
      </c>
      <c r="T46" s="58"/>
      <c r="U46" s="58"/>
      <c r="V46" s="58"/>
    </row>
    <row r="47" customFormat="false" ht="22.35" hidden="false" customHeight="false" outlineLevel="0" collapsed="false">
      <c r="A47" s="51" t="str">
        <f aca="false">IF($C47="","",$X$2&amp;"-S"&amp;INT(($C47-WEEKDAY($C47,2)+11-DATE(YEAR($C47+4-WEEKDAY($C47,2)),1,1))/7)&amp;"-VIS-B")</f>
        <v>AGO-S35-VIS-B</v>
      </c>
      <c r="B47" s="34" t="str">
        <f aca="false">IF($C47="","","S"&amp;INT(($C47-WEEKDAY($C47,2)+11-DATE(YEAR($C47+4-WEEKDAY($C47,2)),1,1))/7))</f>
        <v>S35</v>
      </c>
      <c r="C47" s="52" t="n">
        <f aca="false">IF(MONTH(($X$1-WEEKDAY($X$1,3)+28)+2)=MONTH($X$1),($X$1-WEEKDAY($X$1,3)+28)+2,"")</f>
        <v>46260</v>
      </c>
      <c r="D47" s="9" t="str">
        <f aca="false">IF($C47="","","Vistoria Setorial (checklist no setor definido pelo gerente)")</f>
        <v>Vistoria Setorial (checklist no setor definido pelo gerente)</v>
      </c>
      <c r="E47" s="9"/>
      <c r="F47" s="9"/>
      <c r="G47" s="34" t="str">
        <f aca="false">IF($C47="","","B")</f>
        <v>B</v>
      </c>
      <c r="H47" s="34" t="str">
        <f aca="false">IF($C47="","",IF($G47="A",CONFIG!$B$5,IF($G47="B",CONFIG!$B$6,IF($G47="C",CONFIG!$B$7,"Gerência + coordenadores"))))</f>
        <v>(preencha o nome)</v>
      </c>
      <c r="I47" s="34"/>
      <c r="J47" s="56"/>
      <c r="K47" s="53"/>
      <c r="L47" s="53"/>
      <c r="M47" s="54"/>
      <c r="N47" s="54"/>
      <c r="O47" s="54"/>
      <c r="P47" s="55"/>
      <c r="Q47" s="56"/>
      <c r="R47" s="57"/>
      <c r="S47" s="34" t="str">
        <f aca="true">IF($C47="","",IF($Q47="Cancelada","Cancelada",IF($Q47="Reprovado","Reprovada",IF($Q47="Aprovado","Aprovada",IF($M47&lt;&gt;"","Entregue",IF(TODAY()&gt;$C47,"Atrasada","Pendente"))))))</f>
        <v>Pendente</v>
      </c>
      <c r="T47" s="58"/>
      <c r="U47" s="58"/>
      <c r="V47" s="58"/>
    </row>
    <row r="48" customFormat="false" ht="22.35" hidden="false" customHeight="false" outlineLevel="0" collapsed="false">
      <c r="A48" s="59" t="str">
        <f aca="false">IF($C48="","",$X$2&amp;"-S"&amp;INT(($C48-WEEKDAY($C48,2)+11-DATE(YEAR($C48+4-WEEKDAY($C48,2)),1,1))/7)&amp;"-VIS-C")</f>
        <v>AGO-S35-VIS-C</v>
      </c>
      <c r="B48" s="30" t="str">
        <f aca="false">IF($C48="","","S"&amp;INT(($C48-WEEKDAY($C48,2)+11-DATE(YEAR($C48+4-WEEKDAY($C48,2)),1,1))/7))</f>
        <v>S35</v>
      </c>
      <c r="C48" s="52" t="n">
        <f aca="false">IF(MONTH(($X$1-WEEKDAY($X$1,3)+28)+2)=MONTH($X$1),($X$1-WEEKDAY($X$1,3)+28)+2,"")</f>
        <v>46260</v>
      </c>
      <c r="D48" s="27" t="str">
        <f aca="false">IF($C48="","","Vistoria Setorial (checklist no setor definido pelo gerente)")</f>
        <v>Vistoria Setorial (checklist no setor definido pelo gerente)</v>
      </c>
      <c r="E48" s="27"/>
      <c r="F48" s="27"/>
      <c r="G48" s="30" t="str">
        <f aca="false">IF($C48="","","C")</f>
        <v>C</v>
      </c>
      <c r="H48" s="30" t="str">
        <f aca="false">IF($C48="","",IF($G48="A",CONFIG!$B$5,IF($G48="B",CONFIG!$B$6,IF($G48="C",CONFIG!$B$7,"Gerência + coordenadores"))))</f>
        <v>(preencha o nome)</v>
      </c>
      <c r="I48" s="30"/>
      <c r="J48" s="56"/>
      <c r="K48" s="53"/>
      <c r="L48" s="53"/>
      <c r="M48" s="54"/>
      <c r="N48" s="54"/>
      <c r="O48" s="54"/>
      <c r="P48" s="60"/>
      <c r="Q48" s="56"/>
      <c r="R48" s="57"/>
      <c r="S48" s="30" t="str">
        <f aca="true">IF($C48="","",IF($Q48="Cancelada","Cancelada",IF($Q48="Reprovado","Reprovada",IF($Q48="Aprovado","Aprovada",IF($M48&lt;&gt;"","Entregue",IF(TODAY()&gt;$C48,"Atrasada","Pendente"))))))</f>
        <v>Pendente</v>
      </c>
      <c r="T48" s="58"/>
      <c r="U48" s="58"/>
      <c r="V48" s="58"/>
    </row>
    <row r="49" customFormat="false" ht="22.35" hidden="false" customHeight="false" outlineLevel="0" collapsed="false">
      <c r="A49" s="51" t="str">
        <f aca="false">IF($C49="","",$X$2&amp;"-S"&amp;INT(($C49-WEEKDAY($C49,2)+11-DATE(YEAR($C49+4-WEEKDAY($C49,2)),1,1))/7)&amp;"-RSC-A")</f>
        <v>AGO-S35-RSC-A</v>
      </c>
      <c r="B49" s="34" t="str">
        <f aca="false">IF($C49="","","S"&amp;INT(($C49-WEEKDAY($C49,2)+11-DATE(YEAR($C49+4-WEEKDAY($C49,2)),1,1))/7))</f>
        <v>S35</v>
      </c>
      <c r="C49" s="52" t="n">
        <f aca="false">IF(MONTH(($X$1-WEEKDAY($X$1,3)+28)+3)=MONTH($X$1),($X$1-WEEKDAY($X$1,3)+28)+3,"")</f>
        <v>46261</v>
      </c>
      <c r="D49" s="9" t="str">
        <f aca="false">IF($C49="","","Relatório Semanal Consolidado (erros + metas + faltas + supervisores)")</f>
        <v>Relatório Semanal Consolidado (erros + metas + faltas + supervisores)</v>
      </c>
      <c r="E49" s="9"/>
      <c r="F49" s="9"/>
      <c r="G49" s="34" t="str">
        <f aca="false">IF($C49="","","A")</f>
        <v>A</v>
      </c>
      <c r="H49" s="34" t="str">
        <f aca="false">IF($C49="","",IF($G49="A",CONFIG!$B$5,IF($G49="B",CONFIG!$B$6,IF($G49="C",CONFIG!$B$7,"Gerência + coordenadores"))))</f>
        <v>(preencha o nome)</v>
      </c>
      <c r="I49" s="34"/>
      <c r="J49" s="32" t="str">
        <f aca="false">IF($C49="","","—")</f>
        <v>—</v>
      </c>
      <c r="K49" s="61"/>
      <c r="L49" s="61"/>
      <c r="M49" s="54"/>
      <c r="N49" s="54"/>
      <c r="O49" s="54"/>
      <c r="P49" s="55"/>
      <c r="Q49" s="56"/>
      <c r="R49" s="57"/>
      <c r="S49" s="34" t="str">
        <f aca="true">IF($C49="","",IF($Q49="Cancelada","Cancelada",IF($Q49="Reprovado","Reprovada",IF($Q49="Aprovado","Aprovada",IF($M49&lt;&gt;"","Entregue",IF(TODAY()&gt;$C49,"Atrasada","Pendente"))))))</f>
        <v>Pendente</v>
      </c>
      <c r="T49" s="58"/>
      <c r="U49" s="58"/>
      <c r="V49" s="58"/>
    </row>
    <row r="50" customFormat="false" ht="22.35" hidden="false" customHeight="false" outlineLevel="0" collapsed="false">
      <c r="A50" s="59" t="str">
        <f aca="false">IF($C50="","",$X$2&amp;"-S"&amp;INT(($C50-WEEKDAY($C50,2)+11-DATE(YEAR($C50+4-WEEKDAY($C50,2)),1,1))/7)&amp;"-RSC-B")</f>
        <v>AGO-S35-RSC-B</v>
      </c>
      <c r="B50" s="30" t="str">
        <f aca="false">IF($C50="","","S"&amp;INT(($C50-WEEKDAY($C50,2)+11-DATE(YEAR($C50+4-WEEKDAY($C50,2)),1,1))/7))</f>
        <v>S35</v>
      </c>
      <c r="C50" s="52" t="n">
        <f aca="false">IF(MONTH(($X$1-WEEKDAY($X$1,3)+28)+3)=MONTH($X$1),($X$1-WEEKDAY($X$1,3)+28)+3,"")</f>
        <v>46261</v>
      </c>
      <c r="D50" s="27" t="str">
        <f aca="false">IF($C50="","","Relatório Semanal Consolidado (erros + metas + faltas + supervisores)")</f>
        <v>Relatório Semanal Consolidado (erros + metas + faltas + supervisores)</v>
      </c>
      <c r="E50" s="27"/>
      <c r="F50" s="27"/>
      <c r="G50" s="30" t="str">
        <f aca="false">IF($C50="","","B")</f>
        <v>B</v>
      </c>
      <c r="H50" s="30" t="str">
        <f aca="false">IF($C50="","",IF($G50="A",CONFIG!$B$5,IF($G50="B",CONFIG!$B$6,IF($G50="C",CONFIG!$B$7,"Gerência + coordenadores"))))</f>
        <v>(preencha o nome)</v>
      </c>
      <c r="I50" s="30"/>
      <c r="J50" s="32" t="str">
        <f aca="false">IF($C50="","","—")</f>
        <v>—</v>
      </c>
      <c r="K50" s="61"/>
      <c r="L50" s="61"/>
      <c r="M50" s="54"/>
      <c r="N50" s="54"/>
      <c r="O50" s="54"/>
      <c r="P50" s="60"/>
      <c r="Q50" s="56"/>
      <c r="R50" s="57"/>
      <c r="S50" s="30" t="str">
        <f aca="true">IF($C50="","",IF($Q50="Cancelada","Cancelada",IF($Q50="Reprovado","Reprovada",IF($Q50="Aprovado","Aprovada",IF($M50&lt;&gt;"","Entregue",IF(TODAY()&gt;$C50,"Atrasada","Pendente"))))))</f>
        <v>Pendente</v>
      </c>
      <c r="T50" s="58"/>
      <c r="U50" s="58"/>
      <c r="V50" s="58"/>
    </row>
    <row r="51" customFormat="false" ht="22.35" hidden="false" customHeight="false" outlineLevel="0" collapsed="false">
      <c r="A51" s="51" t="str">
        <f aca="false">IF($C51="","",$X$2&amp;"-S"&amp;INT(($C51-WEEKDAY($C51,2)+11-DATE(YEAR($C51+4-WEEKDAY($C51,2)),1,1))/7)&amp;"-RSC-C")</f>
        <v>AGO-S35-RSC-C</v>
      </c>
      <c r="B51" s="34" t="str">
        <f aca="false">IF($C51="","","S"&amp;INT(($C51-WEEKDAY($C51,2)+11-DATE(YEAR($C51+4-WEEKDAY($C51,2)),1,1))/7))</f>
        <v>S35</v>
      </c>
      <c r="C51" s="52" t="n">
        <f aca="false">IF(MONTH(($X$1-WEEKDAY($X$1,3)+28)+3)=MONTH($X$1),($X$1-WEEKDAY($X$1,3)+28)+3,"")</f>
        <v>46261</v>
      </c>
      <c r="D51" s="9" t="str">
        <f aca="false">IF($C51="","","Relatório Semanal Consolidado (erros + metas + faltas + supervisores)")</f>
        <v>Relatório Semanal Consolidado (erros + metas + faltas + supervisores)</v>
      </c>
      <c r="E51" s="9"/>
      <c r="F51" s="9"/>
      <c r="G51" s="34" t="str">
        <f aca="false">IF($C51="","","C")</f>
        <v>C</v>
      </c>
      <c r="H51" s="34" t="str">
        <f aca="false">IF($C51="","",IF($G51="A",CONFIG!$B$5,IF($G51="B",CONFIG!$B$6,IF($G51="C",CONFIG!$B$7,"Gerência + coordenadores"))))</f>
        <v>(preencha o nome)</v>
      </c>
      <c r="I51" s="34"/>
      <c r="J51" s="32" t="str">
        <f aca="false">IF($C51="","","—")</f>
        <v>—</v>
      </c>
      <c r="K51" s="61"/>
      <c r="L51" s="61"/>
      <c r="M51" s="54"/>
      <c r="N51" s="54"/>
      <c r="O51" s="54"/>
      <c r="P51" s="55"/>
      <c r="Q51" s="56"/>
      <c r="R51" s="57"/>
      <c r="S51" s="34" t="str">
        <f aca="true">IF($C51="","",IF($Q51="Cancelada","Cancelada",IF($Q51="Reprovado","Reprovada",IF($Q51="Aprovado","Aprovada",IF($M51&lt;&gt;"","Entregue",IF(TODAY()&gt;$C51,"Atrasada","Pendente"))))))</f>
        <v>Pendente</v>
      </c>
      <c r="T51" s="58"/>
      <c r="U51" s="58"/>
      <c r="V51" s="58"/>
    </row>
    <row r="52" customFormat="false" ht="24" hidden="false" customHeight="true" outlineLevel="0" collapsed="false">
      <c r="A52" s="59" t="str">
        <f aca="false">IF($C52="","",$X$2&amp;"-S"&amp;INT(($C52-WEEKDAY($C52,2)+11-DATE(YEAR($C52+4-WEEKDAY($C52,2)),1,1))/7)&amp;"-REU-T")</f>
        <v>AGO-S35-REU-T</v>
      </c>
      <c r="B52" s="30" t="str">
        <f aca="false">IF($C52="","","S"&amp;INT(($C52-WEEKDAY($C52,2)+11-DATE(YEAR($C52+4-WEEKDAY($C52,2)),1,1))/7))</f>
        <v>S35</v>
      </c>
      <c r="C52" s="52" t="n">
        <f aca="false">IF(MONTH(($X$1-WEEKDAY($X$1,3)+28)+4)=MONTH($X$1),($X$1-WEEKDAY($X$1,3)+28)+4,"")</f>
        <v>46262</v>
      </c>
      <c r="D52" s="27" t="str">
        <f aca="false">IF($C52="","","Reunião Semanal com a Gerência")</f>
        <v>Reunião Semanal com a Gerência</v>
      </c>
      <c r="E52" s="27"/>
      <c r="F52" s="27"/>
      <c r="G52" s="30" t="str">
        <f aca="false">IF($C52="","","Todos")</f>
        <v>Todos</v>
      </c>
      <c r="H52" s="30" t="str">
        <f aca="false">IF($C52="","",IF($G52="A",CONFIG!$B$5,IF($G52="B",CONFIG!$B$6,IF($G52="C",CONFIG!$B$7,"Gerência + coordenadores"))))</f>
        <v>Gerência + coordenadores</v>
      </c>
      <c r="I52" s="30"/>
      <c r="J52" s="32" t="str">
        <f aca="false">IF($C52="","","—")</f>
        <v>—</v>
      </c>
      <c r="K52" s="53"/>
      <c r="L52" s="53"/>
      <c r="M52" s="54"/>
      <c r="N52" s="54"/>
      <c r="O52" s="54"/>
      <c r="P52" s="60"/>
      <c r="Q52" s="56"/>
      <c r="R52" s="57"/>
      <c r="S52" s="30" t="str">
        <f aca="true">IF($C52="","",IF($Q52="Cancelada","Cancelada",IF($Q52="Reprovado","Reprovada",IF($Q52="Aprovado","Aprovada",IF($M52&lt;&gt;"","Entregue",IF(TODAY()&gt;$C52,"Atrasada","Pendente"))))))</f>
        <v>Pendente</v>
      </c>
      <c r="T52" s="58"/>
      <c r="U52" s="58"/>
      <c r="V52" s="58"/>
    </row>
    <row r="53" customFormat="false" ht="22.35" hidden="false" customHeight="false" outlineLevel="0" collapsed="false">
      <c r="A53" s="59" t="str">
        <f aca="false">IF($C53="","",$X$2&amp;"-S"&amp;INT(($C53-WEEKDAY($C53,2)+11-DATE(YEAR($C53+4-WEEKDAY($C53,2)),1,1))/7)&amp;"-MDF-T")</f>
        <v>AGO-S35-MDF-T</v>
      </c>
      <c r="B53" s="30" t="str">
        <f aca="false">IF($C53="","","S"&amp;INT(($C53-WEEKDAY($C53,2)+11-DATE(YEAR($C53+4-WEEKDAY($C53,2)),1,1))/7))</f>
        <v>S35</v>
      </c>
      <c r="C53" s="52" t="n">
        <f aca="false">EOMONTH($X$1,0)-MOD(WEEKDAY(EOMONTH($X$1,0),2)-5,7)</f>
        <v>46262</v>
      </c>
      <c r="D53" s="27" t="str">
        <f aca="false">IF($C53="","","Mudança de Função — reunião mensal")</f>
        <v>Mudança de Função — reunião mensal</v>
      </c>
      <c r="E53" s="27"/>
      <c r="F53" s="27"/>
      <c r="G53" s="30" t="str">
        <f aca="false">IF($C53="","","Todos")</f>
        <v>Todos</v>
      </c>
      <c r="H53" s="30" t="str">
        <f aca="false">IF($C53="","",IF($G53="A",CONFIG!$B$5,IF($G53="B",CONFIG!$B$6,IF($G53="C",CONFIG!$B$7,"Gerência + coordenadores"))))</f>
        <v>Gerência + coordenadores</v>
      </c>
      <c r="I53" s="30"/>
      <c r="J53" s="32" t="str">
        <f aca="false">IF($C53="","","—")</f>
        <v>—</v>
      </c>
      <c r="K53" s="53"/>
      <c r="L53" s="53"/>
      <c r="M53" s="54"/>
      <c r="N53" s="54"/>
      <c r="O53" s="54"/>
      <c r="P53" s="60"/>
      <c r="Q53" s="56"/>
      <c r="R53" s="57"/>
      <c r="S53" s="30" t="str">
        <f aca="true">IF($C53="","",IF($Q53="Cancelada","Cancelada",IF($Q53="Reprovado","Reprovada",IF($Q53="Aprovado","Aprovada",IF($M53&lt;&gt;"","Entregue",IF(TODAY()&gt;$C53,"Atrasada","Pendente"))))))</f>
        <v>Pendente</v>
      </c>
      <c r="T53" s="58"/>
      <c r="U53" s="58"/>
      <c r="V53" s="58"/>
    </row>
    <row r="55" customFormat="false" ht="15" hidden="false" customHeight="true" outlineLevel="0" collapsed="false">
      <c r="A55" s="62" t="s">
        <v>139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</row>
    <row r="56" customFormat="false" ht="21.75" hidden="false" customHeight="true" outlineLevel="0" collapsed="false">
      <c r="A56" s="51" t="str">
        <f aca="false">$X$2&amp;"-TRE-1"</f>
        <v>AGO-TRE-1</v>
      </c>
      <c r="B56" s="32" t="str">
        <f aca="false">IF($C56="","","S"&amp;INT(($C56-WEEKDAY($C56,2)+11-DATE(YEAR($C56+4-WEEKDAY($C56,2)),1,1))/7))</f>
        <v/>
      </c>
      <c r="C56" s="52"/>
      <c r="D56" s="57" t="s">
        <v>140</v>
      </c>
      <c r="E56" s="57"/>
      <c r="F56" s="57"/>
      <c r="G56" s="32" t="s">
        <v>141</v>
      </c>
      <c r="H56" s="34" t="s">
        <v>142</v>
      </c>
      <c r="I56" s="34"/>
      <c r="J56" s="32" t="s">
        <v>143</v>
      </c>
      <c r="K56" s="53"/>
      <c r="L56" s="53"/>
      <c r="M56" s="54"/>
      <c r="N56" s="54"/>
      <c r="O56" s="54"/>
      <c r="P56" s="55"/>
      <c r="Q56" s="56"/>
      <c r="R56" s="57"/>
      <c r="S56" s="34" t="str">
        <f aca="true">IF($C56="","Não agendado",IF($Q56="Cancelada","Cancelada",IF($Q56="Reprovado","Reprovada",IF($Q56="Aprovado","Aprovada",IF($M56&lt;&gt;"","Entregue",IF(TODAY()&gt;$C56,"Atrasada","Pendente"))))))</f>
        <v>Não agendado</v>
      </c>
      <c r="T56" s="58"/>
      <c r="U56" s="58"/>
      <c r="V56" s="58"/>
    </row>
    <row r="57" customFormat="false" ht="21.75" hidden="false" customHeight="true" outlineLevel="0" collapsed="false">
      <c r="A57" s="51" t="str">
        <f aca="false">$X$2&amp;"-TRE-2"</f>
        <v>AGO-TRE-2</v>
      </c>
      <c r="B57" s="32" t="str">
        <f aca="false">IF($C57="","","S"&amp;INT(($C57-WEEKDAY($C57,2)+11-DATE(YEAR($C57+4-WEEKDAY($C57,2)),1,1))/7))</f>
        <v/>
      </c>
      <c r="C57" s="52"/>
      <c r="D57" s="57" t="s">
        <v>140</v>
      </c>
      <c r="E57" s="57"/>
      <c r="F57" s="57"/>
      <c r="G57" s="32" t="s">
        <v>141</v>
      </c>
      <c r="H57" s="34" t="s">
        <v>142</v>
      </c>
      <c r="I57" s="34"/>
      <c r="J57" s="32" t="s">
        <v>143</v>
      </c>
      <c r="K57" s="53"/>
      <c r="L57" s="53"/>
      <c r="M57" s="54"/>
      <c r="N57" s="54"/>
      <c r="O57" s="54"/>
      <c r="P57" s="55"/>
      <c r="Q57" s="56"/>
      <c r="R57" s="57"/>
      <c r="S57" s="34" t="str">
        <f aca="true">IF($C57="","Não agendado",IF($Q57="Cancelada","Cancelada",IF($Q57="Reprovado","Reprovada",IF($Q57="Aprovado","Aprovada",IF($M57&lt;&gt;"","Entregue",IF(TODAY()&gt;$C57,"Atrasada","Pendente"))))))</f>
        <v>Não agendado</v>
      </c>
      <c r="T57" s="58"/>
      <c r="U57" s="58"/>
      <c r="V57" s="58"/>
    </row>
    <row r="58" customFormat="false" ht="21.75" hidden="false" customHeight="true" outlineLevel="0" collapsed="false">
      <c r="A58" s="51" t="str">
        <f aca="false">$X$2&amp;"-TRE-3"</f>
        <v>AGO-TRE-3</v>
      </c>
      <c r="B58" s="32" t="str">
        <f aca="false">IF($C58="","","S"&amp;INT(($C58-WEEKDAY($C58,2)+11-DATE(YEAR($C58+4-WEEKDAY($C58,2)),1,1))/7))</f>
        <v/>
      </c>
      <c r="C58" s="52"/>
      <c r="D58" s="57" t="s">
        <v>140</v>
      </c>
      <c r="E58" s="57"/>
      <c r="F58" s="57"/>
      <c r="G58" s="32" t="s">
        <v>141</v>
      </c>
      <c r="H58" s="34" t="s">
        <v>142</v>
      </c>
      <c r="I58" s="34"/>
      <c r="J58" s="32" t="s">
        <v>143</v>
      </c>
      <c r="K58" s="53"/>
      <c r="L58" s="53"/>
      <c r="M58" s="54"/>
      <c r="N58" s="54"/>
      <c r="O58" s="54"/>
      <c r="P58" s="55"/>
      <c r="Q58" s="56"/>
      <c r="R58" s="57"/>
      <c r="S58" s="34" t="str">
        <f aca="true">IF($C58="","Não agendado",IF($Q58="Cancelada","Cancelada",IF($Q58="Reprovado","Reprovada",IF($Q58="Aprovado","Aprovada",IF($M58&lt;&gt;"","Entregue",IF(TODAY()&gt;$C58,"Atrasada","Pendente"))))))</f>
        <v>Não agendado</v>
      </c>
      <c r="T58" s="58"/>
      <c r="U58" s="58"/>
      <c r="V58" s="58"/>
    </row>
    <row r="59" customFormat="false" ht="21.75" hidden="false" customHeight="true" outlineLevel="0" collapsed="false">
      <c r="A59" s="51" t="str">
        <f aca="false">$X$2&amp;"-TRE-4"</f>
        <v>AGO-TRE-4</v>
      </c>
      <c r="B59" s="32" t="str">
        <f aca="false">IF($C59="","","S"&amp;INT(($C59-WEEKDAY($C59,2)+11-DATE(YEAR($C59+4-WEEKDAY($C59,2)),1,1))/7))</f>
        <v/>
      </c>
      <c r="C59" s="52"/>
      <c r="D59" s="57" t="s">
        <v>140</v>
      </c>
      <c r="E59" s="57"/>
      <c r="F59" s="57"/>
      <c r="G59" s="32" t="s">
        <v>141</v>
      </c>
      <c r="H59" s="34" t="s">
        <v>142</v>
      </c>
      <c r="I59" s="34"/>
      <c r="J59" s="32" t="s">
        <v>143</v>
      </c>
      <c r="K59" s="53"/>
      <c r="L59" s="53"/>
      <c r="M59" s="54"/>
      <c r="N59" s="54"/>
      <c r="O59" s="54"/>
      <c r="P59" s="55"/>
      <c r="Q59" s="56"/>
      <c r="R59" s="57"/>
      <c r="S59" s="34" t="str">
        <f aca="true">IF($C59="","Não agendado",IF($Q59="Cancelada","Cancelada",IF($Q59="Reprovado","Reprovada",IF($Q59="Aprovado","Aprovada",IF($M59&lt;&gt;"","Entregue",IF(TODAY()&gt;$C59,"Atrasada","Pendente"))))))</f>
        <v>Não agendado</v>
      </c>
      <c r="T59" s="58"/>
      <c r="U59" s="58"/>
      <c r="V59" s="58"/>
    </row>
    <row r="60" customFormat="false" ht="21.75" hidden="false" customHeight="true" outlineLevel="0" collapsed="false">
      <c r="A60" s="51" t="str">
        <f aca="false">$X$2&amp;"-TRE-5"</f>
        <v>AGO-TRE-5</v>
      </c>
      <c r="B60" s="32" t="str">
        <f aca="false">IF($C60="","","S"&amp;INT(($C60-WEEKDAY($C60,2)+11-DATE(YEAR($C60+4-WEEKDAY($C60,2)),1,1))/7))</f>
        <v/>
      </c>
      <c r="C60" s="52"/>
      <c r="D60" s="57" t="s">
        <v>140</v>
      </c>
      <c r="E60" s="57"/>
      <c r="F60" s="57"/>
      <c r="G60" s="32" t="s">
        <v>141</v>
      </c>
      <c r="H60" s="34" t="s">
        <v>142</v>
      </c>
      <c r="I60" s="34"/>
      <c r="J60" s="32" t="s">
        <v>143</v>
      </c>
      <c r="K60" s="53"/>
      <c r="L60" s="53"/>
      <c r="M60" s="54"/>
      <c r="N60" s="54"/>
      <c r="O60" s="54"/>
      <c r="P60" s="55"/>
      <c r="Q60" s="56"/>
      <c r="R60" s="57"/>
      <c r="S60" s="34" t="str">
        <f aca="true">IF($C60="","Não agendado",IF($Q60="Cancelada","Cancelada",IF($Q60="Reprovado","Reprovada",IF($Q60="Aprovado","Aprovada",IF($M60&lt;&gt;"","Entregue",IF(TODAY()&gt;$C60,"Atrasada","Pendente"))))))</f>
        <v>Não agendado</v>
      </c>
      <c r="T60" s="58"/>
      <c r="U60" s="58"/>
      <c r="V60" s="58"/>
    </row>
    <row r="61" customFormat="false" ht="21.75" hidden="false" customHeight="true" outlineLevel="0" collapsed="false">
      <c r="A61" s="51" t="str">
        <f aca="false">$X$2&amp;"-TRE-6"</f>
        <v>AGO-TRE-6</v>
      </c>
      <c r="B61" s="32" t="str">
        <f aca="false">IF($C61="","","S"&amp;INT(($C61-WEEKDAY($C61,2)+11-DATE(YEAR($C61+4-WEEKDAY($C61,2)),1,1))/7))</f>
        <v/>
      </c>
      <c r="C61" s="52"/>
      <c r="D61" s="57" t="s">
        <v>140</v>
      </c>
      <c r="E61" s="57"/>
      <c r="F61" s="57"/>
      <c r="G61" s="32" t="s">
        <v>141</v>
      </c>
      <c r="H61" s="34" t="s">
        <v>142</v>
      </c>
      <c r="I61" s="34"/>
      <c r="J61" s="32" t="s">
        <v>143</v>
      </c>
      <c r="K61" s="53"/>
      <c r="L61" s="53"/>
      <c r="M61" s="54"/>
      <c r="N61" s="54"/>
      <c r="O61" s="54"/>
      <c r="P61" s="55"/>
      <c r="Q61" s="56"/>
      <c r="R61" s="57"/>
      <c r="S61" s="34" t="str">
        <f aca="true">IF($C61="","Não agendado",IF($Q61="Cancelada","Cancelada",IF($Q61="Reprovado","Reprovada",IF($Q61="Aprovado","Aprovada",IF($M61&lt;&gt;"","Entregue",IF(TODAY()&gt;$C61,"Atrasada","Pendente"))))))</f>
        <v>Não agendado</v>
      </c>
      <c r="T61" s="58"/>
      <c r="U61" s="58"/>
      <c r="V61" s="58"/>
    </row>
    <row r="63" customFormat="false" ht="15" hidden="false" customHeight="true" outlineLevel="0" collapsed="false">
      <c r="A63" s="48" t="s">
        <v>144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</row>
  </sheetData>
  <mergeCells count="214">
    <mergeCell ref="A1:S1"/>
    <mergeCell ref="A3:O3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O18"/>
    <mergeCell ref="A20:V20"/>
    <mergeCell ref="D21:F21"/>
    <mergeCell ref="H21:I21"/>
    <mergeCell ref="M21:O21"/>
    <mergeCell ref="D22:F22"/>
    <mergeCell ref="H22:I22"/>
    <mergeCell ref="M22:O22"/>
    <mergeCell ref="D23:F23"/>
    <mergeCell ref="H23:I23"/>
    <mergeCell ref="M23:O23"/>
    <mergeCell ref="D24:F24"/>
    <mergeCell ref="H24:I24"/>
    <mergeCell ref="M24:O24"/>
    <mergeCell ref="D25:F25"/>
    <mergeCell ref="H25:I25"/>
    <mergeCell ref="M25:O25"/>
    <mergeCell ref="D26:F26"/>
    <mergeCell ref="H26:I26"/>
    <mergeCell ref="M26:O26"/>
    <mergeCell ref="D27:F27"/>
    <mergeCell ref="H27:I27"/>
    <mergeCell ref="M27:O27"/>
    <mergeCell ref="D28:F28"/>
    <mergeCell ref="H28:I28"/>
    <mergeCell ref="M28:O28"/>
    <mergeCell ref="D29:F29"/>
    <mergeCell ref="H29:I29"/>
    <mergeCell ref="M29:O29"/>
    <mergeCell ref="D30:F30"/>
    <mergeCell ref="H30:I30"/>
    <mergeCell ref="M30:O30"/>
    <mergeCell ref="D31:F31"/>
    <mergeCell ref="H31:I31"/>
    <mergeCell ref="M31:O31"/>
    <mergeCell ref="D32:F32"/>
    <mergeCell ref="H32:I32"/>
    <mergeCell ref="M32:O32"/>
    <mergeCell ref="D33:F33"/>
    <mergeCell ref="H33:I33"/>
    <mergeCell ref="M33:O33"/>
    <mergeCell ref="D34:F34"/>
    <mergeCell ref="H34:I34"/>
    <mergeCell ref="M34:O34"/>
    <mergeCell ref="D35:F35"/>
    <mergeCell ref="H35:I35"/>
    <mergeCell ref="M35:O35"/>
    <mergeCell ref="D36:F36"/>
    <mergeCell ref="H36:I36"/>
    <mergeCell ref="M36:O36"/>
    <mergeCell ref="D37:F37"/>
    <mergeCell ref="H37:I37"/>
    <mergeCell ref="M37:O37"/>
    <mergeCell ref="D38:F38"/>
    <mergeCell ref="H38:I38"/>
    <mergeCell ref="M38:O38"/>
    <mergeCell ref="D39:F39"/>
    <mergeCell ref="H39:I39"/>
    <mergeCell ref="M39:O39"/>
    <mergeCell ref="D40:F40"/>
    <mergeCell ref="H40:I40"/>
    <mergeCell ref="M40:O40"/>
    <mergeCell ref="D41:F41"/>
    <mergeCell ref="H41:I41"/>
    <mergeCell ref="M41:O41"/>
    <mergeCell ref="D42:F42"/>
    <mergeCell ref="H42:I42"/>
    <mergeCell ref="M42:O42"/>
    <mergeCell ref="D43:F43"/>
    <mergeCell ref="H43:I43"/>
    <mergeCell ref="M43:O43"/>
    <mergeCell ref="D44:F44"/>
    <mergeCell ref="H44:I44"/>
    <mergeCell ref="M44:O44"/>
    <mergeCell ref="D45:F45"/>
    <mergeCell ref="H45:I45"/>
    <mergeCell ref="M45:O45"/>
    <mergeCell ref="D46:F46"/>
    <mergeCell ref="H46:I46"/>
    <mergeCell ref="M46:O46"/>
    <mergeCell ref="D47:F47"/>
    <mergeCell ref="H47:I47"/>
    <mergeCell ref="M47:O47"/>
    <mergeCell ref="D48:F48"/>
    <mergeCell ref="H48:I48"/>
    <mergeCell ref="M48:O48"/>
    <mergeCell ref="D49:F49"/>
    <mergeCell ref="H49:I49"/>
    <mergeCell ref="M49:O49"/>
    <mergeCell ref="D50:F50"/>
    <mergeCell ref="H50:I50"/>
    <mergeCell ref="M50:O50"/>
    <mergeCell ref="D51:F51"/>
    <mergeCell ref="H51:I51"/>
    <mergeCell ref="M51:O51"/>
    <mergeCell ref="D52:F52"/>
    <mergeCell ref="H52:I52"/>
    <mergeCell ref="M52:O52"/>
    <mergeCell ref="D53:F53"/>
    <mergeCell ref="H53:I53"/>
    <mergeCell ref="M53:O53"/>
    <mergeCell ref="A55:V55"/>
    <mergeCell ref="D56:F56"/>
    <mergeCell ref="H56:I56"/>
    <mergeCell ref="M56:O56"/>
    <mergeCell ref="D57:F57"/>
    <mergeCell ref="H57:I57"/>
    <mergeCell ref="M57:O57"/>
    <mergeCell ref="D58:F58"/>
    <mergeCell ref="H58:I58"/>
    <mergeCell ref="M58:O58"/>
    <mergeCell ref="D59:F59"/>
    <mergeCell ref="H59:I59"/>
    <mergeCell ref="M59:O59"/>
    <mergeCell ref="D60:F60"/>
    <mergeCell ref="H60:I60"/>
    <mergeCell ref="M60:O60"/>
    <mergeCell ref="D61:F61"/>
    <mergeCell ref="H61:I61"/>
    <mergeCell ref="M61:O61"/>
    <mergeCell ref="A63:V63"/>
  </mergeCells>
  <conditionalFormatting sqref="A3">
    <cfRule type="expression" priority="2" aboveAverage="0" equalAverage="0" bottom="0" percent="0" rank="0" text="" dxfId="3">
      <formula>LEFT($A$3,3)="MÊS"</formula>
    </cfRule>
  </conditionalFormatting>
  <conditionalFormatting sqref="A22:I53">
    <cfRule type="expression" priority="3" aboveAverage="0" equalAverage="0" bottom="0" percent="0" rank="0" text="" dxfId="4">
      <formula>ISNUMBER(SEARCH("-REU-",$A22))</formula>
    </cfRule>
  </conditionalFormatting>
  <conditionalFormatting sqref="S22:S136">
    <cfRule type="expression" priority="4" aboveAverage="0" equalAverage="0" bottom="0" percent="0" rank="0" text="" dxfId="5">
      <formula>$S22="Aprovada"</formula>
    </cfRule>
    <cfRule type="expression" priority="5" aboveAverage="0" equalAverage="0" bottom="0" percent="0" rank="0" text="" dxfId="6">
      <formula>$S22="Entregue"</formula>
    </cfRule>
    <cfRule type="expression" priority="6" aboveAverage="0" equalAverage="0" bottom="0" percent="0" rank="0" text="" dxfId="7">
      <formula>$S22="Atrasada"</formula>
    </cfRule>
    <cfRule type="expression" priority="7" aboveAverage="0" equalAverage="0" bottom="0" percent="0" rank="0" text="" dxfId="8">
      <formula>$S22="Reprovada"</formula>
    </cfRule>
    <cfRule type="expression" priority="8" aboveAverage="0" equalAverage="0" bottom="0" percent="0" rank="0" text="" dxfId="9">
      <formula>$S22="Pendente"</formula>
    </cfRule>
    <cfRule type="expression" priority="9" aboveAverage="0" equalAverage="0" bottom="0" percent="0" rank="0" text="" dxfId="10">
      <formula>$S22="Cancelada"</formula>
    </cfRule>
  </conditionalFormatting>
  <conditionalFormatting sqref="B6:O17">
    <cfRule type="expression" priority="10" aboveAverage="0" equalAverage="0" bottom="0" percent="0" rank="0" text="" dxfId="11">
      <formula>AND(B6&lt;&gt;"",B6=TODAY())</formula>
    </cfRule>
    <cfRule type="expression" priority="11" aboveAverage="0" equalAverage="0" bottom="0" percent="0" rank="0" text="" dxfId="12">
      <formula>AND(B6&lt;&gt;"",COUNTIFS($C$22:$C$136,B6,$S$22:$S$136,"Atrasada")&gt;0)</formula>
    </cfRule>
    <cfRule type="expression" priority="12" aboveAverage="0" equalAverage="0" bottom="0" percent="0" rank="0" text="" dxfId="13">
      <formula>AND(B6&lt;&gt;"",COUNTIFS($C$22:$C$136,B6,$Q$22:$Q$136,"&lt;&gt;Cancelada")&gt;0)</formula>
    </cfRule>
  </conditionalFormatting>
  <dataValidations count="1">
    <dataValidation allowBlank="true" errorStyle="stop" operator="between" showDropDown="false" showErrorMessage="false" showInputMessage="false" sqref="Q22:Q136" type="list">
      <formula1>"Aprovado,Reprovado,Cancelada"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X66"/>
  <sheetViews>
    <sheetView showFormulas="false" showGridLines="fals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A56" activeCellId="0" sqref="A5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.57"/>
    <col collapsed="false" customWidth="true" hidden="false" outlineLevel="0" max="3" min="3" style="0" width="10.57"/>
    <col collapsed="false" customWidth="true" hidden="false" outlineLevel="0" max="6" min="4" style="0" width="12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true" outlineLevel="0" max="11" min="11" style="0" width="8"/>
    <col collapsed="false" customWidth="true" hidden="true" outlineLevel="0" max="12" min="12" style="0" width="9.57"/>
    <col collapsed="false" customWidth="true" hidden="false" outlineLevel="0" max="16" min="13" style="0" width="12"/>
    <col collapsed="false" customWidth="true" hidden="false" outlineLevel="0" max="17" min="17" style="0" width="11.43"/>
    <col collapsed="false" customWidth="true" hidden="false" outlineLevel="0" max="18" min="18" style="0" width="17"/>
    <col collapsed="false" customWidth="true" hidden="false" outlineLevel="0" max="19" min="19" style="0" width="12.42"/>
    <col collapsed="false" customWidth="true" hidden="false" outlineLevel="0" max="22" min="20" style="0" width="3.42"/>
    <col collapsed="false" customWidth="true" hidden="true" outlineLevel="0" max="24" min="24" style="0" width="4"/>
  </cols>
  <sheetData>
    <row r="1" customFormat="false" ht="45.75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X1" s="43" t="n">
        <v>46266</v>
      </c>
    </row>
    <row r="2" customFormat="false" ht="4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X2" s="44" t="s">
        <v>148</v>
      </c>
    </row>
    <row r="3" customFormat="false" ht="15" hidden="false" customHeight="false" outlineLevel="0" collapsed="false">
      <c r="A3" s="5" t="str">
        <f aca="false">IF((COUNTIF($S$22:$S$139,"Aprovada")+COUNTIF($S$22:$S$139,"Entregue")+COUNTIF($S$22:$S$139,"Pendente")+COUNTIF($S$22:$S$139,"Atrasada")+COUNTIF($S$22:$S$139,"Reprovada"))=0,"",IF(COUNTIF($S$22:$S$139,"Aprovada")=(COUNTIF($S$22:$S$139,"Aprovada")+COUNTIF($S$22:$S$139,"Entregue")+COUNTIF($S$22:$S$139,"Pendente")+COUNTIF($S$22:$S$139,"Atrasada")+COUNTIF($S$22:$S$139,"Reprovada")),"MÊS CONCLUÍDO — todas as atividades aprovadas","EM ANDAMENTO — "&amp;COUNTIF($S$22:$S$139,"Aprovada")&amp;" de "&amp;(COUNTIF($S$22:$S$139,"Aprovada")+COUNTIF($S$22:$S$139,"Entregue")+COUNTIF($S$22:$S$139,"Pendente")+COUNTIF($S$22:$S$139,"Atrasada")+COUNTIF($S$22:$S$139,"Reprovada"))&amp;" atividades aprovadas · "&amp;COUNTIF($S$22:$S$139,"Atrasada")&amp;" em atraso"))</f>
        <v>EM ANDAMENTO — 0 de 35 atividades aprovadas · 0 em atraso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8" hidden="false" customHeight="true" outlineLevel="0" collapsed="false">
      <c r="B5" s="40" t="s">
        <v>119</v>
      </c>
      <c r="C5" s="40"/>
      <c r="D5" s="40" t="s">
        <v>120</v>
      </c>
      <c r="E5" s="40"/>
      <c r="F5" s="40" t="s">
        <v>121</v>
      </c>
      <c r="G5" s="40"/>
      <c r="H5" s="40" t="s">
        <v>3</v>
      </c>
      <c r="I5" s="40"/>
      <c r="J5" s="40" t="s">
        <v>6</v>
      </c>
      <c r="K5" s="40"/>
      <c r="L5" s="45" t="s">
        <v>9</v>
      </c>
      <c r="M5" s="45"/>
      <c r="N5" s="40" t="s">
        <v>122</v>
      </c>
      <c r="O5" s="40"/>
    </row>
    <row r="6" customFormat="false" ht="15" hidden="false" customHeight="true" outlineLevel="0" collapsed="false">
      <c r="B6" s="46" t="str">
        <f aca="false">IF(MONTH($X$1-WEEKDAY($X$1)+1+0)=MONTH($X$1),$X$1-WEEKDAY($X$1)+1+0,"")</f>
        <v/>
      </c>
      <c r="C6" s="46"/>
      <c r="D6" s="46" t="str">
        <f aca="false">IF(MONTH($X$1-WEEKDAY($X$1)+1+1)=MONTH($X$1),$X$1-WEEKDAY($X$1)+1+1,"")</f>
        <v/>
      </c>
      <c r="E6" s="46"/>
      <c r="F6" s="46" t="n">
        <f aca="false">IF(MONTH($X$1-WEEKDAY($X$1)+1+2)=MONTH($X$1),$X$1-WEEKDAY($X$1)+1+2,"")</f>
        <v>46266</v>
      </c>
      <c r="G6" s="46"/>
      <c r="H6" s="46" t="n">
        <f aca="false">IF(MONTH($X$1-WEEKDAY($X$1)+1+3)=MONTH($X$1),$X$1-WEEKDAY($X$1)+1+3,"")</f>
        <v>46267</v>
      </c>
      <c r="I6" s="46"/>
      <c r="J6" s="46" t="n">
        <f aca="false">IF(MONTH($X$1-WEEKDAY($X$1)+1+4)=MONTH($X$1),$X$1-WEEKDAY($X$1)+1+4,"")</f>
        <v>46268</v>
      </c>
      <c r="K6" s="46"/>
      <c r="L6" s="46" t="n">
        <f aca="false">IF(MONTH($X$1-WEEKDAY($X$1)+1+5)=MONTH($X$1),$X$1-WEEKDAY($X$1)+1+5,"")</f>
        <v>46269</v>
      </c>
      <c r="M6" s="46"/>
      <c r="N6" s="46" t="n">
        <f aca="false">IF(MONTH($X$1-WEEKDAY($X$1)+1+6)=MONTH($X$1),$X$1-WEEKDAY($X$1)+1+6,"")</f>
        <v>46270</v>
      </c>
      <c r="O6" s="46"/>
    </row>
    <row r="7" customFormat="false" ht="25.5" hidden="false" customHeight="true" outlineLevel="0" collapsed="false">
      <c r="B7" s="47" t="str">
        <f aca="false">IF(B6="","",TRIM(IF(COUNTIFS($C$22:$C$139,B6,$D$22:$D$139,"*Vistoria*",$Q$22:$Q$139,"&lt;&gt;Cancelada")&gt;0,"Vistoria ","")&amp;IF(COUNTIFS($C$22:$C$139,B6,$D$22:$D$139,"*Relatório*",$Q$22:$Q$139,"&lt;&gt;Cancelada")&gt;0,"Relatório ","")&amp;IF(COUNTIFS($C$22:$C$139,B6,$D$22:$D$139,"*Reunião*",$Q$22:$Q$139,"&lt;&gt;Cancelada")&gt;0,"REUNIÃO ","")&amp;IF(COUNTIFS($C$22:$C$139,B6,$D$22:$D$139,"*Férias*",$Q$22:$Q$139,"&lt;&gt;Cancelada")&gt;0,"Férias ","")&amp;IF(COUNTIFS($C$22:$C$139,B6,$D$22:$D$139,"*Mudança*",$Q$22:$Q$139,"&lt;&gt;Cancelada")&gt;0,"M.Função ","")&amp;IF(COUNTIFS($C$22:$C$139,B6,$D$22:$D$139,"*Treinamento*",$Q$22:$Q$139,"&lt;&gt;Cancelada")&gt;0,"Trein. ","")))</f>
        <v/>
      </c>
      <c r="C7" s="47"/>
      <c r="D7" s="47" t="str">
        <f aca="false">IF(D6="","",TRIM(IF(COUNTIFS($C$22:$C$139,D6,$D$22:$D$139,"*Vistoria*",$Q$22:$Q$139,"&lt;&gt;Cancelada")&gt;0,"Vistoria ","")&amp;IF(COUNTIFS($C$22:$C$139,D6,$D$22:$D$139,"*Relatório*",$Q$22:$Q$139,"&lt;&gt;Cancelada")&gt;0,"Relatório ","")&amp;IF(COUNTIFS($C$22:$C$139,D6,$D$22:$D$139,"*Reunião*",$Q$22:$Q$139,"&lt;&gt;Cancelada")&gt;0,"REUNIÃO ","")&amp;IF(COUNTIFS($C$22:$C$139,D6,$D$22:$D$139,"*Férias*",$Q$22:$Q$139,"&lt;&gt;Cancelada")&gt;0,"Férias ","")&amp;IF(COUNTIFS($C$22:$C$139,D6,$D$22:$D$139,"*Mudança*",$Q$22:$Q$139,"&lt;&gt;Cancelada")&gt;0,"M.Função ","")&amp;IF(COUNTIFS($C$22:$C$139,D6,$D$22:$D$139,"*Treinamento*",$Q$22:$Q$139,"&lt;&gt;Cancelada")&gt;0,"Trein. ","")))</f>
        <v/>
      </c>
      <c r="E7" s="47"/>
      <c r="F7" s="47" t="str">
        <f aca="false">IF(F6="","",TRIM(IF(COUNTIFS($C$22:$C$139,F6,$D$22:$D$139,"*Vistoria*",$Q$22:$Q$139,"&lt;&gt;Cancelada")&gt;0,"Vistoria ","")&amp;IF(COUNTIFS($C$22:$C$139,F6,$D$22:$D$139,"*Relatório*",$Q$22:$Q$139,"&lt;&gt;Cancelada")&gt;0,"Relatório ","")&amp;IF(COUNTIFS($C$22:$C$139,F6,$D$22:$D$139,"*Reunião*",$Q$22:$Q$139,"&lt;&gt;Cancelada")&gt;0,"REUNIÃO ","")&amp;IF(COUNTIFS($C$22:$C$139,F6,$D$22:$D$139,"*Férias*",$Q$22:$Q$139,"&lt;&gt;Cancelada")&gt;0,"Férias ","")&amp;IF(COUNTIFS($C$22:$C$139,F6,$D$22:$D$139,"*Mudança*",$Q$22:$Q$139,"&lt;&gt;Cancelada")&gt;0,"M.Função ","")&amp;IF(COUNTIFS($C$22:$C$139,F6,$D$22:$D$139,"*Treinamento*",$Q$22:$Q$139,"&lt;&gt;Cancelada")&gt;0,"Trein. ","")))</f>
        <v/>
      </c>
      <c r="G7" s="47"/>
      <c r="H7" s="47" t="str">
        <f aca="false">IF(H6="","",TRIM(IF(COUNTIFS($C$22:$C$139,H6,$D$22:$D$139,"*Vistoria*",$Q$22:$Q$139,"&lt;&gt;Cancelada")&gt;0,"Vistoria ","")&amp;IF(COUNTIFS($C$22:$C$139,H6,$D$22:$D$139,"*Relatório*",$Q$22:$Q$139,"&lt;&gt;Cancelada")&gt;0,"Relatório ","")&amp;IF(COUNTIFS($C$22:$C$139,H6,$D$22:$D$139,"*Reunião*",$Q$22:$Q$139,"&lt;&gt;Cancelada")&gt;0,"REUNIÃO ","")&amp;IF(COUNTIFS($C$22:$C$139,H6,$D$22:$D$139,"*Férias*",$Q$22:$Q$139,"&lt;&gt;Cancelada")&gt;0,"Férias ","")&amp;IF(COUNTIFS($C$22:$C$139,H6,$D$22:$D$139,"*Mudança*",$Q$22:$Q$139,"&lt;&gt;Cancelada")&gt;0,"M.Função ","")&amp;IF(COUNTIFS($C$22:$C$139,H6,$D$22:$D$139,"*Treinamento*",$Q$22:$Q$139,"&lt;&gt;Cancelada")&gt;0,"Trein. ","")))</f>
        <v>Vistoria</v>
      </c>
      <c r="I7" s="47"/>
      <c r="J7" s="47" t="str">
        <f aca="false">IF(J6="","",TRIM(IF(COUNTIFS($C$22:$C$139,J6,$D$22:$D$139,"*Vistoria*",$Q$22:$Q$139,"&lt;&gt;Cancelada")&gt;0,"Vistoria ","")&amp;IF(COUNTIFS($C$22:$C$139,J6,$D$22:$D$139,"*Relatório*",$Q$22:$Q$139,"&lt;&gt;Cancelada")&gt;0,"Relatório ","")&amp;IF(COUNTIFS($C$22:$C$139,J6,$D$22:$D$139,"*Reunião*",$Q$22:$Q$139,"&lt;&gt;Cancelada")&gt;0,"REUNIÃO ","")&amp;IF(COUNTIFS($C$22:$C$139,J6,$D$22:$D$139,"*Férias*",$Q$22:$Q$139,"&lt;&gt;Cancelada")&gt;0,"Férias ","")&amp;IF(COUNTIFS($C$22:$C$139,J6,$D$22:$D$139,"*Mudança*",$Q$22:$Q$139,"&lt;&gt;Cancelada")&gt;0,"M.Função ","")&amp;IF(COUNTIFS($C$22:$C$139,J6,$D$22:$D$139,"*Treinamento*",$Q$22:$Q$139,"&lt;&gt;Cancelada")&gt;0,"Trein. ","")))</f>
        <v>Relatório</v>
      </c>
      <c r="K7" s="47"/>
      <c r="L7" s="47" t="str">
        <f aca="false">IF(L6="","",TRIM(IF(COUNTIFS($C$22:$C$139,L6,$D$22:$D$139,"*Vistoria*",$Q$22:$Q$139,"&lt;&gt;Cancelada")&gt;0,"Vistoria ","")&amp;IF(COUNTIFS($C$22:$C$139,L6,$D$22:$D$139,"*Relatório*",$Q$22:$Q$139,"&lt;&gt;Cancelada")&gt;0,"Relatório ","")&amp;IF(COUNTIFS($C$22:$C$139,L6,$D$22:$D$139,"*Reunião*",$Q$22:$Q$139,"&lt;&gt;Cancelada")&gt;0,"REUNIÃO ","")&amp;IF(COUNTIFS($C$22:$C$139,L6,$D$22:$D$139,"*Férias*",$Q$22:$Q$139,"&lt;&gt;Cancelada")&gt;0,"Férias ","")&amp;IF(COUNTIFS($C$22:$C$139,L6,$D$22:$D$139,"*Mudança*",$Q$22:$Q$139,"&lt;&gt;Cancelada")&gt;0,"M.Função ","")&amp;IF(COUNTIFS($C$22:$C$139,L6,$D$22:$D$139,"*Treinamento*",$Q$22:$Q$139,"&lt;&gt;Cancelada")&gt;0,"Trein. ","")))</f>
        <v>REUNIÃO</v>
      </c>
      <c r="M7" s="47"/>
      <c r="N7" s="47" t="str">
        <f aca="false">IF(N6="","",TRIM(IF(COUNTIFS($C$22:$C$139,N6,$D$22:$D$139,"*Vistoria*",$Q$22:$Q$139,"&lt;&gt;Cancelada")&gt;0,"Vistoria ","")&amp;IF(COUNTIFS($C$22:$C$139,N6,$D$22:$D$139,"*Relatório*",$Q$22:$Q$139,"&lt;&gt;Cancelada")&gt;0,"Relatório ","")&amp;IF(COUNTIFS($C$22:$C$139,N6,$D$22:$D$139,"*Reunião*",$Q$22:$Q$139,"&lt;&gt;Cancelada")&gt;0,"REUNIÃO ","")&amp;IF(COUNTIFS($C$22:$C$139,N6,$D$22:$D$139,"*Férias*",$Q$22:$Q$139,"&lt;&gt;Cancelada")&gt;0,"Férias ","")&amp;IF(COUNTIFS($C$22:$C$139,N6,$D$22:$D$139,"*Mudança*",$Q$22:$Q$139,"&lt;&gt;Cancelada")&gt;0,"M.Função ","")&amp;IF(COUNTIFS($C$22:$C$139,N6,$D$22:$D$139,"*Treinamento*",$Q$22:$Q$139,"&lt;&gt;Cancelada")&gt;0,"Trein. ","")))</f>
        <v/>
      </c>
      <c r="O7" s="47"/>
    </row>
    <row r="8" customFormat="false" ht="15" hidden="false" customHeight="true" outlineLevel="0" collapsed="false">
      <c r="B8" s="46" t="n">
        <f aca="false">IF(MONTH($X$1-WEEKDAY($X$1)+1+7)=MONTH($X$1),$X$1-WEEKDAY($X$1)+1+7,"")</f>
        <v>46271</v>
      </c>
      <c r="C8" s="46"/>
      <c r="D8" s="46" t="n">
        <f aca="false">IF(MONTH($X$1-WEEKDAY($X$1)+1+8)=MONTH($X$1),$X$1-WEEKDAY($X$1)+1+8,"")</f>
        <v>46272</v>
      </c>
      <c r="E8" s="46"/>
      <c r="F8" s="46" t="n">
        <f aca="false">IF(MONTH($X$1-WEEKDAY($X$1)+1+9)=MONTH($X$1),$X$1-WEEKDAY($X$1)+1+9,"")</f>
        <v>46273</v>
      </c>
      <c r="G8" s="46"/>
      <c r="H8" s="46" t="n">
        <f aca="false">IF(MONTH($X$1-WEEKDAY($X$1)+1+10)=MONTH($X$1),$X$1-WEEKDAY($X$1)+1+10,"")</f>
        <v>46274</v>
      </c>
      <c r="I8" s="46"/>
      <c r="J8" s="46" t="n">
        <f aca="false">IF(MONTH($X$1-WEEKDAY($X$1)+1+11)=MONTH($X$1),$X$1-WEEKDAY($X$1)+1+11,"")</f>
        <v>46275</v>
      </c>
      <c r="K8" s="46"/>
      <c r="L8" s="46" t="n">
        <f aca="false">IF(MONTH($X$1-WEEKDAY($X$1)+1+12)=MONTH($X$1),$X$1-WEEKDAY($X$1)+1+12,"")</f>
        <v>46276</v>
      </c>
      <c r="M8" s="46"/>
      <c r="N8" s="46" t="n">
        <f aca="false">IF(MONTH($X$1-WEEKDAY($X$1)+1+13)=MONTH($X$1),$X$1-WEEKDAY($X$1)+1+13,"")</f>
        <v>46277</v>
      </c>
      <c r="O8" s="46"/>
    </row>
    <row r="9" customFormat="false" ht="25.5" hidden="false" customHeight="true" outlineLevel="0" collapsed="false">
      <c r="B9" s="47" t="str">
        <f aca="false">IF(B8="","",TRIM(IF(COUNTIFS($C$22:$C$139,B8,$D$22:$D$139,"*Vistoria*",$Q$22:$Q$139,"&lt;&gt;Cancelada")&gt;0,"Vistoria ","")&amp;IF(COUNTIFS($C$22:$C$139,B8,$D$22:$D$139,"*Relatório*",$Q$22:$Q$139,"&lt;&gt;Cancelada")&gt;0,"Relatório ","")&amp;IF(COUNTIFS($C$22:$C$139,B8,$D$22:$D$139,"*Reunião*",$Q$22:$Q$139,"&lt;&gt;Cancelada")&gt;0,"REUNIÃO ","")&amp;IF(COUNTIFS($C$22:$C$139,B8,$D$22:$D$139,"*Férias*",$Q$22:$Q$139,"&lt;&gt;Cancelada")&gt;0,"Férias ","")&amp;IF(COUNTIFS($C$22:$C$139,B8,$D$22:$D$139,"*Mudança*",$Q$22:$Q$139,"&lt;&gt;Cancelada")&gt;0,"M.Função ","")&amp;IF(COUNTIFS($C$22:$C$139,B8,$D$22:$D$139,"*Treinamento*",$Q$22:$Q$139,"&lt;&gt;Cancelada")&gt;0,"Trein. ","")))</f>
        <v/>
      </c>
      <c r="C9" s="47"/>
      <c r="D9" s="47" t="str">
        <f aca="false">IF(D8="","",TRIM(IF(COUNTIFS($C$22:$C$139,D8,$D$22:$D$139,"*Vistoria*",$Q$22:$Q$139,"&lt;&gt;Cancelada")&gt;0,"Vistoria ","")&amp;IF(COUNTIFS($C$22:$C$139,D8,$D$22:$D$139,"*Relatório*",$Q$22:$Q$139,"&lt;&gt;Cancelada")&gt;0,"Relatório ","")&amp;IF(COUNTIFS($C$22:$C$139,D8,$D$22:$D$139,"*Reunião*",$Q$22:$Q$139,"&lt;&gt;Cancelada")&gt;0,"REUNIÃO ","")&amp;IF(COUNTIFS($C$22:$C$139,D8,$D$22:$D$139,"*Férias*",$Q$22:$Q$139,"&lt;&gt;Cancelada")&gt;0,"Férias ","")&amp;IF(COUNTIFS($C$22:$C$139,D8,$D$22:$D$139,"*Mudança*",$Q$22:$Q$139,"&lt;&gt;Cancelada")&gt;0,"M.Função ","")&amp;IF(COUNTIFS($C$22:$C$139,D8,$D$22:$D$139,"*Treinamento*",$Q$22:$Q$139,"&lt;&gt;Cancelada")&gt;0,"Trein. ","")))</f>
        <v>Férias</v>
      </c>
      <c r="E9" s="47"/>
      <c r="F9" s="47" t="str">
        <f aca="false">IF(F8="","",TRIM(IF(COUNTIFS($C$22:$C$139,F8,$D$22:$D$139,"*Vistoria*",$Q$22:$Q$139,"&lt;&gt;Cancelada")&gt;0,"Vistoria ","")&amp;IF(COUNTIFS($C$22:$C$139,F8,$D$22:$D$139,"*Relatório*",$Q$22:$Q$139,"&lt;&gt;Cancelada")&gt;0,"Relatório ","")&amp;IF(COUNTIFS($C$22:$C$139,F8,$D$22:$D$139,"*Reunião*",$Q$22:$Q$139,"&lt;&gt;Cancelada")&gt;0,"REUNIÃO ","")&amp;IF(COUNTIFS($C$22:$C$139,F8,$D$22:$D$139,"*Férias*",$Q$22:$Q$139,"&lt;&gt;Cancelada")&gt;0,"Férias ","")&amp;IF(COUNTIFS($C$22:$C$139,F8,$D$22:$D$139,"*Mudança*",$Q$22:$Q$139,"&lt;&gt;Cancelada")&gt;0,"M.Função ","")&amp;IF(COUNTIFS($C$22:$C$139,F8,$D$22:$D$139,"*Treinamento*",$Q$22:$Q$139,"&lt;&gt;Cancelada")&gt;0,"Trein. ","")))</f>
        <v/>
      </c>
      <c r="G9" s="47"/>
      <c r="H9" s="47" t="str">
        <f aca="false">IF(H8="","",TRIM(IF(COUNTIFS($C$22:$C$139,H8,$D$22:$D$139,"*Vistoria*",$Q$22:$Q$139,"&lt;&gt;Cancelada")&gt;0,"Vistoria ","")&amp;IF(COUNTIFS($C$22:$C$139,H8,$D$22:$D$139,"*Relatório*",$Q$22:$Q$139,"&lt;&gt;Cancelada")&gt;0,"Relatório ","")&amp;IF(COUNTIFS($C$22:$C$139,H8,$D$22:$D$139,"*Reunião*",$Q$22:$Q$139,"&lt;&gt;Cancelada")&gt;0,"REUNIÃO ","")&amp;IF(COUNTIFS($C$22:$C$139,H8,$D$22:$D$139,"*Férias*",$Q$22:$Q$139,"&lt;&gt;Cancelada")&gt;0,"Férias ","")&amp;IF(COUNTIFS($C$22:$C$139,H8,$D$22:$D$139,"*Mudança*",$Q$22:$Q$139,"&lt;&gt;Cancelada")&gt;0,"M.Função ","")&amp;IF(COUNTIFS($C$22:$C$139,H8,$D$22:$D$139,"*Treinamento*",$Q$22:$Q$139,"&lt;&gt;Cancelada")&gt;0,"Trein. ","")))</f>
        <v>Vistoria</v>
      </c>
      <c r="I9" s="47"/>
      <c r="J9" s="47" t="str">
        <f aca="false">IF(J8="","",TRIM(IF(COUNTIFS($C$22:$C$139,J8,$D$22:$D$139,"*Vistoria*",$Q$22:$Q$139,"&lt;&gt;Cancelada")&gt;0,"Vistoria ","")&amp;IF(COUNTIFS($C$22:$C$139,J8,$D$22:$D$139,"*Relatório*",$Q$22:$Q$139,"&lt;&gt;Cancelada")&gt;0,"Relatório ","")&amp;IF(COUNTIFS($C$22:$C$139,J8,$D$22:$D$139,"*Reunião*",$Q$22:$Q$139,"&lt;&gt;Cancelada")&gt;0,"REUNIÃO ","")&amp;IF(COUNTIFS($C$22:$C$139,J8,$D$22:$D$139,"*Férias*",$Q$22:$Q$139,"&lt;&gt;Cancelada")&gt;0,"Férias ","")&amp;IF(COUNTIFS($C$22:$C$139,J8,$D$22:$D$139,"*Mudança*",$Q$22:$Q$139,"&lt;&gt;Cancelada")&gt;0,"M.Função ","")&amp;IF(COUNTIFS($C$22:$C$139,J8,$D$22:$D$139,"*Treinamento*",$Q$22:$Q$139,"&lt;&gt;Cancelada")&gt;0,"Trein. ","")))</f>
        <v>Relatório</v>
      </c>
      <c r="K9" s="47"/>
      <c r="L9" s="47" t="str">
        <f aca="false">IF(L8="","",TRIM(IF(COUNTIFS($C$22:$C$139,L8,$D$22:$D$139,"*Vistoria*",$Q$22:$Q$139,"&lt;&gt;Cancelada")&gt;0,"Vistoria ","")&amp;IF(COUNTIFS($C$22:$C$139,L8,$D$22:$D$139,"*Relatório*",$Q$22:$Q$139,"&lt;&gt;Cancelada")&gt;0,"Relatório ","")&amp;IF(COUNTIFS($C$22:$C$139,L8,$D$22:$D$139,"*Reunião*",$Q$22:$Q$139,"&lt;&gt;Cancelada")&gt;0,"REUNIÃO ","")&amp;IF(COUNTIFS($C$22:$C$139,L8,$D$22:$D$139,"*Férias*",$Q$22:$Q$139,"&lt;&gt;Cancelada")&gt;0,"Férias ","")&amp;IF(COUNTIFS($C$22:$C$139,L8,$D$22:$D$139,"*Mudança*",$Q$22:$Q$139,"&lt;&gt;Cancelada")&gt;0,"M.Função ","")&amp;IF(COUNTIFS($C$22:$C$139,L8,$D$22:$D$139,"*Treinamento*",$Q$22:$Q$139,"&lt;&gt;Cancelada")&gt;0,"Trein. ","")))</f>
        <v>REUNIÃO</v>
      </c>
      <c r="M9" s="47"/>
      <c r="N9" s="47" t="str">
        <f aca="false">IF(N8="","",TRIM(IF(COUNTIFS($C$22:$C$139,N8,$D$22:$D$139,"*Vistoria*",$Q$22:$Q$139,"&lt;&gt;Cancelada")&gt;0,"Vistoria ","")&amp;IF(COUNTIFS($C$22:$C$139,N8,$D$22:$D$139,"*Relatório*",$Q$22:$Q$139,"&lt;&gt;Cancelada")&gt;0,"Relatório ","")&amp;IF(COUNTIFS($C$22:$C$139,N8,$D$22:$D$139,"*Reunião*",$Q$22:$Q$139,"&lt;&gt;Cancelada")&gt;0,"REUNIÃO ","")&amp;IF(COUNTIFS($C$22:$C$139,N8,$D$22:$D$139,"*Férias*",$Q$22:$Q$139,"&lt;&gt;Cancelada")&gt;0,"Férias ","")&amp;IF(COUNTIFS($C$22:$C$139,N8,$D$22:$D$139,"*Mudança*",$Q$22:$Q$139,"&lt;&gt;Cancelada")&gt;0,"M.Função ","")&amp;IF(COUNTIFS($C$22:$C$139,N8,$D$22:$D$139,"*Treinamento*",$Q$22:$Q$139,"&lt;&gt;Cancelada")&gt;0,"Trein. ","")))</f>
        <v/>
      </c>
      <c r="O9" s="47"/>
    </row>
    <row r="10" customFormat="false" ht="15" hidden="false" customHeight="true" outlineLevel="0" collapsed="false">
      <c r="B10" s="46" t="n">
        <f aca="false">IF(MONTH($X$1-WEEKDAY($X$1)+1+14)=MONTH($X$1),$X$1-WEEKDAY($X$1)+1+14,"")</f>
        <v>46278</v>
      </c>
      <c r="C10" s="46"/>
      <c r="D10" s="46" t="n">
        <f aca="false">IF(MONTH($X$1-WEEKDAY($X$1)+1+15)=MONTH($X$1),$X$1-WEEKDAY($X$1)+1+15,"")</f>
        <v>46279</v>
      </c>
      <c r="E10" s="46"/>
      <c r="F10" s="46" t="n">
        <f aca="false">IF(MONTH($X$1-WEEKDAY($X$1)+1+16)=MONTH($X$1),$X$1-WEEKDAY($X$1)+1+16,"")</f>
        <v>46280</v>
      </c>
      <c r="G10" s="46"/>
      <c r="H10" s="46" t="n">
        <f aca="false">IF(MONTH($X$1-WEEKDAY($X$1)+1+17)=MONTH($X$1),$X$1-WEEKDAY($X$1)+1+17,"")</f>
        <v>46281</v>
      </c>
      <c r="I10" s="46"/>
      <c r="J10" s="46" t="n">
        <f aca="false">IF(MONTH($X$1-WEEKDAY($X$1)+1+18)=MONTH($X$1),$X$1-WEEKDAY($X$1)+1+18,"")</f>
        <v>46282</v>
      </c>
      <c r="K10" s="46"/>
      <c r="L10" s="46" t="n">
        <f aca="false">IF(MONTH($X$1-WEEKDAY($X$1)+1+19)=MONTH($X$1),$X$1-WEEKDAY($X$1)+1+19,"")</f>
        <v>46283</v>
      </c>
      <c r="M10" s="46"/>
      <c r="N10" s="46" t="n">
        <f aca="false">IF(MONTH($X$1-WEEKDAY($X$1)+1+20)=MONTH($X$1),$X$1-WEEKDAY($X$1)+1+20,"")</f>
        <v>46284</v>
      </c>
      <c r="O10" s="46"/>
    </row>
    <row r="11" customFormat="false" ht="25.5" hidden="false" customHeight="true" outlineLevel="0" collapsed="false">
      <c r="B11" s="47" t="str">
        <f aca="false">IF(B10="","",TRIM(IF(COUNTIFS($C$22:$C$139,B10,$D$22:$D$139,"*Vistoria*",$Q$22:$Q$139,"&lt;&gt;Cancelada")&gt;0,"Vistoria ","")&amp;IF(COUNTIFS($C$22:$C$139,B10,$D$22:$D$139,"*Relatório*",$Q$22:$Q$139,"&lt;&gt;Cancelada")&gt;0,"Relatório ","")&amp;IF(COUNTIFS($C$22:$C$139,B10,$D$22:$D$139,"*Reunião*",$Q$22:$Q$139,"&lt;&gt;Cancelada")&gt;0,"REUNIÃO ","")&amp;IF(COUNTIFS($C$22:$C$139,B10,$D$22:$D$139,"*Férias*",$Q$22:$Q$139,"&lt;&gt;Cancelada")&gt;0,"Férias ","")&amp;IF(COUNTIFS($C$22:$C$139,B10,$D$22:$D$139,"*Mudança*",$Q$22:$Q$139,"&lt;&gt;Cancelada")&gt;0,"M.Função ","")&amp;IF(COUNTIFS($C$22:$C$139,B10,$D$22:$D$139,"*Treinamento*",$Q$22:$Q$139,"&lt;&gt;Cancelada")&gt;0,"Trein. ","")))</f>
        <v/>
      </c>
      <c r="C11" s="47"/>
      <c r="D11" s="47" t="str">
        <f aca="false">IF(D10="","",TRIM(IF(COUNTIFS($C$22:$C$139,D10,$D$22:$D$139,"*Vistoria*",$Q$22:$Q$139,"&lt;&gt;Cancelada")&gt;0,"Vistoria ","")&amp;IF(COUNTIFS($C$22:$C$139,D10,$D$22:$D$139,"*Relatório*",$Q$22:$Q$139,"&lt;&gt;Cancelada")&gt;0,"Relatório ","")&amp;IF(COUNTIFS($C$22:$C$139,D10,$D$22:$D$139,"*Reunião*",$Q$22:$Q$139,"&lt;&gt;Cancelada")&gt;0,"REUNIÃO ","")&amp;IF(COUNTIFS($C$22:$C$139,D10,$D$22:$D$139,"*Férias*",$Q$22:$Q$139,"&lt;&gt;Cancelada")&gt;0,"Férias ","")&amp;IF(COUNTIFS($C$22:$C$139,D10,$D$22:$D$139,"*Mudança*",$Q$22:$Q$139,"&lt;&gt;Cancelada")&gt;0,"M.Função ","")&amp;IF(COUNTIFS($C$22:$C$139,D10,$D$22:$D$139,"*Treinamento*",$Q$22:$Q$139,"&lt;&gt;Cancelada")&gt;0,"Trein. ","")))</f>
        <v/>
      </c>
      <c r="E11" s="47"/>
      <c r="F11" s="47" t="str">
        <f aca="false">IF(F10="","",TRIM(IF(COUNTIFS($C$22:$C$139,F10,$D$22:$D$139,"*Vistoria*",$Q$22:$Q$139,"&lt;&gt;Cancelada")&gt;0,"Vistoria ","")&amp;IF(COUNTIFS($C$22:$C$139,F10,$D$22:$D$139,"*Relatório*",$Q$22:$Q$139,"&lt;&gt;Cancelada")&gt;0,"Relatório ","")&amp;IF(COUNTIFS($C$22:$C$139,F10,$D$22:$D$139,"*Reunião*",$Q$22:$Q$139,"&lt;&gt;Cancelada")&gt;0,"REUNIÃO ","")&amp;IF(COUNTIFS($C$22:$C$139,F10,$D$22:$D$139,"*Férias*",$Q$22:$Q$139,"&lt;&gt;Cancelada")&gt;0,"Férias ","")&amp;IF(COUNTIFS($C$22:$C$139,F10,$D$22:$D$139,"*Mudança*",$Q$22:$Q$139,"&lt;&gt;Cancelada")&gt;0,"M.Função ","")&amp;IF(COUNTIFS($C$22:$C$139,F10,$D$22:$D$139,"*Treinamento*",$Q$22:$Q$139,"&lt;&gt;Cancelada")&gt;0,"Trein. ","")))</f>
        <v/>
      </c>
      <c r="G11" s="47"/>
      <c r="H11" s="47" t="str">
        <f aca="false">IF(H10="","",TRIM(IF(COUNTIFS($C$22:$C$139,H10,$D$22:$D$139,"*Vistoria*",$Q$22:$Q$139,"&lt;&gt;Cancelada")&gt;0,"Vistoria ","")&amp;IF(COUNTIFS($C$22:$C$139,H10,$D$22:$D$139,"*Relatório*",$Q$22:$Q$139,"&lt;&gt;Cancelada")&gt;0,"Relatório ","")&amp;IF(COUNTIFS($C$22:$C$139,H10,$D$22:$D$139,"*Reunião*",$Q$22:$Q$139,"&lt;&gt;Cancelada")&gt;0,"REUNIÃO ","")&amp;IF(COUNTIFS($C$22:$C$139,H10,$D$22:$D$139,"*Férias*",$Q$22:$Q$139,"&lt;&gt;Cancelada")&gt;0,"Férias ","")&amp;IF(COUNTIFS($C$22:$C$139,H10,$D$22:$D$139,"*Mudança*",$Q$22:$Q$139,"&lt;&gt;Cancelada")&gt;0,"M.Função ","")&amp;IF(COUNTIFS($C$22:$C$139,H10,$D$22:$D$139,"*Treinamento*",$Q$22:$Q$139,"&lt;&gt;Cancelada")&gt;0,"Trein. ","")))</f>
        <v>Vistoria</v>
      </c>
      <c r="I11" s="47"/>
      <c r="J11" s="47" t="str">
        <f aca="false">IF(J10="","",TRIM(IF(COUNTIFS($C$22:$C$139,J10,$D$22:$D$139,"*Vistoria*",$Q$22:$Q$139,"&lt;&gt;Cancelada")&gt;0,"Vistoria ","")&amp;IF(COUNTIFS($C$22:$C$139,J10,$D$22:$D$139,"*Relatório*",$Q$22:$Q$139,"&lt;&gt;Cancelada")&gt;0,"Relatório ","")&amp;IF(COUNTIFS($C$22:$C$139,J10,$D$22:$D$139,"*Reunião*",$Q$22:$Q$139,"&lt;&gt;Cancelada")&gt;0,"REUNIÃO ","")&amp;IF(COUNTIFS($C$22:$C$139,J10,$D$22:$D$139,"*Férias*",$Q$22:$Q$139,"&lt;&gt;Cancelada")&gt;0,"Férias ","")&amp;IF(COUNTIFS($C$22:$C$139,J10,$D$22:$D$139,"*Mudança*",$Q$22:$Q$139,"&lt;&gt;Cancelada")&gt;0,"M.Função ","")&amp;IF(COUNTIFS($C$22:$C$139,J10,$D$22:$D$139,"*Treinamento*",$Q$22:$Q$139,"&lt;&gt;Cancelada")&gt;0,"Trein. ","")))</f>
        <v>Relatório</v>
      </c>
      <c r="K11" s="47"/>
      <c r="L11" s="47" t="str">
        <f aca="false">IF(L10="","",TRIM(IF(COUNTIFS($C$22:$C$139,L10,$D$22:$D$139,"*Vistoria*",$Q$22:$Q$139,"&lt;&gt;Cancelada")&gt;0,"Vistoria ","")&amp;IF(COUNTIFS($C$22:$C$139,L10,$D$22:$D$139,"*Relatório*",$Q$22:$Q$139,"&lt;&gt;Cancelada")&gt;0,"Relatório ","")&amp;IF(COUNTIFS($C$22:$C$139,L10,$D$22:$D$139,"*Reunião*",$Q$22:$Q$139,"&lt;&gt;Cancelada")&gt;0,"REUNIÃO ","")&amp;IF(COUNTIFS($C$22:$C$139,L10,$D$22:$D$139,"*Férias*",$Q$22:$Q$139,"&lt;&gt;Cancelada")&gt;0,"Férias ","")&amp;IF(COUNTIFS($C$22:$C$139,L10,$D$22:$D$139,"*Mudança*",$Q$22:$Q$139,"&lt;&gt;Cancelada")&gt;0,"M.Função ","")&amp;IF(COUNTIFS($C$22:$C$139,L10,$D$22:$D$139,"*Treinamento*",$Q$22:$Q$139,"&lt;&gt;Cancelada")&gt;0,"Trein. ","")))</f>
        <v>REUNIÃO</v>
      </c>
      <c r="M11" s="47"/>
      <c r="N11" s="47" t="str">
        <f aca="false">IF(N10="","",TRIM(IF(COUNTIFS($C$22:$C$139,N10,$D$22:$D$139,"*Vistoria*",$Q$22:$Q$139,"&lt;&gt;Cancelada")&gt;0,"Vistoria ","")&amp;IF(COUNTIFS($C$22:$C$139,N10,$D$22:$D$139,"*Relatório*",$Q$22:$Q$139,"&lt;&gt;Cancelada")&gt;0,"Relatório ","")&amp;IF(COUNTIFS($C$22:$C$139,N10,$D$22:$D$139,"*Reunião*",$Q$22:$Q$139,"&lt;&gt;Cancelada")&gt;0,"REUNIÃO ","")&amp;IF(COUNTIFS($C$22:$C$139,N10,$D$22:$D$139,"*Férias*",$Q$22:$Q$139,"&lt;&gt;Cancelada")&gt;0,"Férias ","")&amp;IF(COUNTIFS($C$22:$C$139,N10,$D$22:$D$139,"*Mudança*",$Q$22:$Q$139,"&lt;&gt;Cancelada")&gt;0,"M.Função ","")&amp;IF(COUNTIFS($C$22:$C$139,N10,$D$22:$D$139,"*Treinamento*",$Q$22:$Q$139,"&lt;&gt;Cancelada")&gt;0,"Trein. ","")))</f>
        <v/>
      </c>
      <c r="O11" s="47"/>
    </row>
    <row r="12" customFormat="false" ht="15" hidden="false" customHeight="true" outlineLevel="0" collapsed="false">
      <c r="B12" s="46" t="n">
        <f aca="false">IF(MONTH($X$1-WEEKDAY($X$1)+1+21)=MONTH($X$1),$X$1-WEEKDAY($X$1)+1+21,"")</f>
        <v>46285</v>
      </c>
      <c r="C12" s="46"/>
      <c r="D12" s="46" t="n">
        <f aca="false">IF(MONTH($X$1-WEEKDAY($X$1)+1+22)=MONTH($X$1),$X$1-WEEKDAY($X$1)+1+22,"")</f>
        <v>46286</v>
      </c>
      <c r="E12" s="46"/>
      <c r="F12" s="46" t="n">
        <f aca="false">IF(MONTH($X$1-WEEKDAY($X$1)+1+23)=MONTH($X$1),$X$1-WEEKDAY($X$1)+1+23,"")</f>
        <v>46287</v>
      </c>
      <c r="G12" s="46"/>
      <c r="H12" s="46" t="n">
        <f aca="false">IF(MONTH($X$1-WEEKDAY($X$1)+1+24)=MONTH($X$1),$X$1-WEEKDAY($X$1)+1+24,"")</f>
        <v>46288</v>
      </c>
      <c r="I12" s="46"/>
      <c r="J12" s="46" t="n">
        <f aca="false">IF(MONTH($X$1-WEEKDAY($X$1)+1+25)=MONTH($X$1),$X$1-WEEKDAY($X$1)+1+25,"")</f>
        <v>46289</v>
      </c>
      <c r="K12" s="46"/>
      <c r="L12" s="46" t="n">
        <f aca="false">IF(MONTH($X$1-WEEKDAY($X$1)+1+26)=MONTH($X$1),$X$1-WEEKDAY($X$1)+1+26,"")</f>
        <v>46290</v>
      </c>
      <c r="M12" s="46"/>
      <c r="N12" s="46" t="n">
        <f aca="false">IF(MONTH($X$1-WEEKDAY($X$1)+1+27)=MONTH($X$1),$X$1-WEEKDAY($X$1)+1+27,"")</f>
        <v>46291</v>
      </c>
      <c r="O12" s="46"/>
    </row>
    <row r="13" customFormat="false" ht="25.5" hidden="false" customHeight="true" outlineLevel="0" collapsed="false">
      <c r="B13" s="47" t="str">
        <f aca="false">IF(B12="","",TRIM(IF(COUNTIFS($C$22:$C$139,B12,$D$22:$D$139,"*Vistoria*",$Q$22:$Q$139,"&lt;&gt;Cancelada")&gt;0,"Vistoria ","")&amp;IF(COUNTIFS($C$22:$C$139,B12,$D$22:$D$139,"*Relatório*",$Q$22:$Q$139,"&lt;&gt;Cancelada")&gt;0,"Relatório ","")&amp;IF(COUNTIFS($C$22:$C$139,B12,$D$22:$D$139,"*Reunião*",$Q$22:$Q$139,"&lt;&gt;Cancelada")&gt;0,"REUNIÃO ","")&amp;IF(COUNTIFS($C$22:$C$139,B12,$D$22:$D$139,"*Férias*",$Q$22:$Q$139,"&lt;&gt;Cancelada")&gt;0,"Férias ","")&amp;IF(COUNTIFS($C$22:$C$139,B12,$D$22:$D$139,"*Mudança*",$Q$22:$Q$139,"&lt;&gt;Cancelada")&gt;0,"M.Função ","")&amp;IF(COUNTIFS($C$22:$C$139,B12,$D$22:$D$139,"*Treinamento*",$Q$22:$Q$139,"&lt;&gt;Cancelada")&gt;0,"Trein. ","")))</f>
        <v/>
      </c>
      <c r="C13" s="47"/>
      <c r="D13" s="47" t="str">
        <f aca="false">IF(D12="","",TRIM(IF(COUNTIFS($C$22:$C$139,D12,$D$22:$D$139,"*Vistoria*",$Q$22:$Q$139,"&lt;&gt;Cancelada")&gt;0,"Vistoria ","")&amp;IF(COUNTIFS($C$22:$C$139,D12,$D$22:$D$139,"*Relatório*",$Q$22:$Q$139,"&lt;&gt;Cancelada")&gt;0,"Relatório ","")&amp;IF(COUNTIFS($C$22:$C$139,D12,$D$22:$D$139,"*Reunião*",$Q$22:$Q$139,"&lt;&gt;Cancelada")&gt;0,"REUNIÃO ","")&amp;IF(COUNTIFS($C$22:$C$139,D12,$D$22:$D$139,"*Férias*",$Q$22:$Q$139,"&lt;&gt;Cancelada")&gt;0,"Férias ","")&amp;IF(COUNTIFS($C$22:$C$139,D12,$D$22:$D$139,"*Mudança*",$Q$22:$Q$139,"&lt;&gt;Cancelada")&gt;0,"M.Função ","")&amp;IF(COUNTIFS($C$22:$C$139,D12,$D$22:$D$139,"*Treinamento*",$Q$22:$Q$139,"&lt;&gt;Cancelada")&gt;0,"Trein. ","")))</f>
        <v/>
      </c>
      <c r="E13" s="47"/>
      <c r="F13" s="47" t="str">
        <f aca="false">IF(F12="","",TRIM(IF(COUNTIFS($C$22:$C$139,F12,$D$22:$D$139,"*Vistoria*",$Q$22:$Q$139,"&lt;&gt;Cancelada")&gt;0,"Vistoria ","")&amp;IF(COUNTIFS($C$22:$C$139,F12,$D$22:$D$139,"*Relatório*",$Q$22:$Q$139,"&lt;&gt;Cancelada")&gt;0,"Relatório ","")&amp;IF(COUNTIFS($C$22:$C$139,F12,$D$22:$D$139,"*Reunião*",$Q$22:$Q$139,"&lt;&gt;Cancelada")&gt;0,"REUNIÃO ","")&amp;IF(COUNTIFS($C$22:$C$139,F12,$D$22:$D$139,"*Férias*",$Q$22:$Q$139,"&lt;&gt;Cancelada")&gt;0,"Férias ","")&amp;IF(COUNTIFS($C$22:$C$139,F12,$D$22:$D$139,"*Mudança*",$Q$22:$Q$139,"&lt;&gt;Cancelada")&gt;0,"M.Função ","")&amp;IF(COUNTIFS($C$22:$C$139,F12,$D$22:$D$139,"*Treinamento*",$Q$22:$Q$139,"&lt;&gt;Cancelada")&gt;0,"Trein. ","")))</f>
        <v/>
      </c>
      <c r="G13" s="47"/>
      <c r="H13" s="47" t="str">
        <f aca="false">IF(H12="","",TRIM(IF(COUNTIFS($C$22:$C$139,H12,$D$22:$D$139,"*Vistoria*",$Q$22:$Q$139,"&lt;&gt;Cancelada")&gt;0,"Vistoria ","")&amp;IF(COUNTIFS($C$22:$C$139,H12,$D$22:$D$139,"*Relatório*",$Q$22:$Q$139,"&lt;&gt;Cancelada")&gt;0,"Relatório ","")&amp;IF(COUNTIFS($C$22:$C$139,H12,$D$22:$D$139,"*Reunião*",$Q$22:$Q$139,"&lt;&gt;Cancelada")&gt;0,"REUNIÃO ","")&amp;IF(COUNTIFS($C$22:$C$139,H12,$D$22:$D$139,"*Férias*",$Q$22:$Q$139,"&lt;&gt;Cancelada")&gt;0,"Férias ","")&amp;IF(COUNTIFS($C$22:$C$139,H12,$D$22:$D$139,"*Mudança*",$Q$22:$Q$139,"&lt;&gt;Cancelada")&gt;0,"M.Função ","")&amp;IF(COUNTIFS($C$22:$C$139,H12,$D$22:$D$139,"*Treinamento*",$Q$22:$Q$139,"&lt;&gt;Cancelada")&gt;0,"Trein. ","")))</f>
        <v>Vistoria</v>
      </c>
      <c r="I13" s="47"/>
      <c r="J13" s="47" t="str">
        <f aca="false">IF(J12="","",TRIM(IF(COUNTIFS($C$22:$C$139,J12,$D$22:$D$139,"*Vistoria*",$Q$22:$Q$139,"&lt;&gt;Cancelada")&gt;0,"Vistoria ","")&amp;IF(COUNTIFS($C$22:$C$139,J12,$D$22:$D$139,"*Relatório*",$Q$22:$Q$139,"&lt;&gt;Cancelada")&gt;0,"Relatório ","")&amp;IF(COUNTIFS($C$22:$C$139,J12,$D$22:$D$139,"*Reunião*",$Q$22:$Q$139,"&lt;&gt;Cancelada")&gt;0,"REUNIÃO ","")&amp;IF(COUNTIFS($C$22:$C$139,J12,$D$22:$D$139,"*Férias*",$Q$22:$Q$139,"&lt;&gt;Cancelada")&gt;0,"Férias ","")&amp;IF(COUNTIFS($C$22:$C$139,J12,$D$22:$D$139,"*Mudança*",$Q$22:$Q$139,"&lt;&gt;Cancelada")&gt;0,"M.Função ","")&amp;IF(COUNTIFS($C$22:$C$139,J12,$D$22:$D$139,"*Treinamento*",$Q$22:$Q$139,"&lt;&gt;Cancelada")&gt;0,"Trein. ","")))</f>
        <v>Relatório</v>
      </c>
      <c r="K13" s="47"/>
      <c r="L13" s="47" t="str">
        <f aca="false">IF(L12="","",TRIM(IF(COUNTIFS($C$22:$C$139,L12,$D$22:$D$139,"*Vistoria*",$Q$22:$Q$139,"&lt;&gt;Cancelada")&gt;0,"Vistoria ","")&amp;IF(COUNTIFS($C$22:$C$139,L12,$D$22:$D$139,"*Relatório*",$Q$22:$Q$139,"&lt;&gt;Cancelada")&gt;0,"Relatório ","")&amp;IF(COUNTIFS($C$22:$C$139,L12,$D$22:$D$139,"*Reunião*",$Q$22:$Q$139,"&lt;&gt;Cancelada")&gt;0,"REUNIÃO ","")&amp;IF(COUNTIFS($C$22:$C$139,L12,$D$22:$D$139,"*Férias*",$Q$22:$Q$139,"&lt;&gt;Cancelada")&gt;0,"Férias ","")&amp;IF(COUNTIFS($C$22:$C$139,L12,$D$22:$D$139,"*Mudança*",$Q$22:$Q$139,"&lt;&gt;Cancelada")&gt;0,"M.Função ","")&amp;IF(COUNTIFS($C$22:$C$139,L12,$D$22:$D$139,"*Treinamento*",$Q$22:$Q$139,"&lt;&gt;Cancelada")&gt;0,"Trein. ","")))</f>
        <v>REUNIÃO M.Função</v>
      </c>
      <c r="M13" s="47"/>
      <c r="N13" s="47" t="str">
        <f aca="false">IF(N12="","",TRIM(IF(COUNTIFS($C$22:$C$139,N12,$D$22:$D$139,"*Vistoria*",$Q$22:$Q$139,"&lt;&gt;Cancelada")&gt;0,"Vistoria ","")&amp;IF(COUNTIFS($C$22:$C$139,N12,$D$22:$D$139,"*Relatório*",$Q$22:$Q$139,"&lt;&gt;Cancelada")&gt;0,"Relatório ","")&amp;IF(COUNTIFS($C$22:$C$139,N12,$D$22:$D$139,"*Reunião*",$Q$22:$Q$139,"&lt;&gt;Cancelada")&gt;0,"REUNIÃO ","")&amp;IF(COUNTIFS($C$22:$C$139,N12,$D$22:$D$139,"*Férias*",$Q$22:$Q$139,"&lt;&gt;Cancelada")&gt;0,"Férias ","")&amp;IF(COUNTIFS($C$22:$C$139,N12,$D$22:$D$139,"*Mudança*",$Q$22:$Q$139,"&lt;&gt;Cancelada")&gt;0,"M.Função ","")&amp;IF(COUNTIFS($C$22:$C$139,N12,$D$22:$D$139,"*Treinamento*",$Q$22:$Q$139,"&lt;&gt;Cancelada")&gt;0,"Trein. ","")))</f>
        <v/>
      </c>
      <c r="O13" s="47"/>
    </row>
    <row r="14" customFormat="false" ht="15" hidden="false" customHeight="true" outlineLevel="0" collapsed="false">
      <c r="B14" s="46" t="n">
        <f aca="false">IF(MONTH($X$1-WEEKDAY($X$1)+1+28)=MONTH($X$1),$X$1-WEEKDAY($X$1)+1+28,"")</f>
        <v>46292</v>
      </c>
      <c r="C14" s="46"/>
      <c r="D14" s="46" t="n">
        <f aca="false">IF(MONTH($X$1-WEEKDAY($X$1)+1+29)=MONTH($X$1),$X$1-WEEKDAY($X$1)+1+29,"")</f>
        <v>46293</v>
      </c>
      <c r="E14" s="46"/>
      <c r="F14" s="46" t="n">
        <f aca="false">IF(MONTH($X$1-WEEKDAY($X$1)+1+30)=MONTH($X$1),$X$1-WEEKDAY($X$1)+1+30,"")</f>
        <v>46294</v>
      </c>
      <c r="G14" s="46"/>
      <c r="H14" s="46" t="n">
        <f aca="false">IF(MONTH($X$1-WEEKDAY($X$1)+1+31)=MONTH($X$1),$X$1-WEEKDAY($X$1)+1+31,"")</f>
        <v>46295</v>
      </c>
      <c r="I14" s="46"/>
      <c r="J14" s="46" t="str">
        <f aca="false">IF(MONTH($X$1-WEEKDAY($X$1)+1+32)=MONTH($X$1),$X$1-WEEKDAY($X$1)+1+32,"")</f>
        <v/>
      </c>
      <c r="K14" s="46"/>
      <c r="L14" s="46" t="str">
        <f aca="false">IF(MONTH($X$1-WEEKDAY($X$1)+1+33)=MONTH($X$1),$X$1-WEEKDAY($X$1)+1+33,"")</f>
        <v/>
      </c>
      <c r="M14" s="46"/>
      <c r="N14" s="46" t="str">
        <f aca="false">IF(MONTH($X$1-WEEKDAY($X$1)+1+34)=MONTH($X$1),$X$1-WEEKDAY($X$1)+1+34,"")</f>
        <v/>
      </c>
      <c r="O14" s="46"/>
    </row>
    <row r="15" customFormat="false" ht="25.5" hidden="false" customHeight="true" outlineLevel="0" collapsed="false">
      <c r="B15" s="47" t="str">
        <f aca="false">IF(B14="","",TRIM(IF(COUNTIFS($C$22:$C$139,B14,$D$22:$D$139,"*Vistoria*",$Q$22:$Q$139,"&lt;&gt;Cancelada")&gt;0,"Vistoria ","")&amp;IF(COUNTIFS($C$22:$C$139,B14,$D$22:$D$139,"*Relatório*",$Q$22:$Q$139,"&lt;&gt;Cancelada")&gt;0,"Relatório ","")&amp;IF(COUNTIFS($C$22:$C$139,B14,$D$22:$D$139,"*Reunião*",$Q$22:$Q$139,"&lt;&gt;Cancelada")&gt;0,"REUNIÃO ","")&amp;IF(COUNTIFS($C$22:$C$139,B14,$D$22:$D$139,"*Férias*",$Q$22:$Q$139,"&lt;&gt;Cancelada")&gt;0,"Férias ","")&amp;IF(COUNTIFS($C$22:$C$139,B14,$D$22:$D$139,"*Mudança*",$Q$22:$Q$139,"&lt;&gt;Cancelada")&gt;0,"M.Função ","")&amp;IF(COUNTIFS($C$22:$C$139,B14,$D$22:$D$139,"*Treinamento*",$Q$22:$Q$139,"&lt;&gt;Cancelada")&gt;0,"Trein. ","")))</f>
        <v/>
      </c>
      <c r="C15" s="47"/>
      <c r="D15" s="47" t="str">
        <f aca="false">IF(D14="","",TRIM(IF(COUNTIFS($C$22:$C$139,D14,$D$22:$D$139,"*Vistoria*",$Q$22:$Q$139,"&lt;&gt;Cancelada")&gt;0,"Vistoria ","")&amp;IF(COUNTIFS($C$22:$C$139,D14,$D$22:$D$139,"*Relatório*",$Q$22:$Q$139,"&lt;&gt;Cancelada")&gt;0,"Relatório ","")&amp;IF(COUNTIFS($C$22:$C$139,D14,$D$22:$D$139,"*Reunião*",$Q$22:$Q$139,"&lt;&gt;Cancelada")&gt;0,"REUNIÃO ","")&amp;IF(COUNTIFS($C$22:$C$139,D14,$D$22:$D$139,"*Férias*",$Q$22:$Q$139,"&lt;&gt;Cancelada")&gt;0,"Férias ","")&amp;IF(COUNTIFS($C$22:$C$139,D14,$D$22:$D$139,"*Mudança*",$Q$22:$Q$139,"&lt;&gt;Cancelada")&gt;0,"M.Função ","")&amp;IF(COUNTIFS($C$22:$C$139,D14,$D$22:$D$139,"*Treinamento*",$Q$22:$Q$139,"&lt;&gt;Cancelada")&gt;0,"Trein. ","")))</f>
        <v/>
      </c>
      <c r="E15" s="47"/>
      <c r="F15" s="47" t="str">
        <f aca="false">IF(F14="","",TRIM(IF(COUNTIFS($C$22:$C$139,F14,$D$22:$D$139,"*Vistoria*",$Q$22:$Q$139,"&lt;&gt;Cancelada")&gt;0,"Vistoria ","")&amp;IF(COUNTIFS($C$22:$C$139,F14,$D$22:$D$139,"*Relatório*",$Q$22:$Q$139,"&lt;&gt;Cancelada")&gt;0,"Relatório ","")&amp;IF(COUNTIFS($C$22:$C$139,F14,$D$22:$D$139,"*Reunião*",$Q$22:$Q$139,"&lt;&gt;Cancelada")&gt;0,"REUNIÃO ","")&amp;IF(COUNTIFS($C$22:$C$139,F14,$D$22:$D$139,"*Férias*",$Q$22:$Q$139,"&lt;&gt;Cancelada")&gt;0,"Férias ","")&amp;IF(COUNTIFS($C$22:$C$139,F14,$D$22:$D$139,"*Mudança*",$Q$22:$Q$139,"&lt;&gt;Cancelada")&gt;0,"M.Função ","")&amp;IF(COUNTIFS($C$22:$C$139,F14,$D$22:$D$139,"*Treinamento*",$Q$22:$Q$139,"&lt;&gt;Cancelada")&gt;0,"Trein. ","")))</f>
        <v/>
      </c>
      <c r="G15" s="47"/>
      <c r="H15" s="47" t="str">
        <f aca="false">IF(H14="","",TRIM(IF(COUNTIFS($C$22:$C$139,H14,$D$22:$D$139,"*Vistoria*",$Q$22:$Q$139,"&lt;&gt;Cancelada")&gt;0,"Vistoria ","")&amp;IF(COUNTIFS($C$22:$C$139,H14,$D$22:$D$139,"*Relatório*",$Q$22:$Q$139,"&lt;&gt;Cancelada")&gt;0,"Relatório ","")&amp;IF(COUNTIFS($C$22:$C$139,H14,$D$22:$D$139,"*Reunião*",$Q$22:$Q$139,"&lt;&gt;Cancelada")&gt;0,"REUNIÃO ","")&amp;IF(COUNTIFS($C$22:$C$139,H14,$D$22:$D$139,"*Férias*",$Q$22:$Q$139,"&lt;&gt;Cancelada")&gt;0,"Férias ","")&amp;IF(COUNTIFS($C$22:$C$139,H14,$D$22:$D$139,"*Mudança*",$Q$22:$Q$139,"&lt;&gt;Cancelada")&gt;0,"M.Função ","")&amp;IF(COUNTIFS($C$22:$C$139,H14,$D$22:$D$139,"*Treinamento*",$Q$22:$Q$139,"&lt;&gt;Cancelada")&gt;0,"Trein. ","")))</f>
        <v>Vistoria</v>
      </c>
      <c r="I15" s="47"/>
      <c r="J15" s="47" t="str">
        <f aca="false">IF(J14="","",TRIM(IF(COUNTIFS($C$22:$C$139,J14,$D$22:$D$139,"*Vistoria*",$Q$22:$Q$139,"&lt;&gt;Cancelada")&gt;0,"Vistoria ","")&amp;IF(COUNTIFS($C$22:$C$139,J14,$D$22:$D$139,"*Relatório*",$Q$22:$Q$139,"&lt;&gt;Cancelada")&gt;0,"Relatório ","")&amp;IF(COUNTIFS($C$22:$C$139,J14,$D$22:$D$139,"*Reunião*",$Q$22:$Q$139,"&lt;&gt;Cancelada")&gt;0,"REUNIÃO ","")&amp;IF(COUNTIFS($C$22:$C$139,J14,$D$22:$D$139,"*Férias*",$Q$22:$Q$139,"&lt;&gt;Cancelada")&gt;0,"Férias ","")&amp;IF(COUNTIFS($C$22:$C$139,J14,$D$22:$D$139,"*Mudança*",$Q$22:$Q$139,"&lt;&gt;Cancelada")&gt;0,"M.Função ","")&amp;IF(COUNTIFS($C$22:$C$139,J14,$D$22:$D$139,"*Treinamento*",$Q$22:$Q$139,"&lt;&gt;Cancelada")&gt;0,"Trein. ","")))</f>
        <v/>
      </c>
      <c r="K15" s="47"/>
      <c r="L15" s="47" t="str">
        <f aca="false">IF(L14="","",TRIM(IF(COUNTIFS($C$22:$C$139,L14,$D$22:$D$139,"*Vistoria*",$Q$22:$Q$139,"&lt;&gt;Cancelada")&gt;0,"Vistoria ","")&amp;IF(COUNTIFS($C$22:$C$139,L14,$D$22:$D$139,"*Relatório*",$Q$22:$Q$139,"&lt;&gt;Cancelada")&gt;0,"Relatório ","")&amp;IF(COUNTIFS($C$22:$C$139,L14,$D$22:$D$139,"*Reunião*",$Q$22:$Q$139,"&lt;&gt;Cancelada")&gt;0,"REUNIÃO ","")&amp;IF(COUNTIFS($C$22:$C$139,L14,$D$22:$D$139,"*Férias*",$Q$22:$Q$139,"&lt;&gt;Cancelada")&gt;0,"Férias ","")&amp;IF(COUNTIFS($C$22:$C$139,L14,$D$22:$D$139,"*Mudança*",$Q$22:$Q$139,"&lt;&gt;Cancelada")&gt;0,"M.Função ","")&amp;IF(COUNTIFS($C$22:$C$139,L14,$D$22:$D$139,"*Treinamento*",$Q$22:$Q$139,"&lt;&gt;Cancelada")&gt;0,"Trein. ","")))</f>
        <v/>
      </c>
      <c r="M15" s="47"/>
      <c r="N15" s="47" t="str">
        <f aca="false">IF(N14="","",TRIM(IF(COUNTIFS($C$22:$C$139,N14,$D$22:$D$139,"*Vistoria*",$Q$22:$Q$139,"&lt;&gt;Cancelada")&gt;0,"Vistoria ","")&amp;IF(COUNTIFS($C$22:$C$139,N14,$D$22:$D$139,"*Relatório*",$Q$22:$Q$139,"&lt;&gt;Cancelada")&gt;0,"Relatório ","")&amp;IF(COUNTIFS($C$22:$C$139,N14,$D$22:$D$139,"*Reunião*",$Q$22:$Q$139,"&lt;&gt;Cancelada")&gt;0,"REUNIÃO ","")&amp;IF(COUNTIFS($C$22:$C$139,N14,$D$22:$D$139,"*Férias*",$Q$22:$Q$139,"&lt;&gt;Cancelada")&gt;0,"Férias ","")&amp;IF(COUNTIFS($C$22:$C$139,N14,$D$22:$D$139,"*Mudança*",$Q$22:$Q$139,"&lt;&gt;Cancelada")&gt;0,"M.Função ","")&amp;IF(COUNTIFS($C$22:$C$139,N14,$D$22:$D$139,"*Treinamento*",$Q$22:$Q$139,"&lt;&gt;Cancelada")&gt;0,"Trein. ","")))</f>
        <v/>
      </c>
      <c r="O15" s="47"/>
    </row>
    <row r="16" customFormat="false" ht="15" hidden="false" customHeight="true" outlineLevel="0" collapsed="false">
      <c r="B16" s="46" t="str">
        <f aca="false">IF(MONTH($X$1-WEEKDAY($X$1)+1+35)=MONTH($X$1),$X$1-WEEKDAY($X$1)+1+35,"")</f>
        <v/>
      </c>
      <c r="C16" s="46"/>
      <c r="D16" s="46" t="str">
        <f aca="false">IF(MONTH($X$1-WEEKDAY($X$1)+1+36)=MONTH($X$1),$X$1-WEEKDAY($X$1)+1+36,"")</f>
        <v/>
      </c>
      <c r="E16" s="46"/>
      <c r="F16" s="46" t="str">
        <f aca="false">IF(MONTH($X$1-WEEKDAY($X$1)+1+37)=MONTH($X$1),$X$1-WEEKDAY($X$1)+1+37,"")</f>
        <v/>
      </c>
      <c r="G16" s="46"/>
      <c r="H16" s="46" t="str">
        <f aca="false">IF(MONTH($X$1-WEEKDAY($X$1)+1+38)=MONTH($X$1),$X$1-WEEKDAY($X$1)+1+38,"")</f>
        <v/>
      </c>
      <c r="I16" s="46"/>
      <c r="J16" s="46" t="str">
        <f aca="false">IF(MONTH($X$1-WEEKDAY($X$1)+1+39)=MONTH($X$1),$X$1-WEEKDAY($X$1)+1+39,"")</f>
        <v/>
      </c>
      <c r="K16" s="46"/>
      <c r="L16" s="46" t="str">
        <f aca="false">IF(MONTH($X$1-WEEKDAY($X$1)+1+40)=MONTH($X$1),$X$1-WEEKDAY($X$1)+1+40,"")</f>
        <v/>
      </c>
      <c r="M16" s="46"/>
      <c r="N16" s="46" t="str">
        <f aca="false">IF(MONTH($X$1-WEEKDAY($X$1)+1+41)=MONTH($X$1),$X$1-WEEKDAY($X$1)+1+41,"")</f>
        <v/>
      </c>
      <c r="O16" s="46"/>
    </row>
    <row r="17" customFormat="false" ht="25.5" hidden="false" customHeight="true" outlineLevel="0" collapsed="false">
      <c r="B17" s="47" t="str">
        <f aca="false">IF(B16="","",TRIM(IF(COUNTIFS($C$22:$C$139,B16,$D$22:$D$139,"*Vistoria*",$Q$22:$Q$139,"&lt;&gt;Cancelada")&gt;0,"Vistoria ","")&amp;IF(COUNTIFS($C$22:$C$139,B16,$D$22:$D$139,"*Relatório*",$Q$22:$Q$139,"&lt;&gt;Cancelada")&gt;0,"Relatório ","")&amp;IF(COUNTIFS($C$22:$C$139,B16,$D$22:$D$139,"*Reunião*",$Q$22:$Q$139,"&lt;&gt;Cancelada")&gt;0,"REUNIÃO ","")&amp;IF(COUNTIFS($C$22:$C$139,B16,$D$22:$D$139,"*Férias*",$Q$22:$Q$139,"&lt;&gt;Cancelada")&gt;0,"Férias ","")&amp;IF(COUNTIFS($C$22:$C$139,B16,$D$22:$D$139,"*Mudança*",$Q$22:$Q$139,"&lt;&gt;Cancelada")&gt;0,"M.Função ","")&amp;IF(COUNTIFS($C$22:$C$139,B16,$D$22:$D$139,"*Treinamento*",$Q$22:$Q$139,"&lt;&gt;Cancelada")&gt;0,"Trein. ","")))</f>
        <v/>
      </c>
      <c r="C17" s="47"/>
      <c r="D17" s="47" t="str">
        <f aca="false">IF(D16="","",TRIM(IF(COUNTIFS($C$22:$C$139,D16,$D$22:$D$139,"*Vistoria*",$Q$22:$Q$139,"&lt;&gt;Cancelada")&gt;0,"Vistoria ","")&amp;IF(COUNTIFS($C$22:$C$139,D16,$D$22:$D$139,"*Relatório*",$Q$22:$Q$139,"&lt;&gt;Cancelada")&gt;0,"Relatório ","")&amp;IF(COUNTIFS($C$22:$C$139,D16,$D$22:$D$139,"*Reunião*",$Q$22:$Q$139,"&lt;&gt;Cancelada")&gt;0,"REUNIÃO ","")&amp;IF(COUNTIFS($C$22:$C$139,D16,$D$22:$D$139,"*Férias*",$Q$22:$Q$139,"&lt;&gt;Cancelada")&gt;0,"Férias ","")&amp;IF(COUNTIFS($C$22:$C$139,D16,$D$22:$D$139,"*Mudança*",$Q$22:$Q$139,"&lt;&gt;Cancelada")&gt;0,"M.Função ","")&amp;IF(COUNTIFS($C$22:$C$139,D16,$D$22:$D$139,"*Treinamento*",$Q$22:$Q$139,"&lt;&gt;Cancelada")&gt;0,"Trein. ","")))</f>
        <v/>
      </c>
      <c r="E17" s="47"/>
      <c r="F17" s="47" t="str">
        <f aca="false">IF(F16="","",TRIM(IF(COUNTIFS($C$22:$C$139,F16,$D$22:$D$139,"*Vistoria*",$Q$22:$Q$139,"&lt;&gt;Cancelada")&gt;0,"Vistoria ","")&amp;IF(COUNTIFS($C$22:$C$139,F16,$D$22:$D$139,"*Relatório*",$Q$22:$Q$139,"&lt;&gt;Cancelada")&gt;0,"Relatório ","")&amp;IF(COUNTIFS($C$22:$C$139,F16,$D$22:$D$139,"*Reunião*",$Q$22:$Q$139,"&lt;&gt;Cancelada")&gt;0,"REUNIÃO ","")&amp;IF(COUNTIFS($C$22:$C$139,F16,$D$22:$D$139,"*Férias*",$Q$22:$Q$139,"&lt;&gt;Cancelada")&gt;0,"Férias ","")&amp;IF(COUNTIFS($C$22:$C$139,F16,$D$22:$D$139,"*Mudança*",$Q$22:$Q$139,"&lt;&gt;Cancelada")&gt;0,"M.Função ","")&amp;IF(COUNTIFS($C$22:$C$139,F16,$D$22:$D$139,"*Treinamento*",$Q$22:$Q$139,"&lt;&gt;Cancelada")&gt;0,"Trein. ","")))</f>
        <v/>
      </c>
      <c r="G17" s="47"/>
      <c r="H17" s="47" t="str">
        <f aca="false">IF(H16="","",TRIM(IF(COUNTIFS($C$22:$C$139,H16,$D$22:$D$139,"*Vistoria*",$Q$22:$Q$139,"&lt;&gt;Cancelada")&gt;0,"Vistoria ","")&amp;IF(COUNTIFS($C$22:$C$139,H16,$D$22:$D$139,"*Relatório*",$Q$22:$Q$139,"&lt;&gt;Cancelada")&gt;0,"Relatório ","")&amp;IF(COUNTIFS($C$22:$C$139,H16,$D$22:$D$139,"*Reunião*",$Q$22:$Q$139,"&lt;&gt;Cancelada")&gt;0,"REUNIÃO ","")&amp;IF(COUNTIFS($C$22:$C$139,H16,$D$22:$D$139,"*Férias*",$Q$22:$Q$139,"&lt;&gt;Cancelada")&gt;0,"Férias ","")&amp;IF(COUNTIFS($C$22:$C$139,H16,$D$22:$D$139,"*Mudança*",$Q$22:$Q$139,"&lt;&gt;Cancelada")&gt;0,"M.Função ","")&amp;IF(COUNTIFS($C$22:$C$139,H16,$D$22:$D$139,"*Treinamento*",$Q$22:$Q$139,"&lt;&gt;Cancelada")&gt;0,"Trein. ","")))</f>
        <v/>
      </c>
      <c r="I17" s="47"/>
      <c r="J17" s="47" t="str">
        <f aca="false">IF(J16="","",TRIM(IF(COUNTIFS($C$22:$C$139,J16,$D$22:$D$139,"*Vistoria*",$Q$22:$Q$139,"&lt;&gt;Cancelada")&gt;0,"Vistoria ","")&amp;IF(COUNTIFS($C$22:$C$139,J16,$D$22:$D$139,"*Relatório*",$Q$22:$Q$139,"&lt;&gt;Cancelada")&gt;0,"Relatório ","")&amp;IF(COUNTIFS($C$22:$C$139,J16,$D$22:$D$139,"*Reunião*",$Q$22:$Q$139,"&lt;&gt;Cancelada")&gt;0,"REUNIÃO ","")&amp;IF(COUNTIFS($C$22:$C$139,J16,$D$22:$D$139,"*Férias*",$Q$22:$Q$139,"&lt;&gt;Cancelada")&gt;0,"Férias ","")&amp;IF(COUNTIFS($C$22:$C$139,J16,$D$22:$D$139,"*Mudança*",$Q$22:$Q$139,"&lt;&gt;Cancelada")&gt;0,"M.Função ","")&amp;IF(COUNTIFS($C$22:$C$139,J16,$D$22:$D$139,"*Treinamento*",$Q$22:$Q$139,"&lt;&gt;Cancelada")&gt;0,"Trein. ","")))</f>
        <v/>
      </c>
      <c r="K17" s="47"/>
      <c r="L17" s="47" t="str">
        <f aca="false">IF(L16="","",TRIM(IF(COUNTIFS($C$22:$C$139,L16,$D$22:$D$139,"*Vistoria*",$Q$22:$Q$139,"&lt;&gt;Cancelada")&gt;0,"Vistoria ","")&amp;IF(COUNTIFS($C$22:$C$139,L16,$D$22:$D$139,"*Relatório*",$Q$22:$Q$139,"&lt;&gt;Cancelada")&gt;0,"Relatório ","")&amp;IF(COUNTIFS($C$22:$C$139,L16,$D$22:$D$139,"*Reunião*",$Q$22:$Q$139,"&lt;&gt;Cancelada")&gt;0,"REUNIÃO ","")&amp;IF(COUNTIFS($C$22:$C$139,L16,$D$22:$D$139,"*Férias*",$Q$22:$Q$139,"&lt;&gt;Cancelada")&gt;0,"Férias ","")&amp;IF(COUNTIFS($C$22:$C$139,L16,$D$22:$D$139,"*Mudança*",$Q$22:$Q$139,"&lt;&gt;Cancelada")&gt;0,"M.Função ","")&amp;IF(COUNTIFS($C$22:$C$139,L16,$D$22:$D$139,"*Treinamento*",$Q$22:$Q$139,"&lt;&gt;Cancelada")&gt;0,"Trein. ","")))</f>
        <v/>
      </c>
      <c r="M17" s="47"/>
      <c r="N17" s="47" t="str">
        <f aca="false">IF(N16="","",TRIM(IF(COUNTIFS($C$22:$C$139,N16,$D$22:$D$139,"*Vistoria*",$Q$22:$Q$139,"&lt;&gt;Cancelada")&gt;0,"Vistoria ","")&amp;IF(COUNTIFS($C$22:$C$139,N16,$D$22:$D$139,"*Relatório*",$Q$22:$Q$139,"&lt;&gt;Cancelada")&gt;0,"Relatório ","")&amp;IF(COUNTIFS($C$22:$C$139,N16,$D$22:$D$139,"*Reunião*",$Q$22:$Q$139,"&lt;&gt;Cancelada")&gt;0,"REUNIÃO ","")&amp;IF(COUNTIFS($C$22:$C$139,N16,$D$22:$D$139,"*Férias*",$Q$22:$Q$139,"&lt;&gt;Cancelada")&gt;0,"Férias ","")&amp;IF(COUNTIFS($C$22:$C$139,N16,$D$22:$D$139,"*Mudança*",$Q$22:$Q$139,"&lt;&gt;Cancelada")&gt;0,"M.Função ","")&amp;IF(COUNTIFS($C$22:$C$139,N16,$D$22:$D$139,"*Treinamento*",$Q$22:$Q$139,"&lt;&gt;Cancelada")&gt;0,"Trein. ","")))</f>
        <v/>
      </c>
      <c r="O17" s="47"/>
    </row>
    <row r="18" customFormat="false" ht="15" hidden="false" customHeight="true" outlineLevel="0" collapsed="false">
      <c r="B18" s="48" t="s">
        <v>123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</row>
    <row r="20" customFormat="false" ht="15" hidden="false" customHeight="true" outlineLevel="0" collapsed="false">
      <c r="A20" s="49" t="s">
        <v>124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customFormat="false" ht="24" hidden="false" customHeight="true" outlineLevel="0" collapsed="false">
      <c r="A21" s="50" t="s">
        <v>125</v>
      </c>
      <c r="B21" s="50" t="s">
        <v>126</v>
      </c>
      <c r="C21" s="50" t="s">
        <v>127</v>
      </c>
      <c r="D21" s="50" t="s">
        <v>128</v>
      </c>
      <c r="E21" s="50"/>
      <c r="F21" s="50"/>
      <c r="G21" s="50" t="s">
        <v>73</v>
      </c>
      <c r="H21" s="50" t="s">
        <v>129</v>
      </c>
      <c r="I21" s="50"/>
      <c r="J21" s="50" t="s">
        <v>130</v>
      </c>
      <c r="K21" s="50"/>
      <c r="L21" s="50"/>
      <c r="M21" s="50" t="s">
        <v>131</v>
      </c>
      <c r="N21" s="50"/>
      <c r="O21" s="50"/>
      <c r="P21" s="50" t="s">
        <v>132</v>
      </c>
      <c r="Q21" s="50" t="s">
        <v>133</v>
      </c>
      <c r="R21" s="50" t="s">
        <v>134</v>
      </c>
      <c r="S21" s="50" t="s">
        <v>135</v>
      </c>
      <c r="T21" s="50" t="s">
        <v>136</v>
      </c>
      <c r="U21" s="50" t="s">
        <v>137</v>
      </c>
      <c r="V21" s="50" t="s">
        <v>138</v>
      </c>
    </row>
    <row r="22" customFormat="false" ht="15" hidden="false" customHeight="false" outlineLevel="0" collapsed="false">
      <c r="A22" s="51" t="str">
        <f aca="false">IF($C22="","",$X$2&amp;"-S"&amp;INT(($C22-WEEKDAY($C22,2)+11-DATE(YEAR($C22+4-WEEKDAY($C22,2)),1,1))/7)&amp;"-FER-A")</f>
        <v>SET-S37-FER-A</v>
      </c>
      <c r="B22" s="34" t="str">
        <f aca="false">IF($C22="","","S"&amp;INT(($C22-WEEKDAY($C22,2)+11-DATE(YEAR($C22+4-WEEKDAY($C22,2)),1,1))/7))</f>
        <v>S37</v>
      </c>
      <c r="C22" s="52" t="n">
        <f aca="false">$X$1+MOD(8-WEEKDAY($X$1,2),7)</f>
        <v>46272</v>
      </c>
      <c r="D22" s="9" t="str">
        <f aca="false">IF($C22="","","Programação de Férias (mensal)")</f>
        <v>Programação de Férias (mensal)</v>
      </c>
      <c r="E22" s="9"/>
      <c r="F22" s="9"/>
      <c r="G22" s="34" t="str">
        <f aca="false">IF($C22="","","A")</f>
        <v>A</v>
      </c>
      <c r="H22" s="34" t="str">
        <f aca="false">IF($C22="","",IF($G22="A",CONFIG!$B$5,IF($G22="B",CONFIG!$B$6,IF($G22="C",CONFIG!$B$7,"Gerência + coordenadores"))))</f>
        <v>(preencha o nome)</v>
      </c>
      <c r="I22" s="34"/>
      <c r="J22" s="32" t="str">
        <f aca="false">IF($C22="","","—")</f>
        <v>—</v>
      </c>
      <c r="K22" s="53"/>
      <c r="L22" s="53"/>
      <c r="M22" s="54"/>
      <c r="N22" s="54"/>
      <c r="O22" s="54"/>
      <c r="P22" s="55"/>
      <c r="Q22" s="56"/>
      <c r="R22" s="57"/>
      <c r="S22" s="34" t="str">
        <f aca="true">IF($C22="","",IF($Q22="Cancelada","Cancelada",IF($Q22="Reprovado","Reprovada",IF($Q22="Aprovado","Aprovada",IF($M22&lt;&gt;"","Entregue",IF(TODAY()&gt;$C22,"Atrasada","Pendente"))))))</f>
        <v>Pendente</v>
      </c>
      <c r="T22" s="58"/>
      <c r="U22" s="58"/>
      <c r="V22" s="58"/>
    </row>
    <row r="23" customFormat="false" ht="15" hidden="false" customHeight="false" outlineLevel="0" collapsed="false">
      <c r="A23" s="59" t="str">
        <f aca="false">IF($C23="","",$X$2&amp;"-S"&amp;INT(($C23-WEEKDAY($C23,2)+11-DATE(YEAR($C23+4-WEEKDAY($C23,2)),1,1))/7)&amp;"-FER-B")</f>
        <v>SET-S37-FER-B</v>
      </c>
      <c r="B23" s="30" t="str">
        <f aca="false">IF($C23="","","S"&amp;INT(($C23-WEEKDAY($C23,2)+11-DATE(YEAR($C23+4-WEEKDAY($C23,2)),1,1))/7))</f>
        <v>S37</v>
      </c>
      <c r="C23" s="52" t="n">
        <f aca="false">$X$1+MOD(8-WEEKDAY($X$1,2),7)</f>
        <v>46272</v>
      </c>
      <c r="D23" s="27" t="str">
        <f aca="false">IF($C23="","","Programação de Férias (mensal)")</f>
        <v>Programação de Férias (mensal)</v>
      </c>
      <c r="E23" s="27"/>
      <c r="F23" s="27"/>
      <c r="G23" s="30" t="str">
        <f aca="false">IF($C23="","","B")</f>
        <v>B</v>
      </c>
      <c r="H23" s="30" t="str">
        <f aca="false">IF($C23="","",IF($G23="A",CONFIG!$B$5,IF($G23="B",CONFIG!$B$6,IF($G23="C",CONFIG!$B$7,"Gerência + coordenadores"))))</f>
        <v>(preencha o nome)</v>
      </c>
      <c r="I23" s="30"/>
      <c r="J23" s="32" t="str">
        <f aca="false">IF($C23="","","—")</f>
        <v>—</v>
      </c>
      <c r="K23" s="53"/>
      <c r="L23" s="53"/>
      <c r="M23" s="54"/>
      <c r="N23" s="54"/>
      <c r="O23" s="54"/>
      <c r="P23" s="60"/>
      <c r="Q23" s="56"/>
      <c r="R23" s="57"/>
      <c r="S23" s="30" t="str">
        <f aca="true">IF($C23="","",IF($Q23="Cancelada","Cancelada",IF($Q23="Reprovado","Reprovada",IF($Q23="Aprovado","Aprovada",IF($M23&lt;&gt;"","Entregue",IF(TODAY()&gt;$C23,"Atrasada","Pendente"))))))</f>
        <v>Pendente</v>
      </c>
      <c r="T23" s="58"/>
      <c r="U23" s="58"/>
      <c r="V23" s="58"/>
    </row>
    <row r="24" customFormat="false" ht="15" hidden="false" customHeight="false" outlineLevel="0" collapsed="false">
      <c r="A24" s="51" t="str">
        <f aca="false">IF($C24="","",$X$2&amp;"-S"&amp;INT(($C24-WEEKDAY($C24,2)+11-DATE(YEAR($C24+4-WEEKDAY($C24,2)),1,1))/7)&amp;"-FER-C")</f>
        <v>SET-S37-FER-C</v>
      </c>
      <c r="B24" s="34" t="str">
        <f aca="false">IF($C24="","","S"&amp;INT(($C24-WEEKDAY($C24,2)+11-DATE(YEAR($C24+4-WEEKDAY($C24,2)),1,1))/7))</f>
        <v>S37</v>
      </c>
      <c r="C24" s="52" t="n">
        <f aca="false">$X$1+MOD(8-WEEKDAY($X$1,2),7)</f>
        <v>46272</v>
      </c>
      <c r="D24" s="9" t="str">
        <f aca="false">IF($C24="","","Programação de Férias (mensal)")</f>
        <v>Programação de Férias (mensal)</v>
      </c>
      <c r="E24" s="9"/>
      <c r="F24" s="9"/>
      <c r="G24" s="34" t="str">
        <f aca="false">IF($C24="","","C")</f>
        <v>C</v>
      </c>
      <c r="H24" s="34" t="str">
        <f aca="false">IF($C24="","",IF($G24="A",CONFIG!$B$5,IF($G24="B",CONFIG!$B$6,IF($G24="C",CONFIG!$B$7,"Gerência + coordenadores"))))</f>
        <v>(preencha o nome)</v>
      </c>
      <c r="I24" s="34"/>
      <c r="J24" s="32" t="str">
        <f aca="false">IF($C24="","","—")</f>
        <v>—</v>
      </c>
      <c r="K24" s="53"/>
      <c r="L24" s="53"/>
      <c r="M24" s="54"/>
      <c r="N24" s="54"/>
      <c r="O24" s="54"/>
      <c r="P24" s="55"/>
      <c r="Q24" s="56"/>
      <c r="R24" s="57"/>
      <c r="S24" s="34" t="str">
        <f aca="true">IF($C24="","",IF($Q24="Cancelada","Cancelada",IF($Q24="Reprovado","Reprovada",IF($Q24="Aprovado","Aprovada",IF($M24&lt;&gt;"","Entregue",IF(TODAY()&gt;$C24,"Atrasada","Pendente"))))))</f>
        <v>Pendente</v>
      </c>
      <c r="T24" s="58"/>
      <c r="U24" s="58"/>
      <c r="V24" s="58"/>
    </row>
    <row r="25" customFormat="false" ht="22.35" hidden="false" customHeight="false" outlineLevel="0" collapsed="false">
      <c r="A25" s="59" t="str">
        <f aca="false">IF($C25="","",$X$2&amp;"-S"&amp;INT(($C25-WEEKDAY($C25,2)+11-DATE(YEAR($C25+4-WEEKDAY($C25,2)),1,1))/7)&amp;"-VIS-A")</f>
        <v>SET-S36-VIS-A</v>
      </c>
      <c r="B25" s="30" t="str">
        <f aca="false">IF($C25="","","S"&amp;INT(($C25-WEEKDAY($C25,2)+11-DATE(YEAR($C25+4-WEEKDAY($C25,2)),1,1))/7))</f>
        <v>S36</v>
      </c>
      <c r="C25" s="52" t="n">
        <f aca="false">IF(MONTH(($X$1-WEEKDAY($X$1,3)+0)+2)=MONTH($X$1),($X$1-WEEKDAY($X$1,3)+0)+2,"")</f>
        <v>46267</v>
      </c>
      <c r="D25" s="27" t="str">
        <f aca="false">IF($C25="","","Vistoria Setorial (checklist no setor definido pelo gerente)")</f>
        <v>Vistoria Setorial (checklist no setor definido pelo gerente)</v>
      </c>
      <c r="E25" s="27"/>
      <c r="F25" s="27"/>
      <c r="G25" s="30" t="str">
        <f aca="false">IF($C25="","","A")</f>
        <v>A</v>
      </c>
      <c r="H25" s="30" t="str">
        <f aca="false">IF($C25="","",IF($G25="A",CONFIG!$B$5,IF($G25="B",CONFIG!$B$6,IF($G25="C",CONFIG!$B$7,"Gerência + coordenadores"))))</f>
        <v>(preencha o nome)</v>
      </c>
      <c r="I25" s="30"/>
      <c r="J25" s="56"/>
      <c r="K25" s="53"/>
      <c r="L25" s="53"/>
      <c r="M25" s="54"/>
      <c r="N25" s="54"/>
      <c r="O25" s="54"/>
      <c r="P25" s="60"/>
      <c r="Q25" s="56"/>
      <c r="R25" s="57"/>
      <c r="S25" s="30" t="str">
        <f aca="true">IF($C25="","",IF($Q25="Cancelada","Cancelada",IF($Q25="Reprovado","Reprovada",IF($Q25="Aprovado","Aprovada",IF($M25&lt;&gt;"","Entregue",IF(TODAY()&gt;$C25,"Atrasada","Pendente"))))))</f>
        <v>Pendente</v>
      </c>
      <c r="T25" s="58"/>
      <c r="U25" s="58"/>
      <c r="V25" s="58"/>
    </row>
    <row r="26" customFormat="false" ht="22.35" hidden="false" customHeight="false" outlineLevel="0" collapsed="false">
      <c r="A26" s="51" t="str">
        <f aca="false">IF($C26="","",$X$2&amp;"-S"&amp;INT(($C26-WEEKDAY($C26,2)+11-DATE(YEAR($C26+4-WEEKDAY($C26,2)),1,1))/7)&amp;"-VIS-B")</f>
        <v>SET-S36-VIS-B</v>
      </c>
      <c r="B26" s="34" t="str">
        <f aca="false">IF($C26="","","S"&amp;INT(($C26-WEEKDAY($C26,2)+11-DATE(YEAR($C26+4-WEEKDAY($C26,2)),1,1))/7))</f>
        <v>S36</v>
      </c>
      <c r="C26" s="52" t="n">
        <f aca="false">IF(MONTH(($X$1-WEEKDAY($X$1,3)+0)+2)=MONTH($X$1),($X$1-WEEKDAY($X$1,3)+0)+2,"")</f>
        <v>46267</v>
      </c>
      <c r="D26" s="9" t="str">
        <f aca="false">IF($C26="","","Vistoria Setorial (checklist no setor definido pelo gerente)")</f>
        <v>Vistoria Setorial (checklist no setor definido pelo gerente)</v>
      </c>
      <c r="E26" s="9"/>
      <c r="F26" s="9"/>
      <c r="G26" s="34" t="str">
        <f aca="false">IF($C26="","","B")</f>
        <v>B</v>
      </c>
      <c r="H26" s="34" t="str">
        <f aca="false">IF($C26="","",IF($G26="A",CONFIG!$B$5,IF($G26="B",CONFIG!$B$6,IF($G26="C",CONFIG!$B$7,"Gerência + coordenadores"))))</f>
        <v>(preencha o nome)</v>
      </c>
      <c r="I26" s="34"/>
      <c r="J26" s="56"/>
      <c r="K26" s="53"/>
      <c r="L26" s="53"/>
      <c r="M26" s="54"/>
      <c r="N26" s="54"/>
      <c r="O26" s="54"/>
      <c r="P26" s="55"/>
      <c r="Q26" s="56"/>
      <c r="R26" s="57"/>
      <c r="S26" s="34" t="str">
        <f aca="true">IF($C26="","",IF($Q26="Cancelada","Cancelada",IF($Q26="Reprovado","Reprovada",IF($Q26="Aprovado","Aprovada",IF($M26&lt;&gt;"","Entregue",IF(TODAY()&gt;$C26,"Atrasada","Pendente"))))))</f>
        <v>Pendente</v>
      </c>
      <c r="T26" s="58"/>
      <c r="U26" s="58"/>
      <c r="V26" s="58"/>
    </row>
    <row r="27" customFormat="false" ht="22.35" hidden="false" customHeight="false" outlineLevel="0" collapsed="false">
      <c r="A27" s="59" t="str">
        <f aca="false">IF($C27="","",$X$2&amp;"-S"&amp;INT(($C27-WEEKDAY($C27,2)+11-DATE(YEAR($C27+4-WEEKDAY($C27,2)),1,1))/7)&amp;"-VIS-C")</f>
        <v>SET-S36-VIS-C</v>
      </c>
      <c r="B27" s="30" t="str">
        <f aca="false">IF($C27="","","S"&amp;INT(($C27-WEEKDAY($C27,2)+11-DATE(YEAR($C27+4-WEEKDAY($C27,2)),1,1))/7))</f>
        <v>S36</v>
      </c>
      <c r="C27" s="52" t="n">
        <f aca="false">IF(MONTH(($X$1-WEEKDAY($X$1,3)+0)+2)=MONTH($X$1),($X$1-WEEKDAY($X$1,3)+0)+2,"")</f>
        <v>46267</v>
      </c>
      <c r="D27" s="27" t="str">
        <f aca="false">IF($C27="","","Vistoria Setorial (checklist no setor definido pelo gerente)")</f>
        <v>Vistoria Setorial (checklist no setor definido pelo gerente)</v>
      </c>
      <c r="E27" s="27"/>
      <c r="F27" s="27"/>
      <c r="G27" s="30" t="str">
        <f aca="false">IF($C27="","","C")</f>
        <v>C</v>
      </c>
      <c r="H27" s="30" t="str">
        <f aca="false">IF($C27="","",IF($G27="A",CONFIG!$B$5,IF($G27="B",CONFIG!$B$6,IF($G27="C",CONFIG!$B$7,"Gerência + coordenadores"))))</f>
        <v>(preencha o nome)</v>
      </c>
      <c r="I27" s="30"/>
      <c r="J27" s="56"/>
      <c r="K27" s="53"/>
      <c r="L27" s="53"/>
      <c r="M27" s="54"/>
      <c r="N27" s="54"/>
      <c r="O27" s="54"/>
      <c r="P27" s="60"/>
      <c r="Q27" s="56"/>
      <c r="R27" s="57"/>
      <c r="S27" s="30" t="str">
        <f aca="true">IF($C27="","",IF($Q27="Cancelada","Cancelada",IF($Q27="Reprovado","Reprovada",IF($Q27="Aprovado","Aprovada",IF($M27&lt;&gt;"","Entregue",IF(TODAY()&gt;$C27,"Atrasada","Pendente"))))))</f>
        <v>Pendente</v>
      </c>
      <c r="T27" s="58"/>
      <c r="U27" s="58"/>
      <c r="V27" s="58"/>
    </row>
    <row r="28" customFormat="false" ht="22.35" hidden="false" customHeight="false" outlineLevel="0" collapsed="false">
      <c r="A28" s="51" t="str">
        <f aca="false">IF($C28="","",$X$2&amp;"-S"&amp;INT(($C28-WEEKDAY($C28,2)+11-DATE(YEAR($C28+4-WEEKDAY($C28,2)),1,1))/7)&amp;"-RSC-A")</f>
        <v>SET-S36-RSC-A</v>
      </c>
      <c r="B28" s="34" t="str">
        <f aca="false">IF($C28="","","S"&amp;INT(($C28-WEEKDAY($C28,2)+11-DATE(YEAR($C28+4-WEEKDAY($C28,2)),1,1))/7))</f>
        <v>S36</v>
      </c>
      <c r="C28" s="52" t="n">
        <f aca="false">IF(MONTH(($X$1-WEEKDAY($X$1,3)+0)+3)=MONTH($X$1),($X$1-WEEKDAY($X$1,3)+0)+3,"")</f>
        <v>46268</v>
      </c>
      <c r="D28" s="9" t="str">
        <f aca="false">IF($C28="","","Relatório Semanal Consolidado (erros + metas + faltas + supervisores)")</f>
        <v>Relatório Semanal Consolidado (erros + metas + faltas + supervisores)</v>
      </c>
      <c r="E28" s="9"/>
      <c r="F28" s="9"/>
      <c r="G28" s="34" t="str">
        <f aca="false">IF($C28="","","A")</f>
        <v>A</v>
      </c>
      <c r="H28" s="34" t="str">
        <f aca="false">IF($C28="","",IF($G28="A",CONFIG!$B$5,IF($G28="B",CONFIG!$B$6,IF($G28="C",CONFIG!$B$7,"Gerência + coordenadores"))))</f>
        <v>(preencha o nome)</v>
      </c>
      <c r="I28" s="34"/>
      <c r="J28" s="32" t="str">
        <f aca="false">IF($C28="","","—")</f>
        <v>—</v>
      </c>
      <c r="K28" s="61"/>
      <c r="L28" s="61"/>
      <c r="M28" s="54"/>
      <c r="N28" s="54"/>
      <c r="O28" s="54"/>
      <c r="P28" s="55"/>
      <c r="Q28" s="56"/>
      <c r="R28" s="57"/>
      <c r="S28" s="34" t="str">
        <f aca="true">IF($C28="","",IF($Q28="Cancelada","Cancelada",IF($Q28="Reprovado","Reprovada",IF($Q28="Aprovado","Aprovada",IF($M28&lt;&gt;"","Entregue",IF(TODAY()&gt;$C28,"Atrasada","Pendente"))))))</f>
        <v>Pendente</v>
      </c>
      <c r="T28" s="58"/>
      <c r="U28" s="58"/>
      <c r="V28" s="58"/>
    </row>
    <row r="29" customFormat="false" ht="22.35" hidden="false" customHeight="false" outlineLevel="0" collapsed="false">
      <c r="A29" s="59" t="str">
        <f aca="false">IF($C29="","",$X$2&amp;"-S"&amp;INT(($C29-WEEKDAY($C29,2)+11-DATE(YEAR($C29+4-WEEKDAY($C29,2)),1,1))/7)&amp;"-RSC-B")</f>
        <v>SET-S36-RSC-B</v>
      </c>
      <c r="B29" s="30" t="str">
        <f aca="false">IF($C29="","","S"&amp;INT(($C29-WEEKDAY($C29,2)+11-DATE(YEAR($C29+4-WEEKDAY($C29,2)),1,1))/7))</f>
        <v>S36</v>
      </c>
      <c r="C29" s="52" t="n">
        <f aca="false">IF(MONTH(($X$1-WEEKDAY($X$1,3)+0)+3)=MONTH($X$1),($X$1-WEEKDAY($X$1,3)+0)+3,"")</f>
        <v>46268</v>
      </c>
      <c r="D29" s="27" t="str">
        <f aca="false">IF($C29="","","Relatório Semanal Consolidado (erros + metas + faltas + supervisores)")</f>
        <v>Relatório Semanal Consolidado (erros + metas + faltas + supervisores)</v>
      </c>
      <c r="E29" s="27"/>
      <c r="F29" s="27"/>
      <c r="G29" s="30" t="str">
        <f aca="false">IF($C29="","","B")</f>
        <v>B</v>
      </c>
      <c r="H29" s="30" t="str">
        <f aca="false">IF($C29="","",IF($G29="A",CONFIG!$B$5,IF($G29="B",CONFIG!$B$6,IF($G29="C",CONFIG!$B$7,"Gerência + coordenadores"))))</f>
        <v>(preencha o nome)</v>
      </c>
      <c r="I29" s="30"/>
      <c r="J29" s="32" t="str">
        <f aca="false">IF($C29="","","—")</f>
        <v>—</v>
      </c>
      <c r="K29" s="61"/>
      <c r="L29" s="61"/>
      <c r="M29" s="54"/>
      <c r="N29" s="54"/>
      <c r="O29" s="54"/>
      <c r="P29" s="60"/>
      <c r="Q29" s="56"/>
      <c r="R29" s="57"/>
      <c r="S29" s="30" t="str">
        <f aca="true">IF($C29="","",IF($Q29="Cancelada","Cancelada",IF($Q29="Reprovado","Reprovada",IF($Q29="Aprovado","Aprovada",IF($M29&lt;&gt;"","Entregue",IF(TODAY()&gt;$C29,"Atrasada","Pendente"))))))</f>
        <v>Pendente</v>
      </c>
      <c r="T29" s="58"/>
      <c r="U29" s="58"/>
      <c r="V29" s="58"/>
    </row>
    <row r="30" customFormat="false" ht="22.35" hidden="false" customHeight="false" outlineLevel="0" collapsed="false">
      <c r="A30" s="51" t="str">
        <f aca="false">IF($C30="","",$X$2&amp;"-S"&amp;INT(($C30-WEEKDAY($C30,2)+11-DATE(YEAR($C30+4-WEEKDAY($C30,2)),1,1))/7)&amp;"-RSC-C")</f>
        <v>SET-S36-RSC-C</v>
      </c>
      <c r="B30" s="34" t="str">
        <f aca="false">IF($C30="","","S"&amp;INT(($C30-WEEKDAY($C30,2)+11-DATE(YEAR($C30+4-WEEKDAY($C30,2)),1,1))/7))</f>
        <v>S36</v>
      </c>
      <c r="C30" s="52" t="n">
        <f aca="false">IF(MONTH(($X$1-WEEKDAY($X$1,3)+0)+3)=MONTH($X$1),($X$1-WEEKDAY($X$1,3)+0)+3,"")</f>
        <v>46268</v>
      </c>
      <c r="D30" s="9" t="str">
        <f aca="false">IF($C30="","","Relatório Semanal Consolidado (erros + metas + faltas + supervisores)")</f>
        <v>Relatório Semanal Consolidado (erros + metas + faltas + supervisores)</v>
      </c>
      <c r="E30" s="9"/>
      <c r="F30" s="9"/>
      <c r="G30" s="34" t="str">
        <f aca="false">IF($C30="","","C")</f>
        <v>C</v>
      </c>
      <c r="H30" s="34" t="str">
        <f aca="false">IF($C30="","",IF($G30="A",CONFIG!$B$5,IF($G30="B",CONFIG!$B$6,IF($G30="C",CONFIG!$B$7,"Gerência + coordenadores"))))</f>
        <v>(preencha o nome)</v>
      </c>
      <c r="I30" s="34"/>
      <c r="J30" s="32" t="str">
        <f aca="false">IF($C30="","","—")</f>
        <v>—</v>
      </c>
      <c r="K30" s="61"/>
      <c r="L30" s="61"/>
      <c r="M30" s="54"/>
      <c r="N30" s="54"/>
      <c r="O30" s="54"/>
      <c r="P30" s="55"/>
      <c r="Q30" s="56"/>
      <c r="R30" s="57"/>
      <c r="S30" s="34" t="str">
        <f aca="true">IF($C30="","",IF($Q30="Cancelada","Cancelada",IF($Q30="Reprovado","Reprovada",IF($Q30="Aprovado","Aprovada",IF($M30&lt;&gt;"","Entregue",IF(TODAY()&gt;$C30,"Atrasada","Pendente"))))))</f>
        <v>Pendente</v>
      </c>
      <c r="T30" s="58"/>
      <c r="U30" s="58"/>
      <c r="V30" s="58"/>
    </row>
    <row r="31" customFormat="false" ht="22.35" hidden="false" customHeight="false" outlineLevel="0" collapsed="false">
      <c r="A31" s="59" t="str">
        <f aca="false">IF($C31="","",$X$2&amp;"-S"&amp;INT(($C31-WEEKDAY($C31,2)+11-DATE(YEAR($C31+4-WEEKDAY($C31,2)),1,1))/7)&amp;"-REU-T")</f>
        <v>SET-S36-REU-T</v>
      </c>
      <c r="B31" s="30" t="str">
        <f aca="false">IF($C31="","","S"&amp;INT(($C31-WEEKDAY($C31,2)+11-DATE(YEAR($C31+4-WEEKDAY($C31,2)),1,1))/7))</f>
        <v>S36</v>
      </c>
      <c r="C31" s="52" t="n">
        <f aca="false">IF(MONTH(($X$1-WEEKDAY($X$1,3)+0)+4)=MONTH($X$1),($X$1-WEEKDAY($X$1,3)+0)+4,"")</f>
        <v>46269</v>
      </c>
      <c r="D31" s="27" t="str">
        <f aca="false">IF($C31="","","Reunião Semanal com a Gerência")</f>
        <v>Reunião Semanal com a Gerência</v>
      </c>
      <c r="E31" s="27"/>
      <c r="F31" s="27"/>
      <c r="G31" s="30" t="str">
        <f aca="false">IF($C31="","","Todos")</f>
        <v>Todos</v>
      </c>
      <c r="H31" s="30" t="str">
        <f aca="false">IF($C31="","",IF($G31="A",CONFIG!$B$5,IF($G31="B",CONFIG!$B$6,IF($G31="C",CONFIG!$B$7,"Gerência + coordenadores"))))</f>
        <v>Gerência + coordenadores</v>
      </c>
      <c r="I31" s="30"/>
      <c r="J31" s="32" t="str">
        <f aca="false">IF($C31="","","—")</f>
        <v>—</v>
      </c>
      <c r="K31" s="53"/>
      <c r="L31" s="53"/>
      <c r="M31" s="54"/>
      <c r="N31" s="54"/>
      <c r="O31" s="54"/>
      <c r="P31" s="60"/>
      <c r="Q31" s="56"/>
      <c r="R31" s="57"/>
      <c r="S31" s="30" t="str">
        <f aca="true">IF($C31="","",IF($Q31="Cancelada","Cancelada",IF($Q31="Reprovado","Reprovada",IF($Q31="Aprovado","Aprovada",IF($M31&lt;&gt;"","Entregue",IF(TODAY()&gt;$C31,"Atrasada","Pendente"))))))</f>
        <v>Pendente</v>
      </c>
      <c r="T31" s="58"/>
      <c r="U31" s="58"/>
      <c r="V31" s="58"/>
    </row>
    <row r="32" customFormat="false" ht="22.35" hidden="false" customHeight="false" outlineLevel="0" collapsed="false">
      <c r="A32" s="51" t="str">
        <f aca="false">IF($C32="","",$X$2&amp;"-S"&amp;INT(($C32-WEEKDAY($C32,2)+11-DATE(YEAR($C32+4-WEEKDAY($C32,2)),1,1))/7)&amp;"-VIS-A")</f>
        <v>SET-S37-VIS-A</v>
      </c>
      <c r="B32" s="34" t="str">
        <f aca="false">IF($C32="","","S"&amp;INT(($C32-WEEKDAY($C32,2)+11-DATE(YEAR($C32+4-WEEKDAY($C32,2)),1,1))/7))</f>
        <v>S37</v>
      </c>
      <c r="C32" s="52" t="n">
        <f aca="false">IF(MONTH(($X$1-WEEKDAY($X$1,3)+7)+2)=MONTH($X$1),($X$1-WEEKDAY($X$1,3)+7)+2,"")</f>
        <v>46274</v>
      </c>
      <c r="D32" s="9" t="str">
        <f aca="false">IF($C32="","","Vistoria Setorial (checklist no setor definido pelo gerente)")</f>
        <v>Vistoria Setorial (checklist no setor definido pelo gerente)</v>
      </c>
      <c r="E32" s="9"/>
      <c r="F32" s="9"/>
      <c r="G32" s="34" t="str">
        <f aca="false">IF($C32="","","A")</f>
        <v>A</v>
      </c>
      <c r="H32" s="34" t="str">
        <f aca="false">IF($C32="","",IF($G32="A",CONFIG!$B$5,IF($G32="B",CONFIG!$B$6,IF($G32="C",CONFIG!$B$7,"Gerência + coordenadores"))))</f>
        <v>(preencha o nome)</v>
      </c>
      <c r="I32" s="34"/>
      <c r="J32" s="56"/>
      <c r="K32" s="53"/>
      <c r="L32" s="53"/>
      <c r="M32" s="54"/>
      <c r="N32" s="54"/>
      <c r="O32" s="54"/>
      <c r="P32" s="55"/>
      <c r="Q32" s="56"/>
      <c r="R32" s="57"/>
      <c r="S32" s="34" t="str">
        <f aca="true">IF($C32="","",IF($Q32="Cancelada","Cancelada",IF($Q32="Reprovado","Reprovada",IF($Q32="Aprovado","Aprovada",IF($M32&lt;&gt;"","Entregue",IF(TODAY()&gt;$C32,"Atrasada","Pendente"))))))</f>
        <v>Pendente</v>
      </c>
      <c r="T32" s="58"/>
      <c r="U32" s="58"/>
      <c r="V32" s="58"/>
    </row>
    <row r="33" customFormat="false" ht="22.35" hidden="false" customHeight="false" outlineLevel="0" collapsed="false">
      <c r="A33" s="59" t="str">
        <f aca="false">IF($C33="","",$X$2&amp;"-S"&amp;INT(($C33-WEEKDAY($C33,2)+11-DATE(YEAR($C33+4-WEEKDAY($C33,2)),1,1))/7)&amp;"-VIS-B")</f>
        <v>SET-S37-VIS-B</v>
      </c>
      <c r="B33" s="30" t="str">
        <f aca="false">IF($C33="","","S"&amp;INT(($C33-WEEKDAY($C33,2)+11-DATE(YEAR($C33+4-WEEKDAY($C33,2)),1,1))/7))</f>
        <v>S37</v>
      </c>
      <c r="C33" s="52" t="n">
        <f aca="false">IF(MONTH(($X$1-WEEKDAY($X$1,3)+7)+2)=MONTH($X$1),($X$1-WEEKDAY($X$1,3)+7)+2,"")</f>
        <v>46274</v>
      </c>
      <c r="D33" s="27" t="str">
        <f aca="false">IF($C33="","","Vistoria Setorial (checklist no setor definido pelo gerente)")</f>
        <v>Vistoria Setorial (checklist no setor definido pelo gerente)</v>
      </c>
      <c r="E33" s="27"/>
      <c r="F33" s="27"/>
      <c r="G33" s="30" t="str">
        <f aca="false">IF($C33="","","B")</f>
        <v>B</v>
      </c>
      <c r="H33" s="30" t="str">
        <f aca="false">IF($C33="","",IF($G33="A",CONFIG!$B$5,IF($G33="B",CONFIG!$B$6,IF($G33="C",CONFIG!$B$7,"Gerência + coordenadores"))))</f>
        <v>(preencha o nome)</v>
      </c>
      <c r="I33" s="30"/>
      <c r="J33" s="56"/>
      <c r="K33" s="53"/>
      <c r="L33" s="53"/>
      <c r="M33" s="54"/>
      <c r="N33" s="54"/>
      <c r="O33" s="54"/>
      <c r="P33" s="60"/>
      <c r="Q33" s="56"/>
      <c r="R33" s="57"/>
      <c r="S33" s="30" t="str">
        <f aca="true">IF($C33="","",IF($Q33="Cancelada","Cancelada",IF($Q33="Reprovado","Reprovada",IF($Q33="Aprovado","Aprovada",IF($M33&lt;&gt;"","Entregue",IF(TODAY()&gt;$C33,"Atrasada","Pendente"))))))</f>
        <v>Pendente</v>
      </c>
      <c r="T33" s="58"/>
      <c r="U33" s="58"/>
      <c r="V33" s="58"/>
    </row>
    <row r="34" customFormat="false" ht="22.35" hidden="false" customHeight="false" outlineLevel="0" collapsed="false">
      <c r="A34" s="51" t="str">
        <f aca="false">IF($C34="","",$X$2&amp;"-S"&amp;INT(($C34-WEEKDAY($C34,2)+11-DATE(YEAR($C34+4-WEEKDAY($C34,2)),1,1))/7)&amp;"-VIS-C")</f>
        <v>SET-S37-VIS-C</v>
      </c>
      <c r="B34" s="34" t="str">
        <f aca="false">IF($C34="","","S"&amp;INT(($C34-WEEKDAY($C34,2)+11-DATE(YEAR($C34+4-WEEKDAY($C34,2)),1,1))/7))</f>
        <v>S37</v>
      </c>
      <c r="C34" s="52" t="n">
        <f aca="false">IF(MONTH(($X$1-WEEKDAY($X$1,3)+7)+2)=MONTH($X$1),($X$1-WEEKDAY($X$1,3)+7)+2,"")</f>
        <v>46274</v>
      </c>
      <c r="D34" s="9" t="str">
        <f aca="false">IF($C34="","","Vistoria Setorial (checklist no setor definido pelo gerente)")</f>
        <v>Vistoria Setorial (checklist no setor definido pelo gerente)</v>
      </c>
      <c r="E34" s="9"/>
      <c r="F34" s="9"/>
      <c r="G34" s="34" t="str">
        <f aca="false">IF($C34="","","C")</f>
        <v>C</v>
      </c>
      <c r="H34" s="34" t="str">
        <f aca="false">IF($C34="","",IF($G34="A",CONFIG!$B$5,IF($G34="B",CONFIG!$B$6,IF($G34="C",CONFIG!$B$7,"Gerência + coordenadores"))))</f>
        <v>(preencha o nome)</v>
      </c>
      <c r="I34" s="34"/>
      <c r="J34" s="56"/>
      <c r="K34" s="53"/>
      <c r="L34" s="53"/>
      <c r="M34" s="54"/>
      <c r="N34" s="54"/>
      <c r="O34" s="54"/>
      <c r="P34" s="55"/>
      <c r="Q34" s="56"/>
      <c r="R34" s="57"/>
      <c r="S34" s="34" t="str">
        <f aca="true">IF($C34="","",IF($Q34="Cancelada","Cancelada",IF($Q34="Reprovado","Reprovada",IF($Q34="Aprovado","Aprovada",IF($M34&lt;&gt;"","Entregue",IF(TODAY()&gt;$C34,"Atrasada","Pendente"))))))</f>
        <v>Pendente</v>
      </c>
      <c r="T34" s="58"/>
      <c r="U34" s="58"/>
      <c r="V34" s="58"/>
    </row>
    <row r="35" customFormat="false" ht="22.35" hidden="false" customHeight="false" outlineLevel="0" collapsed="false">
      <c r="A35" s="59" t="str">
        <f aca="false">IF($C35="","",$X$2&amp;"-S"&amp;INT(($C35-WEEKDAY($C35,2)+11-DATE(YEAR($C35+4-WEEKDAY($C35,2)),1,1))/7)&amp;"-RSC-A")</f>
        <v>SET-S37-RSC-A</v>
      </c>
      <c r="B35" s="30" t="str">
        <f aca="false">IF($C35="","","S"&amp;INT(($C35-WEEKDAY($C35,2)+11-DATE(YEAR($C35+4-WEEKDAY($C35,2)),1,1))/7))</f>
        <v>S37</v>
      </c>
      <c r="C35" s="52" t="n">
        <f aca="false">IF(MONTH(($X$1-WEEKDAY($X$1,3)+7)+3)=MONTH($X$1),($X$1-WEEKDAY($X$1,3)+7)+3,"")</f>
        <v>46275</v>
      </c>
      <c r="D35" s="27" t="str">
        <f aca="false">IF($C35="","","Relatório Semanal Consolidado (erros + metas + faltas + supervisores)")</f>
        <v>Relatório Semanal Consolidado (erros + metas + faltas + supervisores)</v>
      </c>
      <c r="E35" s="27"/>
      <c r="F35" s="27"/>
      <c r="G35" s="30" t="str">
        <f aca="false">IF($C35="","","A")</f>
        <v>A</v>
      </c>
      <c r="H35" s="30" t="str">
        <f aca="false">IF($C35="","",IF($G35="A",CONFIG!$B$5,IF($G35="B",CONFIG!$B$6,IF($G35="C",CONFIG!$B$7,"Gerência + coordenadores"))))</f>
        <v>(preencha o nome)</v>
      </c>
      <c r="I35" s="30"/>
      <c r="J35" s="32" t="str">
        <f aca="false">IF($C35="","","—")</f>
        <v>—</v>
      </c>
      <c r="K35" s="61"/>
      <c r="L35" s="61"/>
      <c r="M35" s="54"/>
      <c r="N35" s="54"/>
      <c r="O35" s="54"/>
      <c r="P35" s="60"/>
      <c r="Q35" s="56"/>
      <c r="R35" s="57"/>
      <c r="S35" s="30" t="str">
        <f aca="true">IF($C35="","",IF($Q35="Cancelada","Cancelada",IF($Q35="Reprovado","Reprovada",IF($Q35="Aprovado","Aprovada",IF($M35&lt;&gt;"","Entregue",IF(TODAY()&gt;$C35,"Atrasada","Pendente"))))))</f>
        <v>Pendente</v>
      </c>
      <c r="T35" s="58"/>
      <c r="U35" s="58"/>
      <c r="V35" s="58"/>
    </row>
    <row r="36" customFormat="false" ht="22.35" hidden="false" customHeight="false" outlineLevel="0" collapsed="false">
      <c r="A36" s="51" t="str">
        <f aca="false">IF($C36="","",$X$2&amp;"-S"&amp;INT(($C36-WEEKDAY($C36,2)+11-DATE(YEAR($C36+4-WEEKDAY($C36,2)),1,1))/7)&amp;"-RSC-B")</f>
        <v>SET-S37-RSC-B</v>
      </c>
      <c r="B36" s="34" t="str">
        <f aca="false">IF($C36="","","S"&amp;INT(($C36-WEEKDAY($C36,2)+11-DATE(YEAR($C36+4-WEEKDAY($C36,2)),1,1))/7))</f>
        <v>S37</v>
      </c>
      <c r="C36" s="52" t="n">
        <f aca="false">IF(MONTH(($X$1-WEEKDAY($X$1,3)+7)+3)=MONTH($X$1),($X$1-WEEKDAY($X$1,3)+7)+3,"")</f>
        <v>46275</v>
      </c>
      <c r="D36" s="9" t="str">
        <f aca="false">IF($C36="","","Relatório Semanal Consolidado (erros + metas + faltas + supervisores)")</f>
        <v>Relatório Semanal Consolidado (erros + metas + faltas + supervisores)</v>
      </c>
      <c r="E36" s="9"/>
      <c r="F36" s="9"/>
      <c r="G36" s="34" t="str">
        <f aca="false">IF($C36="","","B")</f>
        <v>B</v>
      </c>
      <c r="H36" s="34" t="str">
        <f aca="false">IF($C36="","",IF($G36="A",CONFIG!$B$5,IF($G36="B",CONFIG!$B$6,IF($G36="C",CONFIG!$B$7,"Gerência + coordenadores"))))</f>
        <v>(preencha o nome)</v>
      </c>
      <c r="I36" s="34"/>
      <c r="J36" s="32" t="str">
        <f aca="false">IF($C36="","","—")</f>
        <v>—</v>
      </c>
      <c r="K36" s="61"/>
      <c r="L36" s="61"/>
      <c r="M36" s="54"/>
      <c r="N36" s="54"/>
      <c r="O36" s="54"/>
      <c r="P36" s="55"/>
      <c r="Q36" s="56"/>
      <c r="R36" s="57"/>
      <c r="S36" s="34" t="str">
        <f aca="true">IF($C36="","",IF($Q36="Cancelada","Cancelada",IF($Q36="Reprovado","Reprovada",IF($Q36="Aprovado","Aprovada",IF($M36&lt;&gt;"","Entregue",IF(TODAY()&gt;$C36,"Atrasada","Pendente"))))))</f>
        <v>Pendente</v>
      </c>
      <c r="T36" s="58"/>
      <c r="U36" s="58"/>
      <c r="V36" s="58"/>
    </row>
    <row r="37" customFormat="false" ht="22.35" hidden="false" customHeight="false" outlineLevel="0" collapsed="false">
      <c r="A37" s="59" t="str">
        <f aca="false">IF($C37="","",$X$2&amp;"-S"&amp;INT(($C37-WEEKDAY($C37,2)+11-DATE(YEAR($C37+4-WEEKDAY($C37,2)),1,1))/7)&amp;"-RSC-C")</f>
        <v>SET-S37-RSC-C</v>
      </c>
      <c r="B37" s="30" t="str">
        <f aca="false">IF($C37="","","S"&amp;INT(($C37-WEEKDAY($C37,2)+11-DATE(YEAR($C37+4-WEEKDAY($C37,2)),1,1))/7))</f>
        <v>S37</v>
      </c>
      <c r="C37" s="52" t="n">
        <f aca="false">IF(MONTH(($X$1-WEEKDAY($X$1,3)+7)+3)=MONTH($X$1),($X$1-WEEKDAY($X$1,3)+7)+3,"")</f>
        <v>46275</v>
      </c>
      <c r="D37" s="27" t="str">
        <f aca="false">IF($C37="","","Relatório Semanal Consolidado (erros + metas + faltas + supervisores)")</f>
        <v>Relatório Semanal Consolidado (erros + metas + faltas + supervisores)</v>
      </c>
      <c r="E37" s="27"/>
      <c r="F37" s="27"/>
      <c r="G37" s="30" t="str">
        <f aca="false">IF($C37="","","C")</f>
        <v>C</v>
      </c>
      <c r="H37" s="30" t="str">
        <f aca="false">IF($C37="","",IF($G37="A",CONFIG!$B$5,IF($G37="B",CONFIG!$B$6,IF($G37="C",CONFIG!$B$7,"Gerência + coordenadores"))))</f>
        <v>(preencha o nome)</v>
      </c>
      <c r="I37" s="30"/>
      <c r="J37" s="32" t="str">
        <f aca="false">IF($C37="","","—")</f>
        <v>—</v>
      </c>
      <c r="K37" s="61"/>
      <c r="L37" s="61"/>
      <c r="M37" s="54"/>
      <c r="N37" s="54"/>
      <c r="O37" s="54"/>
      <c r="P37" s="60"/>
      <c r="Q37" s="56"/>
      <c r="R37" s="57"/>
      <c r="S37" s="30" t="str">
        <f aca="true">IF($C37="","",IF($Q37="Cancelada","Cancelada",IF($Q37="Reprovado","Reprovada",IF($Q37="Aprovado","Aprovada",IF($M37&lt;&gt;"","Entregue",IF(TODAY()&gt;$C37,"Atrasada","Pendente"))))))</f>
        <v>Pendente</v>
      </c>
      <c r="T37" s="58"/>
      <c r="U37" s="58"/>
      <c r="V37" s="58"/>
    </row>
    <row r="38" customFormat="false" ht="22.35" hidden="false" customHeight="false" outlineLevel="0" collapsed="false">
      <c r="A38" s="51" t="str">
        <f aca="false">IF($C38="","",$X$2&amp;"-S"&amp;INT(($C38-WEEKDAY($C38,2)+11-DATE(YEAR($C38+4-WEEKDAY($C38,2)),1,1))/7)&amp;"-REU-T")</f>
        <v>SET-S37-REU-T</v>
      </c>
      <c r="B38" s="34" t="str">
        <f aca="false">IF($C38="","","S"&amp;INT(($C38-WEEKDAY($C38,2)+11-DATE(YEAR($C38+4-WEEKDAY($C38,2)),1,1))/7))</f>
        <v>S37</v>
      </c>
      <c r="C38" s="52" t="n">
        <f aca="false">IF(MONTH(($X$1-WEEKDAY($X$1,3)+7)+4)=MONTH($X$1),($X$1-WEEKDAY($X$1,3)+7)+4,"")</f>
        <v>46276</v>
      </c>
      <c r="D38" s="9" t="str">
        <f aca="false">IF($C38="","","Reunião Semanal com a Gerência")</f>
        <v>Reunião Semanal com a Gerência</v>
      </c>
      <c r="E38" s="9"/>
      <c r="F38" s="9"/>
      <c r="G38" s="34" t="str">
        <f aca="false">IF($C38="","","Todos")</f>
        <v>Todos</v>
      </c>
      <c r="H38" s="34" t="str">
        <f aca="false">IF($C38="","",IF($G38="A",CONFIG!$B$5,IF($G38="B",CONFIG!$B$6,IF($G38="C",CONFIG!$B$7,"Gerência + coordenadores"))))</f>
        <v>Gerência + coordenadores</v>
      </c>
      <c r="I38" s="34"/>
      <c r="J38" s="32" t="str">
        <f aca="false">IF($C38="","","—")</f>
        <v>—</v>
      </c>
      <c r="K38" s="53"/>
      <c r="L38" s="53"/>
      <c r="M38" s="54"/>
      <c r="N38" s="54"/>
      <c r="O38" s="54"/>
      <c r="P38" s="55"/>
      <c r="Q38" s="56"/>
      <c r="R38" s="57"/>
      <c r="S38" s="34" t="str">
        <f aca="true">IF($C38="","",IF($Q38="Cancelada","Cancelada",IF($Q38="Reprovado","Reprovada",IF($Q38="Aprovado","Aprovada",IF($M38&lt;&gt;"","Entregue",IF(TODAY()&gt;$C38,"Atrasada","Pendente"))))))</f>
        <v>Pendente</v>
      </c>
      <c r="T38" s="58"/>
      <c r="U38" s="58"/>
      <c r="V38" s="58"/>
    </row>
    <row r="39" customFormat="false" ht="22.35" hidden="false" customHeight="false" outlineLevel="0" collapsed="false">
      <c r="A39" s="59" t="str">
        <f aca="false">IF($C39="","",$X$2&amp;"-S"&amp;INT(($C39-WEEKDAY($C39,2)+11-DATE(YEAR($C39+4-WEEKDAY($C39,2)),1,1))/7)&amp;"-VIS-A")</f>
        <v>SET-S38-VIS-A</v>
      </c>
      <c r="B39" s="30" t="str">
        <f aca="false">IF($C39="","","S"&amp;INT(($C39-WEEKDAY($C39,2)+11-DATE(YEAR($C39+4-WEEKDAY($C39,2)),1,1))/7))</f>
        <v>S38</v>
      </c>
      <c r="C39" s="52" t="n">
        <f aca="false">IF(MONTH(($X$1-WEEKDAY($X$1,3)+14)+2)=MONTH($X$1),($X$1-WEEKDAY($X$1,3)+14)+2,"")</f>
        <v>46281</v>
      </c>
      <c r="D39" s="27" t="str">
        <f aca="false">IF($C39="","","Vistoria Setorial (checklist no setor definido pelo gerente)")</f>
        <v>Vistoria Setorial (checklist no setor definido pelo gerente)</v>
      </c>
      <c r="E39" s="27"/>
      <c r="F39" s="27"/>
      <c r="G39" s="30" t="str">
        <f aca="false">IF($C39="","","A")</f>
        <v>A</v>
      </c>
      <c r="H39" s="30" t="str">
        <f aca="false">IF($C39="","",IF($G39="A",CONFIG!$B$5,IF($G39="B",CONFIG!$B$6,IF($G39="C",CONFIG!$B$7,"Gerência + coordenadores"))))</f>
        <v>(preencha o nome)</v>
      </c>
      <c r="I39" s="30"/>
      <c r="J39" s="56"/>
      <c r="K39" s="53"/>
      <c r="L39" s="53"/>
      <c r="M39" s="54"/>
      <c r="N39" s="54"/>
      <c r="O39" s="54"/>
      <c r="P39" s="60"/>
      <c r="Q39" s="56"/>
      <c r="R39" s="57"/>
      <c r="S39" s="30" t="str">
        <f aca="true">IF($C39="","",IF($Q39="Cancelada","Cancelada",IF($Q39="Reprovado","Reprovada",IF($Q39="Aprovado","Aprovada",IF($M39&lt;&gt;"","Entregue",IF(TODAY()&gt;$C39,"Atrasada","Pendente"))))))</f>
        <v>Pendente</v>
      </c>
      <c r="T39" s="58"/>
      <c r="U39" s="58"/>
      <c r="V39" s="58"/>
    </row>
    <row r="40" customFormat="false" ht="22.35" hidden="false" customHeight="false" outlineLevel="0" collapsed="false">
      <c r="A40" s="51" t="str">
        <f aca="false">IF($C40="","",$X$2&amp;"-S"&amp;INT(($C40-WEEKDAY($C40,2)+11-DATE(YEAR($C40+4-WEEKDAY($C40,2)),1,1))/7)&amp;"-VIS-B")</f>
        <v>SET-S38-VIS-B</v>
      </c>
      <c r="B40" s="34" t="str">
        <f aca="false">IF($C40="","","S"&amp;INT(($C40-WEEKDAY($C40,2)+11-DATE(YEAR($C40+4-WEEKDAY($C40,2)),1,1))/7))</f>
        <v>S38</v>
      </c>
      <c r="C40" s="52" t="n">
        <f aca="false">IF(MONTH(($X$1-WEEKDAY($X$1,3)+14)+2)=MONTH($X$1),($X$1-WEEKDAY($X$1,3)+14)+2,"")</f>
        <v>46281</v>
      </c>
      <c r="D40" s="9" t="str">
        <f aca="false">IF($C40="","","Vistoria Setorial (checklist no setor definido pelo gerente)")</f>
        <v>Vistoria Setorial (checklist no setor definido pelo gerente)</v>
      </c>
      <c r="E40" s="9"/>
      <c r="F40" s="9"/>
      <c r="G40" s="34" t="str">
        <f aca="false">IF($C40="","","B")</f>
        <v>B</v>
      </c>
      <c r="H40" s="34" t="str">
        <f aca="false">IF($C40="","",IF($G40="A",CONFIG!$B$5,IF($G40="B",CONFIG!$B$6,IF($G40="C",CONFIG!$B$7,"Gerência + coordenadores"))))</f>
        <v>(preencha o nome)</v>
      </c>
      <c r="I40" s="34"/>
      <c r="J40" s="56"/>
      <c r="K40" s="53"/>
      <c r="L40" s="53"/>
      <c r="M40" s="54"/>
      <c r="N40" s="54"/>
      <c r="O40" s="54"/>
      <c r="P40" s="55"/>
      <c r="Q40" s="56"/>
      <c r="R40" s="57"/>
      <c r="S40" s="34" t="str">
        <f aca="true">IF($C40="","",IF($Q40="Cancelada","Cancelada",IF($Q40="Reprovado","Reprovada",IF($Q40="Aprovado","Aprovada",IF($M40&lt;&gt;"","Entregue",IF(TODAY()&gt;$C40,"Atrasada","Pendente"))))))</f>
        <v>Pendente</v>
      </c>
      <c r="T40" s="58"/>
      <c r="U40" s="58"/>
      <c r="V40" s="58"/>
    </row>
    <row r="41" customFormat="false" ht="22.35" hidden="false" customHeight="false" outlineLevel="0" collapsed="false">
      <c r="A41" s="59" t="str">
        <f aca="false">IF($C41="","",$X$2&amp;"-S"&amp;INT(($C41-WEEKDAY($C41,2)+11-DATE(YEAR($C41+4-WEEKDAY($C41,2)),1,1))/7)&amp;"-VIS-C")</f>
        <v>SET-S38-VIS-C</v>
      </c>
      <c r="B41" s="30" t="str">
        <f aca="false">IF($C41="","","S"&amp;INT(($C41-WEEKDAY($C41,2)+11-DATE(YEAR($C41+4-WEEKDAY($C41,2)),1,1))/7))</f>
        <v>S38</v>
      </c>
      <c r="C41" s="52" t="n">
        <f aca="false">IF(MONTH(($X$1-WEEKDAY($X$1,3)+14)+2)=MONTH($X$1),($X$1-WEEKDAY($X$1,3)+14)+2,"")</f>
        <v>46281</v>
      </c>
      <c r="D41" s="27" t="str">
        <f aca="false">IF($C41="","","Vistoria Setorial (checklist no setor definido pelo gerente)")</f>
        <v>Vistoria Setorial (checklist no setor definido pelo gerente)</v>
      </c>
      <c r="E41" s="27"/>
      <c r="F41" s="27"/>
      <c r="G41" s="30" t="str">
        <f aca="false">IF($C41="","","C")</f>
        <v>C</v>
      </c>
      <c r="H41" s="30" t="str">
        <f aca="false">IF($C41="","",IF($G41="A",CONFIG!$B$5,IF($G41="B",CONFIG!$B$6,IF($G41="C",CONFIG!$B$7,"Gerência + coordenadores"))))</f>
        <v>(preencha o nome)</v>
      </c>
      <c r="I41" s="30"/>
      <c r="J41" s="56"/>
      <c r="K41" s="53"/>
      <c r="L41" s="53"/>
      <c r="M41" s="54"/>
      <c r="N41" s="54"/>
      <c r="O41" s="54"/>
      <c r="P41" s="60"/>
      <c r="Q41" s="56"/>
      <c r="R41" s="57"/>
      <c r="S41" s="30" t="str">
        <f aca="true">IF($C41="","",IF($Q41="Cancelada","Cancelada",IF($Q41="Reprovado","Reprovada",IF($Q41="Aprovado","Aprovada",IF($M41&lt;&gt;"","Entregue",IF(TODAY()&gt;$C41,"Atrasada","Pendente"))))))</f>
        <v>Pendente</v>
      </c>
      <c r="T41" s="58"/>
      <c r="U41" s="58"/>
      <c r="V41" s="58"/>
    </row>
    <row r="42" customFormat="false" ht="22.35" hidden="false" customHeight="false" outlineLevel="0" collapsed="false">
      <c r="A42" s="51" t="str">
        <f aca="false">IF($C42="","",$X$2&amp;"-S"&amp;INT(($C42-WEEKDAY($C42,2)+11-DATE(YEAR($C42+4-WEEKDAY($C42,2)),1,1))/7)&amp;"-RSC-A")</f>
        <v>SET-S38-RSC-A</v>
      </c>
      <c r="B42" s="34" t="str">
        <f aca="false">IF($C42="","","S"&amp;INT(($C42-WEEKDAY($C42,2)+11-DATE(YEAR($C42+4-WEEKDAY($C42,2)),1,1))/7))</f>
        <v>S38</v>
      </c>
      <c r="C42" s="52" t="n">
        <f aca="false">IF(MONTH(($X$1-WEEKDAY($X$1,3)+14)+3)=MONTH($X$1),($X$1-WEEKDAY($X$1,3)+14)+3,"")</f>
        <v>46282</v>
      </c>
      <c r="D42" s="9" t="str">
        <f aca="false">IF($C42="","","Relatório Semanal Consolidado (erros + metas + faltas + supervisores)")</f>
        <v>Relatório Semanal Consolidado (erros + metas + faltas + supervisores)</v>
      </c>
      <c r="E42" s="9"/>
      <c r="F42" s="9"/>
      <c r="G42" s="34" t="str">
        <f aca="false">IF($C42="","","A")</f>
        <v>A</v>
      </c>
      <c r="H42" s="34" t="str">
        <f aca="false">IF($C42="","",IF($G42="A",CONFIG!$B$5,IF($G42="B",CONFIG!$B$6,IF($G42="C",CONFIG!$B$7,"Gerência + coordenadores"))))</f>
        <v>(preencha o nome)</v>
      </c>
      <c r="I42" s="34"/>
      <c r="J42" s="32" t="str">
        <f aca="false">IF($C42="","","—")</f>
        <v>—</v>
      </c>
      <c r="K42" s="61"/>
      <c r="L42" s="61"/>
      <c r="M42" s="54"/>
      <c r="N42" s="54"/>
      <c r="O42" s="54"/>
      <c r="P42" s="55"/>
      <c r="Q42" s="56"/>
      <c r="R42" s="57"/>
      <c r="S42" s="34" t="str">
        <f aca="true">IF($C42="","",IF($Q42="Cancelada","Cancelada",IF($Q42="Reprovado","Reprovada",IF($Q42="Aprovado","Aprovada",IF($M42&lt;&gt;"","Entregue",IF(TODAY()&gt;$C42,"Atrasada","Pendente"))))))</f>
        <v>Pendente</v>
      </c>
      <c r="T42" s="58"/>
      <c r="U42" s="58"/>
      <c r="V42" s="58"/>
    </row>
    <row r="43" customFormat="false" ht="22.35" hidden="false" customHeight="false" outlineLevel="0" collapsed="false">
      <c r="A43" s="59" t="str">
        <f aca="false">IF($C43="","",$X$2&amp;"-S"&amp;INT(($C43-WEEKDAY($C43,2)+11-DATE(YEAR($C43+4-WEEKDAY($C43,2)),1,1))/7)&amp;"-RSC-B")</f>
        <v>SET-S38-RSC-B</v>
      </c>
      <c r="B43" s="30" t="str">
        <f aca="false">IF($C43="","","S"&amp;INT(($C43-WEEKDAY($C43,2)+11-DATE(YEAR($C43+4-WEEKDAY($C43,2)),1,1))/7))</f>
        <v>S38</v>
      </c>
      <c r="C43" s="52" t="n">
        <f aca="false">IF(MONTH(($X$1-WEEKDAY($X$1,3)+14)+3)=MONTH($X$1),($X$1-WEEKDAY($X$1,3)+14)+3,"")</f>
        <v>46282</v>
      </c>
      <c r="D43" s="27" t="str">
        <f aca="false">IF($C43="","","Relatório Semanal Consolidado (erros + metas + faltas + supervisores)")</f>
        <v>Relatório Semanal Consolidado (erros + metas + faltas + supervisores)</v>
      </c>
      <c r="E43" s="27"/>
      <c r="F43" s="27"/>
      <c r="G43" s="30" t="str">
        <f aca="false">IF($C43="","","B")</f>
        <v>B</v>
      </c>
      <c r="H43" s="30" t="str">
        <f aca="false">IF($C43="","",IF($G43="A",CONFIG!$B$5,IF($G43="B",CONFIG!$B$6,IF($G43="C",CONFIG!$B$7,"Gerência + coordenadores"))))</f>
        <v>(preencha o nome)</v>
      </c>
      <c r="I43" s="30"/>
      <c r="J43" s="32" t="str">
        <f aca="false">IF($C43="","","—")</f>
        <v>—</v>
      </c>
      <c r="K43" s="61"/>
      <c r="L43" s="61"/>
      <c r="M43" s="54"/>
      <c r="N43" s="54"/>
      <c r="O43" s="54"/>
      <c r="P43" s="60"/>
      <c r="Q43" s="56"/>
      <c r="R43" s="57"/>
      <c r="S43" s="30" t="str">
        <f aca="true">IF($C43="","",IF($Q43="Cancelada","Cancelada",IF($Q43="Reprovado","Reprovada",IF($Q43="Aprovado","Aprovada",IF($M43&lt;&gt;"","Entregue",IF(TODAY()&gt;$C43,"Atrasada","Pendente"))))))</f>
        <v>Pendente</v>
      </c>
      <c r="T43" s="58"/>
      <c r="U43" s="58"/>
      <c r="V43" s="58"/>
    </row>
    <row r="44" customFormat="false" ht="22.35" hidden="false" customHeight="false" outlineLevel="0" collapsed="false">
      <c r="A44" s="51" t="str">
        <f aca="false">IF($C44="","",$X$2&amp;"-S"&amp;INT(($C44-WEEKDAY($C44,2)+11-DATE(YEAR($C44+4-WEEKDAY($C44,2)),1,1))/7)&amp;"-RSC-C")</f>
        <v>SET-S38-RSC-C</v>
      </c>
      <c r="B44" s="34" t="str">
        <f aca="false">IF($C44="","","S"&amp;INT(($C44-WEEKDAY($C44,2)+11-DATE(YEAR($C44+4-WEEKDAY($C44,2)),1,1))/7))</f>
        <v>S38</v>
      </c>
      <c r="C44" s="52" t="n">
        <f aca="false">IF(MONTH(($X$1-WEEKDAY($X$1,3)+14)+3)=MONTH($X$1),($X$1-WEEKDAY($X$1,3)+14)+3,"")</f>
        <v>46282</v>
      </c>
      <c r="D44" s="9" t="str">
        <f aca="false">IF($C44="","","Relatório Semanal Consolidado (erros + metas + faltas + supervisores)")</f>
        <v>Relatório Semanal Consolidado (erros + metas + faltas + supervisores)</v>
      </c>
      <c r="E44" s="9"/>
      <c r="F44" s="9"/>
      <c r="G44" s="34" t="str">
        <f aca="false">IF($C44="","","C")</f>
        <v>C</v>
      </c>
      <c r="H44" s="34" t="str">
        <f aca="false">IF($C44="","",IF($G44="A",CONFIG!$B$5,IF($G44="B",CONFIG!$B$6,IF($G44="C",CONFIG!$B$7,"Gerência + coordenadores"))))</f>
        <v>(preencha o nome)</v>
      </c>
      <c r="I44" s="34"/>
      <c r="J44" s="32" t="str">
        <f aca="false">IF($C44="","","—")</f>
        <v>—</v>
      </c>
      <c r="K44" s="61"/>
      <c r="L44" s="61"/>
      <c r="M44" s="54"/>
      <c r="N44" s="54"/>
      <c r="O44" s="54"/>
      <c r="P44" s="55"/>
      <c r="Q44" s="56"/>
      <c r="R44" s="57"/>
      <c r="S44" s="34" t="str">
        <f aca="true">IF($C44="","",IF($Q44="Cancelada","Cancelada",IF($Q44="Reprovado","Reprovada",IF($Q44="Aprovado","Aprovada",IF($M44&lt;&gt;"","Entregue",IF(TODAY()&gt;$C44,"Atrasada","Pendente"))))))</f>
        <v>Pendente</v>
      </c>
      <c r="T44" s="58"/>
      <c r="U44" s="58"/>
      <c r="V44" s="58"/>
    </row>
    <row r="45" customFormat="false" ht="22.35" hidden="false" customHeight="false" outlineLevel="0" collapsed="false">
      <c r="A45" s="59" t="str">
        <f aca="false">IF($C45="","",$X$2&amp;"-S"&amp;INT(($C45-WEEKDAY($C45,2)+11-DATE(YEAR($C45+4-WEEKDAY($C45,2)),1,1))/7)&amp;"-REU-T")</f>
        <v>SET-S38-REU-T</v>
      </c>
      <c r="B45" s="30" t="str">
        <f aca="false">IF($C45="","","S"&amp;INT(($C45-WEEKDAY($C45,2)+11-DATE(YEAR($C45+4-WEEKDAY($C45,2)),1,1))/7))</f>
        <v>S38</v>
      </c>
      <c r="C45" s="52" t="n">
        <f aca="false">IF(MONTH(($X$1-WEEKDAY($X$1,3)+14)+4)=MONTH($X$1),($X$1-WEEKDAY($X$1,3)+14)+4,"")</f>
        <v>46283</v>
      </c>
      <c r="D45" s="27" t="str">
        <f aca="false">IF($C45="","","Reunião Semanal com a Gerência")</f>
        <v>Reunião Semanal com a Gerência</v>
      </c>
      <c r="E45" s="27"/>
      <c r="F45" s="27"/>
      <c r="G45" s="30" t="str">
        <f aca="false">IF($C45="","","Todos")</f>
        <v>Todos</v>
      </c>
      <c r="H45" s="30" t="str">
        <f aca="false">IF($C45="","",IF($G45="A",CONFIG!$B$5,IF($G45="B",CONFIG!$B$6,IF($G45="C",CONFIG!$B$7,"Gerência + coordenadores"))))</f>
        <v>Gerência + coordenadores</v>
      </c>
      <c r="I45" s="30"/>
      <c r="J45" s="32" t="str">
        <f aca="false">IF($C45="","","—")</f>
        <v>—</v>
      </c>
      <c r="K45" s="53"/>
      <c r="L45" s="53"/>
      <c r="M45" s="54"/>
      <c r="N45" s="54"/>
      <c r="O45" s="54"/>
      <c r="P45" s="60"/>
      <c r="Q45" s="56"/>
      <c r="R45" s="57"/>
      <c r="S45" s="30" t="str">
        <f aca="true">IF($C45="","",IF($Q45="Cancelada","Cancelada",IF($Q45="Reprovado","Reprovada",IF($Q45="Aprovado","Aprovada",IF($M45&lt;&gt;"","Entregue",IF(TODAY()&gt;$C45,"Atrasada","Pendente"))))))</f>
        <v>Pendente</v>
      </c>
      <c r="T45" s="58"/>
      <c r="U45" s="58"/>
      <c r="V45" s="58"/>
    </row>
    <row r="46" customFormat="false" ht="22.35" hidden="false" customHeight="false" outlineLevel="0" collapsed="false">
      <c r="A46" s="51" t="str">
        <f aca="false">IF($C46="","",$X$2&amp;"-S"&amp;INT(($C46-WEEKDAY($C46,2)+11-DATE(YEAR($C46+4-WEEKDAY($C46,2)),1,1))/7)&amp;"-VIS-A")</f>
        <v>SET-S39-VIS-A</v>
      </c>
      <c r="B46" s="34" t="str">
        <f aca="false">IF($C46="","","S"&amp;INT(($C46-WEEKDAY($C46,2)+11-DATE(YEAR($C46+4-WEEKDAY($C46,2)),1,1))/7))</f>
        <v>S39</v>
      </c>
      <c r="C46" s="52" t="n">
        <f aca="false">IF(MONTH(($X$1-WEEKDAY($X$1,3)+21)+2)=MONTH($X$1),($X$1-WEEKDAY($X$1,3)+21)+2,"")</f>
        <v>46288</v>
      </c>
      <c r="D46" s="9" t="str">
        <f aca="false">IF($C46="","","Vistoria Setorial (checklist no setor definido pelo gerente)")</f>
        <v>Vistoria Setorial (checklist no setor definido pelo gerente)</v>
      </c>
      <c r="E46" s="9"/>
      <c r="F46" s="9"/>
      <c r="G46" s="34" t="str">
        <f aca="false">IF($C46="","","A")</f>
        <v>A</v>
      </c>
      <c r="H46" s="34" t="str">
        <f aca="false">IF($C46="","",IF($G46="A",CONFIG!$B$5,IF($G46="B",CONFIG!$B$6,IF($G46="C",CONFIG!$B$7,"Gerência + coordenadores"))))</f>
        <v>(preencha o nome)</v>
      </c>
      <c r="I46" s="34"/>
      <c r="J46" s="56"/>
      <c r="K46" s="53"/>
      <c r="L46" s="53"/>
      <c r="M46" s="54"/>
      <c r="N46" s="54"/>
      <c r="O46" s="54"/>
      <c r="P46" s="55"/>
      <c r="Q46" s="56"/>
      <c r="R46" s="57"/>
      <c r="S46" s="34" t="str">
        <f aca="true">IF($C46="","",IF($Q46="Cancelada","Cancelada",IF($Q46="Reprovado","Reprovada",IF($Q46="Aprovado","Aprovada",IF($M46&lt;&gt;"","Entregue",IF(TODAY()&gt;$C46,"Atrasada","Pendente"))))))</f>
        <v>Pendente</v>
      </c>
      <c r="T46" s="58"/>
      <c r="U46" s="58"/>
      <c r="V46" s="58"/>
    </row>
    <row r="47" customFormat="false" ht="22.35" hidden="false" customHeight="false" outlineLevel="0" collapsed="false">
      <c r="A47" s="59" t="str">
        <f aca="false">IF($C47="","",$X$2&amp;"-S"&amp;INT(($C47-WEEKDAY($C47,2)+11-DATE(YEAR($C47+4-WEEKDAY($C47,2)),1,1))/7)&amp;"-VIS-B")</f>
        <v>SET-S39-VIS-B</v>
      </c>
      <c r="B47" s="30" t="str">
        <f aca="false">IF($C47="","","S"&amp;INT(($C47-WEEKDAY($C47,2)+11-DATE(YEAR($C47+4-WEEKDAY($C47,2)),1,1))/7))</f>
        <v>S39</v>
      </c>
      <c r="C47" s="52" t="n">
        <f aca="false">IF(MONTH(($X$1-WEEKDAY($X$1,3)+21)+2)=MONTH($X$1),($X$1-WEEKDAY($X$1,3)+21)+2,"")</f>
        <v>46288</v>
      </c>
      <c r="D47" s="27" t="str">
        <f aca="false">IF($C47="","","Vistoria Setorial (checklist no setor definido pelo gerente)")</f>
        <v>Vistoria Setorial (checklist no setor definido pelo gerente)</v>
      </c>
      <c r="E47" s="27"/>
      <c r="F47" s="27"/>
      <c r="G47" s="30" t="str">
        <f aca="false">IF($C47="","","B")</f>
        <v>B</v>
      </c>
      <c r="H47" s="30" t="str">
        <f aca="false">IF($C47="","",IF($G47="A",CONFIG!$B$5,IF($G47="B",CONFIG!$B$6,IF($G47="C",CONFIG!$B$7,"Gerência + coordenadores"))))</f>
        <v>(preencha o nome)</v>
      </c>
      <c r="I47" s="30"/>
      <c r="J47" s="56"/>
      <c r="K47" s="53"/>
      <c r="L47" s="53"/>
      <c r="M47" s="54"/>
      <c r="N47" s="54"/>
      <c r="O47" s="54"/>
      <c r="P47" s="60"/>
      <c r="Q47" s="56"/>
      <c r="R47" s="57"/>
      <c r="S47" s="30" t="str">
        <f aca="true">IF($C47="","",IF($Q47="Cancelada","Cancelada",IF($Q47="Reprovado","Reprovada",IF($Q47="Aprovado","Aprovada",IF($M47&lt;&gt;"","Entregue",IF(TODAY()&gt;$C47,"Atrasada","Pendente"))))))</f>
        <v>Pendente</v>
      </c>
      <c r="T47" s="58"/>
      <c r="U47" s="58"/>
      <c r="V47" s="58"/>
    </row>
    <row r="48" customFormat="false" ht="22.35" hidden="false" customHeight="false" outlineLevel="0" collapsed="false">
      <c r="A48" s="51" t="str">
        <f aca="false">IF($C48="","",$X$2&amp;"-S"&amp;INT(($C48-WEEKDAY($C48,2)+11-DATE(YEAR($C48+4-WEEKDAY($C48,2)),1,1))/7)&amp;"-VIS-C")</f>
        <v>SET-S39-VIS-C</v>
      </c>
      <c r="B48" s="34" t="str">
        <f aca="false">IF($C48="","","S"&amp;INT(($C48-WEEKDAY($C48,2)+11-DATE(YEAR($C48+4-WEEKDAY($C48,2)),1,1))/7))</f>
        <v>S39</v>
      </c>
      <c r="C48" s="52" t="n">
        <f aca="false">IF(MONTH(($X$1-WEEKDAY($X$1,3)+21)+2)=MONTH($X$1),($X$1-WEEKDAY($X$1,3)+21)+2,"")</f>
        <v>46288</v>
      </c>
      <c r="D48" s="9" t="str">
        <f aca="false">IF($C48="","","Vistoria Setorial (checklist no setor definido pelo gerente)")</f>
        <v>Vistoria Setorial (checklist no setor definido pelo gerente)</v>
      </c>
      <c r="E48" s="9"/>
      <c r="F48" s="9"/>
      <c r="G48" s="34" t="str">
        <f aca="false">IF($C48="","","C")</f>
        <v>C</v>
      </c>
      <c r="H48" s="34" t="str">
        <f aca="false">IF($C48="","",IF($G48="A",CONFIG!$B$5,IF($G48="B",CONFIG!$B$6,IF($G48="C",CONFIG!$B$7,"Gerência + coordenadores"))))</f>
        <v>(preencha o nome)</v>
      </c>
      <c r="I48" s="34"/>
      <c r="J48" s="56"/>
      <c r="K48" s="53"/>
      <c r="L48" s="53"/>
      <c r="M48" s="54"/>
      <c r="N48" s="54"/>
      <c r="O48" s="54"/>
      <c r="P48" s="55"/>
      <c r="Q48" s="56"/>
      <c r="R48" s="57"/>
      <c r="S48" s="34" t="str">
        <f aca="true">IF($C48="","",IF($Q48="Cancelada","Cancelada",IF($Q48="Reprovado","Reprovada",IF($Q48="Aprovado","Aprovada",IF($M48&lt;&gt;"","Entregue",IF(TODAY()&gt;$C48,"Atrasada","Pendente"))))))</f>
        <v>Pendente</v>
      </c>
      <c r="T48" s="58"/>
      <c r="U48" s="58"/>
      <c r="V48" s="58"/>
    </row>
    <row r="49" customFormat="false" ht="22.35" hidden="false" customHeight="false" outlineLevel="0" collapsed="false">
      <c r="A49" s="59" t="str">
        <f aca="false">IF($C49="","",$X$2&amp;"-S"&amp;INT(($C49-WEEKDAY($C49,2)+11-DATE(YEAR($C49+4-WEEKDAY($C49,2)),1,1))/7)&amp;"-RSC-A")</f>
        <v>SET-S39-RSC-A</v>
      </c>
      <c r="B49" s="30" t="str">
        <f aca="false">IF($C49="","","S"&amp;INT(($C49-WEEKDAY($C49,2)+11-DATE(YEAR($C49+4-WEEKDAY($C49,2)),1,1))/7))</f>
        <v>S39</v>
      </c>
      <c r="C49" s="52" t="n">
        <f aca="false">IF(MONTH(($X$1-WEEKDAY($X$1,3)+21)+3)=MONTH($X$1),($X$1-WEEKDAY($X$1,3)+21)+3,"")</f>
        <v>46289</v>
      </c>
      <c r="D49" s="27" t="str">
        <f aca="false">IF($C49="","","Relatório Semanal Consolidado (erros + metas + faltas + supervisores)")</f>
        <v>Relatório Semanal Consolidado (erros + metas + faltas + supervisores)</v>
      </c>
      <c r="E49" s="27"/>
      <c r="F49" s="27"/>
      <c r="G49" s="30" t="str">
        <f aca="false">IF($C49="","","A")</f>
        <v>A</v>
      </c>
      <c r="H49" s="30" t="str">
        <f aca="false">IF($C49="","",IF($G49="A",CONFIG!$B$5,IF($G49="B",CONFIG!$B$6,IF($G49="C",CONFIG!$B$7,"Gerência + coordenadores"))))</f>
        <v>(preencha o nome)</v>
      </c>
      <c r="I49" s="30"/>
      <c r="J49" s="32" t="str">
        <f aca="false">IF($C49="","","—")</f>
        <v>—</v>
      </c>
      <c r="K49" s="61"/>
      <c r="L49" s="61"/>
      <c r="M49" s="54"/>
      <c r="N49" s="54"/>
      <c r="O49" s="54"/>
      <c r="P49" s="60"/>
      <c r="Q49" s="56"/>
      <c r="R49" s="57"/>
      <c r="S49" s="30" t="str">
        <f aca="true">IF($C49="","",IF($Q49="Cancelada","Cancelada",IF($Q49="Reprovado","Reprovada",IF($Q49="Aprovado","Aprovada",IF($M49&lt;&gt;"","Entregue",IF(TODAY()&gt;$C49,"Atrasada","Pendente"))))))</f>
        <v>Pendente</v>
      </c>
      <c r="T49" s="58"/>
      <c r="U49" s="58"/>
      <c r="V49" s="58"/>
    </row>
    <row r="50" customFormat="false" ht="22.35" hidden="false" customHeight="false" outlineLevel="0" collapsed="false">
      <c r="A50" s="51" t="str">
        <f aca="false">IF($C50="","",$X$2&amp;"-S"&amp;INT(($C50-WEEKDAY($C50,2)+11-DATE(YEAR($C50+4-WEEKDAY($C50,2)),1,1))/7)&amp;"-RSC-B")</f>
        <v>SET-S39-RSC-B</v>
      </c>
      <c r="B50" s="34" t="str">
        <f aca="false">IF($C50="","","S"&amp;INT(($C50-WEEKDAY($C50,2)+11-DATE(YEAR($C50+4-WEEKDAY($C50,2)),1,1))/7))</f>
        <v>S39</v>
      </c>
      <c r="C50" s="52" t="n">
        <f aca="false">IF(MONTH(($X$1-WEEKDAY($X$1,3)+21)+3)=MONTH($X$1),($X$1-WEEKDAY($X$1,3)+21)+3,"")</f>
        <v>46289</v>
      </c>
      <c r="D50" s="9" t="str">
        <f aca="false">IF($C50="","","Relatório Semanal Consolidado (erros + metas + faltas + supervisores)")</f>
        <v>Relatório Semanal Consolidado (erros + metas + faltas + supervisores)</v>
      </c>
      <c r="E50" s="9"/>
      <c r="F50" s="9"/>
      <c r="G50" s="34" t="str">
        <f aca="false">IF($C50="","","B")</f>
        <v>B</v>
      </c>
      <c r="H50" s="34" t="str">
        <f aca="false">IF($C50="","",IF($G50="A",CONFIG!$B$5,IF($G50="B",CONFIG!$B$6,IF($G50="C",CONFIG!$B$7,"Gerência + coordenadores"))))</f>
        <v>(preencha o nome)</v>
      </c>
      <c r="I50" s="34"/>
      <c r="J50" s="32" t="str">
        <f aca="false">IF($C50="","","—")</f>
        <v>—</v>
      </c>
      <c r="K50" s="61"/>
      <c r="L50" s="61"/>
      <c r="M50" s="54"/>
      <c r="N50" s="54"/>
      <c r="O50" s="54"/>
      <c r="P50" s="55"/>
      <c r="Q50" s="56"/>
      <c r="R50" s="57"/>
      <c r="S50" s="34" t="str">
        <f aca="true">IF($C50="","",IF($Q50="Cancelada","Cancelada",IF($Q50="Reprovado","Reprovada",IF($Q50="Aprovado","Aprovada",IF($M50&lt;&gt;"","Entregue",IF(TODAY()&gt;$C50,"Atrasada","Pendente"))))))</f>
        <v>Pendente</v>
      </c>
      <c r="T50" s="58"/>
      <c r="U50" s="58"/>
      <c r="V50" s="58"/>
    </row>
    <row r="51" customFormat="false" ht="22.35" hidden="false" customHeight="false" outlineLevel="0" collapsed="false">
      <c r="A51" s="59" t="str">
        <f aca="false">IF($C51="","",$X$2&amp;"-S"&amp;INT(($C51-WEEKDAY($C51,2)+11-DATE(YEAR($C51+4-WEEKDAY($C51,2)),1,1))/7)&amp;"-RSC-C")</f>
        <v>SET-S39-RSC-C</v>
      </c>
      <c r="B51" s="30" t="str">
        <f aca="false">IF($C51="","","S"&amp;INT(($C51-WEEKDAY($C51,2)+11-DATE(YEAR($C51+4-WEEKDAY($C51,2)),1,1))/7))</f>
        <v>S39</v>
      </c>
      <c r="C51" s="52" t="n">
        <f aca="false">IF(MONTH(($X$1-WEEKDAY($X$1,3)+21)+3)=MONTH($X$1),($X$1-WEEKDAY($X$1,3)+21)+3,"")</f>
        <v>46289</v>
      </c>
      <c r="D51" s="27" t="str">
        <f aca="false">IF($C51="","","Relatório Semanal Consolidado (erros + metas + faltas + supervisores)")</f>
        <v>Relatório Semanal Consolidado (erros + metas + faltas + supervisores)</v>
      </c>
      <c r="E51" s="27"/>
      <c r="F51" s="27"/>
      <c r="G51" s="30" t="str">
        <f aca="false">IF($C51="","","C")</f>
        <v>C</v>
      </c>
      <c r="H51" s="30" t="str">
        <f aca="false">IF($C51="","",IF($G51="A",CONFIG!$B$5,IF($G51="B",CONFIG!$B$6,IF($G51="C",CONFIG!$B$7,"Gerência + coordenadores"))))</f>
        <v>(preencha o nome)</v>
      </c>
      <c r="I51" s="30"/>
      <c r="J51" s="32" t="str">
        <f aca="false">IF($C51="","","—")</f>
        <v>—</v>
      </c>
      <c r="K51" s="61"/>
      <c r="L51" s="61"/>
      <c r="M51" s="54"/>
      <c r="N51" s="54"/>
      <c r="O51" s="54"/>
      <c r="P51" s="60"/>
      <c r="Q51" s="56"/>
      <c r="R51" s="57"/>
      <c r="S51" s="30" t="str">
        <f aca="true">IF($C51="","",IF($Q51="Cancelada","Cancelada",IF($Q51="Reprovado","Reprovada",IF($Q51="Aprovado","Aprovada",IF($M51&lt;&gt;"","Entregue",IF(TODAY()&gt;$C51,"Atrasada","Pendente"))))))</f>
        <v>Pendente</v>
      </c>
      <c r="T51" s="58"/>
      <c r="U51" s="58"/>
      <c r="V51" s="58"/>
    </row>
    <row r="52" customFormat="false" ht="22.35" hidden="false" customHeight="false" outlineLevel="0" collapsed="false">
      <c r="A52" s="51" t="str">
        <f aca="false">IF($C52="","",$X$2&amp;"-S"&amp;INT(($C52-WEEKDAY($C52,2)+11-DATE(YEAR($C52+4-WEEKDAY($C52,2)),1,1))/7)&amp;"-REU-T")</f>
        <v>SET-S39-REU-T</v>
      </c>
      <c r="B52" s="34" t="str">
        <f aca="false">IF($C52="","","S"&amp;INT(($C52-WEEKDAY($C52,2)+11-DATE(YEAR($C52+4-WEEKDAY($C52,2)),1,1))/7))</f>
        <v>S39</v>
      </c>
      <c r="C52" s="52" t="n">
        <f aca="false">IF(MONTH(($X$1-WEEKDAY($X$1,3)+21)+4)=MONTH($X$1),($X$1-WEEKDAY($X$1,3)+21)+4,"")</f>
        <v>46290</v>
      </c>
      <c r="D52" s="9" t="str">
        <f aca="false">IF($C52="","","Reunião Semanal com a Gerência")</f>
        <v>Reunião Semanal com a Gerência</v>
      </c>
      <c r="E52" s="9"/>
      <c r="F52" s="9"/>
      <c r="G52" s="34" t="str">
        <f aca="false">IF($C52="","","Todos")</f>
        <v>Todos</v>
      </c>
      <c r="H52" s="34" t="str">
        <f aca="false">IF($C52="","",IF($G52="A",CONFIG!$B$5,IF($G52="B",CONFIG!$B$6,IF($G52="C",CONFIG!$B$7,"Gerência + coordenadores"))))</f>
        <v>Gerência + coordenadores</v>
      </c>
      <c r="I52" s="34"/>
      <c r="J52" s="32" t="str">
        <f aca="false">IF($C52="","","—")</f>
        <v>—</v>
      </c>
      <c r="K52" s="53"/>
      <c r="L52" s="53"/>
      <c r="M52" s="54"/>
      <c r="N52" s="54"/>
      <c r="O52" s="54"/>
      <c r="P52" s="55"/>
      <c r="Q52" s="56"/>
      <c r="R52" s="57"/>
      <c r="S52" s="34" t="str">
        <f aca="true">IF($C52="","",IF($Q52="Cancelada","Cancelada",IF($Q52="Reprovado","Reprovada",IF($Q52="Aprovado","Aprovada",IF($M52&lt;&gt;"","Entregue",IF(TODAY()&gt;$C52,"Atrasada","Pendente"))))))</f>
        <v>Pendente</v>
      </c>
      <c r="T52" s="58"/>
      <c r="U52" s="58"/>
      <c r="V52" s="58"/>
    </row>
    <row r="53" customFormat="false" ht="22.35" hidden="false" customHeight="false" outlineLevel="0" collapsed="false">
      <c r="A53" s="59" t="str">
        <f aca="false">IF($C53="","",$X$2&amp;"-S"&amp;INT(($C53-WEEKDAY($C53,2)+11-DATE(YEAR($C53+4-WEEKDAY($C53,2)),1,1))/7)&amp;"-VIS-A")</f>
        <v>SET-S40-VIS-A</v>
      </c>
      <c r="B53" s="30" t="str">
        <f aca="false">IF($C53="","","S"&amp;INT(($C53-WEEKDAY($C53,2)+11-DATE(YEAR($C53+4-WEEKDAY($C53,2)),1,1))/7))</f>
        <v>S40</v>
      </c>
      <c r="C53" s="52" t="n">
        <f aca="false">IF(MONTH(($X$1-WEEKDAY($X$1,3)+28)+2)=MONTH($X$1),($X$1-WEEKDAY($X$1,3)+28)+2,"")</f>
        <v>46295</v>
      </c>
      <c r="D53" s="27" t="str">
        <f aca="false">IF($C53="","","Vistoria Setorial (checklist no setor definido pelo gerente)")</f>
        <v>Vistoria Setorial (checklist no setor definido pelo gerente)</v>
      </c>
      <c r="E53" s="27"/>
      <c r="F53" s="27"/>
      <c r="G53" s="30" t="str">
        <f aca="false">IF($C53="","","A")</f>
        <v>A</v>
      </c>
      <c r="H53" s="30" t="str">
        <f aca="false">IF($C53="","",IF($G53="A",CONFIG!$B$5,IF($G53="B",CONFIG!$B$6,IF($G53="C",CONFIG!$B$7,"Gerência + coordenadores"))))</f>
        <v>(preencha o nome)</v>
      </c>
      <c r="I53" s="30"/>
      <c r="J53" s="56"/>
      <c r="K53" s="53"/>
      <c r="L53" s="53"/>
      <c r="M53" s="54"/>
      <c r="N53" s="54"/>
      <c r="O53" s="54"/>
      <c r="P53" s="60"/>
      <c r="Q53" s="56"/>
      <c r="R53" s="57"/>
      <c r="S53" s="30" t="str">
        <f aca="true">IF($C53="","",IF($Q53="Cancelada","Cancelada",IF($Q53="Reprovado","Reprovada",IF($Q53="Aprovado","Aprovada",IF($M53&lt;&gt;"","Entregue",IF(TODAY()&gt;$C53,"Atrasada","Pendente"))))))</f>
        <v>Pendente</v>
      </c>
      <c r="T53" s="58"/>
      <c r="U53" s="58"/>
      <c r="V53" s="58"/>
    </row>
    <row r="54" customFormat="false" ht="22.35" hidden="false" customHeight="false" outlineLevel="0" collapsed="false">
      <c r="A54" s="51" t="str">
        <f aca="false">IF($C54="","",$X$2&amp;"-S"&amp;INT(($C54-WEEKDAY($C54,2)+11-DATE(YEAR($C54+4-WEEKDAY($C54,2)),1,1))/7)&amp;"-VIS-B")</f>
        <v>SET-S40-VIS-B</v>
      </c>
      <c r="B54" s="34" t="str">
        <f aca="false">IF($C54="","","S"&amp;INT(($C54-WEEKDAY($C54,2)+11-DATE(YEAR($C54+4-WEEKDAY($C54,2)),1,1))/7))</f>
        <v>S40</v>
      </c>
      <c r="C54" s="52" t="n">
        <f aca="false">IF(MONTH(($X$1-WEEKDAY($X$1,3)+28)+2)=MONTH($X$1),($X$1-WEEKDAY($X$1,3)+28)+2,"")</f>
        <v>46295</v>
      </c>
      <c r="D54" s="9" t="str">
        <f aca="false">IF($C54="","","Vistoria Setorial (checklist no setor definido pelo gerente)")</f>
        <v>Vistoria Setorial (checklist no setor definido pelo gerente)</v>
      </c>
      <c r="E54" s="9"/>
      <c r="F54" s="9"/>
      <c r="G54" s="34" t="str">
        <f aca="false">IF($C54="","","B")</f>
        <v>B</v>
      </c>
      <c r="H54" s="34" t="str">
        <f aca="false">IF($C54="","",IF($G54="A",CONFIG!$B$5,IF($G54="B",CONFIG!$B$6,IF($G54="C",CONFIG!$B$7,"Gerência + coordenadores"))))</f>
        <v>(preencha o nome)</v>
      </c>
      <c r="I54" s="34"/>
      <c r="J54" s="56"/>
      <c r="K54" s="53"/>
      <c r="L54" s="53"/>
      <c r="M54" s="54"/>
      <c r="N54" s="54"/>
      <c r="O54" s="54"/>
      <c r="P54" s="55"/>
      <c r="Q54" s="56"/>
      <c r="R54" s="57"/>
      <c r="S54" s="34" t="str">
        <f aca="true">IF($C54="","",IF($Q54="Cancelada","Cancelada",IF($Q54="Reprovado","Reprovada",IF($Q54="Aprovado","Aprovada",IF($M54&lt;&gt;"","Entregue",IF(TODAY()&gt;$C54,"Atrasada","Pendente"))))))</f>
        <v>Pendente</v>
      </c>
      <c r="T54" s="58"/>
      <c r="U54" s="58"/>
      <c r="V54" s="58"/>
    </row>
    <row r="55" customFormat="false" ht="22.35" hidden="false" customHeight="false" outlineLevel="0" collapsed="false">
      <c r="A55" s="59" t="str">
        <f aca="false">IF($C55="","",$X$2&amp;"-S"&amp;INT(($C55-WEEKDAY($C55,2)+11-DATE(YEAR($C55+4-WEEKDAY($C55,2)),1,1))/7)&amp;"-VIS-C")</f>
        <v>SET-S40-VIS-C</v>
      </c>
      <c r="B55" s="30" t="str">
        <f aca="false">IF($C55="","","S"&amp;INT(($C55-WEEKDAY($C55,2)+11-DATE(YEAR($C55+4-WEEKDAY($C55,2)),1,1))/7))</f>
        <v>S40</v>
      </c>
      <c r="C55" s="52" t="n">
        <f aca="false">IF(MONTH(($X$1-WEEKDAY($X$1,3)+28)+2)=MONTH($X$1),($X$1-WEEKDAY($X$1,3)+28)+2,"")</f>
        <v>46295</v>
      </c>
      <c r="D55" s="27" t="str">
        <f aca="false">IF($C55="","","Vistoria Setorial (checklist no setor definido pelo gerente)")</f>
        <v>Vistoria Setorial (checklist no setor definido pelo gerente)</v>
      </c>
      <c r="E55" s="27"/>
      <c r="F55" s="27"/>
      <c r="G55" s="30" t="str">
        <f aca="false">IF($C55="","","C")</f>
        <v>C</v>
      </c>
      <c r="H55" s="30" t="str">
        <f aca="false">IF($C55="","",IF($G55="A",CONFIG!$B$5,IF($G55="B",CONFIG!$B$6,IF($G55="C",CONFIG!$B$7,"Gerência + coordenadores"))))</f>
        <v>(preencha o nome)</v>
      </c>
      <c r="I55" s="30"/>
      <c r="J55" s="56"/>
      <c r="K55" s="53"/>
      <c r="L55" s="53"/>
      <c r="M55" s="54"/>
      <c r="N55" s="54"/>
      <c r="O55" s="54"/>
      <c r="P55" s="60"/>
      <c r="Q55" s="56"/>
      <c r="R55" s="57"/>
      <c r="S55" s="30" t="str">
        <f aca="true">IF($C55="","",IF($Q55="Cancelada","Cancelada",IF($Q55="Reprovado","Reprovada",IF($Q55="Aprovado","Aprovada",IF($M55&lt;&gt;"","Entregue",IF(TODAY()&gt;$C55,"Atrasada","Pendente"))))))</f>
        <v>Pendente</v>
      </c>
      <c r="T55" s="58"/>
      <c r="U55" s="58"/>
      <c r="V55" s="58"/>
    </row>
    <row r="56" customFormat="false" ht="22.35" hidden="false" customHeight="false" outlineLevel="0" collapsed="false">
      <c r="A56" s="59" t="str">
        <f aca="false">IF($C56="","",$X$2&amp;"-S"&amp;INT(($C56-WEEKDAY($C56,2)+11-DATE(YEAR($C56+4-WEEKDAY($C56,2)),1,1))/7)&amp;"-MDF-T")</f>
        <v>SET-S39-MDF-T</v>
      </c>
      <c r="B56" s="30" t="str">
        <f aca="false">IF($C56="","","S"&amp;INT(($C56-WEEKDAY($C56,2)+11-DATE(YEAR($C56+4-WEEKDAY($C56,2)),1,1))/7))</f>
        <v>S39</v>
      </c>
      <c r="C56" s="52" t="n">
        <f aca="false">EOMONTH($X$1,0)-MOD(WEEKDAY(EOMONTH($X$1,0),2)-5,7)</f>
        <v>46290</v>
      </c>
      <c r="D56" s="27" t="str">
        <f aca="false">IF($C56="","","Mudança de Função — reunião mensal")</f>
        <v>Mudança de Função — reunião mensal</v>
      </c>
      <c r="E56" s="27"/>
      <c r="F56" s="27"/>
      <c r="G56" s="30" t="str">
        <f aca="false">IF($C56="","","Todos")</f>
        <v>Todos</v>
      </c>
      <c r="H56" s="30" t="str">
        <f aca="false">IF($C56="","",IF($G56="A",CONFIG!$B$5,IF($G56="B",CONFIG!$B$6,IF($G56="C",CONFIG!$B$7,"Gerência + coordenadores"))))</f>
        <v>Gerência + coordenadores</v>
      </c>
      <c r="I56" s="30"/>
      <c r="J56" s="32" t="str">
        <f aca="false">IF($C56="","","—")</f>
        <v>—</v>
      </c>
      <c r="K56" s="53"/>
      <c r="L56" s="53"/>
      <c r="M56" s="54"/>
      <c r="N56" s="54"/>
      <c r="O56" s="54"/>
      <c r="P56" s="60"/>
      <c r="Q56" s="56"/>
      <c r="R56" s="57"/>
      <c r="S56" s="30" t="str">
        <f aca="true">IF($C56="","",IF($Q56="Cancelada","Cancelada",IF($Q56="Reprovado","Reprovada",IF($Q56="Aprovado","Aprovada",IF($M56&lt;&gt;"","Entregue",IF(TODAY()&gt;$C56,"Atrasada","Pendente"))))))</f>
        <v>Pendente</v>
      </c>
      <c r="T56" s="58"/>
      <c r="U56" s="58"/>
      <c r="V56" s="58"/>
    </row>
    <row r="58" customFormat="false" ht="15" hidden="false" customHeight="true" outlineLevel="0" collapsed="false">
      <c r="A58" s="62" t="s">
        <v>139</v>
      </c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</row>
    <row r="59" customFormat="false" ht="21.75" hidden="false" customHeight="true" outlineLevel="0" collapsed="false">
      <c r="A59" s="51" t="str">
        <f aca="false">$X$2&amp;"-TRE-1"</f>
        <v>SET-TRE-1</v>
      </c>
      <c r="B59" s="32" t="str">
        <f aca="false">IF($C59="","","S"&amp;INT(($C59-WEEKDAY($C59,2)+11-DATE(YEAR($C59+4-WEEKDAY($C59,2)),1,1))/7))</f>
        <v/>
      </c>
      <c r="C59" s="52"/>
      <c r="D59" s="57" t="s">
        <v>140</v>
      </c>
      <c r="E59" s="57"/>
      <c r="F59" s="57"/>
      <c r="G59" s="32" t="s">
        <v>141</v>
      </c>
      <c r="H59" s="34" t="s">
        <v>142</v>
      </c>
      <c r="I59" s="34"/>
      <c r="J59" s="32" t="s">
        <v>143</v>
      </c>
      <c r="K59" s="53"/>
      <c r="L59" s="53"/>
      <c r="M59" s="54"/>
      <c r="N59" s="54"/>
      <c r="O59" s="54"/>
      <c r="P59" s="55"/>
      <c r="Q59" s="56"/>
      <c r="R59" s="57"/>
      <c r="S59" s="34" t="str">
        <f aca="true">IF($C59="","Não agendado",IF($Q59="Cancelada","Cancelada",IF($Q59="Reprovado","Reprovada",IF($Q59="Aprovado","Aprovada",IF($M59&lt;&gt;"","Entregue",IF(TODAY()&gt;$C59,"Atrasada","Pendente"))))))</f>
        <v>Não agendado</v>
      </c>
      <c r="T59" s="58"/>
      <c r="U59" s="58"/>
      <c r="V59" s="58"/>
    </row>
    <row r="60" customFormat="false" ht="21.75" hidden="false" customHeight="true" outlineLevel="0" collapsed="false">
      <c r="A60" s="51" t="str">
        <f aca="false">$X$2&amp;"-TRE-2"</f>
        <v>SET-TRE-2</v>
      </c>
      <c r="B60" s="32" t="str">
        <f aca="false">IF($C60="","","S"&amp;INT(($C60-WEEKDAY($C60,2)+11-DATE(YEAR($C60+4-WEEKDAY($C60,2)),1,1))/7))</f>
        <v/>
      </c>
      <c r="C60" s="52"/>
      <c r="D60" s="57" t="s">
        <v>140</v>
      </c>
      <c r="E60" s="57"/>
      <c r="F60" s="57"/>
      <c r="G60" s="32" t="s">
        <v>141</v>
      </c>
      <c r="H60" s="34" t="s">
        <v>142</v>
      </c>
      <c r="I60" s="34"/>
      <c r="J60" s="32" t="s">
        <v>143</v>
      </c>
      <c r="K60" s="53"/>
      <c r="L60" s="53"/>
      <c r="M60" s="54"/>
      <c r="N60" s="54"/>
      <c r="O60" s="54"/>
      <c r="P60" s="55"/>
      <c r="Q60" s="56"/>
      <c r="R60" s="57"/>
      <c r="S60" s="34" t="str">
        <f aca="true">IF($C60="","Não agendado",IF($Q60="Cancelada","Cancelada",IF($Q60="Reprovado","Reprovada",IF($Q60="Aprovado","Aprovada",IF($M60&lt;&gt;"","Entregue",IF(TODAY()&gt;$C60,"Atrasada","Pendente"))))))</f>
        <v>Não agendado</v>
      </c>
      <c r="T60" s="58"/>
      <c r="U60" s="58"/>
      <c r="V60" s="58"/>
    </row>
    <row r="61" customFormat="false" ht="21.75" hidden="false" customHeight="true" outlineLevel="0" collapsed="false">
      <c r="A61" s="51" t="str">
        <f aca="false">$X$2&amp;"-TRE-3"</f>
        <v>SET-TRE-3</v>
      </c>
      <c r="B61" s="32" t="str">
        <f aca="false">IF($C61="","","S"&amp;INT(($C61-WEEKDAY($C61,2)+11-DATE(YEAR($C61+4-WEEKDAY($C61,2)),1,1))/7))</f>
        <v/>
      </c>
      <c r="C61" s="52"/>
      <c r="D61" s="57" t="s">
        <v>140</v>
      </c>
      <c r="E61" s="57"/>
      <c r="F61" s="57"/>
      <c r="G61" s="32" t="s">
        <v>141</v>
      </c>
      <c r="H61" s="34" t="s">
        <v>142</v>
      </c>
      <c r="I61" s="34"/>
      <c r="J61" s="32" t="s">
        <v>143</v>
      </c>
      <c r="K61" s="53"/>
      <c r="L61" s="53"/>
      <c r="M61" s="54"/>
      <c r="N61" s="54"/>
      <c r="O61" s="54"/>
      <c r="P61" s="55"/>
      <c r="Q61" s="56"/>
      <c r="R61" s="57"/>
      <c r="S61" s="34" t="str">
        <f aca="true">IF($C61="","Não agendado",IF($Q61="Cancelada","Cancelada",IF($Q61="Reprovado","Reprovada",IF($Q61="Aprovado","Aprovada",IF($M61&lt;&gt;"","Entregue",IF(TODAY()&gt;$C61,"Atrasada","Pendente"))))))</f>
        <v>Não agendado</v>
      </c>
      <c r="T61" s="58"/>
      <c r="U61" s="58"/>
      <c r="V61" s="58"/>
    </row>
    <row r="62" customFormat="false" ht="21.75" hidden="false" customHeight="true" outlineLevel="0" collapsed="false">
      <c r="A62" s="51" t="str">
        <f aca="false">$X$2&amp;"-TRE-4"</f>
        <v>SET-TRE-4</v>
      </c>
      <c r="B62" s="32" t="str">
        <f aca="false">IF($C62="","","S"&amp;INT(($C62-WEEKDAY($C62,2)+11-DATE(YEAR($C62+4-WEEKDAY($C62,2)),1,1))/7))</f>
        <v/>
      </c>
      <c r="C62" s="52"/>
      <c r="D62" s="57" t="s">
        <v>140</v>
      </c>
      <c r="E62" s="57"/>
      <c r="F62" s="57"/>
      <c r="G62" s="32" t="s">
        <v>141</v>
      </c>
      <c r="H62" s="34" t="s">
        <v>142</v>
      </c>
      <c r="I62" s="34"/>
      <c r="J62" s="32" t="s">
        <v>143</v>
      </c>
      <c r="K62" s="53"/>
      <c r="L62" s="53"/>
      <c r="M62" s="54"/>
      <c r="N62" s="54"/>
      <c r="O62" s="54"/>
      <c r="P62" s="55"/>
      <c r="Q62" s="56"/>
      <c r="R62" s="57"/>
      <c r="S62" s="34" t="str">
        <f aca="true">IF($C62="","Não agendado",IF($Q62="Cancelada","Cancelada",IF($Q62="Reprovado","Reprovada",IF($Q62="Aprovado","Aprovada",IF($M62&lt;&gt;"","Entregue",IF(TODAY()&gt;$C62,"Atrasada","Pendente"))))))</f>
        <v>Não agendado</v>
      </c>
      <c r="T62" s="58"/>
      <c r="U62" s="58"/>
      <c r="V62" s="58"/>
    </row>
    <row r="63" customFormat="false" ht="21.75" hidden="false" customHeight="true" outlineLevel="0" collapsed="false">
      <c r="A63" s="51" t="str">
        <f aca="false">$X$2&amp;"-TRE-5"</f>
        <v>SET-TRE-5</v>
      </c>
      <c r="B63" s="32" t="str">
        <f aca="false">IF($C63="","","S"&amp;INT(($C63-WEEKDAY($C63,2)+11-DATE(YEAR($C63+4-WEEKDAY($C63,2)),1,1))/7))</f>
        <v/>
      </c>
      <c r="C63" s="52"/>
      <c r="D63" s="57" t="s">
        <v>140</v>
      </c>
      <c r="E63" s="57"/>
      <c r="F63" s="57"/>
      <c r="G63" s="32" t="s">
        <v>141</v>
      </c>
      <c r="H63" s="34" t="s">
        <v>142</v>
      </c>
      <c r="I63" s="34"/>
      <c r="J63" s="32" t="s">
        <v>143</v>
      </c>
      <c r="K63" s="53"/>
      <c r="L63" s="53"/>
      <c r="M63" s="54"/>
      <c r="N63" s="54"/>
      <c r="O63" s="54"/>
      <c r="P63" s="55"/>
      <c r="Q63" s="56"/>
      <c r="R63" s="57"/>
      <c r="S63" s="34" t="str">
        <f aca="true">IF($C63="","Não agendado",IF($Q63="Cancelada","Cancelada",IF($Q63="Reprovado","Reprovada",IF($Q63="Aprovado","Aprovada",IF($M63&lt;&gt;"","Entregue",IF(TODAY()&gt;$C63,"Atrasada","Pendente"))))))</f>
        <v>Não agendado</v>
      </c>
      <c r="T63" s="58"/>
      <c r="U63" s="58"/>
      <c r="V63" s="58"/>
    </row>
    <row r="64" customFormat="false" ht="21.75" hidden="false" customHeight="true" outlineLevel="0" collapsed="false">
      <c r="A64" s="51" t="str">
        <f aca="false">$X$2&amp;"-TRE-6"</f>
        <v>SET-TRE-6</v>
      </c>
      <c r="B64" s="32" t="str">
        <f aca="false">IF($C64="","","S"&amp;INT(($C64-WEEKDAY($C64,2)+11-DATE(YEAR($C64+4-WEEKDAY($C64,2)),1,1))/7))</f>
        <v/>
      </c>
      <c r="C64" s="52"/>
      <c r="D64" s="57" t="s">
        <v>140</v>
      </c>
      <c r="E64" s="57"/>
      <c r="F64" s="57"/>
      <c r="G64" s="32" t="s">
        <v>141</v>
      </c>
      <c r="H64" s="34" t="s">
        <v>142</v>
      </c>
      <c r="I64" s="34"/>
      <c r="J64" s="32" t="s">
        <v>143</v>
      </c>
      <c r="K64" s="53"/>
      <c r="L64" s="53"/>
      <c r="M64" s="54"/>
      <c r="N64" s="54"/>
      <c r="O64" s="54"/>
      <c r="P64" s="55"/>
      <c r="Q64" s="56"/>
      <c r="R64" s="57"/>
      <c r="S64" s="34" t="str">
        <f aca="true">IF($C64="","Não agendado",IF($Q64="Cancelada","Cancelada",IF($Q64="Reprovado","Reprovada",IF($Q64="Aprovado","Aprovada",IF($M64&lt;&gt;"","Entregue",IF(TODAY()&gt;$C64,"Atrasada","Pendente"))))))</f>
        <v>Não agendado</v>
      </c>
      <c r="T64" s="58"/>
      <c r="U64" s="58"/>
      <c r="V64" s="58"/>
    </row>
    <row r="66" customFormat="false" ht="15" hidden="false" customHeight="true" outlineLevel="0" collapsed="false">
      <c r="A66" s="48" t="s">
        <v>144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</sheetData>
  <mergeCells count="223">
    <mergeCell ref="A1:S1"/>
    <mergeCell ref="A3:O3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O18"/>
    <mergeCell ref="A20:V20"/>
    <mergeCell ref="D21:F21"/>
    <mergeCell ref="H21:I21"/>
    <mergeCell ref="M21:O21"/>
    <mergeCell ref="D22:F22"/>
    <mergeCell ref="H22:I22"/>
    <mergeCell ref="M22:O22"/>
    <mergeCell ref="D23:F23"/>
    <mergeCell ref="H23:I23"/>
    <mergeCell ref="M23:O23"/>
    <mergeCell ref="D24:F24"/>
    <mergeCell ref="H24:I24"/>
    <mergeCell ref="M24:O24"/>
    <mergeCell ref="D25:F25"/>
    <mergeCell ref="H25:I25"/>
    <mergeCell ref="M25:O25"/>
    <mergeCell ref="D26:F26"/>
    <mergeCell ref="H26:I26"/>
    <mergeCell ref="M26:O26"/>
    <mergeCell ref="D27:F27"/>
    <mergeCell ref="H27:I27"/>
    <mergeCell ref="M27:O27"/>
    <mergeCell ref="D28:F28"/>
    <mergeCell ref="H28:I28"/>
    <mergeCell ref="M28:O28"/>
    <mergeCell ref="D29:F29"/>
    <mergeCell ref="H29:I29"/>
    <mergeCell ref="M29:O29"/>
    <mergeCell ref="D30:F30"/>
    <mergeCell ref="H30:I30"/>
    <mergeCell ref="M30:O30"/>
    <mergeCell ref="D31:F31"/>
    <mergeCell ref="H31:I31"/>
    <mergeCell ref="M31:O31"/>
    <mergeCell ref="D32:F32"/>
    <mergeCell ref="H32:I32"/>
    <mergeCell ref="M32:O32"/>
    <mergeCell ref="D33:F33"/>
    <mergeCell ref="H33:I33"/>
    <mergeCell ref="M33:O33"/>
    <mergeCell ref="D34:F34"/>
    <mergeCell ref="H34:I34"/>
    <mergeCell ref="M34:O34"/>
    <mergeCell ref="D35:F35"/>
    <mergeCell ref="H35:I35"/>
    <mergeCell ref="M35:O35"/>
    <mergeCell ref="D36:F36"/>
    <mergeCell ref="H36:I36"/>
    <mergeCell ref="M36:O36"/>
    <mergeCell ref="D37:F37"/>
    <mergeCell ref="H37:I37"/>
    <mergeCell ref="M37:O37"/>
    <mergeCell ref="D38:F38"/>
    <mergeCell ref="H38:I38"/>
    <mergeCell ref="M38:O38"/>
    <mergeCell ref="D39:F39"/>
    <mergeCell ref="H39:I39"/>
    <mergeCell ref="M39:O39"/>
    <mergeCell ref="D40:F40"/>
    <mergeCell ref="H40:I40"/>
    <mergeCell ref="M40:O40"/>
    <mergeCell ref="D41:F41"/>
    <mergeCell ref="H41:I41"/>
    <mergeCell ref="M41:O41"/>
    <mergeCell ref="D42:F42"/>
    <mergeCell ref="H42:I42"/>
    <mergeCell ref="M42:O42"/>
    <mergeCell ref="D43:F43"/>
    <mergeCell ref="H43:I43"/>
    <mergeCell ref="M43:O43"/>
    <mergeCell ref="D44:F44"/>
    <mergeCell ref="H44:I44"/>
    <mergeCell ref="M44:O44"/>
    <mergeCell ref="D45:F45"/>
    <mergeCell ref="H45:I45"/>
    <mergeCell ref="M45:O45"/>
    <mergeCell ref="D46:F46"/>
    <mergeCell ref="H46:I46"/>
    <mergeCell ref="M46:O46"/>
    <mergeCell ref="D47:F47"/>
    <mergeCell ref="H47:I47"/>
    <mergeCell ref="M47:O47"/>
    <mergeCell ref="D48:F48"/>
    <mergeCell ref="H48:I48"/>
    <mergeCell ref="M48:O48"/>
    <mergeCell ref="D49:F49"/>
    <mergeCell ref="H49:I49"/>
    <mergeCell ref="M49:O49"/>
    <mergeCell ref="D50:F50"/>
    <mergeCell ref="H50:I50"/>
    <mergeCell ref="M50:O50"/>
    <mergeCell ref="D51:F51"/>
    <mergeCell ref="H51:I51"/>
    <mergeCell ref="M51:O51"/>
    <mergeCell ref="D52:F52"/>
    <mergeCell ref="H52:I52"/>
    <mergeCell ref="M52:O52"/>
    <mergeCell ref="D53:F53"/>
    <mergeCell ref="H53:I53"/>
    <mergeCell ref="M53:O53"/>
    <mergeCell ref="D54:F54"/>
    <mergeCell ref="H54:I54"/>
    <mergeCell ref="M54:O54"/>
    <mergeCell ref="D55:F55"/>
    <mergeCell ref="H55:I55"/>
    <mergeCell ref="M55:O55"/>
    <mergeCell ref="D56:F56"/>
    <mergeCell ref="H56:I56"/>
    <mergeCell ref="M56:O56"/>
    <mergeCell ref="A58:V58"/>
    <mergeCell ref="D59:F59"/>
    <mergeCell ref="H59:I59"/>
    <mergeCell ref="M59:O59"/>
    <mergeCell ref="D60:F60"/>
    <mergeCell ref="H60:I60"/>
    <mergeCell ref="M60:O60"/>
    <mergeCell ref="D61:F61"/>
    <mergeCell ref="H61:I61"/>
    <mergeCell ref="M61:O61"/>
    <mergeCell ref="D62:F62"/>
    <mergeCell ref="H62:I62"/>
    <mergeCell ref="M62:O62"/>
    <mergeCell ref="D63:F63"/>
    <mergeCell ref="H63:I63"/>
    <mergeCell ref="M63:O63"/>
    <mergeCell ref="D64:F64"/>
    <mergeCell ref="H64:I64"/>
    <mergeCell ref="M64:O64"/>
    <mergeCell ref="A66:V66"/>
  </mergeCells>
  <conditionalFormatting sqref="A3">
    <cfRule type="expression" priority="2" aboveAverage="0" equalAverage="0" bottom="0" percent="0" rank="0" text="" dxfId="3">
      <formula>LEFT($A$3,3)="MÊS"</formula>
    </cfRule>
  </conditionalFormatting>
  <conditionalFormatting sqref="A22:I56">
    <cfRule type="expression" priority="3" aboveAverage="0" equalAverage="0" bottom="0" percent="0" rank="0" text="" dxfId="4">
      <formula>ISNUMBER(SEARCH("-REU-",$A22))</formula>
    </cfRule>
  </conditionalFormatting>
  <conditionalFormatting sqref="S22:S139">
    <cfRule type="expression" priority="4" aboveAverage="0" equalAverage="0" bottom="0" percent="0" rank="0" text="" dxfId="5">
      <formula>$S22="Aprovada"</formula>
    </cfRule>
    <cfRule type="expression" priority="5" aboveAverage="0" equalAverage="0" bottom="0" percent="0" rank="0" text="" dxfId="6">
      <formula>$S22="Entregue"</formula>
    </cfRule>
    <cfRule type="expression" priority="6" aboveAverage="0" equalAverage="0" bottom="0" percent="0" rank="0" text="" dxfId="7">
      <formula>$S22="Atrasada"</formula>
    </cfRule>
    <cfRule type="expression" priority="7" aboveAverage="0" equalAverage="0" bottom="0" percent="0" rank="0" text="" dxfId="8">
      <formula>$S22="Reprovada"</formula>
    </cfRule>
    <cfRule type="expression" priority="8" aboveAverage="0" equalAverage="0" bottom="0" percent="0" rank="0" text="" dxfId="9">
      <formula>$S22="Pendente"</formula>
    </cfRule>
    <cfRule type="expression" priority="9" aboveAverage="0" equalAverage="0" bottom="0" percent="0" rank="0" text="" dxfId="10">
      <formula>$S22="Cancelada"</formula>
    </cfRule>
  </conditionalFormatting>
  <conditionalFormatting sqref="B6:O17">
    <cfRule type="expression" priority="10" aboveAverage="0" equalAverage="0" bottom="0" percent="0" rank="0" text="" dxfId="11">
      <formula>AND(B6&lt;&gt;"",B6=TODAY())</formula>
    </cfRule>
    <cfRule type="expression" priority="11" aboveAverage="0" equalAverage="0" bottom="0" percent="0" rank="0" text="" dxfId="12">
      <formula>AND(B6&lt;&gt;"",COUNTIFS($C$22:$C$139,B6,$S$22:$S$139,"Atrasada")&gt;0)</formula>
    </cfRule>
    <cfRule type="expression" priority="12" aboveAverage="0" equalAverage="0" bottom="0" percent="0" rank="0" text="" dxfId="13">
      <formula>AND(B6&lt;&gt;"",COUNTIFS($C$22:$C$139,B6,$Q$22:$Q$139,"&lt;&gt;Cancelada")&gt;0)</formula>
    </cfRule>
  </conditionalFormatting>
  <dataValidations count="1">
    <dataValidation allowBlank="true" errorStyle="stop" operator="between" showDropDown="false" showErrorMessage="false" showInputMessage="false" sqref="Q22:Q139" type="list">
      <formula1>"Aprovado,Reprovado,Cancelada"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X67"/>
  <sheetViews>
    <sheetView showFormulas="false" showGridLines="fals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57" activeCellId="0" sqref="A5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.57"/>
    <col collapsed="false" customWidth="true" hidden="false" outlineLevel="0" max="3" min="3" style="0" width="10.57"/>
    <col collapsed="false" customWidth="true" hidden="false" outlineLevel="0" max="6" min="4" style="0" width="12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true" outlineLevel="0" max="11" min="11" style="0" width="8"/>
    <col collapsed="false" customWidth="true" hidden="true" outlineLevel="0" max="12" min="12" style="0" width="9.57"/>
    <col collapsed="false" customWidth="true" hidden="false" outlineLevel="0" max="16" min="13" style="0" width="12"/>
    <col collapsed="false" customWidth="true" hidden="false" outlineLevel="0" max="17" min="17" style="0" width="11.43"/>
    <col collapsed="false" customWidth="true" hidden="false" outlineLevel="0" max="18" min="18" style="0" width="17"/>
    <col collapsed="false" customWidth="true" hidden="false" outlineLevel="0" max="19" min="19" style="0" width="12.42"/>
    <col collapsed="false" customWidth="true" hidden="false" outlineLevel="0" max="22" min="20" style="0" width="3.42"/>
    <col collapsed="false" customWidth="true" hidden="true" outlineLevel="0" max="24" min="24" style="0" width="4"/>
  </cols>
  <sheetData>
    <row r="1" customFormat="false" ht="45.75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X1" s="43" t="n">
        <v>46296</v>
      </c>
    </row>
    <row r="2" customFormat="false" ht="4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X2" s="44" t="s">
        <v>150</v>
      </c>
    </row>
    <row r="3" customFormat="false" ht="15" hidden="false" customHeight="false" outlineLevel="0" collapsed="false">
      <c r="A3" s="5" t="str">
        <f aca="false">IF((COUNTIF($S$22:$S$140,"Aprovada")+COUNTIF($S$22:$S$140,"Entregue")+COUNTIF($S$22:$S$140,"Pendente")+COUNTIF($S$22:$S$140,"Atrasada")+COUNTIF($S$22:$S$140,"Reprovada"))=0,"",IF(COUNTIF($S$22:$S$140,"Aprovada")=(COUNTIF($S$22:$S$140,"Aprovada")+COUNTIF($S$22:$S$140,"Entregue")+COUNTIF($S$22:$S$140,"Pendente")+COUNTIF($S$22:$S$140,"Atrasada")+COUNTIF($S$22:$S$140,"Reprovada")),"MÊS CONCLUÍDO — todas as atividades aprovadas","EM ANDAMENTO — "&amp;COUNTIF($S$22:$S$140,"Aprovada")&amp;" de "&amp;(COUNTIF($S$22:$S$140,"Aprovada")+COUNTIF($S$22:$S$140,"Entregue")+COUNTIF($S$22:$S$140,"Pendente")+COUNTIF($S$22:$S$140,"Atrasada")+COUNTIF($S$22:$S$140,"Reprovada"))&amp;" atividades aprovadas · "&amp;COUNTIF($S$22:$S$140,"Atrasada")&amp;" em atraso"))</f>
        <v>EM ANDAMENTO — 0 de 36 atividades aprovadas · 0 em atraso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8" hidden="false" customHeight="true" outlineLevel="0" collapsed="false">
      <c r="B5" s="40" t="s">
        <v>119</v>
      </c>
      <c r="C5" s="40"/>
      <c r="D5" s="40" t="s">
        <v>120</v>
      </c>
      <c r="E5" s="40"/>
      <c r="F5" s="40" t="s">
        <v>121</v>
      </c>
      <c r="G5" s="40"/>
      <c r="H5" s="40" t="s">
        <v>3</v>
      </c>
      <c r="I5" s="40"/>
      <c r="J5" s="40" t="s">
        <v>6</v>
      </c>
      <c r="K5" s="40"/>
      <c r="L5" s="45" t="s">
        <v>9</v>
      </c>
      <c r="M5" s="45"/>
      <c r="N5" s="40" t="s">
        <v>122</v>
      </c>
      <c r="O5" s="40"/>
    </row>
    <row r="6" customFormat="false" ht="15" hidden="false" customHeight="true" outlineLevel="0" collapsed="false">
      <c r="B6" s="46" t="str">
        <f aca="false">IF(MONTH($X$1-WEEKDAY($X$1)+1+0)=MONTH($X$1),$X$1-WEEKDAY($X$1)+1+0,"")</f>
        <v/>
      </c>
      <c r="C6" s="46"/>
      <c r="D6" s="46" t="str">
        <f aca="false">IF(MONTH($X$1-WEEKDAY($X$1)+1+1)=MONTH($X$1),$X$1-WEEKDAY($X$1)+1+1,"")</f>
        <v/>
      </c>
      <c r="E6" s="46"/>
      <c r="F6" s="46" t="str">
        <f aca="false">IF(MONTH($X$1-WEEKDAY($X$1)+1+2)=MONTH($X$1),$X$1-WEEKDAY($X$1)+1+2,"")</f>
        <v/>
      </c>
      <c r="G6" s="46"/>
      <c r="H6" s="46" t="str">
        <f aca="false">IF(MONTH($X$1-WEEKDAY($X$1)+1+3)=MONTH($X$1),$X$1-WEEKDAY($X$1)+1+3,"")</f>
        <v/>
      </c>
      <c r="I6" s="46"/>
      <c r="J6" s="46" t="n">
        <f aca="false">IF(MONTH($X$1-WEEKDAY($X$1)+1+4)=MONTH($X$1),$X$1-WEEKDAY($X$1)+1+4,"")</f>
        <v>46296</v>
      </c>
      <c r="K6" s="46"/>
      <c r="L6" s="46" t="n">
        <f aca="false">IF(MONTH($X$1-WEEKDAY($X$1)+1+5)=MONTH($X$1),$X$1-WEEKDAY($X$1)+1+5,"")</f>
        <v>46297</v>
      </c>
      <c r="M6" s="46"/>
      <c r="N6" s="46" t="n">
        <f aca="false">IF(MONTH($X$1-WEEKDAY($X$1)+1+6)=MONTH($X$1),$X$1-WEEKDAY($X$1)+1+6,"")</f>
        <v>46298</v>
      </c>
      <c r="O6" s="46"/>
    </row>
    <row r="7" customFormat="false" ht="25.5" hidden="false" customHeight="true" outlineLevel="0" collapsed="false">
      <c r="B7" s="47" t="str">
        <f aca="false">IF(B6="","",TRIM(IF(COUNTIFS($C$22:$C$140,B6,$D$22:$D$140,"*Vistoria*",$Q$22:$Q$140,"&lt;&gt;Cancelada")&gt;0,"Vistoria ","")&amp;IF(COUNTIFS($C$22:$C$140,B6,$D$22:$D$140,"*Relatório*",$Q$22:$Q$140,"&lt;&gt;Cancelada")&gt;0,"Relatório ","")&amp;IF(COUNTIFS($C$22:$C$140,B6,$D$22:$D$140,"*Reunião*",$Q$22:$Q$140,"&lt;&gt;Cancelada")&gt;0,"REUNIÃO ","")&amp;IF(COUNTIFS($C$22:$C$140,B6,$D$22:$D$140,"*Férias*",$Q$22:$Q$140,"&lt;&gt;Cancelada")&gt;0,"Férias ","")&amp;IF(COUNTIFS($C$22:$C$140,B6,$D$22:$D$140,"*Mudança*",$Q$22:$Q$140,"&lt;&gt;Cancelada")&gt;0,"M.Função ","")&amp;IF(COUNTIFS($C$22:$C$140,B6,$D$22:$D$140,"*Treinamento*",$Q$22:$Q$140,"&lt;&gt;Cancelada")&gt;0,"Trein. ","")))</f>
        <v/>
      </c>
      <c r="C7" s="47"/>
      <c r="D7" s="47" t="str">
        <f aca="false">IF(D6="","",TRIM(IF(COUNTIFS($C$22:$C$140,D6,$D$22:$D$140,"*Vistoria*",$Q$22:$Q$140,"&lt;&gt;Cancelada")&gt;0,"Vistoria ","")&amp;IF(COUNTIFS($C$22:$C$140,D6,$D$22:$D$140,"*Relatório*",$Q$22:$Q$140,"&lt;&gt;Cancelada")&gt;0,"Relatório ","")&amp;IF(COUNTIFS($C$22:$C$140,D6,$D$22:$D$140,"*Reunião*",$Q$22:$Q$140,"&lt;&gt;Cancelada")&gt;0,"REUNIÃO ","")&amp;IF(COUNTIFS($C$22:$C$140,D6,$D$22:$D$140,"*Férias*",$Q$22:$Q$140,"&lt;&gt;Cancelada")&gt;0,"Férias ","")&amp;IF(COUNTIFS($C$22:$C$140,D6,$D$22:$D$140,"*Mudança*",$Q$22:$Q$140,"&lt;&gt;Cancelada")&gt;0,"M.Função ","")&amp;IF(COUNTIFS($C$22:$C$140,D6,$D$22:$D$140,"*Treinamento*",$Q$22:$Q$140,"&lt;&gt;Cancelada")&gt;0,"Trein. ","")))</f>
        <v/>
      </c>
      <c r="E7" s="47"/>
      <c r="F7" s="47" t="str">
        <f aca="false">IF(F6="","",TRIM(IF(COUNTIFS($C$22:$C$140,F6,$D$22:$D$140,"*Vistoria*",$Q$22:$Q$140,"&lt;&gt;Cancelada")&gt;0,"Vistoria ","")&amp;IF(COUNTIFS($C$22:$C$140,F6,$D$22:$D$140,"*Relatório*",$Q$22:$Q$140,"&lt;&gt;Cancelada")&gt;0,"Relatório ","")&amp;IF(COUNTIFS($C$22:$C$140,F6,$D$22:$D$140,"*Reunião*",$Q$22:$Q$140,"&lt;&gt;Cancelada")&gt;0,"REUNIÃO ","")&amp;IF(COUNTIFS($C$22:$C$140,F6,$D$22:$D$140,"*Férias*",$Q$22:$Q$140,"&lt;&gt;Cancelada")&gt;0,"Férias ","")&amp;IF(COUNTIFS($C$22:$C$140,F6,$D$22:$D$140,"*Mudança*",$Q$22:$Q$140,"&lt;&gt;Cancelada")&gt;0,"M.Função ","")&amp;IF(COUNTIFS($C$22:$C$140,F6,$D$22:$D$140,"*Treinamento*",$Q$22:$Q$140,"&lt;&gt;Cancelada")&gt;0,"Trein. ","")))</f>
        <v/>
      </c>
      <c r="G7" s="47"/>
      <c r="H7" s="47" t="str">
        <f aca="false">IF(H6="","",TRIM(IF(COUNTIFS($C$22:$C$140,H6,$D$22:$D$140,"*Vistoria*",$Q$22:$Q$140,"&lt;&gt;Cancelada")&gt;0,"Vistoria ","")&amp;IF(COUNTIFS($C$22:$C$140,H6,$D$22:$D$140,"*Relatório*",$Q$22:$Q$140,"&lt;&gt;Cancelada")&gt;0,"Relatório ","")&amp;IF(COUNTIFS($C$22:$C$140,H6,$D$22:$D$140,"*Reunião*",$Q$22:$Q$140,"&lt;&gt;Cancelada")&gt;0,"REUNIÃO ","")&amp;IF(COUNTIFS($C$22:$C$140,H6,$D$22:$D$140,"*Férias*",$Q$22:$Q$140,"&lt;&gt;Cancelada")&gt;0,"Férias ","")&amp;IF(COUNTIFS($C$22:$C$140,H6,$D$22:$D$140,"*Mudança*",$Q$22:$Q$140,"&lt;&gt;Cancelada")&gt;0,"M.Função ","")&amp;IF(COUNTIFS($C$22:$C$140,H6,$D$22:$D$140,"*Treinamento*",$Q$22:$Q$140,"&lt;&gt;Cancelada")&gt;0,"Trein. ","")))</f>
        <v/>
      </c>
      <c r="I7" s="47"/>
      <c r="J7" s="47" t="str">
        <f aca="false">IF(J6="","",TRIM(IF(COUNTIFS($C$22:$C$140,J6,$D$22:$D$140,"*Vistoria*",$Q$22:$Q$140,"&lt;&gt;Cancelada")&gt;0,"Vistoria ","")&amp;IF(COUNTIFS($C$22:$C$140,J6,$D$22:$D$140,"*Relatório*",$Q$22:$Q$140,"&lt;&gt;Cancelada")&gt;0,"Relatório ","")&amp;IF(COUNTIFS($C$22:$C$140,J6,$D$22:$D$140,"*Reunião*",$Q$22:$Q$140,"&lt;&gt;Cancelada")&gt;0,"REUNIÃO ","")&amp;IF(COUNTIFS($C$22:$C$140,J6,$D$22:$D$140,"*Férias*",$Q$22:$Q$140,"&lt;&gt;Cancelada")&gt;0,"Férias ","")&amp;IF(COUNTIFS($C$22:$C$140,J6,$D$22:$D$140,"*Mudança*",$Q$22:$Q$140,"&lt;&gt;Cancelada")&gt;0,"M.Função ","")&amp;IF(COUNTIFS($C$22:$C$140,J6,$D$22:$D$140,"*Treinamento*",$Q$22:$Q$140,"&lt;&gt;Cancelada")&gt;0,"Trein. ","")))</f>
        <v>Relatório</v>
      </c>
      <c r="K7" s="47"/>
      <c r="L7" s="47" t="str">
        <f aca="false">IF(L6="","",TRIM(IF(COUNTIFS($C$22:$C$140,L6,$D$22:$D$140,"*Vistoria*",$Q$22:$Q$140,"&lt;&gt;Cancelada")&gt;0,"Vistoria ","")&amp;IF(COUNTIFS($C$22:$C$140,L6,$D$22:$D$140,"*Relatório*",$Q$22:$Q$140,"&lt;&gt;Cancelada")&gt;0,"Relatório ","")&amp;IF(COUNTIFS($C$22:$C$140,L6,$D$22:$D$140,"*Reunião*",$Q$22:$Q$140,"&lt;&gt;Cancelada")&gt;0,"REUNIÃO ","")&amp;IF(COUNTIFS($C$22:$C$140,L6,$D$22:$D$140,"*Férias*",$Q$22:$Q$140,"&lt;&gt;Cancelada")&gt;0,"Férias ","")&amp;IF(COUNTIFS($C$22:$C$140,L6,$D$22:$D$140,"*Mudança*",$Q$22:$Q$140,"&lt;&gt;Cancelada")&gt;0,"M.Função ","")&amp;IF(COUNTIFS($C$22:$C$140,L6,$D$22:$D$140,"*Treinamento*",$Q$22:$Q$140,"&lt;&gt;Cancelada")&gt;0,"Trein. ","")))</f>
        <v>REUNIÃO</v>
      </c>
      <c r="M7" s="47"/>
      <c r="N7" s="47" t="str">
        <f aca="false">IF(N6="","",TRIM(IF(COUNTIFS($C$22:$C$140,N6,$D$22:$D$140,"*Vistoria*",$Q$22:$Q$140,"&lt;&gt;Cancelada")&gt;0,"Vistoria ","")&amp;IF(COUNTIFS($C$22:$C$140,N6,$D$22:$D$140,"*Relatório*",$Q$22:$Q$140,"&lt;&gt;Cancelada")&gt;0,"Relatório ","")&amp;IF(COUNTIFS($C$22:$C$140,N6,$D$22:$D$140,"*Reunião*",$Q$22:$Q$140,"&lt;&gt;Cancelada")&gt;0,"REUNIÃO ","")&amp;IF(COUNTIFS($C$22:$C$140,N6,$D$22:$D$140,"*Férias*",$Q$22:$Q$140,"&lt;&gt;Cancelada")&gt;0,"Férias ","")&amp;IF(COUNTIFS($C$22:$C$140,N6,$D$22:$D$140,"*Mudança*",$Q$22:$Q$140,"&lt;&gt;Cancelada")&gt;0,"M.Função ","")&amp;IF(COUNTIFS($C$22:$C$140,N6,$D$22:$D$140,"*Treinamento*",$Q$22:$Q$140,"&lt;&gt;Cancelada")&gt;0,"Trein. ","")))</f>
        <v/>
      </c>
      <c r="O7" s="47"/>
    </row>
    <row r="8" customFormat="false" ht="15" hidden="false" customHeight="true" outlineLevel="0" collapsed="false">
      <c r="B8" s="46" t="n">
        <f aca="false">IF(MONTH($X$1-WEEKDAY($X$1)+1+7)=MONTH($X$1),$X$1-WEEKDAY($X$1)+1+7,"")</f>
        <v>46299</v>
      </c>
      <c r="C8" s="46"/>
      <c r="D8" s="46" t="n">
        <f aca="false">IF(MONTH($X$1-WEEKDAY($X$1)+1+8)=MONTH($X$1),$X$1-WEEKDAY($X$1)+1+8,"")</f>
        <v>46300</v>
      </c>
      <c r="E8" s="46"/>
      <c r="F8" s="46" t="n">
        <f aca="false">IF(MONTH($X$1-WEEKDAY($X$1)+1+9)=MONTH($X$1),$X$1-WEEKDAY($X$1)+1+9,"")</f>
        <v>46301</v>
      </c>
      <c r="G8" s="46"/>
      <c r="H8" s="46" t="n">
        <f aca="false">IF(MONTH($X$1-WEEKDAY($X$1)+1+10)=MONTH($X$1),$X$1-WEEKDAY($X$1)+1+10,"")</f>
        <v>46302</v>
      </c>
      <c r="I8" s="46"/>
      <c r="J8" s="46" t="n">
        <f aca="false">IF(MONTH($X$1-WEEKDAY($X$1)+1+11)=MONTH($X$1),$X$1-WEEKDAY($X$1)+1+11,"")</f>
        <v>46303</v>
      </c>
      <c r="K8" s="46"/>
      <c r="L8" s="46" t="n">
        <f aca="false">IF(MONTH($X$1-WEEKDAY($X$1)+1+12)=MONTH($X$1),$X$1-WEEKDAY($X$1)+1+12,"")</f>
        <v>46304</v>
      </c>
      <c r="M8" s="46"/>
      <c r="N8" s="46" t="n">
        <f aca="false">IF(MONTH($X$1-WEEKDAY($X$1)+1+13)=MONTH($X$1),$X$1-WEEKDAY($X$1)+1+13,"")</f>
        <v>46305</v>
      </c>
      <c r="O8" s="46"/>
    </row>
    <row r="9" customFormat="false" ht="25.5" hidden="false" customHeight="true" outlineLevel="0" collapsed="false">
      <c r="B9" s="47" t="str">
        <f aca="false">IF(B8="","",TRIM(IF(COUNTIFS($C$22:$C$140,B8,$D$22:$D$140,"*Vistoria*",$Q$22:$Q$140,"&lt;&gt;Cancelada")&gt;0,"Vistoria ","")&amp;IF(COUNTIFS($C$22:$C$140,B8,$D$22:$D$140,"*Relatório*",$Q$22:$Q$140,"&lt;&gt;Cancelada")&gt;0,"Relatório ","")&amp;IF(COUNTIFS($C$22:$C$140,B8,$D$22:$D$140,"*Reunião*",$Q$22:$Q$140,"&lt;&gt;Cancelada")&gt;0,"REUNIÃO ","")&amp;IF(COUNTIFS($C$22:$C$140,B8,$D$22:$D$140,"*Férias*",$Q$22:$Q$140,"&lt;&gt;Cancelada")&gt;0,"Férias ","")&amp;IF(COUNTIFS($C$22:$C$140,B8,$D$22:$D$140,"*Mudança*",$Q$22:$Q$140,"&lt;&gt;Cancelada")&gt;0,"M.Função ","")&amp;IF(COUNTIFS($C$22:$C$140,B8,$D$22:$D$140,"*Treinamento*",$Q$22:$Q$140,"&lt;&gt;Cancelada")&gt;0,"Trein. ","")))</f>
        <v/>
      </c>
      <c r="C9" s="47"/>
      <c r="D9" s="47" t="str">
        <f aca="false">IF(D8="","",TRIM(IF(COUNTIFS($C$22:$C$140,D8,$D$22:$D$140,"*Vistoria*",$Q$22:$Q$140,"&lt;&gt;Cancelada")&gt;0,"Vistoria ","")&amp;IF(COUNTIFS($C$22:$C$140,D8,$D$22:$D$140,"*Relatório*",$Q$22:$Q$140,"&lt;&gt;Cancelada")&gt;0,"Relatório ","")&amp;IF(COUNTIFS($C$22:$C$140,D8,$D$22:$D$140,"*Reunião*",$Q$22:$Q$140,"&lt;&gt;Cancelada")&gt;0,"REUNIÃO ","")&amp;IF(COUNTIFS($C$22:$C$140,D8,$D$22:$D$140,"*Férias*",$Q$22:$Q$140,"&lt;&gt;Cancelada")&gt;0,"Férias ","")&amp;IF(COUNTIFS($C$22:$C$140,D8,$D$22:$D$140,"*Mudança*",$Q$22:$Q$140,"&lt;&gt;Cancelada")&gt;0,"M.Função ","")&amp;IF(COUNTIFS($C$22:$C$140,D8,$D$22:$D$140,"*Treinamento*",$Q$22:$Q$140,"&lt;&gt;Cancelada")&gt;0,"Trein. ","")))</f>
        <v>Férias</v>
      </c>
      <c r="E9" s="47"/>
      <c r="F9" s="47" t="str">
        <f aca="false">IF(F8="","",TRIM(IF(COUNTIFS($C$22:$C$140,F8,$D$22:$D$140,"*Vistoria*",$Q$22:$Q$140,"&lt;&gt;Cancelada")&gt;0,"Vistoria ","")&amp;IF(COUNTIFS($C$22:$C$140,F8,$D$22:$D$140,"*Relatório*",$Q$22:$Q$140,"&lt;&gt;Cancelada")&gt;0,"Relatório ","")&amp;IF(COUNTIFS($C$22:$C$140,F8,$D$22:$D$140,"*Reunião*",$Q$22:$Q$140,"&lt;&gt;Cancelada")&gt;0,"REUNIÃO ","")&amp;IF(COUNTIFS($C$22:$C$140,F8,$D$22:$D$140,"*Férias*",$Q$22:$Q$140,"&lt;&gt;Cancelada")&gt;0,"Férias ","")&amp;IF(COUNTIFS($C$22:$C$140,F8,$D$22:$D$140,"*Mudança*",$Q$22:$Q$140,"&lt;&gt;Cancelada")&gt;0,"M.Função ","")&amp;IF(COUNTIFS($C$22:$C$140,F8,$D$22:$D$140,"*Treinamento*",$Q$22:$Q$140,"&lt;&gt;Cancelada")&gt;0,"Trein. ","")))</f>
        <v/>
      </c>
      <c r="G9" s="47"/>
      <c r="H9" s="47" t="str">
        <f aca="false">IF(H8="","",TRIM(IF(COUNTIFS($C$22:$C$140,H8,$D$22:$D$140,"*Vistoria*",$Q$22:$Q$140,"&lt;&gt;Cancelada")&gt;0,"Vistoria ","")&amp;IF(COUNTIFS($C$22:$C$140,H8,$D$22:$D$140,"*Relatório*",$Q$22:$Q$140,"&lt;&gt;Cancelada")&gt;0,"Relatório ","")&amp;IF(COUNTIFS($C$22:$C$140,H8,$D$22:$D$140,"*Reunião*",$Q$22:$Q$140,"&lt;&gt;Cancelada")&gt;0,"REUNIÃO ","")&amp;IF(COUNTIFS($C$22:$C$140,H8,$D$22:$D$140,"*Férias*",$Q$22:$Q$140,"&lt;&gt;Cancelada")&gt;0,"Férias ","")&amp;IF(COUNTIFS($C$22:$C$140,H8,$D$22:$D$140,"*Mudança*",$Q$22:$Q$140,"&lt;&gt;Cancelada")&gt;0,"M.Função ","")&amp;IF(COUNTIFS($C$22:$C$140,H8,$D$22:$D$140,"*Treinamento*",$Q$22:$Q$140,"&lt;&gt;Cancelada")&gt;0,"Trein. ","")))</f>
        <v>Vistoria</v>
      </c>
      <c r="I9" s="47"/>
      <c r="J9" s="47" t="str">
        <f aca="false">IF(J8="","",TRIM(IF(COUNTIFS($C$22:$C$140,J8,$D$22:$D$140,"*Vistoria*",$Q$22:$Q$140,"&lt;&gt;Cancelada")&gt;0,"Vistoria ","")&amp;IF(COUNTIFS($C$22:$C$140,J8,$D$22:$D$140,"*Relatório*",$Q$22:$Q$140,"&lt;&gt;Cancelada")&gt;0,"Relatório ","")&amp;IF(COUNTIFS($C$22:$C$140,J8,$D$22:$D$140,"*Reunião*",$Q$22:$Q$140,"&lt;&gt;Cancelada")&gt;0,"REUNIÃO ","")&amp;IF(COUNTIFS($C$22:$C$140,J8,$D$22:$D$140,"*Férias*",$Q$22:$Q$140,"&lt;&gt;Cancelada")&gt;0,"Férias ","")&amp;IF(COUNTIFS($C$22:$C$140,J8,$D$22:$D$140,"*Mudança*",$Q$22:$Q$140,"&lt;&gt;Cancelada")&gt;0,"M.Função ","")&amp;IF(COUNTIFS($C$22:$C$140,J8,$D$22:$D$140,"*Treinamento*",$Q$22:$Q$140,"&lt;&gt;Cancelada")&gt;0,"Trein. ","")))</f>
        <v>Relatório</v>
      </c>
      <c r="K9" s="47"/>
      <c r="L9" s="47" t="str">
        <f aca="false">IF(L8="","",TRIM(IF(COUNTIFS($C$22:$C$140,L8,$D$22:$D$140,"*Vistoria*",$Q$22:$Q$140,"&lt;&gt;Cancelada")&gt;0,"Vistoria ","")&amp;IF(COUNTIFS($C$22:$C$140,L8,$D$22:$D$140,"*Relatório*",$Q$22:$Q$140,"&lt;&gt;Cancelada")&gt;0,"Relatório ","")&amp;IF(COUNTIFS($C$22:$C$140,L8,$D$22:$D$140,"*Reunião*",$Q$22:$Q$140,"&lt;&gt;Cancelada")&gt;0,"REUNIÃO ","")&amp;IF(COUNTIFS($C$22:$C$140,L8,$D$22:$D$140,"*Férias*",$Q$22:$Q$140,"&lt;&gt;Cancelada")&gt;0,"Férias ","")&amp;IF(COUNTIFS($C$22:$C$140,L8,$D$22:$D$140,"*Mudança*",$Q$22:$Q$140,"&lt;&gt;Cancelada")&gt;0,"M.Função ","")&amp;IF(COUNTIFS($C$22:$C$140,L8,$D$22:$D$140,"*Treinamento*",$Q$22:$Q$140,"&lt;&gt;Cancelada")&gt;0,"Trein. ","")))</f>
        <v>REUNIÃO</v>
      </c>
      <c r="M9" s="47"/>
      <c r="N9" s="47" t="str">
        <f aca="false">IF(N8="","",TRIM(IF(COUNTIFS($C$22:$C$140,N8,$D$22:$D$140,"*Vistoria*",$Q$22:$Q$140,"&lt;&gt;Cancelada")&gt;0,"Vistoria ","")&amp;IF(COUNTIFS($C$22:$C$140,N8,$D$22:$D$140,"*Relatório*",$Q$22:$Q$140,"&lt;&gt;Cancelada")&gt;0,"Relatório ","")&amp;IF(COUNTIFS($C$22:$C$140,N8,$D$22:$D$140,"*Reunião*",$Q$22:$Q$140,"&lt;&gt;Cancelada")&gt;0,"REUNIÃO ","")&amp;IF(COUNTIFS($C$22:$C$140,N8,$D$22:$D$140,"*Férias*",$Q$22:$Q$140,"&lt;&gt;Cancelada")&gt;0,"Férias ","")&amp;IF(COUNTIFS($C$22:$C$140,N8,$D$22:$D$140,"*Mudança*",$Q$22:$Q$140,"&lt;&gt;Cancelada")&gt;0,"M.Função ","")&amp;IF(COUNTIFS($C$22:$C$140,N8,$D$22:$D$140,"*Treinamento*",$Q$22:$Q$140,"&lt;&gt;Cancelada")&gt;0,"Trein. ","")))</f>
        <v/>
      </c>
      <c r="O9" s="47"/>
    </row>
    <row r="10" customFormat="false" ht="15" hidden="false" customHeight="true" outlineLevel="0" collapsed="false">
      <c r="B10" s="46" t="n">
        <f aca="false">IF(MONTH($X$1-WEEKDAY($X$1)+1+14)=MONTH($X$1),$X$1-WEEKDAY($X$1)+1+14,"")</f>
        <v>46306</v>
      </c>
      <c r="C10" s="46"/>
      <c r="D10" s="46" t="n">
        <f aca="false">IF(MONTH($X$1-WEEKDAY($X$1)+1+15)=MONTH($X$1),$X$1-WEEKDAY($X$1)+1+15,"")</f>
        <v>46307</v>
      </c>
      <c r="E10" s="46"/>
      <c r="F10" s="46" t="n">
        <f aca="false">IF(MONTH($X$1-WEEKDAY($X$1)+1+16)=MONTH($X$1),$X$1-WEEKDAY($X$1)+1+16,"")</f>
        <v>46308</v>
      </c>
      <c r="G10" s="46"/>
      <c r="H10" s="46" t="n">
        <f aca="false">IF(MONTH($X$1-WEEKDAY($X$1)+1+17)=MONTH($X$1),$X$1-WEEKDAY($X$1)+1+17,"")</f>
        <v>46309</v>
      </c>
      <c r="I10" s="46"/>
      <c r="J10" s="46" t="n">
        <f aca="false">IF(MONTH($X$1-WEEKDAY($X$1)+1+18)=MONTH($X$1),$X$1-WEEKDAY($X$1)+1+18,"")</f>
        <v>46310</v>
      </c>
      <c r="K10" s="46"/>
      <c r="L10" s="46" t="n">
        <f aca="false">IF(MONTH($X$1-WEEKDAY($X$1)+1+19)=MONTH($X$1),$X$1-WEEKDAY($X$1)+1+19,"")</f>
        <v>46311</v>
      </c>
      <c r="M10" s="46"/>
      <c r="N10" s="46" t="n">
        <f aca="false">IF(MONTH($X$1-WEEKDAY($X$1)+1+20)=MONTH($X$1),$X$1-WEEKDAY($X$1)+1+20,"")</f>
        <v>46312</v>
      </c>
      <c r="O10" s="46"/>
    </row>
    <row r="11" customFormat="false" ht="25.5" hidden="false" customHeight="true" outlineLevel="0" collapsed="false">
      <c r="B11" s="47" t="str">
        <f aca="false">IF(B10="","",TRIM(IF(COUNTIFS($C$22:$C$140,B10,$D$22:$D$140,"*Vistoria*",$Q$22:$Q$140,"&lt;&gt;Cancelada")&gt;0,"Vistoria ","")&amp;IF(COUNTIFS($C$22:$C$140,B10,$D$22:$D$140,"*Relatório*",$Q$22:$Q$140,"&lt;&gt;Cancelada")&gt;0,"Relatório ","")&amp;IF(COUNTIFS($C$22:$C$140,B10,$D$22:$D$140,"*Reunião*",$Q$22:$Q$140,"&lt;&gt;Cancelada")&gt;0,"REUNIÃO ","")&amp;IF(COUNTIFS($C$22:$C$140,B10,$D$22:$D$140,"*Férias*",$Q$22:$Q$140,"&lt;&gt;Cancelada")&gt;0,"Férias ","")&amp;IF(COUNTIFS($C$22:$C$140,B10,$D$22:$D$140,"*Mudança*",$Q$22:$Q$140,"&lt;&gt;Cancelada")&gt;0,"M.Função ","")&amp;IF(COUNTIFS($C$22:$C$140,B10,$D$22:$D$140,"*Treinamento*",$Q$22:$Q$140,"&lt;&gt;Cancelada")&gt;0,"Trein. ","")))</f>
        <v/>
      </c>
      <c r="C11" s="47"/>
      <c r="D11" s="47" t="str">
        <f aca="false">IF(D10="","",TRIM(IF(COUNTIFS($C$22:$C$140,D10,$D$22:$D$140,"*Vistoria*",$Q$22:$Q$140,"&lt;&gt;Cancelada")&gt;0,"Vistoria ","")&amp;IF(COUNTIFS($C$22:$C$140,D10,$D$22:$D$140,"*Relatório*",$Q$22:$Q$140,"&lt;&gt;Cancelada")&gt;0,"Relatório ","")&amp;IF(COUNTIFS($C$22:$C$140,D10,$D$22:$D$140,"*Reunião*",$Q$22:$Q$140,"&lt;&gt;Cancelada")&gt;0,"REUNIÃO ","")&amp;IF(COUNTIFS($C$22:$C$140,D10,$D$22:$D$140,"*Férias*",$Q$22:$Q$140,"&lt;&gt;Cancelada")&gt;0,"Férias ","")&amp;IF(COUNTIFS($C$22:$C$140,D10,$D$22:$D$140,"*Mudança*",$Q$22:$Q$140,"&lt;&gt;Cancelada")&gt;0,"M.Função ","")&amp;IF(COUNTIFS($C$22:$C$140,D10,$D$22:$D$140,"*Treinamento*",$Q$22:$Q$140,"&lt;&gt;Cancelada")&gt;0,"Trein. ","")))</f>
        <v/>
      </c>
      <c r="E11" s="47"/>
      <c r="F11" s="47" t="str">
        <f aca="false">IF(F10="","",TRIM(IF(COUNTIFS($C$22:$C$140,F10,$D$22:$D$140,"*Vistoria*",$Q$22:$Q$140,"&lt;&gt;Cancelada")&gt;0,"Vistoria ","")&amp;IF(COUNTIFS($C$22:$C$140,F10,$D$22:$D$140,"*Relatório*",$Q$22:$Q$140,"&lt;&gt;Cancelada")&gt;0,"Relatório ","")&amp;IF(COUNTIFS($C$22:$C$140,F10,$D$22:$D$140,"*Reunião*",$Q$22:$Q$140,"&lt;&gt;Cancelada")&gt;0,"REUNIÃO ","")&amp;IF(COUNTIFS($C$22:$C$140,F10,$D$22:$D$140,"*Férias*",$Q$22:$Q$140,"&lt;&gt;Cancelada")&gt;0,"Férias ","")&amp;IF(COUNTIFS($C$22:$C$140,F10,$D$22:$D$140,"*Mudança*",$Q$22:$Q$140,"&lt;&gt;Cancelada")&gt;0,"M.Função ","")&amp;IF(COUNTIFS($C$22:$C$140,F10,$D$22:$D$140,"*Treinamento*",$Q$22:$Q$140,"&lt;&gt;Cancelada")&gt;0,"Trein. ","")))</f>
        <v/>
      </c>
      <c r="G11" s="47"/>
      <c r="H11" s="47" t="str">
        <f aca="false">IF(H10="","",TRIM(IF(COUNTIFS($C$22:$C$140,H10,$D$22:$D$140,"*Vistoria*",$Q$22:$Q$140,"&lt;&gt;Cancelada")&gt;0,"Vistoria ","")&amp;IF(COUNTIFS($C$22:$C$140,H10,$D$22:$D$140,"*Relatório*",$Q$22:$Q$140,"&lt;&gt;Cancelada")&gt;0,"Relatório ","")&amp;IF(COUNTIFS($C$22:$C$140,H10,$D$22:$D$140,"*Reunião*",$Q$22:$Q$140,"&lt;&gt;Cancelada")&gt;0,"REUNIÃO ","")&amp;IF(COUNTIFS($C$22:$C$140,H10,$D$22:$D$140,"*Férias*",$Q$22:$Q$140,"&lt;&gt;Cancelada")&gt;0,"Férias ","")&amp;IF(COUNTIFS($C$22:$C$140,H10,$D$22:$D$140,"*Mudança*",$Q$22:$Q$140,"&lt;&gt;Cancelada")&gt;0,"M.Função ","")&amp;IF(COUNTIFS($C$22:$C$140,H10,$D$22:$D$140,"*Treinamento*",$Q$22:$Q$140,"&lt;&gt;Cancelada")&gt;0,"Trein. ","")))</f>
        <v>Vistoria</v>
      </c>
      <c r="I11" s="47"/>
      <c r="J11" s="47" t="str">
        <f aca="false">IF(J10="","",TRIM(IF(COUNTIFS($C$22:$C$140,J10,$D$22:$D$140,"*Vistoria*",$Q$22:$Q$140,"&lt;&gt;Cancelada")&gt;0,"Vistoria ","")&amp;IF(COUNTIFS($C$22:$C$140,J10,$D$22:$D$140,"*Relatório*",$Q$22:$Q$140,"&lt;&gt;Cancelada")&gt;0,"Relatório ","")&amp;IF(COUNTIFS($C$22:$C$140,J10,$D$22:$D$140,"*Reunião*",$Q$22:$Q$140,"&lt;&gt;Cancelada")&gt;0,"REUNIÃO ","")&amp;IF(COUNTIFS($C$22:$C$140,J10,$D$22:$D$140,"*Férias*",$Q$22:$Q$140,"&lt;&gt;Cancelada")&gt;0,"Férias ","")&amp;IF(COUNTIFS($C$22:$C$140,J10,$D$22:$D$140,"*Mudança*",$Q$22:$Q$140,"&lt;&gt;Cancelada")&gt;0,"M.Função ","")&amp;IF(COUNTIFS($C$22:$C$140,J10,$D$22:$D$140,"*Treinamento*",$Q$22:$Q$140,"&lt;&gt;Cancelada")&gt;0,"Trein. ","")))</f>
        <v>Relatório</v>
      </c>
      <c r="K11" s="47"/>
      <c r="L11" s="47" t="str">
        <f aca="false">IF(L10="","",TRIM(IF(COUNTIFS($C$22:$C$140,L10,$D$22:$D$140,"*Vistoria*",$Q$22:$Q$140,"&lt;&gt;Cancelada")&gt;0,"Vistoria ","")&amp;IF(COUNTIFS($C$22:$C$140,L10,$D$22:$D$140,"*Relatório*",$Q$22:$Q$140,"&lt;&gt;Cancelada")&gt;0,"Relatório ","")&amp;IF(COUNTIFS($C$22:$C$140,L10,$D$22:$D$140,"*Reunião*",$Q$22:$Q$140,"&lt;&gt;Cancelada")&gt;0,"REUNIÃO ","")&amp;IF(COUNTIFS($C$22:$C$140,L10,$D$22:$D$140,"*Férias*",$Q$22:$Q$140,"&lt;&gt;Cancelada")&gt;0,"Férias ","")&amp;IF(COUNTIFS($C$22:$C$140,L10,$D$22:$D$140,"*Mudança*",$Q$22:$Q$140,"&lt;&gt;Cancelada")&gt;0,"M.Função ","")&amp;IF(COUNTIFS($C$22:$C$140,L10,$D$22:$D$140,"*Treinamento*",$Q$22:$Q$140,"&lt;&gt;Cancelada")&gt;0,"Trein. ","")))</f>
        <v>REUNIÃO</v>
      </c>
      <c r="M11" s="47"/>
      <c r="N11" s="47" t="str">
        <f aca="false">IF(N10="","",TRIM(IF(COUNTIFS($C$22:$C$140,N10,$D$22:$D$140,"*Vistoria*",$Q$22:$Q$140,"&lt;&gt;Cancelada")&gt;0,"Vistoria ","")&amp;IF(COUNTIFS($C$22:$C$140,N10,$D$22:$D$140,"*Relatório*",$Q$22:$Q$140,"&lt;&gt;Cancelada")&gt;0,"Relatório ","")&amp;IF(COUNTIFS($C$22:$C$140,N10,$D$22:$D$140,"*Reunião*",$Q$22:$Q$140,"&lt;&gt;Cancelada")&gt;0,"REUNIÃO ","")&amp;IF(COUNTIFS($C$22:$C$140,N10,$D$22:$D$140,"*Férias*",$Q$22:$Q$140,"&lt;&gt;Cancelada")&gt;0,"Férias ","")&amp;IF(COUNTIFS($C$22:$C$140,N10,$D$22:$D$140,"*Mudança*",$Q$22:$Q$140,"&lt;&gt;Cancelada")&gt;0,"M.Função ","")&amp;IF(COUNTIFS($C$22:$C$140,N10,$D$22:$D$140,"*Treinamento*",$Q$22:$Q$140,"&lt;&gt;Cancelada")&gt;0,"Trein. ","")))</f>
        <v/>
      </c>
      <c r="O11" s="47"/>
    </row>
    <row r="12" customFormat="false" ht="15" hidden="false" customHeight="true" outlineLevel="0" collapsed="false">
      <c r="B12" s="46" t="n">
        <f aca="false">IF(MONTH($X$1-WEEKDAY($X$1)+1+21)=MONTH($X$1),$X$1-WEEKDAY($X$1)+1+21,"")</f>
        <v>46313</v>
      </c>
      <c r="C12" s="46"/>
      <c r="D12" s="46" t="n">
        <f aca="false">IF(MONTH($X$1-WEEKDAY($X$1)+1+22)=MONTH($X$1),$X$1-WEEKDAY($X$1)+1+22,"")</f>
        <v>46314</v>
      </c>
      <c r="E12" s="46"/>
      <c r="F12" s="46" t="n">
        <f aca="false">IF(MONTH($X$1-WEEKDAY($X$1)+1+23)=MONTH($X$1),$X$1-WEEKDAY($X$1)+1+23,"")</f>
        <v>46315</v>
      </c>
      <c r="G12" s="46"/>
      <c r="H12" s="46" t="n">
        <f aca="false">IF(MONTH($X$1-WEEKDAY($X$1)+1+24)=MONTH($X$1),$X$1-WEEKDAY($X$1)+1+24,"")</f>
        <v>46316</v>
      </c>
      <c r="I12" s="46"/>
      <c r="J12" s="46" t="n">
        <f aca="false">IF(MONTH($X$1-WEEKDAY($X$1)+1+25)=MONTH($X$1),$X$1-WEEKDAY($X$1)+1+25,"")</f>
        <v>46317</v>
      </c>
      <c r="K12" s="46"/>
      <c r="L12" s="46" t="n">
        <f aca="false">IF(MONTH($X$1-WEEKDAY($X$1)+1+26)=MONTH($X$1),$X$1-WEEKDAY($X$1)+1+26,"")</f>
        <v>46318</v>
      </c>
      <c r="M12" s="46"/>
      <c r="N12" s="46" t="n">
        <f aca="false">IF(MONTH($X$1-WEEKDAY($X$1)+1+27)=MONTH($X$1),$X$1-WEEKDAY($X$1)+1+27,"")</f>
        <v>46319</v>
      </c>
      <c r="O12" s="46"/>
    </row>
    <row r="13" customFormat="false" ht="25.5" hidden="false" customHeight="true" outlineLevel="0" collapsed="false">
      <c r="B13" s="47" t="str">
        <f aca="false">IF(B12="","",TRIM(IF(COUNTIFS($C$22:$C$140,B12,$D$22:$D$140,"*Vistoria*",$Q$22:$Q$140,"&lt;&gt;Cancelada")&gt;0,"Vistoria ","")&amp;IF(COUNTIFS($C$22:$C$140,B12,$D$22:$D$140,"*Relatório*",$Q$22:$Q$140,"&lt;&gt;Cancelada")&gt;0,"Relatório ","")&amp;IF(COUNTIFS($C$22:$C$140,B12,$D$22:$D$140,"*Reunião*",$Q$22:$Q$140,"&lt;&gt;Cancelada")&gt;0,"REUNIÃO ","")&amp;IF(COUNTIFS($C$22:$C$140,B12,$D$22:$D$140,"*Férias*",$Q$22:$Q$140,"&lt;&gt;Cancelada")&gt;0,"Férias ","")&amp;IF(COUNTIFS($C$22:$C$140,B12,$D$22:$D$140,"*Mudança*",$Q$22:$Q$140,"&lt;&gt;Cancelada")&gt;0,"M.Função ","")&amp;IF(COUNTIFS($C$22:$C$140,B12,$D$22:$D$140,"*Treinamento*",$Q$22:$Q$140,"&lt;&gt;Cancelada")&gt;0,"Trein. ","")))</f>
        <v/>
      </c>
      <c r="C13" s="47"/>
      <c r="D13" s="47" t="str">
        <f aca="false">IF(D12="","",TRIM(IF(COUNTIFS($C$22:$C$140,D12,$D$22:$D$140,"*Vistoria*",$Q$22:$Q$140,"&lt;&gt;Cancelada")&gt;0,"Vistoria ","")&amp;IF(COUNTIFS($C$22:$C$140,D12,$D$22:$D$140,"*Relatório*",$Q$22:$Q$140,"&lt;&gt;Cancelada")&gt;0,"Relatório ","")&amp;IF(COUNTIFS($C$22:$C$140,D12,$D$22:$D$140,"*Reunião*",$Q$22:$Q$140,"&lt;&gt;Cancelada")&gt;0,"REUNIÃO ","")&amp;IF(COUNTIFS($C$22:$C$140,D12,$D$22:$D$140,"*Férias*",$Q$22:$Q$140,"&lt;&gt;Cancelada")&gt;0,"Férias ","")&amp;IF(COUNTIFS($C$22:$C$140,D12,$D$22:$D$140,"*Mudança*",$Q$22:$Q$140,"&lt;&gt;Cancelada")&gt;0,"M.Função ","")&amp;IF(COUNTIFS($C$22:$C$140,D12,$D$22:$D$140,"*Treinamento*",$Q$22:$Q$140,"&lt;&gt;Cancelada")&gt;0,"Trein. ","")))</f>
        <v/>
      </c>
      <c r="E13" s="47"/>
      <c r="F13" s="47" t="str">
        <f aca="false">IF(F12="","",TRIM(IF(COUNTIFS($C$22:$C$140,F12,$D$22:$D$140,"*Vistoria*",$Q$22:$Q$140,"&lt;&gt;Cancelada")&gt;0,"Vistoria ","")&amp;IF(COUNTIFS($C$22:$C$140,F12,$D$22:$D$140,"*Relatório*",$Q$22:$Q$140,"&lt;&gt;Cancelada")&gt;0,"Relatório ","")&amp;IF(COUNTIFS($C$22:$C$140,F12,$D$22:$D$140,"*Reunião*",$Q$22:$Q$140,"&lt;&gt;Cancelada")&gt;0,"REUNIÃO ","")&amp;IF(COUNTIFS($C$22:$C$140,F12,$D$22:$D$140,"*Férias*",$Q$22:$Q$140,"&lt;&gt;Cancelada")&gt;0,"Férias ","")&amp;IF(COUNTIFS($C$22:$C$140,F12,$D$22:$D$140,"*Mudança*",$Q$22:$Q$140,"&lt;&gt;Cancelada")&gt;0,"M.Função ","")&amp;IF(COUNTIFS($C$22:$C$140,F12,$D$22:$D$140,"*Treinamento*",$Q$22:$Q$140,"&lt;&gt;Cancelada")&gt;0,"Trein. ","")))</f>
        <v/>
      </c>
      <c r="G13" s="47"/>
      <c r="H13" s="47" t="str">
        <f aca="false">IF(H12="","",TRIM(IF(COUNTIFS($C$22:$C$140,H12,$D$22:$D$140,"*Vistoria*",$Q$22:$Q$140,"&lt;&gt;Cancelada")&gt;0,"Vistoria ","")&amp;IF(COUNTIFS($C$22:$C$140,H12,$D$22:$D$140,"*Relatório*",$Q$22:$Q$140,"&lt;&gt;Cancelada")&gt;0,"Relatório ","")&amp;IF(COUNTIFS($C$22:$C$140,H12,$D$22:$D$140,"*Reunião*",$Q$22:$Q$140,"&lt;&gt;Cancelada")&gt;0,"REUNIÃO ","")&amp;IF(COUNTIFS($C$22:$C$140,H12,$D$22:$D$140,"*Férias*",$Q$22:$Q$140,"&lt;&gt;Cancelada")&gt;0,"Férias ","")&amp;IF(COUNTIFS($C$22:$C$140,H12,$D$22:$D$140,"*Mudança*",$Q$22:$Q$140,"&lt;&gt;Cancelada")&gt;0,"M.Função ","")&amp;IF(COUNTIFS($C$22:$C$140,H12,$D$22:$D$140,"*Treinamento*",$Q$22:$Q$140,"&lt;&gt;Cancelada")&gt;0,"Trein. ","")))</f>
        <v>Vistoria</v>
      </c>
      <c r="I13" s="47"/>
      <c r="J13" s="47" t="str">
        <f aca="false">IF(J12="","",TRIM(IF(COUNTIFS($C$22:$C$140,J12,$D$22:$D$140,"*Vistoria*",$Q$22:$Q$140,"&lt;&gt;Cancelada")&gt;0,"Vistoria ","")&amp;IF(COUNTIFS($C$22:$C$140,J12,$D$22:$D$140,"*Relatório*",$Q$22:$Q$140,"&lt;&gt;Cancelada")&gt;0,"Relatório ","")&amp;IF(COUNTIFS($C$22:$C$140,J12,$D$22:$D$140,"*Reunião*",$Q$22:$Q$140,"&lt;&gt;Cancelada")&gt;0,"REUNIÃO ","")&amp;IF(COUNTIFS($C$22:$C$140,J12,$D$22:$D$140,"*Férias*",$Q$22:$Q$140,"&lt;&gt;Cancelada")&gt;0,"Férias ","")&amp;IF(COUNTIFS($C$22:$C$140,J12,$D$22:$D$140,"*Mudança*",$Q$22:$Q$140,"&lt;&gt;Cancelada")&gt;0,"M.Função ","")&amp;IF(COUNTIFS($C$22:$C$140,J12,$D$22:$D$140,"*Treinamento*",$Q$22:$Q$140,"&lt;&gt;Cancelada")&gt;0,"Trein. ","")))</f>
        <v>Relatório</v>
      </c>
      <c r="K13" s="47"/>
      <c r="L13" s="47" t="str">
        <f aca="false">IF(L12="","",TRIM(IF(COUNTIFS($C$22:$C$140,L12,$D$22:$D$140,"*Vistoria*",$Q$22:$Q$140,"&lt;&gt;Cancelada")&gt;0,"Vistoria ","")&amp;IF(COUNTIFS($C$22:$C$140,L12,$D$22:$D$140,"*Relatório*",$Q$22:$Q$140,"&lt;&gt;Cancelada")&gt;0,"Relatório ","")&amp;IF(COUNTIFS($C$22:$C$140,L12,$D$22:$D$140,"*Reunião*",$Q$22:$Q$140,"&lt;&gt;Cancelada")&gt;0,"REUNIÃO ","")&amp;IF(COUNTIFS($C$22:$C$140,L12,$D$22:$D$140,"*Férias*",$Q$22:$Q$140,"&lt;&gt;Cancelada")&gt;0,"Férias ","")&amp;IF(COUNTIFS($C$22:$C$140,L12,$D$22:$D$140,"*Mudança*",$Q$22:$Q$140,"&lt;&gt;Cancelada")&gt;0,"M.Função ","")&amp;IF(COUNTIFS($C$22:$C$140,L12,$D$22:$D$140,"*Treinamento*",$Q$22:$Q$140,"&lt;&gt;Cancelada")&gt;0,"Trein. ","")))</f>
        <v>REUNIÃO</v>
      </c>
      <c r="M13" s="47"/>
      <c r="N13" s="47" t="str">
        <f aca="false">IF(N12="","",TRIM(IF(COUNTIFS($C$22:$C$140,N12,$D$22:$D$140,"*Vistoria*",$Q$22:$Q$140,"&lt;&gt;Cancelada")&gt;0,"Vistoria ","")&amp;IF(COUNTIFS($C$22:$C$140,N12,$D$22:$D$140,"*Relatório*",$Q$22:$Q$140,"&lt;&gt;Cancelada")&gt;0,"Relatório ","")&amp;IF(COUNTIFS($C$22:$C$140,N12,$D$22:$D$140,"*Reunião*",$Q$22:$Q$140,"&lt;&gt;Cancelada")&gt;0,"REUNIÃO ","")&amp;IF(COUNTIFS($C$22:$C$140,N12,$D$22:$D$140,"*Férias*",$Q$22:$Q$140,"&lt;&gt;Cancelada")&gt;0,"Férias ","")&amp;IF(COUNTIFS($C$22:$C$140,N12,$D$22:$D$140,"*Mudança*",$Q$22:$Q$140,"&lt;&gt;Cancelada")&gt;0,"M.Função ","")&amp;IF(COUNTIFS($C$22:$C$140,N12,$D$22:$D$140,"*Treinamento*",$Q$22:$Q$140,"&lt;&gt;Cancelada")&gt;0,"Trein. ","")))</f>
        <v/>
      </c>
      <c r="O13" s="47"/>
    </row>
    <row r="14" customFormat="false" ht="15" hidden="false" customHeight="true" outlineLevel="0" collapsed="false">
      <c r="B14" s="46" t="n">
        <f aca="false">IF(MONTH($X$1-WEEKDAY($X$1)+1+28)=MONTH($X$1),$X$1-WEEKDAY($X$1)+1+28,"")</f>
        <v>46320</v>
      </c>
      <c r="C14" s="46"/>
      <c r="D14" s="46" t="n">
        <f aca="false">IF(MONTH($X$1-WEEKDAY($X$1)+1+29)=MONTH($X$1),$X$1-WEEKDAY($X$1)+1+29,"")</f>
        <v>46321</v>
      </c>
      <c r="E14" s="46"/>
      <c r="F14" s="46" t="n">
        <f aca="false">IF(MONTH($X$1-WEEKDAY($X$1)+1+30)=MONTH($X$1),$X$1-WEEKDAY($X$1)+1+30,"")</f>
        <v>46322</v>
      </c>
      <c r="G14" s="46"/>
      <c r="H14" s="46" t="n">
        <f aca="false">IF(MONTH($X$1-WEEKDAY($X$1)+1+31)=MONTH($X$1),$X$1-WEEKDAY($X$1)+1+31,"")</f>
        <v>46323</v>
      </c>
      <c r="I14" s="46"/>
      <c r="J14" s="46" t="n">
        <f aca="false">IF(MONTH($X$1-WEEKDAY($X$1)+1+32)=MONTH($X$1),$X$1-WEEKDAY($X$1)+1+32,"")</f>
        <v>46324</v>
      </c>
      <c r="K14" s="46"/>
      <c r="L14" s="46" t="n">
        <f aca="false">IF(MONTH($X$1-WEEKDAY($X$1)+1+33)=MONTH($X$1),$X$1-WEEKDAY($X$1)+1+33,"")</f>
        <v>46325</v>
      </c>
      <c r="M14" s="46"/>
      <c r="N14" s="46" t="n">
        <f aca="false">IF(MONTH($X$1-WEEKDAY($X$1)+1+34)=MONTH($X$1),$X$1-WEEKDAY($X$1)+1+34,"")</f>
        <v>46326</v>
      </c>
      <c r="O14" s="46"/>
    </row>
    <row r="15" customFormat="false" ht="25.5" hidden="false" customHeight="true" outlineLevel="0" collapsed="false">
      <c r="B15" s="47" t="str">
        <f aca="false">IF(B14="","",TRIM(IF(COUNTIFS($C$22:$C$140,B14,$D$22:$D$140,"*Vistoria*",$Q$22:$Q$140,"&lt;&gt;Cancelada")&gt;0,"Vistoria ","")&amp;IF(COUNTIFS($C$22:$C$140,B14,$D$22:$D$140,"*Relatório*",$Q$22:$Q$140,"&lt;&gt;Cancelada")&gt;0,"Relatório ","")&amp;IF(COUNTIFS($C$22:$C$140,B14,$D$22:$D$140,"*Reunião*",$Q$22:$Q$140,"&lt;&gt;Cancelada")&gt;0,"REUNIÃO ","")&amp;IF(COUNTIFS($C$22:$C$140,B14,$D$22:$D$140,"*Férias*",$Q$22:$Q$140,"&lt;&gt;Cancelada")&gt;0,"Férias ","")&amp;IF(COUNTIFS($C$22:$C$140,B14,$D$22:$D$140,"*Mudança*",$Q$22:$Q$140,"&lt;&gt;Cancelada")&gt;0,"M.Função ","")&amp;IF(COUNTIFS($C$22:$C$140,B14,$D$22:$D$140,"*Treinamento*",$Q$22:$Q$140,"&lt;&gt;Cancelada")&gt;0,"Trein. ","")))</f>
        <v/>
      </c>
      <c r="C15" s="47"/>
      <c r="D15" s="47" t="str">
        <f aca="false">IF(D14="","",TRIM(IF(COUNTIFS($C$22:$C$140,D14,$D$22:$D$140,"*Vistoria*",$Q$22:$Q$140,"&lt;&gt;Cancelada")&gt;0,"Vistoria ","")&amp;IF(COUNTIFS($C$22:$C$140,D14,$D$22:$D$140,"*Relatório*",$Q$22:$Q$140,"&lt;&gt;Cancelada")&gt;0,"Relatório ","")&amp;IF(COUNTIFS($C$22:$C$140,D14,$D$22:$D$140,"*Reunião*",$Q$22:$Q$140,"&lt;&gt;Cancelada")&gt;0,"REUNIÃO ","")&amp;IF(COUNTIFS($C$22:$C$140,D14,$D$22:$D$140,"*Férias*",$Q$22:$Q$140,"&lt;&gt;Cancelada")&gt;0,"Férias ","")&amp;IF(COUNTIFS($C$22:$C$140,D14,$D$22:$D$140,"*Mudança*",$Q$22:$Q$140,"&lt;&gt;Cancelada")&gt;0,"M.Função ","")&amp;IF(COUNTIFS($C$22:$C$140,D14,$D$22:$D$140,"*Treinamento*",$Q$22:$Q$140,"&lt;&gt;Cancelada")&gt;0,"Trein. ","")))</f>
        <v/>
      </c>
      <c r="E15" s="47"/>
      <c r="F15" s="47" t="str">
        <f aca="false">IF(F14="","",TRIM(IF(COUNTIFS($C$22:$C$140,F14,$D$22:$D$140,"*Vistoria*",$Q$22:$Q$140,"&lt;&gt;Cancelada")&gt;0,"Vistoria ","")&amp;IF(COUNTIFS($C$22:$C$140,F14,$D$22:$D$140,"*Relatório*",$Q$22:$Q$140,"&lt;&gt;Cancelada")&gt;0,"Relatório ","")&amp;IF(COUNTIFS($C$22:$C$140,F14,$D$22:$D$140,"*Reunião*",$Q$22:$Q$140,"&lt;&gt;Cancelada")&gt;0,"REUNIÃO ","")&amp;IF(COUNTIFS($C$22:$C$140,F14,$D$22:$D$140,"*Férias*",$Q$22:$Q$140,"&lt;&gt;Cancelada")&gt;0,"Férias ","")&amp;IF(COUNTIFS($C$22:$C$140,F14,$D$22:$D$140,"*Mudança*",$Q$22:$Q$140,"&lt;&gt;Cancelada")&gt;0,"M.Função ","")&amp;IF(COUNTIFS($C$22:$C$140,F14,$D$22:$D$140,"*Treinamento*",$Q$22:$Q$140,"&lt;&gt;Cancelada")&gt;0,"Trein. ","")))</f>
        <v/>
      </c>
      <c r="G15" s="47"/>
      <c r="H15" s="47" t="str">
        <f aca="false">IF(H14="","",TRIM(IF(COUNTIFS($C$22:$C$140,H14,$D$22:$D$140,"*Vistoria*",$Q$22:$Q$140,"&lt;&gt;Cancelada")&gt;0,"Vistoria ","")&amp;IF(COUNTIFS($C$22:$C$140,H14,$D$22:$D$140,"*Relatório*",$Q$22:$Q$140,"&lt;&gt;Cancelada")&gt;0,"Relatório ","")&amp;IF(COUNTIFS($C$22:$C$140,H14,$D$22:$D$140,"*Reunião*",$Q$22:$Q$140,"&lt;&gt;Cancelada")&gt;0,"REUNIÃO ","")&amp;IF(COUNTIFS($C$22:$C$140,H14,$D$22:$D$140,"*Férias*",$Q$22:$Q$140,"&lt;&gt;Cancelada")&gt;0,"Férias ","")&amp;IF(COUNTIFS($C$22:$C$140,H14,$D$22:$D$140,"*Mudança*",$Q$22:$Q$140,"&lt;&gt;Cancelada")&gt;0,"M.Função ","")&amp;IF(COUNTIFS($C$22:$C$140,H14,$D$22:$D$140,"*Treinamento*",$Q$22:$Q$140,"&lt;&gt;Cancelada")&gt;0,"Trein. ","")))</f>
        <v>Vistoria</v>
      </c>
      <c r="I15" s="47"/>
      <c r="J15" s="47" t="str">
        <f aca="false">IF(J14="","",TRIM(IF(COUNTIFS($C$22:$C$140,J14,$D$22:$D$140,"*Vistoria*",$Q$22:$Q$140,"&lt;&gt;Cancelada")&gt;0,"Vistoria ","")&amp;IF(COUNTIFS($C$22:$C$140,J14,$D$22:$D$140,"*Relatório*",$Q$22:$Q$140,"&lt;&gt;Cancelada")&gt;0,"Relatório ","")&amp;IF(COUNTIFS($C$22:$C$140,J14,$D$22:$D$140,"*Reunião*",$Q$22:$Q$140,"&lt;&gt;Cancelada")&gt;0,"REUNIÃO ","")&amp;IF(COUNTIFS($C$22:$C$140,J14,$D$22:$D$140,"*Férias*",$Q$22:$Q$140,"&lt;&gt;Cancelada")&gt;0,"Férias ","")&amp;IF(COUNTIFS($C$22:$C$140,J14,$D$22:$D$140,"*Mudança*",$Q$22:$Q$140,"&lt;&gt;Cancelada")&gt;0,"M.Função ","")&amp;IF(COUNTIFS($C$22:$C$140,J14,$D$22:$D$140,"*Treinamento*",$Q$22:$Q$140,"&lt;&gt;Cancelada")&gt;0,"Trein. ","")))</f>
        <v>Relatório</v>
      </c>
      <c r="K15" s="47"/>
      <c r="L15" s="47" t="str">
        <f aca="false">IF(L14="","",TRIM(IF(COUNTIFS($C$22:$C$140,L14,$D$22:$D$140,"*Vistoria*",$Q$22:$Q$140,"&lt;&gt;Cancelada")&gt;0,"Vistoria ","")&amp;IF(COUNTIFS($C$22:$C$140,L14,$D$22:$D$140,"*Relatório*",$Q$22:$Q$140,"&lt;&gt;Cancelada")&gt;0,"Relatório ","")&amp;IF(COUNTIFS($C$22:$C$140,L14,$D$22:$D$140,"*Reunião*",$Q$22:$Q$140,"&lt;&gt;Cancelada")&gt;0,"REUNIÃO ","")&amp;IF(COUNTIFS($C$22:$C$140,L14,$D$22:$D$140,"*Férias*",$Q$22:$Q$140,"&lt;&gt;Cancelada")&gt;0,"Férias ","")&amp;IF(COUNTIFS($C$22:$C$140,L14,$D$22:$D$140,"*Mudança*",$Q$22:$Q$140,"&lt;&gt;Cancelada")&gt;0,"M.Função ","")&amp;IF(COUNTIFS($C$22:$C$140,L14,$D$22:$D$140,"*Treinamento*",$Q$22:$Q$140,"&lt;&gt;Cancelada")&gt;0,"Trein. ","")))</f>
        <v>REUNIÃO M.Função</v>
      </c>
      <c r="M15" s="47"/>
      <c r="N15" s="47" t="str">
        <f aca="false">IF(N14="","",TRIM(IF(COUNTIFS($C$22:$C$140,N14,$D$22:$D$140,"*Vistoria*",$Q$22:$Q$140,"&lt;&gt;Cancelada")&gt;0,"Vistoria ","")&amp;IF(COUNTIFS($C$22:$C$140,N14,$D$22:$D$140,"*Relatório*",$Q$22:$Q$140,"&lt;&gt;Cancelada")&gt;0,"Relatório ","")&amp;IF(COUNTIFS($C$22:$C$140,N14,$D$22:$D$140,"*Reunião*",$Q$22:$Q$140,"&lt;&gt;Cancelada")&gt;0,"REUNIÃO ","")&amp;IF(COUNTIFS($C$22:$C$140,N14,$D$22:$D$140,"*Férias*",$Q$22:$Q$140,"&lt;&gt;Cancelada")&gt;0,"Férias ","")&amp;IF(COUNTIFS($C$22:$C$140,N14,$D$22:$D$140,"*Mudança*",$Q$22:$Q$140,"&lt;&gt;Cancelada")&gt;0,"M.Função ","")&amp;IF(COUNTIFS($C$22:$C$140,N14,$D$22:$D$140,"*Treinamento*",$Q$22:$Q$140,"&lt;&gt;Cancelada")&gt;0,"Trein. ","")))</f>
        <v/>
      </c>
      <c r="O15" s="47"/>
    </row>
    <row r="16" customFormat="false" ht="15" hidden="false" customHeight="true" outlineLevel="0" collapsed="false">
      <c r="B16" s="46" t="str">
        <f aca="false">IF(MONTH($X$1-WEEKDAY($X$1)+1+35)=MONTH($X$1),$X$1-WEEKDAY($X$1)+1+35,"")</f>
        <v/>
      </c>
      <c r="C16" s="46"/>
      <c r="D16" s="46" t="str">
        <f aca="false">IF(MONTH($X$1-WEEKDAY($X$1)+1+36)=MONTH($X$1),$X$1-WEEKDAY($X$1)+1+36,"")</f>
        <v/>
      </c>
      <c r="E16" s="46"/>
      <c r="F16" s="46" t="str">
        <f aca="false">IF(MONTH($X$1-WEEKDAY($X$1)+1+37)=MONTH($X$1),$X$1-WEEKDAY($X$1)+1+37,"")</f>
        <v/>
      </c>
      <c r="G16" s="46"/>
      <c r="H16" s="46" t="str">
        <f aca="false">IF(MONTH($X$1-WEEKDAY($X$1)+1+38)=MONTH($X$1),$X$1-WEEKDAY($X$1)+1+38,"")</f>
        <v/>
      </c>
      <c r="I16" s="46"/>
      <c r="J16" s="46" t="str">
        <f aca="false">IF(MONTH($X$1-WEEKDAY($X$1)+1+39)=MONTH($X$1),$X$1-WEEKDAY($X$1)+1+39,"")</f>
        <v/>
      </c>
      <c r="K16" s="46"/>
      <c r="L16" s="46" t="str">
        <f aca="false">IF(MONTH($X$1-WEEKDAY($X$1)+1+40)=MONTH($X$1),$X$1-WEEKDAY($X$1)+1+40,"")</f>
        <v/>
      </c>
      <c r="M16" s="46"/>
      <c r="N16" s="46" t="str">
        <f aca="false">IF(MONTH($X$1-WEEKDAY($X$1)+1+41)=MONTH($X$1),$X$1-WEEKDAY($X$1)+1+41,"")</f>
        <v/>
      </c>
      <c r="O16" s="46"/>
    </row>
    <row r="17" customFormat="false" ht="25.5" hidden="false" customHeight="true" outlineLevel="0" collapsed="false">
      <c r="B17" s="47" t="str">
        <f aca="false">IF(B16="","",TRIM(IF(COUNTIFS($C$22:$C$140,B16,$D$22:$D$140,"*Vistoria*",$Q$22:$Q$140,"&lt;&gt;Cancelada")&gt;0,"Vistoria ","")&amp;IF(COUNTIFS($C$22:$C$140,B16,$D$22:$D$140,"*Relatório*",$Q$22:$Q$140,"&lt;&gt;Cancelada")&gt;0,"Relatório ","")&amp;IF(COUNTIFS($C$22:$C$140,B16,$D$22:$D$140,"*Reunião*",$Q$22:$Q$140,"&lt;&gt;Cancelada")&gt;0,"REUNIÃO ","")&amp;IF(COUNTIFS($C$22:$C$140,B16,$D$22:$D$140,"*Férias*",$Q$22:$Q$140,"&lt;&gt;Cancelada")&gt;0,"Férias ","")&amp;IF(COUNTIFS($C$22:$C$140,B16,$D$22:$D$140,"*Mudança*",$Q$22:$Q$140,"&lt;&gt;Cancelada")&gt;0,"M.Função ","")&amp;IF(COUNTIFS($C$22:$C$140,B16,$D$22:$D$140,"*Treinamento*",$Q$22:$Q$140,"&lt;&gt;Cancelada")&gt;0,"Trein. ","")))</f>
        <v/>
      </c>
      <c r="C17" s="47"/>
      <c r="D17" s="47" t="str">
        <f aca="false">IF(D16="","",TRIM(IF(COUNTIFS($C$22:$C$140,D16,$D$22:$D$140,"*Vistoria*",$Q$22:$Q$140,"&lt;&gt;Cancelada")&gt;0,"Vistoria ","")&amp;IF(COUNTIFS($C$22:$C$140,D16,$D$22:$D$140,"*Relatório*",$Q$22:$Q$140,"&lt;&gt;Cancelada")&gt;0,"Relatório ","")&amp;IF(COUNTIFS($C$22:$C$140,D16,$D$22:$D$140,"*Reunião*",$Q$22:$Q$140,"&lt;&gt;Cancelada")&gt;0,"REUNIÃO ","")&amp;IF(COUNTIFS($C$22:$C$140,D16,$D$22:$D$140,"*Férias*",$Q$22:$Q$140,"&lt;&gt;Cancelada")&gt;0,"Férias ","")&amp;IF(COUNTIFS($C$22:$C$140,D16,$D$22:$D$140,"*Mudança*",$Q$22:$Q$140,"&lt;&gt;Cancelada")&gt;0,"M.Função ","")&amp;IF(COUNTIFS($C$22:$C$140,D16,$D$22:$D$140,"*Treinamento*",$Q$22:$Q$140,"&lt;&gt;Cancelada")&gt;0,"Trein. ","")))</f>
        <v/>
      </c>
      <c r="E17" s="47"/>
      <c r="F17" s="47" t="str">
        <f aca="false">IF(F16="","",TRIM(IF(COUNTIFS($C$22:$C$140,F16,$D$22:$D$140,"*Vistoria*",$Q$22:$Q$140,"&lt;&gt;Cancelada")&gt;0,"Vistoria ","")&amp;IF(COUNTIFS($C$22:$C$140,F16,$D$22:$D$140,"*Relatório*",$Q$22:$Q$140,"&lt;&gt;Cancelada")&gt;0,"Relatório ","")&amp;IF(COUNTIFS($C$22:$C$140,F16,$D$22:$D$140,"*Reunião*",$Q$22:$Q$140,"&lt;&gt;Cancelada")&gt;0,"REUNIÃO ","")&amp;IF(COUNTIFS($C$22:$C$140,F16,$D$22:$D$140,"*Férias*",$Q$22:$Q$140,"&lt;&gt;Cancelada")&gt;0,"Férias ","")&amp;IF(COUNTIFS($C$22:$C$140,F16,$D$22:$D$140,"*Mudança*",$Q$22:$Q$140,"&lt;&gt;Cancelada")&gt;0,"M.Função ","")&amp;IF(COUNTIFS($C$22:$C$140,F16,$D$22:$D$140,"*Treinamento*",$Q$22:$Q$140,"&lt;&gt;Cancelada")&gt;0,"Trein. ","")))</f>
        <v/>
      </c>
      <c r="G17" s="47"/>
      <c r="H17" s="47" t="str">
        <f aca="false">IF(H16="","",TRIM(IF(COUNTIFS($C$22:$C$140,H16,$D$22:$D$140,"*Vistoria*",$Q$22:$Q$140,"&lt;&gt;Cancelada")&gt;0,"Vistoria ","")&amp;IF(COUNTIFS($C$22:$C$140,H16,$D$22:$D$140,"*Relatório*",$Q$22:$Q$140,"&lt;&gt;Cancelada")&gt;0,"Relatório ","")&amp;IF(COUNTIFS($C$22:$C$140,H16,$D$22:$D$140,"*Reunião*",$Q$22:$Q$140,"&lt;&gt;Cancelada")&gt;0,"REUNIÃO ","")&amp;IF(COUNTIFS($C$22:$C$140,H16,$D$22:$D$140,"*Férias*",$Q$22:$Q$140,"&lt;&gt;Cancelada")&gt;0,"Férias ","")&amp;IF(COUNTIFS($C$22:$C$140,H16,$D$22:$D$140,"*Mudança*",$Q$22:$Q$140,"&lt;&gt;Cancelada")&gt;0,"M.Função ","")&amp;IF(COUNTIFS($C$22:$C$140,H16,$D$22:$D$140,"*Treinamento*",$Q$22:$Q$140,"&lt;&gt;Cancelada")&gt;0,"Trein. ","")))</f>
        <v/>
      </c>
      <c r="I17" s="47"/>
      <c r="J17" s="47" t="str">
        <f aca="false">IF(J16="","",TRIM(IF(COUNTIFS($C$22:$C$140,J16,$D$22:$D$140,"*Vistoria*",$Q$22:$Q$140,"&lt;&gt;Cancelada")&gt;0,"Vistoria ","")&amp;IF(COUNTIFS($C$22:$C$140,J16,$D$22:$D$140,"*Relatório*",$Q$22:$Q$140,"&lt;&gt;Cancelada")&gt;0,"Relatório ","")&amp;IF(COUNTIFS($C$22:$C$140,J16,$D$22:$D$140,"*Reunião*",$Q$22:$Q$140,"&lt;&gt;Cancelada")&gt;0,"REUNIÃO ","")&amp;IF(COUNTIFS($C$22:$C$140,J16,$D$22:$D$140,"*Férias*",$Q$22:$Q$140,"&lt;&gt;Cancelada")&gt;0,"Férias ","")&amp;IF(COUNTIFS($C$22:$C$140,J16,$D$22:$D$140,"*Mudança*",$Q$22:$Q$140,"&lt;&gt;Cancelada")&gt;0,"M.Função ","")&amp;IF(COUNTIFS($C$22:$C$140,J16,$D$22:$D$140,"*Treinamento*",$Q$22:$Q$140,"&lt;&gt;Cancelada")&gt;0,"Trein. ","")))</f>
        <v/>
      </c>
      <c r="K17" s="47"/>
      <c r="L17" s="47" t="str">
        <f aca="false">IF(L16="","",TRIM(IF(COUNTIFS($C$22:$C$140,L16,$D$22:$D$140,"*Vistoria*",$Q$22:$Q$140,"&lt;&gt;Cancelada")&gt;0,"Vistoria ","")&amp;IF(COUNTIFS($C$22:$C$140,L16,$D$22:$D$140,"*Relatório*",$Q$22:$Q$140,"&lt;&gt;Cancelada")&gt;0,"Relatório ","")&amp;IF(COUNTIFS($C$22:$C$140,L16,$D$22:$D$140,"*Reunião*",$Q$22:$Q$140,"&lt;&gt;Cancelada")&gt;0,"REUNIÃO ","")&amp;IF(COUNTIFS($C$22:$C$140,L16,$D$22:$D$140,"*Férias*",$Q$22:$Q$140,"&lt;&gt;Cancelada")&gt;0,"Férias ","")&amp;IF(COUNTIFS($C$22:$C$140,L16,$D$22:$D$140,"*Mudança*",$Q$22:$Q$140,"&lt;&gt;Cancelada")&gt;0,"M.Função ","")&amp;IF(COUNTIFS($C$22:$C$140,L16,$D$22:$D$140,"*Treinamento*",$Q$22:$Q$140,"&lt;&gt;Cancelada")&gt;0,"Trein. ","")))</f>
        <v/>
      </c>
      <c r="M17" s="47"/>
      <c r="N17" s="47" t="str">
        <f aca="false">IF(N16="","",TRIM(IF(COUNTIFS($C$22:$C$140,N16,$D$22:$D$140,"*Vistoria*",$Q$22:$Q$140,"&lt;&gt;Cancelada")&gt;0,"Vistoria ","")&amp;IF(COUNTIFS($C$22:$C$140,N16,$D$22:$D$140,"*Relatório*",$Q$22:$Q$140,"&lt;&gt;Cancelada")&gt;0,"Relatório ","")&amp;IF(COUNTIFS($C$22:$C$140,N16,$D$22:$D$140,"*Reunião*",$Q$22:$Q$140,"&lt;&gt;Cancelada")&gt;0,"REUNIÃO ","")&amp;IF(COUNTIFS($C$22:$C$140,N16,$D$22:$D$140,"*Férias*",$Q$22:$Q$140,"&lt;&gt;Cancelada")&gt;0,"Férias ","")&amp;IF(COUNTIFS($C$22:$C$140,N16,$D$22:$D$140,"*Mudança*",$Q$22:$Q$140,"&lt;&gt;Cancelada")&gt;0,"M.Função ","")&amp;IF(COUNTIFS($C$22:$C$140,N16,$D$22:$D$140,"*Treinamento*",$Q$22:$Q$140,"&lt;&gt;Cancelada")&gt;0,"Trein. ","")))</f>
        <v/>
      </c>
      <c r="O17" s="47"/>
    </row>
    <row r="18" customFormat="false" ht="15" hidden="false" customHeight="true" outlineLevel="0" collapsed="false">
      <c r="B18" s="48" t="s">
        <v>123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</row>
    <row r="20" customFormat="false" ht="15" hidden="false" customHeight="true" outlineLevel="0" collapsed="false">
      <c r="A20" s="49" t="s">
        <v>124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customFormat="false" ht="24" hidden="false" customHeight="true" outlineLevel="0" collapsed="false">
      <c r="A21" s="50" t="s">
        <v>125</v>
      </c>
      <c r="B21" s="50" t="s">
        <v>126</v>
      </c>
      <c r="C21" s="50" t="s">
        <v>127</v>
      </c>
      <c r="D21" s="50" t="s">
        <v>128</v>
      </c>
      <c r="E21" s="50"/>
      <c r="F21" s="50"/>
      <c r="G21" s="50" t="s">
        <v>73</v>
      </c>
      <c r="H21" s="50" t="s">
        <v>129</v>
      </c>
      <c r="I21" s="50"/>
      <c r="J21" s="50" t="s">
        <v>130</v>
      </c>
      <c r="K21" s="50"/>
      <c r="L21" s="50"/>
      <c r="M21" s="50" t="s">
        <v>131</v>
      </c>
      <c r="N21" s="50"/>
      <c r="O21" s="50"/>
      <c r="P21" s="50" t="s">
        <v>132</v>
      </c>
      <c r="Q21" s="50" t="s">
        <v>133</v>
      </c>
      <c r="R21" s="50" t="s">
        <v>134</v>
      </c>
      <c r="S21" s="50" t="s">
        <v>135</v>
      </c>
      <c r="T21" s="50" t="s">
        <v>136</v>
      </c>
      <c r="U21" s="50" t="s">
        <v>137</v>
      </c>
      <c r="V21" s="50" t="s">
        <v>138</v>
      </c>
    </row>
    <row r="22" customFormat="false" ht="15" hidden="false" customHeight="false" outlineLevel="0" collapsed="false">
      <c r="A22" s="51" t="str">
        <f aca="false">IF($C22="","",$X$2&amp;"-S"&amp;INT(($C22-WEEKDAY($C22,2)+11-DATE(YEAR($C22+4-WEEKDAY($C22,2)),1,1))/7)&amp;"-FER-A")</f>
        <v>OUT-S41-FER-A</v>
      </c>
      <c r="B22" s="34" t="str">
        <f aca="false">IF($C22="","","S"&amp;INT(($C22-WEEKDAY($C22,2)+11-DATE(YEAR($C22+4-WEEKDAY($C22,2)),1,1))/7))</f>
        <v>S41</v>
      </c>
      <c r="C22" s="52" t="n">
        <f aca="false">$X$1+MOD(8-WEEKDAY($X$1,2),7)</f>
        <v>46300</v>
      </c>
      <c r="D22" s="9" t="str">
        <f aca="false">IF($C22="","","Programação de Férias (mensal)")</f>
        <v>Programação de Férias (mensal)</v>
      </c>
      <c r="E22" s="9"/>
      <c r="F22" s="9"/>
      <c r="G22" s="34" t="str">
        <f aca="false">IF($C22="","","A")</f>
        <v>A</v>
      </c>
      <c r="H22" s="34" t="str">
        <f aca="false">IF($C22="","",IF($G22="A",CONFIG!$B$5,IF($G22="B",CONFIG!$B$6,IF($G22="C",CONFIG!$B$7,"Gerência + coordenadores"))))</f>
        <v>(preencha o nome)</v>
      </c>
      <c r="I22" s="34"/>
      <c r="J22" s="32" t="str">
        <f aca="false">IF($C22="","","—")</f>
        <v>—</v>
      </c>
      <c r="K22" s="53"/>
      <c r="L22" s="53"/>
      <c r="M22" s="54"/>
      <c r="N22" s="54"/>
      <c r="O22" s="54"/>
      <c r="P22" s="55"/>
      <c r="Q22" s="56"/>
      <c r="R22" s="57"/>
      <c r="S22" s="34" t="str">
        <f aca="true">IF($C22="","",IF($Q22="Cancelada","Cancelada",IF($Q22="Reprovado","Reprovada",IF($Q22="Aprovado","Aprovada",IF($M22&lt;&gt;"","Entregue",IF(TODAY()&gt;$C22,"Atrasada","Pendente"))))))</f>
        <v>Pendente</v>
      </c>
      <c r="T22" s="58"/>
      <c r="U22" s="58"/>
      <c r="V22" s="58"/>
    </row>
    <row r="23" customFormat="false" ht="15" hidden="false" customHeight="false" outlineLevel="0" collapsed="false">
      <c r="A23" s="59" t="str">
        <f aca="false">IF($C23="","",$X$2&amp;"-S"&amp;INT(($C23-WEEKDAY($C23,2)+11-DATE(YEAR($C23+4-WEEKDAY($C23,2)),1,1))/7)&amp;"-FER-B")</f>
        <v>OUT-S41-FER-B</v>
      </c>
      <c r="B23" s="30" t="str">
        <f aca="false">IF($C23="","","S"&amp;INT(($C23-WEEKDAY($C23,2)+11-DATE(YEAR($C23+4-WEEKDAY($C23,2)),1,1))/7))</f>
        <v>S41</v>
      </c>
      <c r="C23" s="52" t="n">
        <f aca="false">$X$1+MOD(8-WEEKDAY($X$1,2),7)</f>
        <v>46300</v>
      </c>
      <c r="D23" s="27" t="str">
        <f aca="false">IF($C23="","","Programação de Férias (mensal)")</f>
        <v>Programação de Férias (mensal)</v>
      </c>
      <c r="E23" s="27"/>
      <c r="F23" s="27"/>
      <c r="G23" s="30" t="str">
        <f aca="false">IF($C23="","","B")</f>
        <v>B</v>
      </c>
      <c r="H23" s="30" t="str">
        <f aca="false">IF($C23="","",IF($G23="A",CONFIG!$B$5,IF($G23="B",CONFIG!$B$6,IF($G23="C",CONFIG!$B$7,"Gerência + coordenadores"))))</f>
        <v>(preencha o nome)</v>
      </c>
      <c r="I23" s="30"/>
      <c r="J23" s="32" t="str">
        <f aca="false">IF($C23="","","—")</f>
        <v>—</v>
      </c>
      <c r="K23" s="53"/>
      <c r="L23" s="53"/>
      <c r="M23" s="54"/>
      <c r="N23" s="54"/>
      <c r="O23" s="54"/>
      <c r="P23" s="60"/>
      <c r="Q23" s="56"/>
      <c r="R23" s="57"/>
      <c r="S23" s="30" t="str">
        <f aca="true">IF($C23="","",IF($Q23="Cancelada","Cancelada",IF($Q23="Reprovado","Reprovada",IF($Q23="Aprovado","Aprovada",IF($M23&lt;&gt;"","Entregue",IF(TODAY()&gt;$C23,"Atrasada","Pendente"))))))</f>
        <v>Pendente</v>
      </c>
      <c r="T23" s="58"/>
      <c r="U23" s="58"/>
      <c r="V23" s="58"/>
    </row>
    <row r="24" customFormat="false" ht="15" hidden="false" customHeight="false" outlineLevel="0" collapsed="false">
      <c r="A24" s="51" t="str">
        <f aca="false">IF($C24="","",$X$2&amp;"-S"&amp;INT(($C24-WEEKDAY($C24,2)+11-DATE(YEAR($C24+4-WEEKDAY($C24,2)),1,1))/7)&amp;"-FER-C")</f>
        <v>OUT-S41-FER-C</v>
      </c>
      <c r="B24" s="34" t="str">
        <f aca="false">IF($C24="","","S"&amp;INT(($C24-WEEKDAY($C24,2)+11-DATE(YEAR($C24+4-WEEKDAY($C24,2)),1,1))/7))</f>
        <v>S41</v>
      </c>
      <c r="C24" s="52" t="n">
        <f aca="false">$X$1+MOD(8-WEEKDAY($X$1,2),7)</f>
        <v>46300</v>
      </c>
      <c r="D24" s="9" t="str">
        <f aca="false">IF($C24="","","Programação de Férias (mensal)")</f>
        <v>Programação de Férias (mensal)</v>
      </c>
      <c r="E24" s="9"/>
      <c r="F24" s="9"/>
      <c r="G24" s="34" t="str">
        <f aca="false">IF($C24="","","C")</f>
        <v>C</v>
      </c>
      <c r="H24" s="34" t="str">
        <f aca="false">IF($C24="","",IF($G24="A",CONFIG!$B$5,IF($G24="B",CONFIG!$B$6,IF($G24="C",CONFIG!$B$7,"Gerência + coordenadores"))))</f>
        <v>(preencha o nome)</v>
      </c>
      <c r="I24" s="34"/>
      <c r="J24" s="32" t="str">
        <f aca="false">IF($C24="","","—")</f>
        <v>—</v>
      </c>
      <c r="K24" s="53"/>
      <c r="L24" s="53"/>
      <c r="M24" s="54"/>
      <c r="N24" s="54"/>
      <c r="O24" s="54"/>
      <c r="P24" s="55"/>
      <c r="Q24" s="56"/>
      <c r="R24" s="57"/>
      <c r="S24" s="34" t="str">
        <f aca="true">IF($C24="","",IF($Q24="Cancelada","Cancelada",IF($Q24="Reprovado","Reprovada",IF($Q24="Aprovado","Aprovada",IF($M24&lt;&gt;"","Entregue",IF(TODAY()&gt;$C24,"Atrasada","Pendente"))))))</f>
        <v>Pendente</v>
      </c>
      <c r="T24" s="58"/>
      <c r="U24" s="58"/>
      <c r="V24" s="58"/>
    </row>
    <row r="25" customFormat="false" ht="22.35" hidden="false" customHeight="false" outlineLevel="0" collapsed="false">
      <c r="A25" s="51" t="str">
        <f aca="false">IF($C25="","",$X$2&amp;"-S"&amp;INT(($C25-WEEKDAY($C25,2)+11-DATE(YEAR($C25+4-WEEKDAY($C25,2)),1,1))/7)&amp;"-RSC-A")</f>
        <v>OUT-S40-RSC-A</v>
      </c>
      <c r="B25" s="34" t="str">
        <f aca="false">IF($C25="","","S"&amp;INT(($C25-WEEKDAY($C25,2)+11-DATE(YEAR($C25+4-WEEKDAY($C25,2)),1,1))/7))</f>
        <v>S40</v>
      </c>
      <c r="C25" s="52" t="n">
        <f aca="false">IF(MONTH(($X$1-WEEKDAY($X$1,3)+0)+3)=MONTH($X$1),($X$1-WEEKDAY($X$1,3)+0)+3,"")</f>
        <v>46296</v>
      </c>
      <c r="D25" s="9" t="str">
        <f aca="false">IF($C25="","","Relatório Semanal Consolidado (erros + metas + faltas + supervisores)")</f>
        <v>Relatório Semanal Consolidado (erros + metas + faltas + supervisores)</v>
      </c>
      <c r="E25" s="9"/>
      <c r="F25" s="9"/>
      <c r="G25" s="34" t="str">
        <f aca="false">IF($C25="","","A")</f>
        <v>A</v>
      </c>
      <c r="H25" s="34" t="str">
        <f aca="false">IF($C25="","",IF($G25="A",CONFIG!$B$5,IF($G25="B",CONFIG!$B$6,IF($G25="C",CONFIG!$B$7,"Gerência + coordenadores"))))</f>
        <v>(preencha o nome)</v>
      </c>
      <c r="I25" s="34"/>
      <c r="J25" s="32" t="str">
        <f aca="false">IF($C25="","","—")</f>
        <v>—</v>
      </c>
      <c r="K25" s="61"/>
      <c r="L25" s="61"/>
      <c r="M25" s="54"/>
      <c r="N25" s="54"/>
      <c r="O25" s="54"/>
      <c r="P25" s="55"/>
      <c r="Q25" s="56"/>
      <c r="R25" s="57"/>
      <c r="S25" s="34" t="str">
        <f aca="true">IF($C25="","",IF($Q25="Cancelada","Cancelada",IF($Q25="Reprovado","Reprovada",IF($Q25="Aprovado","Aprovada",IF($M25&lt;&gt;"","Entregue",IF(TODAY()&gt;$C25,"Atrasada","Pendente"))))))</f>
        <v>Pendente</v>
      </c>
      <c r="T25" s="58"/>
      <c r="U25" s="58"/>
      <c r="V25" s="58"/>
    </row>
    <row r="26" customFormat="false" ht="22.35" hidden="false" customHeight="false" outlineLevel="0" collapsed="false">
      <c r="A26" s="59" t="str">
        <f aca="false">IF($C26="","",$X$2&amp;"-S"&amp;INT(($C26-WEEKDAY($C26,2)+11-DATE(YEAR($C26+4-WEEKDAY($C26,2)),1,1))/7)&amp;"-RSC-B")</f>
        <v>OUT-S40-RSC-B</v>
      </c>
      <c r="B26" s="30" t="str">
        <f aca="false">IF($C26="","","S"&amp;INT(($C26-WEEKDAY($C26,2)+11-DATE(YEAR($C26+4-WEEKDAY($C26,2)),1,1))/7))</f>
        <v>S40</v>
      </c>
      <c r="C26" s="52" t="n">
        <f aca="false">IF(MONTH(($X$1-WEEKDAY($X$1,3)+0)+3)=MONTH($X$1),($X$1-WEEKDAY($X$1,3)+0)+3,"")</f>
        <v>46296</v>
      </c>
      <c r="D26" s="27" t="str">
        <f aca="false">IF($C26="","","Relatório Semanal Consolidado (erros + metas + faltas + supervisores)")</f>
        <v>Relatório Semanal Consolidado (erros + metas + faltas + supervisores)</v>
      </c>
      <c r="E26" s="27"/>
      <c r="F26" s="27"/>
      <c r="G26" s="30" t="str">
        <f aca="false">IF($C26="","","B")</f>
        <v>B</v>
      </c>
      <c r="H26" s="30" t="str">
        <f aca="false">IF($C26="","",IF($G26="A",CONFIG!$B$5,IF($G26="B",CONFIG!$B$6,IF($G26="C",CONFIG!$B$7,"Gerência + coordenadores"))))</f>
        <v>(preencha o nome)</v>
      </c>
      <c r="I26" s="30"/>
      <c r="J26" s="32" t="str">
        <f aca="false">IF($C26="","","—")</f>
        <v>—</v>
      </c>
      <c r="K26" s="61"/>
      <c r="L26" s="61"/>
      <c r="M26" s="54"/>
      <c r="N26" s="54"/>
      <c r="O26" s="54"/>
      <c r="P26" s="60"/>
      <c r="Q26" s="56"/>
      <c r="R26" s="57"/>
      <c r="S26" s="30" t="str">
        <f aca="true">IF($C26="","",IF($Q26="Cancelada","Cancelada",IF($Q26="Reprovado","Reprovada",IF($Q26="Aprovado","Aprovada",IF($M26&lt;&gt;"","Entregue",IF(TODAY()&gt;$C26,"Atrasada","Pendente"))))))</f>
        <v>Pendente</v>
      </c>
      <c r="T26" s="58"/>
      <c r="U26" s="58"/>
      <c r="V26" s="58"/>
    </row>
    <row r="27" customFormat="false" ht="22.35" hidden="false" customHeight="false" outlineLevel="0" collapsed="false">
      <c r="A27" s="51" t="str">
        <f aca="false">IF($C27="","",$X$2&amp;"-S"&amp;INT(($C27-WEEKDAY($C27,2)+11-DATE(YEAR($C27+4-WEEKDAY($C27,2)),1,1))/7)&amp;"-RSC-C")</f>
        <v>OUT-S40-RSC-C</v>
      </c>
      <c r="B27" s="34" t="str">
        <f aca="false">IF($C27="","","S"&amp;INT(($C27-WEEKDAY($C27,2)+11-DATE(YEAR($C27+4-WEEKDAY($C27,2)),1,1))/7))</f>
        <v>S40</v>
      </c>
      <c r="C27" s="52" t="n">
        <f aca="false">IF(MONTH(($X$1-WEEKDAY($X$1,3)+0)+3)=MONTH($X$1),($X$1-WEEKDAY($X$1,3)+0)+3,"")</f>
        <v>46296</v>
      </c>
      <c r="D27" s="9" t="str">
        <f aca="false">IF($C27="","","Relatório Semanal Consolidado (erros + metas + faltas + supervisores)")</f>
        <v>Relatório Semanal Consolidado (erros + metas + faltas + supervisores)</v>
      </c>
      <c r="E27" s="9"/>
      <c r="F27" s="9"/>
      <c r="G27" s="34" t="str">
        <f aca="false">IF($C27="","","C")</f>
        <v>C</v>
      </c>
      <c r="H27" s="34" t="str">
        <f aca="false">IF($C27="","",IF($G27="A",CONFIG!$B$5,IF($G27="B",CONFIG!$B$6,IF($G27="C",CONFIG!$B$7,"Gerência + coordenadores"))))</f>
        <v>(preencha o nome)</v>
      </c>
      <c r="I27" s="34"/>
      <c r="J27" s="32" t="str">
        <f aca="false">IF($C27="","","—")</f>
        <v>—</v>
      </c>
      <c r="K27" s="61"/>
      <c r="L27" s="61"/>
      <c r="M27" s="54"/>
      <c r="N27" s="54"/>
      <c r="O27" s="54"/>
      <c r="P27" s="55"/>
      <c r="Q27" s="56"/>
      <c r="R27" s="57"/>
      <c r="S27" s="34" t="str">
        <f aca="true">IF($C27="","",IF($Q27="Cancelada","Cancelada",IF($Q27="Reprovado","Reprovada",IF($Q27="Aprovado","Aprovada",IF($M27&lt;&gt;"","Entregue",IF(TODAY()&gt;$C27,"Atrasada","Pendente"))))))</f>
        <v>Pendente</v>
      </c>
      <c r="T27" s="58"/>
      <c r="U27" s="58"/>
      <c r="V27" s="58"/>
    </row>
    <row r="28" customFormat="false" ht="24" hidden="false" customHeight="true" outlineLevel="0" collapsed="false">
      <c r="A28" s="59" t="str">
        <f aca="false">IF($C28="","",$X$2&amp;"-S"&amp;INT(($C28-WEEKDAY($C28,2)+11-DATE(YEAR($C28+4-WEEKDAY($C28,2)),1,1))/7)&amp;"-REU-T")</f>
        <v>OUT-S40-REU-T</v>
      </c>
      <c r="B28" s="30" t="str">
        <f aca="false">IF($C28="","","S"&amp;INT(($C28-WEEKDAY($C28,2)+11-DATE(YEAR($C28+4-WEEKDAY($C28,2)),1,1))/7))</f>
        <v>S40</v>
      </c>
      <c r="C28" s="52" t="n">
        <f aca="false">IF(MONTH(($X$1-WEEKDAY($X$1,3)+0)+4)=MONTH($X$1),($X$1-WEEKDAY($X$1,3)+0)+4,"")</f>
        <v>46297</v>
      </c>
      <c r="D28" s="27" t="str">
        <f aca="false">IF($C28="","","Reunião Semanal com a Gerência")</f>
        <v>Reunião Semanal com a Gerência</v>
      </c>
      <c r="E28" s="27"/>
      <c r="F28" s="27"/>
      <c r="G28" s="30" t="str">
        <f aca="false">IF($C28="","","Todos")</f>
        <v>Todos</v>
      </c>
      <c r="H28" s="30" t="str">
        <f aca="false">IF($C28="","",IF($G28="A",CONFIG!$B$5,IF($G28="B",CONFIG!$B$6,IF($G28="C",CONFIG!$B$7,"Gerência + coordenadores"))))</f>
        <v>Gerência + coordenadores</v>
      </c>
      <c r="I28" s="30"/>
      <c r="J28" s="32" t="str">
        <f aca="false">IF($C28="","","—")</f>
        <v>—</v>
      </c>
      <c r="K28" s="53"/>
      <c r="L28" s="53"/>
      <c r="M28" s="54"/>
      <c r="N28" s="54"/>
      <c r="O28" s="54"/>
      <c r="P28" s="60"/>
      <c r="Q28" s="56"/>
      <c r="R28" s="57"/>
      <c r="S28" s="30" t="str">
        <f aca="true">IF($C28="","",IF($Q28="Cancelada","Cancelada",IF($Q28="Reprovado","Reprovada",IF($Q28="Aprovado","Aprovada",IF($M28&lt;&gt;"","Entregue",IF(TODAY()&gt;$C28,"Atrasada","Pendente"))))))</f>
        <v>Pendente</v>
      </c>
      <c r="T28" s="58"/>
      <c r="U28" s="58"/>
      <c r="V28" s="58"/>
    </row>
    <row r="29" customFormat="false" ht="22.35" hidden="false" customHeight="false" outlineLevel="0" collapsed="false">
      <c r="A29" s="51" t="str">
        <f aca="false">IF($C29="","",$X$2&amp;"-S"&amp;INT(($C29-WEEKDAY($C29,2)+11-DATE(YEAR($C29+4-WEEKDAY($C29,2)),1,1))/7)&amp;"-VIS-A")</f>
        <v>OUT-S41-VIS-A</v>
      </c>
      <c r="B29" s="34" t="str">
        <f aca="false">IF($C29="","","S"&amp;INT(($C29-WEEKDAY($C29,2)+11-DATE(YEAR($C29+4-WEEKDAY($C29,2)),1,1))/7))</f>
        <v>S41</v>
      </c>
      <c r="C29" s="52" t="n">
        <f aca="false">IF(MONTH(($X$1-WEEKDAY($X$1,3)+7)+2)=MONTH($X$1),($X$1-WEEKDAY($X$1,3)+7)+2,"")</f>
        <v>46302</v>
      </c>
      <c r="D29" s="9" t="str">
        <f aca="false">IF($C29="","","Vistoria Setorial (checklist no setor definido pelo gerente)")</f>
        <v>Vistoria Setorial (checklist no setor definido pelo gerente)</v>
      </c>
      <c r="E29" s="9"/>
      <c r="F29" s="9"/>
      <c r="G29" s="34" t="str">
        <f aca="false">IF($C29="","","A")</f>
        <v>A</v>
      </c>
      <c r="H29" s="34" t="str">
        <f aca="false">IF($C29="","",IF($G29="A",CONFIG!$B$5,IF($G29="B",CONFIG!$B$6,IF($G29="C",CONFIG!$B$7,"Gerência + coordenadores"))))</f>
        <v>(preencha o nome)</v>
      </c>
      <c r="I29" s="34"/>
      <c r="J29" s="56"/>
      <c r="K29" s="53"/>
      <c r="L29" s="53"/>
      <c r="M29" s="54"/>
      <c r="N29" s="54"/>
      <c r="O29" s="54"/>
      <c r="P29" s="55"/>
      <c r="Q29" s="56"/>
      <c r="R29" s="57"/>
      <c r="S29" s="34" t="str">
        <f aca="true">IF($C29="","",IF($Q29="Cancelada","Cancelada",IF($Q29="Reprovado","Reprovada",IF($Q29="Aprovado","Aprovada",IF($M29&lt;&gt;"","Entregue",IF(TODAY()&gt;$C29,"Atrasada","Pendente"))))))</f>
        <v>Pendente</v>
      </c>
      <c r="T29" s="58"/>
      <c r="U29" s="58"/>
      <c r="V29" s="58"/>
    </row>
    <row r="30" customFormat="false" ht="22.35" hidden="false" customHeight="false" outlineLevel="0" collapsed="false">
      <c r="A30" s="59" t="str">
        <f aca="false">IF($C30="","",$X$2&amp;"-S"&amp;INT(($C30-WEEKDAY($C30,2)+11-DATE(YEAR($C30+4-WEEKDAY($C30,2)),1,1))/7)&amp;"-VIS-B")</f>
        <v>OUT-S41-VIS-B</v>
      </c>
      <c r="B30" s="30" t="str">
        <f aca="false">IF($C30="","","S"&amp;INT(($C30-WEEKDAY($C30,2)+11-DATE(YEAR($C30+4-WEEKDAY($C30,2)),1,1))/7))</f>
        <v>S41</v>
      </c>
      <c r="C30" s="52" t="n">
        <f aca="false">IF(MONTH(($X$1-WEEKDAY($X$1,3)+7)+2)=MONTH($X$1),($X$1-WEEKDAY($X$1,3)+7)+2,"")</f>
        <v>46302</v>
      </c>
      <c r="D30" s="27" t="str">
        <f aca="false">IF($C30="","","Vistoria Setorial (checklist no setor definido pelo gerente)")</f>
        <v>Vistoria Setorial (checklist no setor definido pelo gerente)</v>
      </c>
      <c r="E30" s="27"/>
      <c r="F30" s="27"/>
      <c r="G30" s="30" t="str">
        <f aca="false">IF($C30="","","B")</f>
        <v>B</v>
      </c>
      <c r="H30" s="30" t="str">
        <f aca="false">IF($C30="","",IF($G30="A",CONFIG!$B$5,IF($G30="B",CONFIG!$B$6,IF($G30="C",CONFIG!$B$7,"Gerência + coordenadores"))))</f>
        <v>(preencha o nome)</v>
      </c>
      <c r="I30" s="30"/>
      <c r="J30" s="56"/>
      <c r="K30" s="53"/>
      <c r="L30" s="53"/>
      <c r="M30" s="54"/>
      <c r="N30" s="54"/>
      <c r="O30" s="54"/>
      <c r="P30" s="60"/>
      <c r="Q30" s="56"/>
      <c r="R30" s="57"/>
      <c r="S30" s="30" t="str">
        <f aca="true">IF($C30="","",IF($Q30="Cancelada","Cancelada",IF($Q30="Reprovado","Reprovada",IF($Q30="Aprovado","Aprovada",IF($M30&lt;&gt;"","Entregue",IF(TODAY()&gt;$C30,"Atrasada","Pendente"))))))</f>
        <v>Pendente</v>
      </c>
      <c r="T30" s="58"/>
      <c r="U30" s="58"/>
      <c r="V30" s="58"/>
    </row>
    <row r="31" customFormat="false" ht="22.35" hidden="false" customHeight="false" outlineLevel="0" collapsed="false">
      <c r="A31" s="51" t="str">
        <f aca="false">IF($C31="","",$X$2&amp;"-S"&amp;INT(($C31-WEEKDAY($C31,2)+11-DATE(YEAR($C31+4-WEEKDAY($C31,2)),1,1))/7)&amp;"-VIS-C")</f>
        <v>OUT-S41-VIS-C</v>
      </c>
      <c r="B31" s="34" t="str">
        <f aca="false">IF($C31="","","S"&amp;INT(($C31-WEEKDAY($C31,2)+11-DATE(YEAR($C31+4-WEEKDAY($C31,2)),1,1))/7))</f>
        <v>S41</v>
      </c>
      <c r="C31" s="52" t="n">
        <f aca="false">IF(MONTH(($X$1-WEEKDAY($X$1,3)+7)+2)=MONTH($X$1),($X$1-WEEKDAY($X$1,3)+7)+2,"")</f>
        <v>46302</v>
      </c>
      <c r="D31" s="9" t="str">
        <f aca="false">IF($C31="","","Vistoria Setorial (checklist no setor definido pelo gerente)")</f>
        <v>Vistoria Setorial (checklist no setor definido pelo gerente)</v>
      </c>
      <c r="E31" s="9"/>
      <c r="F31" s="9"/>
      <c r="G31" s="34" t="str">
        <f aca="false">IF($C31="","","C")</f>
        <v>C</v>
      </c>
      <c r="H31" s="34" t="str">
        <f aca="false">IF($C31="","",IF($G31="A",CONFIG!$B$5,IF($G31="B",CONFIG!$B$6,IF($G31="C",CONFIG!$B$7,"Gerência + coordenadores"))))</f>
        <v>(preencha o nome)</v>
      </c>
      <c r="I31" s="34"/>
      <c r="J31" s="56"/>
      <c r="K31" s="53"/>
      <c r="L31" s="53"/>
      <c r="M31" s="54"/>
      <c r="N31" s="54"/>
      <c r="O31" s="54"/>
      <c r="P31" s="55"/>
      <c r="Q31" s="56"/>
      <c r="R31" s="57"/>
      <c r="S31" s="34" t="str">
        <f aca="true">IF($C31="","",IF($Q31="Cancelada","Cancelada",IF($Q31="Reprovado","Reprovada",IF($Q31="Aprovado","Aprovada",IF($M31&lt;&gt;"","Entregue",IF(TODAY()&gt;$C31,"Atrasada","Pendente"))))))</f>
        <v>Pendente</v>
      </c>
      <c r="T31" s="58"/>
      <c r="U31" s="58"/>
      <c r="V31" s="58"/>
    </row>
    <row r="32" customFormat="false" ht="22.35" hidden="false" customHeight="false" outlineLevel="0" collapsed="false">
      <c r="A32" s="59" t="str">
        <f aca="false">IF($C32="","",$X$2&amp;"-S"&amp;INT(($C32-WEEKDAY($C32,2)+11-DATE(YEAR($C32+4-WEEKDAY($C32,2)),1,1))/7)&amp;"-RSC-A")</f>
        <v>OUT-S41-RSC-A</v>
      </c>
      <c r="B32" s="30" t="str">
        <f aca="false">IF($C32="","","S"&amp;INT(($C32-WEEKDAY($C32,2)+11-DATE(YEAR($C32+4-WEEKDAY($C32,2)),1,1))/7))</f>
        <v>S41</v>
      </c>
      <c r="C32" s="52" t="n">
        <f aca="false">IF(MONTH(($X$1-WEEKDAY($X$1,3)+7)+3)=MONTH($X$1),($X$1-WEEKDAY($X$1,3)+7)+3,"")</f>
        <v>46303</v>
      </c>
      <c r="D32" s="27" t="str">
        <f aca="false">IF($C32="","","Relatório Semanal Consolidado (erros + metas + faltas + supervisores)")</f>
        <v>Relatório Semanal Consolidado (erros + metas + faltas + supervisores)</v>
      </c>
      <c r="E32" s="27"/>
      <c r="F32" s="27"/>
      <c r="G32" s="30" t="str">
        <f aca="false">IF($C32="","","A")</f>
        <v>A</v>
      </c>
      <c r="H32" s="30" t="str">
        <f aca="false">IF($C32="","",IF($G32="A",CONFIG!$B$5,IF($G32="B",CONFIG!$B$6,IF($G32="C",CONFIG!$B$7,"Gerência + coordenadores"))))</f>
        <v>(preencha o nome)</v>
      </c>
      <c r="I32" s="30"/>
      <c r="J32" s="32" t="str">
        <f aca="false">IF($C32="","","—")</f>
        <v>—</v>
      </c>
      <c r="K32" s="61"/>
      <c r="L32" s="61"/>
      <c r="M32" s="54"/>
      <c r="N32" s="54"/>
      <c r="O32" s="54"/>
      <c r="P32" s="60"/>
      <c r="Q32" s="56"/>
      <c r="R32" s="57"/>
      <c r="S32" s="30" t="str">
        <f aca="true">IF($C32="","",IF($Q32="Cancelada","Cancelada",IF($Q32="Reprovado","Reprovada",IF($Q32="Aprovado","Aprovada",IF($M32&lt;&gt;"","Entregue",IF(TODAY()&gt;$C32,"Atrasada","Pendente"))))))</f>
        <v>Pendente</v>
      </c>
      <c r="T32" s="58"/>
      <c r="U32" s="58"/>
      <c r="V32" s="58"/>
    </row>
    <row r="33" customFormat="false" ht="22.35" hidden="false" customHeight="false" outlineLevel="0" collapsed="false">
      <c r="A33" s="51" t="str">
        <f aca="false">IF($C33="","",$X$2&amp;"-S"&amp;INT(($C33-WEEKDAY($C33,2)+11-DATE(YEAR($C33+4-WEEKDAY($C33,2)),1,1))/7)&amp;"-RSC-B")</f>
        <v>OUT-S41-RSC-B</v>
      </c>
      <c r="B33" s="34" t="str">
        <f aca="false">IF($C33="","","S"&amp;INT(($C33-WEEKDAY($C33,2)+11-DATE(YEAR($C33+4-WEEKDAY($C33,2)),1,1))/7))</f>
        <v>S41</v>
      </c>
      <c r="C33" s="52" t="n">
        <f aca="false">IF(MONTH(($X$1-WEEKDAY($X$1,3)+7)+3)=MONTH($X$1),($X$1-WEEKDAY($X$1,3)+7)+3,"")</f>
        <v>46303</v>
      </c>
      <c r="D33" s="9" t="str">
        <f aca="false">IF($C33="","","Relatório Semanal Consolidado (erros + metas + faltas + supervisores)")</f>
        <v>Relatório Semanal Consolidado (erros + metas + faltas + supervisores)</v>
      </c>
      <c r="E33" s="9"/>
      <c r="F33" s="9"/>
      <c r="G33" s="34" t="str">
        <f aca="false">IF($C33="","","B")</f>
        <v>B</v>
      </c>
      <c r="H33" s="34" t="str">
        <f aca="false">IF($C33="","",IF($G33="A",CONFIG!$B$5,IF($G33="B",CONFIG!$B$6,IF($G33="C",CONFIG!$B$7,"Gerência + coordenadores"))))</f>
        <v>(preencha o nome)</v>
      </c>
      <c r="I33" s="34"/>
      <c r="J33" s="32" t="str">
        <f aca="false">IF($C33="","","—")</f>
        <v>—</v>
      </c>
      <c r="K33" s="61"/>
      <c r="L33" s="61"/>
      <c r="M33" s="54"/>
      <c r="N33" s="54"/>
      <c r="O33" s="54"/>
      <c r="P33" s="55"/>
      <c r="Q33" s="56"/>
      <c r="R33" s="57"/>
      <c r="S33" s="34" t="str">
        <f aca="true">IF($C33="","",IF($Q33="Cancelada","Cancelada",IF($Q33="Reprovado","Reprovada",IF($Q33="Aprovado","Aprovada",IF($M33&lt;&gt;"","Entregue",IF(TODAY()&gt;$C33,"Atrasada","Pendente"))))))</f>
        <v>Pendente</v>
      </c>
      <c r="T33" s="58"/>
      <c r="U33" s="58"/>
      <c r="V33" s="58"/>
    </row>
    <row r="34" customFormat="false" ht="22.35" hidden="false" customHeight="false" outlineLevel="0" collapsed="false">
      <c r="A34" s="59" t="str">
        <f aca="false">IF($C34="","",$X$2&amp;"-S"&amp;INT(($C34-WEEKDAY($C34,2)+11-DATE(YEAR($C34+4-WEEKDAY($C34,2)),1,1))/7)&amp;"-RSC-C")</f>
        <v>OUT-S41-RSC-C</v>
      </c>
      <c r="B34" s="30" t="str">
        <f aca="false">IF($C34="","","S"&amp;INT(($C34-WEEKDAY($C34,2)+11-DATE(YEAR($C34+4-WEEKDAY($C34,2)),1,1))/7))</f>
        <v>S41</v>
      </c>
      <c r="C34" s="52" t="n">
        <f aca="false">IF(MONTH(($X$1-WEEKDAY($X$1,3)+7)+3)=MONTH($X$1),($X$1-WEEKDAY($X$1,3)+7)+3,"")</f>
        <v>46303</v>
      </c>
      <c r="D34" s="27" t="str">
        <f aca="false">IF($C34="","","Relatório Semanal Consolidado (erros + metas + faltas + supervisores)")</f>
        <v>Relatório Semanal Consolidado (erros + metas + faltas + supervisores)</v>
      </c>
      <c r="E34" s="27"/>
      <c r="F34" s="27"/>
      <c r="G34" s="30" t="str">
        <f aca="false">IF($C34="","","C")</f>
        <v>C</v>
      </c>
      <c r="H34" s="30" t="str">
        <f aca="false">IF($C34="","",IF($G34="A",CONFIG!$B$5,IF($G34="B",CONFIG!$B$6,IF($G34="C",CONFIG!$B$7,"Gerência + coordenadores"))))</f>
        <v>(preencha o nome)</v>
      </c>
      <c r="I34" s="30"/>
      <c r="J34" s="32" t="str">
        <f aca="false">IF($C34="","","—")</f>
        <v>—</v>
      </c>
      <c r="K34" s="61"/>
      <c r="L34" s="61"/>
      <c r="M34" s="54"/>
      <c r="N34" s="54"/>
      <c r="O34" s="54"/>
      <c r="P34" s="60"/>
      <c r="Q34" s="56"/>
      <c r="R34" s="57"/>
      <c r="S34" s="30" t="str">
        <f aca="true">IF($C34="","",IF($Q34="Cancelada","Cancelada",IF($Q34="Reprovado","Reprovada",IF($Q34="Aprovado","Aprovada",IF($M34&lt;&gt;"","Entregue",IF(TODAY()&gt;$C34,"Atrasada","Pendente"))))))</f>
        <v>Pendente</v>
      </c>
      <c r="T34" s="58"/>
      <c r="U34" s="58"/>
      <c r="V34" s="58"/>
    </row>
    <row r="35" customFormat="false" ht="24" hidden="false" customHeight="true" outlineLevel="0" collapsed="false">
      <c r="A35" s="51" t="str">
        <f aca="false">IF($C35="","",$X$2&amp;"-S"&amp;INT(($C35-WEEKDAY($C35,2)+11-DATE(YEAR($C35+4-WEEKDAY($C35,2)),1,1))/7)&amp;"-REU-T")</f>
        <v>OUT-S41-REU-T</v>
      </c>
      <c r="B35" s="34" t="str">
        <f aca="false">IF($C35="","","S"&amp;INT(($C35-WEEKDAY($C35,2)+11-DATE(YEAR($C35+4-WEEKDAY($C35,2)),1,1))/7))</f>
        <v>S41</v>
      </c>
      <c r="C35" s="52" t="n">
        <f aca="false">IF(MONTH(($X$1-WEEKDAY($X$1,3)+7)+4)=MONTH($X$1),($X$1-WEEKDAY($X$1,3)+7)+4,"")</f>
        <v>46304</v>
      </c>
      <c r="D35" s="9" t="str">
        <f aca="false">IF($C35="","","Reunião Semanal com a Gerência")</f>
        <v>Reunião Semanal com a Gerência</v>
      </c>
      <c r="E35" s="9"/>
      <c r="F35" s="9"/>
      <c r="G35" s="34" t="str">
        <f aca="false">IF($C35="","","Todos")</f>
        <v>Todos</v>
      </c>
      <c r="H35" s="34" t="str">
        <f aca="false">IF($C35="","",IF($G35="A",CONFIG!$B$5,IF($G35="B",CONFIG!$B$6,IF($G35="C",CONFIG!$B$7,"Gerência + coordenadores"))))</f>
        <v>Gerência + coordenadores</v>
      </c>
      <c r="I35" s="34"/>
      <c r="J35" s="32" t="str">
        <f aca="false">IF($C35="","","—")</f>
        <v>—</v>
      </c>
      <c r="K35" s="53"/>
      <c r="L35" s="53"/>
      <c r="M35" s="54"/>
      <c r="N35" s="54"/>
      <c r="O35" s="54"/>
      <c r="P35" s="55"/>
      <c r="Q35" s="56"/>
      <c r="R35" s="57"/>
      <c r="S35" s="34" t="str">
        <f aca="true">IF($C35="","",IF($Q35="Cancelada","Cancelada",IF($Q35="Reprovado","Reprovada",IF($Q35="Aprovado","Aprovada",IF($M35&lt;&gt;"","Entregue",IF(TODAY()&gt;$C35,"Atrasada","Pendente"))))))</f>
        <v>Pendente</v>
      </c>
      <c r="T35" s="58"/>
      <c r="U35" s="58"/>
      <c r="V35" s="58"/>
    </row>
    <row r="36" customFormat="false" ht="22.35" hidden="false" customHeight="false" outlineLevel="0" collapsed="false">
      <c r="A36" s="59" t="str">
        <f aca="false">IF($C36="","",$X$2&amp;"-S"&amp;INT(($C36-WEEKDAY($C36,2)+11-DATE(YEAR($C36+4-WEEKDAY($C36,2)),1,1))/7)&amp;"-VIS-A")</f>
        <v>OUT-S42-VIS-A</v>
      </c>
      <c r="B36" s="30" t="str">
        <f aca="false">IF($C36="","","S"&amp;INT(($C36-WEEKDAY($C36,2)+11-DATE(YEAR($C36+4-WEEKDAY($C36,2)),1,1))/7))</f>
        <v>S42</v>
      </c>
      <c r="C36" s="52" t="n">
        <f aca="false">IF(MONTH(($X$1-WEEKDAY($X$1,3)+14)+2)=MONTH($X$1),($X$1-WEEKDAY($X$1,3)+14)+2,"")</f>
        <v>46309</v>
      </c>
      <c r="D36" s="27" t="str">
        <f aca="false">IF($C36="","","Vistoria Setorial (checklist no setor definido pelo gerente)")</f>
        <v>Vistoria Setorial (checklist no setor definido pelo gerente)</v>
      </c>
      <c r="E36" s="27"/>
      <c r="F36" s="27"/>
      <c r="G36" s="30" t="str">
        <f aca="false">IF($C36="","","A")</f>
        <v>A</v>
      </c>
      <c r="H36" s="30" t="str">
        <f aca="false">IF($C36="","",IF($G36="A",CONFIG!$B$5,IF($G36="B",CONFIG!$B$6,IF($G36="C",CONFIG!$B$7,"Gerência + coordenadores"))))</f>
        <v>(preencha o nome)</v>
      </c>
      <c r="I36" s="30"/>
      <c r="J36" s="56"/>
      <c r="K36" s="53"/>
      <c r="L36" s="53"/>
      <c r="M36" s="54"/>
      <c r="N36" s="54"/>
      <c r="O36" s="54"/>
      <c r="P36" s="60"/>
      <c r="Q36" s="56"/>
      <c r="R36" s="57"/>
      <c r="S36" s="30" t="str">
        <f aca="true">IF($C36="","",IF($Q36="Cancelada","Cancelada",IF($Q36="Reprovado","Reprovada",IF($Q36="Aprovado","Aprovada",IF($M36&lt;&gt;"","Entregue",IF(TODAY()&gt;$C36,"Atrasada","Pendente"))))))</f>
        <v>Pendente</v>
      </c>
      <c r="T36" s="58"/>
      <c r="U36" s="58"/>
      <c r="V36" s="58"/>
    </row>
    <row r="37" customFormat="false" ht="22.35" hidden="false" customHeight="false" outlineLevel="0" collapsed="false">
      <c r="A37" s="51" t="str">
        <f aca="false">IF($C37="","",$X$2&amp;"-S"&amp;INT(($C37-WEEKDAY($C37,2)+11-DATE(YEAR($C37+4-WEEKDAY($C37,2)),1,1))/7)&amp;"-VIS-B")</f>
        <v>OUT-S42-VIS-B</v>
      </c>
      <c r="B37" s="34" t="str">
        <f aca="false">IF($C37="","","S"&amp;INT(($C37-WEEKDAY($C37,2)+11-DATE(YEAR($C37+4-WEEKDAY($C37,2)),1,1))/7))</f>
        <v>S42</v>
      </c>
      <c r="C37" s="52" t="n">
        <f aca="false">IF(MONTH(($X$1-WEEKDAY($X$1,3)+14)+2)=MONTH($X$1),($X$1-WEEKDAY($X$1,3)+14)+2,"")</f>
        <v>46309</v>
      </c>
      <c r="D37" s="9" t="str">
        <f aca="false">IF($C37="","","Vistoria Setorial (checklist no setor definido pelo gerente)")</f>
        <v>Vistoria Setorial (checklist no setor definido pelo gerente)</v>
      </c>
      <c r="E37" s="9"/>
      <c r="F37" s="9"/>
      <c r="G37" s="34" t="str">
        <f aca="false">IF($C37="","","B")</f>
        <v>B</v>
      </c>
      <c r="H37" s="34" t="str">
        <f aca="false">IF($C37="","",IF($G37="A",CONFIG!$B$5,IF($G37="B",CONFIG!$B$6,IF($G37="C",CONFIG!$B$7,"Gerência + coordenadores"))))</f>
        <v>(preencha o nome)</v>
      </c>
      <c r="I37" s="34"/>
      <c r="J37" s="56"/>
      <c r="K37" s="53"/>
      <c r="L37" s="53"/>
      <c r="M37" s="54"/>
      <c r="N37" s="54"/>
      <c r="O37" s="54"/>
      <c r="P37" s="55"/>
      <c r="Q37" s="56"/>
      <c r="R37" s="57"/>
      <c r="S37" s="34" t="str">
        <f aca="true">IF($C37="","",IF($Q37="Cancelada","Cancelada",IF($Q37="Reprovado","Reprovada",IF($Q37="Aprovado","Aprovada",IF($M37&lt;&gt;"","Entregue",IF(TODAY()&gt;$C37,"Atrasada","Pendente"))))))</f>
        <v>Pendente</v>
      </c>
      <c r="T37" s="58"/>
      <c r="U37" s="58"/>
      <c r="V37" s="58"/>
    </row>
    <row r="38" customFormat="false" ht="22.35" hidden="false" customHeight="false" outlineLevel="0" collapsed="false">
      <c r="A38" s="59" t="str">
        <f aca="false">IF($C38="","",$X$2&amp;"-S"&amp;INT(($C38-WEEKDAY($C38,2)+11-DATE(YEAR($C38+4-WEEKDAY($C38,2)),1,1))/7)&amp;"-VIS-C")</f>
        <v>OUT-S42-VIS-C</v>
      </c>
      <c r="B38" s="30" t="str">
        <f aca="false">IF($C38="","","S"&amp;INT(($C38-WEEKDAY($C38,2)+11-DATE(YEAR($C38+4-WEEKDAY($C38,2)),1,1))/7))</f>
        <v>S42</v>
      </c>
      <c r="C38" s="52" t="n">
        <f aca="false">IF(MONTH(($X$1-WEEKDAY($X$1,3)+14)+2)=MONTH($X$1),($X$1-WEEKDAY($X$1,3)+14)+2,"")</f>
        <v>46309</v>
      </c>
      <c r="D38" s="27" t="str">
        <f aca="false">IF($C38="","","Vistoria Setorial (checklist no setor definido pelo gerente)")</f>
        <v>Vistoria Setorial (checklist no setor definido pelo gerente)</v>
      </c>
      <c r="E38" s="27"/>
      <c r="F38" s="27"/>
      <c r="G38" s="30" t="str">
        <f aca="false">IF($C38="","","C")</f>
        <v>C</v>
      </c>
      <c r="H38" s="30" t="str">
        <f aca="false">IF($C38="","",IF($G38="A",CONFIG!$B$5,IF($G38="B",CONFIG!$B$6,IF($G38="C",CONFIG!$B$7,"Gerência + coordenadores"))))</f>
        <v>(preencha o nome)</v>
      </c>
      <c r="I38" s="30"/>
      <c r="J38" s="56"/>
      <c r="K38" s="53"/>
      <c r="L38" s="53"/>
      <c r="M38" s="54"/>
      <c r="N38" s="54"/>
      <c r="O38" s="54"/>
      <c r="P38" s="60"/>
      <c r="Q38" s="56"/>
      <c r="R38" s="57"/>
      <c r="S38" s="30" t="str">
        <f aca="true">IF($C38="","",IF($Q38="Cancelada","Cancelada",IF($Q38="Reprovado","Reprovada",IF($Q38="Aprovado","Aprovada",IF($M38&lt;&gt;"","Entregue",IF(TODAY()&gt;$C38,"Atrasada","Pendente"))))))</f>
        <v>Pendente</v>
      </c>
      <c r="T38" s="58"/>
      <c r="U38" s="58"/>
      <c r="V38" s="58"/>
    </row>
    <row r="39" customFormat="false" ht="22.35" hidden="false" customHeight="false" outlineLevel="0" collapsed="false">
      <c r="A39" s="51" t="str">
        <f aca="false">IF($C39="","",$X$2&amp;"-S"&amp;INT(($C39-WEEKDAY($C39,2)+11-DATE(YEAR($C39+4-WEEKDAY($C39,2)),1,1))/7)&amp;"-RSC-A")</f>
        <v>OUT-S42-RSC-A</v>
      </c>
      <c r="B39" s="34" t="str">
        <f aca="false">IF($C39="","","S"&amp;INT(($C39-WEEKDAY($C39,2)+11-DATE(YEAR($C39+4-WEEKDAY($C39,2)),1,1))/7))</f>
        <v>S42</v>
      </c>
      <c r="C39" s="52" t="n">
        <f aca="false">IF(MONTH(($X$1-WEEKDAY($X$1,3)+14)+3)=MONTH($X$1),($X$1-WEEKDAY($X$1,3)+14)+3,"")</f>
        <v>46310</v>
      </c>
      <c r="D39" s="9" t="str">
        <f aca="false">IF($C39="","","Relatório Semanal Consolidado (erros + metas + faltas + supervisores)")</f>
        <v>Relatório Semanal Consolidado (erros + metas + faltas + supervisores)</v>
      </c>
      <c r="E39" s="9"/>
      <c r="F39" s="9"/>
      <c r="G39" s="34" t="str">
        <f aca="false">IF($C39="","","A")</f>
        <v>A</v>
      </c>
      <c r="H39" s="34" t="str">
        <f aca="false">IF($C39="","",IF($G39="A",CONFIG!$B$5,IF($G39="B",CONFIG!$B$6,IF($G39="C",CONFIG!$B$7,"Gerência + coordenadores"))))</f>
        <v>(preencha o nome)</v>
      </c>
      <c r="I39" s="34"/>
      <c r="J39" s="32" t="str">
        <f aca="false">IF($C39="","","—")</f>
        <v>—</v>
      </c>
      <c r="K39" s="61"/>
      <c r="L39" s="61"/>
      <c r="M39" s="54"/>
      <c r="N39" s="54"/>
      <c r="O39" s="54"/>
      <c r="P39" s="55"/>
      <c r="Q39" s="56"/>
      <c r="R39" s="57"/>
      <c r="S39" s="34" t="str">
        <f aca="true">IF($C39="","",IF($Q39="Cancelada","Cancelada",IF($Q39="Reprovado","Reprovada",IF($Q39="Aprovado","Aprovada",IF($M39&lt;&gt;"","Entregue",IF(TODAY()&gt;$C39,"Atrasada","Pendente"))))))</f>
        <v>Pendente</v>
      </c>
      <c r="T39" s="58"/>
      <c r="U39" s="58"/>
      <c r="V39" s="58"/>
    </row>
    <row r="40" customFormat="false" ht="22.35" hidden="false" customHeight="false" outlineLevel="0" collapsed="false">
      <c r="A40" s="59" t="str">
        <f aca="false">IF($C40="","",$X$2&amp;"-S"&amp;INT(($C40-WEEKDAY($C40,2)+11-DATE(YEAR($C40+4-WEEKDAY($C40,2)),1,1))/7)&amp;"-RSC-B")</f>
        <v>OUT-S42-RSC-B</v>
      </c>
      <c r="B40" s="30" t="str">
        <f aca="false">IF($C40="","","S"&amp;INT(($C40-WEEKDAY($C40,2)+11-DATE(YEAR($C40+4-WEEKDAY($C40,2)),1,1))/7))</f>
        <v>S42</v>
      </c>
      <c r="C40" s="52" t="n">
        <f aca="false">IF(MONTH(($X$1-WEEKDAY($X$1,3)+14)+3)=MONTH($X$1),($X$1-WEEKDAY($X$1,3)+14)+3,"")</f>
        <v>46310</v>
      </c>
      <c r="D40" s="27" t="str">
        <f aca="false">IF($C40="","","Relatório Semanal Consolidado (erros + metas + faltas + supervisores)")</f>
        <v>Relatório Semanal Consolidado (erros + metas + faltas + supervisores)</v>
      </c>
      <c r="E40" s="27"/>
      <c r="F40" s="27"/>
      <c r="G40" s="30" t="str">
        <f aca="false">IF($C40="","","B")</f>
        <v>B</v>
      </c>
      <c r="H40" s="30" t="str">
        <f aca="false">IF($C40="","",IF($G40="A",CONFIG!$B$5,IF($G40="B",CONFIG!$B$6,IF($G40="C",CONFIG!$B$7,"Gerência + coordenadores"))))</f>
        <v>(preencha o nome)</v>
      </c>
      <c r="I40" s="30"/>
      <c r="J40" s="32" t="str">
        <f aca="false">IF($C40="","","—")</f>
        <v>—</v>
      </c>
      <c r="K40" s="61"/>
      <c r="L40" s="61"/>
      <c r="M40" s="54"/>
      <c r="N40" s="54"/>
      <c r="O40" s="54"/>
      <c r="P40" s="60"/>
      <c r="Q40" s="56"/>
      <c r="R40" s="57"/>
      <c r="S40" s="30" t="str">
        <f aca="true">IF($C40="","",IF($Q40="Cancelada","Cancelada",IF($Q40="Reprovado","Reprovada",IF($Q40="Aprovado","Aprovada",IF($M40&lt;&gt;"","Entregue",IF(TODAY()&gt;$C40,"Atrasada","Pendente"))))))</f>
        <v>Pendente</v>
      </c>
      <c r="T40" s="58"/>
      <c r="U40" s="58"/>
      <c r="V40" s="58"/>
    </row>
    <row r="41" customFormat="false" ht="22.35" hidden="false" customHeight="false" outlineLevel="0" collapsed="false">
      <c r="A41" s="51" t="str">
        <f aca="false">IF($C41="","",$X$2&amp;"-S"&amp;INT(($C41-WEEKDAY($C41,2)+11-DATE(YEAR($C41+4-WEEKDAY($C41,2)),1,1))/7)&amp;"-RSC-C")</f>
        <v>OUT-S42-RSC-C</v>
      </c>
      <c r="B41" s="34" t="str">
        <f aca="false">IF($C41="","","S"&amp;INT(($C41-WEEKDAY($C41,2)+11-DATE(YEAR($C41+4-WEEKDAY($C41,2)),1,1))/7))</f>
        <v>S42</v>
      </c>
      <c r="C41" s="52" t="n">
        <f aca="false">IF(MONTH(($X$1-WEEKDAY($X$1,3)+14)+3)=MONTH($X$1),($X$1-WEEKDAY($X$1,3)+14)+3,"")</f>
        <v>46310</v>
      </c>
      <c r="D41" s="9" t="str">
        <f aca="false">IF($C41="","","Relatório Semanal Consolidado (erros + metas + faltas + supervisores)")</f>
        <v>Relatório Semanal Consolidado (erros + metas + faltas + supervisores)</v>
      </c>
      <c r="E41" s="9"/>
      <c r="F41" s="9"/>
      <c r="G41" s="34" t="str">
        <f aca="false">IF($C41="","","C")</f>
        <v>C</v>
      </c>
      <c r="H41" s="34" t="str">
        <f aca="false">IF($C41="","",IF($G41="A",CONFIG!$B$5,IF($G41="B",CONFIG!$B$6,IF($G41="C",CONFIG!$B$7,"Gerência + coordenadores"))))</f>
        <v>(preencha o nome)</v>
      </c>
      <c r="I41" s="34"/>
      <c r="J41" s="32" t="str">
        <f aca="false">IF($C41="","","—")</f>
        <v>—</v>
      </c>
      <c r="K41" s="61"/>
      <c r="L41" s="61"/>
      <c r="M41" s="54"/>
      <c r="N41" s="54"/>
      <c r="O41" s="54"/>
      <c r="P41" s="55"/>
      <c r="Q41" s="56"/>
      <c r="R41" s="57"/>
      <c r="S41" s="34" t="str">
        <f aca="true">IF($C41="","",IF($Q41="Cancelada","Cancelada",IF($Q41="Reprovado","Reprovada",IF($Q41="Aprovado","Aprovada",IF($M41&lt;&gt;"","Entregue",IF(TODAY()&gt;$C41,"Atrasada","Pendente"))))))</f>
        <v>Pendente</v>
      </c>
      <c r="T41" s="58"/>
      <c r="U41" s="58"/>
      <c r="V41" s="58"/>
    </row>
    <row r="42" customFormat="false" ht="24" hidden="false" customHeight="true" outlineLevel="0" collapsed="false">
      <c r="A42" s="59" t="str">
        <f aca="false">IF($C42="","",$X$2&amp;"-S"&amp;INT(($C42-WEEKDAY($C42,2)+11-DATE(YEAR($C42+4-WEEKDAY($C42,2)),1,1))/7)&amp;"-REU-T")</f>
        <v>OUT-S42-REU-T</v>
      </c>
      <c r="B42" s="30" t="str">
        <f aca="false">IF($C42="","","S"&amp;INT(($C42-WEEKDAY($C42,2)+11-DATE(YEAR($C42+4-WEEKDAY($C42,2)),1,1))/7))</f>
        <v>S42</v>
      </c>
      <c r="C42" s="52" t="n">
        <f aca="false">IF(MONTH(($X$1-WEEKDAY($X$1,3)+14)+4)=MONTH($X$1),($X$1-WEEKDAY($X$1,3)+14)+4,"")</f>
        <v>46311</v>
      </c>
      <c r="D42" s="27" t="str">
        <f aca="false">IF($C42="","","Reunião Semanal com a Gerência")</f>
        <v>Reunião Semanal com a Gerência</v>
      </c>
      <c r="E42" s="27"/>
      <c r="F42" s="27"/>
      <c r="G42" s="30" t="str">
        <f aca="false">IF($C42="","","Todos")</f>
        <v>Todos</v>
      </c>
      <c r="H42" s="30" t="str">
        <f aca="false">IF($C42="","",IF($G42="A",CONFIG!$B$5,IF($G42="B",CONFIG!$B$6,IF($G42="C",CONFIG!$B$7,"Gerência + coordenadores"))))</f>
        <v>Gerência + coordenadores</v>
      </c>
      <c r="I42" s="30"/>
      <c r="J42" s="32" t="str">
        <f aca="false">IF($C42="","","—")</f>
        <v>—</v>
      </c>
      <c r="K42" s="53"/>
      <c r="L42" s="53"/>
      <c r="M42" s="54"/>
      <c r="N42" s="54"/>
      <c r="O42" s="54"/>
      <c r="P42" s="60"/>
      <c r="Q42" s="56"/>
      <c r="R42" s="57"/>
      <c r="S42" s="30" t="str">
        <f aca="true">IF($C42="","",IF($Q42="Cancelada","Cancelada",IF($Q42="Reprovado","Reprovada",IF($Q42="Aprovado","Aprovada",IF($M42&lt;&gt;"","Entregue",IF(TODAY()&gt;$C42,"Atrasada","Pendente"))))))</f>
        <v>Pendente</v>
      </c>
      <c r="T42" s="58"/>
      <c r="U42" s="58"/>
      <c r="V42" s="58"/>
    </row>
    <row r="43" customFormat="false" ht="22.35" hidden="false" customHeight="false" outlineLevel="0" collapsed="false">
      <c r="A43" s="51" t="str">
        <f aca="false">IF($C43="","",$X$2&amp;"-S"&amp;INT(($C43-WEEKDAY($C43,2)+11-DATE(YEAR($C43+4-WEEKDAY($C43,2)),1,1))/7)&amp;"-VIS-A")</f>
        <v>OUT-S43-VIS-A</v>
      </c>
      <c r="B43" s="34" t="str">
        <f aca="false">IF($C43="","","S"&amp;INT(($C43-WEEKDAY($C43,2)+11-DATE(YEAR($C43+4-WEEKDAY($C43,2)),1,1))/7))</f>
        <v>S43</v>
      </c>
      <c r="C43" s="52" t="n">
        <f aca="false">IF(MONTH(($X$1-WEEKDAY($X$1,3)+21)+2)=MONTH($X$1),($X$1-WEEKDAY($X$1,3)+21)+2,"")</f>
        <v>46316</v>
      </c>
      <c r="D43" s="9" t="str">
        <f aca="false">IF($C43="","","Vistoria Setorial (checklist no setor definido pelo gerente)")</f>
        <v>Vistoria Setorial (checklist no setor definido pelo gerente)</v>
      </c>
      <c r="E43" s="9"/>
      <c r="F43" s="9"/>
      <c r="G43" s="34" t="str">
        <f aca="false">IF($C43="","","A")</f>
        <v>A</v>
      </c>
      <c r="H43" s="34" t="str">
        <f aca="false">IF($C43="","",IF($G43="A",CONFIG!$B$5,IF($G43="B",CONFIG!$B$6,IF($G43="C",CONFIG!$B$7,"Gerência + coordenadores"))))</f>
        <v>(preencha o nome)</v>
      </c>
      <c r="I43" s="34"/>
      <c r="J43" s="56"/>
      <c r="K43" s="53"/>
      <c r="L43" s="53"/>
      <c r="M43" s="54"/>
      <c r="N43" s="54"/>
      <c r="O43" s="54"/>
      <c r="P43" s="55"/>
      <c r="Q43" s="56"/>
      <c r="R43" s="57"/>
      <c r="S43" s="34" t="str">
        <f aca="true">IF($C43="","",IF($Q43="Cancelada","Cancelada",IF($Q43="Reprovado","Reprovada",IF($Q43="Aprovado","Aprovada",IF($M43&lt;&gt;"","Entregue",IF(TODAY()&gt;$C43,"Atrasada","Pendente"))))))</f>
        <v>Pendente</v>
      </c>
      <c r="T43" s="58"/>
      <c r="U43" s="58"/>
      <c r="V43" s="58"/>
    </row>
    <row r="44" customFormat="false" ht="22.35" hidden="false" customHeight="false" outlineLevel="0" collapsed="false">
      <c r="A44" s="59" t="str">
        <f aca="false">IF($C44="","",$X$2&amp;"-S"&amp;INT(($C44-WEEKDAY($C44,2)+11-DATE(YEAR($C44+4-WEEKDAY($C44,2)),1,1))/7)&amp;"-VIS-B")</f>
        <v>OUT-S43-VIS-B</v>
      </c>
      <c r="B44" s="30" t="str">
        <f aca="false">IF($C44="","","S"&amp;INT(($C44-WEEKDAY($C44,2)+11-DATE(YEAR($C44+4-WEEKDAY($C44,2)),1,1))/7))</f>
        <v>S43</v>
      </c>
      <c r="C44" s="52" t="n">
        <f aca="false">IF(MONTH(($X$1-WEEKDAY($X$1,3)+21)+2)=MONTH($X$1),($X$1-WEEKDAY($X$1,3)+21)+2,"")</f>
        <v>46316</v>
      </c>
      <c r="D44" s="27" t="str">
        <f aca="false">IF($C44="","","Vistoria Setorial (checklist no setor definido pelo gerente)")</f>
        <v>Vistoria Setorial (checklist no setor definido pelo gerente)</v>
      </c>
      <c r="E44" s="27"/>
      <c r="F44" s="27"/>
      <c r="G44" s="30" t="str">
        <f aca="false">IF($C44="","","B")</f>
        <v>B</v>
      </c>
      <c r="H44" s="30" t="str">
        <f aca="false">IF($C44="","",IF($G44="A",CONFIG!$B$5,IF($G44="B",CONFIG!$B$6,IF($G44="C",CONFIG!$B$7,"Gerência + coordenadores"))))</f>
        <v>(preencha o nome)</v>
      </c>
      <c r="I44" s="30"/>
      <c r="J44" s="56"/>
      <c r="K44" s="53"/>
      <c r="L44" s="53"/>
      <c r="M44" s="54"/>
      <c r="N44" s="54"/>
      <c r="O44" s="54"/>
      <c r="P44" s="60"/>
      <c r="Q44" s="56"/>
      <c r="R44" s="57"/>
      <c r="S44" s="30" t="str">
        <f aca="true">IF($C44="","",IF($Q44="Cancelada","Cancelada",IF($Q44="Reprovado","Reprovada",IF($Q44="Aprovado","Aprovada",IF($M44&lt;&gt;"","Entregue",IF(TODAY()&gt;$C44,"Atrasada","Pendente"))))))</f>
        <v>Pendente</v>
      </c>
      <c r="T44" s="58"/>
      <c r="U44" s="58"/>
      <c r="V44" s="58"/>
    </row>
    <row r="45" customFormat="false" ht="22.35" hidden="false" customHeight="false" outlineLevel="0" collapsed="false">
      <c r="A45" s="51" t="str">
        <f aca="false">IF($C45="","",$X$2&amp;"-S"&amp;INT(($C45-WEEKDAY($C45,2)+11-DATE(YEAR($C45+4-WEEKDAY($C45,2)),1,1))/7)&amp;"-VIS-C")</f>
        <v>OUT-S43-VIS-C</v>
      </c>
      <c r="B45" s="34" t="str">
        <f aca="false">IF($C45="","","S"&amp;INT(($C45-WEEKDAY($C45,2)+11-DATE(YEAR($C45+4-WEEKDAY($C45,2)),1,1))/7))</f>
        <v>S43</v>
      </c>
      <c r="C45" s="52" t="n">
        <f aca="false">IF(MONTH(($X$1-WEEKDAY($X$1,3)+21)+2)=MONTH($X$1),($X$1-WEEKDAY($X$1,3)+21)+2,"")</f>
        <v>46316</v>
      </c>
      <c r="D45" s="9" t="str">
        <f aca="false">IF($C45="","","Vistoria Setorial (checklist no setor definido pelo gerente)")</f>
        <v>Vistoria Setorial (checklist no setor definido pelo gerente)</v>
      </c>
      <c r="E45" s="9"/>
      <c r="F45" s="9"/>
      <c r="G45" s="34" t="str">
        <f aca="false">IF($C45="","","C")</f>
        <v>C</v>
      </c>
      <c r="H45" s="34" t="str">
        <f aca="false">IF($C45="","",IF($G45="A",CONFIG!$B$5,IF($G45="B",CONFIG!$B$6,IF($G45="C",CONFIG!$B$7,"Gerência + coordenadores"))))</f>
        <v>(preencha o nome)</v>
      </c>
      <c r="I45" s="34"/>
      <c r="J45" s="56"/>
      <c r="K45" s="53"/>
      <c r="L45" s="53"/>
      <c r="M45" s="54"/>
      <c r="N45" s="54"/>
      <c r="O45" s="54"/>
      <c r="P45" s="55"/>
      <c r="Q45" s="56"/>
      <c r="R45" s="57"/>
      <c r="S45" s="34" t="str">
        <f aca="true">IF($C45="","",IF($Q45="Cancelada","Cancelada",IF($Q45="Reprovado","Reprovada",IF($Q45="Aprovado","Aprovada",IF($M45&lt;&gt;"","Entregue",IF(TODAY()&gt;$C45,"Atrasada","Pendente"))))))</f>
        <v>Pendente</v>
      </c>
      <c r="T45" s="58"/>
      <c r="U45" s="58"/>
      <c r="V45" s="58"/>
    </row>
    <row r="46" customFormat="false" ht="22.35" hidden="false" customHeight="false" outlineLevel="0" collapsed="false">
      <c r="A46" s="59" t="str">
        <f aca="false">IF($C46="","",$X$2&amp;"-S"&amp;INT(($C46-WEEKDAY($C46,2)+11-DATE(YEAR($C46+4-WEEKDAY($C46,2)),1,1))/7)&amp;"-RSC-A")</f>
        <v>OUT-S43-RSC-A</v>
      </c>
      <c r="B46" s="30" t="str">
        <f aca="false">IF($C46="","","S"&amp;INT(($C46-WEEKDAY($C46,2)+11-DATE(YEAR($C46+4-WEEKDAY($C46,2)),1,1))/7))</f>
        <v>S43</v>
      </c>
      <c r="C46" s="52" t="n">
        <f aca="false">IF(MONTH(($X$1-WEEKDAY($X$1,3)+21)+3)=MONTH($X$1),($X$1-WEEKDAY($X$1,3)+21)+3,"")</f>
        <v>46317</v>
      </c>
      <c r="D46" s="27" t="str">
        <f aca="false">IF($C46="","","Relatório Semanal Consolidado (erros + metas + faltas + supervisores)")</f>
        <v>Relatório Semanal Consolidado (erros + metas + faltas + supervisores)</v>
      </c>
      <c r="E46" s="27"/>
      <c r="F46" s="27"/>
      <c r="G46" s="30" t="str">
        <f aca="false">IF($C46="","","A")</f>
        <v>A</v>
      </c>
      <c r="H46" s="30" t="str">
        <f aca="false">IF($C46="","",IF($G46="A",CONFIG!$B$5,IF($G46="B",CONFIG!$B$6,IF($G46="C",CONFIG!$B$7,"Gerência + coordenadores"))))</f>
        <v>(preencha o nome)</v>
      </c>
      <c r="I46" s="30"/>
      <c r="J46" s="32" t="str">
        <f aca="false">IF($C46="","","—")</f>
        <v>—</v>
      </c>
      <c r="K46" s="61"/>
      <c r="L46" s="61"/>
      <c r="M46" s="54"/>
      <c r="N46" s="54"/>
      <c r="O46" s="54"/>
      <c r="P46" s="60"/>
      <c r="Q46" s="56"/>
      <c r="R46" s="57"/>
      <c r="S46" s="30" t="str">
        <f aca="true">IF($C46="","",IF($Q46="Cancelada","Cancelada",IF($Q46="Reprovado","Reprovada",IF($Q46="Aprovado","Aprovada",IF($M46&lt;&gt;"","Entregue",IF(TODAY()&gt;$C46,"Atrasada","Pendente"))))))</f>
        <v>Pendente</v>
      </c>
      <c r="T46" s="58"/>
      <c r="U46" s="58"/>
      <c r="V46" s="58"/>
    </row>
    <row r="47" customFormat="false" ht="22.35" hidden="false" customHeight="false" outlineLevel="0" collapsed="false">
      <c r="A47" s="51" t="str">
        <f aca="false">IF($C47="","",$X$2&amp;"-S"&amp;INT(($C47-WEEKDAY($C47,2)+11-DATE(YEAR($C47+4-WEEKDAY($C47,2)),1,1))/7)&amp;"-RSC-B")</f>
        <v>OUT-S43-RSC-B</v>
      </c>
      <c r="B47" s="34" t="str">
        <f aca="false">IF($C47="","","S"&amp;INT(($C47-WEEKDAY($C47,2)+11-DATE(YEAR($C47+4-WEEKDAY($C47,2)),1,1))/7))</f>
        <v>S43</v>
      </c>
      <c r="C47" s="52" t="n">
        <f aca="false">IF(MONTH(($X$1-WEEKDAY($X$1,3)+21)+3)=MONTH($X$1),($X$1-WEEKDAY($X$1,3)+21)+3,"")</f>
        <v>46317</v>
      </c>
      <c r="D47" s="9" t="str">
        <f aca="false">IF($C47="","","Relatório Semanal Consolidado (erros + metas + faltas + supervisores)")</f>
        <v>Relatório Semanal Consolidado (erros + metas + faltas + supervisores)</v>
      </c>
      <c r="E47" s="9"/>
      <c r="F47" s="9"/>
      <c r="G47" s="34" t="str">
        <f aca="false">IF($C47="","","B")</f>
        <v>B</v>
      </c>
      <c r="H47" s="34" t="str">
        <f aca="false">IF($C47="","",IF($G47="A",CONFIG!$B$5,IF($G47="B",CONFIG!$B$6,IF($G47="C",CONFIG!$B$7,"Gerência + coordenadores"))))</f>
        <v>(preencha o nome)</v>
      </c>
      <c r="I47" s="34"/>
      <c r="J47" s="32" t="str">
        <f aca="false">IF($C47="","","—")</f>
        <v>—</v>
      </c>
      <c r="K47" s="61"/>
      <c r="L47" s="61"/>
      <c r="M47" s="54"/>
      <c r="N47" s="54"/>
      <c r="O47" s="54"/>
      <c r="P47" s="55"/>
      <c r="Q47" s="56"/>
      <c r="R47" s="57"/>
      <c r="S47" s="34" t="str">
        <f aca="true">IF($C47="","",IF($Q47="Cancelada","Cancelada",IF($Q47="Reprovado","Reprovada",IF($Q47="Aprovado","Aprovada",IF($M47&lt;&gt;"","Entregue",IF(TODAY()&gt;$C47,"Atrasada","Pendente"))))))</f>
        <v>Pendente</v>
      </c>
      <c r="T47" s="58"/>
      <c r="U47" s="58"/>
      <c r="V47" s="58"/>
    </row>
    <row r="48" customFormat="false" ht="22.35" hidden="false" customHeight="false" outlineLevel="0" collapsed="false">
      <c r="A48" s="59" t="str">
        <f aca="false">IF($C48="","",$X$2&amp;"-S"&amp;INT(($C48-WEEKDAY($C48,2)+11-DATE(YEAR($C48+4-WEEKDAY($C48,2)),1,1))/7)&amp;"-RSC-C")</f>
        <v>OUT-S43-RSC-C</v>
      </c>
      <c r="B48" s="30" t="str">
        <f aca="false">IF($C48="","","S"&amp;INT(($C48-WEEKDAY($C48,2)+11-DATE(YEAR($C48+4-WEEKDAY($C48,2)),1,1))/7))</f>
        <v>S43</v>
      </c>
      <c r="C48" s="52" t="n">
        <f aca="false">IF(MONTH(($X$1-WEEKDAY($X$1,3)+21)+3)=MONTH($X$1),($X$1-WEEKDAY($X$1,3)+21)+3,"")</f>
        <v>46317</v>
      </c>
      <c r="D48" s="27" t="str">
        <f aca="false">IF($C48="","","Relatório Semanal Consolidado (erros + metas + faltas + supervisores)")</f>
        <v>Relatório Semanal Consolidado (erros + metas + faltas + supervisores)</v>
      </c>
      <c r="E48" s="27"/>
      <c r="F48" s="27"/>
      <c r="G48" s="30" t="str">
        <f aca="false">IF($C48="","","C")</f>
        <v>C</v>
      </c>
      <c r="H48" s="30" t="str">
        <f aca="false">IF($C48="","",IF($G48="A",CONFIG!$B$5,IF($G48="B",CONFIG!$B$6,IF($G48="C",CONFIG!$B$7,"Gerência + coordenadores"))))</f>
        <v>(preencha o nome)</v>
      </c>
      <c r="I48" s="30"/>
      <c r="J48" s="32" t="str">
        <f aca="false">IF($C48="","","—")</f>
        <v>—</v>
      </c>
      <c r="K48" s="61"/>
      <c r="L48" s="61"/>
      <c r="M48" s="54"/>
      <c r="N48" s="54"/>
      <c r="O48" s="54"/>
      <c r="P48" s="60"/>
      <c r="Q48" s="56"/>
      <c r="R48" s="57"/>
      <c r="S48" s="30" t="str">
        <f aca="true">IF($C48="","",IF($Q48="Cancelada","Cancelada",IF($Q48="Reprovado","Reprovada",IF($Q48="Aprovado","Aprovada",IF($M48&lt;&gt;"","Entregue",IF(TODAY()&gt;$C48,"Atrasada","Pendente"))))))</f>
        <v>Pendente</v>
      </c>
      <c r="T48" s="58"/>
      <c r="U48" s="58"/>
      <c r="V48" s="58"/>
    </row>
    <row r="49" customFormat="false" ht="24" hidden="false" customHeight="true" outlineLevel="0" collapsed="false">
      <c r="A49" s="51" t="str">
        <f aca="false">IF($C49="","",$X$2&amp;"-S"&amp;INT(($C49-WEEKDAY($C49,2)+11-DATE(YEAR($C49+4-WEEKDAY($C49,2)),1,1))/7)&amp;"-REU-T")</f>
        <v>OUT-S43-REU-T</v>
      </c>
      <c r="B49" s="34" t="str">
        <f aca="false">IF($C49="","","S"&amp;INT(($C49-WEEKDAY($C49,2)+11-DATE(YEAR($C49+4-WEEKDAY($C49,2)),1,1))/7))</f>
        <v>S43</v>
      </c>
      <c r="C49" s="52" t="n">
        <f aca="false">IF(MONTH(($X$1-WEEKDAY($X$1,3)+21)+4)=MONTH($X$1),($X$1-WEEKDAY($X$1,3)+21)+4,"")</f>
        <v>46318</v>
      </c>
      <c r="D49" s="9" t="str">
        <f aca="false">IF($C49="","","Reunião Semanal com a Gerência")</f>
        <v>Reunião Semanal com a Gerência</v>
      </c>
      <c r="E49" s="9"/>
      <c r="F49" s="9"/>
      <c r="G49" s="34" t="str">
        <f aca="false">IF($C49="","","Todos")</f>
        <v>Todos</v>
      </c>
      <c r="H49" s="34" t="str">
        <f aca="false">IF($C49="","",IF($G49="A",CONFIG!$B$5,IF($G49="B",CONFIG!$B$6,IF($G49="C",CONFIG!$B$7,"Gerência + coordenadores"))))</f>
        <v>Gerência + coordenadores</v>
      </c>
      <c r="I49" s="34"/>
      <c r="J49" s="32" t="str">
        <f aca="false">IF($C49="","","—")</f>
        <v>—</v>
      </c>
      <c r="K49" s="53"/>
      <c r="L49" s="53"/>
      <c r="M49" s="54"/>
      <c r="N49" s="54"/>
      <c r="O49" s="54"/>
      <c r="P49" s="55"/>
      <c r="Q49" s="56"/>
      <c r="R49" s="57"/>
      <c r="S49" s="34" t="str">
        <f aca="true">IF($C49="","",IF($Q49="Cancelada","Cancelada",IF($Q49="Reprovado","Reprovada",IF($Q49="Aprovado","Aprovada",IF($M49&lt;&gt;"","Entregue",IF(TODAY()&gt;$C49,"Atrasada","Pendente"))))))</f>
        <v>Pendente</v>
      </c>
      <c r="T49" s="58"/>
      <c r="U49" s="58"/>
      <c r="V49" s="58"/>
    </row>
    <row r="50" customFormat="false" ht="22.35" hidden="false" customHeight="false" outlineLevel="0" collapsed="false">
      <c r="A50" s="59" t="str">
        <f aca="false">IF($C50="","",$X$2&amp;"-S"&amp;INT(($C50-WEEKDAY($C50,2)+11-DATE(YEAR($C50+4-WEEKDAY($C50,2)),1,1))/7)&amp;"-VIS-A")</f>
        <v>OUT-S44-VIS-A</v>
      </c>
      <c r="B50" s="30" t="str">
        <f aca="false">IF($C50="","","S"&amp;INT(($C50-WEEKDAY($C50,2)+11-DATE(YEAR($C50+4-WEEKDAY($C50,2)),1,1))/7))</f>
        <v>S44</v>
      </c>
      <c r="C50" s="52" t="n">
        <f aca="false">IF(MONTH(($X$1-WEEKDAY($X$1,3)+28)+2)=MONTH($X$1),($X$1-WEEKDAY($X$1,3)+28)+2,"")</f>
        <v>46323</v>
      </c>
      <c r="D50" s="27" t="str">
        <f aca="false">IF($C50="","","Vistoria Setorial (checklist no setor definido pelo gerente)")</f>
        <v>Vistoria Setorial (checklist no setor definido pelo gerente)</v>
      </c>
      <c r="E50" s="27"/>
      <c r="F50" s="27"/>
      <c r="G50" s="30" t="str">
        <f aca="false">IF($C50="","","A")</f>
        <v>A</v>
      </c>
      <c r="H50" s="30" t="str">
        <f aca="false">IF($C50="","",IF($G50="A",CONFIG!$B$5,IF($G50="B",CONFIG!$B$6,IF($G50="C",CONFIG!$B$7,"Gerência + coordenadores"))))</f>
        <v>(preencha o nome)</v>
      </c>
      <c r="I50" s="30"/>
      <c r="J50" s="56"/>
      <c r="K50" s="53"/>
      <c r="L50" s="53"/>
      <c r="M50" s="54"/>
      <c r="N50" s="54"/>
      <c r="O50" s="54"/>
      <c r="P50" s="60"/>
      <c r="Q50" s="56"/>
      <c r="R50" s="57"/>
      <c r="S50" s="30" t="str">
        <f aca="true">IF($C50="","",IF($Q50="Cancelada","Cancelada",IF($Q50="Reprovado","Reprovada",IF($Q50="Aprovado","Aprovada",IF($M50&lt;&gt;"","Entregue",IF(TODAY()&gt;$C50,"Atrasada","Pendente"))))))</f>
        <v>Pendente</v>
      </c>
      <c r="T50" s="58"/>
      <c r="U50" s="58"/>
      <c r="V50" s="58"/>
    </row>
    <row r="51" customFormat="false" ht="22.35" hidden="false" customHeight="false" outlineLevel="0" collapsed="false">
      <c r="A51" s="51" t="str">
        <f aca="false">IF($C51="","",$X$2&amp;"-S"&amp;INT(($C51-WEEKDAY($C51,2)+11-DATE(YEAR($C51+4-WEEKDAY($C51,2)),1,1))/7)&amp;"-VIS-B")</f>
        <v>OUT-S44-VIS-B</v>
      </c>
      <c r="B51" s="34" t="str">
        <f aca="false">IF($C51="","","S"&amp;INT(($C51-WEEKDAY($C51,2)+11-DATE(YEAR($C51+4-WEEKDAY($C51,2)),1,1))/7))</f>
        <v>S44</v>
      </c>
      <c r="C51" s="52" t="n">
        <f aca="false">IF(MONTH(($X$1-WEEKDAY($X$1,3)+28)+2)=MONTH($X$1),($X$1-WEEKDAY($X$1,3)+28)+2,"")</f>
        <v>46323</v>
      </c>
      <c r="D51" s="9" t="str">
        <f aca="false">IF($C51="","","Vistoria Setorial (checklist no setor definido pelo gerente)")</f>
        <v>Vistoria Setorial (checklist no setor definido pelo gerente)</v>
      </c>
      <c r="E51" s="9"/>
      <c r="F51" s="9"/>
      <c r="G51" s="34" t="str">
        <f aca="false">IF($C51="","","B")</f>
        <v>B</v>
      </c>
      <c r="H51" s="34" t="str">
        <f aca="false">IF($C51="","",IF($G51="A",CONFIG!$B$5,IF($G51="B",CONFIG!$B$6,IF($G51="C",CONFIG!$B$7,"Gerência + coordenadores"))))</f>
        <v>(preencha o nome)</v>
      </c>
      <c r="I51" s="34"/>
      <c r="J51" s="56"/>
      <c r="K51" s="53"/>
      <c r="L51" s="53"/>
      <c r="M51" s="54"/>
      <c r="N51" s="54"/>
      <c r="O51" s="54"/>
      <c r="P51" s="55"/>
      <c r="Q51" s="56"/>
      <c r="R51" s="57"/>
      <c r="S51" s="34" t="str">
        <f aca="true">IF($C51="","",IF($Q51="Cancelada","Cancelada",IF($Q51="Reprovado","Reprovada",IF($Q51="Aprovado","Aprovada",IF($M51&lt;&gt;"","Entregue",IF(TODAY()&gt;$C51,"Atrasada","Pendente"))))))</f>
        <v>Pendente</v>
      </c>
      <c r="T51" s="58"/>
      <c r="U51" s="58"/>
      <c r="V51" s="58"/>
    </row>
    <row r="52" customFormat="false" ht="22.35" hidden="false" customHeight="false" outlineLevel="0" collapsed="false">
      <c r="A52" s="59" t="str">
        <f aca="false">IF($C52="","",$X$2&amp;"-S"&amp;INT(($C52-WEEKDAY($C52,2)+11-DATE(YEAR($C52+4-WEEKDAY($C52,2)),1,1))/7)&amp;"-VIS-C")</f>
        <v>OUT-S44-VIS-C</v>
      </c>
      <c r="B52" s="30" t="str">
        <f aca="false">IF($C52="","","S"&amp;INT(($C52-WEEKDAY($C52,2)+11-DATE(YEAR($C52+4-WEEKDAY($C52,2)),1,1))/7))</f>
        <v>S44</v>
      </c>
      <c r="C52" s="52" t="n">
        <f aca="false">IF(MONTH(($X$1-WEEKDAY($X$1,3)+28)+2)=MONTH($X$1),($X$1-WEEKDAY($X$1,3)+28)+2,"")</f>
        <v>46323</v>
      </c>
      <c r="D52" s="27" t="str">
        <f aca="false">IF($C52="","","Vistoria Setorial (checklist no setor definido pelo gerente)")</f>
        <v>Vistoria Setorial (checklist no setor definido pelo gerente)</v>
      </c>
      <c r="E52" s="27"/>
      <c r="F52" s="27"/>
      <c r="G52" s="30" t="str">
        <f aca="false">IF($C52="","","C")</f>
        <v>C</v>
      </c>
      <c r="H52" s="30" t="str">
        <f aca="false">IF($C52="","",IF($G52="A",CONFIG!$B$5,IF($G52="B",CONFIG!$B$6,IF($G52="C",CONFIG!$B$7,"Gerência + coordenadores"))))</f>
        <v>(preencha o nome)</v>
      </c>
      <c r="I52" s="30"/>
      <c r="J52" s="56"/>
      <c r="K52" s="53"/>
      <c r="L52" s="53"/>
      <c r="M52" s="54"/>
      <c r="N52" s="54"/>
      <c r="O52" s="54"/>
      <c r="P52" s="60"/>
      <c r="Q52" s="56"/>
      <c r="R52" s="57"/>
      <c r="S52" s="30" t="str">
        <f aca="true">IF($C52="","",IF($Q52="Cancelada","Cancelada",IF($Q52="Reprovado","Reprovada",IF($Q52="Aprovado","Aprovada",IF($M52&lt;&gt;"","Entregue",IF(TODAY()&gt;$C52,"Atrasada","Pendente"))))))</f>
        <v>Pendente</v>
      </c>
      <c r="T52" s="58"/>
      <c r="U52" s="58"/>
      <c r="V52" s="58"/>
    </row>
    <row r="53" customFormat="false" ht="22.35" hidden="false" customHeight="false" outlineLevel="0" collapsed="false">
      <c r="A53" s="51" t="str">
        <f aca="false">IF($C53="","",$X$2&amp;"-S"&amp;INT(($C53-WEEKDAY($C53,2)+11-DATE(YEAR($C53+4-WEEKDAY($C53,2)),1,1))/7)&amp;"-RSC-A")</f>
        <v>OUT-S44-RSC-A</v>
      </c>
      <c r="B53" s="34" t="str">
        <f aca="false">IF($C53="","","S"&amp;INT(($C53-WEEKDAY($C53,2)+11-DATE(YEAR($C53+4-WEEKDAY($C53,2)),1,1))/7))</f>
        <v>S44</v>
      </c>
      <c r="C53" s="52" t="n">
        <f aca="false">IF(MONTH(($X$1-WEEKDAY($X$1,3)+28)+3)=MONTH($X$1),($X$1-WEEKDAY($X$1,3)+28)+3,"")</f>
        <v>46324</v>
      </c>
      <c r="D53" s="9" t="str">
        <f aca="false">IF($C53="","","Relatório Semanal Consolidado (erros + metas + faltas + supervisores)")</f>
        <v>Relatório Semanal Consolidado (erros + metas + faltas + supervisores)</v>
      </c>
      <c r="E53" s="9"/>
      <c r="F53" s="9"/>
      <c r="G53" s="34" t="str">
        <f aca="false">IF($C53="","","A")</f>
        <v>A</v>
      </c>
      <c r="H53" s="34" t="str">
        <f aca="false">IF($C53="","",IF($G53="A",CONFIG!$B$5,IF($G53="B",CONFIG!$B$6,IF($G53="C",CONFIG!$B$7,"Gerência + coordenadores"))))</f>
        <v>(preencha o nome)</v>
      </c>
      <c r="I53" s="34"/>
      <c r="J53" s="32" t="str">
        <f aca="false">IF($C53="","","—")</f>
        <v>—</v>
      </c>
      <c r="K53" s="61"/>
      <c r="L53" s="61"/>
      <c r="M53" s="54"/>
      <c r="N53" s="54"/>
      <c r="O53" s="54"/>
      <c r="P53" s="55"/>
      <c r="Q53" s="56"/>
      <c r="R53" s="57"/>
      <c r="S53" s="34" t="str">
        <f aca="true">IF($C53="","",IF($Q53="Cancelada","Cancelada",IF($Q53="Reprovado","Reprovada",IF($Q53="Aprovado","Aprovada",IF($M53&lt;&gt;"","Entregue",IF(TODAY()&gt;$C53,"Atrasada","Pendente"))))))</f>
        <v>Pendente</v>
      </c>
      <c r="T53" s="58"/>
      <c r="U53" s="58"/>
      <c r="V53" s="58"/>
    </row>
    <row r="54" customFormat="false" ht="22.35" hidden="false" customHeight="false" outlineLevel="0" collapsed="false">
      <c r="A54" s="59" t="str">
        <f aca="false">IF($C54="","",$X$2&amp;"-S"&amp;INT(($C54-WEEKDAY($C54,2)+11-DATE(YEAR($C54+4-WEEKDAY($C54,2)),1,1))/7)&amp;"-RSC-B")</f>
        <v>OUT-S44-RSC-B</v>
      </c>
      <c r="B54" s="30" t="str">
        <f aca="false">IF($C54="","","S"&amp;INT(($C54-WEEKDAY($C54,2)+11-DATE(YEAR($C54+4-WEEKDAY($C54,2)),1,1))/7))</f>
        <v>S44</v>
      </c>
      <c r="C54" s="52" t="n">
        <f aca="false">IF(MONTH(($X$1-WEEKDAY($X$1,3)+28)+3)=MONTH($X$1),($X$1-WEEKDAY($X$1,3)+28)+3,"")</f>
        <v>46324</v>
      </c>
      <c r="D54" s="27" t="str">
        <f aca="false">IF($C54="","","Relatório Semanal Consolidado (erros + metas + faltas + supervisores)")</f>
        <v>Relatório Semanal Consolidado (erros + metas + faltas + supervisores)</v>
      </c>
      <c r="E54" s="27"/>
      <c r="F54" s="27"/>
      <c r="G54" s="30" t="str">
        <f aca="false">IF($C54="","","B")</f>
        <v>B</v>
      </c>
      <c r="H54" s="30" t="str">
        <f aca="false">IF($C54="","",IF($G54="A",CONFIG!$B$5,IF($G54="B",CONFIG!$B$6,IF($G54="C",CONFIG!$B$7,"Gerência + coordenadores"))))</f>
        <v>(preencha o nome)</v>
      </c>
      <c r="I54" s="30"/>
      <c r="J54" s="32" t="str">
        <f aca="false">IF($C54="","","—")</f>
        <v>—</v>
      </c>
      <c r="K54" s="61"/>
      <c r="L54" s="61"/>
      <c r="M54" s="54"/>
      <c r="N54" s="54"/>
      <c r="O54" s="54"/>
      <c r="P54" s="60"/>
      <c r="Q54" s="56"/>
      <c r="R54" s="57"/>
      <c r="S54" s="30" t="str">
        <f aca="true">IF($C54="","",IF($Q54="Cancelada","Cancelada",IF($Q54="Reprovado","Reprovada",IF($Q54="Aprovado","Aprovada",IF($M54&lt;&gt;"","Entregue",IF(TODAY()&gt;$C54,"Atrasada","Pendente"))))))</f>
        <v>Pendente</v>
      </c>
      <c r="T54" s="58"/>
      <c r="U54" s="58"/>
      <c r="V54" s="58"/>
    </row>
    <row r="55" customFormat="false" ht="22.35" hidden="false" customHeight="false" outlineLevel="0" collapsed="false">
      <c r="A55" s="51" t="str">
        <f aca="false">IF($C55="","",$X$2&amp;"-S"&amp;INT(($C55-WEEKDAY($C55,2)+11-DATE(YEAR($C55+4-WEEKDAY($C55,2)),1,1))/7)&amp;"-RSC-C")</f>
        <v>OUT-S44-RSC-C</v>
      </c>
      <c r="B55" s="34" t="str">
        <f aca="false">IF($C55="","","S"&amp;INT(($C55-WEEKDAY($C55,2)+11-DATE(YEAR($C55+4-WEEKDAY($C55,2)),1,1))/7))</f>
        <v>S44</v>
      </c>
      <c r="C55" s="52" t="n">
        <f aca="false">IF(MONTH(($X$1-WEEKDAY($X$1,3)+28)+3)=MONTH($X$1),($X$1-WEEKDAY($X$1,3)+28)+3,"")</f>
        <v>46324</v>
      </c>
      <c r="D55" s="9" t="str">
        <f aca="false">IF($C55="","","Relatório Semanal Consolidado (erros + metas + faltas + supervisores)")</f>
        <v>Relatório Semanal Consolidado (erros + metas + faltas + supervisores)</v>
      </c>
      <c r="E55" s="9"/>
      <c r="F55" s="9"/>
      <c r="G55" s="34" t="str">
        <f aca="false">IF($C55="","","C")</f>
        <v>C</v>
      </c>
      <c r="H55" s="34" t="str">
        <f aca="false">IF($C55="","",IF($G55="A",CONFIG!$B$5,IF($G55="B",CONFIG!$B$6,IF($G55="C",CONFIG!$B$7,"Gerência + coordenadores"))))</f>
        <v>(preencha o nome)</v>
      </c>
      <c r="I55" s="34"/>
      <c r="J55" s="32" t="str">
        <f aca="false">IF($C55="","","—")</f>
        <v>—</v>
      </c>
      <c r="K55" s="61"/>
      <c r="L55" s="61"/>
      <c r="M55" s="54"/>
      <c r="N55" s="54"/>
      <c r="O55" s="54"/>
      <c r="P55" s="55"/>
      <c r="Q55" s="56"/>
      <c r="R55" s="57"/>
      <c r="S55" s="34" t="str">
        <f aca="true">IF($C55="","",IF($Q55="Cancelada","Cancelada",IF($Q55="Reprovado","Reprovada",IF($Q55="Aprovado","Aprovada",IF($M55&lt;&gt;"","Entregue",IF(TODAY()&gt;$C55,"Atrasada","Pendente"))))))</f>
        <v>Pendente</v>
      </c>
      <c r="T55" s="58"/>
      <c r="U55" s="58"/>
      <c r="V55" s="58"/>
    </row>
    <row r="56" customFormat="false" ht="24" hidden="false" customHeight="true" outlineLevel="0" collapsed="false">
      <c r="A56" s="59" t="str">
        <f aca="false">IF($C56="","",$X$2&amp;"-S"&amp;INT(($C56-WEEKDAY($C56,2)+11-DATE(YEAR($C56+4-WEEKDAY($C56,2)),1,1))/7)&amp;"-REU-T")</f>
        <v>OUT-S44-REU-T</v>
      </c>
      <c r="B56" s="30" t="str">
        <f aca="false">IF($C56="","","S"&amp;INT(($C56-WEEKDAY($C56,2)+11-DATE(YEAR($C56+4-WEEKDAY($C56,2)),1,1))/7))</f>
        <v>S44</v>
      </c>
      <c r="C56" s="52" t="n">
        <f aca="false">IF(MONTH(($X$1-WEEKDAY($X$1,3)+28)+4)=MONTH($X$1),($X$1-WEEKDAY($X$1,3)+28)+4,"")</f>
        <v>46325</v>
      </c>
      <c r="D56" s="27" t="str">
        <f aca="false">IF($C56="","","Reunião Semanal com a Gerência")</f>
        <v>Reunião Semanal com a Gerência</v>
      </c>
      <c r="E56" s="27"/>
      <c r="F56" s="27"/>
      <c r="G56" s="30" t="str">
        <f aca="false">IF($C56="","","Todos")</f>
        <v>Todos</v>
      </c>
      <c r="H56" s="30" t="str">
        <f aca="false">IF($C56="","",IF($G56="A",CONFIG!$B$5,IF($G56="B",CONFIG!$B$6,IF($G56="C",CONFIG!$B$7,"Gerência + coordenadores"))))</f>
        <v>Gerência + coordenadores</v>
      </c>
      <c r="I56" s="30"/>
      <c r="J56" s="32" t="str">
        <f aca="false">IF($C56="","","—")</f>
        <v>—</v>
      </c>
      <c r="K56" s="53"/>
      <c r="L56" s="53"/>
      <c r="M56" s="54"/>
      <c r="N56" s="54"/>
      <c r="O56" s="54"/>
      <c r="P56" s="60"/>
      <c r="Q56" s="56"/>
      <c r="R56" s="57"/>
      <c r="S56" s="30" t="str">
        <f aca="true">IF($C56="","",IF($Q56="Cancelada","Cancelada",IF($Q56="Reprovado","Reprovada",IF($Q56="Aprovado","Aprovada",IF($M56&lt;&gt;"","Entregue",IF(TODAY()&gt;$C56,"Atrasada","Pendente"))))))</f>
        <v>Pendente</v>
      </c>
      <c r="T56" s="58"/>
      <c r="U56" s="58"/>
      <c r="V56" s="58"/>
    </row>
    <row r="57" customFormat="false" ht="22.35" hidden="false" customHeight="false" outlineLevel="0" collapsed="false">
      <c r="A57" s="59" t="str">
        <f aca="false">IF($C57="","",$X$2&amp;"-S"&amp;INT(($C57-WEEKDAY($C57,2)+11-DATE(YEAR($C57+4-WEEKDAY($C57,2)),1,1))/7)&amp;"-MDF-T")</f>
        <v>OUT-S44-MDF-T</v>
      </c>
      <c r="B57" s="30" t="str">
        <f aca="false">IF($C57="","","S"&amp;INT(($C57-WEEKDAY($C57,2)+11-DATE(YEAR($C57+4-WEEKDAY($C57,2)),1,1))/7))</f>
        <v>S44</v>
      </c>
      <c r="C57" s="52" t="n">
        <f aca="false">EOMONTH($X$1,0)-MOD(WEEKDAY(EOMONTH($X$1,0),2)-5,7)</f>
        <v>46325</v>
      </c>
      <c r="D57" s="27" t="str">
        <f aca="false">IF($C57="","","Mudança de Função — reunião mensal")</f>
        <v>Mudança de Função — reunião mensal</v>
      </c>
      <c r="E57" s="27"/>
      <c r="F57" s="27"/>
      <c r="G57" s="30" t="str">
        <f aca="false">IF($C57="","","Todos")</f>
        <v>Todos</v>
      </c>
      <c r="H57" s="30" t="str">
        <f aca="false">IF($C57="","",IF($G57="A",CONFIG!$B$5,IF($G57="B",CONFIG!$B$6,IF($G57="C",CONFIG!$B$7,"Gerência + coordenadores"))))</f>
        <v>Gerência + coordenadores</v>
      </c>
      <c r="I57" s="30"/>
      <c r="J57" s="32" t="str">
        <f aca="false">IF($C57="","","—")</f>
        <v>—</v>
      </c>
      <c r="K57" s="53"/>
      <c r="L57" s="53"/>
      <c r="M57" s="54"/>
      <c r="N57" s="54"/>
      <c r="O57" s="54"/>
      <c r="P57" s="60"/>
      <c r="Q57" s="56"/>
      <c r="R57" s="57"/>
      <c r="S57" s="30" t="str">
        <f aca="true">IF($C57="","",IF($Q57="Cancelada","Cancelada",IF($Q57="Reprovado","Reprovada",IF($Q57="Aprovado","Aprovada",IF($M57&lt;&gt;"","Entregue",IF(TODAY()&gt;$C57,"Atrasada","Pendente"))))))</f>
        <v>Pendente</v>
      </c>
      <c r="T57" s="58"/>
      <c r="U57" s="58"/>
      <c r="V57" s="58"/>
    </row>
    <row r="59" customFormat="false" ht="15" hidden="false" customHeight="true" outlineLevel="0" collapsed="false">
      <c r="A59" s="62" t="s">
        <v>139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</row>
    <row r="60" customFormat="false" ht="21.75" hidden="false" customHeight="true" outlineLevel="0" collapsed="false">
      <c r="A60" s="51" t="str">
        <f aca="false">$X$2&amp;"-TRE-1"</f>
        <v>OUT-TRE-1</v>
      </c>
      <c r="B60" s="32" t="str">
        <f aca="false">IF($C60="","","S"&amp;INT(($C60-WEEKDAY($C60,2)+11-DATE(YEAR($C60+4-WEEKDAY($C60,2)),1,1))/7))</f>
        <v/>
      </c>
      <c r="C60" s="52"/>
      <c r="D60" s="57" t="s">
        <v>140</v>
      </c>
      <c r="E60" s="57"/>
      <c r="F60" s="57"/>
      <c r="G60" s="32" t="s">
        <v>141</v>
      </c>
      <c r="H60" s="34" t="s">
        <v>142</v>
      </c>
      <c r="I60" s="34"/>
      <c r="J60" s="32" t="s">
        <v>143</v>
      </c>
      <c r="K60" s="53"/>
      <c r="L60" s="53"/>
      <c r="M60" s="54"/>
      <c r="N60" s="54"/>
      <c r="O60" s="54"/>
      <c r="P60" s="55"/>
      <c r="Q60" s="56"/>
      <c r="R60" s="57"/>
      <c r="S60" s="34" t="str">
        <f aca="true">IF($C60="","Não agendado",IF($Q60="Cancelada","Cancelada",IF($Q60="Reprovado","Reprovada",IF($Q60="Aprovado","Aprovada",IF($M60&lt;&gt;"","Entregue",IF(TODAY()&gt;$C60,"Atrasada","Pendente"))))))</f>
        <v>Não agendado</v>
      </c>
      <c r="T60" s="58"/>
      <c r="U60" s="58"/>
      <c r="V60" s="58"/>
    </row>
    <row r="61" customFormat="false" ht="21.75" hidden="false" customHeight="true" outlineLevel="0" collapsed="false">
      <c r="A61" s="51" t="str">
        <f aca="false">$X$2&amp;"-TRE-2"</f>
        <v>OUT-TRE-2</v>
      </c>
      <c r="B61" s="32" t="str">
        <f aca="false">IF($C61="","","S"&amp;INT(($C61-WEEKDAY($C61,2)+11-DATE(YEAR($C61+4-WEEKDAY($C61,2)),1,1))/7))</f>
        <v/>
      </c>
      <c r="C61" s="52"/>
      <c r="D61" s="57" t="s">
        <v>140</v>
      </c>
      <c r="E61" s="57"/>
      <c r="F61" s="57"/>
      <c r="G61" s="32" t="s">
        <v>141</v>
      </c>
      <c r="H61" s="34" t="s">
        <v>142</v>
      </c>
      <c r="I61" s="34"/>
      <c r="J61" s="32" t="s">
        <v>143</v>
      </c>
      <c r="K61" s="53"/>
      <c r="L61" s="53"/>
      <c r="M61" s="54"/>
      <c r="N61" s="54"/>
      <c r="O61" s="54"/>
      <c r="P61" s="55"/>
      <c r="Q61" s="56"/>
      <c r="R61" s="57"/>
      <c r="S61" s="34" t="str">
        <f aca="true">IF($C61="","Não agendado",IF($Q61="Cancelada","Cancelada",IF($Q61="Reprovado","Reprovada",IF($Q61="Aprovado","Aprovada",IF($M61&lt;&gt;"","Entregue",IF(TODAY()&gt;$C61,"Atrasada","Pendente"))))))</f>
        <v>Não agendado</v>
      </c>
      <c r="T61" s="58"/>
      <c r="U61" s="58"/>
      <c r="V61" s="58"/>
    </row>
    <row r="62" customFormat="false" ht="21.75" hidden="false" customHeight="true" outlineLevel="0" collapsed="false">
      <c r="A62" s="51" t="str">
        <f aca="false">$X$2&amp;"-TRE-3"</f>
        <v>OUT-TRE-3</v>
      </c>
      <c r="B62" s="32" t="str">
        <f aca="false">IF($C62="","","S"&amp;INT(($C62-WEEKDAY($C62,2)+11-DATE(YEAR($C62+4-WEEKDAY($C62,2)),1,1))/7))</f>
        <v/>
      </c>
      <c r="C62" s="52"/>
      <c r="D62" s="57" t="s">
        <v>140</v>
      </c>
      <c r="E62" s="57"/>
      <c r="F62" s="57"/>
      <c r="G62" s="32" t="s">
        <v>141</v>
      </c>
      <c r="H62" s="34" t="s">
        <v>142</v>
      </c>
      <c r="I62" s="34"/>
      <c r="J62" s="32" t="s">
        <v>143</v>
      </c>
      <c r="K62" s="53"/>
      <c r="L62" s="53"/>
      <c r="M62" s="54"/>
      <c r="N62" s="54"/>
      <c r="O62" s="54"/>
      <c r="P62" s="55"/>
      <c r="Q62" s="56"/>
      <c r="R62" s="57"/>
      <c r="S62" s="34" t="str">
        <f aca="true">IF($C62="","Não agendado",IF($Q62="Cancelada","Cancelada",IF($Q62="Reprovado","Reprovada",IF($Q62="Aprovado","Aprovada",IF($M62&lt;&gt;"","Entregue",IF(TODAY()&gt;$C62,"Atrasada","Pendente"))))))</f>
        <v>Não agendado</v>
      </c>
      <c r="T62" s="58"/>
      <c r="U62" s="58"/>
      <c r="V62" s="58"/>
    </row>
    <row r="63" customFormat="false" ht="21.75" hidden="false" customHeight="true" outlineLevel="0" collapsed="false">
      <c r="A63" s="51" t="str">
        <f aca="false">$X$2&amp;"-TRE-4"</f>
        <v>OUT-TRE-4</v>
      </c>
      <c r="B63" s="32" t="str">
        <f aca="false">IF($C63="","","S"&amp;INT(($C63-WEEKDAY($C63,2)+11-DATE(YEAR($C63+4-WEEKDAY($C63,2)),1,1))/7))</f>
        <v/>
      </c>
      <c r="C63" s="52"/>
      <c r="D63" s="57" t="s">
        <v>140</v>
      </c>
      <c r="E63" s="57"/>
      <c r="F63" s="57"/>
      <c r="G63" s="32" t="s">
        <v>141</v>
      </c>
      <c r="H63" s="34" t="s">
        <v>142</v>
      </c>
      <c r="I63" s="34"/>
      <c r="J63" s="32" t="s">
        <v>143</v>
      </c>
      <c r="K63" s="53"/>
      <c r="L63" s="53"/>
      <c r="M63" s="54"/>
      <c r="N63" s="54"/>
      <c r="O63" s="54"/>
      <c r="P63" s="55"/>
      <c r="Q63" s="56"/>
      <c r="R63" s="57"/>
      <c r="S63" s="34" t="str">
        <f aca="true">IF($C63="","Não agendado",IF($Q63="Cancelada","Cancelada",IF($Q63="Reprovado","Reprovada",IF($Q63="Aprovado","Aprovada",IF($M63&lt;&gt;"","Entregue",IF(TODAY()&gt;$C63,"Atrasada","Pendente"))))))</f>
        <v>Não agendado</v>
      </c>
      <c r="T63" s="58"/>
      <c r="U63" s="58"/>
      <c r="V63" s="58"/>
    </row>
    <row r="64" customFormat="false" ht="21.75" hidden="false" customHeight="true" outlineLevel="0" collapsed="false">
      <c r="A64" s="51" t="str">
        <f aca="false">$X$2&amp;"-TRE-5"</f>
        <v>OUT-TRE-5</v>
      </c>
      <c r="B64" s="32" t="str">
        <f aca="false">IF($C64="","","S"&amp;INT(($C64-WEEKDAY($C64,2)+11-DATE(YEAR($C64+4-WEEKDAY($C64,2)),1,1))/7))</f>
        <v/>
      </c>
      <c r="C64" s="52"/>
      <c r="D64" s="57" t="s">
        <v>140</v>
      </c>
      <c r="E64" s="57"/>
      <c r="F64" s="57"/>
      <c r="G64" s="32" t="s">
        <v>141</v>
      </c>
      <c r="H64" s="34" t="s">
        <v>142</v>
      </c>
      <c r="I64" s="34"/>
      <c r="J64" s="32" t="s">
        <v>143</v>
      </c>
      <c r="K64" s="53"/>
      <c r="L64" s="53"/>
      <c r="M64" s="54"/>
      <c r="N64" s="54"/>
      <c r="O64" s="54"/>
      <c r="P64" s="55"/>
      <c r="Q64" s="56"/>
      <c r="R64" s="57"/>
      <c r="S64" s="34" t="str">
        <f aca="true">IF($C64="","Não agendado",IF($Q64="Cancelada","Cancelada",IF($Q64="Reprovado","Reprovada",IF($Q64="Aprovado","Aprovada",IF($M64&lt;&gt;"","Entregue",IF(TODAY()&gt;$C64,"Atrasada","Pendente"))))))</f>
        <v>Não agendado</v>
      </c>
      <c r="T64" s="58"/>
      <c r="U64" s="58"/>
      <c r="V64" s="58"/>
    </row>
    <row r="65" customFormat="false" ht="21.75" hidden="false" customHeight="true" outlineLevel="0" collapsed="false">
      <c r="A65" s="51" t="str">
        <f aca="false">$X$2&amp;"-TRE-6"</f>
        <v>OUT-TRE-6</v>
      </c>
      <c r="B65" s="32" t="str">
        <f aca="false">IF($C65="","","S"&amp;INT(($C65-WEEKDAY($C65,2)+11-DATE(YEAR($C65+4-WEEKDAY($C65,2)),1,1))/7))</f>
        <v/>
      </c>
      <c r="C65" s="52"/>
      <c r="D65" s="57" t="s">
        <v>140</v>
      </c>
      <c r="E65" s="57"/>
      <c r="F65" s="57"/>
      <c r="G65" s="32" t="s">
        <v>141</v>
      </c>
      <c r="H65" s="34" t="s">
        <v>142</v>
      </c>
      <c r="I65" s="34"/>
      <c r="J65" s="32" t="s">
        <v>143</v>
      </c>
      <c r="K65" s="53"/>
      <c r="L65" s="53"/>
      <c r="M65" s="54"/>
      <c r="N65" s="54"/>
      <c r="O65" s="54"/>
      <c r="P65" s="55"/>
      <c r="Q65" s="56"/>
      <c r="R65" s="57"/>
      <c r="S65" s="34" t="str">
        <f aca="true">IF($C65="","Não agendado",IF($Q65="Cancelada","Cancelada",IF($Q65="Reprovado","Reprovada",IF($Q65="Aprovado","Aprovada",IF($M65&lt;&gt;"","Entregue",IF(TODAY()&gt;$C65,"Atrasada","Pendente"))))))</f>
        <v>Não agendado</v>
      </c>
      <c r="T65" s="58"/>
      <c r="U65" s="58"/>
      <c r="V65" s="58"/>
    </row>
    <row r="67" customFormat="false" ht="15" hidden="false" customHeight="true" outlineLevel="0" collapsed="false">
      <c r="A67" s="48" t="s">
        <v>144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</sheetData>
  <mergeCells count="226">
    <mergeCell ref="A1:S1"/>
    <mergeCell ref="A3:O3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O18"/>
    <mergeCell ref="A20:V20"/>
    <mergeCell ref="D21:F21"/>
    <mergeCell ref="H21:I21"/>
    <mergeCell ref="M21:O21"/>
    <mergeCell ref="D22:F22"/>
    <mergeCell ref="H22:I22"/>
    <mergeCell ref="M22:O22"/>
    <mergeCell ref="D23:F23"/>
    <mergeCell ref="H23:I23"/>
    <mergeCell ref="M23:O23"/>
    <mergeCell ref="D24:F24"/>
    <mergeCell ref="H24:I24"/>
    <mergeCell ref="M24:O24"/>
    <mergeCell ref="D25:F25"/>
    <mergeCell ref="H25:I25"/>
    <mergeCell ref="M25:O25"/>
    <mergeCell ref="D26:F26"/>
    <mergeCell ref="H26:I26"/>
    <mergeCell ref="M26:O26"/>
    <mergeCell ref="D27:F27"/>
    <mergeCell ref="H27:I27"/>
    <mergeCell ref="M27:O27"/>
    <mergeCell ref="D28:F28"/>
    <mergeCell ref="H28:I28"/>
    <mergeCell ref="M28:O28"/>
    <mergeCell ref="D29:F29"/>
    <mergeCell ref="H29:I29"/>
    <mergeCell ref="M29:O29"/>
    <mergeCell ref="D30:F30"/>
    <mergeCell ref="H30:I30"/>
    <mergeCell ref="M30:O30"/>
    <mergeCell ref="D31:F31"/>
    <mergeCell ref="H31:I31"/>
    <mergeCell ref="M31:O31"/>
    <mergeCell ref="D32:F32"/>
    <mergeCell ref="H32:I32"/>
    <mergeCell ref="M32:O32"/>
    <mergeCell ref="D33:F33"/>
    <mergeCell ref="H33:I33"/>
    <mergeCell ref="M33:O33"/>
    <mergeCell ref="D34:F34"/>
    <mergeCell ref="H34:I34"/>
    <mergeCell ref="M34:O34"/>
    <mergeCell ref="D35:F35"/>
    <mergeCell ref="H35:I35"/>
    <mergeCell ref="M35:O35"/>
    <mergeCell ref="D36:F36"/>
    <mergeCell ref="H36:I36"/>
    <mergeCell ref="M36:O36"/>
    <mergeCell ref="D37:F37"/>
    <mergeCell ref="H37:I37"/>
    <mergeCell ref="M37:O37"/>
    <mergeCell ref="D38:F38"/>
    <mergeCell ref="H38:I38"/>
    <mergeCell ref="M38:O38"/>
    <mergeCell ref="D39:F39"/>
    <mergeCell ref="H39:I39"/>
    <mergeCell ref="M39:O39"/>
    <mergeCell ref="D40:F40"/>
    <mergeCell ref="H40:I40"/>
    <mergeCell ref="M40:O40"/>
    <mergeCell ref="D41:F41"/>
    <mergeCell ref="H41:I41"/>
    <mergeCell ref="M41:O41"/>
    <mergeCell ref="D42:F42"/>
    <mergeCell ref="H42:I42"/>
    <mergeCell ref="M42:O42"/>
    <mergeCell ref="D43:F43"/>
    <mergeCell ref="H43:I43"/>
    <mergeCell ref="M43:O43"/>
    <mergeCell ref="D44:F44"/>
    <mergeCell ref="H44:I44"/>
    <mergeCell ref="M44:O44"/>
    <mergeCell ref="D45:F45"/>
    <mergeCell ref="H45:I45"/>
    <mergeCell ref="M45:O45"/>
    <mergeCell ref="D46:F46"/>
    <mergeCell ref="H46:I46"/>
    <mergeCell ref="M46:O46"/>
    <mergeCell ref="D47:F47"/>
    <mergeCell ref="H47:I47"/>
    <mergeCell ref="M47:O47"/>
    <mergeCell ref="D48:F48"/>
    <mergeCell ref="H48:I48"/>
    <mergeCell ref="M48:O48"/>
    <mergeCell ref="D49:F49"/>
    <mergeCell ref="H49:I49"/>
    <mergeCell ref="M49:O49"/>
    <mergeCell ref="D50:F50"/>
    <mergeCell ref="H50:I50"/>
    <mergeCell ref="M50:O50"/>
    <mergeCell ref="D51:F51"/>
    <mergeCell ref="H51:I51"/>
    <mergeCell ref="M51:O51"/>
    <mergeCell ref="D52:F52"/>
    <mergeCell ref="H52:I52"/>
    <mergeCell ref="M52:O52"/>
    <mergeCell ref="D53:F53"/>
    <mergeCell ref="H53:I53"/>
    <mergeCell ref="M53:O53"/>
    <mergeCell ref="D54:F54"/>
    <mergeCell ref="H54:I54"/>
    <mergeCell ref="M54:O54"/>
    <mergeCell ref="D55:F55"/>
    <mergeCell ref="H55:I55"/>
    <mergeCell ref="M55:O55"/>
    <mergeCell ref="D56:F56"/>
    <mergeCell ref="H56:I56"/>
    <mergeCell ref="M56:O56"/>
    <mergeCell ref="D57:F57"/>
    <mergeCell ref="H57:I57"/>
    <mergeCell ref="M57:O57"/>
    <mergeCell ref="A59:V59"/>
    <mergeCell ref="D60:F60"/>
    <mergeCell ref="H60:I60"/>
    <mergeCell ref="M60:O60"/>
    <mergeCell ref="D61:F61"/>
    <mergeCell ref="H61:I61"/>
    <mergeCell ref="M61:O61"/>
    <mergeCell ref="D62:F62"/>
    <mergeCell ref="H62:I62"/>
    <mergeCell ref="M62:O62"/>
    <mergeCell ref="D63:F63"/>
    <mergeCell ref="H63:I63"/>
    <mergeCell ref="M63:O63"/>
    <mergeCell ref="D64:F64"/>
    <mergeCell ref="H64:I64"/>
    <mergeCell ref="M64:O64"/>
    <mergeCell ref="D65:F65"/>
    <mergeCell ref="H65:I65"/>
    <mergeCell ref="M65:O65"/>
    <mergeCell ref="A67:V67"/>
  </mergeCells>
  <conditionalFormatting sqref="A3">
    <cfRule type="expression" priority="2" aboveAverage="0" equalAverage="0" bottom="0" percent="0" rank="0" text="" dxfId="3">
      <formula>LEFT($A$3,3)="MÊS"</formula>
    </cfRule>
  </conditionalFormatting>
  <conditionalFormatting sqref="A22:I57">
    <cfRule type="expression" priority="3" aboveAverage="0" equalAverage="0" bottom="0" percent="0" rank="0" text="" dxfId="4">
      <formula>ISNUMBER(SEARCH("-REU-",$A22))</formula>
    </cfRule>
  </conditionalFormatting>
  <conditionalFormatting sqref="S22:S140">
    <cfRule type="expression" priority="4" aboveAverage="0" equalAverage="0" bottom="0" percent="0" rank="0" text="" dxfId="5">
      <formula>$S22="Aprovada"</formula>
    </cfRule>
    <cfRule type="expression" priority="5" aboveAverage="0" equalAverage="0" bottom="0" percent="0" rank="0" text="" dxfId="6">
      <formula>$S22="Entregue"</formula>
    </cfRule>
    <cfRule type="expression" priority="6" aboveAverage="0" equalAverage="0" bottom="0" percent="0" rank="0" text="" dxfId="7">
      <formula>$S22="Atrasada"</formula>
    </cfRule>
    <cfRule type="expression" priority="7" aboveAverage="0" equalAverage="0" bottom="0" percent="0" rank="0" text="" dxfId="8">
      <formula>$S22="Reprovada"</formula>
    </cfRule>
    <cfRule type="expression" priority="8" aboveAverage="0" equalAverage="0" bottom="0" percent="0" rank="0" text="" dxfId="9">
      <formula>$S22="Pendente"</formula>
    </cfRule>
    <cfRule type="expression" priority="9" aboveAverage="0" equalAverage="0" bottom="0" percent="0" rank="0" text="" dxfId="10">
      <formula>$S22="Cancelada"</formula>
    </cfRule>
  </conditionalFormatting>
  <conditionalFormatting sqref="B6:O17">
    <cfRule type="expression" priority="10" aboveAverage="0" equalAverage="0" bottom="0" percent="0" rank="0" text="" dxfId="11">
      <formula>AND(B6&lt;&gt;"",B6=TODAY())</formula>
    </cfRule>
    <cfRule type="expression" priority="11" aboveAverage="0" equalAverage="0" bottom="0" percent="0" rank="0" text="" dxfId="12">
      <formula>AND(B6&lt;&gt;"",COUNTIFS($C$22:$C$140,B6,$S$22:$S$140,"Atrasada")&gt;0)</formula>
    </cfRule>
    <cfRule type="expression" priority="12" aboveAverage="0" equalAverage="0" bottom="0" percent="0" rank="0" text="" dxfId="13">
      <formula>AND(B6&lt;&gt;"",COUNTIFS($C$22:$C$140,B6,$Q$22:$Q$140,"&lt;&gt;Cancelada")&gt;0)</formula>
    </cfRule>
  </conditionalFormatting>
  <dataValidations count="1">
    <dataValidation allowBlank="true" errorStyle="stop" operator="between" showDropDown="false" showErrorMessage="false" showInputMessage="false" sqref="Q22:Q140" type="list">
      <formula1>"Aprovado,Reprovado,Cancelada"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X63"/>
  <sheetViews>
    <sheetView showFormulas="false" showGridLines="fals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A53" activeCellId="0" sqref="A5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.57"/>
    <col collapsed="false" customWidth="true" hidden="false" outlineLevel="0" max="3" min="3" style="0" width="10.57"/>
    <col collapsed="false" customWidth="true" hidden="false" outlineLevel="0" max="6" min="4" style="0" width="12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true" outlineLevel="0" max="11" min="11" style="0" width="8"/>
    <col collapsed="false" customWidth="true" hidden="true" outlineLevel="0" max="12" min="12" style="0" width="9.57"/>
    <col collapsed="false" customWidth="true" hidden="false" outlineLevel="0" max="16" min="13" style="0" width="12"/>
    <col collapsed="false" customWidth="true" hidden="false" outlineLevel="0" max="17" min="17" style="0" width="11.43"/>
    <col collapsed="false" customWidth="true" hidden="false" outlineLevel="0" max="18" min="18" style="0" width="17"/>
    <col collapsed="false" customWidth="true" hidden="false" outlineLevel="0" max="19" min="19" style="0" width="12.42"/>
    <col collapsed="false" customWidth="true" hidden="false" outlineLevel="0" max="22" min="20" style="0" width="3.42"/>
    <col collapsed="false" customWidth="true" hidden="true" outlineLevel="0" max="24" min="24" style="0" width="4"/>
  </cols>
  <sheetData>
    <row r="1" customFormat="false" ht="45.7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X1" s="43" t="n">
        <v>46327</v>
      </c>
    </row>
    <row r="2" customFormat="false" ht="4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X2" s="44" t="s">
        <v>152</v>
      </c>
    </row>
    <row r="3" customFormat="false" ht="15" hidden="false" customHeight="false" outlineLevel="0" collapsed="false">
      <c r="A3" s="5" t="str">
        <f aca="false">IF((COUNTIF($S$22:$S$136,"Aprovada")+COUNTIF($S$22:$S$136,"Entregue")+COUNTIF($S$22:$S$136,"Pendente")+COUNTIF($S$22:$S$136,"Atrasada")+COUNTIF($S$22:$S$136,"Reprovada"))=0,"",IF(COUNTIF($S$22:$S$136,"Aprovada")=(COUNTIF($S$22:$S$136,"Aprovada")+COUNTIF($S$22:$S$136,"Entregue")+COUNTIF($S$22:$S$136,"Pendente")+COUNTIF($S$22:$S$136,"Atrasada")+COUNTIF($S$22:$S$136,"Reprovada")),"MÊS CONCLUÍDO — todas as atividades aprovadas","EM ANDAMENTO — "&amp;COUNTIF($S$22:$S$136,"Aprovada")&amp;" de "&amp;(COUNTIF($S$22:$S$136,"Aprovada")+COUNTIF($S$22:$S$136,"Entregue")+COUNTIF($S$22:$S$136,"Pendente")+COUNTIF($S$22:$S$136,"Atrasada")+COUNTIF($S$22:$S$136,"Reprovada"))&amp;" atividades aprovadas · "&amp;COUNTIF($S$22:$S$136,"Atrasada")&amp;" em atraso"))</f>
        <v>EM ANDAMENTO — 0 de 32 atividades aprovadas · 0 em atraso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8" hidden="false" customHeight="true" outlineLevel="0" collapsed="false">
      <c r="B5" s="40" t="s">
        <v>119</v>
      </c>
      <c r="C5" s="40"/>
      <c r="D5" s="40" t="s">
        <v>120</v>
      </c>
      <c r="E5" s="40"/>
      <c r="F5" s="40" t="s">
        <v>121</v>
      </c>
      <c r="G5" s="40"/>
      <c r="H5" s="40" t="s">
        <v>3</v>
      </c>
      <c r="I5" s="40"/>
      <c r="J5" s="40" t="s">
        <v>6</v>
      </c>
      <c r="K5" s="40"/>
      <c r="L5" s="45" t="s">
        <v>9</v>
      </c>
      <c r="M5" s="45"/>
      <c r="N5" s="40" t="s">
        <v>122</v>
      </c>
      <c r="O5" s="40"/>
    </row>
    <row r="6" customFormat="false" ht="15" hidden="false" customHeight="true" outlineLevel="0" collapsed="false">
      <c r="B6" s="46" t="n">
        <f aca="false">IF(MONTH($X$1-WEEKDAY($X$1)+1+0)=MONTH($X$1),$X$1-WEEKDAY($X$1)+1+0,"")</f>
        <v>46327</v>
      </c>
      <c r="C6" s="46"/>
      <c r="D6" s="46" t="n">
        <f aca="false">IF(MONTH($X$1-WEEKDAY($X$1)+1+1)=MONTH($X$1),$X$1-WEEKDAY($X$1)+1+1,"")</f>
        <v>46328</v>
      </c>
      <c r="E6" s="46"/>
      <c r="F6" s="46" t="n">
        <f aca="false">IF(MONTH($X$1-WEEKDAY($X$1)+1+2)=MONTH($X$1),$X$1-WEEKDAY($X$1)+1+2,"")</f>
        <v>46329</v>
      </c>
      <c r="G6" s="46"/>
      <c r="H6" s="46" t="n">
        <f aca="false">IF(MONTH($X$1-WEEKDAY($X$1)+1+3)=MONTH($X$1),$X$1-WEEKDAY($X$1)+1+3,"")</f>
        <v>46330</v>
      </c>
      <c r="I6" s="46"/>
      <c r="J6" s="46" t="n">
        <f aca="false">IF(MONTH($X$1-WEEKDAY($X$1)+1+4)=MONTH($X$1),$X$1-WEEKDAY($X$1)+1+4,"")</f>
        <v>46331</v>
      </c>
      <c r="K6" s="46"/>
      <c r="L6" s="46" t="n">
        <f aca="false">IF(MONTH($X$1-WEEKDAY($X$1)+1+5)=MONTH($X$1),$X$1-WEEKDAY($X$1)+1+5,"")</f>
        <v>46332</v>
      </c>
      <c r="M6" s="46"/>
      <c r="N6" s="46" t="n">
        <f aca="false">IF(MONTH($X$1-WEEKDAY($X$1)+1+6)=MONTH($X$1),$X$1-WEEKDAY($X$1)+1+6,"")</f>
        <v>46333</v>
      </c>
      <c r="O6" s="46"/>
    </row>
    <row r="7" customFormat="false" ht="25.5" hidden="false" customHeight="true" outlineLevel="0" collapsed="false">
      <c r="B7" s="47" t="str">
        <f aca="false">IF(B6="","",TRIM(IF(COUNTIFS($C$22:$C$136,B6,$D$22:$D$136,"*Vistoria*",$Q$22:$Q$136,"&lt;&gt;Cancelada")&gt;0,"Vistoria ","")&amp;IF(COUNTIFS($C$22:$C$136,B6,$D$22:$D$136,"*Relatório*",$Q$22:$Q$136,"&lt;&gt;Cancelada")&gt;0,"Relatório ","")&amp;IF(COUNTIFS($C$22:$C$136,B6,$D$22:$D$136,"*Reunião*",$Q$22:$Q$136,"&lt;&gt;Cancelada")&gt;0,"REUNIÃO ","")&amp;IF(COUNTIFS($C$22:$C$136,B6,$D$22:$D$136,"*Férias*",$Q$22:$Q$136,"&lt;&gt;Cancelada")&gt;0,"Férias ","")&amp;IF(COUNTIFS($C$22:$C$136,B6,$D$22:$D$136,"*Mudança*",$Q$22:$Q$136,"&lt;&gt;Cancelada")&gt;0,"M.Função ","")&amp;IF(COUNTIFS($C$22:$C$136,B6,$D$22:$D$136,"*Treinamento*",$Q$22:$Q$136,"&lt;&gt;Cancelada")&gt;0,"Trein. ","")))</f>
        <v/>
      </c>
      <c r="C7" s="47"/>
      <c r="D7" s="47" t="str">
        <f aca="false">IF(D6="","",TRIM(IF(COUNTIFS($C$22:$C$136,D6,$D$22:$D$136,"*Vistoria*",$Q$22:$Q$136,"&lt;&gt;Cancelada")&gt;0,"Vistoria ","")&amp;IF(COUNTIFS($C$22:$C$136,D6,$D$22:$D$136,"*Relatório*",$Q$22:$Q$136,"&lt;&gt;Cancelada")&gt;0,"Relatório ","")&amp;IF(COUNTIFS($C$22:$C$136,D6,$D$22:$D$136,"*Reunião*",$Q$22:$Q$136,"&lt;&gt;Cancelada")&gt;0,"REUNIÃO ","")&amp;IF(COUNTIFS($C$22:$C$136,D6,$D$22:$D$136,"*Férias*",$Q$22:$Q$136,"&lt;&gt;Cancelada")&gt;0,"Férias ","")&amp;IF(COUNTIFS($C$22:$C$136,D6,$D$22:$D$136,"*Mudança*",$Q$22:$Q$136,"&lt;&gt;Cancelada")&gt;0,"M.Função ","")&amp;IF(COUNTIFS($C$22:$C$136,D6,$D$22:$D$136,"*Treinamento*",$Q$22:$Q$136,"&lt;&gt;Cancelada")&gt;0,"Trein. ","")))</f>
        <v>Férias</v>
      </c>
      <c r="E7" s="47"/>
      <c r="F7" s="47" t="str">
        <f aca="false">IF(F6="","",TRIM(IF(COUNTIFS($C$22:$C$136,F6,$D$22:$D$136,"*Vistoria*",$Q$22:$Q$136,"&lt;&gt;Cancelada")&gt;0,"Vistoria ","")&amp;IF(COUNTIFS($C$22:$C$136,F6,$D$22:$D$136,"*Relatório*",$Q$22:$Q$136,"&lt;&gt;Cancelada")&gt;0,"Relatório ","")&amp;IF(COUNTIFS($C$22:$C$136,F6,$D$22:$D$136,"*Reunião*",$Q$22:$Q$136,"&lt;&gt;Cancelada")&gt;0,"REUNIÃO ","")&amp;IF(COUNTIFS($C$22:$C$136,F6,$D$22:$D$136,"*Férias*",$Q$22:$Q$136,"&lt;&gt;Cancelada")&gt;0,"Férias ","")&amp;IF(COUNTIFS($C$22:$C$136,F6,$D$22:$D$136,"*Mudança*",$Q$22:$Q$136,"&lt;&gt;Cancelada")&gt;0,"M.Função ","")&amp;IF(COUNTIFS($C$22:$C$136,F6,$D$22:$D$136,"*Treinamento*",$Q$22:$Q$136,"&lt;&gt;Cancelada")&gt;0,"Trein. ","")))</f>
        <v/>
      </c>
      <c r="G7" s="47"/>
      <c r="H7" s="47" t="str">
        <f aca="false">IF(H6="","",TRIM(IF(COUNTIFS($C$22:$C$136,H6,$D$22:$D$136,"*Vistoria*",$Q$22:$Q$136,"&lt;&gt;Cancelada")&gt;0,"Vistoria ","")&amp;IF(COUNTIFS($C$22:$C$136,H6,$D$22:$D$136,"*Relatório*",$Q$22:$Q$136,"&lt;&gt;Cancelada")&gt;0,"Relatório ","")&amp;IF(COUNTIFS($C$22:$C$136,H6,$D$22:$D$136,"*Reunião*",$Q$22:$Q$136,"&lt;&gt;Cancelada")&gt;0,"REUNIÃO ","")&amp;IF(COUNTIFS($C$22:$C$136,H6,$D$22:$D$136,"*Férias*",$Q$22:$Q$136,"&lt;&gt;Cancelada")&gt;0,"Férias ","")&amp;IF(COUNTIFS($C$22:$C$136,H6,$D$22:$D$136,"*Mudança*",$Q$22:$Q$136,"&lt;&gt;Cancelada")&gt;0,"M.Função ","")&amp;IF(COUNTIFS($C$22:$C$136,H6,$D$22:$D$136,"*Treinamento*",$Q$22:$Q$136,"&lt;&gt;Cancelada")&gt;0,"Trein. ","")))</f>
        <v>Vistoria</v>
      </c>
      <c r="I7" s="47"/>
      <c r="J7" s="47" t="str">
        <f aca="false">IF(J6="","",TRIM(IF(COUNTIFS($C$22:$C$136,J6,$D$22:$D$136,"*Vistoria*",$Q$22:$Q$136,"&lt;&gt;Cancelada")&gt;0,"Vistoria ","")&amp;IF(COUNTIFS($C$22:$C$136,J6,$D$22:$D$136,"*Relatório*",$Q$22:$Q$136,"&lt;&gt;Cancelada")&gt;0,"Relatório ","")&amp;IF(COUNTIFS($C$22:$C$136,J6,$D$22:$D$136,"*Reunião*",$Q$22:$Q$136,"&lt;&gt;Cancelada")&gt;0,"REUNIÃO ","")&amp;IF(COUNTIFS($C$22:$C$136,J6,$D$22:$D$136,"*Férias*",$Q$22:$Q$136,"&lt;&gt;Cancelada")&gt;0,"Férias ","")&amp;IF(COUNTIFS($C$22:$C$136,J6,$D$22:$D$136,"*Mudança*",$Q$22:$Q$136,"&lt;&gt;Cancelada")&gt;0,"M.Função ","")&amp;IF(COUNTIFS($C$22:$C$136,J6,$D$22:$D$136,"*Treinamento*",$Q$22:$Q$136,"&lt;&gt;Cancelada")&gt;0,"Trein. ","")))</f>
        <v>Relatório</v>
      </c>
      <c r="K7" s="47"/>
      <c r="L7" s="47" t="str">
        <f aca="false">IF(L6="","",TRIM(IF(COUNTIFS($C$22:$C$136,L6,$D$22:$D$136,"*Vistoria*",$Q$22:$Q$136,"&lt;&gt;Cancelada")&gt;0,"Vistoria ","")&amp;IF(COUNTIFS($C$22:$C$136,L6,$D$22:$D$136,"*Relatório*",$Q$22:$Q$136,"&lt;&gt;Cancelada")&gt;0,"Relatório ","")&amp;IF(COUNTIFS($C$22:$C$136,L6,$D$22:$D$136,"*Reunião*",$Q$22:$Q$136,"&lt;&gt;Cancelada")&gt;0,"REUNIÃO ","")&amp;IF(COUNTIFS($C$22:$C$136,L6,$D$22:$D$136,"*Férias*",$Q$22:$Q$136,"&lt;&gt;Cancelada")&gt;0,"Férias ","")&amp;IF(COUNTIFS($C$22:$C$136,L6,$D$22:$D$136,"*Mudança*",$Q$22:$Q$136,"&lt;&gt;Cancelada")&gt;0,"M.Função ","")&amp;IF(COUNTIFS($C$22:$C$136,L6,$D$22:$D$136,"*Treinamento*",$Q$22:$Q$136,"&lt;&gt;Cancelada")&gt;0,"Trein. ","")))</f>
        <v>REUNIÃO</v>
      </c>
      <c r="M7" s="47"/>
      <c r="N7" s="47" t="str">
        <f aca="false">IF(N6="","",TRIM(IF(COUNTIFS($C$22:$C$136,N6,$D$22:$D$136,"*Vistoria*",$Q$22:$Q$136,"&lt;&gt;Cancelada")&gt;0,"Vistoria ","")&amp;IF(COUNTIFS($C$22:$C$136,N6,$D$22:$D$136,"*Relatório*",$Q$22:$Q$136,"&lt;&gt;Cancelada")&gt;0,"Relatório ","")&amp;IF(COUNTIFS($C$22:$C$136,N6,$D$22:$D$136,"*Reunião*",$Q$22:$Q$136,"&lt;&gt;Cancelada")&gt;0,"REUNIÃO ","")&amp;IF(COUNTIFS($C$22:$C$136,N6,$D$22:$D$136,"*Férias*",$Q$22:$Q$136,"&lt;&gt;Cancelada")&gt;0,"Férias ","")&amp;IF(COUNTIFS($C$22:$C$136,N6,$D$22:$D$136,"*Mudança*",$Q$22:$Q$136,"&lt;&gt;Cancelada")&gt;0,"M.Função ","")&amp;IF(COUNTIFS($C$22:$C$136,N6,$D$22:$D$136,"*Treinamento*",$Q$22:$Q$136,"&lt;&gt;Cancelada")&gt;0,"Trein. ","")))</f>
        <v/>
      </c>
      <c r="O7" s="47"/>
    </row>
    <row r="8" customFormat="false" ht="15" hidden="false" customHeight="true" outlineLevel="0" collapsed="false">
      <c r="B8" s="46" t="n">
        <f aca="false">IF(MONTH($X$1-WEEKDAY($X$1)+1+7)=MONTH($X$1),$X$1-WEEKDAY($X$1)+1+7,"")</f>
        <v>46334</v>
      </c>
      <c r="C8" s="46"/>
      <c r="D8" s="46" t="n">
        <f aca="false">IF(MONTH($X$1-WEEKDAY($X$1)+1+8)=MONTH($X$1),$X$1-WEEKDAY($X$1)+1+8,"")</f>
        <v>46335</v>
      </c>
      <c r="E8" s="46"/>
      <c r="F8" s="46" t="n">
        <f aca="false">IF(MONTH($X$1-WEEKDAY($X$1)+1+9)=MONTH($X$1),$X$1-WEEKDAY($X$1)+1+9,"")</f>
        <v>46336</v>
      </c>
      <c r="G8" s="46"/>
      <c r="H8" s="46" t="n">
        <f aca="false">IF(MONTH($X$1-WEEKDAY($X$1)+1+10)=MONTH($X$1),$X$1-WEEKDAY($X$1)+1+10,"")</f>
        <v>46337</v>
      </c>
      <c r="I8" s="46"/>
      <c r="J8" s="46" t="n">
        <f aca="false">IF(MONTH($X$1-WEEKDAY($X$1)+1+11)=MONTH($X$1),$X$1-WEEKDAY($X$1)+1+11,"")</f>
        <v>46338</v>
      </c>
      <c r="K8" s="46"/>
      <c r="L8" s="46" t="n">
        <f aca="false">IF(MONTH($X$1-WEEKDAY($X$1)+1+12)=MONTH($X$1),$X$1-WEEKDAY($X$1)+1+12,"")</f>
        <v>46339</v>
      </c>
      <c r="M8" s="46"/>
      <c r="N8" s="46" t="n">
        <f aca="false">IF(MONTH($X$1-WEEKDAY($X$1)+1+13)=MONTH($X$1),$X$1-WEEKDAY($X$1)+1+13,"")</f>
        <v>46340</v>
      </c>
      <c r="O8" s="46"/>
    </row>
    <row r="9" customFormat="false" ht="25.5" hidden="false" customHeight="true" outlineLevel="0" collapsed="false">
      <c r="B9" s="47" t="str">
        <f aca="false">IF(B8="","",TRIM(IF(COUNTIFS($C$22:$C$136,B8,$D$22:$D$136,"*Vistoria*",$Q$22:$Q$136,"&lt;&gt;Cancelada")&gt;0,"Vistoria ","")&amp;IF(COUNTIFS($C$22:$C$136,B8,$D$22:$D$136,"*Relatório*",$Q$22:$Q$136,"&lt;&gt;Cancelada")&gt;0,"Relatório ","")&amp;IF(COUNTIFS($C$22:$C$136,B8,$D$22:$D$136,"*Reunião*",$Q$22:$Q$136,"&lt;&gt;Cancelada")&gt;0,"REUNIÃO ","")&amp;IF(COUNTIFS($C$22:$C$136,B8,$D$22:$D$136,"*Férias*",$Q$22:$Q$136,"&lt;&gt;Cancelada")&gt;0,"Férias ","")&amp;IF(COUNTIFS($C$22:$C$136,B8,$D$22:$D$136,"*Mudança*",$Q$22:$Q$136,"&lt;&gt;Cancelada")&gt;0,"M.Função ","")&amp;IF(COUNTIFS($C$22:$C$136,B8,$D$22:$D$136,"*Treinamento*",$Q$22:$Q$136,"&lt;&gt;Cancelada")&gt;0,"Trein. ","")))</f>
        <v/>
      </c>
      <c r="C9" s="47"/>
      <c r="D9" s="47" t="str">
        <f aca="false">IF(D8="","",TRIM(IF(COUNTIFS($C$22:$C$136,D8,$D$22:$D$136,"*Vistoria*",$Q$22:$Q$136,"&lt;&gt;Cancelada")&gt;0,"Vistoria ","")&amp;IF(COUNTIFS($C$22:$C$136,D8,$D$22:$D$136,"*Relatório*",$Q$22:$Q$136,"&lt;&gt;Cancelada")&gt;0,"Relatório ","")&amp;IF(COUNTIFS($C$22:$C$136,D8,$D$22:$D$136,"*Reunião*",$Q$22:$Q$136,"&lt;&gt;Cancelada")&gt;0,"REUNIÃO ","")&amp;IF(COUNTIFS($C$22:$C$136,D8,$D$22:$D$136,"*Férias*",$Q$22:$Q$136,"&lt;&gt;Cancelada")&gt;0,"Férias ","")&amp;IF(COUNTIFS($C$22:$C$136,D8,$D$22:$D$136,"*Mudança*",$Q$22:$Q$136,"&lt;&gt;Cancelada")&gt;0,"M.Função ","")&amp;IF(COUNTIFS($C$22:$C$136,D8,$D$22:$D$136,"*Treinamento*",$Q$22:$Q$136,"&lt;&gt;Cancelada")&gt;0,"Trein. ","")))</f>
        <v/>
      </c>
      <c r="E9" s="47"/>
      <c r="F9" s="47" t="str">
        <f aca="false">IF(F8="","",TRIM(IF(COUNTIFS($C$22:$C$136,F8,$D$22:$D$136,"*Vistoria*",$Q$22:$Q$136,"&lt;&gt;Cancelada")&gt;0,"Vistoria ","")&amp;IF(COUNTIFS($C$22:$C$136,F8,$D$22:$D$136,"*Relatório*",$Q$22:$Q$136,"&lt;&gt;Cancelada")&gt;0,"Relatório ","")&amp;IF(COUNTIFS($C$22:$C$136,F8,$D$22:$D$136,"*Reunião*",$Q$22:$Q$136,"&lt;&gt;Cancelada")&gt;0,"REUNIÃO ","")&amp;IF(COUNTIFS($C$22:$C$136,F8,$D$22:$D$136,"*Férias*",$Q$22:$Q$136,"&lt;&gt;Cancelada")&gt;0,"Férias ","")&amp;IF(COUNTIFS($C$22:$C$136,F8,$D$22:$D$136,"*Mudança*",$Q$22:$Q$136,"&lt;&gt;Cancelada")&gt;0,"M.Função ","")&amp;IF(COUNTIFS($C$22:$C$136,F8,$D$22:$D$136,"*Treinamento*",$Q$22:$Q$136,"&lt;&gt;Cancelada")&gt;0,"Trein. ","")))</f>
        <v/>
      </c>
      <c r="G9" s="47"/>
      <c r="H9" s="47" t="str">
        <f aca="false">IF(H8="","",TRIM(IF(COUNTIFS($C$22:$C$136,H8,$D$22:$D$136,"*Vistoria*",$Q$22:$Q$136,"&lt;&gt;Cancelada")&gt;0,"Vistoria ","")&amp;IF(COUNTIFS($C$22:$C$136,H8,$D$22:$D$136,"*Relatório*",$Q$22:$Q$136,"&lt;&gt;Cancelada")&gt;0,"Relatório ","")&amp;IF(COUNTIFS($C$22:$C$136,H8,$D$22:$D$136,"*Reunião*",$Q$22:$Q$136,"&lt;&gt;Cancelada")&gt;0,"REUNIÃO ","")&amp;IF(COUNTIFS($C$22:$C$136,H8,$D$22:$D$136,"*Férias*",$Q$22:$Q$136,"&lt;&gt;Cancelada")&gt;0,"Férias ","")&amp;IF(COUNTIFS($C$22:$C$136,H8,$D$22:$D$136,"*Mudança*",$Q$22:$Q$136,"&lt;&gt;Cancelada")&gt;0,"M.Função ","")&amp;IF(COUNTIFS($C$22:$C$136,H8,$D$22:$D$136,"*Treinamento*",$Q$22:$Q$136,"&lt;&gt;Cancelada")&gt;0,"Trein. ","")))</f>
        <v>Vistoria</v>
      </c>
      <c r="I9" s="47"/>
      <c r="J9" s="47" t="str">
        <f aca="false">IF(J8="","",TRIM(IF(COUNTIFS($C$22:$C$136,J8,$D$22:$D$136,"*Vistoria*",$Q$22:$Q$136,"&lt;&gt;Cancelada")&gt;0,"Vistoria ","")&amp;IF(COUNTIFS($C$22:$C$136,J8,$D$22:$D$136,"*Relatório*",$Q$22:$Q$136,"&lt;&gt;Cancelada")&gt;0,"Relatório ","")&amp;IF(COUNTIFS($C$22:$C$136,J8,$D$22:$D$136,"*Reunião*",$Q$22:$Q$136,"&lt;&gt;Cancelada")&gt;0,"REUNIÃO ","")&amp;IF(COUNTIFS($C$22:$C$136,J8,$D$22:$D$136,"*Férias*",$Q$22:$Q$136,"&lt;&gt;Cancelada")&gt;0,"Férias ","")&amp;IF(COUNTIFS($C$22:$C$136,J8,$D$22:$D$136,"*Mudança*",$Q$22:$Q$136,"&lt;&gt;Cancelada")&gt;0,"M.Função ","")&amp;IF(COUNTIFS($C$22:$C$136,J8,$D$22:$D$136,"*Treinamento*",$Q$22:$Q$136,"&lt;&gt;Cancelada")&gt;0,"Trein. ","")))</f>
        <v>Relatório</v>
      </c>
      <c r="K9" s="47"/>
      <c r="L9" s="47" t="str">
        <f aca="false">IF(L8="","",TRIM(IF(COUNTIFS($C$22:$C$136,L8,$D$22:$D$136,"*Vistoria*",$Q$22:$Q$136,"&lt;&gt;Cancelada")&gt;0,"Vistoria ","")&amp;IF(COUNTIFS($C$22:$C$136,L8,$D$22:$D$136,"*Relatório*",$Q$22:$Q$136,"&lt;&gt;Cancelada")&gt;0,"Relatório ","")&amp;IF(COUNTIFS($C$22:$C$136,L8,$D$22:$D$136,"*Reunião*",$Q$22:$Q$136,"&lt;&gt;Cancelada")&gt;0,"REUNIÃO ","")&amp;IF(COUNTIFS($C$22:$C$136,L8,$D$22:$D$136,"*Férias*",$Q$22:$Q$136,"&lt;&gt;Cancelada")&gt;0,"Férias ","")&amp;IF(COUNTIFS($C$22:$C$136,L8,$D$22:$D$136,"*Mudança*",$Q$22:$Q$136,"&lt;&gt;Cancelada")&gt;0,"M.Função ","")&amp;IF(COUNTIFS($C$22:$C$136,L8,$D$22:$D$136,"*Treinamento*",$Q$22:$Q$136,"&lt;&gt;Cancelada")&gt;0,"Trein. ","")))</f>
        <v>REUNIÃO</v>
      </c>
      <c r="M9" s="47"/>
      <c r="N9" s="47" t="str">
        <f aca="false">IF(N8="","",TRIM(IF(COUNTIFS($C$22:$C$136,N8,$D$22:$D$136,"*Vistoria*",$Q$22:$Q$136,"&lt;&gt;Cancelada")&gt;0,"Vistoria ","")&amp;IF(COUNTIFS($C$22:$C$136,N8,$D$22:$D$136,"*Relatório*",$Q$22:$Q$136,"&lt;&gt;Cancelada")&gt;0,"Relatório ","")&amp;IF(COUNTIFS($C$22:$C$136,N8,$D$22:$D$136,"*Reunião*",$Q$22:$Q$136,"&lt;&gt;Cancelada")&gt;0,"REUNIÃO ","")&amp;IF(COUNTIFS($C$22:$C$136,N8,$D$22:$D$136,"*Férias*",$Q$22:$Q$136,"&lt;&gt;Cancelada")&gt;0,"Férias ","")&amp;IF(COUNTIFS($C$22:$C$136,N8,$D$22:$D$136,"*Mudança*",$Q$22:$Q$136,"&lt;&gt;Cancelada")&gt;0,"M.Função ","")&amp;IF(COUNTIFS($C$22:$C$136,N8,$D$22:$D$136,"*Treinamento*",$Q$22:$Q$136,"&lt;&gt;Cancelada")&gt;0,"Trein. ","")))</f>
        <v/>
      </c>
      <c r="O9" s="47"/>
    </row>
    <row r="10" customFormat="false" ht="15" hidden="false" customHeight="true" outlineLevel="0" collapsed="false">
      <c r="B10" s="46" t="n">
        <f aca="false">IF(MONTH($X$1-WEEKDAY($X$1)+1+14)=MONTH($X$1),$X$1-WEEKDAY($X$1)+1+14,"")</f>
        <v>46341</v>
      </c>
      <c r="C10" s="46"/>
      <c r="D10" s="46" t="n">
        <f aca="false">IF(MONTH($X$1-WEEKDAY($X$1)+1+15)=MONTH($X$1),$X$1-WEEKDAY($X$1)+1+15,"")</f>
        <v>46342</v>
      </c>
      <c r="E10" s="46"/>
      <c r="F10" s="46" t="n">
        <f aca="false">IF(MONTH($X$1-WEEKDAY($X$1)+1+16)=MONTH($X$1),$X$1-WEEKDAY($X$1)+1+16,"")</f>
        <v>46343</v>
      </c>
      <c r="G10" s="46"/>
      <c r="H10" s="46" t="n">
        <f aca="false">IF(MONTH($X$1-WEEKDAY($X$1)+1+17)=MONTH($X$1),$X$1-WEEKDAY($X$1)+1+17,"")</f>
        <v>46344</v>
      </c>
      <c r="I10" s="46"/>
      <c r="J10" s="46" t="n">
        <f aca="false">IF(MONTH($X$1-WEEKDAY($X$1)+1+18)=MONTH($X$1),$X$1-WEEKDAY($X$1)+1+18,"")</f>
        <v>46345</v>
      </c>
      <c r="K10" s="46"/>
      <c r="L10" s="46" t="n">
        <f aca="false">IF(MONTH($X$1-WEEKDAY($X$1)+1+19)=MONTH($X$1),$X$1-WEEKDAY($X$1)+1+19,"")</f>
        <v>46346</v>
      </c>
      <c r="M10" s="46"/>
      <c r="N10" s="46" t="n">
        <f aca="false">IF(MONTH($X$1-WEEKDAY($X$1)+1+20)=MONTH($X$1),$X$1-WEEKDAY($X$1)+1+20,"")</f>
        <v>46347</v>
      </c>
      <c r="O10" s="46"/>
    </row>
    <row r="11" customFormat="false" ht="25.5" hidden="false" customHeight="true" outlineLevel="0" collapsed="false">
      <c r="B11" s="47" t="str">
        <f aca="false">IF(B10="","",TRIM(IF(COUNTIFS($C$22:$C$136,B10,$D$22:$D$136,"*Vistoria*",$Q$22:$Q$136,"&lt;&gt;Cancelada")&gt;0,"Vistoria ","")&amp;IF(COUNTIFS($C$22:$C$136,B10,$D$22:$D$136,"*Relatório*",$Q$22:$Q$136,"&lt;&gt;Cancelada")&gt;0,"Relatório ","")&amp;IF(COUNTIFS($C$22:$C$136,B10,$D$22:$D$136,"*Reunião*",$Q$22:$Q$136,"&lt;&gt;Cancelada")&gt;0,"REUNIÃO ","")&amp;IF(COUNTIFS($C$22:$C$136,B10,$D$22:$D$136,"*Férias*",$Q$22:$Q$136,"&lt;&gt;Cancelada")&gt;0,"Férias ","")&amp;IF(COUNTIFS($C$22:$C$136,B10,$D$22:$D$136,"*Mudança*",$Q$22:$Q$136,"&lt;&gt;Cancelada")&gt;0,"M.Função ","")&amp;IF(COUNTIFS($C$22:$C$136,B10,$D$22:$D$136,"*Treinamento*",$Q$22:$Q$136,"&lt;&gt;Cancelada")&gt;0,"Trein. ","")))</f>
        <v/>
      </c>
      <c r="C11" s="47"/>
      <c r="D11" s="47" t="str">
        <f aca="false">IF(D10="","",TRIM(IF(COUNTIFS($C$22:$C$136,D10,$D$22:$D$136,"*Vistoria*",$Q$22:$Q$136,"&lt;&gt;Cancelada")&gt;0,"Vistoria ","")&amp;IF(COUNTIFS($C$22:$C$136,D10,$D$22:$D$136,"*Relatório*",$Q$22:$Q$136,"&lt;&gt;Cancelada")&gt;0,"Relatório ","")&amp;IF(COUNTIFS($C$22:$C$136,D10,$D$22:$D$136,"*Reunião*",$Q$22:$Q$136,"&lt;&gt;Cancelada")&gt;0,"REUNIÃO ","")&amp;IF(COUNTIFS($C$22:$C$136,D10,$D$22:$D$136,"*Férias*",$Q$22:$Q$136,"&lt;&gt;Cancelada")&gt;0,"Férias ","")&amp;IF(COUNTIFS($C$22:$C$136,D10,$D$22:$D$136,"*Mudança*",$Q$22:$Q$136,"&lt;&gt;Cancelada")&gt;0,"M.Função ","")&amp;IF(COUNTIFS($C$22:$C$136,D10,$D$22:$D$136,"*Treinamento*",$Q$22:$Q$136,"&lt;&gt;Cancelada")&gt;0,"Trein. ","")))</f>
        <v/>
      </c>
      <c r="E11" s="47"/>
      <c r="F11" s="47" t="str">
        <f aca="false">IF(F10="","",TRIM(IF(COUNTIFS($C$22:$C$136,F10,$D$22:$D$136,"*Vistoria*",$Q$22:$Q$136,"&lt;&gt;Cancelada")&gt;0,"Vistoria ","")&amp;IF(COUNTIFS($C$22:$C$136,F10,$D$22:$D$136,"*Relatório*",$Q$22:$Q$136,"&lt;&gt;Cancelada")&gt;0,"Relatório ","")&amp;IF(COUNTIFS($C$22:$C$136,F10,$D$22:$D$136,"*Reunião*",$Q$22:$Q$136,"&lt;&gt;Cancelada")&gt;0,"REUNIÃO ","")&amp;IF(COUNTIFS($C$22:$C$136,F10,$D$22:$D$136,"*Férias*",$Q$22:$Q$136,"&lt;&gt;Cancelada")&gt;0,"Férias ","")&amp;IF(COUNTIFS($C$22:$C$136,F10,$D$22:$D$136,"*Mudança*",$Q$22:$Q$136,"&lt;&gt;Cancelada")&gt;0,"M.Função ","")&amp;IF(COUNTIFS($C$22:$C$136,F10,$D$22:$D$136,"*Treinamento*",$Q$22:$Q$136,"&lt;&gt;Cancelada")&gt;0,"Trein. ","")))</f>
        <v/>
      </c>
      <c r="G11" s="47"/>
      <c r="H11" s="47" t="str">
        <f aca="false">IF(H10="","",TRIM(IF(COUNTIFS($C$22:$C$136,H10,$D$22:$D$136,"*Vistoria*",$Q$22:$Q$136,"&lt;&gt;Cancelada")&gt;0,"Vistoria ","")&amp;IF(COUNTIFS($C$22:$C$136,H10,$D$22:$D$136,"*Relatório*",$Q$22:$Q$136,"&lt;&gt;Cancelada")&gt;0,"Relatório ","")&amp;IF(COUNTIFS($C$22:$C$136,H10,$D$22:$D$136,"*Reunião*",$Q$22:$Q$136,"&lt;&gt;Cancelada")&gt;0,"REUNIÃO ","")&amp;IF(COUNTIFS($C$22:$C$136,H10,$D$22:$D$136,"*Férias*",$Q$22:$Q$136,"&lt;&gt;Cancelada")&gt;0,"Férias ","")&amp;IF(COUNTIFS($C$22:$C$136,H10,$D$22:$D$136,"*Mudança*",$Q$22:$Q$136,"&lt;&gt;Cancelada")&gt;0,"M.Função ","")&amp;IF(COUNTIFS($C$22:$C$136,H10,$D$22:$D$136,"*Treinamento*",$Q$22:$Q$136,"&lt;&gt;Cancelada")&gt;0,"Trein. ","")))</f>
        <v>Vistoria</v>
      </c>
      <c r="I11" s="47"/>
      <c r="J11" s="47" t="str">
        <f aca="false">IF(J10="","",TRIM(IF(COUNTIFS($C$22:$C$136,J10,$D$22:$D$136,"*Vistoria*",$Q$22:$Q$136,"&lt;&gt;Cancelada")&gt;0,"Vistoria ","")&amp;IF(COUNTIFS($C$22:$C$136,J10,$D$22:$D$136,"*Relatório*",$Q$22:$Q$136,"&lt;&gt;Cancelada")&gt;0,"Relatório ","")&amp;IF(COUNTIFS($C$22:$C$136,J10,$D$22:$D$136,"*Reunião*",$Q$22:$Q$136,"&lt;&gt;Cancelada")&gt;0,"REUNIÃO ","")&amp;IF(COUNTIFS($C$22:$C$136,J10,$D$22:$D$136,"*Férias*",$Q$22:$Q$136,"&lt;&gt;Cancelada")&gt;0,"Férias ","")&amp;IF(COUNTIFS($C$22:$C$136,J10,$D$22:$D$136,"*Mudança*",$Q$22:$Q$136,"&lt;&gt;Cancelada")&gt;0,"M.Função ","")&amp;IF(COUNTIFS($C$22:$C$136,J10,$D$22:$D$136,"*Treinamento*",$Q$22:$Q$136,"&lt;&gt;Cancelada")&gt;0,"Trein. ","")))</f>
        <v>Relatório</v>
      </c>
      <c r="K11" s="47"/>
      <c r="L11" s="47" t="str">
        <f aca="false">IF(L10="","",TRIM(IF(COUNTIFS($C$22:$C$136,L10,$D$22:$D$136,"*Vistoria*",$Q$22:$Q$136,"&lt;&gt;Cancelada")&gt;0,"Vistoria ","")&amp;IF(COUNTIFS($C$22:$C$136,L10,$D$22:$D$136,"*Relatório*",$Q$22:$Q$136,"&lt;&gt;Cancelada")&gt;0,"Relatório ","")&amp;IF(COUNTIFS($C$22:$C$136,L10,$D$22:$D$136,"*Reunião*",$Q$22:$Q$136,"&lt;&gt;Cancelada")&gt;0,"REUNIÃO ","")&amp;IF(COUNTIFS($C$22:$C$136,L10,$D$22:$D$136,"*Férias*",$Q$22:$Q$136,"&lt;&gt;Cancelada")&gt;0,"Férias ","")&amp;IF(COUNTIFS($C$22:$C$136,L10,$D$22:$D$136,"*Mudança*",$Q$22:$Q$136,"&lt;&gt;Cancelada")&gt;0,"M.Função ","")&amp;IF(COUNTIFS($C$22:$C$136,L10,$D$22:$D$136,"*Treinamento*",$Q$22:$Q$136,"&lt;&gt;Cancelada")&gt;0,"Trein. ","")))</f>
        <v>REUNIÃO</v>
      </c>
      <c r="M11" s="47"/>
      <c r="N11" s="47" t="str">
        <f aca="false">IF(N10="","",TRIM(IF(COUNTIFS($C$22:$C$136,N10,$D$22:$D$136,"*Vistoria*",$Q$22:$Q$136,"&lt;&gt;Cancelada")&gt;0,"Vistoria ","")&amp;IF(COUNTIFS($C$22:$C$136,N10,$D$22:$D$136,"*Relatório*",$Q$22:$Q$136,"&lt;&gt;Cancelada")&gt;0,"Relatório ","")&amp;IF(COUNTIFS($C$22:$C$136,N10,$D$22:$D$136,"*Reunião*",$Q$22:$Q$136,"&lt;&gt;Cancelada")&gt;0,"REUNIÃO ","")&amp;IF(COUNTIFS($C$22:$C$136,N10,$D$22:$D$136,"*Férias*",$Q$22:$Q$136,"&lt;&gt;Cancelada")&gt;0,"Férias ","")&amp;IF(COUNTIFS($C$22:$C$136,N10,$D$22:$D$136,"*Mudança*",$Q$22:$Q$136,"&lt;&gt;Cancelada")&gt;0,"M.Função ","")&amp;IF(COUNTIFS($C$22:$C$136,N10,$D$22:$D$136,"*Treinamento*",$Q$22:$Q$136,"&lt;&gt;Cancelada")&gt;0,"Trein. ","")))</f>
        <v/>
      </c>
      <c r="O11" s="47"/>
    </row>
    <row r="12" customFormat="false" ht="15" hidden="false" customHeight="true" outlineLevel="0" collapsed="false">
      <c r="B12" s="46" t="n">
        <f aca="false">IF(MONTH($X$1-WEEKDAY($X$1)+1+21)=MONTH($X$1),$X$1-WEEKDAY($X$1)+1+21,"")</f>
        <v>46348</v>
      </c>
      <c r="C12" s="46"/>
      <c r="D12" s="46" t="n">
        <f aca="false">IF(MONTH($X$1-WEEKDAY($X$1)+1+22)=MONTH($X$1),$X$1-WEEKDAY($X$1)+1+22,"")</f>
        <v>46349</v>
      </c>
      <c r="E12" s="46"/>
      <c r="F12" s="46" t="n">
        <f aca="false">IF(MONTH($X$1-WEEKDAY($X$1)+1+23)=MONTH($X$1),$X$1-WEEKDAY($X$1)+1+23,"")</f>
        <v>46350</v>
      </c>
      <c r="G12" s="46"/>
      <c r="H12" s="46" t="n">
        <f aca="false">IF(MONTH($X$1-WEEKDAY($X$1)+1+24)=MONTH($X$1),$X$1-WEEKDAY($X$1)+1+24,"")</f>
        <v>46351</v>
      </c>
      <c r="I12" s="46"/>
      <c r="J12" s="46" t="n">
        <f aca="false">IF(MONTH($X$1-WEEKDAY($X$1)+1+25)=MONTH($X$1),$X$1-WEEKDAY($X$1)+1+25,"")</f>
        <v>46352</v>
      </c>
      <c r="K12" s="46"/>
      <c r="L12" s="46" t="n">
        <f aca="false">IF(MONTH($X$1-WEEKDAY($X$1)+1+26)=MONTH($X$1),$X$1-WEEKDAY($X$1)+1+26,"")</f>
        <v>46353</v>
      </c>
      <c r="M12" s="46"/>
      <c r="N12" s="46" t="n">
        <f aca="false">IF(MONTH($X$1-WEEKDAY($X$1)+1+27)=MONTH($X$1),$X$1-WEEKDAY($X$1)+1+27,"")</f>
        <v>46354</v>
      </c>
      <c r="O12" s="46"/>
    </row>
    <row r="13" customFormat="false" ht="25.5" hidden="false" customHeight="true" outlineLevel="0" collapsed="false">
      <c r="B13" s="47" t="str">
        <f aca="false">IF(B12="","",TRIM(IF(COUNTIFS($C$22:$C$136,B12,$D$22:$D$136,"*Vistoria*",$Q$22:$Q$136,"&lt;&gt;Cancelada")&gt;0,"Vistoria ","")&amp;IF(COUNTIFS($C$22:$C$136,B12,$D$22:$D$136,"*Relatório*",$Q$22:$Q$136,"&lt;&gt;Cancelada")&gt;0,"Relatório ","")&amp;IF(COUNTIFS($C$22:$C$136,B12,$D$22:$D$136,"*Reunião*",$Q$22:$Q$136,"&lt;&gt;Cancelada")&gt;0,"REUNIÃO ","")&amp;IF(COUNTIFS($C$22:$C$136,B12,$D$22:$D$136,"*Férias*",$Q$22:$Q$136,"&lt;&gt;Cancelada")&gt;0,"Férias ","")&amp;IF(COUNTIFS($C$22:$C$136,B12,$D$22:$D$136,"*Mudança*",$Q$22:$Q$136,"&lt;&gt;Cancelada")&gt;0,"M.Função ","")&amp;IF(COUNTIFS($C$22:$C$136,B12,$D$22:$D$136,"*Treinamento*",$Q$22:$Q$136,"&lt;&gt;Cancelada")&gt;0,"Trein. ","")))</f>
        <v/>
      </c>
      <c r="C13" s="47"/>
      <c r="D13" s="47" t="str">
        <f aca="false">IF(D12="","",TRIM(IF(COUNTIFS($C$22:$C$136,D12,$D$22:$D$136,"*Vistoria*",$Q$22:$Q$136,"&lt;&gt;Cancelada")&gt;0,"Vistoria ","")&amp;IF(COUNTIFS($C$22:$C$136,D12,$D$22:$D$136,"*Relatório*",$Q$22:$Q$136,"&lt;&gt;Cancelada")&gt;0,"Relatório ","")&amp;IF(COUNTIFS($C$22:$C$136,D12,$D$22:$D$136,"*Reunião*",$Q$22:$Q$136,"&lt;&gt;Cancelada")&gt;0,"REUNIÃO ","")&amp;IF(COUNTIFS($C$22:$C$136,D12,$D$22:$D$136,"*Férias*",$Q$22:$Q$136,"&lt;&gt;Cancelada")&gt;0,"Férias ","")&amp;IF(COUNTIFS($C$22:$C$136,D12,$D$22:$D$136,"*Mudança*",$Q$22:$Q$136,"&lt;&gt;Cancelada")&gt;0,"M.Função ","")&amp;IF(COUNTIFS($C$22:$C$136,D12,$D$22:$D$136,"*Treinamento*",$Q$22:$Q$136,"&lt;&gt;Cancelada")&gt;0,"Trein. ","")))</f>
        <v/>
      </c>
      <c r="E13" s="47"/>
      <c r="F13" s="47" t="str">
        <f aca="false">IF(F12="","",TRIM(IF(COUNTIFS($C$22:$C$136,F12,$D$22:$D$136,"*Vistoria*",$Q$22:$Q$136,"&lt;&gt;Cancelada")&gt;0,"Vistoria ","")&amp;IF(COUNTIFS($C$22:$C$136,F12,$D$22:$D$136,"*Relatório*",$Q$22:$Q$136,"&lt;&gt;Cancelada")&gt;0,"Relatório ","")&amp;IF(COUNTIFS($C$22:$C$136,F12,$D$22:$D$136,"*Reunião*",$Q$22:$Q$136,"&lt;&gt;Cancelada")&gt;0,"REUNIÃO ","")&amp;IF(COUNTIFS($C$22:$C$136,F12,$D$22:$D$136,"*Férias*",$Q$22:$Q$136,"&lt;&gt;Cancelada")&gt;0,"Férias ","")&amp;IF(COUNTIFS($C$22:$C$136,F12,$D$22:$D$136,"*Mudança*",$Q$22:$Q$136,"&lt;&gt;Cancelada")&gt;0,"M.Função ","")&amp;IF(COUNTIFS($C$22:$C$136,F12,$D$22:$D$136,"*Treinamento*",$Q$22:$Q$136,"&lt;&gt;Cancelada")&gt;0,"Trein. ","")))</f>
        <v/>
      </c>
      <c r="G13" s="47"/>
      <c r="H13" s="47" t="str">
        <f aca="false">IF(H12="","",TRIM(IF(COUNTIFS($C$22:$C$136,H12,$D$22:$D$136,"*Vistoria*",$Q$22:$Q$136,"&lt;&gt;Cancelada")&gt;0,"Vistoria ","")&amp;IF(COUNTIFS($C$22:$C$136,H12,$D$22:$D$136,"*Relatório*",$Q$22:$Q$136,"&lt;&gt;Cancelada")&gt;0,"Relatório ","")&amp;IF(COUNTIFS($C$22:$C$136,H12,$D$22:$D$136,"*Reunião*",$Q$22:$Q$136,"&lt;&gt;Cancelada")&gt;0,"REUNIÃO ","")&amp;IF(COUNTIFS($C$22:$C$136,H12,$D$22:$D$136,"*Férias*",$Q$22:$Q$136,"&lt;&gt;Cancelada")&gt;0,"Férias ","")&amp;IF(COUNTIFS($C$22:$C$136,H12,$D$22:$D$136,"*Mudança*",$Q$22:$Q$136,"&lt;&gt;Cancelada")&gt;0,"M.Função ","")&amp;IF(COUNTIFS($C$22:$C$136,H12,$D$22:$D$136,"*Treinamento*",$Q$22:$Q$136,"&lt;&gt;Cancelada")&gt;0,"Trein. ","")))</f>
        <v>Vistoria</v>
      </c>
      <c r="I13" s="47"/>
      <c r="J13" s="47" t="str">
        <f aca="false">IF(J12="","",TRIM(IF(COUNTIFS($C$22:$C$136,J12,$D$22:$D$136,"*Vistoria*",$Q$22:$Q$136,"&lt;&gt;Cancelada")&gt;0,"Vistoria ","")&amp;IF(COUNTIFS($C$22:$C$136,J12,$D$22:$D$136,"*Relatório*",$Q$22:$Q$136,"&lt;&gt;Cancelada")&gt;0,"Relatório ","")&amp;IF(COUNTIFS($C$22:$C$136,J12,$D$22:$D$136,"*Reunião*",$Q$22:$Q$136,"&lt;&gt;Cancelada")&gt;0,"REUNIÃO ","")&amp;IF(COUNTIFS($C$22:$C$136,J12,$D$22:$D$136,"*Férias*",$Q$22:$Q$136,"&lt;&gt;Cancelada")&gt;0,"Férias ","")&amp;IF(COUNTIFS($C$22:$C$136,J12,$D$22:$D$136,"*Mudança*",$Q$22:$Q$136,"&lt;&gt;Cancelada")&gt;0,"M.Função ","")&amp;IF(COUNTIFS($C$22:$C$136,J12,$D$22:$D$136,"*Treinamento*",$Q$22:$Q$136,"&lt;&gt;Cancelada")&gt;0,"Trein. ","")))</f>
        <v>Relatório</v>
      </c>
      <c r="K13" s="47"/>
      <c r="L13" s="47" t="str">
        <f aca="false">IF(L12="","",TRIM(IF(COUNTIFS($C$22:$C$136,L12,$D$22:$D$136,"*Vistoria*",$Q$22:$Q$136,"&lt;&gt;Cancelada")&gt;0,"Vistoria ","")&amp;IF(COUNTIFS($C$22:$C$136,L12,$D$22:$D$136,"*Relatório*",$Q$22:$Q$136,"&lt;&gt;Cancelada")&gt;0,"Relatório ","")&amp;IF(COUNTIFS($C$22:$C$136,L12,$D$22:$D$136,"*Reunião*",$Q$22:$Q$136,"&lt;&gt;Cancelada")&gt;0,"REUNIÃO ","")&amp;IF(COUNTIFS($C$22:$C$136,L12,$D$22:$D$136,"*Férias*",$Q$22:$Q$136,"&lt;&gt;Cancelada")&gt;0,"Férias ","")&amp;IF(COUNTIFS($C$22:$C$136,L12,$D$22:$D$136,"*Mudança*",$Q$22:$Q$136,"&lt;&gt;Cancelada")&gt;0,"M.Função ","")&amp;IF(COUNTIFS($C$22:$C$136,L12,$D$22:$D$136,"*Treinamento*",$Q$22:$Q$136,"&lt;&gt;Cancelada")&gt;0,"Trein. ","")))</f>
        <v>REUNIÃO M.Função</v>
      </c>
      <c r="M13" s="47"/>
      <c r="N13" s="47" t="str">
        <f aca="false">IF(N12="","",TRIM(IF(COUNTIFS($C$22:$C$136,N12,$D$22:$D$136,"*Vistoria*",$Q$22:$Q$136,"&lt;&gt;Cancelada")&gt;0,"Vistoria ","")&amp;IF(COUNTIFS($C$22:$C$136,N12,$D$22:$D$136,"*Relatório*",$Q$22:$Q$136,"&lt;&gt;Cancelada")&gt;0,"Relatório ","")&amp;IF(COUNTIFS($C$22:$C$136,N12,$D$22:$D$136,"*Reunião*",$Q$22:$Q$136,"&lt;&gt;Cancelada")&gt;0,"REUNIÃO ","")&amp;IF(COUNTIFS($C$22:$C$136,N12,$D$22:$D$136,"*Férias*",$Q$22:$Q$136,"&lt;&gt;Cancelada")&gt;0,"Férias ","")&amp;IF(COUNTIFS($C$22:$C$136,N12,$D$22:$D$136,"*Mudança*",$Q$22:$Q$136,"&lt;&gt;Cancelada")&gt;0,"M.Função ","")&amp;IF(COUNTIFS($C$22:$C$136,N12,$D$22:$D$136,"*Treinamento*",$Q$22:$Q$136,"&lt;&gt;Cancelada")&gt;0,"Trein. ","")))</f>
        <v/>
      </c>
      <c r="O13" s="47"/>
    </row>
    <row r="14" customFormat="false" ht="15" hidden="false" customHeight="true" outlineLevel="0" collapsed="false">
      <c r="B14" s="46" t="n">
        <f aca="false">IF(MONTH($X$1-WEEKDAY($X$1)+1+28)=MONTH($X$1),$X$1-WEEKDAY($X$1)+1+28,"")</f>
        <v>46355</v>
      </c>
      <c r="C14" s="46"/>
      <c r="D14" s="46" t="n">
        <f aca="false">IF(MONTH($X$1-WEEKDAY($X$1)+1+29)=MONTH($X$1),$X$1-WEEKDAY($X$1)+1+29,"")</f>
        <v>46356</v>
      </c>
      <c r="E14" s="46"/>
      <c r="F14" s="46" t="str">
        <f aca="false">IF(MONTH($X$1-WEEKDAY($X$1)+1+30)=MONTH($X$1),$X$1-WEEKDAY($X$1)+1+30,"")</f>
        <v/>
      </c>
      <c r="G14" s="46"/>
      <c r="H14" s="46" t="str">
        <f aca="false">IF(MONTH($X$1-WEEKDAY($X$1)+1+31)=MONTH($X$1),$X$1-WEEKDAY($X$1)+1+31,"")</f>
        <v/>
      </c>
      <c r="I14" s="46"/>
      <c r="J14" s="46" t="str">
        <f aca="false">IF(MONTH($X$1-WEEKDAY($X$1)+1+32)=MONTH($X$1),$X$1-WEEKDAY($X$1)+1+32,"")</f>
        <v/>
      </c>
      <c r="K14" s="46"/>
      <c r="L14" s="46" t="str">
        <f aca="false">IF(MONTH($X$1-WEEKDAY($X$1)+1+33)=MONTH($X$1),$X$1-WEEKDAY($X$1)+1+33,"")</f>
        <v/>
      </c>
      <c r="M14" s="46"/>
      <c r="N14" s="46" t="str">
        <f aca="false">IF(MONTH($X$1-WEEKDAY($X$1)+1+34)=MONTH($X$1),$X$1-WEEKDAY($X$1)+1+34,"")</f>
        <v/>
      </c>
      <c r="O14" s="46"/>
    </row>
    <row r="15" customFormat="false" ht="25.5" hidden="false" customHeight="true" outlineLevel="0" collapsed="false">
      <c r="B15" s="47" t="str">
        <f aca="false">IF(B14="","",TRIM(IF(COUNTIFS($C$22:$C$136,B14,$D$22:$D$136,"*Vistoria*",$Q$22:$Q$136,"&lt;&gt;Cancelada")&gt;0,"Vistoria ","")&amp;IF(COUNTIFS($C$22:$C$136,B14,$D$22:$D$136,"*Relatório*",$Q$22:$Q$136,"&lt;&gt;Cancelada")&gt;0,"Relatório ","")&amp;IF(COUNTIFS($C$22:$C$136,B14,$D$22:$D$136,"*Reunião*",$Q$22:$Q$136,"&lt;&gt;Cancelada")&gt;0,"REUNIÃO ","")&amp;IF(COUNTIFS($C$22:$C$136,B14,$D$22:$D$136,"*Férias*",$Q$22:$Q$136,"&lt;&gt;Cancelada")&gt;0,"Férias ","")&amp;IF(COUNTIFS($C$22:$C$136,B14,$D$22:$D$136,"*Mudança*",$Q$22:$Q$136,"&lt;&gt;Cancelada")&gt;0,"M.Função ","")&amp;IF(COUNTIFS($C$22:$C$136,B14,$D$22:$D$136,"*Treinamento*",$Q$22:$Q$136,"&lt;&gt;Cancelada")&gt;0,"Trein. ","")))</f>
        <v/>
      </c>
      <c r="C15" s="47"/>
      <c r="D15" s="47" t="str">
        <f aca="false">IF(D14="","",TRIM(IF(COUNTIFS($C$22:$C$136,D14,$D$22:$D$136,"*Vistoria*",$Q$22:$Q$136,"&lt;&gt;Cancelada")&gt;0,"Vistoria ","")&amp;IF(COUNTIFS($C$22:$C$136,D14,$D$22:$D$136,"*Relatório*",$Q$22:$Q$136,"&lt;&gt;Cancelada")&gt;0,"Relatório ","")&amp;IF(COUNTIFS($C$22:$C$136,D14,$D$22:$D$136,"*Reunião*",$Q$22:$Q$136,"&lt;&gt;Cancelada")&gt;0,"REUNIÃO ","")&amp;IF(COUNTIFS($C$22:$C$136,D14,$D$22:$D$136,"*Férias*",$Q$22:$Q$136,"&lt;&gt;Cancelada")&gt;0,"Férias ","")&amp;IF(COUNTIFS($C$22:$C$136,D14,$D$22:$D$136,"*Mudança*",$Q$22:$Q$136,"&lt;&gt;Cancelada")&gt;0,"M.Função ","")&amp;IF(COUNTIFS($C$22:$C$136,D14,$D$22:$D$136,"*Treinamento*",$Q$22:$Q$136,"&lt;&gt;Cancelada")&gt;0,"Trein. ","")))</f>
        <v/>
      </c>
      <c r="E15" s="47"/>
      <c r="F15" s="47" t="str">
        <f aca="false">IF(F14="","",TRIM(IF(COUNTIFS($C$22:$C$136,F14,$D$22:$D$136,"*Vistoria*",$Q$22:$Q$136,"&lt;&gt;Cancelada")&gt;0,"Vistoria ","")&amp;IF(COUNTIFS($C$22:$C$136,F14,$D$22:$D$136,"*Relatório*",$Q$22:$Q$136,"&lt;&gt;Cancelada")&gt;0,"Relatório ","")&amp;IF(COUNTIFS($C$22:$C$136,F14,$D$22:$D$136,"*Reunião*",$Q$22:$Q$136,"&lt;&gt;Cancelada")&gt;0,"REUNIÃO ","")&amp;IF(COUNTIFS($C$22:$C$136,F14,$D$22:$D$136,"*Férias*",$Q$22:$Q$136,"&lt;&gt;Cancelada")&gt;0,"Férias ","")&amp;IF(COUNTIFS($C$22:$C$136,F14,$D$22:$D$136,"*Mudança*",$Q$22:$Q$136,"&lt;&gt;Cancelada")&gt;0,"M.Função ","")&amp;IF(COUNTIFS($C$22:$C$136,F14,$D$22:$D$136,"*Treinamento*",$Q$22:$Q$136,"&lt;&gt;Cancelada")&gt;0,"Trein. ","")))</f>
        <v/>
      </c>
      <c r="G15" s="47"/>
      <c r="H15" s="47" t="str">
        <f aca="false">IF(H14="","",TRIM(IF(COUNTIFS($C$22:$C$136,H14,$D$22:$D$136,"*Vistoria*",$Q$22:$Q$136,"&lt;&gt;Cancelada")&gt;0,"Vistoria ","")&amp;IF(COUNTIFS($C$22:$C$136,H14,$D$22:$D$136,"*Relatório*",$Q$22:$Q$136,"&lt;&gt;Cancelada")&gt;0,"Relatório ","")&amp;IF(COUNTIFS($C$22:$C$136,H14,$D$22:$D$136,"*Reunião*",$Q$22:$Q$136,"&lt;&gt;Cancelada")&gt;0,"REUNIÃO ","")&amp;IF(COUNTIFS($C$22:$C$136,H14,$D$22:$D$136,"*Férias*",$Q$22:$Q$136,"&lt;&gt;Cancelada")&gt;0,"Férias ","")&amp;IF(COUNTIFS($C$22:$C$136,H14,$D$22:$D$136,"*Mudança*",$Q$22:$Q$136,"&lt;&gt;Cancelada")&gt;0,"M.Função ","")&amp;IF(COUNTIFS($C$22:$C$136,H14,$D$22:$D$136,"*Treinamento*",$Q$22:$Q$136,"&lt;&gt;Cancelada")&gt;0,"Trein. ","")))</f>
        <v/>
      </c>
      <c r="I15" s="47"/>
      <c r="J15" s="47" t="str">
        <f aca="false">IF(J14="","",TRIM(IF(COUNTIFS($C$22:$C$136,J14,$D$22:$D$136,"*Vistoria*",$Q$22:$Q$136,"&lt;&gt;Cancelada")&gt;0,"Vistoria ","")&amp;IF(COUNTIFS($C$22:$C$136,J14,$D$22:$D$136,"*Relatório*",$Q$22:$Q$136,"&lt;&gt;Cancelada")&gt;0,"Relatório ","")&amp;IF(COUNTIFS($C$22:$C$136,J14,$D$22:$D$136,"*Reunião*",$Q$22:$Q$136,"&lt;&gt;Cancelada")&gt;0,"REUNIÃO ","")&amp;IF(COUNTIFS($C$22:$C$136,J14,$D$22:$D$136,"*Férias*",$Q$22:$Q$136,"&lt;&gt;Cancelada")&gt;0,"Férias ","")&amp;IF(COUNTIFS($C$22:$C$136,J14,$D$22:$D$136,"*Mudança*",$Q$22:$Q$136,"&lt;&gt;Cancelada")&gt;0,"M.Função ","")&amp;IF(COUNTIFS($C$22:$C$136,J14,$D$22:$D$136,"*Treinamento*",$Q$22:$Q$136,"&lt;&gt;Cancelada")&gt;0,"Trein. ","")))</f>
        <v/>
      </c>
      <c r="K15" s="47"/>
      <c r="L15" s="47" t="str">
        <f aca="false">IF(L14="","",TRIM(IF(COUNTIFS($C$22:$C$136,L14,$D$22:$D$136,"*Vistoria*",$Q$22:$Q$136,"&lt;&gt;Cancelada")&gt;0,"Vistoria ","")&amp;IF(COUNTIFS($C$22:$C$136,L14,$D$22:$D$136,"*Relatório*",$Q$22:$Q$136,"&lt;&gt;Cancelada")&gt;0,"Relatório ","")&amp;IF(COUNTIFS($C$22:$C$136,L14,$D$22:$D$136,"*Reunião*",$Q$22:$Q$136,"&lt;&gt;Cancelada")&gt;0,"REUNIÃO ","")&amp;IF(COUNTIFS($C$22:$C$136,L14,$D$22:$D$136,"*Férias*",$Q$22:$Q$136,"&lt;&gt;Cancelada")&gt;0,"Férias ","")&amp;IF(COUNTIFS($C$22:$C$136,L14,$D$22:$D$136,"*Mudança*",$Q$22:$Q$136,"&lt;&gt;Cancelada")&gt;0,"M.Função ","")&amp;IF(COUNTIFS($C$22:$C$136,L14,$D$22:$D$136,"*Treinamento*",$Q$22:$Q$136,"&lt;&gt;Cancelada")&gt;0,"Trein. ","")))</f>
        <v/>
      </c>
      <c r="M15" s="47"/>
      <c r="N15" s="47" t="str">
        <f aca="false">IF(N14="","",TRIM(IF(COUNTIFS($C$22:$C$136,N14,$D$22:$D$136,"*Vistoria*",$Q$22:$Q$136,"&lt;&gt;Cancelada")&gt;0,"Vistoria ","")&amp;IF(COUNTIFS($C$22:$C$136,N14,$D$22:$D$136,"*Relatório*",$Q$22:$Q$136,"&lt;&gt;Cancelada")&gt;0,"Relatório ","")&amp;IF(COUNTIFS($C$22:$C$136,N14,$D$22:$D$136,"*Reunião*",$Q$22:$Q$136,"&lt;&gt;Cancelada")&gt;0,"REUNIÃO ","")&amp;IF(COUNTIFS($C$22:$C$136,N14,$D$22:$D$136,"*Férias*",$Q$22:$Q$136,"&lt;&gt;Cancelada")&gt;0,"Férias ","")&amp;IF(COUNTIFS($C$22:$C$136,N14,$D$22:$D$136,"*Mudança*",$Q$22:$Q$136,"&lt;&gt;Cancelada")&gt;0,"M.Função ","")&amp;IF(COUNTIFS($C$22:$C$136,N14,$D$22:$D$136,"*Treinamento*",$Q$22:$Q$136,"&lt;&gt;Cancelada")&gt;0,"Trein. ","")))</f>
        <v/>
      </c>
      <c r="O15" s="47"/>
    </row>
    <row r="16" customFormat="false" ht="15" hidden="false" customHeight="true" outlineLevel="0" collapsed="false">
      <c r="B16" s="46" t="str">
        <f aca="false">IF(MONTH($X$1-WEEKDAY($X$1)+1+35)=MONTH($X$1),$X$1-WEEKDAY($X$1)+1+35,"")</f>
        <v/>
      </c>
      <c r="C16" s="46"/>
      <c r="D16" s="46" t="str">
        <f aca="false">IF(MONTH($X$1-WEEKDAY($X$1)+1+36)=MONTH($X$1),$X$1-WEEKDAY($X$1)+1+36,"")</f>
        <v/>
      </c>
      <c r="E16" s="46"/>
      <c r="F16" s="46" t="str">
        <f aca="false">IF(MONTH($X$1-WEEKDAY($X$1)+1+37)=MONTH($X$1),$X$1-WEEKDAY($X$1)+1+37,"")</f>
        <v/>
      </c>
      <c r="G16" s="46"/>
      <c r="H16" s="46" t="str">
        <f aca="false">IF(MONTH($X$1-WEEKDAY($X$1)+1+38)=MONTH($X$1),$X$1-WEEKDAY($X$1)+1+38,"")</f>
        <v/>
      </c>
      <c r="I16" s="46"/>
      <c r="J16" s="46" t="str">
        <f aca="false">IF(MONTH($X$1-WEEKDAY($X$1)+1+39)=MONTH($X$1),$X$1-WEEKDAY($X$1)+1+39,"")</f>
        <v/>
      </c>
      <c r="K16" s="46"/>
      <c r="L16" s="46" t="str">
        <f aca="false">IF(MONTH($X$1-WEEKDAY($X$1)+1+40)=MONTH($X$1),$X$1-WEEKDAY($X$1)+1+40,"")</f>
        <v/>
      </c>
      <c r="M16" s="46"/>
      <c r="N16" s="46" t="str">
        <f aca="false">IF(MONTH($X$1-WEEKDAY($X$1)+1+41)=MONTH($X$1),$X$1-WEEKDAY($X$1)+1+41,"")</f>
        <v/>
      </c>
      <c r="O16" s="46"/>
    </row>
    <row r="17" customFormat="false" ht="25.5" hidden="false" customHeight="true" outlineLevel="0" collapsed="false">
      <c r="B17" s="47" t="str">
        <f aca="false">IF(B16="","",TRIM(IF(COUNTIFS($C$22:$C$136,B16,$D$22:$D$136,"*Vistoria*",$Q$22:$Q$136,"&lt;&gt;Cancelada")&gt;0,"Vistoria ","")&amp;IF(COUNTIFS($C$22:$C$136,B16,$D$22:$D$136,"*Relatório*",$Q$22:$Q$136,"&lt;&gt;Cancelada")&gt;0,"Relatório ","")&amp;IF(COUNTIFS($C$22:$C$136,B16,$D$22:$D$136,"*Reunião*",$Q$22:$Q$136,"&lt;&gt;Cancelada")&gt;0,"REUNIÃO ","")&amp;IF(COUNTIFS($C$22:$C$136,B16,$D$22:$D$136,"*Férias*",$Q$22:$Q$136,"&lt;&gt;Cancelada")&gt;0,"Férias ","")&amp;IF(COUNTIFS($C$22:$C$136,B16,$D$22:$D$136,"*Mudança*",$Q$22:$Q$136,"&lt;&gt;Cancelada")&gt;0,"M.Função ","")&amp;IF(COUNTIFS($C$22:$C$136,B16,$D$22:$D$136,"*Treinamento*",$Q$22:$Q$136,"&lt;&gt;Cancelada")&gt;0,"Trein. ","")))</f>
        <v/>
      </c>
      <c r="C17" s="47"/>
      <c r="D17" s="47" t="str">
        <f aca="false">IF(D16="","",TRIM(IF(COUNTIFS($C$22:$C$136,D16,$D$22:$D$136,"*Vistoria*",$Q$22:$Q$136,"&lt;&gt;Cancelada")&gt;0,"Vistoria ","")&amp;IF(COUNTIFS($C$22:$C$136,D16,$D$22:$D$136,"*Relatório*",$Q$22:$Q$136,"&lt;&gt;Cancelada")&gt;0,"Relatório ","")&amp;IF(COUNTIFS($C$22:$C$136,D16,$D$22:$D$136,"*Reunião*",$Q$22:$Q$136,"&lt;&gt;Cancelada")&gt;0,"REUNIÃO ","")&amp;IF(COUNTIFS($C$22:$C$136,D16,$D$22:$D$136,"*Férias*",$Q$22:$Q$136,"&lt;&gt;Cancelada")&gt;0,"Férias ","")&amp;IF(COUNTIFS($C$22:$C$136,D16,$D$22:$D$136,"*Mudança*",$Q$22:$Q$136,"&lt;&gt;Cancelada")&gt;0,"M.Função ","")&amp;IF(COUNTIFS($C$22:$C$136,D16,$D$22:$D$136,"*Treinamento*",$Q$22:$Q$136,"&lt;&gt;Cancelada")&gt;0,"Trein. ","")))</f>
        <v/>
      </c>
      <c r="E17" s="47"/>
      <c r="F17" s="47" t="str">
        <f aca="false">IF(F16="","",TRIM(IF(COUNTIFS($C$22:$C$136,F16,$D$22:$D$136,"*Vistoria*",$Q$22:$Q$136,"&lt;&gt;Cancelada")&gt;0,"Vistoria ","")&amp;IF(COUNTIFS($C$22:$C$136,F16,$D$22:$D$136,"*Relatório*",$Q$22:$Q$136,"&lt;&gt;Cancelada")&gt;0,"Relatório ","")&amp;IF(COUNTIFS($C$22:$C$136,F16,$D$22:$D$136,"*Reunião*",$Q$22:$Q$136,"&lt;&gt;Cancelada")&gt;0,"REUNIÃO ","")&amp;IF(COUNTIFS($C$22:$C$136,F16,$D$22:$D$136,"*Férias*",$Q$22:$Q$136,"&lt;&gt;Cancelada")&gt;0,"Férias ","")&amp;IF(COUNTIFS($C$22:$C$136,F16,$D$22:$D$136,"*Mudança*",$Q$22:$Q$136,"&lt;&gt;Cancelada")&gt;0,"M.Função ","")&amp;IF(COUNTIFS($C$22:$C$136,F16,$D$22:$D$136,"*Treinamento*",$Q$22:$Q$136,"&lt;&gt;Cancelada")&gt;0,"Trein. ","")))</f>
        <v/>
      </c>
      <c r="G17" s="47"/>
      <c r="H17" s="47" t="str">
        <f aca="false">IF(H16="","",TRIM(IF(COUNTIFS($C$22:$C$136,H16,$D$22:$D$136,"*Vistoria*",$Q$22:$Q$136,"&lt;&gt;Cancelada")&gt;0,"Vistoria ","")&amp;IF(COUNTIFS($C$22:$C$136,H16,$D$22:$D$136,"*Relatório*",$Q$22:$Q$136,"&lt;&gt;Cancelada")&gt;0,"Relatório ","")&amp;IF(COUNTIFS($C$22:$C$136,H16,$D$22:$D$136,"*Reunião*",$Q$22:$Q$136,"&lt;&gt;Cancelada")&gt;0,"REUNIÃO ","")&amp;IF(COUNTIFS($C$22:$C$136,H16,$D$22:$D$136,"*Férias*",$Q$22:$Q$136,"&lt;&gt;Cancelada")&gt;0,"Férias ","")&amp;IF(COUNTIFS($C$22:$C$136,H16,$D$22:$D$136,"*Mudança*",$Q$22:$Q$136,"&lt;&gt;Cancelada")&gt;0,"M.Função ","")&amp;IF(COUNTIFS($C$22:$C$136,H16,$D$22:$D$136,"*Treinamento*",$Q$22:$Q$136,"&lt;&gt;Cancelada")&gt;0,"Trein. ","")))</f>
        <v/>
      </c>
      <c r="I17" s="47"/>
      <c r="J17" s="47" t="str">
        <f aca="false">IF(J16="","",TRIM(IF(COUNTIFS($C$22:$C$136,J16,$D$22:$D$136,"*Vistoria*",$Q$22:$Q$136,"&lt;&gt;Cancelada")&gt;0,"Vistoria ","")&amp;IF(COUNTIFS($C$22:$C$136,J16,$D$22:$D$136,"*Relatório*",$Q$22:$Q$136,"&lt;&gt;Cancelada")&gt;0,"Relatório ","")&amp;IF(COUNTIFS($C$22:$C$136,J16,$D$22:$D$136,"*Reunião*",$Q$22:$Q$136,"&lt;&gt;Cancelada")&gt;0,"REUNIÃO ","")&amp;IF(COUNTIFS($C$22:$C$136,J16,$D$22:$D$136,"*Férias*",$Q$22:$Q$136,"&lt;&gt;Cancelada")&gt;0,"Férias ","")&amp;IF(COUNTIFS($C$22:$C$136,J16,$D$22:$D$136,"*Mudança*",$Q$22:$Q$136,"&lt;&gt;Cancelada")&gt;0,"M.Função ","")&amp;IF(COUNTIFS($C$22:$C$136,J16,$D$22:$D$136,"*Treinamento*",$Q$22:$Q$136,"&lt;&gt;Cancelada")&gt;0,"Trein. ","")))</f>
        <v/>
      </c>
      <c r="K17" s="47"/>
      <c r="L17" s="47" t="str">
        <f aca="false">IF(L16="","",TRIM(IF(COUNTIFS($C$22:$C$136,L16,$D$22:$D$136,"*Vistoria*",$Q$22:$Q$136,"&lt;&gt;Cancelada")&gt;0,"Vistoria ","")&amp;IF(COUNTIFS($C$22:$C$136,L16,$D$22:$D$136,"*Relatório*",$Q$22:$Q$136,"&lt;&gt;Cancelada")&gt;0,"Relatório ","")&amp;IF(COUNTIFS($C$22:$C$136,L16,$D$22:$D$136,"*Reunião*",$Q$22:$Q$136,"&lt;&gt;Cancelada")&gt;0,"REUNIÃO ","")&amp;IF(COUNTIFS($C$22:$C$136,L16,$D$22:$D$136,"*Férias*",$Q$22:$Q$136,"&lt;&gt;Cancelada")&gt;0,"Férias ","")&amp;IF(COUNTIFS($C$22:$C$136,L16,$D$22:$D$136,"*Mudança*",$Q$22:$Q$136,"&lt;&gt;Cancelada")&gt;0,"M.Função ","")&amp;IF(COUNTIFS($C$22:$C$136,L16,$D$22:$D$136,"*Treinamento*",$Q$22:$Q$136,"&lt;&gt;Cancelada")&gt;0,"Trein. ","")))</f>
        <v/>
      </c>
      <c r="M17" s="47"/>
      <c r="N17" s="47" t="str">
        <f aca="false">IF(N16="","",TRIM(IF(COUNTIFS($C$22:$C$136,N16,$D$22:$D$136,"*Vistoria*",$Q$22:$Q$136,"&lt;&gt;Cancelada")&gt;0,"Vistoria ","")&amp;IF(COUNTIFS($C$22:$C$136,N16,$D$22:$D$136,"*Relatório*",$Q$22:$Q$136,"&lt;&gt;Cancelada")&gt;0,"Relatório ","")&amp;IF(COUNTIFS($C$22:$C$136,N16,$D$22:$D$136,"*Reunião*",$Q$22:$Q$136,"&lt;&gt;Cancelada")&gt;0,"REUNIÃO ","")&amp;IF(COUNTIFS($C$22:$C$136,N16,$D$22:$D$136,"*Férias*",$Q$22:$Q$136,"&lt;&gt;Cancelada")&gt;0,"Férias ","")&amp;IF(COUNTIFS($C$22:$C$136,N16,$D$22:$D$136,"*Mudança*",$Q$22:$Q$136,"&lt;&gt;Cancelada")&gt;0,"M.Função ","")&amp;IF(COUNTIFS($C$22:$C$136,N16,$D$22:$D$136,"*Treinamento*",$Q$22:$Q$136,"&lt;&gt;Cancelada")&gt;0,"Trein. ","")))</f>
        <v/>
      </c>
      <c r="O17" s="47"/>
    </row>
    <row r="18" customFormat="false" ht="15" hidden="false" customHeight="true" outlineLevel="0" collapsed="false">
      <c r="B18" s="48" t="s">
        <v>123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</row>
    <row r="20" customFormat="false" ht="15" hidden="false" customHeight="true" outlineLevel="0" collapsed="false">
      <c r="A20" s="49" t="s">
        <v>124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customFormat="false" ht="24" hidden="false" customHeight="true" outlineLevel="0" collapsed="false">
      <c r="A21" s="50" t="s">
        <v>125</v>
      </c>
      <c r="B21" s="50" t="s">
        <v>126</v>
      </c>
      <c r="C21" s="50" t="s">
        <v>127</v>
      </c>
      <c r="D21" s="50" t="s">
        <v>128</v>
      </c>
      <c r="E21" s="50"/>
      <c r="F21" s="50"/>
      <c r="G21" s="50" t="s">
        <v>73</v>
      </c>
      <c r="H21" s="50" t="s">
        <v>129</v>
      </c>
      <c r="I21" s="50"/>
      <c r="J21" s="50" t="s">
        <v>130</v>
      </c>
      <c r="K21" s="50"/>
      <c r="L21" s="50"/>
      <c r="M21" s="50" t="s">
        <v>131</v>
      </c>
      <c r="N21" s="50"/>
      <c r="O21" s="50"/>
      <c r="P21" s="50" t="s">
        <v>132</v>
      </c>
      <c r="Q21" s="50" t="s">
        <v>133</v>
      </c>
      <c r="R21" s="50" t="s">
        <v>134</v>
      </c>
      <c r="S21" s="50" t="s">
        <v>135</v>
      </c>
      <c r="T21" s="50" t="s">
        <v>136</v>
      </c>
      <c r="U21" s="50" t="s">
        <v>137</v>
      </c>
      <c r="V21" s="50" t="s">
        <v>138</v>
      </c>
    </row>
    <row r="22" customFormat="false" ht="15" hidden="false" customHeight="false" outlineLevel="0" collapsed="false">
      <c r="A22" s="51" t="str">
        <f aca="false">IF($C22="","",$X$2&amp;"-S"&amp;INT(($C22-WEEKDAY($C22,2)+11-DATE(YEAR($C22+4-WEEKDAY($C22,2)),1,1))/7)&amp;"-FER-A")</f>
        <v>NOV-S45-FER-A</v>
      </c>
      <c r="B22" s="34" t="str">
        <f aca="false">IF($C22="","","S"&amp;INT(($C22-WEEKDAY($C22,2)+11-DATE(YEAR($C22+4-WEEKDAY($C22,2)),1,1))/7))</f>
        <v>S45</v>
      </c>
      <c r="C22" s="52" t="n">
        <f aca="false">$X$1+MOD(8-WEEKDAY($X$1,2),7)</f>
        <v>46328</v>
      </c>
      <c r="D22" s="9" t="str">
        <f aca="false">IF($C22="","","Programação de Férias (mensal)")</f>
        <v>Programação de Férias (mensal)</v>
      </c>
      <c r="E22" s="9"/>
      <c r="F22" s="9"/>
      <c r="G22" s="34" t="str">
        <f aca="false">IF($C22="","","A")</f>
        <v>A</v>
      </c>
      <c r="H22" s="34" t="str">
        <f aca="false">IF($C22="","",IF($G22="A",CONFIG!$B$5,IF($G22="B",CONFIG!$B$6,IF($G22="C",CONFIG!$B$7,"Gerência + coordenadores"))))</f>
        <v>(preencha o nome)</v>
      </c>
      <c r="I22" s="34"/>
      <c r="J22" s="32" t="str">
        <f aca="false">IF($C22="","","—")</f>
        <v>—</v>
      </c>
      <c r="K22" s="53"/>
      <c r="L22" s="53"/>
      <c r="M22" s="54"/>
      <c r="N22" s="54"/>
      <c r="O22" s="54"/>
      <c r="P22" s="55"/>
      <c r="Q22" s="56"/>
      <c r="R22" s="57"/>
      <c r="S22" s="34" t="str">
        <f aca="true">IF($C22="","",IF($Q22="Cancelada","Cancelada",IF($Q22="Reprovado","Reprovada",IF($Q22="Aprovado","Aprovada",IF($M22&lt;&gt;"","Entregue",IF(TODAY()&gt;$C22,"Atrasada","Pendente"))))))</f>
        <v>Pendente</v>
      </c>
      <c r="T22" s="58"/>
      <c r="U22" s="58"/>
      <c r="V22" s="58"/>
    </row>
    <row r="23" customFormat="false" ht="15" hidden="false" customHeight="false" outlineLevel="0" collapsed="false">
      <c r="A23" s="59" t="str">
        <f aca="false">IF($C23="","",$X$2&amp;"-S"&amp;INT(($C23-WEEKDAY($C23,2)+11-DATE(YEAR($C23+4-WEEKDAY($C23,2)),1,1))/7)&amp;"-FER-B")</f>
        <v>NOV-S45-FER-B</v>
      </c>
      <c r="B23" s="30" t="str">
        <f aca="false">IF($C23="","","S"&amp;INT(($C23-WEEKDAY($C23,2)+11-DATE(YEAR($C23+4-WEEKDAY($C23,2)),1,1))/7))</f>
        <v>S45</v>
      </c>
      <c r="C23" s="52" t="n">
        <f aca="false">$X$1+MOD(8-WEEKDAY($X$1,2),7)</f>
        <v>46328</v>
      </c>
      <c r="D23" s="27" t="str">
        <f aca="false">IF($C23="","","Programação de Férias (mensal)")</f>
        <v>Programação de Férias (mensal)</v>
      </c>
      <c r="E23" s="27"/>
      <c r="F23" s="27"/>
      <c r="G23" s="30" t="str">
        <f aca="false">IF($C23="","","B")</f>
        <v>B</v>
      </c>
      <c r="H23" s="30" t="str">
        <f aca="false">IF($C23="","",IF($G23="A",CONFIG!$B$5,IF($G23="B",CONFIG!$B$6,IF($G23="C",CONFIG!$B$7,"Gerência + coordenadores"))))</f>
        <v>(preencha o nome)</v>
      </c>
      <c r="I23" s="30"/>
      <c r="J23" s="32" t="str">
        <f aca="false">IF($C23="","","—")</f>
        <v>—</v>
      </c>
      <c r="K23" s="53"/>
      <c r="L23" s="53"/>
      <c r="M23" s="54"/>
      <c r="N23" s="54"/>
      <c r="O23" s="54"/>
      <c r="P23" s="60"/>
      <c r="Q23" s="56"/>
      <c r="R23" s="57"/>
      <c r="S23" s="30" t="str">
        <f aca="true">IF($C23="","",IF($Q23="Cancelada","Cancelada",IF($Q23="Reprovado","Reprovada",IF($Q23="Aprovado","Aprovada",IF($M23&lt;&gt;"","Entregue",IF(TODAY()&gt;$C23,"Atrasada","Pendente"))))))</f>
        <v>Pendente</v>
      </c>
      <c r="T23" s="58"/>
      <c r="U23" s="58"/>
      <c r="V23" s="58"/>
    </row>
    <row r="24" customFormat="false" ht="15" hidden="false" customHeight="false" outlineLevel="0" collapsed="false">
      <c r="A24" s="51" t="str">
        <f aca="false">IF($C24="","",$X$2&amp;"-S"&amp;INT(($C24-WEEKDAY($C24,2)+11-DATE(YEAR($C24+4-WEEKDAY($C24,2)),1,1))/7)&amp;"-FER-C")</f>
        <v>NOV-S45-FER-C</v>
      </c>
      <c r="B24" s="34" t="str">
        <f aca="false">IF($C24="","","S"&amp;INT(($C24-WEEKDAY($C24,2)+11-DATE(YEAR($C24+4-WEEKDAY($C24,2)),1,1))/7))</f>
        <v>S45</v>
      </c>
      <c r="C24" s="52" t="n">
        <f aca="false">$X$1+MOD(8-WEEKDAY($X$1,2),7)</f>
        <v>46328</v>
      </c>
      <c r="D24" s="9" t="str">
        <f aca="false">IF($C24="","","Programação de Férias (mensal)")</f>
        <v>Programação de Férias (mensal)</v>
      </c>
      <c r="E24" s="9"/>
      <c r="F24" s="9"/>
      <c r="G24" s="34" t="str">
        <f aca="false">IF($C24="","","C")</f>
        <v>C</v>
      </c>
      <c r="H24" s="34" t="str">
        <f aca="false">IF($C24="","",IF($G24="A",CONFIG!$B$5,IF($G24="B",CONFIG!$B$6,IF($G24="C",CONFIG!$B$7,"Gerência + coordenadores"))))</f>
        <v>(preencha o nome)</v>
      </c>
      <c r="I24" s="34"/>
      <c r="J24" s="32" t="str">
        <f aca="false">IF($C24="","","—")</f>
        <v>—</v>
      </c>
      <c r="K24" s="53"/>
      <c r="L24" s="53"/>
      <c r="M24" s="54"/>
      <c r="N24" s="54"/>
      <c r="O24" s="54"/>
      <c r="P24" s="55"/>
      <c r="Q24" s="56"/>
      <c r="R24" s="57"/>
      <c r="S24" s="34" t="str">
        <f aca="true">IF($C24="","",IF($Q24="Cancelada","Cancelada",IF($Q24="Reprovado","Reprovada",IF($Q24="Aprovado","Aprovada",IF($M24&lt;&gt;"","Entregue",IF(TODAY()&gt;$C24,"Atrasada","Pendente"))))))</f>
        <v>Pendente</v>
      </c>
      <c r="T24" s="58"/>
      <c r="U24" s="58"/>
      <c r="V24" s="58"/>
    </row>
    <row r="25" customFormat="false" ht="22.35" hidden="false" customHeight="false" outlineLevel="0" collapsed="false">
      <c r="A25" s="51" t="str">
        <f aca="false">IF($C25="","",$X$2&amp;"-S"&amp;INT(($C25-WEEKDAY($C25,2)+11-DATE(YEAR($C25+4-WEEKDAY($C25,2)),1,1))/7)&amp;"-VIS-A")</f>
        <v>NOV-S45-VIS-A</v>
      </c>
      <c r="B25" s="34" t="str">
        <f aca="false">IF($C25="","","S"&amp;INT(($C25-WEEKDAY($C25,2)+11-DATE(YEAR($C25+4-WEEKDAY($C25,2)),1,1))/7))</f>
        <v>S45</v>
      </c>
      <c r="C25" s="52" t="n">
        <f aca="false">IF(MONTH(($X$1-WEEKDAY($X$1,3)+7)+2)=MONTH($X$1),($X$1-WEEKDAY($X$1,3)+7)+2,"")</f>
        <v>46330</v>
      </c>
      <c r="D25" s="9" t="str">
        <f aca="false">IF($C25="","","Vistoria Setorial (checklist no setor definido pelo gerente)")</f>
        <v>Vistoria Setorial (checklist no setor definido pelo gerente)</v>
      </c>
      <c r="E25" s="9"/>
      <c r="F25" s="9"/>
      <c r="G25" s="34" t="str">
        <f aca="false">IF($C25="","","A")</f>
        <v>A</v>
      </c>
      <c r="H25" s="34" t="str">
        <f aca="false">IF($C25="","",IF($G25="A",CONFIG!$B$5,IF($G25="B",CONFIG!$B$6,IF($G25="C",CONFIG!$B$7,"Gerência + coordenadores"))))</f>
        <v>(preencha o nome)</v>
      </c>
      <c r="I25" s="34"/>
      <c r="J25" s="56"/>
      <c r="K25" s="53"/>
      <c r="L25" s="53"/>
      <c r="M25" s="54"/>
      <c r="N25" s="54"/>
      <c r="O25" s="54"/>
      <c r="P25" s="55"/>
      <c r="Q25" s="56"/>
      <c r="R25" s="57"/>
      <c r="S25" s="34" t="str">
        <f aca="true">IF($C25="","",IF($Q25="Cancelada","Cancelada",IF($Q25="Reprovado","Reprovada",IF($Q25="Aprovado","Aprovada",IF($M25&lt;&gt;"","Entregue",IF(TODAY()&gt;$C25,"Atrasada","Pendente"))))))</f>
        <v>Pendente</v>
      </c>
      <c r="T25" s="58"/>
      <c r="U25" s="58"/>
      <c r="V25" s="58"/>
    </row>
    <row r="26" customFormat="false" ht="22.35" hidden="false" customHeight="false" outlineLevel="0" collapsed="false">
      <c r="A26" s="59" t="str">
        <f aca="false">IF($C26="","",$X$2&amp;"-S"&amp;INT(($C26-WEEKDAY($C26,2)+11-DATE(YEAR($C26+4-WEEKDAY($C26,2)),1,1))/7)&amp;"-VIS-B")</f>
        <v>NOV-S45-VIS-B</v>
      </c>
      <c r="B26" s="30" t="str">
        <f aca="false">IF($C26="","","S"&amp;INT(($C26-WEEKDAY($C26,2)+11-DATE(YEAR($C26+4-WEEKDAY($C26,2)),1,1))/7))</f>
        <v>S45</v>
      </c>
      <c r="C26" s="52" t="n">
        <f aca="false">IF(MONTH(($X$1-WEEKDAY($X$1,3)+7)+2)=MONTH($X$1),($X$1-WEEKDAY($X$1,3)+7)+2,"")</f>
        <v>46330</v>
      </c>
      <c r="D26" s="27" t="str">
        <f aca="false">IF($C26="","","Vistoria Setorial (checklist no setor definido pelo gerente)")</f>
        <v>Vistoria Setorial (checklist no setor definido pelo gerente)</v>
      </c>
      <c r="E26" s="27"/>
      <c r="F26" s="27"/>
      <c r="G26" s="30" t="str">
        <f aca="false">IF($C26="","","B")</f>
        <v>B</v>
      </c>
      <c r="H26" s="30" t="str">
        <f aca="false">IF($C26="","",IF($G26="A",CONFIG!$B$5,IF($G26="B",CONFIG!$B$6,IF($G26="C",CONFIG!$B$7,"Gerência + coordenadores"))))</f>
        <v>(preencha o nome)</v>
      </c>
      <c r="I26" s="30"/>
      <c r="J26" s="56"/>
      <c r="K26" s="53"/>
      <c r="L26" s="53"/>
      <c r="M26" s="54"/>
      <c r="N26" s="54"/>
      <c r="O26" s="54"/>
      <c r="P26" s="60"/>
      <c r="Q26" s="56"/>
      <c r="R26" s="57"/>
      <c r="S26" s="30" t="str">
        <f aca="true">IF($C26="","",IF($Q26="Cancelada","Cancelada",IF($Q26="Reprovado","Reprovada",IF($Q26="Aprovado","Aprovada",IF($M26&lt;&gt;"","Entregue",IF(TODAY()&gt;$C26,"Atrasada","Pendente"))))))</f>
        <v>Pendente</v>
      </c>
      <c r="T26" s="58"/>
      <c r="U26" s="58"/>
      <c r="V26" s="58"/>
    </row>
    <row r="27" customFormat="false" ht="22.35" hidden="false" customHeight="false" outlineLevel="0" collapsed="false">
      <c r="A27" s="51" t="str">
        <f aca="false">IF($C27="","",$X$2&amp;"-S"&amp;INT(($C27-WEEKDAY($C27,2)+11-DATE(YEAR($C27+4-WEEKDAY($C27,2)),1,1))/7)&amp;"-VIS-C")</f>
        <v>NOV-S45-VIS-C</v>
      </c>
      <c r="B27" s="34" t="str">
        <f aca="false">IF($C27="","","S"&amp;INT(($C27-WEEKDAY($C27,2)+11-DATE(YEAR($C27+4-WEEKDAY($C27,2)),1,1))/7))</f>
        <v>S45</v>
      </c>
      <c r="C27" s="52" t="n">
        <f aca="false">IF(MONTH(($X$1-WEEKDAY($X$1,3)+7)+2)=MONTH($X$1),($X$1-WEEKDAY($X$1,3)+7)+2,"")</f>
        <v>46330</v>
      </c>
      <c r="D27" s="9" t="str">
        <f aca="false">IF($C27="","","Vistoria Setorial (checklist no setor definido pelo gerente)")</f>
        <v>Vistoria Setorial (checklist no setor definido pelo gerente)</v>
      </c>
      <c r="E27" s="9"/>
      <c r="F27" s="9"/>
      <c r="G27" s="34" t="str">
        <f aca="false">IF($C27="","","C")</f>
        <v>C</v>
      </c>
      <c r="H27" s="34" t="str">
        <f aca="false">IF($C27="","",IF($G27="A",CONFIG!$B$5,IF($G27="B",CONFIG!$B$6,IF($G27="C",CONFIG!$B$7,"Gerência + coordenadores"))))</f>
        <v>(preencha o nome)</v>
      </c>
      <c r="I27" s="34"/>
      <c r="J27" s="56"/>
      <c r="K27" s="53"/>
      <c r="L27" s="53"/>
      <c r="M27" s="54"/>
      <c r="N27" s="54"/>
      <c r="O27" s="54"/>
      <c r="P27" s="55"/>
      <c r="Q27" s="56"/>
      <c r="R27" s="57"/>
      <c r="S27" s="34" t="str">
        <f aca="true">IF($C27="","",IF($Q27="Cancelada","Cancelada",IF($Q27="Reprovado","Reprovada",IF($Q27="Aprovado","Aprovada",IF($M27&lt;&gt;"","Entregue",IF(TODAY()&gt;$C27,"Atrasada","Pendente"))))))</f>
        <v>Pendente</v>
      </c>
      <c r="T27" s="58"/>
      <c r="U27" s="58"/>
      <c r="V27" s="58"/>
    </row>
    <row r="28" customFormat="false" ht="22.35" hidden="false" customHeight="false" outlineLevel="0" collapsed="false">
      <c r="A28" s="59" t="str">
        <f aca="false">IF($C28="","",$X$2&amp;"-S"&amp;INT(($C28-WEEKDAY($C28,2)+11-DATE(YEAR($C28+4-WEEKDAY($C28,2)),1,1))/7)&amp;"-RSC-A")</f>
        <v>NOV-S45-RSC-A</v>
      </c>
      <c r="B28" s="30" t="str">
        <f aca="false">IF($C28="","","S"&amp;INT(($C28-WEEKDAY($C28,2)+11-DATE(YEAR($C28+4-WEEKDAY($C28,2)),1,1))/7))</f>
        <v>S45</v>
      </c>
      <c r="C28" s="52" t="n">
        <f aca="false">IF(MONTH(($X$1-WEEKDAY($X$1,3)+7)+3)=MONTH($X$1),($X$1-WEEKDAY($X$1,3)+7)+3,"")</f>
        <v>46331</v>
      </c>
      <c r="D28" s="27" t="str">
        <f aca="false">IF($C28="","","Relatório Semanal Consolidado (erros + metas + faltas + supervisores)")</f>
        <v>Relatório Semanal Consolidado (erros + metas + faltas + supervisores)</v>
      </c>
      <c r="E28" s="27"/>
      <c r="F28" s="27"/>
      <c r="G28" s="30" t="str">
        <f aca="false">IF($C28="","","A")</f>
        <v>A</v>
      </c>
      <c r="H28" s="30" t="str">
        <f aca="false">IF($C28="","",IF($G28="A",CONFIG!$B$5,IF($G28="B",CONFIG!$B$6,IF($G28="C",CONFIG!$B$7,"Gerência + coordenadores"))))</f>
        <v>(preencha o nome)</v>
      </c>
      <c r="I28" s="30"/>
      <c r="J28" s="32" t="str">
        <f aca="false">IF($C28="","","—")</f>
        <v>—</v>
      </c>
      <c r="K28" s="61"/>
      <c r="L28" s="61"/>
      <c r="M28" s="54"/>
      <c r="N28" s="54"/>
      <c r="O28" s="54"/>
      <c r="P28" s="60"/>
      <c r="Q28" s="56"/>
      <c r="R28" s="57"/>
      <c r="S28" s="30" t="str">
        <f aca="true">IF($C28="","",IF($Q28="Cancelada","Cancelada",IF($Q28="Reprovado","Reprovada",IF($Q28="Aprovado","Aprovada",IF($M28&lt;&gt;"","Entregue",IF(TODAY()&gt;$C28,"Atrasada","Pendente"))))))</f>
        <v>Pendente</v>
      </c>
      <c r="T28" s="58"/>
      <c r="U28" s="58"/>
      <c r="V28" s="58"/>
    </row>
    <row r="29" customFormat="false" ht="22.35" hidden="false" customHeight="false" outlineLevel="0" collapsed="false">
      <c r="A29" s="51" t="str">
        <f aca="false">IF($C29="","",$X$2&amp;"-S"&amp;INT(($C29-WEEKDAY($C29,2)+11-DATE(YEAR($C29+4-WEEKDAY($C29,2)),1,1))/7)&amp;"-RSC-B")</f>
        <v>NOV-S45-RSC-B</v>
      </c>
      <c r="B29" s="34" t="str">
        <f aca="false">IF($C29="","","S"&amp;INT(($C29-WEEKDAY($C29,2)+11-DATE(YEAR($C29+4-WEEKDAY($C29,2)),1,1))/7))</f>
        <v>S45</v>
      </c>
      <c r="C29" s="52" t="n">
        <f aca="false">IF(MONTH(($X$1-WEEKDAY($X$1,3)+7)+3)=MONTH($X$1),($X$1-WEEKDAY($X$1,3)+7)+3,"")</f>
        <v>46331</v>
      </c>
      <c r="D29" s="9" t="str">
        <f aca="false">IF($C29="","","Relatório Semanal Consolidado (erros + metas + faltas + supervisores)")</f>
        <v>Relatório Semanal Consolidado (erros + metas + faltas + supervisores)</v>
      </c>
      <c r="E29" s="9"/>
      <c r="F29" s="9"/>
      <c r="G29" s="34" t="str">
        <f aca="false">IF($C29="","","B")</f>
        <v>B</v>
      </c>
      <c r="H29" s="34" t="str">
        <f aca="false">IF($C29="","",IF($G29="A",CONFIG!$B$5,IF($G29="B",CONFIG!$B$6,IF($G29="C",CONFIG!$B$7,"Gerência + coordenadores"))))</f>
        <v>(preencha o nome)</v>
      </c>
      <c r="I29" s="34"/>
      <c r="J29" s="32" t="str">
        <f aca="false">IF($C29="","","—")</f>
        <v>—</v>
      </c>
      <c r="K29" s="61"/>
      <c r="L29" s="61"/>
      <c r="M29" s="54"/>
      <c r="N29" s="54"/>
      <c r="O29" s="54"/>
      <c r="P29" s="55"/>
      <c r="Q29" s="56"/>
      <c r="R29" s="57"/>
      <c r="S29" s="34" t="str">
        <f aca="true">IF($C29="","",IF($Q29="Cancelada","Cancelada",IF($Q29="Reprovado","Reprovada",IF($Q29="Aprovado","Aprovada",IF($M29&lt;&gt;"","Entregue",IF(TODAY()&gt;$C29,"Atrasada","Pendente"))))))</f>
        <v>Pendente</v>
      </c>
      <c r="T29" s="58"/>
      <c r="U29" s="58"/>
      <c r="V29" s="58"/>
    </row>
    <row r="30" customFormat="false" ht="22.35" hidden="false" customHeight="false" outlineLevel="0" collapsed="false">
      <c r="A30" s="59" t="str">
        <f aca="false">IF($C30="","",$X$2&amp;"-S"&amp;INT(($C30-WEEKDAY($C30,2)+11-DATE(YEAR($C30+4-WEEKDAY($C30,2)),1,1))/7)&amp;"-RSC-C")</f>
        <v>NOV-S45-RSC-C</v>
      </c>
      <c r="B30" s="30" t="str">
        <f aca="false">IF($C30="","","S"&amp;INT(($C30-WEEKDAY($C30,2)+11-DATE(YEAR($C30+4-WEEKDAY($C30,2)),1,1))/7))</f>
        <v>S45</v>
      </c>
      <c r="C30" s="52" t="n">
        <f aca="false">IF(MONTH(($X$1-WEEKDAY($X$1,3)+7)+3)=MONTH($X$1),($X$1-WEEKDAY($X$1,3)+7)+3,"")</f>
        <v>46331</v>
      </c>
      <c r="D30" s="27" t="str">
        <f aca="false">IF($C30="","","Relatório Semanal Consolidado (erros + metas + faltas + supervisores)")</f>
        <v>Relatório Semanal Consolidado (erros + metas + faltas + supervisores)</v>
      </c>
      <c r="E30" s="27"/>
      <c r="F30" s="27"/>
      <c r="G30" s="30" t="str">
        <f aca="false">IF($C30="","","C")</f>
        <v>C</v>
      </c>
      <c r="H30" s="30" t="str">
        <f aca="false">IF($C30="","",IF($G30="A",CONFIG!$B$5,IF($G30="B",CONFIG!$B$6,IF($G30="C",CONFIG!$B$7,"Gerência + coordenadores"))))</f>
        <v>(preencha o nome)</v>
      </c>
      <c r="I30" s="30"/>
      <c r="J30" s="32" t="str">
        <f aca="false">IF($C30="","","—")</f>
        <v>—</v>
      </c>
      <c r="K30" s="61"/>
      <c r="L30" s="61"/>
      <c r="M30" s="54"/>
      <c r="N30" s="54"/>
      <c r="O30" s="54"/>
      <c r="P30" s="60"/>
      <c r="Q30" s="56"/>
      <c r="R30" s="57"/>
      <c r="S30" s="30" t="str">
        <f aca="true">IF($C30="","",IF($Q30="Cancelada","Cancelada",IF($Q30="Reprovado","Reprovada",IF($Q30="Aprovado","Aprovada",IF($M30&lt;&gt;"","Entregue",IF(TODAY()&gt;$C30,"Atrasada","Pendente"))))))</f>
        <v>Pendente</v>
      </c>
      <c r="T30" s="58"/>
      <c r="U30" s="58"/>
      <c r="V30" s="58"/>
    </row>
    <row r="31" customFormat="false" ht="24" hidden="false" customHeight="true" outlineLevel="0" collapsed="false">
      <c r="A31" s="51" t="str">
        <f aca="false">IF($C31="","",$X$2&amp;"-S"&amp;INT(($C31-WEEKDAY($C31,2)+11-DATE(YEAR($C31+4-WEEKDAY($C31,2)),1,1))/7)&amp;"-REU-T")</f>
        <v>NOV-S45-REU-T</v>
      </c>
      <c r="B31" s="34" t="str">
        <f aca="false">IF($C31="","","S"&amp;INT(($C31-WEEKDAY($C31,2)+11-DATE(YEAR($C31+4-WEEKDAY($C31,2)),1,1))/7))</f>
        <v>S45</v>
      </c>
      <c r="C31" s="52" t="n">
        <f aca="false">IF(MONTH(($X$1-WEEKDAY($X$1,3)+7)+4)=MONTH($X$1),($X$1-WEEKDAY($X$1,3)+7)+4,"")</f>
        <v>46332</v>
      </c>
      <c r="D31" s="9" t="str">
        <f aca="false">IF($C31="","","Reunião Semanal com a Gerência")</f>
        <v>Reunião Semanal com a Gerência</v>
      </c>
      <c r="E31" s="9"/>
      <c r="F31" s="9"/>
      <c r="G31" s="34" t="str">
        <f aca="false">IF($C31="","","Todos")</f>
        <v>Todos</v>
      </c>
      <c r="H31" s="34" t="str">
        <f aca="false">IF($C31="","",IF($G31="A",CONFIG!$B$5,IF($G31="B",CONFIG!$B$6,IF($G31="C",CONFIG!$B$7,"Gerência + coordenadores"))))</f>
        <v>Gerência + coordenadores</v>
      </c>
      <c r="I31" s="34"/>
      <c r="J31" s="32" t="str">
        <f aca="false">IF($C31="","","—")</f>
        <v>—</v>
      </c>
      <c r="K31" s="53"/>
      <c r="L31" s="53"/>
      <c r="M31" s="54"/>
      <c r="N31" s="54"/>
      <c r="O31" s="54"/>
      <c r="P31" s="55"/>
      <c r="Q31" s="56"/>
      <c r="R31" s="57"/>
      <c r="S31" s="34" t="str">
        <f aca="true">IF($C31="","",IF($Q31="Cancelada","Cancelada",IF($Q31="Reprovado","Reprovada",IF($Q31="Aprovado","Aprovada",IF($M31&lt;&gt;"","Entregue",IF(TODAY()&gt;$C31,"Atrasada","Pendente"))))))</f>
        <v>Pendente</v>
      </c>
      <c r="T31" s="58"/>
      <c r="U31" s="58"/>
      <c r="V31" s="58"/>
    </row>
    <row r="32" customFormat="false" ht="22.35" hidden="false" customHeight="false" outlineLevel="0" collapsed="false">
      <c r="A32" s="59" t="str">
        <f aca="false">IF($C32="","",$X$2&amp;"-S"&amp;INT(($C32-WEEKDAY($C32,2)+11-DATE(YEAR($C32+4-WEEKDAY($C32,2)),1,1))/7)&amp;"-VIS-A")</f>
        <v>NOV-S46-VIS-A</v>
      </c>
      <c r="B32" s="30" t="str">
        <f aca="false">IF($C32="","","S"&amp;INT(($C32-WEEKDAY($C32,2)+11-DATE(YEAR($C32+4-WEEKDAY($C32,2)),1,1))/7))</f>
        <v>S46</v>
      </c>
      <c r="C32" s="52" t="n">
        <f aca="false">IF(MONTH(($X$1-WEEKDAY($X$1,3)+14)+2)=MONTH($X$1),($X$1-WEEKDAY($X$1,3)+14)+2,"")</f>
        <v>46337</v>
      </c>
      <c r="D32" s="27" t="str">
        <f aca="false">IF($C32="","","Vistoria Setorial (checklist no setor definido pelo gerente)")</f>
        <v>Vistoria Setorial (checklist no setor definido pelo gerente)</v>
      </c>
      <c r="E32" s="27"/>
      <c r="F32" s="27"/>
      <c r="G32" s="30" t="str">
        <f aca="false">IF($C32="","","A")</f>
        <v>A</v>
      </c>
      <c r="H32" s="30" t="str">
        <f aca="false">IF($C32="","",IF($G32="A",CONFIG!$B$5,IF($G32="B",CONFIG!$B$6,IF($G32="C",CONFIG!$B$7,"Gerência + coordenadores"))))</f>
        <v>(preencha o nome)</v>
      </c>
      <c r="I32" s="30"/>
      <c r="J32" s="56"/>
      <c r="K32" s="53"/>
      <c r="L32" s="53"/>
      <c r="M32" s="54"/>
      <c r="N32" s="54"/>
      <c r="O32" s="54"/>
      <c r="P32" s="60"/>
      <c r="Q32" s="56"/>
      <c r="R32" s="57"/>
      <c r="S32" s="30" t="str">
        <f aca="true">IF($C32="","",IF($Q32="Cancelada","Cancelada",IF($Q32="Reprovado","Reprovada",IF($Q32="Aprovado","Aprovada",IF($M32&lt;&gt;"","Entregue",IF(TODAY()&gt;$C32,"Atrasada","Pendente"))))))</f>
        <v>Pendente</v>
      </c>
      <c r="T32" s="58"/>
      <c r="U32" s="58"/>
      <c r="V32" s="58"/>
    </row>
    <row r="33" customFormat="false" ht="22.35" hidden="false" customHeight="false" outlineLevel="0" collapsed="false">
      <c r="A33" s="51" t="str">
        <f aca="false">IF($C33="","",$X$2&amp;"-S"&amp;INT(($C33-WEEKDAY($C33,2)+11-DATE(YEAR($C33+4-WEEKDAY($C33,2)),1,1))/7)&amp;"-VIS-B")</f>
        <v>NOV-S46-VIS-B</v>
      </c>
      <c r="B33" s="34" t="str">
        <f aca="false">IF($C33="","","S"&amp;INT(($C33-WEEKDAY($C33,2)+11-DATE(YEAR($C33+4-WEEKDAY($C33,2)),1,1))/7))</f>
        <v>S46</v>
      </c>
      <c r="C33" s="52" t="n">
        <f aca="false">IF(MONTH(($X$1-WEEKDAY($X$1,3)+14)+2)=MONTH($X$1),($X$1-WEEKDAY($X$1,3)+14)+2,"")</f>
        <v>46337</v>
      </c>
      <c r="D33" s="9" t="str">
        <f aca="false">IF($C33="","","Vistoria Setorial (checklist no setor definido pelo gerente)")</f>
        <v>Vistoria Setorial (checklist no setor definido pelo gerente)</v>
      </c>
      <c r="E33" s="9"/>
      <c r="F33" s="9"/>
      <c r="G33" s="34" t="str">
        <f aca="false">IF($C33="","","B")</f>
        <v>B</v>
      </c>
      <c r="H33" s="34" t="str">
        <f aca="false">IF($C33="","",IF($G33="A",CONFIG!$B$5,IF($G33="B",CONFIG!$B$6,IF($G33="C",CONFIG!$B$7,"Gerência + coordenadores"))))</f>
        <v>(preencha o nome)</v>
      </c>
      <c r="I33" s="34"/>
      <c r="J33" s="56"/>
      <c r="K33" s="53"/>
      <c r="L33" s="53"/>
      <c r="M33" s="54"/>
      <c r="N33" s="54"/>
      <c r="O33" s="54"/>
      <c r="P33" s="55"/>
      <c r="Q33" s="56"/>
      <c r="R33" s="57"/>
      <c r="S33" s="34" t="str">
        <f aca="true">IF($C33="","",IF($Q33="Cancelada","Cancelada",IF($Q33="Reprovado","Reprovada",IF($Q33="Aprovado","Aprovada",IF($M33&lt;&gt;"","Entregue",IF(TODAY()&gt;$C33,"Atrasada","Pendente"))))))</f>
        <v>Pendente</v>
      </c>
      <c r="T33" s="58"/>
      <c r="U33" s="58"/>
      <c r="V33" s="58"/>
    </row>
    <row r="34" customFormat="false" ht="22.35" hidden="false" customHeight="false" outlineLevel="0" collapsed="false">
      <c r="A34" s="59" t="str">
        <f aca="false">IF($C34="","",$X$2&amp;"-S"&amp;INT(($C34-WEEKDAY($C34,2)+11-DATE(YEAR($C34+4-WEEKDAY($C34,2)),1,1))/7)&amp;"-VIS-C")</f>
        <v>NOV-S46-VIS-C</v>
      </c>
      <c r="B34" s="30" t="str">
        <f aca="false">IF($C34="","","S"&amp;INT(($C34-WEEKDAY($C34,2)+11-DATE(YEAR($C34+4-WEEKDAY($C34,2)),1,1))/7))</f>
        <v>S46</v>
      </c>
      <c r="C34" s="52" t="n">
        <f aca="false">IF(MONTH(($X$1-WEEKDAY($X$1,3)+14)+2)=MONTH($X$1),($X$1-WEEKDAY($X$1,3)+14)+2,"")</f>
        <v>46337</v>
      </c>
      <c r="D34" s="27" t="str">
        <f aca="false">IF($C34="","","Vistoria Setorial (checklist no setor definido pelo gerente)")</f>
        <v>Vistoria Setorial (checklist no setor definido pelo gerente)</v>
      </c>
      <c r="E34" s="27"/>
      <c r="F34" s="27"/>
      <c r="G34" s="30" t="str">
        <f aca="false">IF($C34="","","C")</f>
        <v>C</v>
      </c>
      <c r="H34" s="30" t="str">
        <f aca="false">IF($C34="","",IF($G34="A",CONFIG!$B$5,IF($G34="B",CONFIG!$B$6,IF($G34="C",CONFIG!$B$7,"Gerência + coordenadores"))))</f>
        <v>(preencha o nome)</v>
      </c>
      <c r="I34" s="30"/>
      <c r="J34" s="56"/>
      <c r="K34" s="53"/>
      <c r="L34" s="53"/>
      <c r="M34" s="54"/>
      <c r="N34" s="54"/>
      <c r="O34" s="54"/>
      <c r="P34" s="60"/>
      <c r="Q34" s="56"/>
      <c r="R34" s="57"/>
      <c r="S34" s="30" t="str">
        <f aca="true">IF($C34="","",IF($Q34="Cancelada","Cancelada",IF($Q34="Reprovado","Reprovada",IF($Q34="Aprovado","Aprovada",IF($M34&lt;&gt;"","Entregue",IF(TODAY()&gt;$C34,"Atrasada","Pendente"))))))</f>
        <v>Pendente</v>
      </c>
      <c r="T34" s="58"/>
      <c r="U34" s="58"/>
      <c r="V34" s="58"/>
    </row>
    <row r="35" customFormat="false" ht="22.35" hidden="false" customHeight="false" outlineLevel="0" collapsed="false">
      <c r="A35" s="51" t="str">
        <f aca="false">IF($C35="","",$X$2&amp;"-S"&amp;INT(($C35-WEEKDAY($C35,2)+11-DATE(YEAR($C35+4-WEEKDAY($C35,2)),1,1))/7)&amp;"-RSC-A")</f>
        <v>NOV-S46-RSC-A</v>
      </c>
      <c r="B35" s="34" t="str">
        <f aca="false">IF($C35="","","S"&amp;INT(($C35-WEEKDAY($C35,2)+11-DATE(YEAR($C35+4-WEEKDAY($C35,2)),1,1))/7))</f>
        <v>S46</v>
      </c>
      <c r="C35" s="52" t="n">
        <f aca="false">IF(MONTH(($X$1-WEEKDAY($X$1,3)+14)+3)=MONTH($X$1),($X$1-WEEKDAY($X$1,3)+14)+3,"")</f>
        <v>46338</v>
      </c>
      <c r="D35" s="9" t="str">
        <f aca="false">IF($C35="","","Relatório Semanal Consolidado (erros + metas + faltas + supervisores)")</f>
        <v>Relatório Semanal Consolidado (erros + metas + faltas + supervisores)</v>
      </c>
      <c r="E35" s="9"/>
      <c r="F35" s="9"/>
      <c r="G35" s="34" t="str">
        <f aca="false">IF($C35="","","A")</f>
        <v>A</v>
      </c>
      <c r="H35" s="34" t="str">
        <f aca="false">IF($C35="","",IF($G35="A",CONFIG!$B$5,IF($G35="B",CONFIG!$B$6,IF($G35="C",CONFIG!$B$7,"Gerência + coordenadores"))))</f>
        <v>(preencha o nome)</v>
      </c>
      <c r="I35" s="34"/>
      <c r="J35" s="32" t="str">
        <f aca="false">IF($C35="","","—")</f>
        <v>—</v>
      </c>
      <c r="K35" s="61"/>
      <c r="L35" s="61"/>
      <c r="M35" s="54"/>
      <c r="N35" s="54"/>
      <c r="O35" s="54"/>
      <c r="P35" s="55"/>
      <c r="Q35" s="56"/>
      <c r="R35" s="57"/>
      <c r="S35" s="34" t="str">
        <f aca="true">IF($C35="","",IF($Q35="Cancelada","Cancelada",IF($Q35="Reprovado","Reprovada",IF($Q35="Aprovado","Aprovada",IF($M35&lt;&gt;"","Entregue",IF(TODAY()&gt;$C35,"Atrasada","Pendente"))))))</f>
        <v>Pendente</v>
      </c>
      <c r="T35" s="58"/>
      <c r="U35" s="58"/>
      <c r="V35" s="58"/>
    </row>
    <row r="36" customFormat="false" ht="22.35" hidden="false" customHeight="false" outlineLevel="0" collapsed="false">
      <c r="A36" s="59" t="str">
        <f aca="false">IF($C36="","",$X$2&amp;"-S"&amp;INT(($C36-WEEKDAY($C36,2)+11-DATE(YEAR($C36+4-WEEKDAY($C36,2)),1,1))/7)&amp;"-RSC-B")</f>
        <v>NOV-S46-RSC-B</v>
      </c>
      <c r="B36" s="30" t="str">
        <f aca="false">IF($C36="","","S"&amp;INT(($C36-WEEKDAY($C36,2)+11-DATE(YEAR($C36+4-WEEKDAY($C36,2)),1,1))/7))</f>
        <v>S46</v>
      </c>
      <c r="C36" s="52" t="n">
        <f aca="false">IF(MONTH(($X$1-WEEKDAY($X$1,3)+14)+3)=MONTH($X$1),($X$1-WEEKDAY($X$1,3)+14)+3,"")</f>
        <v>46338</v>
      </c>
      <c r="D36" s="27" t="str">
        <f aca="false">IF($C36="","","Relatório Semanal Consolidado (erros + metas + faltas + supervisores)")</f>
        <v>Relatório Semanal Consolidado (erros + metas + faltas + supervisores)</v>
      </c>
      <c r="E36" s="27"/>
      <c r="F36" s="27"/>
      <c r="G36" s="30" t="str">
        <f aca="false">IF($C36="","","B")</f>
        <v>B</v>
      </c>
      <c r="H36" s="30" t="str">
        <f aca="false">IF($C36="","",IF($G36="A",CONFIG!$B$5,IF($G36="B",CONFIG!$B$6,IF($G36="C",CONFIG!$B$7,"Gerência + coordenadores"))))</f>
        <v>(preencha o nome)</v>
      </c>
      <c r="I36" s="30"/>
      <c r="J36" s="32" t="str">
        <f aca="false">IF($C36="","","—")</f>
        <v>—</v>
      </c>
      <c r="K36" s="61"/>
      <c r="L36" s="61"/>
      <c r="M36" s="54"/>
      <c r="N36" s="54"/>
      <c r="O36" s="54"/>
      <c r="P36" s="60"/>
      <c r="Q36" s="56"/>
      <c r="R36" s="57"/>
      <c r="S36" s="30" t="str">
        <f aca="true">IF($C36="","",IF($Q36="Cancelada","Cancelada",IF($Q36="Reprovado","Reprovada",IF($Q36="Aprovado","Aprovada",IF($M36&lt;&gt;"","Entregue",IF(TODAY()&gt;$C36,"Atrasada","Pendente"))))))</f>
        <v>Pendente</v>
      </c>
      <c r="T36" s="58"/>
      <c r="U36" s="58"/>
      <c r="V36" s="58"/>
    </row>
    <row r="37" customFormat="false" ht="22.35" hidden="false" customHeight="false" outlineLevel="0" collapsed="false">
      <c r="A37" s="51" t="str">
        <f aca="false">IF($C37="","",$X$2&amp;"-S"&amp;INT(($C37-WEEKDAY($C37,2)+11-DATE(YEAR($C37+4-WEEKDAY($C37,2)),1,1))/7)&amp;"-RSC-C")</f>
        <v>NOV-S46-RSC-C</v>
      </c>
      <c r="B37" s="34" t="str">
        <f aca="false">IF($C37="","","S"&amp;INT(($C37-WEEKDAY($C37,2)+11-DATE(YEAR($C37+4-WEEKDAY($C37,2)),1,1))/7))</f>
        <v>S46</v>
      </c>
      <c r="C37" s="52" t="n">
        <f aca="false">IF(MONTH(($X$1-WEEKDAY($X$1,3)+14)+3)=MONTH($X$1),($X$1-WEEKDAY($X$1,3)+14)+3,"")</f>
        <v>46338</v>
      </c>
      <c r="D37" s="9" t="str">
        <f aca="false">IF($C37="","","Relatório Semanal Consolidado (erros + metas + faltas + supervisores)")</f>
        <v>Relatório Semanal Consolidado (erros + metas + faltas + supervisores)</v>
      </c>
      <c r="E37" s="9"/>
      <c r="F37" s="9"/>
      <c r="G37" s="34" t="str">
        <f aca="false">IF($C37="","","C")</f>
        <v>C</v>
      </c>
      <c r="H37" s="34" t="str">
        <f aca="false">IF($C37="","",IF($G37="A",CONFIG!$B$5,IF($G37="B",CONFIG!$B$6,IF($G37="C",CONFIG!$B$7,"Gerência + coordenadores"))))</f>
        <v>(preencha o nome)</v>
      </c>
      <c r="I37" s="34"/>
      <c r="J37" s="32" t="str">
        <f aca="false">IF($C37="","","—")</f>
        <v>—</v>
      </c>
      <c r="K37" s="61"/>
      <c r="L37" s="61"/>
      <c r="M37" s="54"/>
      <c r="N37" s="54"/>
      <c r="O37" s="54"/>
      <c r="P37" s="55"/>
      <c r="Q37" s="56"/>
      <c r="R37" s="57"/>
      <c r="S37" s="34" t="str">
        <f aca="true">IF($C37="","",IF($Q37="Cancelada","Cancelada",IF($Q37="Reprovado","Reprovada",IF($Q37="Aprovado","Aprovada",IF($M37&lt;&gt;"","Entregue",IF(TODAY()&gt;$C37,"Atrasada","Pendente"))))))</f>
        <v>Pendente</v>
      </c>
      <c r="T37" s="58"/>
      <c r="U37" s="58"/>
      <c r="V37" s="58"/>
    </row>
    <row r="38" customFormat="false" ht="24" hidden="false" customHeight="true" outlineLevel="0" collapsed="false">
      <c r="A38" s="59" t="str">
        <f aca="false">IF($C38="","",$X$2&amp;"-S"&amp;INT(($C38-WEEKDAY($C38,2)+11-DATE(YEAR($C38+4-WEEKDAY($C38,2)),1,1))/7)&amp;"-REU-T")</f>
        <v>NOV-S46-REU-T</v>
      </c>
      <c r="B38" s="30" t="str">
        <f aca="false">IF($C38="","","S"&amp;INT(($C38-WEEKDAY($C38,2)+11-DATE(YEAR($C38+4-WEEKDAY($C38,2)),1,1))/7))</f>
        <v>S46</v>
      </c>
      <c r="C38" s="52" t="n">
        <f aca="false">IF(MONTH(($X$1-WEEKDAY($X$1,3)+14)+4)=MONTH($X$1),($X$1-WEEKDAY($X$1,3)+14)+4,"")</f>
        <v>46339</v>
      </c>
      <c r="D38" s="27" t="str">
        <f aca="false">IF($C38="","","Reunião Semanal com a Gerência")</f>
        <v>Reunião Semanal com a Gerência</v>
      </c>
      <c r="E38" s="27"/>
      <c r="F38" s="27"/>
      <c r="G38" s="30" t="str">
        <f aca="false">IF($C38="","","Todos")</f>
        <v>Todos</v>
      </c>
      <c r="H38" s="30" t="str">
        <f aca="false">IF($C38="","",IF($G38="A",CONFIG!$B$5,IF($G38="B",CONFIG!$B$6,IF($G38="C",CONFIG!$B$7,"Gerência + coordenadores"))))</f>
        <v>Gerência + coordenadores</v>
      </c>
      <c r="I38" s="30"/>
      <c r="J38" s="32" t="str">
        <f aca="false">IF($C38="","","—")</f>
        <v>—</v>
      </c>
      <c r="K38" s="53"/>
      <c r="L38" s="53"/>
      <c r="M38" s="54"/>
      <c r="N38" s="54"/>
      <c r="O38" s="54"/>
      <c r="P38" s="60"/>
      <c r="Q38" s="56"/>
      <c r="R38" s="57"/>
      <c r="S38" s="30" t="str">
        <f aca="true">IF($C38="","",IF($Q38="Cancelada","Cancelada",IF($Q38="Reprovado","Reprovada",IF($Q38="Aprovado","Aprovada",IF($M38&lt;&gt;"","Entregue",IF(TODAY()&gt;$C38,"Atrasada","Pendente"))))))</f>
        <v>Pendente</v>
      </c>
      <c r="T38" s="58"/>
      <c r="U38" s="58"/>
      <c r="V38" s="58"/>
    </row>
    <row r="39" customFormat="false" ht="22.35" hidden="false" customHeight="false" outlineLevel="0" collapsed="false">
      <c r="A39" s="51" t="str">
        <f aca="false">IF($C39="","",$X$2&amp;"-S"&amp;INT(($C39-WEEKDAY($C39,2)+11-DATE(YEAR($C39+4-WEEKDAY($C39,2)),1,1))/7)&amp;"-VIS-A")</f>
        <v>NOV-S47-VIS-A</v>
      </c>
      <c r="B39" s="34" t="str">
        <f aca="false">IF($C39="","","S"&amp;INT(($C39-WEEKDAY($C39,2)+11-DATE(YEAR($C39+4-WEEKDAY($C39,2)),1,1))/7))</f>
        <v>S47</v>
      </c>
      <c r="C39" s="52" t="n">
        <f aca="false">IF(MONTH(($X$1-WEEKDAY($X$1,3)+21)+2)=MONTH($X$1),($X$1-WEEKDAY($X$1,3)+21)+2,"")</f>
        <v>46344</v>
      </c>
      <c r="D39" s="9" t="str">
        <f aca="false">IF($C39="","","Vistoria Setorial (checklist no setor definido pelo gerente)")</f>
        <v>Vistoria Setorial (checklist no setor definido pelo gerente)</v>
      </c>
      <c r="E39" s="9"/>
      <c r="F39" s="9"/>
      <c r="G39" s="34" t="str">
        <f aca="false">IF($C39="","","A")</f>
        <v>A</v>
      </c>
      <c r="H39" s="34" t="str">
        <f aca="false">IF($C39="","",IF($G39="A",CONFIG!$B$5,IF($G39="B",CONFIG!$B$6,IF($G39="C",CONFIG!$B$7,"Gerência + coordenadores"))))</f>
        <v>(preencha o nome)</v>
      </c>
      <c r="I39" s="34"/>
      <c r="J39" s="56"/>
      <c r="K39" s="53"/>
      <c r="L39" s="53"/>
      <c r="M39" s="54"/>
      <c r="N39" s="54"/>
      <c r="O39" s="54"/>
      <c r="P39" s="55"/>
      <c r="Q39" s="56"/>
      <c r="R39" s="57"/>
      <c r="S39" s="34" t="str">
        <f aca="true">IF($C39="","",IF($Q39="Cancelada","Cancelada",IF($Q39="Reprovado","Reprovada",IF($Q39="Aprovado","Aprovada",IF($M39&lt;&gt;"","Entregue",IF(TODAY()&gt;$C39,"Atrasada","Pendente"))))))</f>
        <v>Pendente</v>
      </c>
      <c r="T39" s="58"/>
      <c r="U39" s="58"/>
      <c r="V39" s="58"/>
    </row>
    <row r="40" customFormat="false" ht="22.35" hidden="false" customHeight="false" outlineLevel="0" collapsed="false">
      <c r="A40" s="59" t="str">
        <f aca="false">IF($C40="","",$X$2&amp;"-S"&amp;INT(($C40-WEEKDAY($C40,2)+11-DATE(YEAR($C40+4-WEEKDAY($C40,2)),1,1))/7)&amp;"-VIS-B")</f>
        <v>NOV-S47-VIS-B</v>
      </c>
      <c r="B40" s="30" t="str">
        <f aca="false">IF($C40="","","S"&amp;INT(($C40-WEEKDAY($C40,2)+11-DATE(YEAR($C40+4-WEEKDAY($C40,2)),1,1))/7))</f>
        <v>S47</v>
      </c>
      <c r="C40" s="52" t="n">
        <f aca="false">IF(MONTH(($X$1-WEEKDAY($X$1,3)+21)+2)=MONTH($X$1),($X$1-WEEKDAY($X$1,3)+21)+2,"")</f>
        <v>46344</v>
      </c>
      <c r="D40" s="27" t="str">
        <f aca="false">IF($C40="","","Vistoria Setorial (checklist no setor definido pelo gerente)")</f>
        <v>Vistoria Setorial (checklist no setor definido pelo gerente)</v>
      </c>
      <c r="E40" s="27"/>
      <c r="F40" s="27"/>
      <c r="G40" s="30" t="str">
        <f aca="false">IF($C40="","","B")</f>
        <v>B</v>
      </c>
      <c r="H40" s="30" t="str">
        <f aca="false">IF($C40="","",IF($G40="A",CONFIG!$B$5,IF($G40="B",CONFIG!$B$6,IF($G40="C",CONFIG!$B$7,"Gerência + coordenadores"))))</f>
        <v>(preencha o nome)</v>
      </c>
      <c r="I40" s="30"/>
      <c r="J40" s="56"/>
      <c r="K40" s="53"/>
      <c r="L40" s="53"/>
      <c r="M40" s="54"/>
      <c r="N40" s="54"/>
      <c r="O40" s="54"/>
      <c r="P40" s="60"/>
      <c r="Q40" s="56"/>
      <c r="R40" s="57"/>
      <c r="S40" s="30" t="str">
        <f aca="true">IF($C40="","",IF($Q40="Cancelada","Cancelada",IF($Q40="Reprovado","Reprovada",IF($Q40="Aprovado","Aprovada",IF($M40&lt;&gt;"","Entregue",IF(TODAY()&gt;$C40,"Atrasada","Pendente"))))))</f>
        <v>Pendente</v>
      </c>
      <c r="T40" s="58"/>
      <c r="U40" s="58"/>
      <c r="V40" s="58"/>
    </row>
    <row r="41" customFormat="false" ht="22.35" hidden="false" customHeight="false" outlineLevel="0" collapsed="false">
      <c r="A41" s="51" t="str">
        <f aca="false">IF($C41="","",$X$2&amp;"-S"&amp;INT(($C41-WEEKDAY($C41,2)+11-DATE(YEAR($C41+4-WEEKDAY($C41,2)),1,1))/7)&amp;"-VIS-C")</f>
        <v>NOV-S47-VIS-C</v>
      </c>
      <c r="B41" s="34" t="str">
        <f aca="false">IF($C41="","","S"&amp;INT(($C41-WEEKDAY($C41,2)+11-DATE(YEAR($C41+4-WEEKDAY($C41,2)),1,1))/7))</f>
        <v>S47</v>
      </c>
      <c r="C41" s="52" t="n">
        <f aca="false">IF(MONTH(($X$1-WEEKDAY($X$1,3)+21)+2)=MONTH($X$1),($X$1-WEEKDAY($X$1,3)+21)+2,"")</f>
        <v>46344</v>
      </c>
      <c r="D41" s="9" t="str">
        <f aca="false">IF($C41="","","Vistoria Setorial (checklist no setor definido pelo gerente)")</f>
        <v>Vistoria Setorial (checklist no setor definido pelo gerente)</v>
      </c>
      <c r="E41" s="9"/>
      <c r="F41" s="9"/>
      <c r="G41" s="34" t="str">
        <f aca="false">IF($C41="","","C")</f>
        <v>C</v>
      </c>
      <c r="H41" s="34" t="str">
        <f aca="false">IF($C41="","",IF($G41="A",CONFIG!$B$5,IF($G41="B",CONFIG!$B$6,IF($G41="C",CONFIG!$B$7,"Gerência + coordenadores"))))</f>
        <v>(preencha o nome)</v>
      </c>
      <c r="I41" s="34"/>
      <c r="J41" s="56"/>
      <c r="K41" s="53"/>
      <c r="L41" s="53"/>
      <c r="M41" s="54"/>
      <c r="N41" s="54"/>
      <c r="O41" s="54"/>
      <c r="P41" s="55"/>
      <c r="Q41" s="56"/>
      <c r="R41" s="57"/>
      <c r="S41" s="34" t="str">
        <f aca="true">IF($C41="","",IF($Q41="Cancelada","Cancelada",IF($Q41="Reprovado","Reprovada",IF($Q41="Aprovado","Aprovada",IF($M41&lt;&gt;"","Entregue",IF(TODAY()&gt;$C41,"Atrasada","Pendente"))))))</f>
        <v>Pendente</v>
      </c>
      <c r="T41" s="58"/>
      <c r="U41" s="58"/>
      <c r="V41" s="58"/>
    </row>
    <row r="42" customFormat="false" ht="22.35" hidden="false" customHeight="false" outlineLevel="0" collapsed="false">
      <c r="A42" s="59" t="str">
        <f aca="false">IF($C42="","",$X$2&amp;"-S"&amp;INT(($C42-WEEKDAY($C42,2)+11-DATE(YEAR($C42+4-WEEKDAY($C42,2)),1,1))/7)&amp;"-RSC-A")</f>
        <v>NOV-S47-RSC-A</v>
      </c>
      <c r="B42" s="30" t="str">
        <f aca="false">IF($C42="","","S"&amp;INT(($C42-WEEKDAY($C42,2)+11-DATE(YEAR($C42+4-WEEKDAY($C42,2)),1,1))/7))</f>
        <v>S47</v>
      </c>
      <c r="C42" s="52" t="n">
        <f aca="false">IF(MONTH(($X$1-WEEKDAY($X$1,3)+21)+3)=MONTH($X$1),($X$1-WEEKDAY($X$1,3)+21)+3,"")</f>
        <v>46345</v>
      </c>
      <c r="D42" s="27" t="str">
        <f aca="false">IF($C42="","","Relatório Semanal Consolidado (erros + metas + faltas + supervisores)")</f>
        <v>Relatório Semanal Consolidado (erros + metas + faltas + supervisores)</v>
      </c>
      <c r="E42" s="27"/>
      <c r="F42" s="27"/>
      <c r="G42" s="30" t="str">
        <f aca="false">IF($C42="","","A")</f>
        <v>A</v>
      </c>
      <c r="H42" s="30" t="str">
        <f aca="false">IF($C42="","",IF($G42="A",CONFIG!$B$5,IF($G42="B",CONFIG!$B$6,IF($G42="C",CONFIG!$B$7,"Gerência + coordenadores"))))</f>
        <v>(preencha o nome)</v>
      </c>
      <c r="I42" s="30"/>
      <c r="J42" s="32" t="str">
        <f aca="false">IF($C42="","","—")</f>
        <v>—</v>
      </c>
      <c r="K42" s="61"/>
      <c r="L42" s="61"/>
      <c r="M42" s="54"/>
      <c r="N42" s="54"/>
      <c r="O42" s="54"/>
      <c r="P42" s="60"/>
      <c r="Q42" s="56"/>
      <c r="R42" s="57"/>
      <c r="S42" s="30" t="str">
        <f aca="true">IF($C42="","",IF($Q42="Cancelada","Cancelada",IF($Q42="Reprovado","Reprovada",IF($Q42="Aprovado","Aprovada",IF($M42&lt;&gt;"","Entregue",IF(TODAY()&gt;$C42,"Atrasada","Pendente"))))))</f>
        <v>Pendente</v>
      </c>
      <c r="T42" s="58"/>
      <c r="U42" s="58"/>
      <c r="V42" s="58"/>
    </row>
    <row r="43" customFormat="false" ht="22.35" hidden="false" customHeight="false" outlineLevel="0" collapsed="false">
      <c r="A43" s="51" t="str">
        <f aca="false">IF($C43="","",$X$2&amp;"-S"&amp;INT(($C43-WEEKDAY($C43,2)+11-DATE(YEAR($C43+4-WEEKDAY($C43,2)),1,1))/7)&amp;"-RSC-B")</f>
        <v>NOV-S47-RSC-B</v>
      </c>
      <c r="B43" s="34" t="str">
        <f aca="false">IF($C43="","","S"&amp;INT(($C43-WEEKDAY($C43,2)+11-DATE(YEAR($C43+4-WEEKDAY($C43,2)),1,1))/7))</f>
        <v>S47</v>
      </c>
      <c r="C43" s="52" t="n">
        <f aca="false">IF(MONTH(($X$1-WEEKDAY($X$1,3)+21)+3)=MONTH($X$1),($X$1-WEEKDAY($X$1,3)+21)+3,"")</f>
        <v>46345</v>
      </c>
      <c r="D43" s="9" t="str">
        <f aca="false">IF($C43="","","Relatório Semanal Consolidado (erros + metas + faltas + supervisores)")</f>
        <v>Relatório Semanal Consolidado (erros + metas + faltas + supervisores)</v>
      </c>
      <c r="E43" s="9"/>
      <c r="F43" s="9"/>
      <c r="G43" s="34" t="str">
        <f aca="false">IF($C43="","","B")</f>
        <v>B</v>
      </c>
      <c r="H43" s="34" t="str">
        <f aca="false">IF($C43="","",IF($G43="A",CONFIG!$B$5,IF($G43="B",CONFIG!$B$6,IF($G43="C",CONFIG!$B$7,"Gerência + coordenadores"))))</f>
        <v>(preencha o nome)</v>
      </c>
      <c r="I43" s="34"/>
      <c r="J43" s="32" t="str">
        <f aca="false">IF($C43="","","—")</f>
        <v>—</v>
      </c>
      <c r="K43" s="61"/>
      <c r="L43" s="61"/>
      <c r="M43" s="54"/>
      <c r="N43" s="54"/>
      <c r="O43" s="54"/>
      <c r="P43" s="55"/>
      <c r="Q43" s="56"/>
      <c r="R43" s="57"/>
      <c r="S43" s="34" t="str">
        <f aca="true">IF($C43="","",IF($Q43="Cancelada","Cancelada",IF($Q43="Reprovado","Reprovada",IF($Q43="Aprovado","Aprovada",IF($M43&lt;&gt;"","Entregue",IF(TODAY()&gt;$C43,"Atrasada","Pendente"))))))</f>
        <v>Pendente</v>
      </c>
      <c r="T43" s="58"/>
      <c r="U43" s="58"/>
      <c r="V43" s="58"/>
    </row>
    <row r="44" customFormat="false" ht="22.35" hidden="false" customHeight="false" outlineLevel="0" collapsed="false">
      <c r="A44" s="59" t="str">
        <f aca="false">IF($C44="","",$X$2&amp;"-S"&amp;INT(($C44-WEEKDAY($C44,2)+11-DATE(YEAR($C44+4-WEEKDAY($C44,2)),1,1))/7)&amp;"-RSC-C")</f>
        <v>NOV-S47-RSC-C</v>
      </c>
      <c r="B44" s="30" t="str">
        <f aca="false">IF($C44="","","S"&amp;INT(($C44-WEEKDAY($C44,2)+11-DATE(YEAR($C44+4-WEEKDAY($C44,2)),1,1))/7))</f>
        <v>S47</v>
      </c>
      <c r="C44" s="52" t="n">
        <f aca="false">IF(MONTH(($X$1-WEEKDAY($X$1,3)+21)+3)=MONTH($X$1),($X$1-WEEKDAY($X$1,3)+21)+3,"")</f>
        <v>46345</v>
      </c>
      <c r="D44" s="27" t="str">
        <f aca="false">IF($C44="","","Relatório Semanal Consolidado (erros + metas + faltas + supervisores)")</f>
        <v>Relatório Semanal Consolidado (erros + metas + faltas + supervisores)</v>
      </c>
      <c r="E44" s="27"/>
      <c r="F44" s="27"/>
      <c r="G44" s="30" t="str">
        <f aca="false">IF($C44="","","C")</f>
        <v>C</v>
      </c>
      <c r="H44" s="30" t="str">
        <f aca="false">IF($C44="","",IF($G44="A",CONFIG!$B$5,IF($G44="B",CONFIG!$B$6,IF($G44="C",CONFIG!$B$7,"Gerência + coordenadores"))))</f>
        <v>(preencha o nome)</v>
      </c>
      <c r="I44" s="30"/>
      <c r="J44" s="32" t="str">
        <f aca="false">IF($C44="","","—")</f>
        <v>—</v>
      </c>
      <c r="K44" s="61"/>
      <c r="L44" s="61"/>
      <c r="M44" s="54"/>
      <c r="N44" s="54"/>
      <c r="O44" s="54"/>
      <c r="P44" s="60"/>
      <c r="Q44" s="56"/>
      <c r="R44" s="57"/>
      <c r="S44" s="30" t="str">
        <f aca="true">IF($C44="","",IF($Q44="Cancelada","Cancelada",IF($Q44="Reprovado","Reprovada",IF($Q44="Aprovado","Aprovada",IF($M44&lt;&gt;"","Entregue",IF(TODAY()&gt;$C44,"Atrasada","Pendente"))))))</f>
        <v>Pendente</v>
      </c>
      <c r="T44" s="58"/>
      <c r="U44" s="58"/>
      <c r="V44" s="58"/>
    </row>
    <row r="45" customFormat="false" ht="24" hidden="false" customHeight="true" outlineLevel="0" collapsed="false">
      <c r="A45" s="51" t="str">
        <f aca="false">IF($C45="","",$X$2&amp;"-S"&amp;INT(($C45-WEEKDAY($C45,2)+11-DATE(YEAR($C45+4-WEEKDAY($C45,2)),1,1))/7)&amp;"-REU-T")</f>
        <v>NOV-S47-REU-T</v>
      </c>
      <c r="B45" s="34" t="str">
        <f aca="false">IF($C45="","","S"&amp;INT(($C45-WEEKDAY($C45,2)+11-DATE(YEAR($C45+4-WEEKDAY($C45,2)),1,1))/7))</f>
        <v>S47</v>
      </c>
      <c r="C45" s="52" t="n">
        <f aca="false">IF(MONTH(($X$1-WEEKDAY($X$1,3)+21)+4)=MONTH($X$1),($X$1-WEEKDAY($X$1,3)+21)+4,"")</f>
        <v>46346</v>
      </c>
      <c r="D45" s="9" t="str">
        <f aca="false">IF($C45="","","Reunião Semanal com a Gerência")</f>
        <v>Reunião Semanal com a Gerência</v>
      </c>
      <c r="E45" s="9"/>
      <c r="F45" s="9"/>
      <c r="G45" s="34" t="str">
        <f aca="false">IF($C45="","","Todos")</f>
        <v>Todos</v>
      </c>
      <c r="H45" s="34" t="str">
        <f aca="false">IF($C45="","",IF($G45="A",CONFIG!$B$5,IF($G45="B",CONFIG!$B$6,IF($G45="C",CONFIG!$B$7,"Gerência + coordenadores"))))</f>
        <v>Gerência + coordenadores</v>
      </c>
      <c r="I45" s="34"/>
      <c r="J45" s="32" t="str">
        <f aca="false">IF($C45="","","—")</f>
        <v>—</v>
      </c>
      <c r="K45" s="53"/>
      <c r="L45" s="53"/>
      <c r="M45" s="54"/>
      <c r="N45" s="54"/>
      <c r="O45" s="54"/>
      <c r="P45" s="55"/>
      <c r="Q45" s="56"/>
      <c r="R45" s="57"/>
      <c r="S45" s="34" t="str">
        <f aca="true">IF($C45="","",IF($Q45="Cancelada","Cancelada",IF($Q45="Reprovado","Reprovada",IF($Q45="Aprovado","Aprovada",IF($M45&lt;&gt;"","Entregue",IF(TODAY()&gt;$C45,"Atrasada","Pendente"))))))</f>
        <v>Pendente</v>
      </c>
      <c r="T45" s="58"/>
      <c r="U45" s="58"/>
      <c r="V45" s="58"/>
    </row>
    <row r="46" customFormat="false" ht="22.35" hidden="false" customHeight="false" outlineLevel="0" collapsed="false">
      <c r="A46" s="59" t="str">
        <f aca="false">IF($C46="","",$X$2&amp;"-S"&amp;INT(($C46-WEEKDAY($C46,2)+11-DATE(YEAR($C46+4-WEEKDAY($C46,2)),1,1))/7)&amp;"-VIS-A")</f>
        <v>NOV-S48-VIS-A</v>
      </c>
      <c r="B46" s="30" t="str">
        <f aca="false">IF($C46="","","S"&amp;INT(($C46-WEEKDAY($C46,2)+11-DATE(YEAR($C46+4-WEEKDAY($C46,2)),1,1))/7))</f>
        <v>S48</v>
      </c>
      <c r="C46" s="52" t="n">
        <f aca="false">IF(MONTH(($X$1-WEEKDAY($X$1,3)+28)+2)=MONTH($X$1),($X$1-WEEKDAY($X$1,3)+28)+2,"")</f>
        <v>46351</v>
      </c>
      <c r="D46" s="27" t="str">
        <f aca="false">IF($C46="","","Vistoria Setorial (checklist no setor definido pelo gerente)")</f>
        <v>Vistoria Setorial (checklist no setor definido pelo gerente)</v>
      </c>
      <c r="E46" s="27"/>
      <c r="F46" s="27"/>
      <c r="G46" s="30" t="str">
        <f aca="false">IF($C46="","","A")</f>
        <v>A</v>
      </c>
      <c r="H46" s="30" t="str">
        <f aca="false">IF($C46="","",IF($G46="A",CONFIG!$B$5,IF($G46="B",CONFIG!$B$6,IF($G46="C",CONFIG!$B$7,"Gerência + coordenadores"))))</f>
        <v>(preencha o nome)</v>
      </c>
      <c r="I46" s="30"/>
      <c r="J46" s="56"/>
      <c r="K46" s="53"/>
      <c r="L46" s="53"/>
      <c r="M46" s="54"/>
      <c r="N46" s="54"/>
      <c r="O46" s="54"/>
      <c r="P46" s="60"/>
      <c r="Q46" s="56"/>
      <c r="R46" s="57"/>
      <c r="S46" s="30" t="str">
        <f aca="true">IF($C46="","",IF($Q46="Cancelada","Cancelada",IF($Q46="Reprovado","Reprovada",IF($Q46="Aprovado","Aprovada",IF($M46&lt;&gt;"","Entregue",IF(TODAY()&gt;$C46,"Atrasada","Pendente"))))))</f>
        <v>Pendente</v>
      </c>
      <c r="T46" s="58"/>
      <c r="U46" s="58"/>
      <c r="V46" s="58"/>
    </row>
    <row r="47" customFormat="false" ht="22.35" hidden="false" customHeight="false" outlineLevel="0" collapsed="false">
      <c r="A47" s="51" t="str">
        <f aca="false">IF($C47="","",$X$2&amp;"-S"&amp;INT(($C47-WEEKDAY($C47,2)+11-DATE(YEAR($C47+4-WEEKDAY($C47,2)),1,1))/7)&amp;"-VIS-B")</f>
        <v>NOV-S48-VIS-B</v>
      </c>
      <c r="B47" s="34" t="str">
        <f aca="false">IF($C47="","","S"&amp;INT(($C47-WEEKDAY($C47,2)+11-DATE(YEAR($C47+4-WEEKDAY($C47,2)),1,1))/7))</f>
        <v>S48</v>
      </c>
      <c r="C47" s="52" t="n">
        <f aca="false">IF(MONTH(($X$1-WEEKDAY($X$1,3)+28)+2)=MONTH($X$1),($X$1-WEEKDAY($X$1,3)+28)+2,"")</f>
        <v>46351</v>
      </c>
      <c r="D47" s="9" t="str">
        <f aca="false">IF($C47="","","Vistoria Setorial (checklist no setor definido pelo gerente)")</f>
        <v>Vistoria Setorial (checklist no setor definido pelo gerente)</v>
      </c>
      <c r="E47" s="9"/>
      <c r="F47" s="9"/>
      <c r="G47" s="34" t="str">
        <f aca="false">IF($C47="","","B")</f>
        <v>B</v>
      </c>
      <c r="H47" s="34" t="str">
        <f aca="false">IF($C47="","",IF($G47="A",CONFIG!$B$5,IF($G47="B",CONFIG!$B$6,IF($G47="C",CONFIG!$B$7,"Gerência + coordenadores"))))</f>
        <v>(preencha o nome)</v>
      </c>
      <c r="I47" s="34"/>
      <c r="J47" s="56"/>
      <c r="K47" s="53"/>
      <c r="L47" s="53"/>
      <c r="M47" s="54"/>
      <c r="N47" s="54"/>
      <c r="O47" s="54"/>
      <c r="P47" s="55"/>
      <c r="Q47" s="56"/>
      <c r="R47" s="57"/>
      <c r="S47" s="34" t="str">
        <f aca="true">IF($C47="","",IF($Q47="Cancelada","Cancelada",IF($Q47="Reprovado","Reprovada",IF($Q47="Aprovado","Aprovada",IF($M47&lt;&gt;"","Entregue",IF(TODAY()&gt;$C47,"Atrasada","Pendente"))))))</f>
        <v>Pendente</v>
      </c>
      <c r="T47" s="58"/>
      <c r="U47" s="58"/>
      <c r="V47" s="58"/>
    </row>
    <row r="48" customFormat="false" ht="22.35" hidden="false" customHeight="false" outlineLevel="0" collapsed="false">
      <c r="A48" s="59" t="str">
        <f aca="false">IF($C48="","",$X$2&amp;"-S"&amp;INT(($C48-WEEKDAY($C48,2)+11-DATE(YEAR($C48+4-WEEKDAY($C48,2)),1,1))/7)&amp;"-VIS-C")</f>
        <v>NOV-S48-VIS-C</v>
      </c>
      <c r="B48" s="30" t="str">
        <f aca="false">IF($C48="","","S"&amp;INT(($C48-WEEKDAY($C48,2)+11-DATE(YEAR($C48+4-WEEKDAY($C48,2)),1,1))/7))</f>
        <v>S48</v>
      </c>
      <c r="C48" s="52" t="n">
        <f aca="false">IF(MONTH(($X$1-WEEKDAY($X$1,3)+28)+2)=MONTH($X$1),($X$1-WEEKDAY($X$1,3)+28)+2,"")</f>
        <v>46351</v>
      </c>
      <c r="D48" s="27" t="str">
        <f aca="false">IF($C48="","","Vistoria Setorial (checklist no setor definido pelo gerente)")</f>
        <v>Vistoria Setorial (checklist no setor definido pelo gerente)</v>
      </c>
      <c r="E48" s="27"/>
      <c r="F48" s="27"/>
      <c r="G48" s="30" t="str">
        <f aca="false">IF($C48="","","C")</f>
        <v>C</v>
      </c>
      <c r="H48" s="30" t="str">
        <f aca="false">IF($C48="","",IF($G48="A",CONFIG!$B$5,IF($G48="B",CONFIG!$B$6,IF($G48="C",CONFIG!$B$7,"Gerência + coordenadores"))))</f>
        <v>(preencha o nome)</v>
      </c>
      <c r="I48" s="30"/>
      <c r="J48" s="56"/>
      <c r="K48" s="53"/>
      <c r="L48" s="53"/>
      <c r="M48" s="54"/>
      <c r="N48" s="54"/>
      <c r="O48" s="54"/>
      <c r="P48" s="60"/>
      <c r="Q48" s="56"/>
      <c r="R48" s="57"/>
      <c r="S48" s="30" t="str">
        <f aca="true">IF($C48="","",IF($Q48="Cancelada","Cancelada",IF($Q48="Reprovado","Reprovada",IF($Q48="Aprovado","Aprovada",IF($M48&lt;&gt;"","Entregue",IF(TODAY()&gt;$C48,"Atrasada","Pendente"))))))</f>
        <v>Pendente</v>
      </c>
      <c r="T48" s="58"/>
      <c r="U48" s="58"/>
      <c r="V48" s="58"/>
    </row>
    <row r="49" customFormat="false" ht="22.35" hidden="false" customHeight="false" outlineLevel="0" collapsed="false">
      <c r="A49" s="51" t="str">
        <f aca="false">IF($C49="","",$X$2&amp;"-S"&amp;INT(($C49-WEEKDAY($C49,2)+11-DATE(YEAR($C49+4-WEEKDAY($C49,2)),1,1))/7)&amp;"-RSC-A")</f>
        <v>NOV-S48-RSC-A</v>
      </c>
      <c r="B49" s="34" t="str">
        <f aca="false">IF($C49="","","S"&amp;INT(($C49-WEEKDAY($C49,2)+11-DATE(YEAR($C49+4-WEEKDAY($C49,2)),1,1))/7))</f>
        <v>S48</v>
      </c>
      <c r="C49" s="52" t="n">
        <f aca="false">IF(MONTH(($X$1-WEEKDAY($X$1,3)+28)+3)=MONTH($X$1),($X$1-WEEKDAY($X$1,3)+28)+3,"")</f>
        <v>46352</v>
      </c>
      <c r="D49" s="9" t="str">
        <f aca="false">IF($C49="","","Relatório Semanal Consolidado (erros + metas + faltas + supervisores)")</f>
        <v>Relatório Semanal Consolidado (erros + metas + faltas + supervisores)</v>
      </c>
      <c r="E49" s="9"/>
      <c r="F49" s="9"/>
      <c r="G49" s="34" t="str">
        <f aca="false">IF($C49="","","A")</f>
        <v>A</v>
      </c>
      <c r="H49" s="34" t="str">
        <f aca="false">IF($C49="","",IF($G49="A",CONFIG!$B$5,IF($G49="B",CONFIG!$B$6,IF($G49="C",CONFIG!$B$7,"Gerência + coordenadores"))))</f>
        <v>(preencha o nome)</v>
      </c>
      <c r="I49" s="34"/>
      <c r="J49" s="32" t="str">
        <f aca="false">IF($C49="","","—")</f>
        <v>—</v>
      </c>
      <c r="K49" s="61"/>
      <c r="L49" s="61"/>
      <c r="M49" s="54"/>
      <c r="N49" s="54"/>
      <c r="O49" s="54"/>
      <c r="P49" s="55"/>
      <c r="Q49" s="56"/>
      <c r="R49" s="57"/>
      <c r="S49" s="34" t="str">
        <f aca="true">IF($C49="","",IF($Q49="Cancelada","Cancelada",IF($Q49="Reprovado","Reprovada",IF($Q49="Aprovado","Aprovada",IF($M49&lt;&gt;"","Entregue",IF(TODAY()&gt;$C49,"Atrasada","Pendente"))))))</f>
        <v>Pendente</v>
      </c>
      <c r="T49" s="58"/>
      <c r="U49" s="58"/>
      <c r="V49" s="58"/>
    </row>
    <row r="50" customFormat="false" ht="22.35" hidden="false" customHeight="false" outlineLevel="0" collapsed="false">
      <c r="A50" s="59" t="str">
        <f aca="false">IF($C50="","",$X$2&amp;"-S"&amp;INT(($C50-WEEKDAY($C50,2)+11-DATE(YEAR($C50+4-WEEKDAY($C50,2)),1,1))/7)&amp;"-RSC-B")</f>
        <v>NOV-S48-RSC-B</v>
      </c>
      <c r="B50" s="30" t="str">
        <f aca="false">IF($C50="","","S"&amp;INT(($C50-WEEKDAY($C50,2)+11-DATE(YEAR($C50+4-WEEKDAY($C50,2)),1,1))/7))</f>
        <v>S48</v>
      </c>
      <c r="C50" s="52" t="n">
        <f aca="false">IF(MONTH(($X$1-WEEKDAY($X$1,3)+28)+3)=MONTH($X$1),($X$1-WEEKDAY($X$1,3)+28)+3,"")</f>
        <v>46352</v>
      </c>
      <c r="D50" s="27" t="str">
        <f aca="false">IF($C50="","","Relatório Semanal Consolidado (erros + metas + faltas + supervisores)")</f>
        <v>Relatório Semanal Consolidado (erros + metas + faltas + supervisores)</v>
      </c>
      <c r="E50" s="27"/>
      <c r="F50" s="27"/>
      <c r="G50" s="30" t="str">
        <f aca="false">IF($C50="","","B")</f>
        <v>B</v>
      </c>
      <c r="H50" s="30" t="str">
        <f aca="false">IF($C50="","",IF($G50="A",CONFIG!$B$5,IF($G50="B",CONFIG!$B$6,IF($G50="C",CONFIG!$B$7,"Gerência + coordenadores"))))</f>
        <v>(preencha o nome)</v>
      </c>
      <c r="I50" s="30"/>
      <c r="J50" s="32" t="str">
        <f aca="false">IF($C50="","","—")</f>
        <v>—</v>
      </c>
      <c r="K50" s="61"/>
      <c r="L50" s="61"/>
      <c r="M50" s="54"/>
      <c r="N50" s="54"/>
      <c r="O50" s="54"/>
      <c r="P50" s="60"/>
      <c r="Q50" s="56"/>
      <c r="R50" s="57"/>
      <c r="S50" s="30" t="str">
        <f aca="true">IF($C50="","",IF($Q50="Cancelada","Cancelada",IF($Q50="Reprovado","Reprovada",IF($Q50="Aprovado","Aprovada",IF($M50&lt;&gt;"","Entregue",IF(TODAY()&gt;$C50,"Atrasada","Pendente"))))))</f>
        <v>Pendente</v>
      </c>
      <c r="T50" s="58"/>
      <c r="U50" s="58"/>
      <c r="V50" s="58"/>
    </row>
    <row r="51" customFormat="false" ht="22.35" hidden="false" customHeight="false" outlineLevel="0" collapsed="false">
      <c r="A51" s="51" t="str">
        <f aca="false">IF($C51="","",$X$2&amp;"-S"&amp;INT(($C51-WEEKDAY($C51,2)+11-DATE(YEAR($C51+4-WEEKDAY($C51,2)),1,1))/7)&amp;"-RSC-C")</f>
        <v>NOV-S48-RSC-C</v>
      </c>
      <c r="B51" s="34" t="str">
        <f aca="false">IF($C51="","","S"&amp;INT(($C51-WEEKDAY($C51,2)+11-DATE(YEAR($C51+4-WEEKDAY($C51,2)),1,1))/7))</f>
        <v>S48</v>
      </c>
      <c r="C51" s="52" t="n">
        <f aca="false">IF(MONTH(($X$1-WEEKDAY($X$1,3)+28)+3)=MONTH($X$1),($X$1-WEEKDAY($X$1,3)+28)+3,"")</f>
        <v>46352</v>
      </c>
      <c r="D51" s="9" t="str">
        <f aca="false">IF($C51="","","Relatório Semanal Consolidado (erros + metas + faltas + supervisores)")</f>
        <v>Relatório Semanal Consolidado (erros + metas + faltas + supervisores)</v>
      </c>
      <c r="E51" s="9"/>
      <c r="F51" s="9"/>
      <c r="G51" s="34" t="str">
        <f aca="false">IF($C51="","","C")</f>
        <v>C</v>
      </c>
      <c r="H51" s="34" t="str">
        <f aca="false">IF($C51="","",IF($G51="A",CONFIG!$B$5,IF($G51="B",CONFIG!$B$6,IF($G51="C",CONFIG!$B$7,"Gerência + coordenadores"))))</f>
        <v>(preencha o nome)</v>
      </c>
      <c r="I51" s="34"/>
      <c r="J51" s="32" t="str">
        <f aca="false">IF($C51="","","—")</f>
        <v>—</v>
      </c>
      <c r="K51" s="61"/>
      <c r="L51" s="61"/>
      <c r="M51" s="54"/>
      <c r="N51" s="54"/>
      <c r="O51" s="54"/>
      <c r="P51" s="55"/>
      <c r="Q51" s="56"/>
      <c r="R51" s="57"/>
      <c r="S51" s="34" t="str">
        <f aca="true">IF($C51="","",IF($Q51="Cancelada","Cancelada",IF($Q51="Reprovado","Reprovada",IF($Q51="Aprovado","Aprovada",IF($M51&lt;&gt;"","Entregue",IF(TODAY()&gt;$C51,"Atrasada","Pendente"))))))</f>
        <v>Pendente</v>
      </c>
      <c r="T51" s="58"/>
      <c r="U51" s="58"/>
      <c r="V51" s="58"/>
    </row>
    <row r="52" customFormat="false" ht="24" hidden="false" customHeight="true" outlineLevel="0" collapsed="false">
      <c r="A52" s="59" t="str">
        <f aca="false">IF($C52="","",$X$2&amp;"-S"&amp;INT(($C52-WEEKDAY($C52,2)+11-DATE(YEAR($C52+4-WEEKDAY($C52,2)),1,1))/7)&amp;"-REU-T")</f>
        <v>NOV-S48-REU-T</v>
      </c>
      <c r="B52" s="30" t="str">
        <f aca="false">IF($C52="","","S"&amp;INT(($C52-WEEKDAY($C52,2)+11-DATE(YEAR($C52+4-WEEKDAY($C52,2)),1,1))/7))</f>
        <v>S48</v>
      </c>
      <c r="C52" s="52" t="n">
        <f aca="false">IF(MONTH(($X$1-WEEKDAY($X$1,3)+28)+4)=MONTH($X$1),($X$1-WEEKDAY($X$1,3)+28)+4,"")</f>
        <v>46353</v>
      </c>
      <c r="D52" s="27" t="str">
        <f aca="false">IF($C52="","","Reunião Semanal com a Gerência")</f>
        <v>Reunião Semanal com a Gerência</v>
      </c>
      <c r="E52" s="27"/>
      <c r="F52" s="27"/>
      <c r="G52" s="30" t="str">
        <f aca="false">IF($C52="","","Todos")</f>
        <v>Todos</v>
      </c>
      <c r="H52" s="30" t="str">
        <f aca="false">IF($C52="","",IF($G52="A",CONFIG!$B$5,IF($G52="B",CONFIG!$B$6,IF($G52="C",CONFIG!$B$7,"Gerência + coordenadores"))))</f>
        <v>Gerência + coordenadores</v>
      </c>
      <c r="I52" s="30"/>
      <c r="J52" s="32" t="str">
        <f aca="false">IF($C52="","","—")</f>
        <v>—</v>
      </c>
      <c r="K52" s="53"/>
      <c r="L52" s="53"/>
      <c r="M52" s="54"/>
      <c r="N52" s="54"/>
      <c r="O52" s="54"/>
      <c r="P52" s="60"/>
      <c r="Q52" s="56"/>
      <c r="R52" s="57"/>
      <c r="S52" s="30" t="str">
        <f aca="true">IF($C52="","",IF($Q52="Cancelada","Cancelada",IF($Q52="Reprovado","Reprovada",IF($Q52="Aprovado","Aprovada",IF($M52&lt;&gt;"","Entregue",IF(TODAY()&gt;$C52,"Atrasada","Pendente"))))))</f>
        <v>Pendente</v>
      </c>
      <c r="T52" s="58"/>
      <c r="U52" s="58"/>
      <c r="V52" s="58"/>
    </row>
    <row r="53" customFormat="false" ht="22.35" hidden="false" customHeight="false" outlineLevel="0" collapsed="false">
      <c r="A53" s="59" t="str">
        <f aca="false">IF($C53="","",$X$2&amp;"-S"&amp;INT(($C53-WEEKDAY($C53,2)+11-DATE(YEAR($C53+4-WEEKDAY($C53,2)),1,1))/7)&amp;"-MDF-T")</f>
        <v>NOV-S48-MDF-T</v>
      </c>
      <c r="B53" s="30" t="str">
        <f aca="false">IF($C53="","","S"&amp;INT(($C53-WEEKDAY($C53,2)+11-DATE(YEAR($C53+4-WEEKDAY($C53,2)),1,1))/7))</f>
        <v>S48</v>
      </c>
      <c r="C53" s="52" t="n">
        <f aca="false">EOMONTH($X$1,0)-MOD(WEEKDAY(EOMONTH($X$1,0),2)-5,7)</f>
        <v>46353</v>
      </c>
      <c r="D53" s="27" t="str">
        <f aca="false">IF($C53="","","Mudança de Função — reunião mensal")</f>
        <v>Mudança de Função — reunião mensal</v>
      </c>
      <c r="E53" s="27"/>
      <c r="F53" s="27"/>
      <c r="G53" s="30" t="str">
        <f aca="false">IF($C53="","","Todos")</f>
        <v>Todos</v>
      </c>
      <c r="H53" s="30" t="str">
        <f aca="false">IF($C53="","",IF($G53="A",CONFIG!$B$5,IF($G53="B",CONFIG!$B$6,IF($G53="C",CONFIG!$B$7,"Gerência + coordenadores"))))</f>
        <v>Gerência + coordenadores</v>
      </c>
      <c r="I53" s="30"/>
      <c r="J53" s="32" t="str">
        <f aca="false">IF($C53="","","—")</f>
        <v>—</v>
      </c>
      <c r="K53" s="53"/>
      <c r="L53" s="53"/>
      <c r="M53" s="54"/>
      <c r="N53" s="54"/>
      <c r="O53" s="54"/>
      <c r="P53" s="60"/>
      <c r="Q53" s="56"/>
      <c r="R53" s="57"/>
      <c r="S53" s="30" t="str">
        <f aca="true">IF($C53="","",IF($Q53="Cancelada","Cancelada",IF($Q53="Reprovado","Reprovada",IF($Q53="Aprovado","Aprovada",IF($M53&lt;&gt;"","Entregue",IF(TODAY()&gt;$C53,"Atrasada","Pendente"))))))</f>
        <v>Pendente</v>
      </c>
      <c r="T53" s="58"/>
      <c r="U53" s="58"/>
      <c r="V53" s="58"/>
    </row>
    <row r="55" customFormat="false" ht="15" hidden="false" customHeight="true" outlineLevel="0" collapsed="false">
      <c r="A55" s="62" t="s">
        <v>139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</row>
    <row r="56" customFormat="false" ht="21.75" hidden="false" customHeight="true" outlineLevel="0" collapsed="false">
      <c r="A56" s="51" t="str">
        <f aca="false">$X$2&amp;"-TRE-1"</f>
        <v>NOV-TRE-1</v>
      </c>
      <c r="B56" s="32" t="str">
        <f aca="false">IF($C56="","","S"&amp;INT(($C56-WEEKDAY($C56,2)+11-DATE(YEAR($C56+4-WEEKDAY($C56,2)),1,1))/7))</f>
        <v/>
      </c>
      <c r="C56" s="52"/>
      <c r="D56" s="57" t="s">
        <v>140</v>
      </c>
      <c r="E56" s="57"/>
      <c r="F56" s="57"/>
      <c r="G56" s="32" t="s">
        <v>141</v>
      </c>
      <c r="H56" s="34" t="s">
        <v>142</v>
      </c>
      <c r="I56" s="34"/>
      <c r="J56" s="32" t="s">
        <v>143</v>
      </c>
      <c r="K56" s="53"/>
      <c r="L56" s="53"/>
      <c r="M56" s="54"/>
      <c r="N56" s="54"/>
      <c r="O56" s="54"/>
      <c r="P56" s="55"/>
      <c r="Q56" s="56"/>
      <c r="R56" s="57"/>
      <c r="S56" s="34" t="str">
        <f aca="true">IF($C56="","Não agendado",IF($Q56="Cancelada","Cancelada",IF($Q56="Reprovado","Reprovada",IF($Q56="Aprovado","Aprovada",IF($M56&lt;&gt;"","Entregue",IF(TODAY()&gt;$C56,"Atrasada","Pendente"))))))</f>
        <v>Não agendado</v>
      </c>
      <c r="T56" s="58"/>
      <c r="U56" s="58"/>
      <c r="V56" s="58"/>
    </row>
    <row r="57" customFormat="false" ht="21.75" hidden="false" customHeight="true" outlineLevel="0" collapsed="false">
      <c r="A57" s="51" t="str">
        <f aca="false">$X$2&amp;"-TRE-2"</f>
        <v>NOV-TRE-2</v>
      </c>
      <c r="B57" s="32" t="str">
        <f aca="false">IF($C57="","","S"&amp;INT(($C57-WEEKDAY($C57,2)+11-DATE(YEAR($C57+4-WEEKDAY($C57,2)),1,1))/7))</f>
        <v/>
      </c>
      <c r="C57" s="52"/>
      <c r="D57" s="57" t="s">
        <v>140</v>
      </c>
      <c r="E57" s="57"/>
      <c r="F57" s="57"/>
      <c r="G57" s="32" t="s">
        <v>141</v>
      </c>
      <c r="H57" s="34" t="s">
        <v>142</v>
      </c>
      <c r="I57" s="34"/>
      <c r="J57" s="32" t="s">
        <v>143</v>
      </c>
      <c r="K57" s="53"/>
      <c r="L57" s="53"/>
      <c r="M57" s="54"/>
      <c r="N57" s="54"/>
      <c r="O57" s="54"/>
      <c r="P57" s="55"/>
      <c r="Q57" s="56"/>
      <c r="R57" s="57"/>
      <c r="S57" s="34" t="str">
        <f aca="true">IF($C57="","Não agendado",IF($Q57="Cancelada","Cancelada",IF($Q57="Reprovado","Reprovada",IF($Q57="Aprovado","Aprovada",IF($M57&lt;&gt;"","Entregue",IF(TODAY()&gt;$C57,"Atrasada","Pendente"))))))</f>
        <v>Não agendado</v>
      </c>
      <c r="T57" s="58"/>
      <c r="U57" s="58"/>
      <c r="V57" s="58"/>
    </row>
    <row r="58" customFormat="false" ht="21.75" hidden="false" customHeight="true" outlineLevel="0" collapsed="false">
      <c r="A58" s="51" t="str">
        <f aca="false">$X$2&amp;"-TRE-3"</f>
        <v>NOV-TRE-3</v>
      </c>
      <c r="B58" s="32" t="str">
        <f aca="false">IF($C58="","","S"&amp;INT(($C58-WEEKDAY($C58,2)+11-DATE(YEAR($C58+4-WEEKDAY($C58,2)),1,1))/7))</f>
        <v/>
      </c>
      <c r="C58" s="52"/>
      <c r="D58" s="57" t="s">
        <v>140</v>
      </c>
      <c r="E58" s="57"/>
      <c r="F58" s="57"/>
      <c r="G58" s="32" t="s">
        <v>141</v>
      </c>
      <c r="H58" s="34" t="s">
        <v>142</v>
      </c>
      <c r="I58" s="34"/>
      <c r="J58" s="32" t="s">
        <v>143</v>
      </c>
      <c r="K58" s="53"/>
      <c r="L58" s="53"/>
      <c r="M58" s="54"/>
      <c r="N58" s="54"/>
      <c r="O58" s="54"/>
      <c r="P58" s="55"/>
      <c r="Q58" s="56"/>
      <c r="R58" s="57"/>
      <c r="S58" s="34" t="str">
        <f aca="true">IF($C58="","Não agendado",IF($Q58="Cancelada","Cancelada",IF($Q58="Reprovado","Reprovada",IF($Q58="Aprovado","Aprovada",IF($M58&lt;&gt;"","Entregue",IF(TODAY()&gt;$C58,"Atrasada","Pendente"))))))</f>
        <v>Não agendado</v>
      </c>
      <c r="T58" s="58"/>
      <c r="U58" s="58"/>
      <c r="V58" s="58"/>
    </row>
    <row r="59" customFormat="false" ht="21.75" hidden="false" customHeight="true" outlineLevel="0" collapsed="false">
      <c r="A59" s="51" t="str">
        <f aca="false">$X$2&amp;"-TRE-4"</f>
        <v>NOV-TRE-4</v>
      </c>
      <c r="B59" s="32" t="str">
        <f aca="false">IF($C59="","","S"&amp;INT(($C59-WEEKDAY($C59,2)+11-DATE(YEAR($C59+4-WEEKDAY($C59,2)),1,1))/7))</f>
        <v/>
      </c>
      <c r="C59" s="52"/>
      <c r="D59" s="57" t="s">
        <v>140</v>
      </c>
      <c r="E59" s="57"/>
      <c r="F59" s="57"/>
      <c r="G59" s="32" t="s">
        <v>141</v>
      </c>
      <c r="H59" s="34" t="s">
        <v>142</v>
      </c>
      <c r="I59" s="34"/>
      <c r="J59" s="32" t="s">
        <v>143</v>
      </c>
      <c r="K59" s="53"/>
      <c r="L59" s="53"/>
      <c r="M59" s="54"/>
      <c r="N59" s="54"/>
      <c r="O59" s="54"/>
      <c r="P59" s="55"/>
      <c r="Q59" s="56"/>
      <c r="R59" s="57"/>
      <c r="S59" s="34" t="str">
        <f aca="true">IF($C59="","Não agendado",IF($Q59="Cancelada","Cancelada",IF($Q59="Reprovado","Reprovada",IF($Q59="Aprovado","Aprovada",IF($M59&lt;&gt;"","Entregue",IF(TODAY()&gt;$C59,"Atrasada","Pendente"))))))</f>
        <v>Não agendado</v>
      </c>
      <c r="T59" s="58"/>
      <c r="U59" s="58"/>
      <c r="V59" s="58"/>
    </row>
    <row r="60" customFormat="false" ht="21.75" hidden="false" customHeight="true" outlineLevel="0" collapsed="false">
      <c r="A60" s="51" t="str">
        <f aca="false">$X$2&amp;"-TRE-5"</f>
        <v>NOV-TRE-5</v>
      </c>
      <c r="B60" s="32" t="str">
        <f aca="false">IF($C60="","","S"&amp;INT(($C60-WEEKDAY($C60,2)+11-DATE(YEAR($C60+4-WEEKDAY($C60,2)),1,1))/7))</f>
        <v/>
      </c>
      <c r="C60" s="52"/>
      <c r="D60" s="57" t="s">
        <v>140</v>
      </c>
      <c r="E60" s="57"/>
      <c r="F60" s="57"/>
      <c r="G60" s="32" t="s">
        <v>141</v>
      </c>
      <c r="H60" s="34" t="s">
        <v>142</v>
      </c>
      <c r="I60" s="34"/>
      <c r="J60" s="32" t="s">
        <v>143</v>
      </c>
      <c r="K60" s="53"/>
      <c r="L60" s="53"/>
      <c r="M60" s="54"/>
      <c r="N60" s="54"/>
      <c r="O60" s="54"/>
      <c r="P60" s="55"/>
      <c r="Q60" s="56"/>
      <c r="R60" s="57"/>
      <c r="S60" s="34" t="str">
        <f aca="true">IF($C60="","Não agendado",IF($Q60="Cancelada","Cancelada",IF($Q60="Reprovado","Reprovada",IF($Q60="Aprovado","Aprovada",IF($M60&lt;&gt;"","Entregue",IF(TODAY()&gt;$C60,"Atrasada","Pendente"))))))</f>
        <v>Não agendado</v>
      </c>
      <c r="T60" s="58"/>
      <c r="U60" s="58"/>
      <c r="V60" s="58"/>
    </row>
    <row r="61" customFormat="false" ht="21.75" hidden="false" customHeight="true" outlineLevel="0" collapsed="false">
      <c r="A61" s="51" t="str">
        <f aca="false">$X$2&amp;"-TRE-6"</f>
        <v>NOV-TRE-6</v>
      </c>
      <c r="B61" s="32" t="str">
        <f aca="false">IF($C61="","","S"&amp;INT(($C61-WEEKDAY($C61,2)+11-DATE(YEAR($C61+4-WEEKDAY($C61,2)),1,1))/7))</f>
        <v/>
      </c>
      <c r="C61" s="52"/>
      <c r="D61" s="57" t="s">
        <v>140</v>
      </c>
      <c r="E61" s="57"/>
      <c r="F61" s="57"/>
      <c r="G61" s="32" t="s">
        <v>141</v>
      </c>
      <c r="H61" s="34" t="s">
        <v>142</v>
      </c>
      <c r="I61" s="34"/>
      <c r="J61" s="32" t="s">
        <v>143</v>
      </c>
      <c r="K61" s="53"/>
      <c r="L61" s="53"/>
      <c r="M61" s="54"/>
      <c r="N61" s="54"/>
      <c r="O61" s="54"/>
      <c r="P61" s="55"/>
      <c r="Q61" s="56"/>
      <c r="R61" s="57"/>
      <c r="S61" s="34" t="str">
        <f aca="true">IF($C61="","Não agendado",IF($Q61="Cancelada","Cancelada",IF($Q61="Reprovado","Reprovada",IF($Q61="Aprovado","Aprovada",IF($M61&lt;&gt;"","Entregue",IF(TODAY()&gt;$C61,"Atrasada","Pendente"))))))</f>
        <v>Não agendado</v>
      </c>
      <c r="T61" s="58"/>
      <c r="U61" s="58"/>
      <c r="V61" s="58"/>
    </row>
    <row r="63" customFormat="false" ht="15" hidden="false" customHeight="true" outlineLevel="0" collapsed="false">
      <c r="A63" s="48" t="s">
        <v>144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</row>
  </sheetData>
  <mergeCells count="214">
    <mergeCell ref="A1:S1"/>
    <mergeCell ref="A3:O3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O18"/>
    <mergeCell ref="A20:V20"/>
    <mergeCell ref="D21:F21"/>
    <mergeCell ref="H21:I21"/>
    <mergeCell ref="M21:O21"/>
    <mergeCell ref="D22:F22"/>
    <mergeCell ref="H22:I22"/>
    <mergeCell ref="M22:O22"/>
    <mergeCell ref="D23:F23"/>
    <mergeCell ref="H23:I23"/>
    <mergeCell ref="M23:O23"/>
    <mergeCell ref="D24:F24"/>
    <mergeCell ref="H24:I24"/>
    <mergeCell ref="M24:O24"/>
    <mergeCell ref="D25:F25"/>
    <mergeCell ref="H25:I25"/>
    <mergeCell ref="M25:O25"/>
    <mergeCell ref="D26:F26"/>
    <mergeCell ref="H26:I26"/>
    <mergeCell ref="M26:O26"/>
    <mergeCell ref="D27:F27"/>
    <mergeCell ref="H27:I27"/>
    <mergeCell ref="M27:O27"/>
    <mergeCell ref="D28:F28"/>
    <mergeCell ref="H28:I28"/>
    <mergeCell ref="M28:O28"/>
    <mergeCell ref="D29:F29"/>
    <mergeCell ref="H29:I29"/>
    <mergeCell ref="M29:O29"/>
    <mergeCell ref="D30:F30"/>
    <mergeCell ref="H30:I30"/>
    <mergeCell ref="M30:O30"/>
    <mergeCell ref="D31:F31"/>
    <mergeCell ref="H31:I31"/>
    <mergeCell ref="M31:O31"/>
    <mergeCell ref="D32:F32"/>
    <mergeCell ref="H32:I32"/>
    <mergeCell ref="M32:O32"/>
    <mergeCell ref="D33:F33"/>
    <mergeCell ref="H33:I33"/>
    <mergeCell ref="M33:O33"/>
    <mergeCell ref="D34:F34"/>
    <mergeCell ref="H34:I34"/>
    <mergeCell ref="M34:O34"/>
    <mergeCell ref="D35:F35"/>
    <mergeCell ref="H35:I35"/>
    <mergeCell ref="M35:O35"/>
    <mergeCell ref="D36:F36"/>
    <mergeCell ref="H36:I36"/>
    <mergeCell ref="M36:O36"/>
    <mergeCell ref="D37:F37"/>
    <mergeCell ref="H37:I37"/>
    <mergeCell ref="M37:O37"/>
    <mergeCell ref="D38:F38"/>
    <mergeCell ref="H38:I38"/>
    <mergeCell ref="M38:O38"/>
    <mergeCell ref="D39:F39"/>
    <mergeCell ref="H39:I39"/>
    <mergeCell ref="M39:O39"/>
    <mergeCell ref="D40:F40"/>
    <mergeCell ref="H40:I40"/>
    <mergeCell ref="M40:O40"/>
    <mergeCell ref="D41:F41"/>
    <mergeCell ref="H41:I41"/>
    <mergeCell ref="M41:O41"/>
    <mergeCell ref="D42:F42"/>
    <mergeCell ref="H42:I42"/>
    <mergeCell ref="M42:O42"/>
    <mergeCell ref="D43:F43"/>
    <mergeCell ref="H43:I43"/>
    <mergeCell ref="M43:O43"/>
    <mergeCell ref="D44:F44"/>
    <mergeCell ref="H44:I44"/>
    <mergeCell ref="M44:O44"/>
    <mergeCell ref="D45:F45"/>
    <mergeCell ref="H45:I45"/>
    <mergeCell ref="M45:O45"/>
    <mergeCell ref="D46:F46"/>
    <mergeCell ref="H46:I46"/>
    <mergeCell ref="M46:O46"/>
    <mergeCell ref="D47:F47"/>
    <mergeCell ref="H47:I47"/>
    <mergeCell ref="M47:O47"/>
    <mergeCell ref="D48:F48"/>
    <mergeCell ref="H48:I48"/>
    <mergeCell ref="M48:O48"/>
    <mergeCell ref="D49:F49"/>
    <mergeCell ref="H49:I49"/>
    <mergeCell ref="M49:O49"/>
    <mergeCell ref="D50:F50"/>
    <mergeCell ref="H50:I50"/>
    <mergeCell ref="M50:O50"/>
    <mergeCell ref="D51:F51"/>
    <mergeCell ref="H51:I51"/>
    <mergeCell ref="M51:O51"/>
    <mergeCell ref="D52:F52"/>
    <mergeCell ref="H52:I52"/>
    <mergeCell ref="M52:O52"/>
    <mergeCell ref="D53:F53"/>
    <mergeCell ref="H53:I53"/>
    <mergeCell ref="M53:O53"/>
    <mergeCell ref="A55:V55"/>
    <mergeCell ref="D56:F56"/>
    <mergeCell ref="H56:I56"/>
    <mergeCell ref="M56:O56"/>
    <mergeCell ref="D57:F57"/>
    <mergeCell ref="H57:I57"/>
    <mergeCell ref="M57:O57"/>
    <mergeCell ref="D58:F58"/>
    <mergeCell ref="H58:I58"/>
    <mergeCell ref="M58:O58"/>
    <mergeCell ref="D59:F59"/>
    <mergeCell ref="H59:I59"/>
    <mergeCell ref="M59:O59"/>
    <mergeCell ref="D60:F60"/>
    <mergeCell ref="H60:I60"/>
    <mergeCell ref="M60:O60"/>
    <mergeCell ref="D61:F61"/>
    <mergeCell ref="H61:I61"/>
    <mergeCell ref="M61:O61"/>
    <mergeCell ref="A63:V63"/>
  </mergeCells>
  <conditionalFormatting sqref="A3">
    <cfRule type="expression" priority="2" aboveAverage="0" equalAverage="0" bottom="0" percent="0" rank="0" text="" dxfId="3">
      <formula>LEFT($A$3,3)="MÊS"</formula>
    </cfRule>
  </conditionalFormatting>
  <conditionalFormatting sqref="A22:I53">
    <cfRule type="expression" priority="3" aboveAverage="0" equalAverage="0" bottom="0" percent="0" rank="0" text="" dxfId="4">
      <formula>ISNUMBER(SEARCH("-REU-",$A22))</formula>
    </cfRule>
  </conditionalFormatting>
  <conditionalFormatting sqref="S22:S136">
    <cfRule type="expression" priority="4" aboveAverage="0" equalAverage="0" bottom="0" percent="0" rank="0" text="" dxfId="5">
      <formula>$S22="Aprovada"</formula>
    </cfRule>
    <cfRule type="expression" priority="5" aboveAverage="0" equalAverage="0" bottom="0" percent="0" rank="0" text="" dxfId="6">
      <formula>$S22="Entregue"</formula>
    </cfRule>
    <cfRule type="expression" priority="6" aboveAverage="0" equalAverage="0" bottom="0" percent="0" rank="0" text="" dxfId="7">
      <formula>$S22="Atrasada"</formula>
    </cfRule>
    <cfRule type="expression" priority="7" aboveAverage="0" equalAverage="0" bottom="0" percent="0" rank="0" text="" dxfId="8">
      <formula>$S22="Reprovada"</formula>
    </cfRule>
    <cfRule type="expression" priority="8" aboveAverage="0" equalAverage="0" bottom="0" percent="0" rank="0" text="" dxfId="9">
      <formula>$S22="Pendente"</formula>
    </cfRule>
    <cfRule type="expression" priority="9" aboveAverage="0" equalAverage="0" bottom="0" percent="0" rank="0" text="" dxfId="10">
      <formula>$S22="Cancelada"</formula>
    </cfRule>
  </conditionalFormatting>
  <conditionalFormatting sqref="B6:O17">
    <cfRule type="expression" priority="10" aboveAverage="0" equalAverage="0" bottom="0" percent="0" rank="0" text="" dxfId="11">
      <formula>AND(B6&lt;&gt;"",B6=TODAY())</formula>
    </cfRule>
    <cfRule type="expression" priority="11" aboveAverage="0" equalAverage="0" bottom="0" percent="0" rank="0" text="" dxfId="12">
      <formula>AND(B6&lt;&gt;"",COUNTIFS($C$22:$C$136,B6,$S$22:$S$136,"Atrasada")&gt;0)</formula>
    </cfRule>
    <cfRule type="expression" priority="12" aboveAverage="0" equalAverage="0" bottom="0" percent="0" rank="0" text="" dxfId="13">
      <formula>AND(B6&lt;&gt;"",COUNTIFS($C$22:$C$136,B6,$Q$22:$Q$136,"&lt;&gt;Cancelada")&gt;0)</formula>
    </cfRule>
  </conditionalFormatting>
  <dataValidations count="1">
    <dataValidation allowBlank="true" errorStyle="stop" operator="between" showDropDown="false" showErrorMessage="false" showInputMessage="false" sqref="Q22:Q136" type="list">
      <formula1>"Aprovado,Reprovado,Cancelada"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X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.57"/>
    <col collapsed="false" customWidth="true" hidden="false" outlineLevel="0" max="3" min="3" style="0" width="10.57"/>
    <col collapsed="false" customWidth="true" hidden="false" outlineLevel="0" max="6" min="4" style="0" width="12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true" outlineLevel="0" max="11" min="11" style="0" width="8"/>
    <col collapsed="false" customWidth="true" hidden="true" outlineLevel="0" max="12" min="12" style="0" width="9.57"/>
    <col collapsed="false" customWidth="true" hidden="false" outlineLevel="0" max="16" min="13" style="0" width="12"/>
    <col collapsed="false" customWidth="true" hidden="false" outlineLevel="0" max="17" min="17" style="0" width="11.43"/>
    <col collapsed="false" customWidth="true" hidden="false" outlineLevel="0" max="18" min="18" style="0" width="17"/>
    <col collapsed="false" customWidth="true" hidden="false" outlineLevel="0" max="19" min="19" style="0" width="12.42"/>
    <col collapsed="false" customWidth="true" hidden="false" outlineLevel="0" max="22" min="20" style="0" width="3.42"/>
    <col collapsed="false" customWidth="true" hidden="true" outlineLevel="0" max="24" min="24" style="0" width="4"/>
  </cols>
  <sheetData>
    <row r="1" customFormat="false" ht="45.7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X1" s="43" t="n">
        <v>46357</v>
      </c>
    </row>
    <row r="2" customFormat="false" ht="4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X2" s="44" t="s">
        <v>154</v>
      </c>
    </row>
    <row r="3" customFormat="false" ht="15" hidden="false" customHeight="false" outlineLevel="0" collapsed="false">
      <c r="A3" s="5" t="str">
        <f aca="false">IF((COUNTIF($S$22:$S$142,"Aprovada")+COUNTIF($S$22:$S$142,"Entregue")+COUNTIF($S$22:$S$142,"Pendente")+COUNTIF($S$22:$S$142,"Atrasada")+COUNTIF($S$22:$S$142,"Reprovada"))=0,"",IF(COUNTIF($S$22:$S$142,"Aprovada")=(COUNTIF($S$22:$S$142,"Aprovada")+COUNTIF($S$22:$S$142,"Entregue")+COUNTIF($S$22:$S$142,"Pendente")+COUNTIF($S$22:$S$142,"Atrasada")+COUNTIF($S$22:$S$142,"Reprovada")),"MÊS CONCLUÍDO — todas as atividades aprovadas","EM ANDAMENTO — "&amp;COUNTIF($S$22:$S$142,"Aprovada")&amp;" de "&amp;(COUNTIF($S$22:$S$142,"Aprovada")+COUNTIF($S$22:$S$142,"Entregue")+COUNTIF($S$22:$S$142,"Pendente")+COUNTIF($S$22:$S$142,"Atrasada")+COUNTIF($S$22:$S$142,"Reprovada"))&amp;" atividades aprovadas · "&amp;COUNTIF($S$22:$S$142,"Atrasada")&amp;" em atraso"))</f>
        <v>EM ANDAMENTO — 0 de 38 atividades aprovadas · 0 em atraso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8" hidden="false" customHeight="true" outlineLevel="0" collapsed="false">
      <c r="B5" s="40" t="s">
        <v>119</v>
      </c>
      <c r="C5" s="40"/>
      <c r="D5" s="40" t="s">
        <v>120</v>
      </c>
      <c r="E5" s="40"/>
      <c r="F5" s="40" t="s">
        <v>121</v>
      </c>
      <c r="G5" s="40"/>
      <c r="H5" s="40" t="s">
        <v>3</v>
      </c>
      <c r="I5" s="40"/>
      <c r="J5" s="40" t="s">
        <v>6</v>
      </c>
      <c r="K5" s="40"/>
      <c r="L5" s="45" t="s">
        <v>9</v>
      </c>
      <c r="M5" s="45"/>
      <c r="N5" s="40" t="s">
        <v>122</v>
      </c>
      <c r="O5" s="40"/>
    </row>
    <row r="6" customFormat="false" ht="15" hidden="false" customHeight="true" outlineLevel="0" collapsed="false">
      <c r="B6" s="46" t="str">
        <f aca="false">IF(MONTH($X$1-WEEKDAY($X$1)+1+0)=MONTH($X$1),$X$1-WEEKDAY($X$1)+1+0,"")</f>
        <v/>
      </c>
      <c r="C6" s="46"/>
      <c r="D6" s="46" t="str">
        <f aca="false">IF(MONTH($X$1-WEEKDAY($X$1)+1+1)=MONTH($X$1),$X$1-WEEKDAY($X$1)+1+1,"")</f>
        <v/>
      </c>
      <c r="E6" s="46"/>
      <c r="F6" s="46" t="n">
        <f aca="false">IF(MONTH($X$1-WEEKDAY($X$1)+1+2)=MONTH($X$1),$X$1-WEEKDAY($X$1)+1+2,"")</f>
        <v>46357</v>
      </c>
      <c r="G6" s="46"/>
      <c r="H6" s="46" t="n">
        <f aca="false">IF(MONTH($X$1-WEEKDAY($X$1)+1+3)=MONTH($X$1),$X$1-WEEKDAY($X$1)+1+3,"")</f>
        <v>46358</v>
      </c>
      <c r="I6" s="46"/>
      <c r="J6" s="46" t="n">
        <f aca="false">IF(MONTH($X$1-WEEKDAY($X$1)+1+4)=MONTH($X$1),$X$1-WEEKDAY($X$1)+1+4,"")</f>
        <v>46359</v>
      </c>
      <c r="K6" s="46"/>
      <c r="L6" s="46" t="n">
        <f aca="false">IF(MONTH($X$1-WEEKDAY($X$1)+1+5)=MONTH($X$1),$X$1-WEEKDAY($X$1)+1+5,"")</f>
        <v>46360</v>
      </c>
      <c r="M6" s="46"/>
      <c r="N6" s="46" t="n">
        <f aca="false">IF(MONTH($X$1-WEEKDAY($X$1)+1+6)=MONTH($X$1),$X$1-WEEKDAY($X$1)+1+6,"")</f>
        <v>46361</v>
      </c>
      <c r="O6" s="46"/>
    </row>
    <row r="7" customFormat="false" ht="25.5" hidden="false" customHeight="true" outlineLevel="0" collapsed="false">
      <c r="B7" s="47" t="str">
        <f aca="false">IF(B6="","",TRIM(IF(COUNTIFS($C$22:$C$142,B6,$D$22:$D$142,"*Vistoria*",$Q$22:$Q$142,"&lt;&gt;Cancelada")&gt;0,"Vistoria ","")&amp;IF(COUNTIFS($C$22:$C$142,B6,$D$22:$D$142,"*Relatório*",$Q$22:$Q$142,"&lt;&gt;Cancelada")&gt;0,"Relatório ","")&amp;IF(COUNTIFS($C$22:$C$142,B6,$D$22:$D$142,"*Reunião*",$Q$22:$Q$142,"&lt;&gt;Cancelada")&gt;0,"REUNIÃO ","")&amp;IF(COUNTIFS($C$22:$C$142,B6,$D$22:$D$142,"*Férias*",$Q$22:$Q$142,"&lt;&gt;Cancelada")&gt;0,"Férias ","")&amp;IF(COUNTIFS($C$22:$C$142,B6,$D$22:$D$142,"*Mudança*",$Q$22:$Q$142,"&lt;&gt;Cancelada")&gt;0,"M.Função ","")&amp;IF(COUNTIFS($C$22:$C$142,B6,$D$22:$D$142,"*Treinamento*",$Q$22:$Q$142,"&lt;&gt;Cancelada")&gt;0,"Trein. ","")))</f>
        <v/>
      </c>
      <c r="C7" s="47"/>
      <c r="D7" s="47" t="str">
        <f aca="false">IF(D6="","",TRIM(IF(COUNTIFS($C$22:$C$142,D6,$D$22:$D$142,"*Vistoria*",$Q$22:$Q$142,"&lt;&gt;Cancelada")&gt;0,"Vistoria ","")&amp;IF(COUNTIFS($C$22:$C$142,D6,$D$22:$D$142,"*Relatório*",$Q$22:$Q$142,"&lt;&gt;Cancelada")&gt;0,"Relatório ","")&amp;IF(COUNTIFS($C$22:$C$142,D6,$D$22:$D$142,"*Reunião*",$Q$22:$Q$142,"&lt;&gt;Cancelada")&gt;0,"REUNIÃO ","")&amp;IF(COUNTIFS($C$22:$C$142,D6,$D$22:$D$142,"*Férias*",$Q$22:$Q$142,"&lt;&gt;Cancelada")&gt;0,"Férias ","")&amp;IF(COUNTIFS($C$22:$C$142,D6,$D$22:$D$142,"*Mudança*",$Q$22:$Q$142,"&lt;&gt;Cancelada")&gt;0,"M.Função ","")&amp;IF(COUNTIFS($C$22:$C$142,D6,$D$22:$D$142,"*Treinamento*",$Q$22:$Q$142,"&lt;&gt;Cancelada")&gt;0,"Trein. ","")))</f>
        <v/>
      </c>
      <c r="E7" s="47"/>
      <c r="F7" s="47" t="str">
        <f aca="false">IF(F6="","",TRIM(IF(COUNTIFS($C$22:$C$142,F6,$D$22:$D$142,"*Vistoria*",$Q$22:$Q$142,"&lt;&gt;Cancelada")&gt;0,"Vistoria ","")&amp;IF(COUNTIFS($C$22:$C$142,F6,$D$22:$D$142,"*Relatório*",$Q$22:$Q$142,"&lt;&gt;Cancelada")&gt;0,"Relatório ","")&amp;IF(COUNTIFS($C$22:$C$142,F6,$D$22:$D$142,"*Reunião*",$Q$22:$Q$142,"&lt;&gt;Cancelada")&gt;0,"REUNIÃO ","")&amp;IF(COUNTIFS($C$22:$C$142,F6,$D$22:$D$142,"*Férias*",$Q$22:$Q$142,"&lt;&gt;Cancelada")&gt;0,"Férias ","")&amp;IF(COUNTIFS($C$22:$C$142,F6,$D$22:$D$142,"*Mudança*",$Q$22:$Q$142,"&lt;&gt;Cancelada")&gt;0,"M.Função ","")&amp;IF(COUNTIFS($C$22:$C$142,F6,$D$22:$D$142,"*Treinamento*",$Q$22:$Q$142,"&lt;&gt;Cancelada")&gt;0,"Trein. ","")))</f>
        <v/>
      </c>
      <c r="G7" s="47"/>
      <c r="H7" s="47" t="str">
        <f aca="false">IF(H6="","",TRIM(IF(COUNTIFS($C$22:$C$142,H6,$D$22:$D$142,"*Vistoria*",$Q$22:$Q$142,"&lt;&gt;Cancelada")&gt;0,"Vistoria ","")&amp;IF(COUNTIFS($C$22:$C$142,H6,$D$22:$D$142,"*Relatório*",$Q$22:$Q$142,"&lt;&gt;Cancelada")&gt;0,"Relatório ","")&amp;IF(COUNTIFS($C$22:$C$142,H6,$D$22:$D$142,"*Reunião*",$Q$22:$Q$142,"&lt;&gt;Cancelada")&gt;0,"REUNIÃO ","")&amp;IF(COUNTIFS($C$22:$C$142,H6,$D$22:$D$142,"*Férias*",$Q$22:$Q$142,"&lt;&gt;Cancelada")&gt;0,"Férias ","")&amp;IF(COUNTIFS($C$22:$C$142,H6,$D$22:$D$142,"*Mudança*",$Q$22:$Q$142,"&lt;&gt;Cancelada")&gt;0,"M.Função ","")&amp;IF(COUNTIFS($C$22:$C$142,H6,$D$22:$D$142,"*Treinamento*",$Q$22:$Q$142,"&lt;&gt;Cancelada")&gt;0,"Trein. ","")))</f>
        <v>Vistoria</v>
      </c>
      <c r="I7" s="47"/>
      <c r="J7" s="47" t="str">
        <f aca="false">IF(J6="","",TRIM(IF(COUNTIFS($C$22:$C$142,J6,$D$22:$D$142,"*Vistoria*",$Q$22:$Q$142,"&lt;&gt;Cancelada")&gt;0,"Vistoria ","")&amp;IF(COUNTIFS($C$22:$C$142,J6,$D$22:$D$142,"*Relatório*",$Q$22:$Q$142,"&lt;&gt;Cancelada")&gt;0,"Relatório ","")&amp;IF(COUNTIFS($C$22:$C$142,J6,$D$22:$D$142,"*Reunião*",$Q$22:$Q$142,"&lt;&gt;Cancelada")&gt;0,"REUNIÃO ","")&amp;IF(COUNTIFS($C$22:$C$142,J6,$D$22:$D$142,"*Férias*",$Q$22:$Q$142,"&lt;&gt;Cancelada")&gt;0,"Férias ","")&amp;IF(COUNTIFS($C$22:$C$142,J6,$D$22:$D$142,"*Mudança*",$Q$22:$Q$142,"&lt;&gt;Cancelada")&gt;0,"M.Função ","")&amp;IF(COUNTIFS($C$22:$C$142,J6,$D$22:$D$142,"*Treinamento*",$Q$22:$Q$142,"&lt;&gt;Cancelada")&gt;0,"Trein. ","")))</f>
        <v>Relatório</v>
      </c>
      <c r="K7" s="47"/>
      <c r="L7" s="47" t="str">
        <f aca="false">IF(L6="","",TRIM(IF(COUNTIFS($C$22:$C$142,L6,$D$22:$D$142,"*Vistoria*",$Q$22:$Q$142,"&lt;&gt;Cancelada")&gt;0,"Vistoria ","")&amp;IF(COUNTIFS($C$22:$C$142,L6,$D$22:$D$142,"*Relatório*",$Q$22:$Q$142,"&lt;&gt;Cancelada")&gt;0,"Relatório ","")&amp;IF(COUNTIFS($C$22:$C$142,L6,$D$22:$D$142,"*Reunião*",$Q$22:$Q$142,"&lt;&gt;Cancelada")&gt;0,"REUNIÃO ","")&amp;IF(COUNTIFS($C$22:$C$142,L6,$D$22:$D$142,"*Férias*",$Q$22:$Q$142,"&lt;&gt;Cancelada")&gt;0,"Férias ","")&amp;IF(COUNTIFS($C$22:$C$142,L6,$D$22:$D$142,"*Mudança*",$Q$22:$Q$142,"&lt;&gt;Cancelada")&gt;0,"M.Função ","")&amp;IF(COUNTIFS($C$22:$C$142,L6,$D$22:$D$142,"*Treinamento*",$Q$22:$Q$142,"&lt;&gt;Cancelada")&gt;0,"Trein. ","")))</f>
        <v>REUNIÃO</v>
      </c>
      <c r="M7" s="47"/>
      <c r="N7" s="47" t="str">
        <f aca="false">IF(N6="","",TRIM(IF(COUNTIFS($C$22:$C$142,N6,$D$22:$D$142,"*Vistoria*",$Q$22:$Q$142,"&lt;&gt;Cancelada")&gt;0,"Vistoria ","")&amp;IF(COUNTIFS($C$22:$C$142,N6,$D$22:$D$142,"*Relatório*",$Q$22:$Q$142,"&lt;&gt;Cancelada")&gt;0,"Relatório ","")&amp;IF(COUNTIFS($C$22:$C$142,N6,$D$22:$D$142,"*Reunião*",$Q$22:$Q$142,"&lt;&gt;Cancelada")&gt;0,"REUNIÃO ","")&amp;IF(COUNTIFS($C$22:$C$142,N6,$D$22:$D$142,"*Férias*",$Q$22:$Q$142,"&lt;&gt;Cancelada")&gt;0,"Férias ","")&amp;IF(COUNTIFS($C$22:$C$142,N6,$D$22:$D$142,"*Mudança*",$Q$22:$Q$142,"&lt;&gt;Cancelada")&gt;0,"M.Função ","")&amp;IF(COUNTIFS($C$22:$C$142,N6,$D$22:$D$142,"*Treinamento*",$Q$22:$Q$142,"&lt;&gt;Cancelada")&gt;0,"Trein. ","")))</f>
        <v/>
      </c>
      <c r="O7" s="47"/>
    </row>
    <row r="8" customFormat="false" ht="15" hidden="false" customHeight="true" outlineLevel="0" collapsed="false">
      <c r="B8" s="46" t="n">
        <f aca="false">IF(MONTH($X$1-WEEKDAY($X$1)+1+7)=MONTH($X$1),$X$1-WEEKDAY($X$1)+1+7,"")</f>
        <v>46362</v>
      </c>
      <c r="C8" s="46"/>
      <c r="D8" s="46" t="n">
        <f aca="false">IF(MONTH($X$1-WEEKDAY($X$1)+1+8)=MONTH($X$1),$X$1-WEEKDAY($X$1)+1+8,"")</f>
        <v>46363</v>
      </c>
      <c r="E8" s="46"/>
      <c r="F8" s="46" t="n">
        <f aca="false">IF(MONTH($X$1-WEEKDAY($X$1)+1+9)=MONTH($X$1),$X$1-WEEKDAY($X$1)+1+9,"")</f>
        <v>46364</v>
      </c>
      <c r="G8" s="46"/>
      <c r="H8" s="46" t="n">
        <f aca="false">IF(MONTH($X$1-WEEKDAY($X$1)+1+10)=MONTH($X$1),$X$1-WEEKDAY($X$1)+1+10,"")</f>
        <v>46365</v>
      </c>
      <c r="I8" s="46"/>
      <c r="J8" s="46" t="n">
        <f aca="false">IF(MONTH($X$1-WEEKDAY($X$1)+1+11)=MONTH($X$1),$X$1-WEEKDAY($X$1)+1+11,"")</f>
        <v>46366</v>
      </c>
      <c r="K8" s="46"/>
      <c r="L8" s="46" t="n">
        <f aca="false">IF(MONTH($X$1-WEEKDAY($X$1)+1+12)=MONTH($X$1),$X$1-WEEKDAY($X$1)+1+12,"")</f>
        <v>46367</v>
      </c>
      <c r="M8" s="46"/>
      <c r="N8" s="46" t="n">
        <f aca="false">IF(MONTH($X$1-WEEKDAY($X$1)+1+13)=MONTH($X$1),$X$1-WEEKDAY($X$1)+1+13,"")</f>
        <v>46368</v>
      </c>
      <c r="O8" s="46"/>
    </row>
    <row r="9" customFormat="false" ht="25.5" hidden="false" customHeight="true" outlineLevel="0" collapsed="false">
      <c r="B9" s="47" t="str">
        <f aca="false">IF(B8="","",TRIM(IF(COUNTIFS($C$22:$C$142,B8,$D$22:$D$142,"*Vistoria*",$Q$22:$Q$142,"&lt;&gt;Cancelada")&gt;0,"Vistoria ","")&amp;IF(COUNTIFS($C$22:$C$142,B8,$D$22:$D$142,"*Relatório*",$Q$22:$Q$142,"&lt;&gt;Cancelada")&gt;0,"Relatório ","")&amp;IF(COUNTIFS($C$22:$C$142,B8,$D$22:$D$142,"*Reunião*",$Q$22:$Q$142,"&lt;&gt;Cancelada")&gt;0,"REUNIÃO ","")&amp;IF(COUNTIFS($C$22:$C$142,B8,$D$22:$D$142,"*Férias*",$Q$22:$Q$142,"&lt;&gt;Cancelada")&gt;0,"Férias ","")&amp;IF(COUNTIFS($C$22:$C$142,B8,$D$22:$D$142,"*Mudança*",$Q$22:$Q$142,"&lt;&gt;Cancelada")&gt;0,"M.Função ","")&amp;IF(COUNTIFS($C$22:$C$142,B8,$D$22:$D$142,"*Treinamento*",$Q$22:$Q$142,"&lt;&gt;Cancelada")&gt;0,"Trein. ","")))</f>
        <v/>
      </c>
      <c r="C9" s="47"/>
      <c r="D9" s="47" t="str">
        <f aca="false">IF(D8="","",TRIM(IF(COUNTIFS($C$22:$C$142,D8,$D$22:$D$142,"*Vistoria*",$Q$22:$Q$142,"&lt;&gt;Cancelada")&gt;0,"Vistoria ","")&amp;IF(COUNTIFS($C$22:$C$142,D8,$D$22:$D$142,"*Relatório*",$Q$22:$Q$142,"&lt;&gt;Cancelada")&gt;0,"Relatório ","")&amp;IF(COUNTIFS($C$22:$C$142,D8,$D$22:$D$142,"*Reunião*",$Q$22:$Q$142,"&lt;&gt;Cancelada")&gt;0,"REUNIÃO ","")&amp;IF(COUNTIFS($C$22:$C$142,D8,$D$22:$D$142,"*Férias*",$Q$22:$Q$142,"&lt;&gt;Cancelada")&gt;0,"Férias ","")&amp;IF(COUNTIFS($C$22:$C$142,D8,$D$22:$D$142,"*Mudança*",$Q$22:$Q$142,"&lt;&gt;Cancelada")&gt;0,"M.Função ","")&amp;IF(COUNTIFS($C$22:$C$142,D8,$D$22:$D$142,"*Treinamento*",$Q$22:$Q$142,"&lt;&gt;Cancelada")&gt;0,"Trein. ","")))</f>
        <v>Férias</v>
      </c>
      <c r="E9" s="47"/>
      <c r="F9" s="47" t="str">
        <f aca="false">IF(F8="","",TRIM(IF(COUNTIFS($C$22:$C$142,F8,$D$22:$D$142,"*Vistoria*",$Q$22:$Q$142,"&lt;&gt;Cancelada")&gt;0,"Vistoria ","")&amp;IF(COUNTIFS($C$22:$C$142,F8,$D$22:$D$142,"*Relatório*",$Q$22:$Q$142,"&lt;&gt;Cancelada")&gt;0,"Relatório ","")&amp;IF(COUNTIFS($C$22:$C$142,F8,$D$22:$D$142,"*Reunião*",$Q$22:$Q$142,"&lt;&gt;Cancelada")&gt;0,"REUNIÃO ","")&amp;IF(COUNTIFS($C$22:$C$142,F8,$D$22:$D$142,"*Férias*",$Q$22:$Q$142,"&lt;&gt;Cancelada")&gt;0,"Férias ","")&amp;IF(COUNTIFS($C$22:$C$142,F8,$D$22:$D$142,"*Mudança*",$Q$22:$Q$142,"&lt;&gt;Cancelada")&gt;0,"M.Função ","")&amp;IF(COUNTIFS($C$22:$C$142,F8,$D$22:$D$142,"*Treinamento*",$Q$22:$Q$142,"&lt;&gt;Cancelada")&gt;0,"Trein. ","")))</f>
        <v/>
      </c>
      <c r="G9" s="47"/>
      <c r="H9" s="47" t="str">
        <f aca="false">IF(H8="","",TRIM(IF(COUNTIFS($C$22:$C$142,H8,$D$22:$D$142,"*Vistoria*",$Q$22:$Q$142,"&lt;&gt;Cancelada")&gt;0,"Vistoria ","")&amp;IF(COUNTIFS($C$22:$C$142,H8,$D$22:$D$142,"*Relatório*",$Q$22:$Q$142,"&lt;&gt;Cancelada")&gt;0,"Relatório ","")&amp;IF(COUNTIFS($C$22:$C$142,H8,$D$22:$D$142,"*Reunião*",$Q$22:$Q$142,"&lt;&gt;Cancelada")&gt;0,"REUNIÃO ","")&amp;IF(COUNTIFS($C$22:$C$142,H8,$D$22:$D$142,"*Férias*",$Q$22:$Q$142,"&lt;&gt;Cancelada")&gt;0,"Férias ","")&amp;IF(COUNTIFS($C$22:$C$142,H8,$D$22:$D$142,"*Mudança*",$Q$22:$Q$142,"&lt;&gt;Cancelada")&gt;0,"M.Função ","")&amp;IF(COUNTIFS($C$22:$C$142,H8,$D$22:$D$142,"*Treinamento*",$Q$22:$Q$142,"&lt;&gt;Cancelada")&gt;0,"Trein. ","")))</f>
        <v>Vistoria</v>
      </c>
      <c r="I9" s="47"/>
      <c r="J9" s="47" t="str">
        <f aca="false">IF(J8="","",TRIM(IF(COUNTIFS($C$22:$C$142,J8,$D$22:$D$142,"*Vistoria*",$Q$22:$Q$142,"&lt;&gt;Cancelada")&gt;0,"Vistoria ","")&amp;IF(COUNTIFS($C$22:$C$142,J8,$D$22:$D$142,"*Relatório*",$Q$22:$Q$142,"&lt;&gt;Cancelada")&gt;0,"Relatório ","")&amp;IF(COUNTIFS($C$22:$C$142,J8,$D$22:$D$142,"*Reunião*",$Q$22:$Q$142,"&lt;&gt;Cancelada")&gt;0,"REUNIÃO ","")&amp;IF(COUNTIFS($C$22:$C$142,J8,$D$22:$D$142,"*Férias*",$Q$22:$Q$142,"&lt;&gt;Cancelada")&gt;0,"Férias ","")&amp;IF(COUNTIFS($C$22:$C$142,J8,$D$22:$D$142,"*Mudança*",$Q$22:$Q$142,"&lt;&gt;Cancelada")&gt;0,"M.Função ","")&amp;IF(COUNTIFS($C$22:$C$142,J8,$D$22:$D$142,"*Treinamento*",$Q$22:$Q$142,"&lt;&gt;Cancelada")&gt;0,"Trein. ","")))</f>
        <v>Relatório</v>
      </c>
      <c r="K9" s="47"/>
      <c r="L9" s="47" t="str">
        <f aca="false">IF(L8="","",TRIM(IF(COUNTIFS($C$22:$C$142,L8,$D$22:$D$142,"*Vistoria*",$Q$22:$Q$142,"&lt;&gt;Cancelada")&gt;0,"Vistoria ","")&amp;IF(COUNTIFS($C$22:$C$142,L8,$D$22:$D$142,"*Relatório*",$Q$22:$Q$142,"&lt;&gt;Cancelada")&gt;0,"Relatório ","")&amp;IF(COUNTIFS($C$22:$C$142,L8,$D$22:$D$142,"*Reunião*",$Q$22:$Q$142,"&lt;&gt;Cancelada")&gt;0,"REUNIÃO ","")&amp;IF(COUNTIFS($C$22:$C$142,L8,$D$22:$D$142,"*Férias*",$Q$22:$Q$142,"&lt;&gt;Cancelada")&gt;0,"Férias ","")&amp;IF(COUNTIFS($C$22:$C$142,L8,$D$22:$D$142,"*Mudança*",$Q$22:$Q$142,"&lt;&gt;Cancelada")&gt;0,"M.Função ","")&amp;IF(COUNTIFS($C$22:$C$142,L8,$D$22:$D$142,"*Treinamento*",$Q$22:$Q$142,"&lt;&gt;Cancelada")&gt;0,"Trein. ","")))</f>
        <v>REUNIÃO</v>
      </c>
      <c r="M9" s="47"/>
      <c r="N9" s="47" t="str">
        <f aca="false">IF(N8="","",TRIM(IF(COUNTIFS($C$22:$C$142,N8,$D$22:$D$142,"*Vistoria*",$Q$22:$Q$142,"&lt;&gt;Cancelada")&gt;0,"Vistoria ","")&amp;IF(COUNTIFS($C$22:$C$142,N8,$D$22:$D$142,"*Relatório*",$Q$22:$Q$142,"&lt;&gt;Cancelada")&gt;0,"Relatório ","")&amp;IF(COUNTIFS($C$22:$C$142,N8,$D$22:$D$142,"*Reunião*",$Q$22:$Q$142,"&lt;&gt;Cancelada")&gt;0,"REUNIÃO ","")&amp;IF(COUNTIFS($C$22:$C$142,N8,$D$22:$D$142,"*Férias*",$Q$22:$Q$142,"&lt;&gt;Cancelada")&gt;0,"Férias ","")&amp;IF(COUNTIFS($C$22:$C$142,N8,$D$22:$D$142,"*Mudança*",$Q$22:$Q$142,"&lt;&gt;Cancelada")&gt;0,"M.Função ","")&amp;IF(COUNTIFS($C$22:$C$142,N8,$D$22:$D$142,"*Treinamento*",$Q$22:$Q$142,"&lt;&gt;Cancelada")&gt;0,"Trein. ","")))</f>
        <v/>
      </c>
      <c r="O9" s="47"/>
    </row>
    <row r="10" customFormat="false" ht="15" hidden="false" customHeight="true" outlineLevel="0" collapsed="false">
      <c r="B10" s="46" t="n">
        <f aca="false">IF(MONTH($X$1-WEEKDAY($X$1)+1+14)=MONTH($X$1),$X$1-WEEKDAY($X$1)+1+14,"")</f>
        <v>46369</v>
      </c>
      <c r="C10" s="46"/>
      <c r="D10" s="46" t="n">
        <f aca="false">IF(MONTH($X$1-WEEKDAY($X$1)+1+15)=MONTH($X$1),$X$1-WEEKDAY($X$1)+1+15,"")</f>
        <v>46370</v>
      </c>
      <c r="E10" s="46"/>
      <c r="F10" s="46" t="n">
        <f aca="false">IF(MONTH($X$1-WEEKDAY($X$1)+1+16)=MONTH($X$1),$X$1-WEEKDAY($X$1)+1+16,"")</f>
        <v>46371</v>
      </c>
      <c r="G10" s="46"/>
      <c r="H10" s="46" t="n">
        <f aca="false">IF(MONTH($X$1-WEEKDAY($X$1)+1+17)=MONTH($X$1),$X$1-WEEKDAY($X$1)+1+17,"")</f>
        <v>46372</v>
      </c>
      <c r="I10" s="46"/>
      <c r="J10" s="46" t="n">
        <f aca="false">IF(MONTH($X$1-WEEKDAY($X$1)+1+18)=MONTH($X$1),$X$1-WEEKDAY($X$1)+1+18,"")</f>
        <v>46373</v>
      </c>
      <c r="K10" s="46"/>
      <c r="L10" s="46" t="n">
        <f aca="false">IF(MONTH($X$1-WEEKDAY($X$1)+1+19)=MONTH($X$1),$X$1-WEEKDAY($X$1)+1+19,"")</f>
        <v>46374</v>
      </c>
      <c r="M10" s="46"/>
      <c r="N10" s="46" t="n">
        <f aca="false">IF(MONTH($X$1-WEEKDAY($X$1)+1+20)=MONTH($X$1),$X$1-WEEKDAY($X$1)+1+20,"")</f>
        <v>46375</v>
      </c>
      <c r="O10" s="46"/>
    </row>
    <row r="11" customFormat="false" ht="25.5" hidden="false" customHeight="true" outlineLevel="0" collapsed="false">
      <c r="B11" s="47" t="str">
        <f aca="false">IF(B10="","",TRIM(IF(COUNTIFS($C$22:$C$142,B10,$D$22:$D$142,"*Vistoria*",$Q$22:$Q$142,"&lt;&gt;Cancelada")&gt;0,"Vistoria ","")&amp;IF(COUNTIFS($C$22:$C$142,B10,$D$22:$D$142,"*Relatório*",$Q$22:$Q$142,"&lt;&gt;Cancelada")&gt;0,"Relatório ","")&amp;IF(COUNTIFS($C$22:$C$142,B10,$D$22:$D$142,"*Reunião*",$Q$22:$Q$142,"&lt;&gt;Cancelada")&gt;0,"REUNIÃO ","")&amp;IF(COUNTIFS($C$22:$C$142,B10,$D$22:$D$142,"*Férias*",$Q$22:$Q$142,"&lt;&gt;Cancelada")&gt;0,"Férias ","")&amp;IF(COUNTIFS($C$22:$C$142,B10,$D$22:$D$142,"*Mudança*",$Q$22:$Q$142,"&lt;&gt;Cancelada")&gt;0,"M.Função ","")&amp;IF(COUNTIFS($C$22:$C$142,B10,$D$22:$D$142,"*Treinamento*",$Q$22:$Q$142,"&lt;&gt;Cancelada")&gt;0,"Trein. ","")))</f>
        <v/>
      </c>
      <c r="C11" s="47"/>
      <c r="D11" s="47" t="str">
        <f aca="false">IF(D10="","",TRIM(IF(COUNTIFS($C$22:$C$142,D10,$D$22:$D$142,"*Vistoria*",$Q$22:$Q$142,"&lt;&gt;Cancelada")&gt;0,"Vistoria ","")&amp;IF(COUNTIFS($C$22:$C$142,D10,$D$22:$D$142,"*Relatório*",$Q$22:$Q$142,"&lt;&gt;Cancelada")&gt;0,"Relatório ","")&amp;IF(COUNTIFS($C$22:$C$142,D10,$D$22:$D$142,"*Reunião*",$Q$22:$Q$142,"&lt;&gt;Cancelada")&gt;0,"REUNIÃO ","")&amp;IF(COUNTIFS($C$22:$C$142,D10,$D$22:$D$142,"*Férias*",$Q$22:$Q$142,"&lt;&gt;Cancelada")&gt;0,"Férias ","")&amp;IF(COUNTIFS($C$22:$C$142,D10,$D$22:$D$142,"*Mudança*",$Q$22:$Q$142,"&lt;&gt;Cancelada")&gt;0,"M.Função ","")&amp;IF(COUNTIFS($C$22:$C$142,D10,$D$22:$D$142,"*Treinamento*",$Q$22:$Q$142,"&lt;&gt;Cancelada")&gt;0,"Trein. ","")))</f>
        <v/>
      </c>
      <c r="E11" s="47"/>
      <c r="F11" s="47" t="str">
        <f aca="false">IF(F10="","",TRIM(IF(COUNTIFS($C$22:$C$142,F10,$D$22:$D$142,"*Vistoria*",$Q$22:$Q$142,"&lt;&gt;Cancelada")&gt;0,"Vistoria ","")&amp;IF(COUNTIFS($C$22:$C$142,F10,$D$22:$D$142,"*Relatório*",$Q$22:$Q$142,"&lt;&gt;Cancelada")&gt;0,"Relatório ","")&amp;IF(COUNTIFS($C$22:$C$142,F10,$D$22:$D$142,"*Reunião*",$Q$22:$Q$142,"&lt;&gt;Cancelada")&gt;0,"REUNIÃO ","")&amp;IF(COUNTIFS($C$22:$C$142,F10,$D$22:$D$142,"*Férias*",$Q$22:$Q$142,"&lt;&gt;Cancelada")&gt;0,"Férias ","")&amp;IF(COUNTIFS($C$22:$C$142,F10,$D$22:$D$142,"*Mudança*",$Q$22:$Q$142,"&lt;&gt;Cancelada")&gt;0,"M.Função ","")&amp;IF(COUNTIFS($C$22:$C$142,F10,$D$22:$D$142,"*Treinamento*",$Q$22:$Q$142,"&lt;&gt;Cancelada")&gt;0,"Trein. ","")))</f>
        <v/>
      </c>
      <c r="G11" s="47"/>
      <c r="H11" s="47" t="str">
        <f aca="false">IF(H10="","",TRIM(IF(COUNTIFS($C$22:$C$142,H10,$D$22:$D$142,"*Vistoria*",$Q$22:$Q$142,"&lt;&gt;Cancelada")&gt;0,"Vistoria ","")&amp;IF(COUNTIFS($C$22:$C$142,H10,$D$22:$D$142,"*Relatório*",$Q$22:$Q$142,"&lt;&gt;Cancelada")&gt;0,"Relatório ","")&amp;IF(COUNTIFS($C$22:$C$142,H10,$D$22:$D$142,"*Reunião*",$Q$22:$Q$142,"&lt;&gt;Cancelada")&gt;0,"REUNIÃO ","")&amp;IF(COUNTIFS($C$22:$C$142,H10,$D$22:$D$142,"*Férias*",$Q$22:$Q$142,"&lt;&gt;Cancelada")&gt;0,"Férias ","")&amp;IF(COUNTIFS($C$22:$C$142,H10,$D$22:$D$142,"*Mudança*",$Q$22:$Q$142,"&lt;&gt;Cancelada")&gt;0,"M.Função ","")&amp;IF(COUNTIFS($C$22:$C$142,H10,$D$22:$D$142,"*Treinamento*",$Q$22:$Q$142,"&lt;&gt;Cancelada")&gt;0,"Trein. ","")))</f>
        <v>Vistoria</v>
      </c>
      <c r="I11" s="47"/>
      <c r="J11" s="47" t="str">
        <f aca="false">IF(J10="","",TRIM(IF(COUNTIFS($C$22:$C$142,J10,$D$22:$D$142,"*Vistoria*",$Q$22:$Q$142,"&lt;&gt;Cancelada")&gt;0,"Vistoria ","")&amp;IF(COUNTIFS($C$22:$C$142,J10,$D$22:$D$142,"*Relatório*",$Q$22:$Q$142,"&lt;&gt;Cancelada")&gt;0,"Relatório ","")&amp;IF(COUNTIFS($C$22:$C$142,J10,$D$22:$D$142,"*Reunião*",$Q$22:$Q$142,"&lt;&gt;Cancelada")&gt;0,"REUNIÃO ","")&amp;IF(COUNTIFS($C$22:$C$142,J10,$D$22:$D$142,"*Férias*",$Q$22:$Q$142,"&lt;&gt;Cancelada")&gt;0,"Férias ","")&amp;IF(COUNTIFS($C$22:$C$142,J10,$D$22:$D$142,"*Mudança*",$Q$22:$Q$142,"&lt;&gt;Cancelada")&gt;0,"M.Função ","")&amp;IF(COUNTIFS($C$22:$C$142,J10,$D$22:$D$142,"*Treinamento*",$Q$22:$Q$142,"&lt;&gt;Cancelada")&gt;0,"Trein. ","")))</f>
        <v>Relatório</v>
      </c>
      <c r="K11" s="47"/>
      <c r="L11" s="47" t="str">
        <f aca="false">IF(L10="","",TRIM(IF(COUNTIFS($C$22:$C$142,L10,$D$22:$D$142,"*Vistoria*",$Q$22:$Q$142,"&lt;&gt;Cancelada")&gt;0,"Vistoria ","")&amp;IF(COUNTIFS($C$22:$C$142,L10,$D$22:$D$142,"*Relatório*",$Q$22:$Q$142,"&lt;&gt;Cancelada")&gt;0,"Relatório ","")&amp;IF(COUNTIFS($C$22:$C$142,L10,$D$22:$D$142,"*Reunião*",$Q$22:$Q$142,"&lt;&gt;Cancelada")&gt;0,"REUNIÃO ","")&amp;IF(COUNTIFS($C$22:$C$142,L10,$D$22:$D$142,"*Férias*",$Q$22:$Q$142,"&lt;&gt;Cancelada")&gt;0,"Férias ","")&amp;IF(COUNTIFS($C$22:$C$142,L10,$D$22:$D$142,"*Mudança*",$Q$22:$Q$142,"&lt;&gt;Cancelada")&gt;0,"M.Função ","")&amp;IF(COUNTIFS($C$22:$C$142,L10,$D$22:$D$142,"*Treinamento*",$Q$22:$Q$142,"&lt;&gt;Cancelada")&gt;0,"Trein. ","")))</f>
        <v>REUNIÃO</v>
      </c>
      <c r="M11" s="47"/>
      <c r="N11" s="47" t="str">
        <f aca="false">IF(N10="","",TRIM(IF(COUNTIFS($C$22:$C$142,N10,$D$22:$D$142,"*Vistoria*",$Q$22:$Q$142,"&lt;&gt;Cancelada")&gt;0,"Vistoria ","")&amp;IF(COUNTIFS($C$22:$C$142,N10,$D$22:$D$142,"*Relatório*",$Q$22:$Q$142,"&lt;&gt;Cancelada")&gt;0,"Relatório ","")&amp;IF(COUNTIFS($C$22:$C$142,N10,$D$22:$D$142,"*Reunião*",$Q$22:$Q$142,"&lt;&gt;Cancelada")&gt;0,"REUNIÃO ","")&amp;IF(COUNTIFS($C$22:$C$142,N10,$D$22:$D$142,"*Férias*",$Q$22:$Q$142,"&lt;&gt;Cancelada")&gt;0,"Férias ","")&amp;IF(COUNTIFS($C$22:$C$142,N10,$D$22:$D$142,"*Mudança*",$Q$22:$Q$142,"&lt;&gt;Cancelada")&gt;0,"M.Função ","")&amp;IF(COUNTIFS($C$22:$C$142,N10,$D$22:$D$142,"*Treinamento*",$Q$22:$Q$142,"&lt;&gt;Cancelada")&gt;0,"Trein. ","")))</f>
        <v/>
      </c>
      <c r="O11" s="47"/>
    </row>
    <row r="12" customFormat="false" ht="15" hidden="false" customHeight="true" outlineLevel="0" collapsed="false">
      <c r="B12" s="46" t="n">
        <f aca="false">IF(MONTH($X$1-WEEKDAY($X$1)+1+21)=MONTH($X$1),$X$1-WEEKDAY($X$1)+1+21,"")</f>
        <v>46376</v>
      </c>
      <c r="C12" s="46"/>
      <c r="D12" s="46" t="n">
        <f aca="false">IF(MONTH($X$1-WEEKDAY($X$1)+1+22)=MONTH($X$1),$X$1-WEEKDAY($X$1)+1+22,"")</f>
        <v>46377</v>
      </c>
      <c r="E12" s="46"/>
      <c r="F12" s="46" t="n">
        <f aca="false">IF(MONTH($X$1-WEEKDAY($X$1)+1+23)=MONTH($X$1),$X$1-WEEKDAY($X$1)+1+23,"")</f>
        <v>46378</v>
      </c>
      <c r="G12" s="46"/>
      <c r="H12" s="46" t="n">
        <f aca="false">IF(MONTH($X$1-WEEKDAY($X$1)+1+24)=MONTH($X$1),$X$1-WEEKDAY($X$1)+1+24,"")</f>
        <v>46379</v>
      </c>
      <c r="I12" s="46"/>
      <c r="J12" s="46" t="n">
        <f aca="false">IF(MONTH($X$1-WEEKDAY($X$1)+1+25)=MONTH($X$1),$X$1-WEEKDAY($X$1)+1+25,"")</f>
        <v>46380</v>
      </c>
      <c r="K12" s="46"/>
      <c r="L12" s="46" t="n">
        <f aca="false">IF(MONTH($X$1-WEEKDAY($X$1)+1+26)=MONTH($X$1),$X$1-WEEKDAY($X$1)+1+26,"")</f>
        <v>46381</v>
      </c>
      <c r="M12" s="46"/>
      <c r="N12" s="46" t="n">
        <f aca="false">IF(MONTH($X$1-WEEKDAY($X$1)+1+27)=MONTH($X$1),$X$1-WEEKDAY($X$1)+1+27,"")</f>
        <v>46382</v>
      </c>
      <c r="O12" s="46"/>
    </row>
    <row r="13" customFormat="false" ht="25.5" hidden="false" customHeight="true" outlineLevel="0" collapsed="false">
      <c r="B13" s="47" t="str">
        <f aca="false">IF(B12="","",TRIM(IF(COUNTIFS($C$22:$C$142,B12,$D$22:$D$142,"*Vistoria*",$Q$22:$Q$142,"&lt;&gt;Cancelada")&gt;0,"Vistoria ","")&amp;IF(COUNTIFS($C$22:$C$142,B12,$D$22:$D$142,"*Relatório*",$Q$22:$Q$142,"&lt;&gt;Cancelada")&gt;0,"Relatório ","")&amp;IF(COUNTIFS($C$22:$C$142,B12,$D$22:$D$142,"*Reunião*",$Q$22:$Q$142,"&lt;&gt;Cancelada")&gt;0,"REUNIÃO ","")&amp;IF(COUNTIFS($C$22:$C$142,B12,$D$22:$D$142,"*Férias*",$Q$22:$Q$142,"&lt;&gt;Cancelada")&gt;0,"Férias ","")&amp;IF(COUNTIFS($C$22:$C$142,B12,$D$22:$D$142,"*Mudança*",$Q$22:$Q$142,"&lt;&gt;Cancelada")&gt;0,"M.Função ","")&amp;IF(COUNTIFS($C$22:$C$142,B12,$D$22:$D$142,"*Treinamento*",$Q$22:$Q$142,"&lt;&gt;Cancelada")&gt;0,"Trein. ","")))</f>
        <v/>
      </c>
      <c r="C13" s="47"/>
      <c r="D13" s="47" t="str">
        <f aca="false">IF(D12="","",TRIM(IF(COUNTIFS($C$22:$C$142,D12,$D$22:$D$142,"*Vistoria*",$Q$22:$Q$142,"&lt;&gt;Cancelada")&gt;0,"Vistoria ","")&amp;IF(COUNTIFS($C$22:$C$142,D12,$D$22:$D$142,"*Relatório*",$Q$22:$Q$142,"&lt;&gt;Cancelada")&gt;0,"Relatório ","")&amp;IF(COUNTIFS($C$22:$C$142,D12,$D$22:$D$142,"*Reunião*",$Q$22:$Q$142,"&lt;&gt;Cancelada")&gt;0,"REUNIÃO ","")&amp;IF(COUNTIFS($C$22:$C$142,D12,$D$22:$D$142,"*Férias*",$Q$22:$Q$142,"&lt;&gt;Cancelada")&gt;0,"Férias ","")&amp;IF(COUNTIFS($C$22:$C$142,D12,$D$22:$D$142,"*Mudança*",$Q$22:$Q$142,"&lt;&gt;Cancelada")&gt;0,"M.Função ","")&amp;IF(COUNTIFS($C$22:$C$142,D12,$D$22:$D$142,"*Treinamento*",$Q$22:$Q$142,"&lt;&gt;Cancelada")&gt;0,"Trein. ","")))</f>
        <v/>
      </c>
      <c r="E13" s="47"/>
      <c r="F13" s="47" t="str">
        <f aca="false">IF(F12="","",TRIM(IF(COUNTIFS($C$22:$C$142,F12,$D$22:$D$142,"*Vistoria*",$Q$22:$Q$142,"&lt;&gt;Cancelada")&gt;0,"Vistoria ","")&amp;IF(COUNTIFS($C$22:$C$142,F12,$D$22:$D$142,"*Relatório*",$Q$22:$Q$142,"&lt;&gt;Cancelada")&gt;0,"Relatório ","")&amp;IF(COUNTIFS($C$22:$C$142,F12,$D$22:$D$142,"*Reunião*",$Q$22:$Q$142,"&lt;&gt;Cancelada")&gt;0,"REUNIÃO ","")&amp;IF(COUNTIFS($C$22:$C$142,F12,$D$22:$D$142,"*Férias*",$Q$22:$Q$142,"&lt;&gt;Cancelada")&gt;0,"Férias ","")&amp;IF(COUNTIFS($C$22:$C$142,F12,$D$22:$D$142,"*Mudança*",$Q$22:$Q$142,"&lt;&gt;Cancelada")&gt;0,"M.Função ","")&amp;IF(COUNTIFS($C$22:$C$142,F12,$D$22:$D$142,"*Treinamento*",$Q$22:$Q$142,"&lt;&gt;Cancelada")&gt;0,"Trein. ","")))</f>
        <v/>
      </c>
      <c r="G13" s="47"/>
      <c r="H13" s="47" t="str">
        <f aca="false">IF(H12="","",TRIM(IF(COUNTIFS($C$22:$C$142,H12,$D$22:$D$142,"*Vistoria*",$Q$22:$Q$142,"&lt;&gt;Cancelada")&gt;0,"Vistoria ","")&amp;IF(COUNTIFS($C$22:$C$142,H12,$D$22:$D$142,"*Relatório*",$Q$22:$Q$142,"&lt;&gt;Cancelada")&gt;0,"Relatório ","")&amp;IF(COUNTIFS($C$22:$C$142,H12,$D$22:$D$142,"*Reunião*",$Q$22:$Q$142,"&lt;&gt;Cancelada")&gt;0,"REUNIÃO ","")&amp;IF(COUNTIFS($C$22:$C$142,H12,$D$22:$D$142,"*Férias*",$Q$22:$Q$142,"&lt;&gt;Cancelada")&gt;0,"Férias ","")&amp;IF(COUNTIFS($C$22:$C$142,H12,$D$22:$D$142,"*Mudança*",$Q$22:$Q$142,"&lt;&gt;Cancelada")&gt;0,"M.Função ","")&amp;IF(COUNTIFS($C$22:$C$142,H12,$D$22:$D$142,"*Treinamento*",$Q$22:$Q$142,"&lt;&gt;Cancelada")&gt;0,"Trein. ","")))</f>
        <v>Vistoria</v>
      </c>
      <c r="I13" s="47"/>
      <c r="J13" s="47" t="str">
        <f aca="false">IF(J12="","",TRIM(IF(COUNTIFS($C$22:$C$142,J12,$D$22:$D$142,"*Vistoria*",$Q$22:$Q$142,"&lt;&gt;Cancelada")&gt;0,"Vistoria ","")&amp;IF(COUNTIFS($C$22:$C$142,J12,$D$22:$D$142,"*Relatório*",$Q$22:$Q$142,"&lt;&gt;Cancelada")&gt;0,"Relatório ","")&amp;IF(COUNTIFS($C$22:$C$142,J12,$D$22:$D$142,"*Reunião*",$Q$22:$Q$142,"&lt;&gt;Cancelada")&gt;0,"REUNIÃO ","")&amp;IF(COUNTIFS($C$22:$C$142,J12,$D$22:$D$142,"*Férias*",$Q$22:$Q$142,"&lt;&gt;Cancelada")&gt;0,"Férias ","")&amp;IF(COUNTIFS($C$22:$C$142,J12,$D$22:$D$142,"*Mudança*",$Q$22:$Q$142,"&lt;&gt;Cancelada")&gt;0,"M.Função ","")&amp;IF(COUNTIFS($C$22:$C$142,J12,$D$22:$D$142,"*Treinamento*",$Q$22:$Q$142,"&lt;&gt;Cancelada")&gt;0,"Trein. ","")))</f>
        <v>Relatório</v>
      </c>
      <c r="K13" s="47"/>
      <c r="L13" s="47" t="str">
        <f aca="false">IF(L12="","",TRIM(IF(COUNTIFS($C$22:$C$142,L12,$D$22:$D$142,"*Vistoria*",$Q$22:$Q$142,"&lt;&gt;Cancelada")&gt;0,"Vistoria ","")&amp;IF(COUNTIFS($C$22:$C$142,L12,$D$22:$D$142,"*Relatório*",$Q$22:$Q$142,"&lt;&gt;Cancelada")&gt;0,"Relatório ","")&amp;IF(COUNTIFS($C$22:$C$142,L12,$D$22:$D$142,"*Reunião*",$Q$22:$Q$142,"&lt;&gt;Cancelada")&gt;0,"REUNIÃO ","")&amp;IF(COUNTIFS($C$22:$C$142,L12,$D$22:$D$142,"*Férias*",$Q$22:$Q$142,"&lt;&gt;Cancelada")&gt;0,"Férias ","")&amp;IF(COUNTIFS($C$22:$C$142,L12,$D$22:$D$142,"*Mudança*",$Q$22:$Q$142,"&lt;&gt;Cancelada")&gt;0,"M.Função ","")&amp;IF(COUNTIFS($C$22:$C$142,L12,$D$22:$D$142,"*Treinamento*",$Q$22:$Q$142,"&lt;&gt;Cancelada")&gt;0,"Trein. ","")))</f>
        <v>REUNIÃO M.Função</v>
      </c>
      <c r="M13" s="47"/>
      <c r="N13" s="47" t="str">
        <f aca="false">IF(N12="","",TRIM(IF(COUNTIFS($C$22:$C$142,N12,$D$22:$D$142,"*Vistoria*",$Q$22:$Q$142,"&lt;&gt;Cancelada")&gt;0,"Vistoria ","")&amp;IF(COUNTIFS($C$22:$C$142,N12,$D$22:$D$142,"*Relatório*",$Q$22:$Q$142,"&lt;&gt;Cancelada")&gt;0,"Relatório ","")&amp;IF(COUNTIFS($C$22:$C$142,N12,$D$22:$D$142,"*Reunião*",$Q$22:$Q$142,"&lt;&gt;Cancelada")&gt;0,"REUNIÃO ","")&amp;IF(COUNTIFS($C$22:$C$142,N12,$D$22:$D$142,"*Férias*",$Q$22:$Q$142,"&lt;&gt;Cancelada")&gt;0,"Férias ","")&amp;IF(COUNTIFS($C$22:$C$142,N12,$D$22:$D$142,"*Mudança*",$Q$22:$Q$142,"&lt;&gt;Cancelada")&gt;0,"M.Função ","")&amp;IF(COUNTIFS($C$22:$C$142,N12,$D$22:$D$142,"*Treinamento*",$Q$22:$Q$142,"&lt;&gt;Cancelada")&gt;0,"Trein. ","")))</f>
        <v/>
      </c>
      <c r="O13" s="47"/>
    </row>
    <row r="14" customFormat="false" ht="15" hidden="false" customHeight="true" outlineLevel="0" collapsed="false">
      <c r="B14" s="46" t="n">
        <f aca="false">IF(MONTH($X$1-WEEKDAY($X$1)+1+28)=MONTH($X$1),$X$1-WEEKDAY($X$1)+1+28,"")</f>
        <v>46383</v>
      </c>
      <c r="C14" s="46"/>
      <c r="D14" s="46" t="n">
        <f aca="false">IF(MONTH($X$1-WEEKDAY($X$1)+1+29)=MONTH($X$1),$X$1-WEEKDAY($X$1)+1+29,"")</f>
        <v>46384</v>
      </c>
      <c r="E14" s="46"/>
      <c r="F14" s="46" t="n">
        <f aca="false">IF(MONTH($X$1-WEEKDAY($X$1)+1+30)=MONTH($X$1),$X$1-WEEKDAY($X$1)+1+30,"")</f>
        <v>46385</v>
      </c>
      <c r="G14" s="46"/>
      <c r="H14" s="46" t="n">
        <f aca="false">IF(MONTH($X$1-WEEKDAY($X$1)+1+31)=MONTH($X$1),$X$1-WEEKDAY($X$1)+1+31,"")</f>
        <v>46386</v>
      </c>
      <c r="I14" s="46"/>
      <c r="J14" s="46" t="n">
        <f aca="false">IF(MONTH($X$1-WEEKDAY($X$1)+1+32)=MONTH($X$1),$X$1-WEEKDAY($X$1)+1+32,"")</f>
        <v>46387</v>
      </c>
      <c r="K14" s="46"/>
      <c r="L14" s="46" t="str">
        <f aca="false">IF(MONTH($X$1-WEEKDAY($X$1)+1+33)=MONTH($X$1),$X$1-WEEKDAY($X$1)+1+33,"")</f>
        <v/>
      </c>
      <c r="M14" s="46"/>
      <c r="N14" s="46" t="str">
        <f aca="false">IF(MONTH($X$1-WEEKDAY($X$1)+1+34)=MONTH($X$1),$X$1-WEEKDAY($X$1)+1+34,"")</f>
        <v/>
      </c>
      <c r="O14" s="46"/>
    </row>
    <row r="15" customFormat="false" ht="25.5" hidden="false" customHeight="true" outlineLevel="0" collapsed="false">
      <c r="B15" s="47" t="str">
        <f aca="false">IF(B14="","",TRIM(IF(COUNTIFS($C$22:$C$142,B14,$D$22:$D$142,"*Vistoria*",$Q$22:$Q$142,"&lt;&gt;Cancelada")&gt;0,"Vistoria ","")&amp;IF(COUNTIFS($C$22:$C$142,B14,$D$22:$D$142,"*Relatório*",$Q$22:$Q$142,"&lt;&gt;Cancelada")&gt;0,"Relatório ","")&amp;IF(COUNTIFS($C$22:$C$142,B14,$D$22:$D$142,"*Reunião*",$Q$22:$Q$142,"&lt;&gt;Cancelada")&gt;0,"REUNIÃO ","")&amp;IF(COUNTIFS($C$22:$C$142,B14,$D$22:$D$142,"*Férias*",$Q$22:$Q$142,"&lt;&gt;Cancelada")&gt;0,"Férias ","")&amp;IF(COUNTIFS($C$22:$C$142,B14,$D$22:$D$142,"*Mudança*",$Q$22:$Q$142,"&lt;&gt;Cancelada")&gt;0,"M.Função ","")&amp;IF(COUNTIFS($C$22:$C$142,B14,$D$22:$D$142,"*Treinamento*",$Q$22:$Q$142,"&lt;&gt;Cancelada")&gt;0,"Trein. ","")))</f>
        <v/>
      </c>
      <c r="C15" s="47"/>
      <c r="D15" s="47" t="str">
        <f aca="false">IF(D14="","",TRIM(IF(COUNTIFS($C$22:$C$142,D14,$D$22:$D$142,"*Vistoria*",$Q$22:$Q$142,"&lt;&gt;Cancelada")&gt;0,"Vistoria ","")&amp;IF(COUNTIFS($C$22:$C$142,D14,$D$22:$D$142,"*Relatório*",$Q$22:$Q$142,"&lt;&gt;Cancelada")&gt;0,"Relatório ","")&amp;IF(COUNTIFS($C$22:$C$142,D14,$D$22:$D$142,"*Reunião*",$Q$22:$Q$142,"&lt;&gt;Cancelada")&gt;0,"REUNIÃO ","")&amp;IF(COUNTIFS($C$22:$C$142,D14,$D$22:$D$142,"*Férias*",$Q$22:$Q$142,"&lt;&gt;Cancelada")&gt;0,"Férias ","")&amp;IF(COUNTIFS($C$22:$C$142,D14,$D$22:$D$142,"*Mudança*",$Q$22:$Q$142,"&lt;&gt;Cancelada")&gt;0,"M.Função ","")&amp;IF(COUNTIFS($C$22:$C$142,D14,$D$22:$D$142,"*Treinamento*",$Q$22:$Q$142,"&lt;&gt;Cancelada")&gt;0,"Trein. ","")))</f>
        <v/>
      </c>
      <c r="E15" s="47"/>
      <c r="F15" s="47" t="str">
        <f aca="false">IF(F14="","",TRIM(IF(COUNTIFS($C$22:$C$142,F14,$D$22:$D$142,"*Vistoria*",$Q$22:$Q$142,"&lt;&gt;Cancelada")&gt;0,"Vistoria ","")&amp;IF(COUNTIFS($C$22:$C$142,F14,$D$22:$D$142,"*Relatório*",$Q$22:$Q$142,"&lt;&gt;Cancelada")&gt;0,"Relatório ","")&amp;IF(COUNTIFS($C$22:$C$142,F14,$D$22:$D$142,"*Reunião*",$Q$22:$Q$142,"&lt;&gt;Cancelada")&gt;0,"REUNIÃO ","")&amp;IF(COUNTIFS($C$22:$C$142,F14,$D$22:$D$142,"*Férias*",$Q$22:$Q$142,"&lt;&gt;Cancelada")&gt;0,"Férias ","")&amp;IF(COUNTIFS($C$22:$C$142,F14,$D$22:$D$142,"*Mudança*",$Q$22:$Q$142,"&lt;&gt;Cancelada")&gt;0,"M.Função ","")&amp;IF(COUNTIFS($C$22:$C$142,F14,$D$22:$D$142,"*Treinamento*",$Q$22:$Q$142,"&lt;&gt;Cancelada")&gt;0,"Trein. ","")))</f>
        <v/>
      </c>
      <c r="G15" s="47"/>
      <c r="H15" s="47" t="str">
        <f aca="false">IF(H14="","",TRIM(IF(COUNTIFS($C$22:$C$142,H14,$D$22:$D$142,"*Vistoria*",$Q$22:$Q$142,"&lt;&gt;Cancelada")&gt;0,"Vistoria ","")&amp;IF(COUNTIFS($C$22:$C$142,H14,$D$22:$D$142,"*Relatório*",$Q$22:$Q$142,"&lt;&gt;Cancelada")&gt;0,"Relatório ","")&amp;IF(COUNTIFS($C$22:$C$142,H14,$D$22:$D$142,"*Reunião*",$Q$22:$Q$142,"&lt;&gt;Cancelada")&gt;0,"REUNIÃO ","")&amp;IF(COUNTIFS($C$22:$C$142,H14,$D$22:$D$142,"*Férias*",$Q$22:$Q$142,"&lt;&gt;Cancelada")&gt;0,"Férias ","")&amp;IF(COUNTIFS($C$22:$C$142,H14,$D$22:$D$142,"*Mudança*",$Q$22:$Q$142,"&lt;&gt;Cancelada")&gt;0,"M.Função ","")&amp;IF(COUNTIFS($C$22:$C$142,H14,$D$22:$D$142,"*Treinamento*",$Q$22:$Q$142,"&lt;&gt;Cancelada")&gt;0,"Trein. ","")))</f>
        <v>Vistoria</v>
      </c>
      <c r="I15" s="47"/>
      <c r="J15" s="47" t="str">
        <f aca="false">IF(J14="","",TRIM(IF(COUNTIFS($C$22:$C$142,J14,$D$22:$D$142,"*Vistoria*",$Q$22:$Q$142,"&lt;&gt;Cancelada")&gt;0,"Vistoria ","")&amp;IF(COUNTIFS($C$22:$C$142,J14,$D$22:$D$142,"*Relatório*",$Q$22:$Q$142,"&lt;&gt;Cancelada")&gt;0,"Relatório ","")&amp;IF(COUNTIFS($C$22:$C$142,J14,$D$22:$D$142,"*Reunião*",$Q$22:$Q$142,"&lt;&gt;Cancelada")&gt;0,"REUNIÃO ","")&amp;IF(COUNTIFS($C$22:$C$142,J14,$D$22:$D$142,"*Férias*",$Q$22:$Q$142,"&lt;&gt;Cancelada")&gt;0,"Férias ","")&amp;IF(COUNTIFS($C$22:$C$142,J14,$D$22:$D$142,"*Mudança*",$Q$22:$Q$142,"&lt;&gt;Cancelada")&gt;0,"M.Função ","")&amp;IF(COUNTIFS($C$22:$C$142,J14,$D$22:$D$142,"*Treinamento*",$Q$22:$Q$142,"&lt;&gt;Cancelada")&gt;0,"Trein. ","")))</f>
        <v>Relatório</v>
      </c>
      <c r="K15" s="47"/>
      <c r="L15" s="47" t="str">
        <f aca="false">IF(L14="","",TRIM(IF(COUNTIFS($C$22:$C$142,L14,$D$22:$D$142,"*Vistoria*",$Q$22:$Q$142,"&lt;&gt;Cancelada")&gt;0,"Vistoria ","")&amp;IF(COUNTIFS($C$22:$C$142,L14,$D$22:$D$142,"*Relatório*",$Q$22:$Q$142,"&lt;&gt;Cancelada")&gt;0,"Relatório ","")&amp;IF(COUNTIFS($C$22:$C$142,L14,$D$22:$D$142,"*Reunião*",$Q$22:$Q$142,"&lt;&gt;Cancelada")&gt;0,"REUNIÃO ","")&amp;IF(COUNTIFS($C$22:$C$142,L14,$D$22:$D$142,"*Férias*",$Q$22:$Q$142,"&lt;&gt;Cancelada")&gt;0,"Férias ","")&amp;IF(COUNTIFS($C$22:$C$142,L14,$D$22:$D$142,"*Mudança*",$Q$22:$Q$142,"&lt;&gt;Cancelada")&gt;0,"M.Função ","")&amp;IF(COUNTIFS($C$22:$C$142,L14,$D$22:$D$142,"*Treinamento*",$Q$22:$Q$142,"&lt;&gt;Cancelada")&gt;0,"Trein. ","")))</f>
        <v/>
      </c>
      <c r="M15" s="47"/>
      <c r="N15" s="47" t="str">
        <f aca="false">IF(N14="","",TRIM(IF(COUNTIFS($C$22:$C$142,N14,$D$22:$D$142,"*Vistoria*",$Q$22:$Q$142,"&lt;&gt;Cancelada")&gt;0,"Vistoria ","")&amp;IF(COUNTIFS($C$22:$C$142,N14,$D$22:$D$142,"*Relatório*",$Q$22:$Q$142,"&lt;&gt;Cancelada")&gt;0,"Relatório ","")&amp;IF(COUNTIFS($C$22:$C$142,N14,$D$22:$D$142,"*Reunião*",$Q$22:$Q$142,"&lt;&gt;Cancelada")&gt;0,"REUNIÃO ","")&amp;IF(COUNTIFS($C$22:$C$142,N14,$D$22:$D$142,"*Férias*",$Q$22:$Q$142,"&lt;&gt;Cancelada")&gt;0,"Férias ","")&amp;IF(COUNTIFS($C$22:$C$142,N14,$D$22:$D$142,"*Mudança*",$Q$22:$Q$142,"&lt;&gt;Cancelada")&gt;0,"M.Função ","")&amp;IF(COUNTIFS($C$22:$C$142,N14,$D$22:$D$142,"*Treinamento*",$Q$22:$Q$142,"&lt;&gt;Cancelada")&gt;0,"Trein. ","")))</f>
        <v/>
      </c>
      <c r="O15" s="47"/>
    </row>
    <row r="16" customFormat="false" ht="15" hidden="false" customHeight="true" outlineLevel="0" collapsed="false">
      <c r="B16" s="46" t="str">
        <f aca="false">IF(MONTH($X$1-WEEKDAY($X$1)+1+35)=MONTH($X$1),$X$1-WEEKDAY($X$1)+1+35,"")</f>
        <v/>
      </c>
      <c r="C16" s="46"/>
      <c r="D16" s="46" t="str">
        <f aca="false">IF(MONTH($X$1-WEEKDAY($X$1)+1+36)=MONTH($X$1),$X$1-WEEKDAY($X$1)+1+36,"")</f>
        <v/>
      </c>
      <c r="E16" s="46"/>
      <c r="F16" s="46" t="str">
        <f aca="false">IF(MONTH($X$1-WEEKDAY($X$1)+1+37)=MONTH($X$1),$X$1-WEEKDAY($X$1)+1+37,"")</f>
        <v/>
      </c>
      <c r="G16" s="46"/>
      <c r="H16" s="46" t="str">
        <f aca="false">IF(MONTH($X$1-WEEKDAY($X$1)+1+38)=MONTH($X$1),$X$1-WEEKDAY($X$1)+1+38,"")</f>
        <v/>
      </c>
      <c r="I16" s="46"/>
      <c r="J16" s="46" t="str">
        <f aca="false">IF(MONTH($X$1-WEEKDAY($X$1)+1+39)=MONTH($X$1),$X$1-WEEKDAY($X$1)+1+39,"")</f>
        <v/>
      </c>
      <c r="K16" s="46"/>
      <c r="L16" s="46" t="str">
        <f aca="false">IF(MONTH($X$1-WEEKDAY($X$1)+1+40)=MONTH($X$1),$X$1-WEEKDAY($X$1)+1+40,"")</f>
        <v/>
      </c>
      <c r="M16" s="46"/>
      <c r="N16" s="46" t="str">
        <f aca="false">IF(MONTH($X$1-WEEKDAY($X$1)+1+41)=MONTH($X$1),$X$1-WEEKDAY($X$1)+1+41,"")</f>
        <v/>
      </c>
      <c r="O16" s="46"/>
    </row>
    <row r="17" customFormat="false" ht="25.5" hidden="false" customHeight="true" outlineLevel="0" collapsed="false">
      <c r="B17" s="47" t="str">
        <f aca="false">IF(B16="","",TRIM(IF(COUNTIFS($C$22:$C$142,B16,$D$22:$D$142,"*Vistoria*",$Q$22:$Q$142,"&lt;&gt;Cancelada")&gt;0,"Vistoria ","")&amp;IF(COUNTIFS($C$22:$C$142,B16,$D$22:$D$142,"*Relatório*",$Q$22:$Q$142,"&lt;&gt;Cancelada")&gt;0,"Relatório ","")&amp;IF(COUNTIFS($C$22:$C$142,B16,$D$22:$D$142,"*Reunião*",$Q$22:$Q$142,"&lt;&gt;Cancelada")&gt;0,"REUNIÃO ","")&amp;IF(COUNTIFS($C$22:$C$142,B16,$D$22:$D$142,"*Férias*",$Q$22:$Q$142,"&lt;&gt;Cancelada")&gt;0,"Férias ","")&amp;IF(COUNTIFS($C$22:$C$142,B16,$D$22:$D$142,"*Mudança*",$Q$22:$Q$142,"&lt;&gt;Cancelada")&gt;0,"M.Função ","")&amp;IF(COUNTIFS($C$22:$C$142,B16,$D$22:$D$142,"*Treinamento*",$Q$22:$Q$142,"&lt;&gt;Cancelada")&gt;0,"Trein. ","")))</f>
        <v/>
      </c>
      <c r="C17" s="47"/>
      <c r="D17" s="47" t="str">
        <f aca="false">IF(D16="","",TRIM(IF(COUNTIFS($C$22:$C$142,D16,$D$22:$D$142,"*Vistoria*",$Q$22:$Q$142,"&lt;&gt;Cancelada")&gt;0,"Vistoria ","")&amp;IF(COUNTIFS($C$22:$C$142,D16,$D$22:$D$142,"*Relatório*",$Q$22:$Q$142,"&lt;&gt;Cancelada")&gt;0,"Relatório ","")&amp;IF(COUNTIFS($C$22:$C$142,D16,$D$22:$D$142,"*Reunião*",$Q$22:$Q$142,"&lt;&gt;Cancelada")&gt;0,"REUNIÃO ","")&amp;IF(COUNTIFS($C$22:$C$142,D16,$D$22:$D$142,"*Férias*",$Q$22:$Q$142,"&lt;&gt;Cancelada")&gt;0,"Férias ","")&amp;IF(COUNTIFS($C$22:$C$142,D16,$D$22:$D$142,"*Mudança*",$Q$22:$Q$142,"&lt;&gt;Cancelada")&gt;0,"M.Função ","")&amp;IF(COUNTIFS($C$22:$C$142,D16,$D$22:$D$142,"*Treinamento*",$Q$22:$Q$142,"&lt;&gt;Cancelada")&gt;0,"Trein. ","")))</f>
        <v/>
      </c>
      <c r="E17" s="47"/>
      <c r="F17" s="47" t="str">
        <f aca="false">IF(F16="","",TRIM(IF(COUNTIFS($C$22:$C$142,F16,$D$22:$D$142,"*Vistoria*",$Q$22:$Q$142,"&lt;&gt;Cancelada")&gt;0,"Vistoria ","")&amp;IF(COUNTIFS($C$22:$C$142,F16,$D$22:$D$142,"*Relatório*",$Q$22:$Q$142,"&lt;&gt;Cancelada")&gt;0,"Relatório ","")&amp;IF(COUNTIFS($C$22:$C$142,F16,$D$22:$D$142,"*Reunião*",$Q$22:$Q$142,"&lt;&gt;Cancelada")&gt;0,"REUNIÃO ","")&amp;IF(COUNTIFS($C$22:$C$142,F16,$D$22:$D$142,"*Férias*",$Q$22:$Q$142,"&lt;&gt;Cancelada")&gt;0,"Férias ","")&amp;IF(COUNTIFS($C$22:$C$142,F16,$D$22:$D$142,"*Mudança*",$Q$22:$Q$142,"&lt;&gt;Cancelada")&gt;0,"M.Função ","")&amp;IF(COUNTIFS($C$22:$C$142,F16,$D$22:$D$142,"*Treinamento*",$Q$22:$Q$142,"&lt;&gt;Cancelada")&gt;0,"Trein. ","")))</f>
        <v/>
      </c>
      <c r="G17" s="47"/>
      <c r="H17" s="47" t="str">
        <f aca="false">IF(H16="","",TRIM(IF(COUNTIFS($C$22:$C$142,H16,$D$22:$D$142,"*Vistoria*",$Q$22:$Q$142,"&lt;&gt;Cancelada")&gt;0,"Vistoria ","")&amp;IF(COUNTIFS($C$22:$C$142,H16,$D$22:$D$142,"*Relatório*",$Q$22:$Q$142,"&lt;&gt;Cancelada")&gt;0,"Relatório ","")&amp;IF(COUNTIFS($C$22:$C$142,H16,$D$22:$D$142,"*Reunião*",$Q$22:$Q$142,"&lt;&gt;Cancelada")&gt;0,"REUNIÃO ","")&amp;IF(COUNTIFS($C$22:$C$142,H16,$D$22:$D$142,"*Férias*",$Q$22:$Q$142,"&lt;&gt;Cancelada")&gt;0,"Férias ","")&amp;IF(COUNTIFS($C$22:$C$142,H16,$D$22:$D$142,"*Mudança*",$Q$22:$Q$142,"&lt;&gt;Cancelada")&gt;0,"M.Função ","")&amp;IF(COUNTIFS($C$22:$C$142,H16,$D$22:$D$142,"*Treinamento*",$Q$22:$Q$142,"&lt;&gt;Cancelada")&gt;0,"Trein. ","")))</f>
        <v/>
      </c>
      <c r="I17" s="47"/>
      <c r="J17" s="47" t="str">
        <f aca="false">IF(J16="","",TRIM(IF(COUNTIFS($C$22:$C$142,J16,$D$22:$D$142,"*Vistoria*",$Q$22:$Q$142,"&lt;&gt;Cancelada")&gt;0,"Vistoria ","")&amp;IF(COUNTIFS($C$22:$C$142,J16,$D$22:$D$142,"*Relatório*",$Q$22:$Q$142,"&lt;&gt;Cancelada")&gt;0,"Relatório ","")&amp;IF(COUNTIFS($C$22:$C$142,J16,$D$22:$D$142,"*Reunião*",$Q$22:$Q$142,"&lt;&gt;Cancelada")&gt;0,"REUNIÃO ","")&amp;IF(COUNTIFS($C$22:$C$142,J16,$D$22:$D$142,"*Férias*",$Q$22:$Q$142,"&lt;&gt;Cancelada")&gt;0,"Férias ","")&amp;IF(COUNTIFS($C$22:$C$142,J16,$D$22:$D$142,"*Mudança*",$Q$22:$Q$142,"&lt;&gt;Cancelada")&gt;0,"M.Função ","")&amp;IF(COUNTIFS($C$22:$C$142,J16,$D$22:$D$142,"*Treinamento*",$Q$22:$Q$142,"&lt;&gt;Cancelada")&gt;0,"Trein. ","")))</f>
        <v/>
      </c>
      <c r="K17" s="47"/>
      <c r="L17" s="47" t="str">
        <f aca="false">IF(L16="","",TRIM(IF(COUNTIFS($C$22:$C$142,L16,$D$22:$D$142,"*Vistoria*",$Q$22:$Q$142,"&lt;&gt;Cancelada")&gt;0,"Vistoria ","")&amp;IF(COUNTIFS($C$22:$C$142,L16,$D$22:$D$142,"*Relatório*",$Q$22:$Q$142,"&lt;&gt;Cancelada")&gt;0,"Relatório ","")&amp;IF(COUNTIFS($C$22:$C$142,L16,$D$22:$D$142,"*Reunião*",$Q$22:$Q$142,"&lt;&gt;Cancelada")&gt;0,"REUNIÃO ","")&amp;IF(COUNTIFS($C$22:$C$142,L16,$D$22:$D$142,"*Férias*",$Q$22:$Q$142,"&lt;&gt;Cancelada")&gt;0,"Férias ","")&amp;IF(COUNTIFS($C$22:$C$142,L16,$D$22:$D$142,"*Mudança*",$Q$22:$Q$142,"&lt;&gt;Cancelada")&gt;0,"M.Função ","")&amp;IF(COUNTIFS($C$22:$C$142,L16,$D$22:$D$142,"*Treinamento*",$Q$22:$Q$142,"&lt;&gt;Cancelada")&gt;0,"Trein. ","")))</f>
        <v/>
      </c>
      <c r="M17" s="47"/>
      <c r="N17" s="47" t="str">
        <f aca="false">IF(N16="","",TRIM(IF(COUNTIFS($C$22:$C$142,N16,$D$22:$D$142,"*Vistoria*",$Q$22:$Q$142,"&lt;&gt;Cancelada")&gt;0,"Vistoria ","")&amp;IF(COUNTIFS($C$22:$C$142,N16,$D$22:$D$142,"*Relatório*",$Q$22:$Q$142,"&lt;&gt;Cancelada")&gt;0,"Relatório ","")&amp;IF(COUNTIFS($C$22:$C$142,N16,$D$22:$D$142,"*Reunião*",$Q$22:$Q$142,"&lt;&gt;Cancelada")&gt;0,"REUNIÃO ","")&amp;IF(COUNTIFS($C$22:$C$142,N16,$D$22:$D$142,"*Férias*",$Q$22:$Q$142,"&lt;&gt;Cancelada")&gt;0,"Férias ","")&amp;IF(COUNTIFS($C$22:$C$142,N16,$D$22:$D$142,"*Mudança*",$Q$22:$Q$142,"&lt;&gt;Cancelada")&gt;0,"M.Função ","")&amp;IF(COUNTIFS($C$22:$C$142,N16,$D$22:$D$142,"*Treinamento*",$Q$22:$Q$142,"&lt;&gt;Cancelada")&gt;0,"Trein. ","")))</f>
        <v/>
      </c>
      <c r="O17" s="47"/>
    </row>
    <row r="18" customFormat="false" ht="15" hidden="false" customHeight="true" outlineLevel="0" collapsed="false">
      <c r="B18" s="48" t="s">
        <v>123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</row>
    <row r="20" customFormat="false" ht="15" hidden="false" customHeight="true" outlineLevel="0" collapsed="false">
      <c r="A20" s="49" t="s">
        <v>124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customFormat="false" ht="24" hidden="false" customHeight="true" outlineLevel="0" collapsed="false">
      <c r="A21" s="50" t="s">
        <v>125</v>
      </c>
      <c r="B21" s="50" t="s">
        <v>126</v>
      </c>
      <c r="C21" s="50" t="s">
        <v>127</v>
      </c>
      <c r="D21" s="50" t="s">
        <v>128</v>
      </c>
      <c r="E21" s="50"/>
      <c r="F21" s="50"/>
      <c r="G21" s="50" t="s">
        <v>73</v>
      </c>
      <c r="H21" s="50" t="s">
        <v>129</v>
      </c>
      <c r="I21" s="50"/>
      <c r="J21" s="50" t="s">
        <v>130</v>
      </c>
      <c r="K21" s="50"/>
      <c r="L21" s="50"/>
      <c r="M21" s="50" t="s">
        <v>131</v>
      </c>
      <c r="N21" s="50"/>
      <c r="O21" s="50"/>
      <c r="P21" s="50" t="s">
        <v>132</v>
      </c>
      <c r="Q21" s="50" t="s">
        <v>133</v>
      </c>
      <c r="R21" s="50" t="s">
        <v>134</v>
      </c>
      <c r="S21" s="50" t="s">
        <v>135</v>
      </c>
      <c r="T21" s="50" t="s">
        <v>136</v>
      </c>
      <c r="U21" s="50" t="s">
        <v>137</v>
      </c>
      <c r="V21" s="50" t="s">
        <v>138</v>
      </c>
    </row>
    <row r="22" customFormat="false" ht="15" hidden="false" customHeight="false" outlineLevel="0" collapsed="false">
      <c r="A22" s="51" t="str">
        <f aca="false">IF($C22="","",$X$2&amp;"-S"&amp;INT(($C22-WEEKDAY($C22,2)+11-DATE(YEAR($C22+4-WEEKDAY($C22,2)),1,1))/7)&amp;"-FER-A")</f>
        <v>DEZ-S50-FER-A</v>
      </c>
      <c r="B22" s="34" t="str">
        <f aca="false">IF($C22="","","S"&amp;INT(($C22-WEEKDAY($C22,2)+11-DATE(YEAR($C22+4-WEEKDAY($C22,2)),1,1))/7))</f>
        <v>S50</v>
      </c>
      <c r="C22" s="52" t="n">
        <f aca="false">$X$1+MOD(8-WEEKDAY($X$1,2),7)</f>
        <v>46363</v>
      </c>
      <c r="D22" s="9" t="str">
        <f aca="false">IF($C22="","","Programação de Férias (mensal)")</f>
        <v>Programação de Férias (mensal)</v>
      </c>
      <c r="E22" s="9"/>
      <c r="F22" s="9"/>
      <c r="G22" s="34" t="str">
        <f aca="false">IF($C22="","","A")</f>
        <v>A</v>
      </c>
      <c r="H22" s="34" t="str">
        <f aca="false">IF($C22="","",IF($G22="A",CONFIG!$B$5,IF($G22="B",CONFIG!$B$6,IF($G22="C",CONFIG!$B$7,"Gerência + coordenadores"))))</f>
        <v>(preencha o nome)</v>
      </c>
      <c r="I22" s="34"/>
      <c r="J22" s="32" t="str">
        <f aca="false">IF($C22="","","—")</f>
        <v>—</v>
      </c>
      <c r="K22" s="53"/>
      <c r="L22" s="53"/>
      <c r="M22" s="54"/>
      <c r="N22" s="54"/>
      <c r="O22" s="54"/>
      <c r="P22" s="55"/>
      <c r="Q22" s="56"/>
      <c r="R22" s="57"/>
      <c r="S22" s="34" t="str">
        <f aca="true">IF($C22="","",IF($Q22="Cancelada","Cancelada",IF($Q22="Reprovado","Reprovada",IF($Q22="Aprovado","Aprovada",IF($M22&lt;&gt;"","Entregue",IF(TODAY()&gt;$C22,"Atrasada","Pendente"))))))</f>
        <v>Pendente</v>
      </c>
      <c r="T22" s="58"/>
      <c r="U22" s="58"/>
      <c r="V22" s="58"/>
    </row>
    <row r="23" customFormat="false" ht="15" hidden="false" customHeight="false" outlineLevel="0" collapsed="false">
      <c r="A23" s="59" t="str">
        <f aca="false">IF($C23="","",$X$2&amp;"-S"&amp;INT(($C23-WEEKDAY($C23,2)+11-DATE(YEAR($C23+4-WEEKDAY($C23,2)),1,1))/7)&amp;"-FER-B")</f>
        <v>DEZ-S50-FER-B</v>
      </c>
      <c r="B23" s="30" t="str">
        <f aca="false">IF($C23="","","S"&amp;INT(($C23-WEEKDAY($C23,2)+11-DATE(YEAR($C23+4-WEEKDAY($C23,2)),1,1))/7))</f>
        <v>S50</v>
      </c>
      <c r="C23" s="52" t="n">
        <f aca="false">$X$1+MOD(8-WEEKDAY($X$1,2),7)</f>
        <v>46363</v>
      </c>
      <c r="D23" s="27" t="str">
        <f aca="false">IF($C23="","","Programação de Férias (mensal)")</f>
        <v>Programação de Férias (mensal)</v>
      </c>
      <c r="E23" s="27"/>
      <c r="F23" s="27"/>
      <c r="G23" s="30" t="str">
        <f aca="false">IF($C23="","","B")</f>
        <v>B</v>
      </c>
      <c r="H23" s="30" t="str">
        <f aca="false">IF($C23="","",IF($G23="A",CONFIG!$B$5,IF($G23="B",CONFIG!$B$6,IF($G23="C",CONFIG!$B$7,"Gerência + coordenadores"))))</f>
        <v>(preencha o nome)</v>
      </c>
      <c r="I23" s="30"/>
      <c r="J23" s="32" t="str">
        <f aca="false">IF($C23="","","—")</f>
        <v>—</v>
      </c>
      <c r="K23" s="53"/>
      <c r="L23" s="53"/>
      <c r="M23" s="54"/>
      <c r="N23" s="54"/>
      <c r="O23" s="54"/>
      <c r="P23" s="60"/>
      <c r="Q23" s="56"/>
      <c r="R23" s="57"/>
      <c r="S23" s="30" t="str">
        <f aca="true">IF($C23="","",IF($Q23="Cancelada","Cancelada",IF($Q23="Reprovado","Reprovada",IF($Q23="Aprovado","Aprovada",IF($M23&lt;&gt;"","Entregue",IF(TODAY()&gt;$C23,"Atrasada","Pendente"))))))</f>
        <v>Pendente</v>
      </c>
      <c r="T23" s="58"/>
      <c r="U23" s="58"/>
      <c r="V23" s="58"/>
    </row>
    <row r="24" customFormat="false" ht="15" hidden="false" customHeight="false" outlineLevel="0" collapsed="false">
      <c r="A24" s="51" t="str">
        <f aca="false">IF($C24="","",$X$2&amp;"-S"&amp;INT(($C24-WEEKDAY($C24,2)+11-DATE(YEAR($C24+4-WEEKDAY($C24,2)),1,1))/7)&amp;"-FER-C")</f>
        <v>DEZ-S50-FER-C</v>
      </c>
      <c r="B24" s="34" t="str">
        <f aca="false">IF($C24="","","S"&amp;INT(($C24-WEEKDAY($C24,2)+11-DATE(YEAR($C24+4-WEEKDAY($C24,2)),1,1))/7))</f>
        <v>S50</v>
      </c>
      <c r="C24" s="52" t="n">
        <f aca="false">$X$1+MOD(8-WEEKDAY($X$1,2),7)</f>
        <v>46363</v>
      </c>
      <c r="D24" s="9" t="str">
        <f aca="false">IF($C24="","","Programação de Férias (mensal)")</f>
        <v>Programação de Férias (mensal)</v>
      </c>
      <c r="E24" s="9"/>
      <c r="F24" s="9"/>
      <c r="G24" s="34" t="str">
        <f aca="false">IF($C24="","","C")</f>
        <v>C</v>
      </c>
      <c r="H24" s="34" t="str">
        <f aca="false">IF($C24="","",IF($G24="A",CONFIG!$B$5,IF($G24="B",CONFIG!$B$6,IF($G24="C",CONFIG!$B$7,"Gerência + coordenadores"))))</f>
        <v>(preencha o nome)</v>
      </c>
      <c r="I24" s="34"/>
      <c r="J24" s="32" t="str">
        <f aca="false">IF($C24="","","—")</f>
        <v>—</v>
      </c>
      <c r="K24" s="53"/>
      <c r="L24" s="53"/>
      <c r="M24" s="54"/>
      <c r="N24" s="54"/>
      <c r="O24" s="54"/>
      <c r="P24" s="55"/>
      <c r="Q24" s="56"/>
      <c r="R24" s="57"/>
      <c r="S24" s="34" t="str">
        <f aca="true">IF($C24="","",IF($Q24="Cancelada","Cancelada",IF($Q24="Reprovado","Reprovada",IF($Q24="Aprovado","Aprovada",IF($M24&lt;&gt;"","Entregue",IF(TODAY()&gt;$C24,"Atrasada","Pendente"))))))</f>
        <v>Pendente</v>
      </c>
      <c r="T24" s="58"/>
      <c r="U24" s="58"/>
      <c r="V24" s="58"/>
    </row>
    <row r="25" customFormat="false" ht="22.35" hidden="false" customHeight="false" outlineLevel="0" collapsed="false">
      <c r="A25" s="59" t="str">
        <f aca="false">IF($C25="","",$X$2&amp;"-S"&amp;INT(($C25-WEEKDAY($C25,2)+11-DATE(YEAR($C25+4-WEEKDAY($C25,2)),1,1))/7)&amp;"-VIS-A")</f>
        <v>DEZ-S49-VIS-A</v>
      </c>
      <c r="B25" s="30" t="str">
        <f aca="false">IF($C25="","","S"&amp;INT(($C25-WEEKDAY($C25,2)+11-DATE(YEAR($C25+4-WEEKDAY($C25,2)),1,1))/7))</f>
        <v>S49</v>
      </c>
      <c r="C25" s="52" t="n">
        <f aca="false">IF(MONTH(($X$1-WEEKDAY($X$1,3)+0)+2)=MONTH($X$1),($X$1-WEEKDAY($X$1,3)+0)+2,"")</f>
        <v>46358</v>
      </c>
      <c r="D25" s="27" t="str">
        <f aca="false">IF($C25="","","Vistoria Setorial (checklist no setor definido pelo gerente)")</f>
        <v>Vistoria Setorial (checklist no setor definido pelo gerente)</v>
      </c>
      <c r="E25" s="27"/>
      <c r="F25" s="27"/>
      <c r="G25" s="30" t="str">
        <f aca="false">IF($C25="","","A")</f>
        <v>A</v>
      </c>
      <c r="H25" s="30" t="str">
        <f aca="false">IF($C25="","",IF($G25="A",CONFIG!$B$5,IF($G25="B",CONFIG!$B$6,IF($G25="C",CONFIG!$B$7,"Gerência + coordenadores"))))</f>
        <v>(preencha o nome)</v>
      </c>
      <c r="I25" s="30"/>
      <c r="J25" s="56"/>
      <c r="K25" s="53"/>
      <c r="L25" s="53"/>
      <c r="M25" s="54"/>
      <c r="N25" s="54"/>
      <c r="O25" s="54"/>
      <c r="P25" s="60"/>
      <c r="Q25" s="56"/>
      <c r="R25" s="57"/>
      <c r="S25" s="30" t="str">
        <f aca="true">IF($C25="","",IF($Q25="Cancelada","Cancelada",IF($Q25="Reprovado","Reprovada",IF($Q25="Aprovado","Aprovada",IF($M25&lt;&gt;"","Entregue",IF(TODAY()&gt;$C25,"Atrasada","Pendente"))))))</f>
        <v>Pendente</v>
      </c>
      <c r="T25" s="58"/>
      <c r="U25" s="58"/>
      <c r="V25" s="58"/>
    </row>
    <row r="26" customFormat="false" ht="22.35" hidden="false" customHeight="false" outlineLevel="0" collapsed="false">
      <c r="A26" s="51" t="str">
        <f aca="false">IF($C26="","",$X$2&amp;"-S"&amp;INT(($C26-WEEKDAY($C26,2)+11-DATE(YEAR($C26+4-WEEKDAY($C26,2)),1,1))/7)&amp;"-VIS-B")</f>
        <v>DEZ-S49-VIS-B</v>
      </c>
      <c r="B26" s="34" t="str">
        <f aca="false">IF($C26="","","S"&amp;INT(($C26-WEEKDAY($C26,2)+11-DATE(YEAR($C26+4-WEEKDAY($C26,2)),1,1))/7))</f>
        <v>S49</v>
      </c>
      <c r="C26" s="52" t="n">
        <f aca="false">IF(MONTH(($X$1-WEEKDAY($X$1,3)+0)+2)=MONTH($X$1),($X$1-WEEKDAY($X$1,3)+0)+2,"")</f>
        <v>46358</v>
      </c>
      <c r="D26" s="9" t="str">
        <f aca="false">IF($C26="","","Vistoria Setorial (checklist no setor definido pelo gerente)")</f>
        <v>Vistoria Setorial (checklist no setor definido pelo gerente)</v>
      </c>
      <c r="E26" s="9"/>
      <c r="F26" s="9"/>
      <c r="G26" s="34" t="str">
        <f aca="false">IF($C26="","","B")</f>
        <v>B</v>
      </c>
      <c r="H26" s="34" t="str">
        <f aca="false">IF($C26="","",IF($G26="A",CONFIG!$B$5,IF($G26="B",CONFIG!$B$6,IF($G26="C",CONFIG!$B$7,"Gerência + coordenadores"))))</f>
        <v>(preencha o nome)</v>
      </c>
      <c r="I26" s="34"/>
      <c r="J26" s="56"/>
      <c r="K26" s="53"/>
      <c r="L26" s="53"/>
      <c r="M26" s="54"/>
      <c r="N26" s="54"/>
      <c r="O26" s="54"/>
      <c r="P26" s="55"/>
      <c r="Q26" s="56"/>
      <c r="R26" s="57"/>
      <c r="S26" s="34" t="str">
        <f aca="true">IF($C26="","",IF($Q26="Cancelada","Cancelada",IF($Q26="Reprovado","Reprovada",IF($Q26="Aprovado","Aprovada",IF($M26&lt;&gt;"","Entregue",IF(TODAY()&gt;$C26,"Atrasada","Pendente"))))))</f>
        <v>Pendente</v>
      </c>
      <c r="T26" s="58"/>
      <c r="U26" s="58"/>
      <c r="V26" s="58"/>
    </row>
    <row r="27" customFormat="false" ht="22.35" hidden="false" customHeight="false" outlineLevel="0" collapsed="false">
      <c r="A27" s="59" t="str">
        <f aca="false">IF($C27="","",$X$2&amp;"-S"&amp;INT(($C27-WEEKDAY($C27,2)+11-DATE(YEAR($C27+4-WEEKDAY($C27,2)),1,1))/7)&amp;"-VIS-C")</f>
        <v>DEZ-S49-VIS-C</v>
      </c>
      <c r="B27" s="30" t="str">
        <f aca="false">IF($C27="","","S"&amp;INT(($C27-WEEKDAY($C27,2)+11-DATE(YEAR($C27+4-WEEKDAY($C27,2)),1,1))/7))</f>
        <v>S49</v>
      </c>
      <c r="C27" s="52" t="n">
        <f aca="false">IF(MONTH(($X$1-WEEKDAY($X$1,3)+0)+2)=MONTH($X$1),($X$1-WEEKDAY($X$1,3)+0)+2,"")</f>
        <v>46358</v>
      </c>
      <c r="D27" s="27" t="str">
        <f aca="false">IF($C27="","","Vistoria Setorial (checklist no setor definido pelo gerente)")</f>
        <v>Vistoria Setorial (checklist no setor definido pelo gerente)</v>
      </c>
      <c r="E27" s="27"/>
      <c r="F27" s="27"/>
      <c r="G27" s="30" t="str">
        <f aca="false">IF($C27="","","C")</f>
        <v>C</v>
      </c>
      <c r="H27" s="30" t="str">
        <f aca="false">IF($C27="","",IF($G27="A",CONFIG!$B$5,IF($G27="B",CONFIG!$B$6,IF($G27="C",CONFIG!$B$7,"Gerência + coordenadores"))))</f>
        <v>(preencha o nome)</v>
      </c>
      <c r="I27" s="30"/>
      <c r="J27" s="56"/>
      <c r="K27" s="53"/>
      <c r="L27" s="53"/>
      <c r="M27" s="54"/>
      <c r="N27" s="54"/>
      <c r="O27" s="54"/>
      <c r="P27" s="60"/>
      <c r="Q27" s="56"/>
      <c r="R27" s="57"/>
      <c r="S27" s="30" t="str">
        <f aca="true">IF($C27="","",IF($Q27="Cancelada","Cancelada",IF($Q27="Reprovado","Reprovada",IF($Q27="Aprovado","Aprovada",IF($M27&lt;&gt;"","Entregue",IF(TODAY()&gt;$C27,"Atrasada","Pendente"))))))</f>
        <v>Pendente</v>
      </c>
      <c r="T27" s="58"/>
      <c r="U27" s="58"/>
      <c r="V27" s="58"/>
    </row>
    <row r="28" customFormat="false" ht="22.35" hidden="false" customHeight="false" outlineLevel="0" collapsed="false">
      <c r="A28" s="51" t="str">
        <f aca="false">IF($C28="","",$X$2&amp;"-S"&amp;INT(($C28-WEEKDAY($C28,2)+11-DATE(YEAR($C28+4-WEEKDAY($C28,2)),1,1))/7)&amp;"-RSC-A")</f>
        <v>DEZ-S49-RSC-A</v>
      </c>
      <c r="B28" s="34" t="str">
        <f aca="false">IF($C28="","","S"&amp;INT(($C28-WEEKDAY($C28,2)+11-DATE(YEAR($C28+4-WEEKDAY($C28,2)),1,1))/7))</f>
        <v>S49</v>
      </c>
      <c r="C28" s="52" t="n">
        <f aca="false">IF(MONTH(($X$1-WEEKDAY($X$1,3)+0)+3)=MONTH($X$1),($X$1-WEEKDAY($X$1,3)+0)+3,"")</f>
        <v>46359</v>
      </c>
      <c r="D28" s="9" t="str">
        <f aca="false">IF($C28="","","Relatório Semanal Consolidado (erros + metas + faltas + supervisores)")</f>
        <v>Relatório Semanal Consolidado (erros + metas + faltas + supervisores)</v>
      </c>
      <c r="E28" s="9"/>
      <c r="F28" s="9"/>
      <c r="G28" s="34" t="str">
        <f aca="false">IF($C28="","","A")</f>
        <v>A</v>
      </c>
      <c r="H28" s="34" t="str">
        <f aca="false">IF($C28="","",IF($G28="A",CONFIG!$B$5,IF($G28="B",CONFIG!$B$6,IF($G28="C",CONFIG!$B$7,"Gerência + coordenadores"))))</f>
        <v>(preencha o nome)</v>
      </c>
      <c r="I28" s="34"/>
      <c r="J28" s="32" t="str">
        <f aca="false">IF($C28="","","—")</f>
        <v>—</v>
      </c>
      <c r="K28" s="61"/>
      <c r="L28" s="61"/>
      <c r="M28" s="54"/>
      <c r="N28" s="54"/>
      <c r="O28" s="54"/>
      <c r="P28" s="55"/>
      <c r="Q28" s="56"/>
      <c r="R28" s="57"/>
      <c r="S28" s="34" t="str">
        <f aca="true">IF($C28="","",IF($Q28="Cancelada","Cancelada",IF($Q28="Reprovado","Reprovada",IF($Q28="Aprovado","Aprovada",IF($M28&lt;&gt;"","Entregue",IF(TODAY()&gt;$C28,"Atrasada","Pendente"))))))</f>
        <v>Pendente</v>
      </c>
      <c r="T28" s="58"/>
      <c r="U28" s="58"/>
      <c r="V28" s="58"/>
    </row>
    <row r="29" customFormat="false" ht="22.35" hidden="false" customHeight="false" outlineLevel="0" collapsed="false">
      <c r="A29" s="59" t="str">
        <f aca="false">IF($C29="","",$X$2&amp;"-S"&amp;INT(($C29-WEEKDAY($C29,2)+11-DATE(YEAR($C29+4-WEEKDAY($C29,2)),1,1))/7)&amp;"-RSC-B")</f>
        <v>DEZ-S49-RSC-B</v>
      </c>
      <c r="B29" s="30" t="str">
        <f aca="false">IF($C29="","","S"&amp;INT(($C29-WEEKDAY($C29,2)+11-DATE(YEAR($C29+4-WEEKDAY($C29,2)),1,1))/7))</f>
        <v>S49</v>
      </c>
      <c r="C29" s="52" t="n">
        <f aca="false">IF(MONTH(($X$1-WEEKDAY($X$1,3)+0)+3)=MONTH($X$1),($X$1-WEEKDAY($X$1,3)+0)+3,"")</f>
        <v>46359</v>
      </c>
      <c r="D29" s="27" t="str">
        <f aca="false">IF($C29="","","Relatório Semanal Consolidado (erros + metas + faltas + supervisores)")</f>
        <v>Relatório Semanal Consolidado (erros + metas + faltas + supervisores)</v>
      </c>
      <c r="E29" s="27"/>
      <c r="F29" s="27"/>
      <c r="G29" s="30" t="str">
        <f aca="false">IF($C29="","","B")</f>
        <v>B</v>
      </c>
      <c r="H29" s="30" t="str">
        <f aca="false">IF($C29="","",IF($G29="A",CONFIG!$B$5,IF($G29="B",CONFIG!$B$6,IF($G29="C",CONFIG!$B$7,"Gerência + coordenadores"))))</f>
        <v>(preencha o nome)</v>
      </c>
      <c r="I29" s="30"/>
      <c r="J29" s="32" t="str">
        <f aca="false">IF($C29="","","—")</f>
        <v>—</v>
      </c>
      <c r="K29" s="61"/>
      <c r="L29" s="61"/>
      <c r="M29" s="54"/>
      <c r="N29" s="54"/>
      <c r="O29" s="54"/>
      <c r="P29" s="60"/>
      <c r="Q29" s="56"/>
      <c r="R29" s="57"/>
      <c r="S29" s="30" t="str">
        <f aca="true">IF($C29="","",IF($Q29="Cancelada","Cancelada",IF($Q29="Reprovado","Reprovada",IF($Q29="Aprovado","Aprovada",IF($M29&lt;&gt;"","Entregue",IF(TODAY()&gt;$C29,"Atrasada","Pendente"))))))</f>
        <v>Pendente</v>
      </c>
      <c r="T29" s="58"/>
      <c r="U29" s="58"/>
      <c r="V29" s="58"/>
    </row>
    <row r="30" customFormat="false" ht="22.35" hidden="false" customHeight="false" outlineLevel="0" collapsed="false">
      <c r="A30" s="51" t="str">
        <f aca="false">IF($C30="","",$X$2&amp;"-S"&amp;INT(($C30-WEEKDAY($C30,2)+11-DATE(YEAR($C30+4-WEEKDAY($C30,2)),1,1))/7)&amp;"-RSC-C")</f>
        <v>DEZ-S49-RSC-C</v>
      </c>
      <c r="B30" s="34" t="str">
        <f aca="false">IF($C30="","","S"&amp;INT(($C30-WEEKDAY($C30,2)+11-DATE(YEAR($C30+4-WEEKDAY($C30,2)),1,1))/7))</f>
        <v>S49</v>
      </c>
      <c r="C30" s="52" t="n">
        <f aca="false">IF(MONTH(($X$1-WEEKDAY($X$1,3)+0)+3)=MONTH($X$1),($X$1-WEEKDAY($X$1,3)+0)+3,"")</f>
        <v>46359</v>
      </c>
      <c r="D30" s="9" t="str">
        <f aca="false">IF($C30="","","Relatório Semanal Consolidado (erros + metas + faltas + supervisores)")</f>
        <v>Relatório Semanal Consolidado (erros + metas + faltas + supervisores)</v>
      </c>
      <c r="E30" s="9"/>
      <c r="F30" s="9"/>
      <c r="G30" s="34" t="str">
        <f aca="false">IF($C30="","","C")</f>
        <v>C</v>
      </c>
      <c r="H30" s="34" t="str">
        <f aca="false">IF($C30="","",IF($G30="A",CONFIG!$B$5,IF($G30="B",CONFIG!$B$6,IF($G30="C",CONFIG!$B$7,"Gerência + coordenadores"))))</f>
        <v>(preencha o nome)</v>
      </c>
      <c r="I30" s="34"/>
      <c r="J30" s="32" t="str">
        <f aca="false">IF($C30="","","—")</f>
        <v>—</v>
      </c>
      <c r="K30" s="61"/>
      <c r="L30" s="61"/>
      <c r="M30" s="54"/>
      <c r="N30" s="54"/>
      <c r="O30" s="54"/>
      <c r="P30" s="55"/>
      <c r="Q30" s="56"/>
      <c r="R30" s="57"/>
      <c r="S30" s="34" t="str">
        <f aca="true">IF($C30="","",IF($Q30="Cancelada","Cancelada",IF($Q30="Reprovado","Reprovada",IF($Q30="Aprovado","Aprovada",IF($M30&lt;&gt;"","Entregue",IF(TODAY()&gt;$C30,"Atrasada","Pendente"))))))</f>
        <v>Pendente</v>
      </c>
      <c r="T30" s="58"/>
      <c r="U30" s="58"/>
      <c r="V30" s="58"/>
    </row>
    <row r="31" customFormat="false" ht="24" hidden="false" customHeight="true" outlineLevel="0" collapsed="false">
      <c r="A31" s="59" t="str">
        <f aca="false">IF($C31="","",$X$2&amp;"-S"&amp;INT(($C31-WEEKDAY($C31,2)+11-DATE(YEAR($C31+4-WEEKDAY($C31,2)),1,1))/7)&amp;"-REU-T")</f>
        <v>DEZ-S49-REU-T</v>
      </c>
      <c r="B31" s="30" t="str">
        <f aca="false">IF($C31="","","S"&amp;INT(($C31-WEEKDAY($C31,2)+11-DATE(YEAR($C31+4-WEEKDAY($C31,2)),1,1))/7))</f>
        <v>S49</v>
      </c>
      <c r="C31" s="52" t="n">
        <f aca="false">IF(MONTH(($X$1-WEEKDAY($X$1,3)+0)+4)=MONTH($X$1),($X$1-WEEKDAY($X$1,3)+0)+4,"")</f>
        <v>46360</v>
      </c>
      <c r="D31" s="27" t="str">
        <f aca="false">IF($C31="","","Reunião Semanal com a Gerência")</f>
        <v>Reunião Semanal com a Gerência</v>
      </c>
      <c r="E31" s="27"/>
      <c r="F31" s="27"/>
      <c r="G31" s="30" t="str">
        <f aca="false">IF($C31="","","Todos")</f>
        <v>Todos</v>
      </c>
      <c r="H31" s="30" t="str">
        <f aca="false">IF($C31="","",IF($G31="A",CONFIG!$B$5,IF($G31="B",CONFIG!$B$6,IF($G31="C",CONFIG!$B$7,"Gerência + coordenadores"))))</f>
        <v>Gerência + coordenadores</v>
      </c>
      <c r="I31" s="30"/>
      <c r="J31" s="32" t="str">
        <f aca="false">IF($C31="","","—")</f>
        <v>—</v>
      </c>
      <c r="K31" s="53"/>
      <c r="L31" s="53"/>
      <c r="M31" s="54"/>
      <c r="N31" s="54"/>
      <c r="O31" s="54"/>
      <c r="P31" s="60"/>
      <c r="Q31" s="56"/>
      <c r="R31" s="57"/>
      <c r="S31" s="30" t="str">
        <f aca="true">IF($C31="","",IF($Q31="Cancelada","Cancelada",IF($Q31="Reprovado","Reprovada",IF($Q31="Aprovado","Aprovada",IF($M31&lt;&gt;"","Entregue",IF(TODAY()&gt;$C31,"Atrasada","Pendente"))))))</f>
        <v>Pendente</v>
      </c>
      <c r="T31" s="58"/>
      <c r="U31" s="58"/>
      <c r="V31" s="58"/>
    </row>
    <row r="32" customFormat="false" ht="22.35" hidden="false" customHeight="false" outlineLevel="0" collapsed="false">
      <c r="A32" s="51" t="str">
        <f aca="false">IF($C32="","",$X$2&amp;"-S"&amp;INT(($C32-WEEKDAY($C32,2)+11-DATE(YEAR($C32+4-WEEKDAY($C32,2)),1,1))/7)&amp;"-VIS-A")</f>
        <v>DEZ-S50-VIS-A</v>
      </c>
      <c r="B32" s="34" t="str">
        <f aca="false">IF($C32="","","S"&amp;INT(($C32-WEEKDAY($C32,2)+11-DATE(YEAR($C32+4-WEEKDAY($C32,2)),1,1))/7))</f>
        <v>S50</v>
      </c>
      <c r="C32" s="52" t="n">
        <f aca="false">IF(MONTH(($X$1-WEEKDAY($X$1,3)+7)+2)=MONTH($X$1),($X$1-WEEKDAY($X$1,3)+7)+2,"")</f>
        <v>46365</v>
      </c>
      <c r="D32" s="9" t="str">
        <f aca="false">IF($C32="","","Vistoria Setorial (checklist no setor definido pelo gerente)")</f>
        <v>Vistoria Setorial (checklist no setor definido pelo gerente)</v>
      </c>
      <c r="E32" s="9"/>
      <c r="F32" s="9"/>
      <c r="G32" s="34" t="str">
        <f aca="false">IF($C32="","","A")</f>
        <v>A</v>
      </c>
      <c r="H32" s="34" t="str">
        <f aca="false">IF($C32="","",IF($G32="A",CONFIG!$B$5,IF($G32="B",CONFIG!$B$6,IF($G32="C",CONFIG!$B$7,"Gerência + coordenadores"))))</f>
        <v>(preencha o nome)</v>
      </c>
      <c r="I32" s="34"/>
      <c r="J32" s="56"/>
      <c r="K32" s="53"/>
      <c r="L32" s="53"/>
      <c r="M32" s="54"/>
      <c r="N32" s="54"/>
      <c r="O32" s="54"/>
      <c r="P32" s="55"/>
      <c r="Q32" s="56"/>
      <c r="R32" s="57"/>
      <c r="S32" s="34" t="str">
        <f aca="true">IF($C32="","",IF($Q32="Cancelada","Cancelada",IF($Q32="Reprovado","Reprovada",IF($Q32="Aprovado","Aprovada",IF($M32&lt;&gt;"","Entregue",IF(TODAY()&gt;$C32,"Atrasada","Pendente"))))))</f>
        <v>Pendente</v>
      </c>
      <c r="T32" s="58"/>
      <c r="U32" s="58"/>
      <c r="V32" s="58"/>
    </row>
    <row r="33" customFormat="false" ht="22.35" hidden="false" customHeight="false" outlineLevel="0" collapsed="false">
      <c r="A33" s="59" t="str">
        <f aca="false">IF($C33="","",$X$2&amp;"-S"&amp;INT(($C33-WEEKDAY($C33,2)+11-DATE(YEAR($C33+4-WEEKDAY($C33,2)),1,1))/7)&amp;"-VIS-B")</f>
        <v>DEZ-S50-VIS-B</v>
      </c>
      <c r="B33" s="30" t="str">
        <f aca="false">IF($C33="","","S"&amp;INT(($C33-WEEKDAY($C33,2)+11-DATE(YEAR($C33+4-WEEKDAY($C33,2)),1,1))/7))</f>
        <v>S50</v>
      </c>
      <c r="C33" s="52" t="n">
        <f aca="false">IF(MONTH(($X$1-WEEKDAY($X$1,3)+7)+2)=MONTH($X$1),($X$1-WEEKDAY($X$1,3)+7)+2,"")</f>
        <v>46365</v>
      </c>
      <c r="D33" s="27" t="str">
        <f aca="false">IF($C33="","","Vistoria Setorial (checklist no setor definido pelo gerente)")</f>
        <v>Vistoria Setorial (checklist no setor definido pelo gerente)</v>
      </c>
      <c r="E33" s="27"/>
      <c r="F33" s="27"/>
      <c r="G33" s="30" t="str">
        <f aca="false">IF($C33="","","B")</f>
        <v>B</v>
      </c>
      <c r="H33" s="30" t="str">
        <f aca="false">IF($C33="","",IF($G33="A",CONFIG!$B$5,IF($G33="B",CONFIG!$B$6,IF($G33="C",CONFIG!$B$7,"Gerência + coordenadores"))))</f>
        <v>(preencha o nome)</v>
      </c>
      <c r="I33" s="30"/>
      <c r="J33" s="56"/>
      <c r="K33" s="53"/>
      <c r="L33" s="53"/>
      <c r="M33" s="54"/>
      <c r="N33" s="54"/>
      <c r="O33" s="54"/>
      <c r="P33" s="60"/>
      <c r="Q33" s="56"/>
      <c r="R33" s="57"/>
      <c r="S33" s="30" t="str">
        <f aca="true">IF($C33="","",IF($Q33="Cancelada","Cancelada",IF($Q33="Reprovado","Reprovada",IF($Q33="Aprovado","Aprovada",IF($M33&lt;&gt;"","Entregue",IF(TODAY()&gt;$C33,"Atrasada","Pendente"))))))</f>
        <v>Pendente</v>
      </c>
      <c r="T33" s="58"/>
      <c r="U33" s="58"/>
      <c r="V33" s="58"/>
    </row>
    <row r="34" customFormat="false" ht="22.35" hidden="false" customHeight="false" outlineLevel="0" collapsed="false">
      <c r="A34" s="51" t="str">
        <f aca="false">IF($C34="","",$X$2&amp;"-S"&amp;INT(($C34-WEEKDAY($C34,2)+11-DATE(YEAR($C34+4-WEEKDAY($C34,2)),1,1))/7)&amp;"-VIS-C")</f>
        <v>DEZ-S50-VIS-C</v>
      </c>
      <c r="B34" s="34" t="str">
        <f aca="false">IF($C34="","","S"&amp;INT(($C34-WEEKDAY($C34,2)+11-DATE(YEAR($C34+4-WEEKDAY($C34,2)),1,1))/7))</f>
        <v>S50</v>
      </c>
      <c r="C34" s="52" t="n">
        <f aca="false">IF(MONTH(($X$1-WEEKDAY($X$1,3)+7)+2)=MONTH($X$1),($X$1-WEEKDAY($X$1,3)+7)+2,"")</f>
        <v>46365</v>
      </c>
      <c r="D34" s="9" t="str">
        <f aca="false">IF($C34="","","Vistoria Setorial (checklist no setor definido pelo gerente)")</f>
        <v>Vistoria Setorial (checklist no setor definido pelo gerente)</v>
      </c>
      <c r="E34" s="9"/>
      <c r="F34" s="9"/>
      <c r="G34" s="34" t="str">
        <f aca="false">IF($C34="","","C")</f>
        <v>C</v>
      </c>
      <c r="H34" s="34" t="str">
        <f aca="false">IF($C34="","",IF($G34="A",CONFIG!$B$5,IF($G34="B",CONFIG!$B$6,IF($G34="C",CONFIG!$B$7,"Gerência + coordenadores"))))</f>
        <v>(preencha o nome)</v>
      </c>
      <c r="I34" s="34"/>
      <c r="J34" s="56"/>
      <c r="K34" s="53"/>
      <c r="L34" s="53"/>
      <c r="M34" s="54"/>
      <c r="N34" s="54"/>
      <c r="O34" s="54"/>
      <c r="P34" s="55"/>
      <c r="Q34" s="56"/>
      <c r="R34" s="57"/>
      <c r="S34" s="34" t="str">
        <f aca="true">IF($C34="","",IF($Q34="Cancelada","Cancelada",IF($Q34="Reprovado","Reprovada",IF($Q34="Aprovado","Aprovada",IF($M34&lt;&gt;"","Entregue",IF(TODAY()&gt;$C34,"Atrasada","Pendente"))))))</f>
        <v>Pendente</v>
      </c>
      <c r="T34" s="58"/>
      <c r="U34" s="58"/>
      <c r="V34" s="58"/>
    </row>
    <row r="35" customFormat="false" ht="22.35" hidden="false" customHeight="false" outlineLevel="0" collapsed="false">
      <c r="A35" s="59" t="str">
        <f aca="false">IF($C35="","",$X$2&amp;"-S"&amp;INT(($C35-WEEKDAY($C35,2)+11-DATE(YEAR($C35+4-WEEKDAY($C35,2)),1,1))/7)&amp;"-RSC-A")</f>
        <v>DEZ-S50-RSC-A</v>
      </c>
      <c r="B35" s="30" t="str">
        <f aca="false">IF($C35="","","S"&amp;INT(($C35-WEEKDAY($C35,2)+11-DATE(YEAR($C35+4-WEEKDAY($C35,2)),1,1))/7))</f>
        <v>S50</v>
      </c>
      <c r="C35" s="52" t="n">
        <f aca="false">IF(MONTH(($X$1-WEEKDAY($X$1,3)+7)+3)=MONTH($X$1),($X$1-WEEKDAY($X$1,3)+7)+3,"")</f>
        <v>46366</v>
      </c>
      <c r="D35" s="27" t="str">
        <f aca="false">IF($C35="","","Relatório Semanal Consolidado (erros + metas + faltas + supervisores)")</f>
        <v>Relatório Semanal Consolidado (erros + metas + faltas + supervisores)</v>
      </c>
      <c r="E35" s="27"/>
      <c r="F35" s="27"/>
      <c r="G35" s="30" t="str">
        <f aca="false">IF($C35="","","A")</f>
        <v>A</v>
      </c>
      <c r="H35" s="30" t="str">
        <f aca="false">IF($C35="","",IF($G35="A",CONFIG!$B$5,IF($G35="B",CONFIG!$B$6,IF($G35="C",CONFIG!$B$7,"Gerência + coordenadores"))))</f>
        <v>(preencha o nome)</v>
      </c>
      <c r="I35" s="30"/>
      <c r="J35" s="32" t="str">
        <f aca="false">IF($C35="","","—")</f>
        <v>—</v>
      </c>
      <c r="K35" s="61"/>
      <c r="L35" s="61"/>
      <c r="M35" s="54"/>
      <c r="N35" s="54"/>
      <c r="O35" s="54"/>
      <c r="P35" s="60"/>
      <c r="Q35" s="56"/>
      <c r="R35" s="57"/>
      <c r="S35" s="30" t="str">
        <f aca="true">IF($C35="","",IF($Q35="Cancelada","Cancelada",IF($Q35="Reprovado","Reprovada",IF($Q35="Aprovado","Aprovada",IF($M35&lt;&gt;"","Entregue",IF(TODAY()&gt;$C35,"Atrasada","Pendente"))))))</f>
        <v>Pendente</v>
      </c>
      <c r="T35" s="58"/>
      <c r="U35" s="58"/>
      <c r="V35" s="58"/>
    </row>
    <row r="36" customFormat="false" ht="22.35" hidden="false" customHeight="false" outlineLevel="0" collapsed="false">
      <c r="A36" s="51" t="str">
        <f aca="false">IF($C36="","",$X$2&amp;"-S"&amp;INT(($C36-WEEKDAY($C36,2)+11-DATE(YEAR($C36+4-WEEKDAY($C36,2)),1,1))/7)&amp;"-RSC-B")</f>
        <v>DEZ-S50-RSC-B</v>
      </c>
      <c r="B36" s="34" t="str">
        <f aca="false">IF($C36="","","S"&amp;INT(($C36-WEEKDAY($C36,2)+11-DATE(YEAR($C36+4-WEEKDAY($C36,2)),1,1))/7))</f>
        <v>S50</v>
      </c>
      <c r="C36" s="52" t="n">
        <f aca="false">IF(MONTH(($X$1-WEEKDAY($X$1,3)+7)+3)=MONTH($X$1),($X$1-WEEKDAY($X$1,3)+7)+3,"")</f>
        <v>46366</v>
      </c>
      <c r="D36" s="9" t="str">
        <f aca="false">IF($C36="","","Relatório Semanal Consolidado (erros + metas + faltas + supervisores)")</f>
        <v>Relatório Semanal Consolidado (erros + metas + faltas + supervisores)</v>
      </c>
      <c r="E36" s="9"/>
      <c r="F36" s="9"/>
      <c r="G36" s="34" t="str">
        <f aca="false">IF($C36="","","B")</f>
        <v>B</v>
      </c>
      <c r="H36" s="34" t="str">
        <f aca="false">IF($C36="","",IF($G36="A",CONFIG!$B$5,IF($G36="B",CONFIG!$B$6,IF($G36="C",CONFIG!$B$7,"Gerência + coordenadores"))))</f>
        <v>(preencha o nome)</v>
      </c>
      <c r="I36" s="34"/>
      <c r="J36" s="32" t="str">
        <f aca="false">IF($C36="","","—")</f>
        <v>—</v>
      </c>
      <c r="K36" s="61"/>
      <c r="L36" s="61"/>
      <c r="M36" s="54"/>
      <c r="N36" s="54"/>
      <c r="O36" s="54"/>
      <c r="P36" s="55"/>
      <c r="Q36" s="56"/>
      <c r="R36" s="57"/>
      <c r="S36" s="34" t="str">
        <f aca="true">IF($C36="","",IF($Q36="Cancelada","Cancelada",IF($Q36="Reprovado","Reprovada",IF($Q36="Aprovado","Aprovada",IF($M36&lt;&gt;"","Entregue",IF(TODAY()&gt;$C36,"Atrasada","Pendente"))))))</f>
        <v>Pendente</v>
      </c>
      <c r="T36" s="58"/>
      <c r="U36" s="58"/>
      <c r="V36" s="58"/>
    </row>
    <row r="37" customFormat="false" ht="22.35" hidden="false" customHeight="false" outlineLevel="0" collapsed="false">
      <c r="A37" s="59" t="str">
        <f aca="false">IF($C37="","",$X$2&amp;"-S"&amp;INT(($C37-WEEKDAY($C37,2)+11-DATE(YEAR($C37+4-WEEKDAY($C37,2)),1,1))/7)&amp;"-RSC-C")</f>
        <v>DEZ-S50-RSC-C</v>
      </c>
      <c r="B37" s="30" t="str">
        <f aca="false">IF($C37="","","S"&amp;INT(($C37-WEEKDAY($C37,2)+11-DATE(YEAR($C37+4-WEEKDAY($C37,2)),1,1))/7))</f>
        <v>S50</v>
      </c>
      <c r="C37" s="52" t="n">
        <f aca="false">IF(MONTH(($X$1-WEEKDAY($X$1,3)+7)+3)=MONTH($X$1),($X$1-WEEKDAY($X$1,3)+7)+3,"")</f>
        <v>46366</v>
      </c>
      <c r="D37" s="27" t="str">
        <f aca="false">IF($C37="","","Relatório Semanal Consolidado (erros + metas + faltas + supervisores)")</f>
        <v>Relatório Semanal Consolidado (erros + metas + faltas + supervisores)</v>
      </c>
      <c r="E37" s="27"/>
      <c r="F37" s="27"/>
      <c r="G37" s="30" t="str">
        <f aca="false">IF($C37="","","C")</f>
        <v>C</v>
      </c>
      <c r="H37" s="30" t="str">
        <f aca="false">IF($C37="","",IF($G37="A",CONFIG!$B$5,IF($G37="B",CONFIG!$B$6,IF($G37="C",CONFIG!$B$7,"Gerência + coordenadores"))))</f>
        <v>(preencha o nome)</v>
      </c>
      <c r="I37" s="30"/>
      <c r="J37" s="32" t="str">
        <f aca="false">IF($C37="","","—")</f>
        <v>—</v>
      </c>
      <c r="K37" s="61"/>
      <c r="L37" s="61"/>
      <c r="M37" s="54"/>
      <c r="N37" s="54"/>
      <c r="O37" s="54"/>
      <c r="P37" s="60"/>
      <c r="Q37" s="56"/>
      <c r="R37" s="57"/>
      <c r="S37" s="30" t="str">
        <f aca="true">IF($C37="","",IF($Q37="Cancelada","Cancelada",IF($Q37="Reprovado","Reprovada",IF($Q37="Aprovado","Aprovada",IF($M37&lt;&gt;"","Entregue",IF(TODAY()&gt;$C37,"Atrasada","Pendente"))))))</f>
        <v>Pendente</v>
      </c>
      <c r="T37" s="58"/>
      <c r="U37" s="58"/>
      <c r="V37" s="58"/>
    </row>
    <row r="38" customFormat="false" ht="24" hidden="false" customHeight="true" outlineLevel="0" collapsed="false">
      <c r="A38" s="51" t="str">
        <f aca="false">IF($C38="","",$X$2&amp;"-S"&amp;INT(($C38-WEEKDAY($C38,2)+11-DATE(YEAR($C38+4-WEEKDAY($C38,2)),1,1))/7)&amp;"-REU-T")</f>
        <v>DEZ-S50-REU-T</v>
      </c>
      <c r="B38" s="34" t="str">
        <f aca="false">IF($C38="","","S"&amp;INT(($C38-WEEKDAY($C38,2)+11-DATE(YEAR($C38+4-WEEKDAY($C38,2)),1,1))/7))</f>
        <v>S50</v>
      </c>
      <c r="C38" s="52" t="n">
        <f aca="false">IF(MONTH(($X$1-WEEKDAY($X$1,3)+7)+4)=MONTH($X$1),($X$1-WEEKDAY($X$1,3)+7)+4,"")</f>
        <v>46367</v>
      </c>
      <c r="D38" s="9" t="str">
        <f aca="false">IF($C38="","","Reunião Semanal com a Gerência")</f>
        <v>Reunião Semanal com a Gerência</v>
      </c>
      <c r="E38" s="9"/>
      <c r="F38" s="9"/>
      <c r="G38" s="34" t="str">
        <f aca="false">IF($C38="","","Todos")</f>
        <v>Todos</v>
      </c>
      <c r="H38" s="34" t="str">
        <f aca="false">IF($C38="","",IF($G38="A",CONFIG!$B$5,IF($G38="B",CONFIG!$B$6,IF($G38="C",CONFIG!$B$7,"Gerência + coordenadores"))))</f>
        <v>Gerência + coordenadores</v>
      </c>
      <c r="I38" s="34"/>
      <c r="J38" s="32" t="str">
        <f aca="false">IF($C38="","","—")</f>
        <v>—</v>
      </c>
      <c r="K38" s="53"/>
      <c r="L38" s="53"/>
      <c r="M38" s="54"/>
      <c r="N38" s="54"/>
      <c r="O38" s="54"/>
      <c r="P38" s="55"/>
      <c r="Q38" s="56"/>
      <c r="R38" s="57"/>
      <c r="S38" s="34" t="str">
        <f aca="true">IF($C38="","",IF($Q38="Cancelada","Cancelada",IF($Q38="Reprovado","Reprovada",IF($Q38="Aprovado","Aprovada",IF($M38&lt;&gt;"","Entregue",IF(TODAY()&gt;$C38,"Atrasada","Pendente"))))))</f>
        <v>Pendente</v>
      </c>
      <c r="T38" s="58"/>
      <c r="U38" s="58"/>
      <c r="V38" s="58"/>
    </row>
    <row r="39" customFormat="false" ht="22.35" hidden="false" customHeight="false" outlineLevel="0" collapsed="false">
      <c r="A39" s="59" t="str">
        <f aca="false">IF($C39="","",$X$2&amp;"-S"&amp;INT(($C39-WEEKDAY($C39,2)+11-DATE(YEAR($C39+4-WEEKDAY($C39,2)),1,1))/7)&amp;"-VIS-A")</f>
        <v>DEZ-S51-VIS-A</v>
      </c>
      <c r="B39" s="30" t="str">
        <f aca="false">IF($C39="","","S"&amp;INT(($C39-WEEKDAY($C39,2)+11-DATE(YEAR($C39+4-WEEKDAY($C39,2)),1,1))/7))</f>
        <v>S51</v>
      </c>
      <c r="C39" s="52" t="n">
        <f aca="false">IF(MONTH(($X$1-WEEKDAY($X$1,3)+14)+2)=MONTH($X$1),($X$1-WEEKDAY($X$1,3)+14)+2,"")</f>
        <v>46372</v>
      </c>
      <c r="D39" s="27" t="str">
        <f aca="false">IF($C39="","","Vistoria Setorial (checklist no setor definido pelo gerente)")</f>
        <v>Vistoria Setorial (checklist no setor definido pelo gerente)</v>
      </c>
      <c r="E39" s="27"/>
      <c r="F39" s="27"/>
      <c r="G39" s="30" t="str">
        <f aca="false">IF($C39="","","A")</f>
        <v>A</v>
      </c>
      <c r="H39" s="30" t="str">
        <f aca="false">IF($C39="","",IF($G39="A",CONFIG!$B$5,IF($G39="B",CONFIG!$B$6,IF($G39="C",CONFIG!$B$7,"Gerência + coordenadores"))))</f>
        <v>(preencha o nome)</v>
      </c>
      <c r="I39" s="30"/>
      <c r="J39" s="56"/>
      <c r="K39" s="53"/>
      <c r="L39" s="53"/>
      <c r="M39" s="54"/>
      <c r="N39" s="54"/>
      <c r="O39" s="54"/>
      <c r="P39" s="60"/>
      <c r="Q39" s="56"/>
      <c r="R39" s="57"/>
      <c r="S39" s="30" t="str">
        <f aca="true">IF($C39="","",IF($Q39="Cancelada","Cancelada",IF($Q39="Reprovado","Reprovada",IF($Q39="Aprovado","Aprovada",IF($M39&lt;&gt;"","Entregue",IF(TODAY()&gt;$C39,"Atrasada","Pendente"))))))</f>
        <v>Pendente</v>
      </c>
      <c r="T39" s="58"/>
      <c r="U39" s="58"/>
      <c r="V39" s="58"/>
    </row>
    <row r="40" customFormat="false" ht="22.35" hidden="false" customHeight="false" outlineLevel="0" collapsed="false">
      <c r="A40" s="51" t="str">
        <f aca="false">IF($C40="","",$X$2&amp;"-S"&amp;INT(($C40-WEEKDAY($C40,2)+11-DATE(YEAR($C40+4-WEEKDAY($C40,2)),1,1))/7)&amp;"-VIS-B")</f>
        <v>DEZ-S51-VIS-B</v>
      </c>
      <c r="B40" s="34" t="str">
        <f aca="false">IF($C40="","","S"&amp;INT(($C40-WEEKDAY($C40,2)+11-DATE(YEAR($C40+4-WEEKDAY($C40,2)),1,1))/7))</f>
        <v>S51</v>
      </c>
      <c r="C40" s="52" t="n">
        <f aca="false">IF(MONTH(($X$1-WEEKDAY($X$1,3)+14)+2)=MONTH($X$1),($X$1-WEEKDAY($X$1,3)+14)+2,"")</f>
        <v>46372</v>
      </c>
      <c r="D40" s="9" t="str">
        <f aca="false">IF($C40="","","Vistoria Setorial (checklist no setor definido pelo gerente)")</f>
        <v>Vistoria Setorial (checklist no setor definido pelo gerente)</v>
      </c>
      <c r="E40" s="9"/>
      <c r="F40" s="9"/>
      <c r="G40" s="34" t="str">
        <f aca="false">IF($C40="","","B")</f>
        <v>B</v>
      </c>
      <c r="H40" s="34" t="str">
        <f aca="false">IF($C40="","",IF($G40="A",CONFIG!$B$5,IF($G40="B",CONFIG!$B$6,IF($G40="C",CONFIG!$B$7,"Gerência + coordenadores"))))</f>
        <v>(preencha o nome)</v>
      </c>
      <c r="I40" s="34"/>
      <c r="J40" s="56"/>
      <c r="K40" s="53"/>
      <c r="L40" s="53"/>
      <c r="M40" s="54"/>
      <c r="N40" s="54"/>
      <c r="O40" s="54"/>
      <c r="P40" s="55"/>
      <c r="Q40" s="56"/>
      <c r="R40" s="57"/>
      <c r="S40" s="34" t="str">
        <f aca="true">IF($C40="","",IF($Q40="Cancelada","Cancelada",IF($Q40="Reprovado","Reprovada",IF($Q40="Aprovado","Aprovada",IF($M40&lt;&gt;"","Entregue",IF(TODAY()&gt;$C40,"Atrasada","Pendente"))))))</f>
        <v>Pendente</v>
      </c>
      <c r="T40" s="58"/>
      <c r="U40" s="58"/>
      <c r="V40" s="58"/>
    </row>
    <row r="41" customFormat="false" ht="22.35" hidden="false" customHeight="false" outlineLevel="0" collapsed="false">
      <c r="A41" s="59" t="str">
        <f aca="false">IF($C41="","",$X$2&amp;"-S"&amp;INT(($C41-WEEKDAY($C41,2)+11-DATE(YEAR($C41+4-WEEKDAY($C41,2)),1,1))/7)&amp;"-VIS-C")</f>
        <v>DEZ-S51-VIS-C</v>
      </c>
      <c r="B41" s="30" t="str">
        <f aca="false">IF($C41="","","S"&amp;INT(($C41-WEEKDAY($C41,2)+11-DATE(YEAR($C41+4-WEEKDAY($C41,2)),1,1))/7))</f>
        <v>S51</v>
      </c>
      <c r="C41" s="52" t="n">
        <f aca="false">IF(MONTH(($X$1-WEEKDAY($X$1,3)+14)+2)=MONTH($X$1),($X$1-WEEKDAY($X$1,3)+14)+2,"")</f>
        <v>46372</v>
      </c>
      <c r="D41" s="27" t="str">
        <f aca="false">IF($C41="","","Vistoria Setorial (checklist no setor definido pelo gerente)")</f>
        <v>Vistoria Setorial (checklist no setor definido pelo gerente)</v>
      </c>
      <c r="E41" s="27"/>
      <c r="F41" s="27"/>
      <c r="G41" s="30" t="str">
        <f aca="false">IF($C41="","","C")</f>
        <v>C</v>
      </c>
      <c r="H41" s="30" t="str">
        <f aca="false">IF($C41="","",IF($G41="A",CONFIG!$B$5,IF($G41="B",CONFIG!$B$6,IF($G41="C",CONFIG!$B$7,"Gerência + coordenadores"))))</f>
        <v>(preencha o nome)</v>
      </c>
      <c r="I41" s="30"/>
      <c r="J41" s="56"/>
      <c r="K41" s="53"/>
      <c r="L41" s="53"/>
      <c r="M41" s="54"/>
      <c r="N41" s="54"/>
      <c r="O41" s="54"/>
      <c r="P41" s="60"/>
      <c r="Q41" s="56"/>
      <c r="R41" s="57"/>
      <c r="S41" s="30" t="str">
        <f aca="true">IF($C41="","",IF($Q41="Cancelada","Cancelada",IF($Q41="Reprovado","Reprovada",IF($Q41="Aprovado","Aprovada",IF($M41&lt;&gt;"","Entregue",IF(TODAY()&gt;$C41,"Atrasada","Pendente"))))))</f>
        <v>Pendente</v>
      </c>
      <c r="T41" s="58"/>
      <c r="U41" s="58"/>
      <c r="V41" s="58"/>
    </row>
    <row r="42" customFormat="false" ht="22.35" hidden="false" customHeight="false" outlineLevel="0" collapsed="false">
      <c r="A42" s="51" t="str">
        <f aca="false">IF($C42="","",$X$2&amp;"-S"&amp;INT(($C42-WEEKDAY($C42,2)+11-DATE(YEAR($C42+4-WEEKDAY($C42,2)),1,1))/7)&amp;"-RSC-A")</f>
        <v>DEZ-S51-RSC-A</v>
      </c>
      <c r="B42" s="34" t="str">
        <f aca="false">IF($C42="","","S"&amp;INT(($C42-WEEKDAY($C42,2)+11-DATE(YEAR($C42+4-WEEKDAY($C42,2)),1,1))/7))</f>
        <v>S51</v>
      </c>
      <c r="C42" s="52" t="n">
        <f aca="false">IF(MONTH(($X$1-WEEKDAY($X$1,3)+14)+3)=MONTH($X$1),($X$1-WEEKDAY($X$1,3)+14)+3,"")</f>
        <v>46373</v>
      </c>
      <c r="D42" s="9" t="str">
        <f aca="false">IF($C42="","","Relatório Semanal Consolidado (erros + metas + faltas + supervisores)")</f>
        <v>Relatório Semanal Consolidado (erros + metas + faltas + supervisores)</v>
      </c>
      <c r="E42" s="9"/>
      <c r="F42" s="9"/>
      <c r="G42" s="34" t="str">
        <f aca="false">IF($C42="","","A")</f>
        <v>A</v>
      </c>
      <c r="H42" s="34" t="str">
        <f aca="false">IF($C42="","",IF($G42="A",CONFIG!$B$5,IF($G42="B",CONFIG!$B$6,IF($G42="C",CONFIG!$B$7,"Gerência + coordenadores"))))</f>
        <v>(preencha o nome)</v>
      </c>
      <c r="I42" s="34"/>
      <c r="J42" s="32" t="str">
        <f aca="false">IF($C42="","","—")</f>
        <v>—</v>
      </c>
      <c r="K42" s="61"/>
      <c r="L42" s="61"/>
      <c r="M42" s="54"/>
      <c r="N42" s="54"/>
      <c r="O42" s="54"/>
      <c r="P42" s="55"/>
      <c r="Q42" s="56"/>
      <c r="R42" s="57"/>
      <c r="S42" s="34" t="str">
        <f aca="true">IF($C42="","",IF($Q42="Cancelada","Cancelada",IF($Q42="Reprovado","Reprovada",IF($Q42="Aprovado","Aprovada",IF($M42&lt;&gt;"","Entregue",IF(TODAY()&gt;$C42,"Atrasada","Pendente"))))))</f>
        <v>Pendente</v>
      </c>
      <c r="T42" s="58"/>
      <c r="U42" s="58"/>
      <c r="V42" s="58"/>
    </row>
    <row r="43" customFormat="false" ht="22.35" hidden="false" customHeight="false" outlineLevel="0" collapsed="false">
      <c r="A43" s="59" t="str">
        <f aca="false">IF($C43="","",$X$2&amp;"-S"&amp;INT(($C43-WEEKDAY($C43,2)+11-DATE(YEAR($C43+4-WEEKDAY($C43,2)),1,1))/7)&amp;"-RSC-B")</f>
        <v>DEZ-S51-RSC-B</v>
      </c>
      <c r="B43" s="30" t="str">
        <f aca="false">IF($C43="","","S"&amp;INT(($C43-WEEKDAY($C43,2)+11-DATE(YEAR($C43+4-WEEKDAY($C43,2)),1,1))/7))</f>
        <v>S51</v>
      </c>
      <c r="C43" s="52" t="n">
        <f aca="false">IF(MONTH(($X$1-WEEKDAY($X$1,3)+14)+3)=MONTH($X$1),($X$1-WEEKDAY($X$1,3)+14)+3,"")</f>
        <v>46373</v>
      </c>
      <c r="D43" s="27" t="str">
        <f aca="false">IF($C43="","","Relatório Semanal Consolidado (erros + metas + faltas + supervisores)")</f>
        <v>Relatório Semanal Consolidado (erros + metas + faltas + supervisores)</v>
      </c>
      <c r="E43" s="27"/>
      <c r="F43" s="27"/>
      <c r="G43" s="30" t="str">
        <f aca="false">IF($C43="","","B")</f>
        <v>B</v>
      </c>
      <c r="H43" s="30" t="str">
        <f aca="false">IF($C43="","",IF($G43="A",CONFIG!$B$5,IF($G43="B",CONFIG!$B$6,IF($G43="C",CONFIG!$B$7,"Gerência + coordenadores"))))</f>
        <v>(preencha o nome)</v>
      </c>
      <c r="I43" s="30"/>
      <c r="J43" s="32" t="str">
        <f aca="false">IF($C43="","","—")</f>
        <v>—</v>
      </c>
      <c r="K43" s="61"/>
      <c r="L43" s="61"/>
      <c r="M43" s="54"/>
      <c r="N43" s="54"/>
      <c r="O43" s="54"/>
      <c r="P43" s="60"/>
      <c r="Q43" s="56"/>
      <c r="R43" s="57"/>
      <c r="S43" s="30" t="str">
        <f aca="true">IF($C43="","",IF($Q43="Cancelada","Cancelada",IF($Q43="Reprovado","Reprovada",IF($Q43="Aprovado","Aprovada",IF($M43&lt;&gt;"","Entregue",IF(TODAY()&gt;$C43,"Atrasada","Pendente"))))))</f>
        <v>Pendente</v>
      </c>
      <c r="T43" s="58"/>
      <c r="U43" s="58"/>
      <c r="V43" s="58"/>
    </row>
    <row r="44" customFormat="false" ht="22.35" hidden="false" customHeight="false" outlineLevel="0" collapsed="false">
      <c r="A44" s="51" t="str">
        <f aca="false">IF($C44="","",$X$2&amp;"-S"&amp;INT(($C44-WEEKDAY($C44,2)+11-DATE(YEAR($C44+4-WEEKDAY($C44,2)),1,1))/7)&amp;"-RSC-C")</f>
        <v>DEZ-S51-RSC-C</v>
      </c>
      <c r="B44" s="34" t="str">
        <f aca="false">IF($C44="","","S"&amp;INT(($C44-WEEKDAY($C44,2)+11-DATE(YEAR($C44+4-WEEKDAY($C44,2)),1,1))/7))</f>
        <v>S51</v>
      </c>
      <c r="C44" s="52" t="n">
        <f aca="false">IF(MONTH(($X$1-WEEKDAY($X$1,3)+14)+3)=MONTH($X$1),($X$1-WEEKDAY($X$1,3)+14)+3,"")</f>
        <v>46373</v>
      </c>
      <c r="D44" s="9" t="str">
        <f aca="false">IF($C44="","","Relatório Semanal Consolidado (erros + metas + faltas + supervisores)")</f>
        <v>Relatório Semanal Consolidado (erros + metas + faltas + supervisores)</v>
      </c>
      <c r="E44" s="9"/>
      <c r="F44" s="9"/>
      <c r="G44" s="34" t="str">
        <f aca="false">IF($C44="","","C")</f>
        <v>C</v>
      </c>
      <c r="H44" s="34" t="str">
        <f aca="false">IF($C44="","",IF($G44="A",CONFIG!$B$5,IF($G44="B",CONFIG!$B$6,IF($G44="C",CONFIG!$B$7,"Gerência + coordenadores"))))</f>
        <v>(preencha o nome)</v>
      </c>
      <c r="I44" s="34"/>
      <c r="J44" s="32" t="str">
        <f aca="false">IF($C44="","","—")</f>
        <v>—</v>
      </c>
      <c r="K44" s="61"/>
      <c r="L44" s="61"/>
      <c r="M44" s="54"/>
      <c r="N44" s="54"/>
      <c r="O44" s="54"/>
      <c r="P44" s="55"/>
      <c r="Q44" s="56"/>
      <c r="R44" s="57"/>
      <c r="S44" s="34" t="str">
        <f aca="true">IF($C44="","",IF($Q44="Cancelada","Cancelada",IF($Q44="Reprovado","Reprovada",IF($Q44="Aprovado","Aprovada",IF($M44&lt;&gt;"","Entregue",IF(TODAY()&gt;$C44,"Atrasada","Pendente"))))))</f>
        <v>Pendente</v>
      </c>
      <c r="T44" s="58"/>
      <c r="U44" s="58"/>
      <c r="V44" s="58"/>
    </row>
    <row r="45" customFormat="false" ht="24" hidden="false" customHeight="true" outlineLevel="0" collapsed="false">
      <c r="A45" s="59" t="str">
        <f aca="false">IF($C45="","",$X$2&amp;"-S"&amp;INT(($C45-WEEKDAY($C45,2)+11-DATE(YEAR($C45+4-WEEKDAY($C45,2)),1,1))/7)&amp;"-REU-T")</f>
        <v>DEZ-S51-REU-T</v>
      </c>
      <c r="B45" s="30" t="str">
        <f aca="false">IF($C45="","","S"&amp;INT(($C45-WEEKDAY($C45,2)+11-DATE(YEAR($C45+4-WEEKDAY($C45,2)),1,1))/7))</f>
        <v>S51</v>
      </c>
      <c r="C45" s="52" t="n">
        <f aca="false">IF(MONTH(($X$1-WEEKDAY($X$1,3)+14)+4)=MONTH($X$1),($X$1-WEEKDAY($X$1,3)+14)+4,"")</f>
        <v>46374</v>
      </c>
      <c r="D45" s="27" t="str">
        <f aca="false">IF($C45="","","Reunião Semanal com a Gerência")</f>
        <v>Reunião Semanal com a Gerência</v>
      </c>
      <c r="E45" s="27"/>
      <c r="F45" s="27"/>
      <c r="G45" s="30" t="str">
        <f aca="false">IF($C45="","","Todos")</f>
        <v>Todos</v>
      </c>
      <c r="H45" s="30" t="str">
        <f aca="false">IF($C45="","",IF($G45="A",CONFIG!$B$5,IF($G45="B",CONFIG!$B$6,IF($G45="C",CONFIG!$B$7,"Gerência + coordenadores"))))</f>
        <v>Gerência + coordenadores</v>
      </c>
      <c r="I45" s="30"/>
      <c r="J45" s="32" t="str">
        <f aca="false">IF($C45="","","—")</f>
        <v>—</v>
      </c>
      <c r="K45" s="53"/>
      <c r="L45" s="53"/>
      <c r="M45" s="54"/>
      <c r="N45" s="54"/>
      <c r="O45" s="54"/>
      <c r="P45" s="60"/>
      <c r="Q45" s="56"/>
      <c r="R45" s="57"/>
      <c r="S45" s="30" t="str">
        <f aca="true">IF($C45="","",IF($Q45="Cancelada","Cancelada",IF($Q45="Reprovado","Reprovada",IF($Q45="Aprovado","Aprovada",IF($M45&lt;&gt;"","Entregue",IF(TODAY()&gt;$C45,"Atrasada","Pendente"))))))</f>
        <v>Pendente</v>
      </c>
      <c r="T45" s="58"/>
      <c r="U45" s="58"/>
      <c r="V45" s="58"/>
    </row>
    <row r="46" customFormat="false" ht="22.35" hidden="false" customHeight="false" outlineLevel="0" collapsed="false">
      <c r="A46" s="51" t="str">
        <f aca="false">IF($C46="","",$X$2&amp;"-S"&amp;INT(($C46-WEEKDAY($C46,2)+11-DATE(YEAR($C46+4-WEEKDAY($C46,2)),1,1))/7)&amp;"-VIS-A")</f>
        <v>DEZ-S52-VIS-A</v>
      </c>
      <c r="B46" s="34" t="str">
        <f aca="false">IF($C46="","","S"&amp;INT(($C46-WEEKDAY($C46,2)+11-DATE(YEAR($C46+4-WEEKDAY($C46,2)),1,1))/7))</f>
        <v>S52</v>
      </c>
      <c r="C46" s="52" t="n">
        <f aca="false">IF(MONTH(($X$1-WEEKDAY($X$1,3)+21)+2)=MONTH($X$1),($X$1-WEEKDAY($X$1,3)+21)+2,"")</f>
        <v>46379</v>
      </c>
      <c r="D46" s="9" t="str">
        <f aca="false">IF($C46="","","Vistoria Setorial (checklist no setor definido pelo gerente)")</f>
        <v>Vistoria Setorial (checklist no setor definido pelo gerente)</v>
      </c>
      <c r="E46" s="9"/>
      <c r="F46" s="9"/>
      <c r="G46" s="34" t="str">
        <f aca="false">IF($C46="","","A")</f>
        <v>A</v>
      </c>
      <c r="H46" s="34" t="str">
        <f aca="false">IF($C46="","",IF($G46="A",CONFIG!$B$5,IF($G46="B",CONFIG!$B$6,IF($G46="C",CONFIG!$B$7,"Gerência + coordenadores"))))</f>
        <v>(preencha o nome)</v>
      </c>
      <c r="I46" s="34"/>
      <c r="J46" s="56"/>
      <c r="K46" s="53"/>
      <c r="L46" s="53"/>
      <c r="M46" s="54"/>
      <c r="N46" s="54"/>
      <c r="O46" s="54"/>
      <c r="P46" s="55"/>
      <c r="Q46" s="56"/>
      <c r="R46" s="57"/>
      <c r="S46" s="34" t="str">
        <f aca="true">IF($C46="","",IF($Q46="Cancelada","Cancelada",IF($Q46="Reprovado","Reprovada",IF($Q46="Aprovado","Aprovada",IF($M46&lt;&gt;"","Entregue",IF(TODAY()&gt;$C46,"Atrasada","Pendente"))))))</f>
        <v>Pendente</v>
      </c>
      <c r="T46" s="58"/>
      <c r="U46" s="58"/>
      <c r="V46" s="58"/>
    </row>
    <row r="47" customFormat="false" ht="22.35" hidden="false" customHeight="false" outlineLevel="0" collapsed="false">
      <c r="A47" s="59" t="str">
        <f aca="false">IF($C47="","",$X$2&amp;"-S"&amp;INT(($C47-WEEKDAY($C47,2)+11-DATE(YEAR($C47+4-WEEKDAY($C47,2)),1,1))/7)&amp;"-VIS-B")</f>
        <v>DEZ-S52-VIS-B</v>
      </c>
      <c r="B47" s="30" t="str">
        <f aca="false">IF($C47="","","S"&amp;INT(($C47-WEEKDAY($C47,2)+11-DATE(YEAR($C47+4-WEEKDAY($C47,2)),1,1))/7))</f>
        <v>S52</v>
      </c>
      <c r="C47" s="52" t="n">
        <f aca="false">IF(MONTH(($X$1-WEEKDAY($X$1,3)+21)+2)=MONTH($X$1),($X$1-WEEKDAY($X$1,3)+21)+2,"")</f>
        <v>46379</v>
      </c>
      <c r="D47" s="27" t="str">
        <f aca="false">IF($C47="","","Vistoria Setorial (checklist no setor definido pelo gerente)")</f>
        <v>Vistoria Setorial (checklist no setor definido pelo gerente)</v>
      </c>
      <c r="E47" s="27"/>
      <c r="F47" s="27"/>
      <c r="G47" s="30" t="str">
        <f aca="false">IF($C47="","","B")</f>
        <v>B</v>
      </c>
      <c r="H47" s="30" t="str">
        <f aca="false">IF($C47="","",IF($G47="A",CONFIG!$B$5,IF($G47="B",CONFIG!$B$6,IF($G47="C",CONFIG!$B$7,"Gerência + coordenadores"))))</f>
        <v>(preencha o nome)</v>
      </c>
      <c r="I47" s="30"/>
      <c r="J47" s="56"/>
      <c r="K47" s="53"/>
      <c r="L47" s="53"/>
      <c r="M47" s="54"/>
      <c r="N47" s="54"/>
      <c r="O47" s="54"/>
      <c r="P47" s="60"/>
      <c r="Q47" s="56"/>
      <c r="R47" s="57"/>
      <c r="S47" s="30" t="str">
        <f aca="true">IF($C47="","",IF($Q47="Cancelada","Cancelada",IF($Q47="Reprovado","Reprovada",IF($Q47="Aprovado","Aprovada",IF($M47&lt;&gt;"","Entregue",IF(TODAY()&gt;$C47,"Atrasada","Pendente"))))))</f>
        <v>Pendente</v>
      </c>
      <c r="T47" s="58"/>
      <c r="U47" s="58"/>
      <c r="V47" s="58"/>
    </row>
    <row r="48" customFormat="false" ht="22.35" hidden="false" customHeight="false" outlineLevel="0" collapsed="false">
      <c r="A48" s="51" t="str">
        <f aca="false">IF($C48="","",$X$2&amp;"-S"&amp;INT(($C48-WEEKDAY($C48,2)+11-DATE(YEAR($C48+4-WEEKDAY($C48,2)),1,1))/7)&amp;"-VIS-C")</f>
        <v>DEZ-S52-VIS-C</v>
      </c>
      <c r="B48" s="34" t="str">
        <f aca="false">IF($C48="","","S"&amp;INT(($C48-WEEKDAY($C48,2)+11-DATE(YEAR($C48+4-WEEKDAY($C48,2)),1,1))/7))</f>
        <v>S52</v>
      </c>
      <c r="C48" s="52" t="n">
        <f aca="false">IF(MONTH(($X$1-WEEKDAY($X$1,3)+21)+2)=MONTH($X$1),($X$1-WEEKDAY($X$1,3)+21)+2,"")</f>
        <v>46379</v>
      </c>
      <c r="D48" s="9" t="str">
        <f aca="false">IF($C48="","","Vistoria Setorial (checklist no setor definido pelo gerente)")</f>
        <v>Vistoria Setorial (checklist no setor definido pelo gerente)</v>
      </c>
      <c r="E48" s="9"/>
      <c r="F48" s="9"/>
      <c r="G48" s="34" t="str">
        <f aca="false">IF($C48="","","C")</f>
        <v>C</v>
      </c>
      <c r="H48" s="34" t="str">
        <f aca="false">IF($C48="","",IF($G48="A",CONFIG!$B$5,IF($G48="B",CONFIG!$B$6,IF($G48="C",CONFIG!$B$7,"Gerência + coordenadores"))))</f>
        <v>(preencha o nome)</v>
      </c>
      <c r="I48" s="34"/>
      <c r="J48" s="56"/>
      <c r="K48" s="53"/>
      <c r="L48" s="53"/>
      <c r="M48" s="54"/>
      <c r="N48" s="54"/>
      <c r="O48" s="54"/>
      <c r="P48" s="55"/>
      <c r="Q48" s="56"/>
      <c r="R48" s="57"/>
      <c r="S48" s="34" t="str">
        <f aca="true">IF($C48="","",IF($Q48="Cancelada","Cancelada",IF($Q48="Reprovado","Reprovada",IF($Q48="Aprovado","Aprovada",IF($M48&lt;&gt;"","Entregue",IF(TODAY()&gt;$C48,"Atrasada","Pendente"))))))</f>
        <v>Pendente</v>
      </c>
      <c r="T48" s="58"/>
      <c r="U48" s="58"/>
      <c r="V48" s="58"/>
    </row>
    <row r="49" customFormat="false" ht="22.35" hidden="false" customHeight="false" outlineLevel="0" collapsed="false">
      <c r="A49" s="59" t="str">
        <f aca="false">IF($C49="","",$X$2&amp;"-S"&amp;INT(($C49-WEEKDAY($C49,2)+11-DATE(YEAR($C49+4-WEEKDAY($C49,2)),1,1))/7)&amp;"-RSC-A")</f>
        <v>DEZ-S52-RSC-A</v>
      </c>
      <c r="B49" s="30" t="str">
        <f aca="false">IF($C49="","","S"&amp;INT(($C49-WEEKDAY($C49,2)+11-DATE(YEAR($C49+4-WEEKDAY($C49,2)),1,1))/7))</f>
        <v>S52</v>
      </c>
      <c r="C49" s="52" t="n">
        <f aca="false">IF(MONTH(($X$1-WEEKDAY($X$1,3)+21)+3)=MONTH($X$1),($X$1-WEEKDAY($X$1,3)+21)+3,"")</f>
        <v>46380</v>
      </c>
      <c r="D49" s="27" t="str">
        <f aca="false">IF($C49="","","Relatório Semanal Consolidado (erros + metas + faltas + supervisores)")</f>
        <v>Relatório Semanal Consolidado (erros + metas + faltas + supervisores)</v>
      </c>
      <c r="E49" s="27"/>
      <c r="F49" s="27"/>
      <c r="G49" s="30" t="str">
        <f aca="false">IF($C49="","","A")</f>
        <v>A</v>
      </c>
      <c r="H49" s="30" t="str">
        <f aca="false">IF($C49="","",IF($G49="A",CONFIG!$B$5,IF($G49="B",CONFIG!$B$6,IF($G49="C",CONFIG!$B$7,"Gerência + coordenadores"))))</f>
        <v>(preencha o nome)</v>
      </c>
      <c r="I49" s="30"/>
      <c r="J49" s="32" t="str">
        <f aca="false">IF($C49="","","—")</f>
        <v>—</v>
      </c>
      <c r="K49" s="61"/>
      <c r="L49" s="61"/>
      <c r="M49" s="54"/>
      <c r="N49" s="54"/>
      <c r="O49" s="54"/>
      <c r="P49" s="60"/>
      <c r="Q49" s="56"/>
      <c r="R49" s="57"/>
      <c r="S49" s="30" t="str">
        <f aca="true">IF($C49="","",IF($Q49="Cancelada","Cancelada",IF($Q49="Reprovado","Reprovada",IF($Q49="Aprovado","Aprovada",IF($M49&lt;&gt;"","Entregue",IF(TODAY()&gt;$C49,"Atrasada","Pendente"))))))</f>
        <v>Pendente</v>
      </c>
      <c r="T49" s="58"/>
      <c r="U49" s="58"/>
      <c r="V49" s="58"/>
    </row>
    <row r="50" customFormat="false" ht="22.35" hidden="false" customHeight="false" outlineLevel="0" collapsed="false">
      <c r="A50" s="51" t="str">
        <f aca="false">IF($C50="","",$X$2&amp;"-S"&amp;INT(($C50-WEEKDAY($C50,2)+11-DATE(YEAR($C50+4-WEEKDAY($C50,2)),1,1))/7)&amp;"-RSC-B")</f>
        <v>DEZ-S52-RSC-B</v>
      </c>
      <c r="B50" s="34" t="str">
        <f aca="false">IF($C50="","","S"&amp;INT(($C50-WEEKDAY($C50,2)+11-DATE(YEAR($C50+4-WEEKDAY($C50,2)),1,1))/7))</f>
        <v>S52</v>
      </c>
      <c r="C50" s="52" t="n">
        <f aca="false">IF(MONTH(($X$1-WEEKDAY($X$1,3)+21)+3)=MONTH($X$1),($X$1-WEEKDAY($X$1,3)+21)+3,"")</f>
        <v>46380</v>
      </c>
      <c r="D50" s="9" t="str">
        <f aca="false">IF($C50="","","Relatório Semanal Consolidado (erros + metas + faltas + supervisores)")</f>
        <v>Relatório Semanal Consolidado (erros + metas + faltas + supervisores)</v>
      </c>
      <c r="E50" s="9"/>
      <c r="F50" s="9"/>
      <c r="G50" s="34" t="str">
        <f aca="false">IF($C50="","","B")</f>
        <v>B</v>
      </c>
      <c r="H50" s="34" t="str">
        <f aca="false">IF($C50="","",IF($G50="A",CONFIG!$B$5,IF($G50="B",CONFIG!$B$6,IF($G50="C",CONFIG!$B$7,"Gerência + coordenadores"))))</f>
        <v>(preencha o nome)</v>
      </c>
      <c r="I50" s="34"/>
      <c r="J50" s="32" t="str">
        <f aca="false">IF($C50="","","—")</f>
        <v>—</v>
      </c>
      <c r="K50" s="61"/>
      <c r="L50" s="61"/>
      <c r="M50" s="54"/>
      <c r="N50" s="54"/>
      <c r="O50" s="54"/>
      <c r="P50" s="55"/>
      <c r="Q50" s="56"/>
      <c r="R50" s="57"/>
      <c r="S50" s="34" t="str">
        <f aca="true">IF($C50="","",IF($Q50="Cancelada","Cancelada",IF($Q50="Reprovado","Reprovada",IF($Q50="Aprovado","Aprovada",IF($M50&lt;&gt;"","Entregue",IF(TODAY()&gt;$C50,"Atrasada","Pendente"))))))</f>
        <v>Pendente</v>
      </c>
      <c r="T50" s="58"/>
      <c r="U50" s="58"/>
      <c r="V50" s="58"/>
    </row>
    <row r="51" customFormat="false" ht="22.35" hidden="false" customHeight="false" outlineLevel="0" collapsed="false">
      <c r="A51" s="59" t="str">
        <f aca="false">IF($C51="","",$X$2&amp;"-S"&amp;INT(($C51-WEEKDAY($C51,2)+11-DATE(YEAR($C51+4-WEEKDAY($C51,2)),1,1))/7)&amp;"-RSC-C")</f>
        <v>DEZ-S52-RSC-C</v>
      </c>
      <c r="B51" s="30" t="str">
        <f aca="false">IF($C51="","","S"&amp;INT(($C51-WEEKDAY($C51,2)+11-DATE(YEAR($C51+4-WEEKDAY($C51,2)),1,1))/7))</f>
        <v>S52</v>
      </c>
      <c r="C51" s="52" t="n">
        <f aca="false">IF(MONTH(($X$1-WEEKDAY($X$1,3)+21)+3)=MONTH($X$1),($X$1-WEEKDAY($X$1,3)+21)+3,"")</f>
        <v>46380</v>
      </c>
      <c r="D51" s="27" t="str">
        <f aca="false">IF($C51="","","Relatório Semanal Consolidado (erros + metas + faltas + supervisores)")</f>
        <v>Relatório Semanal Consolidado (erros + metas + faltas + supervisores)</v>
      </c>
      <c r="E51" s="27"/>
      <c r="F51" s="27"/>
      <c r="G51" s="30" t="str">
        <f aca="false">IF($C51="","","C")</f>
        <v>C</v>
      </c>
      <c r="H51" s="30" t="str">
        <f aca="false">IF($C51="","",IF($G51="A",CONFIG!$B$5,IF($G51="B",CONFIG!$B$6,IF($G51="C",CONFIG!$B$7,"Gerência + coordenadores"))))</f>
        <v>(preencha o nome)</v>
      </c>
      <c r="I51" s="30"/>
      <c r="J51" s="32" t="str">
        <f aca="false">IF($C51="","","—")</f>
        <v>—</v>
      </c>
      <c r="K51" s="61"/>
      <c r="L51" s="61"/>
      <c r="M51" s="54"/>
      <c r="N51" s="54"/>
      <c r="O51" s="54"/>
      <c r="P51" s="60"/>
      <c r="Q51" s="56"/>
      <c r="R51" s="57"/>
      <c r="S51" s="30" t="str">
        <f aca="true">IF($C51="","",IF($Q51="Cancelada","Cancelada",IF($Q51="Reprovado","Reprovada",IF($Q51="Aprovado","Aprovada",IF($M51&lt;&gt;"","Entregue",IF(TODAY()&gt;$C51,"Atrasada","Pendente"))))))</f>
        <v>Pendente</v>
      </c>
      <c r="T51" s="58"/>
      <c r="U51" s="58"/>
      <c r="V51" s="58"/>
    </row>
    <row r="52" customFormat="false" ht="24" hidden="false" customHeight="true" outlineLevel="0" collapsed="false">
      <c r="A52" s="51" t="str">
        <f aca="false">IF($C52="","",$X$2&amp;"-S"&amp;INT(($C52-WEEKDAY($C52,2)+11-DATE(YEAR($C52+4-WEEKDAY($C52,2)),1,1))/7)&amp;"-REU-T")</f>
        <v>DEZ-S52-REU-T</v>
      </c>
      <c r="B52" s="34" t="str">
        <f aca="false">IF($C52="","","S"&amp;INT(($C52-WEEKDAY($C52,2)+11-DATE(YEAR($C52+4-WEEKDAY($C52,2)),1,1))/7))</f>
        <v>S52</v>
      </c>
      <c r="C52" s="52" t="n">
        <f aca="false">IF(MONTH(($X$1-WEEKDAY($X$1,3)+21)+4)=MONTH($X$1),($X$1-WEEKDAY($X$1,3)+21)+4,"")</f>
        <v>46381</v>
      </c>
      <c r="D52" s="9" t="str">
        <f aca="false">IF($C52="","","Reunião Semanal com a Gerência")</f>
        <v>Reunião Semanal com a Gerência</v>
      </c>
      <c r="E52" s="9"/>
      <c r="F52" s="9"/>
      <c r="G52" s="34" t="str">
        <f aca="false">IF($C52="","","Todos")</f>
        <v>Todos</v>
      </c>
      <c r="H52" s="34" t="str">
        <f aca="false">IF($C52="","",IF($G52="A",CONFIG!$B$5,IF($G52="B",CONFIG!$B$6,IF($G52="C",CONFIG!$B$7,"Gerência + coordenadores"))))</f>
        <v>Gerência + coordenadores</v>
      </c>
      <c r="I52" s="34"/>
      <c r="J52" s="32" t="str">
        <f aca="false">IF($C52="","","—")</f>
        <v>—</v>
      </c>
      <c r="K52" s="53"/>
      <c r="L52" s="53"/>
      <c r="M52" s="54"/>
      <c r="N52" s="54"/>
      <c r="O52" s="54"/>
      <c r="P52" s="55"/>
      <c r="Q52" s="56"/>
      <c r="R52" s="57"/>
      <c r="S52" s="34" t="str">
        <f aca="true">IF($C52="","",IF($Q52="Cancelada","Cancelada",IF($Q52="Reprovado","Reprovada",IF($Q52="Aprovado","Aprovada",IF($M52&lt;&gt;"","Entregue",IF(TODAY()&gt;$C52,"Atrasada","Pendente"))))))</f>
        <v>Pendente</v>
      </c>
      <c r="T52" s="58"/>
      <c r="U52" s="58"/>
      <c r="V52" s="58"/>
    </row>
    <row r="53" customFormat="false" ht="22.35" hidden="false" customHeight="false" outlineLevel="0" collapsed="false">
      <c r="A53" s="59" t="str">
        <f aca="false">IF($C53="","",$X$2&amp;"-S"&amp;INT(($C53-WEEKDAY($C53,2)+11-DATE(YEAR($C53+4-WEEKDAY($C53,2)),1,1))/7)&amp;"-VIS-A")</f>
        <v>DEZ-S53-VIS-A</v>
      </c>
      <c r="B53" s="30" t="str">
        <f aca="false">IF($C53="","","S"&amp;INT(($C53-WEEKDAY($C53,2)+11-DATE(YEAR($C53+4-WEEKDAY($C53,2)),1,1))/7))</f>
        <v>S53</v>
      </c>
      <c r="C53" s="52" t="n">
        <f aca="false">IF(MONTH(($X$1-WEEKDAY($X$1,3)+28)+2)=MONTH($X$1),($X$1-WEEKDAY($X$1,3)+28)+2,"")</f>
        <v>46386</v>
      </c>
      <c r="D53" s="27" t="str">
        <f aca="false">IF($C53="","","Vistoria Setorial (checklist no setor definido pelo gerente)")</f>
        <v>Vistoria Setorial (checklist no setor definido pelo gerente)</v>
      </c>
      <c r="E53" s="27"/>
      <c r="F53" s="27"/>
      <c r="G53" s="30" t="str">
        <f aca="false">IF($C53="","","A")</f>
        <v>A</v>
      </c>
      <c r="H53" s="30" t="str">
        <f aca="false">IF($C53="","",IF($G53="A",CONFIG!$B$5,IF($G53="B",CONFIG!$B$6,IF($G53="C",CONFIG!$B$7,"Gerência + coordenadores"))))</f>
        <v>(preencha o nome)</v>
      </c>
      <c r="I53" s="30"/>
      <c r="J53" s="56"/>
      <c r="K53" s="53"/>
      <c r="L53" s="53"/>
      <c r="M53" s="54"/>
      <c r="N53" s="54"/>
      <c r="O53" s="54"/>
      <c r="P53" s="60"/>
      <c r="Q53" s="56"/>
      <c r="R53" s="57"/>
      <c r="S53" s="30" t="str">
        <f aca="true">IF($C53="","",IF($Q53="Cancelada","Cancelada",IF($Q53="Reprovado","Reprovada",IF($Q53="Aprovado","Aprovada",IF($M53&lt;&gt;"","Entregue",IF(TODAY()&gt;$C53,"Atrasada","Pendente"))))))</f>
        <v>Pendente</v>
      </c>
      <c r="T53" s="58"/>
      <c r="U53" s="58"/>
      <c r="V53" s="58"/>
    </row>
    <row r="54" customFormat="false" ht="22.35" hidden="false" customHeight="false" outlineLevel="0" collapsed="false">
      <c r="A54" s="51" t="str">
        <f aca="false">IF($C54="","",$X$2&amp;"-S"&amp;INT(($C54-WEEKDAY($C54,2)+11-DATE(YEAR($C54+4-WEEKDAY($C54,2)),1,1))/7)&amp;"-VIS-B")</f>
        <v>DEZ-S53-VIS-B</v>
      </c>
      <c r="B54" s="34" t="str">
        <f aca="false">IF($C54="","","S"&amp;INT(($C54-WEEKDAY($C54,2)+11-DATE(YEAR($C54+4-WEEKDAY($C54,2)),1,1))/7))</f>
        <v>S53</v>
      </c>
      <c r="C54" s="52" t="n">
        <f aca="false">IF(MONTH(($X$1-WEEKDAY($X$1,3)+28)+2)=MONTH($X$1),($X$1-WEEKDAY($X$1,3)+28)+2,"")</f>
        <v>46386</v>
      </c>
      <c r="D54" s="9" t="str">
        <f aca="false">IF($C54="","","Vistoria Setorial (checklist no setor definido pelo gerente)")</f>
        <v>Vistoria Setorial (checklist no setor definido pelo gerente)</v>
      </c>
      <c r="E54" s="9"/>
      <c r="F54" s="9"/>
      <c r="G54" s="34" t="str">
        <f aca="false">IF($C54="","","B")</f>
        <v>B</v>
      </c>
      <c r="H54" s="34" t="str">
        <f aca="false">IF($C54="","",IF($G54="A",CONFIG!$B$5,IF($G54="B",CONFIG!$B$6,IF($G54="C",CONFIG!$B$7,"Gerência + coordenadores"))))</f>
        <v>(preencha o nome)</v>
      </c>
      <c r="I54" s="34"/>
      <c r="J54" s="56"/>
      <c r="K54" s="53"/>
      <c r="L54" s="53"/>
      <c r="M54" s="54"/>
      <c r="N54" s="54"/>
      <c r="O54" s="54"/>
      <c r="P54" s="55"/>
      <c r="Q54" s="56"/>
      <c r="R54" s="57"/>
      <c r="S54" s="34" t="str">
        <f aca="true">IF($C54="","",IF($Q54="Cancelada","Cancelada",IF($Q54="Reprovado","Reprovada",IF($Q54="Aprovado","Aprovada",IF($M54&lt;&gt;"","Entregue",IF(TODAY()&gt;$C54,"Atrasada","Pendente"))))))</f>
        <v>Pendente</v>
      </c>
      <c r="T54" s="58"/>
      <c r="U54" s="58"/>
      <c r="V54" s="58"/>
    </row>
    <row r="55" customFormat="false" ht="22.35" hidden="false" customHeight="false" outlineLevel="0" collapsed="false">
      <c r="A55" s="59" t="str">
        <f aca="false">IF($C55="","",$X$2&amp;"-S"&amp;INT(($C55-WEEKDAY($C55,2)+11-DATE(YEAR($C55+4-WEEKDAY($C55,2)),1,1))/7)&amp;"-VIS-C")</f>
        <v>DEZ-S53-VIS-C</v>
      </c>
      <c r="B55" s="30" t="str">
        <f aca="false">IF($C55="","","S"&amp;INT(($C55-WEEKDAY($C55,2)+11-DATE(YEAR($C55+4-WEEKDAY($C55,2)),1,1))/7))</f>
        <v>S53</v>
      </c>
      <c r="C55" s="52" t="n">
        <f aca="false">IF(MONTH(($X$1-WEEKDAY($X$1,3)+28)+2)=MONTH($X$1),($X$1-WEEKDAY($X$1,3)+28)+2,"")</f>
        <v>46386</v>
      </c>
      <c r="D55" s="27" t="str">
        <f aca="false">IF($C55="","","Vistoria Setorial (checklist no setor definido pelo gerente)")</f>
        <v>Vistoria Setorial (checklist no setor definido pelo gerente)</v>
      </c>
      <c r="E55" s="27"/>
      <c r="F55" s="27"/>
      <c r="G55" s="30" t="str">
        <f aca="false">IF($C55="","","C")</f>
        <v>C</v>
      </c>
      <c r="H55" s="30" t="str">
        <f aca="false">IF($C55="","",IF($G55="A",CONFIG!$B$5,IF($G55="B",CONFIG!$B$6,IF($G55="C",CONFIG!$B$7,"Gerência + coordenadores"))))</f>
        <v>(preencha o nome)</v>
      </c>
      <c r="I55" s="30"/>
      <c r="J55" s="56"/>
      <c r="K55" s="53"/>
      <c r="L55" s="53"/>
      <c r="M55" s="54"/>
      <c r="N55" s="54"/>
      <c r="O55" s="54"/>
      <c r="P55" s="60"/>
      <c r="Q55" s="56"/>
      <c r="R55" s="57"/>
      <c r="S55" s="30" t="str">
        <f aca="true">IF($C55="","",IF($Q55="Cancelada","Cancelada",IF($Q55="Reprovado","Reprovada",IF($Q55="Aprovado","Aprovada",IF($M55&lt;&gt;"","Entregue",IF(TODAY()&gt;$C55,"Atrasada","Pendente"))))))</f>
        <v>Pendente</v>
      </c>
      <c r="T55" s="58"/>
      <c r="U55" s="58"/>
      <c r="V55" s="58"/>
    </row>
    <row r="56" customFormat="false" ht="22.35" hidden="false" customHeight="false" outlineLevel="0" collapsed="false">
      <c r="A56" s="51" t="str">
        <f aca="false">IF($C56="","",$X$2&amp;"-S"&amp;INT(($C56-WEEKDAY($C56,2)+11-DATE(YEAR($C56+4-WEEKDAY($C56,2)),1,1))/7)&amp;"-RSC-A")</f>
        <v>DEZ-S53-RSC-A</v>
      </c>
      <c r="B56" s="34" t="str">
        <f aca="false">IF($C56="","","S"&amp;INT(($C56-WEEKDAY($C56,2)+11-DATE(YEAR($C56+4-WEEKDAY($C56,2)),1,1))/7))</f>
        <v>S53</v>
      </c>
      <c r="C56" s="52" t="n">
        <f aca="false">IF(MONTH(($X$1-WEEKDAY($X$1,3)+28)+3)=MONTH($X$1),($X$1-WEEKDAY($X$1,3)+28)+3,"")</f>
        <v>46387</v>
      </c>
      <c r="D56" s="9" t="str">
        <f aca="false">IF($C56="","","Relatório Semanal Consolidado (erros + metas + faltas + supervisores)")</f>
        <v>Relatório Semanal Consolidado (erros + metas + faltas + supervisores)</v>
      </c>
      <c r="E56" s="9"/>
      <c r="F56" s="9"/>
      <c r="G56" s="34" t="str">
        <f aca="false">IF($C56="","","A")</f>
        <v>A</v>
      </c>
      <c r="H56" s="34" t="str">
        <f aca="false">IF($C56="","",IF($G56="A",CONFIG!$B$5,IF($G56="B",CONFIG!$B$6,IF($G56="C",CONFIG!$B$7,"Gerência + coordenadores"))))</f>
        <v>(preencha o nome)</v>
      </c>
      <c r="I56" s="34"/>
      <c r="J56" s="32" t="str">
        <f aca="false">IF($C56="","","—")</f>
        <v>—</v>
      </c>
      <c r="K56" s="61"/>
      <c r="L56" s="61"/>
      <c r="M56" s="54"/>
      <c r="N56" s="54"/>
      <c r="O56" s="54"/>
      <c r="P56" s="55"/>
      <c r="Q56" s="56"/>
      <c r="R56" s="57"/>
      <c r="S56" s="34" t="str">
        <f aca="true">IF($C56="","",IF($Q56="Cancelada","Cancelada",IF($Q56="Reprovado","Reprovada",IF($Q56="Aprovado","Aprovada",IF($M56&lt;&gt;"","Entregue",IF(TODAY()&gt;$C56,"Atrasada","Pendente"))))))</f>
        <v>Pendente</v>
      </c>
      <c r="T56" s="58"/>
      <c r="U56" s="58"/>
      <c r="V56" s="58"/>
    </row>
    <row r="57" customFormat="false" ht="22.35" hidden="false" customHeight="false" outlineLevel="0" collapsed="false">
      <c r="A57" s="59" t="str">
        <f aca="false">IF($C57="","",$X$2&amp;"-S"&amp;INT(($C57-WEEKDAY($C57,2)+11-DATE(YEAR($C57+4-WEEKDAY($C57,2)),1,1))/7)&amp;"-RSC-B")</f>
        <v>DEZ-S53-RSC-B</v>
      </c>
      <c r="B57" s="30" t="str">
        <f aca="false">IF($C57="","","S"&amp;INT(($C57-WEEKDAY($C57,2)+11-DATE(YEAR($C57+4-WEEKDAY($C57,2)),1,1))/7))</f>
        <v>S53</v>
      </c>
      <c r="C57" s="52" t="n">
        <f aca="false">IF(MONTH(($X$1-WEEKDAY($X$1,3)+28)+3)=MONTH($X$1),($X$1-WEEKDAY($X$1,3)+28)+3,"")</f>
        <v>46387</v>
      </c>
      <c r="D57" s="27" t="str">
        <f aca="false">IF($C57="","","Relatório Semanal Consolidado (erros + metas + faltas + supervisores)")</f>
        <v>Relatório Semanal Consolidado (erros + metas + faltas + supervisores)</v>
      </c>
      <c r="E57" s="27"/>
      <c r="F57" s="27"/>
      <c r="G57" s="30" t="str">
        <f aca="false">IF($C57="","","B")</f>
        <v>B</v>
      </c>
      <c r="H57" s="30" t="str">
        <f aca="false">IF($C57="","",IF($G57="A",CONFIG!$B$5,IF($G57="B",CONFIG!$B$6,IF($G57="C",CONFIG!$B$7,"Gerência + coordenadores"))))</f>
        <v>(preencha o nome)</v>
      </c>
      <c r="I57" s="30"/>
      <c r="J57" s="32" t="str">
        <f aca="false">IF($C57="","","—")</f>
        <v>—</v>
      </c>
      <c r="K57" s="61"/>
      <c r="L57" s="61"/>
      <c r="M57" s="54"/>
      <c r="N57" s="54"/>
      <c r="O57" s="54"/>
      <c r="P57" s="60"/>
      <c r="Q57" s="56"/>
      <c r="R57" s="57"/>
      <c r="S57" s="30" t="str">
        <f aca="true">IF($C57="","",IF($Q57="Cancelada","Cancelada",IF($Q57="Reprovado","Reprovada",IF($Q57="Aprovado","Aprovada",IF($M57&lt;&gt;"","Entregue",IF(TODAY()&gt;$C57,"Atrasada","Pendente"))))))</f>
        <v>Pendente</v>
      </c>
      <c r="T57" s="58"/>
      <c r="U57" s="58"/>
      <c r="V57" s="58"/>
    </row>
    <row r="58" customFormat="false" ht="22.35" hidden="false" customHeight="false" outlineLevel="0" collapsed="false">
      <c r="A58" s="51" t="str">
        <f aca="false">IF($C58="","",$X$2&amp;"-S"&amp;INT(($C58-WEEKDAY($C58,2)+11-DATE(YEAR($C58+4-WEEKDAY($C58,2)),1,1))/7)&amp;"-RSC-C")</f>
        <v>DEZ-S53-RSC-C</v>
      </c>
      <c r="B58" s="34" t="str">
        <f aca="false">IF($C58="","","S"&amp;INT(($C58-WEEKDAY($C58,2)+11-DATE(YEAR($C58+4-WEEKDAY($C58,2)),1,1))/7))</f>
        <v>S53</v>
      </c>
      <c r="C58" s="52" t="n">
        <f aca="false">IF(MONTH(($X$1-WEEKDAY($X$1,3)+28)+3)=MONTH($X$1),($X$1-WEEKDAY($X$1,3)+28)+3,"")</f>
        <v>46387</v>
      </c>
      <c r="D58" s="9" t="str">
        <f aca="false">IF($C58="","","Relatório Semanal Consolidado (erros + metas + faltas + supervisores)")</f>
        <v>Relatório Semanal Consolidado (erros + metas + faltas + supervisores)</v>
      </c>
      <c r="E58" s="9"/>
      <c r="F58" s="9"/>
      <c r="G58" s="34" t="str">
        <f aca="false">IF($C58="","","C")</f>
        <v>C</v>
      </c>
      <c r="H58" s="34" t="str">
        <f aca="false">IF($C58="","",IF($G58="A",CONFIG!$B$5,IF($G58="B",CONFIG!$B$6,IF($G58="C",CONFIG!$B$7,"Gerência + coordenadores"))))</f>
        <v>(preencha o nome)</v>
      </c>
      <c r="I58" s="34"/>
      <c r="J58" s="32" t="str">
        <f aca="false">IF($C58="","","—")</f>
        <v>—</v>
      </c>
      <c r="K58" s="61"/>
      <c r="L58" s="61"/>
      <c r="M58" s="54"/>
      <c r="N58" s="54"/>
      <c r="O58" s="54"/>
      <c r="P58" s="55"/>
      <c r="Q58" s="56"/>
      <c r="R58" s="57"/>
      <c r="S58" s="34" t="str">
        <f aca="true">IF($C58="","",IF($Q58="Cancelada","Cancelada",IF($Q58="Reprovado","Reprovada",IF($Q58="Aprovado","Aprovada",IF($M58&lt;&gt;"","Entregue",IF(TODAY()&gt;$C58,"Atrasada","Pendente"))))))</f>
        <v>Pendente</v>
      </c>
      <c r="T58" s="58"/>
      <c r="U58" s="58"/>
      <c r="V58" s="58"/>
    </row>
    <row r="59" customFormat="false" ht="22.35" hidden="false" customHeight="false" outlineLevel="0" collapsed="false">
      <c r="A59" s="59" t="str">
        <f aca="false">IF($C59="","",$X$2&amp;"-S"&amp;INT(($C59-WEEKDAY($C59,2)+11-DATE(YEAR($C59+4-WEEKDAY($C59,2)),1,1))/7)&amp;"-MDF-T")</f>
        <v>DEZ-S52-MDF-T</v>
      </c>
      <c r="B59" s="30" t="str">
        <f aca="false">IF($C59="","","S"&amp;INT(($C59-WEEKDAY($C59,2)+11-DATE(YEAR($C59+4-WEEKDAY($C59,2)),1,1))/7))</f>
        <v>S52</v>
      </c>
      <c r="C59" s="52" t="n">
        <f aca="false">EOMONTH($X$1,0)-MOD(WEEKDAY(EOMONTH($X$1,0),2)-5,7)</f>
        <v>46381</v>
      </c>
      <c r="D59" s="27" t="str">
        <f aca="false">IF($C59="","","Mudança de Função — reunião mensal")</f>
        <v>Mudança de Função — reunião mensal</v>
      </c>
      <c r="E59" s="27"/>
      <c r="F59" s="27"/>
      <c r="G59" s="30" t="str">
        <f aca="false">IF($C59="","","Todos")</f>
        <v>Todos</v>
      </c>
      <c r="H59" s="30" t="str">
        <f aca="false">IF($C59="","",IF($G59="A",CONFIG!$B$5,IF($G59="B",CONFIG!$B$6,IF($G59="C",CONFIG!$B$7,"Gerência + coordenadores"))))</f>
        <v>Gerência + coordenadores</v>
      </c>
      <c r="I59" s="30"/>
      <c r="J59" s="32" t="str">
        <f aca="false">IF($C59="","","—")</f>
        <v>—</v>
      </c>
      <c r="K59" s="53"/>
      <c r="L59" s="53"/>
      <c r="M59" s="54"/>
      <c r="N59" s="54"/>
      <c r="O59" s="54"/>
      <c r="P59" s="60"/>
      <c r="Q59" s="56"/>
      <c r="R59" s="57"/>
      <c r="S59" s="30" t="str">
        <f aca="true">IF($C59="","",IF($Q59="Cancelada","Cancelada",IF($Q59="Reprovado","Reprovada",IF($Q59="Aprovado","Aprovada",IF($M59&lt;&gt;"","Entregue",IF(TODAY()&gt;$C59,"Atrasada","Pendente"))))))</f>
        <v>Pendente</v>
      </c>
      <c r="T59" s="58"/>
      <c r="U59" s="58"/>
      <c r="V59" s="58"/>
    </row>
    <row r="61" customFormat="false" ht="15" hidden="false" customHeight="true" outlineLevel="0" collapsed="false">
      <c r="A61" s="62" t="s">
        <v>139</v>
      </c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customFormat="false" ht="21.75" hidden="false" customHeight="true" outlineLevel="0" collapsed="false">
      <c r="A62" s="51" t="str">
        <f aca="false">$X$2&amp;"-TRE-1"</f>
        <v>DEZ-TRE-1</v>
      </c>
      <c r="B62" s="32" t="str">
        <f aca="false">IF($C62="","","S"&amp;INT(($C62-WEEKDAY($C62,2)+11-DATE(YEAR($C62+4-WEEKDAY($C62,2)),1,1))/7))</f>
        <v/>
      </c>
      <c r="C62" s="52"/>
      <c r="D62" s="57" t="s">
        <v>140</v>
      </c>
      <c r="E62" s="57"/>
      <c r="F62" s="57"/>
      <c r="G62" s="32" t="s">
        <v>141</v>
      </c>
      <c r="H62" s="34" t="s">
        <v>142</v>
      </c>
      <c r="I62" s="34"/>
      <c r="J62" s="32" t="s">
        <v>143</v>
      </c>
      <c r="K62" s="53"/>
      <c r="L62" s="53"/>
      <c r="M62" s="54"/>
      <c r="N62" s="54"/>
      <c r="O62" s="54"/>
      <c r="P62" s="55"/>
      <c r="Q62" s="56"/>
      <c r="R62" s="57"/>
      <c r="S62" s="34" t="str">
        <f aca="true">IF($C62="","Não agendado",IF($Q62="Cancelada","Cancelada",IF($Q62="Reprovado","Reprovada",IF($Q62="Aprovado","Aprovada",IF($M62&lt;&gt;"","Entregue",IF(TODAY()&gt;$C62,"Atrasada","Pendente"))))))</f>
        <v>Não agendado</v>
      </c>
      <c r="T62" s="58"/>
      <c r="U62" s="58"/>
      <c r="V62" s="58"/>
    </row>
    <row r="63" customFormat="false" ht="21.75" hidden="false" customHeight="true" outlineLevel="0" collapsed="false">
      <c r="A63" s="51" t="str">
        <f aca="false">$X$2&amp;"-TRE-2"</f>
        <v>DEZ-TRE-2</v>
      </c>
      <c r="B63" s="32" t="str">
        <f aca="false">IF($C63="","","S"&amp;INT(($C63-WEEKDAY($C63,2)+11-DATE(YEAR($C63+4-WEEKDAY($C63,2)),1,1))/7))</f>
        <v/>
      </c>
      <c r="C63" s="52"/>
      <c r="D63" s="57" t="s">
        <v>140</v>
      </c>
      <c r="E63" s="57"/>
      <c r="F63" s="57"/>
      <c r="G63" s="32" t="s">
        <v>141</v>
      </c>
      <c r="H63" s="34" t="s">
        <v>142</v>
      </c>
      <c r="I63" s="34"/>
      <c r="J63" s="32" t="s">
        <v>143</v>
      </c>
      <c r="K63" s="53"/>
      <c r="L63" s="53"/>
      <c r="M63" s="54"/>
      <c r="N63" s="54"/>
      <c r="O63" s="54"/>
      <c r="P63" s="55"/>
      <c r="Q63" s="56"/>
      <c r="R63" s="57"/>
      <c r="S63" s="34" t="str">
        <f aca="true">IF($C63="","Não agendado",IF($Q63="Cancelada","Cancelada",IF($Q63="Reprovado","Reprovada",IF($Q63="Aprovado","Aprovada",IF($M63&lt;&gt;"","Entregue",IF(TODAY()&gt;$C63,"Atrasada","Pendente"))))))</f>
        <v>Não agendado</v>
      </c>
      <c r="T63" s="58"/>
      <c r="U63" s="58"/>
      <c r="V63" s="58"/>
    </row>
    <row r="64" customFormat="false" ht="21.75" hidden="false" customHeight="true" outlineLevel="0" collapsed="false">
      <c r="A64" s="51" t="str">
        <f aca="false">$X$2&amp;"-TRE-3"</f>
        <v>DEZ-TRE-3</v>
      </c>
      <c r="B64" s="32" t="str">
        <f aca="false">IF($C64="","","S"&amp;INT(($C64-WEEKDAY($C64,2)+11-DATE(YEAR($C64+4-WEEKDAY($C64,2)),1,1))/7))</f>
        <v/>
      </c>
      <c r="C64" s="52"/>
      <c r="D64" s="57" t="s">
        <v>140</v>
      </c>
      <c r="E64" s="57"/>
      <c r="F64" s="57"/>
      <c r="G64" s="32" t="s">
        <v>141</v>
      </c>
      <c r="H64" s="34" t="s">
        <v>142</v>
      </c>
      <c r="I64" s="34"/>
      <c r="J64" s="32" t="s">
        <v>143</v>
      </c>
      <c r="K64" s="53"/>
      <c r="L64" s="53"/>
      <c r="M64" s="54"/>
      <c r="N64" s="54"/>
      <c r="O64" s="54"/>
      <c r="P64" s="55"/>
      <c r="Q64" s="56"/>
      <c r="R64" s="57"/>
      <c r="S64" s="34" t="str">
        <f aca="true">IF($C64="","Não agendado",IF($Q64="Cancelada","Cancelada",IF($Q64="Reprovado","Reprovada",IF($Q64="Aprovado","Aprovada",IF($M64&lt;&gt;"","Entregue",IF(TODAY()&gt;$C64,"Atrasada","Pendente"))))))</f>
        <v>Não agendado</v>
      </c>
      <c r="T64" s="58"/>
      <c r="U64" s="58"/>
      <c r="V64" s="58"/>
    </row>
    <row r="65" customFormat="false" ht="21.75" hidden="false" customHeight="true" outlineLevel="0" collapsed="false">
      <c r="A65" s="51" t="str">
        <f aca="false">$X$2&amp;"-TRE-4"</f>
        <v>DEZ-TRE-4</v>
      </c>
      <c r="B65" s="32" t="str">
        <f aca="false">IF($C65="","","S"&amp;INT(($C65-WEEKDAY($C65,2)+11-DATE(YEAR($C65+4-WEEKDAY($C65,2)),1,1))/7))</f>
        <v/>
      </c>
      <c r="C65" s="52"/>
      <c r="D65" s="57" t="s">
        <v>140</v>
      </c>
      <c r="E65" s="57"/>
      <c r="F65" s="57"/>
      <c r="G65" s="32" t="s">
        <v>141</v>
      </c>
      <c r="H65" s="34" t="s">
        <v>142</v>
      </c>
      <c r="I65" s="34"/>
      <c r="J65" s="32" t="s">
        <v>143</v>
      </c>
      <c r="K65" s="53"/>
      <c r="L65" s="53"/>
      <c r="M65" s="54"/>
      <c r="N65" s="54"/>
      <c r="O65" s="54"/>
      <c r="P65" s="55"/>
      <c r="Q65" s="56"/>
      <c r="R65" s="57"/>
      <c r="S65" s="34" t="str">
        <f aca="true">IF($C65="","Não agendado",IF($Q65="Cancelada","Cancelada",IF($Q65="Reprovado","Reprovada",IF($Q65="Aprovado","Aprovada",IF($M65&lt;&gt;"","Entregue",IF(TODAY()&gt;$C65,"Atrasada","Pendente"))))))</f>
        <v>Não agendado</v>
      </c>
      <c r="T65" s="58"/>
      <c r="U65" s="58"/>
      <c r="V65" s="58"/>
    </row>
    <row r="66" customFormat="false" ht="21.75" hidden="false" customHeight="true" outlineLevel="0" collapsed="false">
      <c r="A66" s="51" t="str">
        <f aca="false">$X$2&amp;"-TRE-5"</f>
        <v>DEZ-TRE-5</v>
      </c>
      <c r="B66" s="32" t="str">
        <f aca="false">IF($C66="","","S"&amp;INT(($C66-WEEKDAY($C66,2)+11-DATE(YEAR($C66+4-WEEKDAY($C66,2)),1,1))/7))</f>
        <v/>
      </c>
      <c r="C66" s="52"/>
      <c r="D66" s="57" t="s">
        <v>140</v>
      </c>
      <c r="E66" s="57"/>
      <c r="F66" s="57"/>
      <c r="G66" s="32" t="s">
        <v>141</v>
      </c>
      <c r="H66" s="34" t="s">
        <v>142</v>
      </c>
      <c r="I66" s="34"/>
      <c r="J66" s="32" t="s">
        <v>143</v>
      </c>
      <c r="K66" s="53"/>
      <c r="L66" s="53"/>
      <c r="M66" s="54"/>
      <c r="N66" s="54"/>
      <c r="O66" s="54"/>
      <c r="P66" s="55"/>
      <c r="Q66" s="56"/>
      <c r="R66" s="57"/>
      <c r="S66" s="34" t="str">
        <f aca="true">IF($C66="","Não agendado",IF($Q66="Cancelada","Cancelada",IF($Q66="Reprovado","Reprovada",IF($Q66="Aprovado","Aprovada",IF($M66&lt;&gt;"","Entregue",IF(TODAY()&gt;$C66,"Atrasada","Pendente"))))))</f>
        <v>Não agendado</v>
      </c>
      <c r="T66" s="58"/>
      <c r="U66" s="58"/>
      <c r="V66" s="58"/>
    </row>
    <row r="67" customFormat="false" ht="21.75" hidden="false" customHeight="true" outlineLevel="0" collapsed="false">
      <c r="A67" s="51" t="str">
        <f aca="false">$X$2&amp;"-TRE-6"</f>
        <v>DEZ-TRE-6</v>
      </c>
      <c r="B67" s="32" t="str">
        <f aca="false">IF($C67="","","S"&amp;INT(($C67-WEEKDAY($C67,2)+11-DATE(YEAR($C67+4-WEEKDAY($C67,2)),1,1))/7))</f>
        <v/>
      </c>
      <c r="C67" s="52"/>
      <c r="D67" s="57" t="s">
        <v>140</v>
      </c>
      <c r="E67" s="57"/>
      <c r="F67" s="57"/>
      <c r="G67" s="32" t="s">
        <v>141</v>
      </c>
      <c r="H67" s="34" t="s">
        <v>142</v>
      </c>
      <c r="I67" s="34"/>
      <c r="J67" s="32" t="s">
        <v>143</v>
      </c>
      <c r="K67" s="53"/>
      <c r="L67" s="53"/>
      <c r="M67" s="54"/>
      <c r="N67" s="54"/>
      <c r="O67" s="54"/>
      <c r="P67" s="55"/>
      <c r="Q67" s="56"/>
      <c r="R67" s="57"/>
      <c r="S67" s="34" t="str">
        <f aca="true">IF($C67="","Não agendado",IF($Q67="Cancelada","Cancelada",IF($Q67="Reprovado","Reprovada",IF($Q67="Aprovado","Aprovada",IF($M67&lt;&gt;"","Entregue",IF(TODAY()&gt;$C67,"Atrasada","Pendente"))))))</f>
        <v>Não agendado</v>
      </c>
      <c r="T67" s="58"/>
      <c r="U67" s="58"/>
      <c r="V67" s="58"/>
    </row>
    <row r="69" customFormat="false" ht="15" hidden="false" customHeight="true" outlineLevel="0" collapsed="false">
      <c r="A69" s="48" t="s">
        <v>144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</row>
  </sheetData>
  <mergeCells count="232">
    <mergeCell ref="A1:S1"/>
    <mergeCell ref="A3:O3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O18"/>
    <mergeCell ref="A20:V20"/>
    <mergeCell ref="D21:F21"/>
    <mergeCell ref="H21:I21"/>
    <mergeCell ref="M21:O21"/>
    <mergeCell ref="D22:F22"/>
    <mergeCell ref="H22:I22"/>
    <mergeCell ref="M22:O22"/>
    <mergeCell ref="D23:F23"/>
    <mergeCell ref="H23:I23"/>
    <mergeCell ref="M23:O23"/>
    <mergeCell ref="D24:F24"/>
    <mergeCell ref="H24:I24"/>
    <mergeCell ref="M24:O24"/>
    <mergeCell ref="D25:F25"/>
    <mergeCell ref="H25:I25"/>
    <mergeCell ref="M25:O25"/>
    <mergeCell ref="D26:F26"/>
    <mergeCell ref="H26:I26"/>
    <mergeCell ref="M26:O26"/>
    <mergeCell ref="D27:F27"/>
    <mergeCell ref="H27:I27"/>
    <mergeCell ref="M27:O27"/>
    <mergeCell ref="D28:F28"/>
    <mergeCell ref="H28:I28"/>
    <mergeCell ref="M28:O28"/>
    <mergeCell ref="D29:F29"/>
    <mergeCell ref="H29:I29"/>
    <mergeCell ref="M29:O29"/>
    <mergeCell ref="D30:F30"/>
    <mergeCell ref="H30:I30"/>
    <mergeCell ref="M30:O30"/>
    <mergeCell ref="D31:F31"/>
    <mergeCell ref="H31:I31"/>
    <mergeCell ref="M31:O31"/>
    <mergeCell ref="D32:F32"/>
    <mergeCell ref="H32:I32"/>
    <mergeCell ref="M32:O32"/>
    <mergeCell ref="D33:F33"/>
    <mergeCell ref="H33:I33"/>
    <mergeCell ref="M33:O33"/>
    <mergeCell ref="D34:F34"/>
    <mergeCell ref="H34:I34"/>
    <mergeCell ref="M34:O34"/>
    <mergeCell ref="D35:F35"/>
    <mergeCell ref="H35:I35"/>
    <mergeCell ref="M35:O35"/>
    <mergeCell ref="D36:F36"/>
    <mergeCell ref="H36:I36"/>
    <mergeCell ref="M36:O36"/>
    <mergeCell ref="D37:F37"/>
    <mergeCell ref="H37:I37"/>
    <mergeCell ref="M37:O37"/>
    <mergeCell ref="D38:F38"/>
    <mergeCell ref="H38:I38"/>
    <mergeCell ref="M38:O38"/>
    <mergeCell ref="D39:F39"/>
    <mergeCell ref="H39:I39"/>
    <mergeCell ref="M39:O39"/>
    <mergeCell ref="D40:F40"/>
    <mergeCell ref="H40:I40"/>
    <mergeCell ref="M40:O40"/>
    <mergeCell ref="D41:F41"/>
    <mergeCell ref="H41:I41"/>
    <mergeCell ref="M41:O41"/>
    <mergeCell ref="D42:F42"/>
    <mergeCell ref="H42:I42"/>
    <mergeCell ref="M42:O42"/>
    <mergeCell ref="D43:F43"/>
    <mergeCell ref="H43:I43"/>
    <mergeCell ref="M43:O43"/>
    <mergeCell ref="D44:F44"/>
    <mergeCell ref="H44:I44"/>
    <mergeCell ref="M44:O44"/>
    <mergeCell ref="D45:F45"/>
    <mergeCell ref="H45:I45"/>
    <mergeCell ref="M45:O45"/>
    <mergeCell ref="D46:F46"/>
    <mergeCell ref="H46:I46"/>
    <mergeCell ref="M46:O46"/>
    <mergeCell ref="D47:F47"/>
    <mergeCell ref="H47:I47"/>
    <mergeCell ref="M47:O47"/>
    <mergeCell ref="D48:F48"/>
    <mergeCell ref="H48:I48"/>
    <mergeCell ref="M48:O48"/>
    <mergeCell ref="D49:F49"/>
    <mergeCell ref="H49:I49"/>
    <mergeCell ref="M49:O49"/>
    <mergeCell ref="D50:F50"/>
    <mergeCell ref="H50:I50"/>
    <mergeCell ref="M50:O50"/>
    <mergeCell ref="D51:F51"/>
    <mergeCell ref="H51:I51"/>
    <mergeCell ref="M51:O51"/>
    <mergeCell ref="D52:F52"/>
    <mergeCell ref="H52:I52"/>
    <mergeCell ref="M52:O52"/>
    <mergeCell ref="D53:F53"/>
    <mergeCell ref="H53:I53"/>
    <mergeCell ref="M53:O53"/>
    <mergeCell ref="D54:F54"/>
    <mergeCell ref="H54:I54"/>
    <mergeCell ref="M54:O54"/>
    <mergeCell ref="D55:F55"/>
    <mergeCell ref="H55:I55"/>
    <mergeCell ref="M55:O55"/>
    <mergeCell ref="D56:F56"/>
    <mergeCell ref="H56:I56"/>
    <mergeCell ref="M56:O56"/>
    <mergeCell ref="D57:F57"/>
    <mergeCell ref="H57:I57"/>
    <mergeCell ref="M57:O57"/>
    <mergeCell ref="D58:F58"/>
    <mergeCell ref="H58:I58"/>
    <mergeCell ref="M58:O58"/>
    <mergeCell ref="D59:F59"/>
    <mergeCell ref="H59:I59"/>
    <mergeCell ref="M59:O59"/>
    <mergeCell ref="A61:V61"/>
    <mergeCell ref="D62:F62"/>
    <mergeCell ref="H62:I62"/>
    <mergeCell ref="M62:O62"/>
    <mergeCell ref="D63:F63"/>
    <mergeCell ref="H63:I63"/>
    <mergeCell ref="M63:O63"/>
    <mergeCell ref="D64:F64"/>
    <mergeCell ref="H64:I64"/>
    <mergeCell ref="M64:O64"/>
    <mergeCell ref="D65:F65"/>
    <mergeCell ref="H65:I65"/>
    <mergeCell ref="M65:O65"/>
    <mergeCell ref="D66:F66"/>
    <mergeCell ref="H66:I66"/>
    <mergeCell ref="M66:O66"/>
    <mergeCell ref="D67:F67"/>
    <mergeCell ref="H67:I67"/>
    <mergeCell ref="M67:O67"/>
    <mergeCell ref="A69:V69"/>
  </mergeCells>
  <conditionalFormatting sqref="A3">
    <cfRule type="expression" priority="2" aboveAverage="0" equalAverage="0" bottom="0" percent="0" rank="0" text="" dxfId="3">
      <formula>LEFT($A$3,3)="MÊS"</formula>
    </cfRule>
  </conditionalFormatting>
  <conditionalFormatting sqref="A22:I59">
    <cfRule type="expression" priority="3" aboveAverage="0" equalAverage="0" bottom="0" percent="0" rank="0" text="" dxfId="4">
      <formula>ISNUMBER(SEARCH("-REU-",$A22))</formula>
    </cfRule>
  </conditionalFormatting>
  <conditionalFormatting sqref="S22:S142">
    <cfRule type="expression" priority="4" aboveAverage="0" equalAverage="0" bottom="0" percent="0" rank="0" text="" dxfId="5">
      <formula>$S22="Aprovada"</formula>
    </cfRule>
    <cfRule type="expression" priority="5" aboveAverage="0" equalAverage="0" bottom="0" percent="0" rank="0" text="" dxfId="6">
      <formula>$S22="Entregue"</formula>
    </cfRule>
    <cfRule type="expression" priority="6" aboveAverage="0" equalAverage="0" bottom="0" percent="0" rank="0" text="" dxfId="7">
      <formula>$S22="Atrasada"</formula>
    </cfRule>
    <cfRule type="expression" priority="7" aboveAverage="0" equalAverage="0" bottom="0" percent="0" rank="0" text="" dxfId="8">
      <formula>$S22="Reprovada"</formula>
    </cfRule>
    <cfRule type="expression" priority="8" aboveAverage="0" equalAverage="0" bottom="0" percent="0" rank="0" text="" dxfId="9">
      <formula>$S22="Pendente"</formula>
    </cfRule>
    <cfRule type="expression" priority="9" aboveAverage="0" equalAverage="0" bottom="0" percent="0" rank="0" text="" dxfId="10">
      <formula>$S22="Cancelada"</formula>
    </cfRule>
  </conditionalFormatting>
  <conditionalFormatting sqref="B6:O17">
    <cfRule type="expression" priority="10" aboveAverage="0" equalAverage="0" bottom="0" percent="0" rank="0" text="" dxfId="11">
      <formula>AND(B6&lt;&gt;"",B6=TODAY())</formula>
    </cfRule>
    <cfRule type="expression" priority="11" aboveAverage="0" equalAverage="0" bottom="0" percent="0" rank="0" text="" dxfId="12">
      <formula>AND(B6&lt;&gt;"",COUNTIFS($C$22:$C$142,B6,$S$22:$S$142,"Atrasada")&gt;0)</formula>
    </cfRule>
    <cfRule type="expression" priority="12" aboveAverage="0" equalAverage="0" bottom="0" percent="0" rank="0" text="" dxfId="13">
      <formula>AND(B6&lt;&gt;"",COUNTIFS($C$22:$C$142,B6,$Q$22:$Q$142,"&lt;&gt;Cancelada")&gt;0)</formula>
    </cfRule>
  </conditionalFormatting>
  <dataValidations count="1">
    <dataValidation allowBlank="true" errorStyle="stop" operator="between" showDropDown="false" showErrorMessage="false" showInputMessage="false" sqref="Q22:Q142" type="list">
      <formula1>"Aprovado,Reprovado,Cancelada"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1" topLeftCell="A2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.57"/>
    <col collapsed="false" customWidth="true" hidden="false" outlineLevel="0" max="3" min="3" style="0" width="10.57"/>
    <col collapsed="false" customWidth="true" hidden="false" outlineLevel="0" max="6" min="4" style="0" width="12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true" outlineLevel="0" max="11" min="11" style="0" width="8"/>
    <col collapsed="false" customWidth="true" hidden="true" outlineLevel="0" max="12" min="12" style="0" width="9.57"/>
    <col collapsed="false" customWidth="true" hidden="false" outlineLevel="0" max="16" min="13" style="0" width="12"/>
    <col collapsed="false" customWidth="true" hidden="false" outlineLevel="0" max="17" min="17" style="0" width="11.43"/>
    <col collapsed="false" customWidth="true" hidden="false" outlineLevel="0" max="18" min="18" style="0" width="17"/>
    <col collapsed="false" customWidth="true" hidden="false" outlineLevel="0" max="19" min="19" style="0" width="12.42"/>
    <col collapsed="false" customWidth="true" hidden="false" outlineLevel="0" max="22" min="20" style="0" width="3.42"/>
    <col collapsed="false" customWidth="true" hidden="true" outlineLevel="0" max="24" min="24" style="0" width="4"/>
  </cols>
  <sheetData>
    <row r="1" customFormat="false" ht="45.75" hidden="false" customHeight="tru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X1" s="43" t="n">
        <v>46023</v>
      </c>
    </row>
    <row r="2" customFormat="false" ht="4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X2" s="44" t="s">
        <v>156</v>
      </c>
    </row>
    <row r="3" customFormat="false" ht="15" hidden="false" customHeight="false" outlineLevel="0" collapsed="false">
      <c r="A3" s="5" t="str">
        <f aca="false">IF((COUNTIF($S$22:$S$150,"Aprovada")+COUNTIF($S$22:$S$150,"Entregue")+COUNTIF($S$22:$S$150,"Pendente")+COUNTIF($S$22:$S$150,"Atrasada")+COUNTIF($S$22:$S$150,"Reprovada"))=0,"",IF(COUNTIF($S$22:$S$150,"Aprovada")=(COUNTIF($S$22:$S$150,"Aprovada")+COUNTIF($S$22:$S$150,"Entregue")+COUNTIF($S$22:$S$150,"Pendente")+COUNTIF($S$22:$S$150,"Atrasada")+COUNTIF($S$22:$S$150,"Reprovada")),"MÊS CONCLUÍDO — todas as atividades aprovadas","EM ANDAMENTO — "&amp;COUNTIF($S$22:$S$150,"Aprovada")&amp;" de "&amp;(COUNTIF($S$22:$S$150,"Aprovada")+COUNTIF($S$22:$S$150,"Entregue")+COUNTIF($S$22:$S$150,"Pendente")+COUNTIF($S$22:$S$150,"Atrasada")+COUNTIF($S$22:$S$150,"Reprovada"))&amp;" atividades aprovadas · "&amp;COUNTIF($S$22:$S$150,"Atrasada")&amp;" em atraso"))</f>
        <v>EM ANDAMENTO — 0 de 36 atividades aprovadas · 36 em atraso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8" hidden="false" customHeight="true" outlineLevel="0" collapsed="false">
      <c r="B5" s="40" t="s">
        <v>119</v>
      </c>
      <c r="C5" s="40"/>
      <c r="D5" s="40" t="s">
        <v>120</v>
      </c>
      <c r="E5" s="40"/>
      <c r="F5" s="40" t="s">
        <v>121</v>
      </c>
      <c r="G5" s="40"/>
      <c r="H5" s="40" t="s">
        <v>3</v>
      </c>
      <c r="I5" s="40"/>
      <c r="J5" s="40" t="s">
        <v>6</v>
      </c>
      <c r="K5" s="40"/>
      <c r="L5" s="45" t="s">
        <v>9</v>
      </c>
      <c r="M5" s="45"/>
      <c r="N5" s="40" t="s">
        <v>122</v>
      </c>
      <c r="O5" s="40"/>
    </row>
    <row r="6" customFormat="false" ht="15" hidden="false" customHeight="true" outlineLevel="0" collapsed="false">
      <c r="B6" s="46" t="str">
        <f aca="false">IF(MONTH($X$1-WEEKDAY($X$1)+1+0)=MONTH($X$1),$X$1-WEEKDAY($X$1)+1+0,"")</f>
        <v/>
      </c>
      <c r="C6" s="46"/>
      <c r="D6" s="46" t="str">
        <f aca="false">IF(MONTH($X$1-WEEKDAY($X$1)+1+1)=MONTH($X$1),$X$1-WEEKDAY($X$1)+1+1,"")</f>
        <v/>
      </c>
      <c r="E6" s="46"/>
      <c r="F6" s="46" t="str">
        <f aca="false">IF(MONTH($X$1-WEEKDAY($X$1)+1+2)=MONTH($X$1),$X$1-WEEKDAY($X$1)+1+2,"")</f>
        <v/>
      </c>
      <c r="G6" s="46"/>
      <c r="H6" s="46" t="str">
        <f aca="false">IF(MONTH($X$1-WEEKDAY($X$1)+1+3)=MONTH($X$1),$X$1-WEEKDAY($X$1)+1+3,"")</f>
        <v/>
      </c>
      <c r="I6" s="46"/>
      <c r="J6" s="46" t="n">
        <f aca="false">IF(MONTH($X$1-WEEKDAY($X$1)+1+4)=MONTH($X$1),$X$1-WEEKDAY($X$1)+1+4,"")</f>
        <v>46023</v>
      </c>
      <c r="K6" s="46"/>
      <c r="L6" s="46" t="n">
        <f aca="false">IF(MONTH($X$1-WEEKDAY($X$1)+1+5)=MONTH($X$1),$X$1-WEEKDAY($X$1)+1+5,"")</f>
        <v>46024</v>
      </c>
      <c r="M6" s="46"/>
      <c r="N6" s="46" t="n">
        <f aca="false">IF(MONTH($X$1-WEEKDAY($X$1)+1+6)=MONTH($X$1),$X$1-WEEKDAY($X$1)+1+6,"")</f>
        <v>46025</v>
      </c>
      <c r="O6" s="46"/>
    </row>
    <row r="7" customFormat="false" ht="25.5" hidden="false" customHeight="true" outlineLevel="0" collapsed="false">
      <c r="B7" s="47" t="str">
        <f aca="false">IF(B6="","",TRIM(IF(COUNTIFS($C$22:$C$150,B6,$D$22:$D$150,"*Vistoria*",$Q$22:$Q$150,"&lt;&gt;Cancelada")&gt;0,"Vistoria ","")&amp;IF(COUNTIFS($C$22:$C$150,B6,$D$22:$D$150,"*Relatório*",$Q$22:$Q$150,"&lt;&gt;Cancelada")&gt;0,"Relatório ","")&amp;IF(COUNTIFS($C$22:$C$150,B6,$D$22:$D$150,"*Reunião*",$Q$22:$Q$150,"&lt;&gt;Cancelada")&gt;0,"REUNIÃO ","")&amp;IF(COUNTIFS($C$22:$C$150,B6,$D$22:$D$150,"*Férias*",$Q$22:$Q$150,"&lt;&gt;Cancelada")&gt;0,"Férias ","")&amp;IF(COUNTIFS($C$22:$C$150,B6,$D$22:$D$150,"*Mudança*",$Q$22:$Q$150,"&lt;&gt;Cancelada")&gt;0,"M.Função ","")&amp;IF(COUNTIFS($C$22:$C$150,B6,$D$22:$D$150,"*Treinamento*",$Q$22:$Q$150,"&lt;&gt;Cancelada")&gt;0,"Trein. ","")))</f>
        <v/>
      </c>
      <c r="C7" s="47"/>
      <c r="D7" s="47" t="str">
        <f aca="false">IF(D6="","",TRIM(IF(COUNTIFS($C$22:$C$150,D6,$D$22:$D$150,"*Vistoria*",$Q$22:$Q$150,"&lt;&gt;Cancelada")&gt;0,"Vistoria ","")&amp;IF(COUNTIFS($C$22:$C$150,D6,$D$22:$D$150,"*Relatório*",$Q$22:$Q$150,"&lt;&gt;Cancelada")&gt;0,"Relatório ","")&amp;IF(COUNTIFS($C$22:$C$150,D6,$D$22:$D$150,"*Reunião*",$Q$22:$Q$150,"&lt;&gt;Cancelada")&gt;0,"REUNIÃO ","")&amp;IF(COUNTIFS($C$22:$C$150,D6,$D$22:$D$150,"*Férias*",$Q$22:$Q$150,"&lt;&gt;Cancelada")&gt;0,"Férias ","")&amp;IF(COUNTIFS($C$22:$C$150,D6,$D$22:$D$150,"*Mudança*",$Q$22:$Q$150,"&lt;&gt;Cancelada")&gt;0,"M.Função ","")&amp;IF(COUNTIFS($C$22:$C$150,D6,$D$22:$D$150,"*Treinamento*",$Q$22:$Q$150,"&lt;&gt;Cancelada")&gt;0,"Trein. ","")))</f>
        <v/>
      </c>
      <c r="E7" s="47"/>
      <c r="F7" s="47" t="str">
        <f aca="false">IF(F6="","",TRIM(IF(COUNTIFS($C$22:$C$150,F6,$D$22:$D$150,"*Vistoria*",$Q$22:$Q$150,"&lt;&gt;Cancelada")&gt;0,"Vistoria ","")&amp;IF(COUNTIFS($C$22:$C$150,F6,$D$22:$D$150,"*Relatório*",$Q$22:$Q$150,"&lt;&gt;Cancelada")&gt;0,"Relatório ","")&amp;IF(COUNTIFS($C$22:$C$150,F6,$D$22:$D$150,"*Reunião*",$Q$22:$Q$150,"&lt;&gt;Cancelada")&gt;0,"REUNIÃO ","")&amp;IF(COUNTIFS($C$22:$C$150,F6,$D$22:$D$150,"*Férias*",$Q$22:$Q$150,"&lt;&gt;Cancelada")&gt;0,"Férias ","")&amp;IF(COUNTIFS($C$22:$C$150,F6,$D$22:$D$150,"*Mudança*",$Q$22:$Q$150,"&lt;&gt;Cancelada")&gt;0,"M.Função ","")&amp;IF(COUNTIFS($C$22:$C$150,F6,$D$22:$D$150,"*Treinamento*",$Q$22:$Q$150,"&lt;&gt;Cancelada")&gt;0,"Trein. ","")))</f>
        <v/>
      </c>
      <c r="G7" s="47"/>
      <c r="H7" s="47" t="str">
        <f aca="false">IF(H6="","",TRIM(IF(COUNTIFS($C$22:$C$150,H6,$D$22:$D$150,"*Vistoria*",$Q$22:$Q$150,"&lt;&gt;Cancelada")&gt;0,"Vistoria ","")&amp;IF(COUNTIFS($C$22:$C$150,H6,$D$22:$D$150,"*Relatório*",$Q$22:$Q$150,"&lt;&gt;Cancelada")&gt;0,"Relatório ","")&amp;IF(COUNTIFS($C$22:$C$150,H6,$D$22:$D$150,"*Reunião*",$Q$22:$Q$150,"&lt;&gt;Cancelada")&gt;0,"REUNIÃO ","")&amp;IF(COUNTIFS($C$22:$C$150,H6,$D$22:$D$150,"*Férias*",$Q$22:$Q$150,"&lt;&gt;Cancelada")&gt;0,"Férias ","")&amp;IF(COUNTIFS($C$22:$C$150,H6,$D$22:$D$150,"*Mudança*",$Q$22:$Q$150,"&lt;&gt;Cancelada")&gt;0,"M.Função ","")&amp;IF(COUNTIFS($C$22:$C$150,H6,$D$22:$D$150,"*Treinamento*",$Q$22:$Q$150,"&lt;&gt;Cancelada")&gt;0,"Trein. ","")))</f>
        <v/>
      </c>
      <c r="I7" s="47"/>
      <c r="J7" s="47" t="str">
        <f aca="false">IF(J6="","",TRIM(IF(COUNTIFS($C$22:$C$150,J6,$D$22:$D$150,"*Vistoria*",$Q$22:$Q$150,"&lt;&gt;Cancelada")&gt;0,"Vistoria ","")&amp;IF(COUNTIFS($C$22:$C$150,J6,$D$22:$D$150,"*Relatório*",$Q$22:$Q$150,"&lt;&gt;Cancelada")&gt;0,"Relatório ","")&amp;IF(COUNTIFS($C$22:$C$150,J6,$D$22:$D$150,"*Reunião*",$Q$22:$Q$150,"&lt;&gt;Cancelada")&gt;0,"REUNIÃO ","")&amp;IF(COUNTIFS($C$22:$C$150,J6,$D$22:$D$150,"*Férias*",$Q$22:$Q$150,"&lt;&gt;Cancelada")&gt;0,"Férias ","")&amp;IF(COUNTIFS($C$22:$C$150,J6,$D$22:$D$150,"*Mudança*",$Q$22:$Q$150,"&lt;&gt;Cancelada")&gt;0,"M.Função ","")&amp;IF(COUNTIFS($C$22:$C$150,J6,$D$22:$D$150,"*Treinamento*",$Q$22:$Q$150,"&lt;&gt;Cancelada")&gt;0,"Trein. ","")))</f>
        <v>Relatório</v>
      </c>
      <c r="K7" s="47"/>
      <c r="L7" s="47" t="str">
        <f aca="false">IF(L6="","",TRIM(IF(COUNTIFS($C$22:$C$150,L6,$D$22:$D$150,"*Vistoria*",$Q$22:$Q$150,"&lt;&gt;Cancelada")&gt;0,"Vistoria ","")&amp;IF(COUNTIFS($C$22:$C$150,L6,$D$22:$D$150,"*Relatório*",$Q$22:$Q$150,"&lt;&gt;Cancelada")&gt;0,"Relatório ","")&amp;IF(COUNTIFS($C$22:$C$150,L6,$D$22:$D$150,"*Reunião*",$Q$22:$Q$150,"&lt;&gt;Cancelada")&gt;0,"REUNIÃO ","")&amp;IF(COUNTIFS($C$22:$C$150,L6,$D$22:$D$150,"*Férias*",$Q$22:$Q$150,"&lt;&gt;Cancelada")&gt;0,"Férias ","")&amp;IF(COUNTIFS($C$22:$C$150,L6,$D$22:$D$150,"*Mudança*",$Q$22:$Q$150,"&lt;&gt;Cancelada")&gt;0,"M.Função ","")&amp;IF(COUNTIFS($C$22:$C$150,L6,$D$22:$D$150,"*Treinamento*",$Q$22:$Q$150,"&lt;&gt;Cancelada")&gt;0,"Trein. ","")))</f>
        <v>REUNIÃO</v>
      </c>
      <c r="M7" s="47"/>
      <c r="N7" s="47" t="str">
        <f aca="false">IF(N6="","",TRIM(IF(COUNTIFS($C$22:$C$150,N6,$D$22:$D$150,"*Vistoria*",$Q$22:$Q$150,"&lt;&gt;Cancelada")&gt;0,"Vistoria ","")&amp;IF(COUNTIFS($C$22:$C$150,N6,$D$22:$D$150,"*Relatório*",$Q$22:$Q$150,"&lt;&gt;Cancelada")&gt;0,"Relatório ","")&amp;IF(COUNTIFS($C$22:$C$150,N6,$D$22:$D$150,"*Reunião*",$Q$22:$Q$150,"&lt;&gt;Cancelada")&gt;0,"REUNIÃO ","")&amp;IF(COUNTIFS($C$22:$C$150,N6,$D$22:$D$150,"*Férias*",$Q$22:$Q$150,"&lt;&gt;Cancelada")&gt;0,"Férias ","")&amp;IF(COUNTIFS($C$22:$C$150,N6,$D$22:$D$150,"*Mudança*",$Q$22:$Q$150,"&lt;&gt;Cancelada")&gt;0,"M.Função ","")&amp;IF(COUNTIFS($C$22:$C$150,N6,$D$22:$D$150,"*Treinamento*",$Q$22:$Q$150,"&lt;&gt;Cancelada")&gt;0,"Trein. ","")))</f>
        <v/>
      </c>
      <c r="O7" s="47"/>
    </row>
    <row r="8" customFormat="false" ht="15" hidden="false" customHeight="true" outlineLevel="0" collapsed="false">
      <c r="B8" s="46" t="n">
        <f aca="false">IF(MONTH($X$1-WEEKDAY($X$1)+1+7)=MONTH($X$1),$X$1-WEEKDAY($X$1)+1+7,"")</f>
        <v>46026</v>
      </c>
      <c r="C8" s="46"/>
      <c r="D8" s="46" t="n">
        <f aca="false">IF(MONTH($X$1-WEEKDAY($X$1)+1+8)=MONTH($X$1),$X$1-WEEKDAY($X$1)+1+8,"")</f>
        <v>46027</v>
      </c>
      <c r="E8" s="46"/>
      <c r="F8" s="46" t="n">
        <f aca="false">IF(MONTH($X$1-WEEKDAY($X$1)+1+9)=MONTH($X$1),$X$1-WEEKDAY($X$1)+1+9,"")</f>
        <v>46028</v>
      </c>
      <c r="G8" s="46"/>
      <c r="H8" s="46" t="n">
        <f aca="false">IF(MONTH($X$1-WEEKDAY($X$1)+1+10)=MONTH($X$1),$X$1-WEEKDAY($X$1)+1+10,"")</f>
        <v>46029</v>
      </c>
      <c r="I8" s="46"/>
      <c r="J8" s="46" t="n">
        <f aca="false">IF(MONTH($X$1-WEEKDAY($X$1)+1+11)=MONTH($X$1),$X$1-WEEKDAY($X$1)+1+11,"")</f>
        <v>46030</v>
      </c>
      <c r="K8" s="46"/>
      <c r="L8" s="46" t="n">
        <f aca="false">IF(MONTH($X$1-WEEKDAY($X$1)+1+12)=MONTH($X$1),$X$1-WEEKDAY($X$1)+1+12,"")</f>
        <v>46031</v>
      </c>
      <c r="M8" s="46"/>
      <c r="N8" s="46" t="n">
        <f aca="false">IF(MONTH($X$1-WEEKDAY($X$1)+1+13)=MONTH($X$1),$X$1-WEEKDAY($X$1)+1+13,"")</f>
        <v>46032</v>
      </c>
      <c r="O8" s="46"/>
    </row>
    <row r="9" customFormat="false" ht="25.5" hidden="false" customHeight="true" outlineLevel="0" collapsed="false">
      <c r="B9" s="47" t="str">
        <f aca="false">IF(B8="","",TRIM(IF(COUNTIFS($C$22:$C$150,B8,$D$22:$D$150,"*Vistoria*",$Q$22:$Q$150,"&lt;&gt;Cancelada")&gt;0,"Vistoria ","")&amp;IF(COUNTIFS($C$22:$C$150,B8,$D$22:$D$150,"*Relatório*",$Q$22:$Q$150,"&lt;&gt;Cancelada")&gt;0,"Relatório ","")&amp;IF(COUNTIFS($C$22:$C$150,B8,$D$22:$D$150,"*Reunião*",$Q$22:$Q$150,"&lt;&gt;Cancelada")&gt;0,"REUNIÃO ","")&amp;IF(COUNTIFS($C$22:$C$150,B8,$D$22:$D$150,"*Férias*",$Q$22:$Q$150,"&lt;&gt;Cancelada")&gt;0,"Férias ","")&amp;IF(COUNTIFS($C$22:$C$150,B8,$D$22:$D$150,"*Mudança*",$Q$22:$Q$150,"&lt;&gt;Cancelada")&gt;0,"M.Função ","")&amp;IF(COUNTIFS($C$22:$C$150,B8,$D$22:$D$150,"*Treinamento*",$Q$22:$Q$150,"&lt;&gt;Cancelada")&gt;0,"Trein. ","")))</f>
        <v/>
      </c>
      <c r="C9" s="47"/>
      <c r="D9" s="47" t="str">
        <f aca="false">IF(D8="","",TRIM(IF(COUNTIFS($C$22:$C$150,D8,$D$22:$D$150,"*Vistoria*",$Q$22:$Q$150,"&lt;&gt;Cancelada")&gt;0,"Vistoria ","")&amp;IF(COUNTIFS($C$22:$C$150,D8,$D$22:$D$150,"*Relatório*",$Q$22:$Q$150,"&lt;&gt;Cancelada")&gt;0,"Relatório ","")&amp;IF(COUNTIFS($C$22:$C$150,D8,$D$22:$D$150,"*Reunião*",$Q$22:$Q$150,"&lt;&gt;Cancelada")&gt;0,"REUNIÃO ","")&amp;IF(COUNTIFS($C$22:$C$150,D8,$D$22:$D$150,"*Férias*",$Q$22:$Q$150,"&lt;&gt;Cancelada")&gt;0,"Férias ","")&amp;IF(COUNTIFS($C$22:$C$150,D8,$D$22:$D$150,"*Mudança*",$Q$22:$Q$150,"&lt;&gt;Cancelada")&gt;0,"M.Função ","")&amp;IF(COUNTIFS($C$22:$C$150,D8,$D$22:$D$150,"*Treinamento*",$Q$22:$Q$150,"&lt;&gt;Cancelada")&gt;0,"Trein. ","")))</f>
        <v>Férias</v>
      </c>
      <c r="E9" s="47"/>
      <c r="F9" s="47" t="str">
        <f aca="false">IF(F8="","",TRIM(IF(COUNTIFS($C$22:$C$150,F8,$D$22:$D$150,"*Vistoria*",$Q$22:$Q$150,"&lt;&gt;Cancelada")&gt;0,"Vistoria ","")&amp;IF(COUNTIFS($C$22:$C$150,F8,$D$22:$D$150,"*Relatório*",$Q$22:$Q$150,"&lt;&gt;Cancelada")&gt;0,"Relatório ","")&amp;IF(COUNTIFS($C$22:$C$150,F8,$D$22:$D$150,"*Reunião*",$Q$22:$Q$150,"&lt;&gt;Cancelada")&gt;0,"REUNIÃO ","")&amp;IF(COUNTIFS($C$22:$C$150,F8,$D$22:$D$150,"*Férias*",$Q$22:$Q$150,"&lt;&gt;Cancelada")&gt;0,"Férias ","")&amp;IF(COUNTIFS($C$22:$C$150,F8,$D$22:$D$150,"*Mudança*",$Q$22:$Q$150,"&lt;&gt;Cancelada")&gt;0,"M.Função ","")&amp;IF(COUNTIFS($C$22:$C$150,F8,$D$22:$D$150,"*Treinamento*",$Q$22:$Q$150,"&lt;&gt;Cancelada")&gt;0,"Trein. ","")))</f>
        <v/>
      </c>
      <c r="G9" s="47"/>
      <c r="H9" s="47" t="str">
        <f aca="false">IF(H8="","",TRIM(IF(COUNTIFS($C$22:$C$150,H8,$D$22:$D$150,"*Vistoria*",$Q$22:$Q$150,"&lt;&gt;Cancelada")&gt;0,"Vistoria ","")&amp;IF(COUNTIFS($C$22:$C$150,H8,$D$22:$D$150,"*Relatório*",$Q$22:$Q$150,"&lt;&gt;Cancelada")&gt;0,"Relatório ","")&amp;IF(COUNTIFS($C$22:$C$150,H8,$D$22:$D$150,"*Reunião*",$Q$22:$Q$150,"&lt;&gt;Cancelada")&gt;0,"REUNIÃO ","")&amp;IF(COUNTIFS($C$22:$C$150,H8,$D$22:$D$150,"*Férias*",$Q$22:$Q$150,"&lt;&gt;Cancelada")&gt;0,"Férias ","")&amp;IF(COUNTIFS($C$22:$C$150,H8,$D$22:$D$150,"*Mudança*",$Q$22:$Q$150,"&lt;&gt;Cancelada")&gt;0,"M.Função ","")&amp;IF(COUNTIFS($C$22:$C$150,H8,$D$22:$D$150,"*Treinamento*",$Q$22:$Q$150,"&lt;&gt;Cancelada")&gt;0,"Trein. ","")))</f>
        <v>Vistoria</v>
      </c>
      <c r="I9" s="47"/>
      <c r="J9" s="47" t="str">
        <f aca="false">IF(J8="","",TRIM(IF(COUNTIFS($C$22:$C$150,J8,$D$22:$D$150,"*Vistoria*",$Q$22:$Q$150,"&lt;&gt;Cancelada")&gt;0,"Vistoria ","")&amp;IF(COUNTIFS($C$22:$C$150,J8,$D$22:$D$150,"*Relatório*",$Q$22:$Q$150,"&lt;&gt;Cancelada")&gt;0,"Relatório ","")&amp;IF(COUNTIFS($C$22:$C$150,J8,$D$22:$D$150,"*Reunião*",$Q$22:$Q$150,"&lt;&gt;Cancelada")&gt;0,"REUNIÃO ","")&amp;IF(COUNTIFS($C$22:$C$150,J8,$D$22:$D$150,"*Férias*",$Q$22:$Q$150,"&lt;&gt;Cancelada")&gt;0,"Férias ","")&amp;IF(COUNTIFS($C$22:$C$150,J8,$D$22:$D$150,"*Mudança*",$Q$22:$Q$150,"&lt;&gt;Cancelada")&gt;0,"M.Função ","")&amp;IF(COUNTIFS($C$22:$C$150,J8,$D$22:$D$150,"*Treinamento*",$Q$22:$Q$150,"&lt;&gt;Cancelada")&gt;0,"Trein. ","")))</f>
        <v>Relatório</v>
      </c>
      <c r="K9" s="47"/>
      <c r="L9" s="47" t="str">
        <f aca="false">IF(L8="","",TRIM(IF(COUNTIFS($C$22:$C$150,L8,$D$22:$D$150,"*Vistoria*",$Q$22:$Q$150,"&lt;&gt;Cancelada")&gt;0,"Vistoria ","")&amp;IF(COUNTIFS($C$22:$C$150,L8,$D$22:$D$150,"*Relatório*",$Q$22:$Q$150,"&lt;&gt;Cancelada")&gt;0,"Relatório ","")&amp;IF(COUNTIFS($C$22:$C$150,L8,$D$22:$D$150,"*Reunião*",$Q$22:$Q$150,"&lt;&gt;Cancelada")&gt;0,"REUNIÃO ","")&amp;IF(COUNTIFS($C$22:$C$150,L8,$D$22:$D$150,"*Férias*",$Q$22:$Q$150,"&lt;&gt;Cancelada")&gt;0,"Férias ","")&amp;IF(COUNTIFS($C$22:$C$150,L8,$D$22:$D$150,"*Mudança*",$Q$22:$Q$150,"&lt;&gt;Cancelada")&gt;0,"M.Função ","")&amp;IF(COUNTIFS($C$22:$C$150,L8,$D$22:$D$150,"*Treinamento*",$Q$22:$Q$150,"&lt;&gt;Cancelada")&gt;0,"Trein. ","")))</f>
        <v>REUNIÃO</v>
      </c>
      <c r="M9" s="47"/>
      <c r="N9" s="47" t="str">
        <f aca="false">IF(N8="","",TRIM(IF(COUNTIFS($C$22:$C$150,N8,$D$22:$D$150,"*Vistoria*",$Q$22:$Q$150,"&lt;&gt;Cancelada")&gt;0,"Vistoria ","")&amp;IF(COUNTIFS($C$22:$C$150,N8,$D$22:$D$150,"*Relatório*",$Q$22:$Q$150,"&lt;&gt;Cancelada")&gt;0,"Relatório ","")&amp;IF(COUNTIFS($C$22:$C$150,N8,$D$22:$D$150,"*Reunião*",$Q$22:$Q$150,"&lt;&gt;Cancelada")&gt;0,"REUNIÃO ","")&amp;IF(COUNTIFS($C$22:$C$150,N8,$D$22:$D$150,"*Férias*",$Q$22:$Q$150,"&lt;&gt;Cancelada")&gt;0,"Férias ","")&amp;IF(COUNTIFS($C$22:$C$150,N8,$D$22:$D$150,"*Mudança*",$Q$22:$Q$150,"&lt;&gt;Cancelada")&gt;0,"M.Função ","")&amp;IF(COUNTIFS($C$22:$C$150,N8,$D$22:$D$150,"*Treinamento*",$Q$22:$Q$150,"&lt;&gt;Cancelada")&gt;0,"Trein. ","")))</f>
        <v/>
      </c>
      <c r="O9" s="47"/>
    </row>
    <row r="10" customFormat="false" ht="15" hidden="false" customHeight="true" outlineLevel="0" collapsed="false">
      <c r="B10" s="46" t="n">
        <f aca="false">IF(MONTH($X$1-WEEKDAY($X$1)+1+14)=MONTH($X$1),$X$1-WEEKDAY($X$1)+1+14,"")</f>
        <v>46033</v>
      </c>
      <c r="C10" s="46"/>
      <c r="D10" s="46" t="n">
        <f aca="false">IF(MONTH($X$1-WEEKDAY($X$1)+1+15)=MONTH($X$1),$X$1-WEEKDAY($X$1)+1+15,"")</f>
        <v>46034</v>
      </c>
      <c r="E10" s="46"/>
      <c r="F10" s="46" t="n">
        <f aca="false">IF(MONTH($X$1-WEEKDAY($X$1)+1+16)=MONTH($X$1),$X$1-WEEKDAY($X$1)+1+16,"")</f>
        <v>46035</v>
      </c>
      <c r="G10" s="46"/>
      <c r="H10" s="46" t="n">
        <f aca="false">IF(MONTH($X$1-WEEKDAY($X$1)+1+17)=MONTH($X$1),$X$1-WEEKDAY($X$1)+1+17,"")</f>
        <v>46036</v>
      </c>
      <c r="I10" s="46"/>
      <c r="J10" s="46" t="n">
        <f aca="false">IF(MONTH($X$1-WEEKDAY($X$1)+1+18)=MONTH($X$1),$X$1-WEEKDAY($X$1)+1+18,"")</f>
        <v>46037</v>
      </c>
      <c r="K10" s="46"/>
      <c r="L10" s="46" t="n">
        <f aca="false">IF(MONTH($X$1-WEEKDAY($X$1)+1+19)=MONTH($X$1),$X$1-WEEKDAY($X$1)+1+19,"")</f>
        <v>46038</v>
      </c>
      <c r="M10" s="46"/>
      <c r="N10" s="46" t="n">
        <f aca="false">IF(MONTH($X$1-WEEKDAY($X$1)+1+20)=MONTH($X$1),$X$1-WEEKDAY($X$1)+1+20,"")</f>
        <v>46039</v>
      </c>
      <c r="O10" s="46"/>
    </row>
    <row r="11" customFormat="false" ht="25.5" hidden="false" customHeight="true" outlineLevel="0" collapsed="false">
      <c r="B11" s="47" t="str">
        <f aca="false">IF(B10="","",TRIM(IF(COUNTIFS($C$22:$C$150,B10,$D$22:$D$150,"*Vistoria*",$Q$22:$Q$150,"&lt;&gt;Cancelada")&gt;0,"Vistoria ","")&amp;IF(COUNTIFS($C$22:$C$150,B10,$D$22:$D$150,"*Relatório*",$Q$22:$Q$150,"&lt;&gt;Cancelada")&gt;0,"Relatório ","")&amp;IF(COUNTIFS($C$22:$C$150,B10,$D$22:$D$150,"*Reunião*",$Q$22:$Q$150,"&lt;&gt;Cancelada")&gt;0,"REUNIÃO ","")&amp;IF(COUNTIFS($C$22:$C$150,B10,$D$22:$D$150,"*Férias*",$Q$22:$Q$150,"&lt;&gt;Cancelada")&gt;0,"Férias ","")&amp;IF(COUNTIFS($C$22:$C$150,B10,$D$22:$D$150,"*Mudança*",$Q$22:$Q$150,"&lt;&gt;Cancelada")&gt;0,"M.Função ","")&amp;IF(COUNTIFS($C$22:$C$150,B10,$D$22:$D$150,"*Treinamento*",$Q$22:$Q$150,"&lt;&gt;Cancelada")&gt;0,"Trein. ","")))</f>
        <v/>
      </c>
      <c r="C11" s="47"/>
      <c r="D11" s="47" t="str">
        <f aca="false">IF(D10="","",TRIM(IF(COUNTIFS($C$22:$C$150,D10,$D$22:$D$150,"*Vistoria*",$Q$22:$Q$150,"&lt;&gt;Cancelada")&gt;0,"Vistoria ","")&amp;IF(COUNTIFS($C$22:$C$150,D10,$D$22:$D$150,"*Relatório*",$Q$22:$Q$150,"&lt;&gt;Cancelada")&gt;0,"Relatório ","")&amp;IF(COUNTIFS($C$22:$C$150,D10,$D$22:$D$150,"*Reunião*",$Q$22:$Q$150,"&lt;&gt;Cancelada")&gt;0,"REUNIÃO ","")&amp;IF(COUNTIFS($C$22:$C$150,D10,$D$22:$D$150,"*Férias*",$Q$22:$Q$150,"&lt;&gt;Cancelada")&gt;0,"Férias ","")&amp;IF(COUNTIFS($C$22:$C$150,D10,$D$22:$D$150,"*Mudança*",$Q$22:$Q$150,"&lt;&gt;Cancelada")&gt;0,"M.Função ","")&amp;IF(COUNTIFS($C$22:$C$150,D10,$D$22:$D$150,"*Treinamento*",$Q$22:$Q$150,"&lt;&gt;Cancelada")&gt;0,"Trein. ","")))</f>
        <v/>
      </c>
      <c r="E11" s="47"/>
      <c r="F11" s="47" t="str">
        <f aca="false">IF(F10="","",TRIM(IF(COUNTIFS($C$22:$C$150,F10,$D$22:$D$150,"*Vistoria*",$Q$22:$Q$150,"&lt;&gt;Cancelada")&gt;0,"Vistoria ","")&amp;IF(COUNTIFS($C$22:$C$150,F10,$D$22:$D$150,"*Relatório*",$Q$22:$Q$150,"&lt;&gt;Cancelada")&gt;0,"Relatório ","")&amp;IF(COUNTIFS($C$22:$C$150,F10,$D$22:$D$150,"*Reunião*",$Q$22:$Q$150,"&lt;&gt;Cancelada")&gt;0,"REUNIÃO ","")&amp;IF(COUNTIFS($C$22:$C$150,F10,$D$22:$D$150,"*Férias*",$Q$22:$Q$150,"&lt;&gt;Cancelada")&gt;0,"Férias ","")&amp;IF(COUNTIFS($C$22:$C$150,F10,$D$22:$D$150,"*Mudança*",$Q$22:$Q$150,"&lt;&gt;Cancelada")&gt;0,"M.Função ","")&amp;IF(COUNTIFS($C$22:$C$150,F10,$D$22:$D$150,"*Treinamento*",$Q$22:$Q$150,"&lt;&gt;Cancelada")&gt;0,"Trein. ","")))</f>
        <v/>
      </c>
      <c r="G11" s="47"/>
      <c r="H11" s="47" t="str">
        <f aca="false">IF(H10="","",TRIM(IF(COUNTIFS($C$22:$C$150,H10,$D$22:$D$150,"*Vistoria*",$Q$22:$Q$150,"&lt;&gt;Cancelada")&gt;0,"Vistoria ","")&amp;IF(COUNTIFS($C$22:$C$150,H10,$D$22:$D$150,"*Relatório*",$Q$22:$Q$150,"&lt;&gt;Cancelada")&gt;0,"Relatório ","")&amp;IF(COUNTIFS($C$22:$C$150,H10,$D$22:$D$150,"*Reunião*",$Q$22:$Q$150,"&lt;&gt;Cancelada")&gt;0,"REUNIÃO ","")&amp;IF(COUNTIFS($C$22:$C$150,H10,$D$22:$D$150,"*Férias*",$Q$22:$Q$150,"&lt;&gt;Cancelada")&gt;0,"Férias ","")&amp;IF(COUNTIFS($C$22:$C$150,H10,$D$22:$D$150,"*Mudança*",$Q$22:$Q$150,"&lt;&gt;Cancelada")&gt;0,"M.Função ","")&amp;IF(COUNTIFS($C$22:$C$150,H10,$D$22:$D$150,"*Treinamento*",$Q$22:$Q$150,"&lt;&gt;Cancelada")&gt;0,"Trein. ","")))</f>
        <v>Vistoria</v>
      </c>
      <c r="I11" s="47"/>
      <c r="J11" s="47" t="str">
        <f aca="false">IF(J10="","",TRIM(IF(COUNTIFS($C$22:$C$150,J10,$D$22:$D$150,"*Vistoria*",$Q$22:$Q$150,"&lt;&gt;Cancelada")&gt;0,"Vistoria ","")&amp;IF(COUNTIFS($C$22:$C$150,J10,$D$22:$D$150,"*Relatório*",$Q$22:$Q$150,"&lt;&gt;Cancelada")&gt;0,"Relatório ","")&amp;IF(COUNTIFS($C$22:$C$150,J10,$D$22:$D$150,"*Reunião*",$Q$22:$Q$150,"&lt;&gt;Cancelada")&gt;0,"REUNIÃO ","")&amp;IF(COUNTIFS($C$22:$C$150,J10,$D$22:$D$150,"*Férias*",$Q$22:$Q$150,"&lt;&gt;Cancelada")&gt;0,"Férias ","")&amp;IF(COUNTIFS($C$22:$C$150,J10,$D$22:$D$150,"*Mudança*",$Q$22:$Q$150,"&lt;&gt;Cancelada")&gt;0,"M.Função ","")&amp;IF(COUNTIFS($C$22:$C$150,J10,$D$22:$D$150,"*Treinamento*",$Q$22:$Q$150,"&lt;&gt;Cancelada")&gt;0,"Trein. ","")))</f>
        <v>Relatório</v>
      </c>
      <c r="K11" s="47"/>
      <c r="L11" s="47" t="str">
        <f aca="false">IF(L10="","",TRIM(IF(COUNTIFS($C$22:$C$150,L10,$D$22:$D$150,"*Vistoria*",$Q$22:$Q$150,"&lt;&gt;Cancelada")&gt;0,"Vistoria ","")&amp;IF(COUNTIFS($C$22:$C$150,L10,$D$22:$D$150,"*Relatório*",$Q$22:$Q$150,"&lt;&gt;Cancelada")&gt;0,"Relatório ","")&amp;IF(COUNTIFS($C$22:$C$150,L10,$D$22:$D$150,"*Reunião*",$Q$22:$Q$150,"&lt;&gt;Cancelada")&gt;0,"REUNIÃO ","")&amp;IF(COUNTIFS($C$22:$C$150,L10,$D$22:$D$150,"*Férias*",$Q$22:$Q$150,"&lt;&gt;Cancelada")&gt;0,"Férias ","")&amp;IF(COUNTIFS($C$22:$C$150,L10,$D$22:$D$150,"*Mudança*",$Q$22:$Q$150,"&lt;&gt;Cancelada")&gt;0,"M.Função ","")&amp;IF(COUNTIFS($C$22:$C$150,L10,$D$22:$D$150,"*Treinamento*",$Q$22:$Q$150,"&lt;&gt;Cancelada")&gt;0,"Trein. ","")))</f>
        <v>REUNIÃO</v>
      </c>
      <c r="M11" s="47"/>
      <c r="N11" s="47" t="str">
        <f aca="false">IF(N10="","",TRIM(IF(COUNTIFS($C$22:$C$150,N10,$D$22:$D$150,"*Vistoria*",$Q$22:$Q$150,"&lt;&gt;Cancelada")&gt;0,"Vistoria ","")&amp;IF(COUNTIFS($C$22:$C$150,N10,$D$22:$D$150,"*Relatório*",$Q$22:$Q$150,"&lt;&gt;Cancelada")&gt;0,"Relatório ","")&amp;IF(COUNTIFS($C$22:$C$150,N10,$D$22:$D$150,"*Reunião*",$Q$22:$Q$150,"&lt;&gt;Cancelada")&gt;0,"REUNIÃO ","")&amp;IF(COUNTIFS($C$22:$C$150,N10,$D$22:$D$150,"*Férias*",$Q$22:$Q$150,"&lt;&gt;Cancelada")&gt;0,"Férias ","")&amp;IF(COUNTIFS($C$22:$C$150,N10,$D$22:$D$150,"*Mudança*",$Q$22:$Q$150,"&lt;&gt;Cancelada")&gt;0,"M.Função ","")&amp;IF(COUNTIFS($C$22:$C$150,N10,$D$22:$D$150,"*Treinamento*",$Q$22:$Q$150,"&lt;&gt;Cancelada")&gt;0,"Trein. ","")))</f>
        <v/>
      </c>
      <c r="O11" s="47"/>
    </row>
    <row r="12" customFormat="false" ht="15" hidden="false" customHeight="true" outlineLevel="0" collapsed="false">
      <c r="B12" s="46" t="n">
        <f aca="false">IF(MONTH($X$1-WEEKDAY($X$1)+1+21)=MONTH($X$1),$X$1-WEEKDAY($X$1)+1+21,"")</f>
        <v>46040</v>
      </c>
      <c r="C12" s="46"/>
      <c r="D12" s="46" t="n">
        <f aca="false">IF(MONTH($X$1-WEEKDAY($X$1)+1+22)=MONTH($X$1),$X$1-WEEKDAY($X$1)+1+22,"")</f>
        <v>46041</v>
      </c>
      <c r="E12" s="46"/>
      <c r="F12" s="46" t="n">
        <f aca="false">IF(MONTH($X$1-WEEKDAY($X$1)+1+23)=MONTH($X$1),$X$1-WEEKDAY($X$1)+1+23,"")</f>
        <v>46042</v>
      </c>
      <c r="G12" s="46"/>
      <c r="H12" s="46" t="n">
        <f aca="false">IF(MONTH($X$1-WEEKDAY($X$1)+1+24)=MONTH($X$1),$X$1-WEEKDAY($X$1)+1+24,"")</f>
        <v>46043</v>
      </c>
      <c r="I12" s="46"/>
      <c r="J12" s="46" t="n">
        <f aca="false">IF(MONTH($X$1-WEEKDAY($X$1)+1+25)=MONTH($X$1),$X$1-WEEKDAY($X$1)+1+25,"")</f>
        <v>46044</v>
      </c>
      <c r="K12" s="46"/>
      <c r="L12" s="46" t="n">
        <f aca="false">IF(MONTH($X$1-WEEKDAY($X$1)+1+26)=MONTH($X$1),$X$1-WEEKDAY($X$1)+1+26,"")</f>
        <v>46045</v>
      </c>
      <c r="M12" s="46"/>
      <c r="N12" s="46" t="n">
        <f aca="false">IF(MONTH($X$1-WEEKDAY($X$1)+1+27)=MONTH($X$1),$X$1-WEEKDAY($X$1)+1+27,"")</f>
        <v>46046</v>
      </c>
      <c r="O12" s="46"/>
    </row>
    <row r="13" customFormat="false" ht="25.5" hidden="false" customHeight="true" outlineLevel="0" collapsed="false">
      <c r="B13" s="47" t="str">
        <f aca="false">IF(B12="","",TRIM(IF(COUNTIFS($C$22:$C$150,B12,$D$22:$D$150,"*Vistoria*",$Q$22:$Q$150,"&lt;&gt;Cancelada")&gt;0,"Vistoria ","")&amp;IF(COUNTIFS($C$22:$C$150,B12,$D$22:$D$150,"*Relatório*",$Q$22:$Q$150,"&lt;&gt;Cancelada")&gt;0,"Relatório ","")&amp;IF(COUNTIFS($C$22:$C$150,B12,$D$22:$D$150,"*Reunião*",$Q$22:$Q$150,"&lt;&gt;Cancelada")&gt;0,"REUNIÃO ","")&amp;IF(COUNTIFS($C$22:$C$150,B12,$D$22:$D$150,"*Férias*",$Q$22:$Q$150,"&lt;&gt;Cancelada")&gt;0,"Férias ","")&amp;IF(COUNTIFS($C$22:$C$150,B12,$D$22:$D$150,"*Mudança*",$Q$22:$Q$150,"&lt;&gt;Cancelada")&gt;0,"M.Função ","")&amp;IF(COUNTIFS($C$22:$C$150,B12,$D$22:$D$150,"*Treinamento*",$Q$22:$Q$150,"&lt;&gt;Cancelada")&gt;0,"Trein. ","")))</f>
        <v/>
      </c>
      <c r="C13" s="47"/>
      <c r="D13" s="47" t="str">
        <f aca="false">IF(D12="","",TRIM(IF(COUNTIFS($C$22:$C$150,D12,$D$22:$D$150,"*Vistoria*",$Q$22:$Q$150,"&lt;&gt;Cancelada")&gt;0,"Vistoria ","")&amp;IF(COUNTIFS($C$22:$C$150,D12,$D$22:$D$150,"*Relatório*",$Q$22:$Q$150,"&lt;&gt;Cancelada")&gt;0,"Relatório ","")&amp;IF(COUNTIFS($C$22:$C$150,D12,$D$22:$D$150,"*Reunião*",$Q$22:$Q$150,"&lt;&gt;Cancelada")&gt;0,"REUNIÃO ","")&amp;IF(COUNTIFS($C$22:$C$150,D12,$D$22:$D$150,"*Férias*",$Q$22:$Q$150,"&lt;&gt;Cancelada")&gt;0,"Férias ","")&amp;IF(COUNTIFS($C$22:$C$150,D12,$D$22:$D$150,"*Mudança*",$Q$22:$Q$150,"&lt;&gt;Cancelada")&gt;0,"M.Função ","")&amp;IF(COUNTIFS($C$22:$C$150,D12,$D$22:$D$150,"*Treinamento*",$Q$22:$Q$150,"&lt;&gt;Cancelada")&gt;0,"Trein. ","")))</f>
        <v/>
      </c>
      <c r="E13" s="47"/>
      <c r="F13" s="47" t="str">
        <f aca="false">IF(F12="","",TRIM(IF(COUNTIFS($C$22:$C$150,F12,$D$22:$D$150,"*Vistoria*",$Q$22:$Q$150,"&lt;&gt;Cancelada")&gt;0,"Vistoria ","")&amp;IF(COUNTIFS($C$22:$C$150,F12,$D$22:$D$150,"*Relatório*",$Q$22:$Q$150,"&lt;&gt;Cancelada")&gt;0,"Relatório ","")&amp;IF(COUNTIFS($C$22:$C$150,F12,$D$22:$D$150,"*Reunião*",$Q$22:$Q$150,"&lt;&gt;Cancelada")&gt;0,"REUNIÃO ","")&amp;IF(COUNTIFS($C$22:$C$150,F12,$D$22:$D$150,"*Férias*",$Q$22:$Q$150,"&lt;&gt;Cancelada")&gt;0,"Férias ","")&amp;IF(COUNTIFS($C$22:$C$150,F12,$D$22:$D$150,"*Mudança*",$Q$22:$Q$150,"&lt;&gt;Cancelada")&gt;0,"M.Função ","")&amp;IF(COUNTIFS($C$22:$C$150,F12,$D$22:$D$150,"*Treinamento*",$Q$22:$Q$150,"&lt;&gt;Cancelada")&gt;0,"Trein. ","")))</f>
        <v/>
      </c>
      <c r="G13" s="47"/>
      <c r="H13" s="47" t="str">
        <f aca="false">IF(H12="","",TRIM(IF(COUNTIFS($C$22:$C$150,H12,$D$22:$D$150,"*Vistoria*",$Q$22:$Q$150,"&lt;&gt;Cancelada")&gt;0,"Vistoria ","")&amp;IF(COUNTIFS($C$22:$C$150,H12,$D$22:$D$150,"*Relatório*",$Q$22:$Q$150,"&lt;&gt;Cancelada")&gt;0,"Relatório ","")&amp;IF(COUNTIFS($C$22:$C$150,H12,$D$22:$D$150,"*Reunião*",$Q$22:$Q$150,"&lt;&gt;Cancelada")&gt;0,"REUNIÃO ","")&amp;IF(COUNTIFS($C$22:$C$150,H12,$D$22:$D$150,"*Férias*",$Q$22:$Q$150,"&lt;&gt;Cancelada")&gt;0,"Férias ","")&amp;IF(COUNTIFS($C$22:$C$150,H12,$D$22:$D$150,"*Mudança*",$Q$22:$Q$150,"&lt;&gt;Cancelada")&gt;0,"M.Função ","")&amp;IF(COUNTIFS($C$22:$C$150,H12,$D$22:$D$150,"*Treinamento*",$Q$22:$Q$150,"&lt;&gt;Cancelada")&gt;0,"Trein. ","")))</f>
        <v>Vistoria</v>
      </c>
      <c r="I13" s="47"/>
      <c r="J13" s="47" t="str">
        <f aca="false">IF(J12="","",TRIM(IF(COUNTIFS($C$22:$C$150,J12,$D$22:$D$150,"*Vistoria*",$Q$22:$Q$150,"&lt;&gt;Cancelada")&gt;0,"Vistoria ","")&amp;IF(COUNTIFS($C$22:$C$150,J12,$D$22:$D$150,"*Relatório*",$Q$22:$Q$150,"&lt;&gt;Cancelada")&gt;0,"Relatório ","")&amp;IF(COUNTIFS($C$22:$C$150,J12,$D$22:$D$150,"*Reunião*",$Q$22:$Q$150,"&lt;&gt;Cancelada")&gt;0,"REUNIÃO ","")&amp;IF(COUNTIFS($C$22:$C$150,J12,$D$22:$D$150,"*Férias*",$Q$22:$Q$150,"&lt;&gt;Cancelada")&gt;0,"Férias ","")&amp;IF(COUNTIFS($C$22:$C$150,J12,$D$22:$D$150,"*Mudança*",$Q$22:$Q$150,"&lt;&gt;Cancelada")&gt;0,"M.Função ","")&amp;IF(COUNTIFS($C$22:$C$150,J12,$D$22:$D$150,"*Treinamento*",$Q$22:$Q$150,"&lt;&gt;Cancelada")&gt;0,"Trein. ","")))</f>
        <v>Relatório</v>
      </c>
      <c r="K13" s="47"/>
      <c r="L13" s="47" t="str">
        <f aca="false">IF(L12="","",TRIM(IF(COUNTIFS($C$22:$C$150,L12,$D$22:$D$150,"*Vistoria*",$Q$22:$Q$150,"&lt;&gt;Cancelada")&gt;0,"Vistoria ","")&amp;IF(COUNTIFS($C$22:$C$150,L12,$D$22:$D$150,"*Relatório*",$Q$22:$Q$150,"&lt;&gt;Cancelada")&gt;0,"Relatório ","")&amp;IF(COUNTIFS($C$22:$C$150,L12,$D$22:$D$150,"*Reunião*",$Q$22:$Q$150,"&lt;&gt;Cancelada")&gt;0,"REUNIÃO ","")&amp;IF(COUNTIFS($C$22:$C$150,L12,$D$22:$D$150,"*Férias*",$Q$22:$Q$150,"&lt;&gt;Cancelada")&gt;0,"Férias ","")&amp;IF(COUNTIFS($C$22:$C$150,L12,$D$22:$D$150,"*Mudança*",$Q$22:$Q$150,"&lt;&gt;Cancelada")&gt;0,"M.Função ","")&amp;IF(COUNTIFS($C$22:$C$150,L12,$D$22:$D$150,"*Treinamento*",$Q$22:$Q$150,"&lt;&gt;Cancelada")&gt;0,"Trein. ","")))</f>
        <v>REUNIÃO</v>
      </c>
      <c r="M13" s="47"/>
      <c r="N13" s="47" t="str">
        <f aca="false">IF(N12="","",TRIM(IF(COUNTIFS($C$22:$C$150,N12,$D$22:$D$150,"*Vistoria*",$Q$22:$Q$150,"&lt;&gt;Cancelada")&gt;0,"Vistoria ","")&amp;IF(COUNTIFS($C$22:$C$150,N12,$D$22:$D$150,"*Relatório*",$Q$22:$Q$150,"&lt;&gt;Cancelada")&gt;0,"Relatório ","")&amp;IF(COUNTIFS($C$22:$C$150,N12,$D$22:$D$150,"*Reunião*",$Q$22:$Q$150,"&lt;&gt;Cancelada")&gt;0,"REUNIÃO ","")&amp;IF(COUNTIFS($C$22:$C$150,N12,$D$22:$D$150,"*Férias*",$Q$22:$Q$150,"&lt;&gt;Cancelada")&gt;0,"Férias ","")&amp;IF(COUNTIFS($C$22:$C$150,N12,$D$22:$D$150,"*Mudança*",$Q$22:$Q$150,"&lt;&gt;Cancelada")&gt;0,"M.Função ","")&amp;IF(COUNTIFS($C$22:$C$150,N12,$D$22:$D$150,"*Treinamento*",$Q$22:$Q$150,"&lt;&gt;Cancelada")&gt;0,"Trein. ","")))</f>
        <v/>
      </c>
      <c r="O13" s="47"/>
    </row>
    <row r="14" customFormat="false" ht="15" hidden="false" customHeight="true" outlineLevel="0" collapsed="false">
      <c r="B14" s="46" t="n">
        <f aca="false">IF(MONTH($X$1-WEEKDAY($X$1)+1+28)=MONTH($X$1),$X$1-WEEKDAY($X$1)+1+28,"")</f>
        <v>46047</v>
      </c>
      <c r="C14" s="46"/>
      <c r="D14" s="46" t="n">
        <f aca="false">IF(MONTH($X$1-WEEKDAY($X$1)+1+29)=MONTH($X$1),$X$1-WEEKDAY($X$1)+1+29,"")</f>
        <v>46048</v>
      </c>
      <c r="E14" s="46"/>
      <c r="F14" s="46" t="n">
        <f aca="false">IF(MONTH($X$1-WEEKDAY($X$1)+1+30)=MONTH($X$1),$X$1-WEEKDAY($X$1)+1+30,"")</f>
        <v>46049</v>
      </c>
      <c r="G14" s="46"/>
      <c r="H14" s="46" t="n">
        <f aca="false">IF(MONTH($X$1-WEEKDAY($X$1)+1+31)=MONTH($X$1),$X$1-WEEKDAY($X$1)+1+31,"")</f>
        <v>46050</v>
      </c>
      <c r="I14" s="46"/>
      <c r="J14" s="46" t="n">
        <f aca="false">IF(MONTH($X$1-WEEKDAY($X$1)+1+32)=MONTH($X$1),$X$1-WEEKDAY($X$1)+1+32,"")</f>
        <v>46051</v>
      </c>
      <c r="K14" s="46"/>
      <c r="L14" s="46" t="n">
        <f aca="false">IF(MONTH($X$1-WEEKDAY($X$1)+1+33)=MONTH($X$1),$X$1-WEEKDAY($X$1)+1+33,"")</f>
        <v>46052</v>
      </c>
      <c r="M14" s="46"/>
      <c r="N14" s="46" t="n">
        <f aca="false">IF(MONTH($X$1-WEEKDAY($X$1)+1+34)=MONTH($X$1),$X$1-WEEKDAY($X$1)+1+34,"")</f>
        <v>46053</v>
      </c>
      <c r="O14" s="46"/>
    </row>
    <row r="15" customFormat="false" ht="25.5" hidden="false" customHeight="true" outlineLevel="0" collapsed="false">
      <c r="B15" s="47" t="str">
        <f aca="false">IF(B14="","",TRIM(IF(COUNTIFS($C$22:$C$150,B14,$D$22:$D$150,"*Vistoria*",$Q$22:$Q$150,"&lt;&gt;Cancelada")&gt;0,"Vistoria ","")&amp;IF(COUNTIFS($C$22:$C$150,B14,$D$22:$D$150,"*Relatório*",$Q$22:$Q$150,"&lt;&gt;Cancelada")&gt;0,"Relatório ","")&amp;IF(COUNTIFS($C$22:$C$150,B14,$D$22:$D$150,"*Reunião*",$Q$22:$Q$150,"&lt;&gt;Cancelada")&gt;0,"REUNIÃO ","")&amp;IF(COUNTIFS($C$22:$C$150,B14,$D$22:$D$150,"*Férias*",$Q$22:$Q$150,"&lt;&gt;Cancelada")&gt;0,"Férias ","")&amp;IF(COUNTIFS($C$22:$C$150,B14,$D$22:$D$150,"*Mudança*",$Q$22:$Q$150,"&lt;&gt;Cancelada")&gt;0,"M.Função ","")&amp;IF(COUNTIFS($C$22:$C$150,B14,$D$22:$D$150,"*Treinamento*",$Q$22:$Q$150,"&lt;&gt;Cancelada")&gt;0,"Trein. ","")))</f>
        <v/>
      </c>
      <c r="C15" s="47"/>
      <c r="D15" s="47" t="str">
        <f aca="false">IF(D14="","",TRIM(IF(COUNTIFS($C$22:$C$150,D14,$D$22:$D$150,"*Vistoria*",$Q$22:$Q$150,"&lt;&gt;Cancelada")&gt;0,"Vistoria ","")&amp;IF(COUNTIFS($C$22:$C$150,D14,$D$22:$D$150,"*Relatório*",$Q$22:$Q$150,"&lt;&gt;Cancelada")&gt;0,"Relatório ","")&amp;IF(COUNTIFS($C$22:$C$150,D14,$D$22:$D$150,"*Reunião*",$Q$22:$Q$150,"&lt;&gt;Cancelada")&gt;0,"REUNIÃO ","")&amp;IF(COUNTIFS($C$22:$C$150,D14,$D$22:$D$150,"*Férias*",$Q$22:$Q$150,"&lt;&gt;Cancelada")&gt;0,"Férias ","")&amp;IF(COUNTIFS($C$22:$C$150,D14,$D$22:$D$150,"*Mudança*",$Q$22:$Q$150,"&lt;&gt;Cancelada")&gt;0,"M.Função ","")&amp;IF(COUNTIFS($C$22:$C$150,D14,$D$22:$D$150,"*Treinamento*",$Q$22:$Q$150,"&lt;&gt;Cancelada")&gt;0,"Trein. ","")))</f>
        <v/>
      </c>
      <c r="E15" s="47"/>
      <c r="F15" s="47" t="str">
        <f aca="false">IF(F14="","",TRIM(IF(COUNTIFS($C$22:$C$150,F14,$D$22:$D$150,"*Vistoria*",$Q$22:$Q$150,"&lt;&gt;Cancelada")&gt;0,"Vistoria ","")&amp;IF(COUNTIFS($C$22:$C$150,F14,$D$22:$D$150,"*Relatório*",$Q$22:$Q$150,"&lt;&gt;Cancelada")&gt;0,"Relatório ","")&amp;IF(COUNTIFS($C$22:$C$150,F14,$D$22:$D$150,"*Reunião*",$Q$22:$Q$150,"&lt;&gt;Cancelada")&gt;0,"REUNIÃO ","")&amp;IF(COUNTIFS($C$22:$C$150,F14,$D$22:$D$150,"*Férias*",$Q$22:$Q$150,"&lt;&gt;Cancelada")&gt;0,"Férias ","")&amp;IF(COUNTIFS($C$22:$C$150,F14,$D$22:$D$150,"*Mudança*",$Q$22:$Q$150,"&lt;&gt;Cancelada")&gt;0,"M.Função ","")&amp;IF(COUNTIFS($C$22:$C$150,F14,$D$22:$D$150,"*Treinamento*",$Q$22:$Q$150,"&lt;&gt;Cancelada")&gt;0,"Trein. ","")))</f>
        <v/>
      </c>
      <c r="G15" s="47"/>
      <c r="H15" s="47" t="str">
        <f aca="false">IF(H14="","",TRIM(IF(COUNTIFS($C$22:$C$150,H14,$D$22:$D$150,"*Vistoria*",$Q$22:$Q$150,"&lt;&gt;Cancelada")&gt;0,"Vistoria ","")&amp;IF(COUNTIFS($C$22:$C$150,H14,$D$22:$D$150,"*Relatório*",$Q$22:$Q$150,"&lt;&gt;Cancelada")&gt;0,"Relatório ","")&amp;IF(COUNTIFS($C$22:$C$150,H14,$D$22:$D$150,"*Reunião*",$Q$22:$Q$150,"&lt;&gt;Cancelada")&gt;0,"REUNIÃO ","")&amp;IF(COUNTIFS($C$22:$C$150,H14,$D$22:$D$150,"*Férias*",$Q$22:$Q$150,"&lt;&gt;Cancelada")&gt;0,"Férias ","")&amp;IF(COUNTIFS($C$22:$C$150,H14,$D$22:$D$150,"*Mudança*",$Q$22:$Q$150,"&lt;&gt;Cancelada")&gt;0,"M.Função ","")&amp;IF(COUNTIFS($C$22:$C$150,H14,$D$22:$D$150,"*Treinamento*",$Q$22:$Q$150,"&lt;&gt;Cancelada")&gt;0,"Trein. ","")))</f>
        <v>Vistoria</v>
      </c>
      <c r="I15" s="47"/>
      <c r="J15" s="47" t="str">
        <f aca="false">IF(J14="","",TRIM(IF(COUNTIFS($C$22:$C$150,J14,$D$22:$D$150,"*Vistoria*",$Q$22:$Q$150,"&lt;&gt;Cancelada")&gt;0,"Vistoria ","")&amp;IF(COUNTIFS($C$22:$C$150,J14,$D$22:$D$150,"*Relatório*",$Q$22:$Q$150,"&lt;&gt;Cancelada")&gt;0,"Relatório ","")&amp;IF(COUNTIFS($C$22:$C$150,J14,$D$22:$D$150,"*Reunião*",$Q$22:$Q$150,"&lt;&gt;Cancelada")&gt;0,"REUNIÃO ","")&amp;IF(COUNTIFS($C$22:$C$150,J14,$D$22:$D$150,"*Férias*",$Q$22:$Q$150,"&lt;&gt;Cancelada")&gt;0,"Férias ","")&amp;IF(COUNTIFS($C$22:$C$150,J14,$D$22:$D$150,"*Mudança*",$Q$22:$Q$150,"&lt;&gt;Cancelada")&gt;0,"M.Função ","")&amp;IF(COUNTIFS($C$22:$C$150,J14,$D$22:$D$150,"*Treinamento*",$Q$22:$Q$150,"&lt;&gt;Cancelada")&gt;0,"Trein. ","")))</f>
        <v>Relatório</v>
      </c>
      <c r="K15" s="47"/>
      <c r="L15" s="47" t="str">
        <f aca="false">IF(L14="","",TRIM(IF(COUNTIFS($C$22:$C$150,L14,$D$22:$D$150,"*Vistoria*",$Q$22:$Q$150,"&lt;&gt;Cancelada")&gt;0,"Vistoria ","")&amp;IF(COUNTIFS($C$22:$C$150,L14,$D$22:$D$150,"*Relatório*",$Q$22:$Q$150,"&lt;&gt;Cancelada")&gt;0,"Relatório ","")&amp;IF(COUNTIFS($C$22:$C$150,L14,$D$22:$D$150,"*Reunião*",$Q$22:$Q$150,"&lt;&gt;Cancelada")&gt;0,"REUNIÃO ","")&amp;IF(COUNTIFS($C$22:$C$150,L14,$D$22:$D$150,"*Férias*",$Q$22:$Q$150,"&lt;&gt;Cancelada")&gt;0,"Férias ","")&amp;IF(COUNTIFS($C$22:$C$150,L14,$D$22:$D$150,"*Mudança*",$Q$22:$Q$150,"&lt;&gt;Cancelada")&gt;0,"M.Função ","")&amp;IF(COUNTIFS($C$22:$C$150,L14,$D$22:$D$150,"*Treinamento*",$Q$22:$Q$150,"&lt;&gt;Cancelada")&gt;0,"Trein. ","")))</f>
        <v>REUNIÃO M.Função</v>
      </c>
      <c r="M15" s="47"/>
      <c r="N15" s="47" t="str">
        <f aca="false">IF(N14="","",TRIM(IF(COUNTIFS($C$22:$C$150,N14,$D$22:$D$150,"*Vistoria*",$Q$22:$Q$150,"&lt;&gt;Cancelada")&gt;0,"Vistoria ","")&amp;IF(COUNTIFS($C$22:$C$150,N14,$D$22:$D$150,"*Relatório*",$Q$22:$Q$150,"&lt;&gt;Cancelada")&gt;0,"Relatório ","")&amp;IF(COUNTIFS($C$22:$C$150,N14,$D$22:$D$150,"*Reunião*",$Q$22:$Q$150,"&lt;&gt;Cancelada")&gt;0,"REUNIÃO ","")&amp;IF(COUNTIFS($C$22:$C$150,N14,$D$22:$D$150,"*Férias*",$Q$22:$Q$150,"&lt;&gt;Cancelada")&gt;0,"Férias ","")&amp;IF(COUNTIFS($C$22:$C$150,N14,$D$22:$D$150,"*Mudança*",$Q$22:$Q$150,"&lt;&gt;Cancelada")&gt;0,"M.Função ","")&amp;IF(COUNTIFS($C$22:$C$150,N14,$D$22:$D$150,"*Treinamento*",$Q$22:$Q$150,"&lt;&gt;Cancelada")&gt;0,"Trein. ","")))</f>
        <v/>
      </c>
      <c r="O15" s="47"/>
    </row>
    <row r="16" customFormat="false" ht="15" hidden="false" customHeight="true" outlineLevel="0" collapsed="false">
      <c r="B16" s="46" t="str">
        <f aca="false">IF(MONTH($X$1-WEEKDAY($X$1)+1+35)=MONTH($X$1),$X$1-WEEKDAY($X$1)+1+35,"")</f>
        <v/>
      </c>
      <c r="C16" s="46"/>
      <c r="D16" s="46" t="str">
        <f aca="false">IF(MONTH($X$1-WEEKDAY($X$1)+1+36)=MONTH($X$1),$X$1-WEEKDAY($X$1)+1+36,"")</f>
        <v/>
      </c>
      <c r="E16" s="46"/>
      <c r="F16" s="46" t="str">
        <f aca="false">IF(MONTH($X$1-WEEKDAY($X$1)+1+37)=MONTH($X$1),$X$1-WEEKDAY($X$1)+1+37,"")</f>
        <v/>
      </c>
      <c r="G16" s="46"/>
      <c r="H16" s="46" t="str">
        <f aca="false">IF(MONTH($X$1-WEEKDAY($X$1)+1+38)=MONTH($X$1),$X$1-WEEKDAY($X$1)+1+38,"")</f>
        <v/>
      </c>
      <c r="I16" s="46"/>
      <c r="J16" s="46" t="str">
        <f aca="false">IF(MONTH($X$1-WEEKDAY($X$1)+1+39)=MONTH($X$1),$X$1-WEEKDAY($X$1)+1+39,"")</f>
        <v/>
      </c>
      <c r="K16" s="46"/>
      <c r="L16" s="46" t="str">
        <f aca="false">IF(MONTH($X$1-WEEKDAY($X$1)+1+40)=MONTH($X$1),$X$1-WEEKDAY($X$1)+1+40,"")</f>
        <v/>
      </c>
      <c r="M16" s="46"/>
      <c r="N16" s="46" t="str">
        <f aca="false">IF(MONTH($X$1-WEEKDAY($X$1)+1+41)=MONTH($X$1),$X$1-WEEKDAY($X$1)+1+41,"")</f>
        <v/>
      </c>
      <c r="O16" s="46"/>
    </row>
    <row r="17" customFormat="false" ht="25.5" hidden="false" customHeight="true" outlineLevel="0" collapsed="false">
      <c r="B17" s="47" t="str">
        <f aca="false">IF(B16="","",TRIM(IF(COUNTIFS($C$22:$C$150,B16,$D$22:$D$150,"*Vistoria*",$Q$22:$Q$150,"&lt;&gt;Cancelada")&gt;0,"Vistoria ","")&amp;IF(COUNTIFS($C$22:$C$150,B16,$D$22:$D$150,"*Relatório*",$Q$22:$Q$150,"&lt;&gt;Cancelada")&gt;0,"Relatório ","")&amp;IF(COUNTIFS($C$22:$C$150,B16,$D$22:$D$150,"*Reunião*",$Q$22:$Q$150,"&lt;&gt;Cancelada")&gt;0,"REUNIÃO ","")&amp;IF(COUNTIFS($C$22:$C$150,B16,$D$22:$D$150,"*Férias*",$Q$22:$Q$150,"&lt;&gt;Cancelada")&gt;0,"Férias ","")&amp;IF(COUNTIFS($C$22:$C$150,B16,$D$22:$D$150,"*Mudança*",$Q$22:$Q$150,"&lt;&gt;Cancelada")&gt;0,"M.Função ","")&amp;IF(COUNTIFS($C$22:$C$150,B16,$D$22:$D$150,"*Treinamento*",$Q$22:$Q$150,"&lt;&gt;Cancelada")&gt;0,"Trein. ","")))</f>
        <v/>
      </c>
      <c r="C17" s="47"/>
      <c r="D17" s="47" t="str">
        <f aca="false">IF(D16="","",TRIM(IF(COUNTIFS($C$22:$C$150,D16,$D$22:$D$150,"*Vistoria*",$Q$22:$Q$150,"&lt;&gt;Cancelada")&gt;0,"Vistoria ","")&amp;IF(COUNTIFS($C$22:$C$150,D16,$D$22:$D$150,"*Relatório*",$Q$22:$Q$150,"&lt;&gt;Cancelada")&gt;0,"Relatório ","")&amp;IF(COUNTIFS($C$22:$C$150,D16,$D$22:$D$150,"*Reunião*",$Q$22:$Q$150,"&lt;&gt;Cancelada")&gt;0,"REUNIÃO ","")&amp;IF(COUNTIFS($C$22:$C$150,D16,$D$22:$D$150,"*Férias*",$Q$22:$Q$150,"&lt;&gt;Cancelada")&gt;0,"Férias ","")&amp;IF(COUNTIFS($C$22:$C$150,D16,$D$22:$D$150,"*Mudança*",$Q$22:$Q$150,"&lt;&gt;Cancelada")&gt;0,"M.Função ","")&amp;IF(COUNTIFS($C$22:$C$150,D16,$D$22:$D$150,"*Treinamento*",$Q$22:$Q$150,"&lt;&gt;Cancelada")&gt;0,"Trein. ","")))</f>
        <v/>
      </c>
      <c r="E17" s="47"/>
      <c r="F17" s="47" t="str">
        <f aca="false">IF(F16="","",TRIM(IF(COUNTIFS($C$22:$C$150,F16,$D$22:$D$150,"*Vistoria*",$Q$22:$Q$150,"&lt;&gt;Cancelada")&gt;0,"Vistoria ","")&amp;IF(COUNTIFS($C$22:$C$150,F16,$D$22:$D$150,"*Relatório*",$Q$22:$Q$150,"&lt;&gt;Cancelada")&gt;0,"Relatório ","")&amp;IF(COUNTIFS($C$22:$C$150,F16,$D$22:$D$150,"*Reunião*",$Q$22:$Q$150,"&lt;&gt;Cancelada")&gt;0,"REUNIÃO ","")&amp;IF(COUNTIFS($C$22:$C$150,F16,$D$22:$D$150,"*Férias*",$Q$22:$Q$150,"&lt;&gt;Cancelada")&gt;0,"Férias ","")&amp;IF(COUNTIFS($C$22:$C$150,F16,$D$22:$D$150,"*Mudança*",$Q$22:$Q$150,"&lt;&gt;Cancelada")&gt;0,"M.Função ","")&amp;IF(COUNTIFS($C$22:$C$150,F16,$D$22:$D$150,"*Treinamento*",$Q$22:$Q$150,"&lt;&gt;Cancelada")&gt;0,"Trein. ","")))</f>
        <v/>
      </c>
      <c r="G17" s="47"/>
      <c r="H17" s="47" t="str">
        <f aca="false">IF(H16="","",TRIM(IF(COUNTIFS($C$22:$C$150,H16,$D$22:$D$150,"*Vistoria*",$Q$22:$Q$150,"&lt;&gt;Cancelada")&gt;0,"Vistoria ","")&amp;IF(COUNTIFS($C$22:$C$150,H16,$D$22:$D$150,"*Relatório*",$Q$22:$Q$150,"&lt;&gt;Cancelada")&gt;0,"Relatório ","")&amp;IF(COUNTIFS($C$22:$C$150,H16,$D$22:$D$150,"*Reunião*",$Q$22:$Q$150,"&lt;&gt;Cancelada")&gt;0,"REUNIÃO ","")&amp;IF(COUNTIFS($C$22:$C$150,H16,$D$22:$D$150,"*Férias*",$Q$22:$Q$150,"&lt;&gt;Cancelada")&gt;0,"Férias ","")&amp;IF(COUNTIFS($C$22:$C$150,H16,$D$22:$D$150,"*Mudança*",$Q$22:$Q$150,"&lt;&gt;Cancelada")&gt;0,"M.Função ","")&amp;IF(COUNTIFS($C$22:$C$150,H16,$D$22:$D$150,"*Treinamento*",$Q$22:$Q$150,"&lt;&gt;Cancelada")&gt;0,"Trein. ","")))</f>
        <v/>
      </c>
      <c r="I17" s="47"/>
      <c r="J17" s="47" t="str">
        <f aca="false">IF(J16="","",TRIM(IF(COUNTIFS($C$22:$C$150,J16,$D$22:$D$150,"*Vistoria*",$Q$22:$Q$150,"&lt;&gt;Cancelada")&gt;0,"Vistoria ","")&amp;IF(COUNTIFS($C$22:$C$150,J16,$D$22:$D$150,"*Relatório*",$Q$22:$Q$150,"&lt;&gt;Cancelada")&gt;0,"Relatório ","")&amp;IF(COUNTIFS($C$22:$C$150,J16,$D$22:$D$150,"*Reunião*",$Q$22:$Q$150,"&lt;&gt;Cancelada")&gt;0,"REUNIÃO ","")&amp;IF(COUNTIFS($C$22:$C$150,J16,$D$22:$D$150,"*Férias*",$Q$22:$Q$150,"&lt;&gt;Cancelada")&gt;0,"Férias ","")&amp;IF(COUNTIFS($C$22:$C$150,J16,$D$22:$D$150,"*Mudança*",$Q$22:$Q$150,"&lt;&gt;Cancelada")&gt;0,"M.Função ","")&amp;IF(COUNTIFS($C$22:$C$150,J16,$D$22:$D$150,"*Treinamento*",$Q$22:$Q$150,"&lt;&gt;Cancelada")&gt;0,"Trein. ","")))</f>
        <v/>
      </c>
      <c r="K17" s="47"/>
      <c r="L17" s="47" t="str">
        <f aca="false">IF(L16="","",TRIM(IF(COUNTIFS($C$22:$C$150,L16,$D$22:$D$150,"*Vistoria*",$Q$22:$Q$150,"&lt;&gt;Cancelada")&gt;0,"Vistoria ","")&amp;IF(COUNTIFS($C$22:$C$150,L16,$D$22:$D$150,"*Relatório*",$Q$22:$Q$150,"&lt;&gt;Cancelada")&gt;0,"Relatório ","")&amp;IF(COUNTIFS($C$22:$C$150,L16,$D$22:$D$150,"*Reunião*",$Q$22:$Q$150,"&lt;&gt;Cancelada")&gt;0,"REUNIÃO ","")&amp;IF(COUNTIFS($C$22:$C$150,L16,$D$22:$D$150,"*Férias*",$Q$22:$Q$150,"&lt;&gt;Cancelada")&gt;0,"Férias ","")&amp;IF(COUNTIFS($C$22:$C$150,L16,$D$22:$D$150,"*Mudança*",$Q$22:$Q$150,"&lt;&gt;Cancelada")&gt;0,"M.Função ","")&amp;IF(COUNTIFS($C$22:$C$150,L16,$D$22:$D$150,"*Treinamento*",$Q$22:$Q$150,"&lt;&gt;Cancelada")&gt;0,"Trein. ","")))</f>
        <v/>
      </c>
      <c r="M17" s="47"/>
      <c r="N17" s="47" t="str">
        <f aca="false">IF(N16="","",TRIM(IF(COUNTIFS($C$22:$C$150,N16,$D$22:$D$150,"*Vistoria*",$Q$22:$Q$150,"&lt;&gt;Cancelada")&gt;0,"Vistoria ","")&amp;IF(COUNTIFS($C$22:$C$150,N16,$D$22:$D$150,"*Relatório*",$Q$22:$Q$150,"&lt;&gt;Cancelada")&gt;0,"Relatório ","")&amp;IF(COUNTIFS($C$22:$C$150,N16,$D$22:$D$150,"*Reunião*",$Q$22:$Q$150,"&lt;&gt;Cancelada")&gt;0,"REUNIÃO ","")&amp;IF(COUNTIFS($C$22:$C$150,N16,$D$22:$D$150,"*Férias*",$Q$22:$Q$150,"&lt;&gt;Cancelada")&gt;0,"Férias ","")&amp;IF(COUNTIFS($C$22:$C$150,N16,$D$22:$D$150,"*Mudança*",$Q$22:$Q$150,"&lt;&gt;Cancelada")&gt;0,"M.Função ","")&amp;IF(COUNTIFS($C$22:$C$150,N16,$D$22:$D$150,"*Treinamento*",$Q$22:$Q$150,"&lt;&gt;Cancelada")&gt;0,"Trein. ","")))</f>
        <v/>
      </c>
      <c r="O17" s="47"/>
    </row>
    <row r="18" customFormat="false" ht="15" hidden="false" customHeight="true" outlineLevel="0" collapsed="false">
      <c r="B18" s="48" t="s">
        <v>123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</row>
    <row r="20" customFormat="false" ht="15" hidden="false" customHeight="true" outlineLevel="0" collapsed="false">
      <c r="A20" s="49" t="s">
        <v>124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customFormat="false" ht="24" hidden="false" customHeight="true" outlineLevel="0" collapsed="false">
      <c r="A21" s="50" t="s">
        <v>125</v>
      </c>
      <c r="B21" s="50" t="s">
        <v>126</v>
      </c>
      <c r="C21" s="50" t="s">
        <v>127</v>
      </c>
      <c r="D21" s="50" t="s">
        <v>128</v>
      </c>
      <c r="E21" s="50"/>
      <c r="F21" s="50"/>
      <c r="G21" s="50" t="s">
        <v>73</v>
      </c>
      <c r="H21" s="50" t="s">
        <v>129</v>
      </c>
      <c r="I21" s="50"/>
      <c r="J21" s="50" t="s">
        <v>130</v>
      </c>
      <c r="K21" s="50"/>
      <c r="L21" s="50"/>
      <c r="M21" s="50" t="s">
        <v>131</v>
      </c>
      <c r="N21" s="50"/>
      <c r="O21" s="50"/>
      <c r="P21" s="50" t="s">
        <v>132</v>
      </c>
      <c r="Q21" s="50" t="s">
        <v>133</v>
      </c>
      <c r="R21" s="50" t="s">
        <v>134</v>
      </c>
      <c r="S21" s="50" t="s">
        <v>135</v>
      </c>
      <c r="T21" s="50" t="s">
        <v>136</v>
      </c>
      <c r="U21" s="50" t="s">
        <v>137</v>
      </c>
      <c r="V21" s="50" t="s">
        <v>138</v>
      </c>
    </row>
    <row r="22" customFormat="false" ht="15" hidden="false" customHeight="false" outlineLevel="0" collapsed="false">
      <c r="A22" s="51" t="str">
        <f aca="false">IF($C22="","",$X$2&amp;"-S"&amp;INT(($C22-WEEKDAY($C22,2)+11-DATE(YEAR($C22+4-WEEKDAY($C22,2)),1,1))/7)&amp;"-FER-A")</f>
        <v>JAN-S2-FER-A</v>
      </c>
      <c r="B22" s="34" t="str">
        <f aca="false">IF($C22="","","S"&amp;INT(($C22-WEEKDAY($C22,2)+11-DATE(YEAR($C22+4-WEEKDAY($C22,2)),1,1))/7))</f>
        <v>S2</v>
      </c>
      <c r="C22" s="52" t="n">
        <f aca="false">$X$1+MOD(8-WEEKDAY($X$1,2),7)</f>
        <v>46027</v>
      </c>
      <c r="D22" s="9" t="str">
        <f aca="false">IF($C22="","","Programação de Férias (mensal)")</f>
        <v>Programação de Férias (mensal)</v>
      </c>
      <c r="E22" s="9"/>
      <c r="F22" s="9"/>
      <c r="G22" s="34" t="str">
        <f aca="false">IF($C22="","","A")</f>
        <v>A</v>
      </c>
      <c r="H22" s="34" t="str">
        <f aca="false">IF($C22="","",IF($G22="A",CONFIG!$B$5,IF($G22="B",CONFIG!$B$6,IF($G22="C",CONFIG!$B$7,"Gerência + coordenadores"))))</f>
        <v>(preencha o nome)</v>
      </c>
      <c r="I22" s="34"/>
      <c r="J22" s="32" t="str">
        <f aca="false">IF($C22="","","—")</f>
        <v>—</v>
      </c>
      <c r="K22" s="53"/>
      <c r="L22" s="53"/>
      <c r="M22" s="54"/>
      <c r="N22" s="54"/>
      <c r="O22" s="54"/>
      <c r="P22" s="55"/>
      <c r="Q22" s="56"/>
      <c r="R22" s="57"/>
      <c r="S22" s="34" t="str">
        <f aca="true">IF($C22="","",IF($Q22="Cancelada","Cancelada",IF($Q22="Reprovado","Reprovada",IF($Q22="Aprovado","Aprovada",IF($M22&lt;&gt;"","Entregue",IF(TODAY()&gt;$C22,"Atrasada","Pendente"))))))</f>
        <v>Atrasada</v>
      </c>
      <c r="T22" s="58"/>
      <c r="U22" s="58"/>
      <c r="V22" s="58"/>
    </row>
    <row r="23" customFormat="false" ht="15" hidden="false" customHeight="false" outlineLevel="0" collapsed="false">
      <c r="A23" s="59" t="str">
        <f aca="false">IF($C23="","",$X$2&amp;"-S"&amp;INT(($C23-WEEKDAY($C23,2)+11-DATE(YEAR($C23+4-WEEKDAY($C23,2)),1,1))/7)&amp;"-FER-B")</f>
        <v>JAN-S2-FER-B</v>
      </c>
      <c r="B23" s="30" t="str">
        <f aca="false">IF($C23="","","S"&amp;INT(($C23-WEEKDAY($C23,2)+11-DATE(YEAR($C23+4-WEEKDAY($C23,2)),1,1))/7))</f>
        <v>S2</v>
      </c>
      <c r="C23" s="52" t="n">
        <f aca="false">$X$1+MOD(8-WEEKDAY($X$1,2),7)</f>
        <v>46027</v>
      </c>
      <c r="D23" s="27" t="str">
        <f aca="false">IF($C23="","","Programação de Férias (mensal)")</f>
        <v>Programação de Férias (mensal)</v>
      </c>
      <c r="E23" s="27"/>
      <c r="F23" s="27"/>
      <c r="G23" s="30" t="str">
        <f aca="false">IF($C23="","","B")</f>
        <v>B</v>
      </c>
      <c r="H23" s="30" t="str">
        <f aca="false">IF($C23="","",IF($G23="A",CONFIG!$B$5,IF($G23="B",CONFIG!$B$6,IF($G23="C",CONFIG!$B$7,"Gerência + coordenadores"))))</f>
        <v>(preencha o nome)</v>
      </c>
      <c r="I23" s="30"/>
      <c r="J23" s="32" t="str">
        <f aca="false">IF($C23="","","—")</f>
        <v>—</v>
      </c>
      <c r="K23" s="53"/>
      <c r="L23" s="53"/>
      <c r="M23" s="54"/>
      <c r="N23" s="54"/>
      <c r="O23" s="54"/>
      <c r="P23" s="60"/>
      <c r="Q23" s="56"/>
      <c r="R23" s="57"/>
      <c r="S23" s="30" t="str">
        <f aca="true">IF($C23="","",IF($Q23="Cancelada","Cancelada",IF($Q23="Reprovado","Reprovada",IF($Q23="Aprovado","Aprovada",IF($M23&lt;&gt;"","Entregue",IF(TODAY()&gt;$C23,"Atrasada","Pendente"))))))</f>
        <v>Atrasada</v>
      </c>
      <c r="T23" s="58"/>
      <c r="U23" s="58"/>
      <c r="V23" s="58"/>
    </row>
    <row r="24" customFormat="false" ht="15" hidden="false" customHeight="false" outlineLevel="0" collapsed="false">
      <c r="A24" s="51" t="str">
        <f aca="false">IF($C24="","",$X$2&amp;"-S"&amp;INT(($C24-WEEKDAY($C24,2)+11-DATE(YEAR($C24+4-WEEKDAY($C24,2)),1,1))/7)&amp;"-FER-C")</f>
        <v>JAN-S2-FER-C</v>
      </c>
      <c r="B24" s="34" t="str">
        <f aca="false">IF($C24="","","S"&amp;INT(($C24-WEEKDAY($C24,2)+11-DATE(YEAR($C24+4-WEEKDAY($C24,2)),1,1))/7))</f>
        <v>S2</v>
      </c>
      <c r="C24" s="52" t="n">
        <f aca="false">$X$1+MOD(8-WEEKDAY($X$1,2),7)</f>
        <v>46027</v>
      </c>
      <c r="D24" s="9" t="str">
        <f aca="false">IF($C24="","","Programação de Férias (mensal)")</f>
        <v>Programação de Férias (mensal)</v>
      </c>
      <c r="E24" s="9"/>
      <c r="F24" s="9"/>
      <c r="G24" s="34" t="str">
        <f aca="false">IF($C24="","","C")</f>
        <v>C</v>
      </c>
      <c r="H24" s="34" t="str">
        <f aca="false">IF($C24="","",IF($G24="A",CONFIG!$B$5,IF($G24="B",CONFIG!$B$6,IF($G24="C",CONFIG!$B$7,"Gerência + coordenadores"))))</f>
        <v>(preencha o nome)</v>
      </c>
      <c r="I24" s="34"/>
      <c r="J24" s="32" t="str">
        <f aca="false">IF($C24="","","—")</f>
        <v>—</v>
      </c>
      <c r="K24" s="53"/>
      <c r="L24" s="53"/>
      <c r="M24" s="54"/>
      <c r="N24" s="54"/>
      <c r="O24" s="54"/>
      <c r="P24" s="55"/>
      <c r="Q24" s="56"/>
      <c r="R24" s="57"/>
      <c r="S24" s="34" t="str">
        <f aca="true">IF($C24="","",IF($Q24="Cancelada","Cancelada",IF($Q24="Reprovado","Reprovada",IF($Q24="Aprovado","Aprovada",IF($M24&lt;&gt;"","Entregue",IF(TODAY()&gt;$C24,"Atrasada","Pendente"))))))</f>
        <v>Atrasada</v>
      </c>
      <c r="T24" s="58"/>
      <c r="U24" s="58"/>
      <c r="V24" s="58"/>
    </row>
    <row r="25" customFormat="false" ht="15" hidden="false" customHeight="false" outlineLevel="0" collapsed="false">
      <c r="A25" s="59" t="str">
        <f aca="false">IF($C25="","",$X$2&amp;"-S"&amp;INT(($C25-WEEKDAY($C25,2)+11-DATE(YEAR($C25+4-WEEKDAY($C25,2)),1,1))/7)&amp;"-VIS-A")</f>
        <v/>
      </c>
      <c r="B25" s="30" t="str">
        <f aca="false">IF($C25="","","S"&amp;INT(($C25-WEEKDAY($C25,2)+11-DATE(YEAR($C25+4-WEEKDAY($C25,2)),1,1))/7))</f>
        <v/>
      </c>
      <c r="C25" s="52" t="str">
        <f aca="false">IF(MONTH(($X$1-WEEKDAY($X$1,3)+0)+2)=MONTH($X$1),($X$1-WEEKDAY($X$1,3)+0)+2,"")</f>
        <v/>
      </c>
      <c r="D25" s="27" t="str">
        <f aca="false">IF($C25="","","Vistoria Setorial (checklist no setor definido pelo gerente)")</f>
        <v/>
      </c>
      <c r="E25" s="27"/>
      <c r="F25" s="27"/>
      <c r="G25" s="30" t="str">
        <f aca="false">IF($C25="","","A")</f>
        <v/>
      </c>
      <c r="H25" s="30" t="str">
        <f aca="false">IF($C25="","",IF($G25="A",CONFIG!$B$5,IF($G25="B",CONFIG!$B$6,IF($G25="C",CONFIG!$B$7,"Gerência + coordenadores"))))</f>
        <v/>
      </c>
      <c r="I25" s="30"/>
      <c r="J25" s="56"/>
      <c r="K25" s="53"/>
      <c r="L25" s="53"/>
      <c r="M25" s="54"/>
      <c r="N25" s="54"/>
      <c r="O25" s="54"/>
      <c r="P25" s="60"/>
      <c r="Q25" s="56"/>
      <c r="R25" s="57"/>
      <c r="S25" s="30" t="str">
        <f aca="true">IF($C25="","",IF($Q25="Cancelada","Cancelada",IF($Q25="Reprovado","Reprovada",IF($Q25="Aprovado","Aprovada",IF($M25&lt;&gt;"","Entregue",IF(TODAY()&gt;$C25,"Atrasada","Pendente"))))))</f>
        <v/>
      </c>
      <c r="T25" s="58"/>
      <c r="U25" s="58"/>
      <c r="V25" s="58"/>
    </row>
    <row r="26" customFormat="false" ht="15" hidden="false" customHeight="false" outlineLevel="0" collapsed="false">
      <c r="A26" s="51" t="str">
        <f aca="false">IF($C26="","",$X$2&amp;"-S"&amp;INT(($C26-WEEKDAY($C26,2)+11-DATE(YEAR($C26+4-WEEKDAY($C26,2)),1,1))/7)&amp;"-VIS-B")</f>
        <v/>
      </c>
      <c r="B26" s="34" t="str">
        <f aca="false">IF($C26="","","S"&amp;INT(($C26-WEEKDAY($C26,2)+11-DATE(YEAR($C26+4-WEEKDAY($C26,2)),1,1))/7))</f>
        <v/>
      </c>
      <c r="C26" s="52" t="str">
        <f aca="false">IF(MONTH(($X$1-WEEKDAY($X$1,3)+0)+2)=MONTH($X$1),($X$1-WEEKDAY($X$1,3)+0)+2,"")</f>
        <v/>
      </c>
      <c r="D26" s="9" t="str">
        <f aca="false">IF($C26="","","Vistoria Setorial (checklist no setor definido pelo gerente)")</f>
        <v/>
      </c>
      <c r="E26" s="9"/>
      <c r="F26" s="9"/>
      <c r="G26" s="34" t="str">
        <f aca="false">IF($C26="","","B")</f>
        <v/>
      </c>
      <c r="H26" s="34" t="str">
        <f aca="false">IF($C26="","",IF($G26="A",CONFIG!$B$5,IF($G26="B",CONFIG!$B$6,IF($G26="C",CONFIG!$B$7,"Gerência + coordenadores"))))</f>
        <v/>
      </c>
      <c r="I26" s="34"/>
      <c r="J26" s="56"/>
      <c r="K26" s="53"/>
      <c r="L26" s="53"/>
      <c r="M26" s="54"/>
      <c r="N26" s="54"/>
      <c r="O26" s="54"/>
      <c r="P26" s="55"/>
      <c r="Q26" s="56"/>
      <c r="R26" s="57"/>
      <c r="S26" s="34" t="str">
        <f aca="true">IF($C26="","",IF($Q26="Cancelada","Cancelada",IF($Q26="Reprovado","Reprovada",IF($Q26="Aprovado","Aprovada",IF($M26&lt;&gt;"","Entregue",IF(TODAY()&gt;$C26,"Atrasada","Pendente"))))))</f>
        <v/>
      </c>
      <c r="T26" s="58"/>
      <c r="U26" s="58"/>
      <c r="V26" s="58"/>
    </row>
    <row r="27" customFormat="false" ht="15" hidden="false" customHeight="false" outlineLevel="0" collapsed="false">
      <c r="A27" s="59" t="str">
        <f aca="false">IF($C27="","",$X$2&amp;"-S"&amp;INT(($C27-WEEKDAY($C27,2)+11-DATE(YEAR($C27+4-WEEKDAY($C27,2)),1,1))/7)&amp;"-VIS-C")</f>
        <v/>
      </c>
      <c r="B27" s="30" t="str">
        <f aca="false">IF($C27="","","S"&amp;INT(($C27-WEEKDAY($C27,2)+11-DATE(YEAR($C27+4-WEEKDAY($C27,2)),1,1))/7))</f>
        <v/>
      </c>
      <c r="C27" s="52" t="str">
        <f aca="false">IF(MONTH(($X$1-WEEKDAY($X$1,3)+0)+2)=MONTH($X$1),($X$1-WEEKDAY($X$1,3)+0)+2,"")</f>
        <v/>
      </c>
      <c r="D27" s="27" t="str">
        <f aca="false">IF($C27="","","Vistoria Setorial (checklist no setor definido pelo gerente)")</f>
        <v/>
      </c>
      <c r="E27" s="27"/>
      <c r="F27" s="27"/>
      <c r="G27" s="30" t="str">
        <f aca="false">IF($C27="","","C")</f>
        <v/>
      </c>
      <c r="H27" s="30" t="str">
        <f aca="false">IF($C27="","",IF($G27="A",CONFIG!$B$5,IF($G27="B",CONFIG!$B$6,IF($G27="C",CONFIG!$B$7,"Gerência + coordenadores"))))</f>
        <v/>
      </c>
      <c r="I27" s="30"/>
      <c r="J27" s="56"/>
      <c r="K27" s="53"/>
      <c r="L27" s="53"/>
      <c r="M27" s="54"/>
      <c r="N27" s="54"/>
      <c r="O27" s="54"/>
      <c r="P27" s="60"/>
      <c r="Q27" s="56"/>
      <c r="R27" s="57"/>
      <c r="S27" s="30" t="str">
        <f aca="true">IF($C27="","",IF($Q27="Cancelada","Cancelada",IF($Q27="Reprovado","Reprovada",IF($Q27="Aprovado","Aprovada",IF($M27&lt;&gt;"","Entregue",IF(TODAY()&gt;$C27,"Atrasada","Pendente"))))))</f>
        <v/>
      </c>
      <c r="T27" s="58"/>
      <c r="U27" s="58"/>
      <c r="V27" s="58"/>
    </row>
    <row r="28" customFormat="false" ht="22.35" hidden="false" customHeight="false" outlineLevel="0" collapsed="false">
      <c r="A28" s="51" t="str">
        <f aca="false">IF($C28="","",$X$2&amp;"-S"&amp;INT(($C28-WEEKDAY($C28,2)+11-DATE(YEAR($C28+4-WEEKDAY($C28,2)),1,1))/7)&amp;"-RSC-A")</f>
        <v>JAN-S1-RSC-A</v>
      </c>
      <c r="B28" s="34" t="str">
        <f aca="false">IF($C28="","","S"&amp;INT(($C28-WEEKDAY($C28,2)+11-DATE(YEAR($C28+4-WEEKDAY($C28,2)),1,1))/7))</f>
        <v>S1</v>
      </c>
      <c r="C28" s="52" t="n">
        <f aca="false">IF(MONTH(($X$1-WEEKDAY($X$1,3)+0)+3)=MONTH($X$1),($X$1-WEEKDAY($X$1,3)+0)+3,"")</f>
        <v>46023</v>
      </c>
      <c r="D28" s="9" t="str">
        <f aca="false">IF($C28="","","Relatório Semanal Consolidado (erros + metas + faltas + supervisores)")</f>
        <v>Relatório Semanal Consolidado (erros + metas + faltas + supervisores)</v>
      </c>
      <c r="E28" s="9"/>
      <c r="F28" s="9"/>
      <c r="G28" s="34" t="str">
        <f aca="false">IF($C28="","","A")</f>
        <v>A</v>
      </c>
      <c r="H28" s="34" t="str">
        <f aca="false">IF($C28="","",IF($G28="A",CONFIG!$B$5,IF($G28="B",CONFIG!$B$6,IF($G28="C",CONFIG!$B$7,"Gerência + coordenadores"))))</f>
        <v>(preencha o nome)</v>
      </c>
      <c r="I28" s="34"/>
      <c r="J28" s="32" t="str">
        <f aca="false">IF($C28="","","—")</f>
        <v>—</v>
      </c>
      <c r="K28" s="61"/>
      <c r="L28" s="61"/>
      <c r="M28" s="54"/>
      <c r="N28" s="54"/>
      <c r="O28" s="54"/>
      <c r="P28" s="55"/>
      <c r="Q28" s="56"/>
      <c r="R28" s="57"/>
      <c r="S28" s="34" t="str">
        <f aca="true">IF($C28="","",IF($Q28="Cancelada","Cancelada",IF($Q28="Reprovado","Reprovada",IF($Q28="Aprovado","Aprovada",IF($M28&lt;&gt;"","Entregue",IF(TODAY()&gt;$C28,"Atrasada","Pendente"))))))</f>
        <v>Atrasada</v>
      </c>
      <c r="T28" s="58"/>
      <c r="U28" s="58"/>
      <c r="V28" s="58"/>
    </row>
    <row r="29" customFormat="false" ht="22.35" hidden="false" customHeight="false" outlineLevel="0" collapsed="false">
      <c r="A29" s="59" t="str">
        <f aca="false">IF($C29="","",$X$2&amp;"-S"&amp;INT(($C29-WEEKDAY($C29,2)+11-DATE(YEAR($C29+4-WEEKDAY($C29,2)),1,1))/7)&amp;"-RSC-B")</f>
        <v>JAN-S1-RSC-B</v>
      </c>
      <c r="B29" s="30" t="str">
        <f aca="false">IF($C29="","","S"&amp;INT(($C29-WEEKDAY($C29,2)+11-DATE(YEAR($C29+4-WEEKDAY($C29,2)),1,1))/7))</f>
        <v>S1</v>
      </c>
      <c r="C29" s="52" t="n">
        <f aca="false">IF(MONTH(($X$1-WEEKDAY($X$1,3)+0)+3)=MONTH($X$1),($X$1-WEEKDAY($X$1,3)+0)+3,"")</f>
        <v>46023</v>
      </c>
      <c r="D29" s="27" t="str">
        <f aca="false">IF($C29="","","Relatório Semanal Consolidado (erros + metas + faltas + supervisores)")</f>
        <v>Relatório Semanal Consolidado (erros + metas + faltas + supervisores)</v>
      </c>
      <c r="E29" s="27"/>
      <c r="F29" s="27"/>
      <c r="G29" s="30" t="str">
        <f aca="false">IF($C29="","","B")</f>
        <v>B</v>
      </c>
      <c r="H29" s="30" t="str">
        <f aca="false">IF($C29="","",IF($G29="A",CONFIG!$B$5,IF($G29="B",CONFIG!$B$6,IF($G29="C",CONFIG!$B$7,"Gerência + coordenadores"))))</f>
        <v>(preencha o nome)</v>
      </c>
      <c r="I29" s="30"/>
      <c r="J29" s="32" t="str">
        <f aca="false">IF($C29="","","—")</f>
        <v>—</v>
      </c>
      <c r="K29" s="61"/>
      <c r="L29" s="61"/>
      <c r="M29" s="54"/>
      <c r="N29" s="54"/>
      <c r="O29" s="54"/>
      <c r="P29" s="60"/>
      <c r="Q29" s="56"/>
      <c r="R29" s="57"/>
      <c r="S29" s="30" t="str">
        <f aca="true">IF($C29="","",IF($Q29="Cancelada","Cancelada",IF($Q29="Reprovado","Reprovada",IF($Q29="Aprovado","Aprovada",IF($M29&lt;&gt;"","Entregue",IF(TODAY()&gt;$C29,"Atrasada","Pendente"))))))</f>
        <v>Atrasada</v>
      </c>
      <c r="T29" s="58"/>
      <c r="U29" s="58"/>
      <c r="V29" s="58"/>
    </row>
    <row r="30" customFormat="false" ht="22.35" hidden="false" customHeight="false" outlineLevel="0" collapsed="false">
      <c r="A30" s="51" t="str">
        <f aca="false">IF($C30="","",$X$2&amp;"-S"&amp;INT(($C30-WEEKDAY($C30,2)+11-DATE(YEAR($C30+4-WEEKDAY($C30,2)),1,1))/7)&amp;"-RSC-C")</f>
        <v>JAN-S1-RSC-C</v>
      </c>
      <c r="B30" s="34" t="str">
        <f aca="false">IF($C30="","","S"&amp;INT(($C30-WEEKDAY($C30,2)+11-DATE(YEAR($C30+4-WEEKDAY($C30,2)),1,1))/7))</f>
        <v>S1</v>
      </c>
      <c r="C30" s="52" t="n">
        <f aca="false">IF(MONTH(($X$1-WEEKDAY($X$1,3)+0)+3)=MONTH($X$1),($X$1-WEEKDAY($X$1,3)+0)+3,"")</f>
        <v>46023</v>
      </c>
      <c r="D30" s="9" t="str">
        <f aca="false">IF($C30="","","Relatório Semanal Consolidado (erros + metas + faltas + supervisores)")</f>
        <v>Relatório Semanal Consolidado (erros + metas + faltas + supervisores)</v>
      </c>
      <c r="E30" s="9"/>
      <c r="F30" s="9"/>
      <c r="G30" s="34" t="str">
        <f aca="false">IF($C30="","","C")</f>
        <v>C</v>
      </c>
      <c r="H30" s="34" t="str">
        <f aca="false">IF($C30="","",IF($G30="A",CONFIG!$B$5,IF($G30="B",CONFIG!$B$6,IF($G30="C",CONFIG!$B$7,"Gerência + coordenadores"))))</f>
        <v>(preencha o nome)</v>
      </c>
      <c r="I30" s="34"/>
      <c r="J30" s="32" t="str">
        <f aca="false">IF($C30="","","—")</f>
        <v>—</v>
      </c>
      <c r="K30" s="61"/>
      <c r="L30" s="61"/>
      <c r="M30" s="54"/>
      <c r="N30" s="54"/>
      <c r="O30" s="54"/>
      <c r="P30" s="55"/>
      <c r="Q30" s="56"/>
      <c r="R30" s="57"/>
      <c r="S30" s="34" t="str">
        <f aca="true">IF($C30="","",IF($Q30="Cancelada","Cancelada",IF($Q30="Reprovado","Reprovada",IF($Q30="Aprovado","Aprovada",IF($M30&lt;&gt;"","Entregue",IF(TODAY()&gt;$C30,"Atrasada","Pendente"))))))</f>
        <v>Atrasada</v>
      </c>
      <c r="T30" s="58"/>
      <c r="U30" s="58"/>
      <c r="V30" s="58"/>
    </row>
    <row r="31" customFormat="false" ht="22.35" hidden="false" customHeight="false" outlineLevel="0" collapsed="false">
      <c r="A31" s="59" t="str">
        <f aca="false">IF($C31="","",$X$2&amp;"-S"&amp;INT(($C31-WEEKDAY($C31,2)+11-DATE(YEAR($C31+4-WEEKDAY($C31,2)),1,1))/7)&amp;"-REU-T")</f>
        <v>JAN-S1-REU-T</v>
      </c>
      <c r="B31" s="30" t="str">
        <f aca="false">IF($C31="","","S"&amp;INT(($C31-WEEKDAY($C31,2)+11-DATE(YEAR($C31+4-WEEKDAY($C31,2)),1,1))/7))</f>
        <v>S1</v>
      </c>
      <c r="C31" s="52" t="n">
        <f aca="false">IF(MONTH(($X$1-WEEKDAY($X$1,3)+0)+4)=MONTH($X$1),($X$1-WEEKDAY($X$1,3)+0)+4,"")</f>
        <v>46024</v>
      </c>
      <c r="D31" s="27" t="str">
        <f aca="false">IF($C31="","","Reunião Semanal com a Gerência")</f>
        <v>Reunião Semanal com a Gerência</v>
      </c>
      <c r="E31" s="27"/>
      <c r="F31" s="27"/>
      <c r="G31" s="30" t="str">
        <f aca="false">IF($C31="","","Todos")</f>
        <v>Todos</v>
      </c>
      <c r="H31" s="30" t="str">
        <f aca="false">IF($C31="","",IF($G31="A",CONFIG!$B$5,IF($G31="B",CONFIG!$B$6,IF($G31="C",CONFIG!$B$7,"Gerência + coordenadores"))))</f>
        <v>Gerência + coordenadores</v>
      </c>
      <c r="I31" s="30"/>
      <c r="J31" s="32" t="str">
        <f aca="false">IF($C31="","","—")</f>
        <v>—</v>
      </c>
      <c r="K31" s="53"/>
      <c r="L31" s="53"/>
      <c r="M31" s="54"/>
      <c r="N31" s="54"/>
      <c r="O31" s="54"/>
      <c r="P31" s="60"/>
      <c r="Q31" s="56"/>
      <c r="R31" s="57"/>
      <c r="S31" s="30" t="str">
        <f aca="true">IF($C31="","",IF($Q31="Cancelada","Cancelada",IF($Q31="Reprovado","Reprovada",IF($Q31="Aprovado","Aprovada",IF($M31&lt;&gt;"","Entregue",IF(TODAY()&gt;$C31,"Atrasada","Pendente"))))))</f>
        <v>Atrasada</v>
      </c>
      <c r="T31" s="58"/>
      <c r="U31" s="58"/>
      <c r="V31" s="58"/>
    </row>
    <row r="32" customFormat="false" ht="22.35" hidden="false" customHeight="false" outlineLevel="0" collapsed="false">
      <c r="A32" s="51" t="str">
        <f aca="false">IF($C32="","",$X$2&amp;"-S"&amp;INT(($C32-WEEKDAY($C32,2)+11-DATE(YEAR($C32+4-WEEKDAY($C32,2)),1,1))/7)&amp;"-VIS-A")</f>
        <v>JAN-S2-VIS-A</v>
      </c>
      <c r="B32" s="34" t="str">
        <f aca="false">IF($C32="","","S"&amp;INT(($C32-WEEKDAY($C32,2)+11-DATE(YEAR($C32+4-WEEKDAY($C32,2)),1,1))/7))</f>
        <v>S2</v>
      </c>
      <c r="C32" s="52" t="n">
        <f aca="false">IF(MONTH(($X$1-WEEKDAY($X$1,3)+7)+2)=MONTH($X$1),($X$1-WEEKDAY($X$1,3)+7)+2,"")</f>
        <v>46029</v>
      </c>
      <c r="D32" s="9" t="str">
        <f aca="false">IF($C32="","","Vistoria Setorial (checklist no setor definido pelo gerente)")</f>
        <v>Vistoria Setorial (checklist no setor definido pelo gerente)</v>
      </c>
      <c r="E32" s="9"/>
      <c r="F32" s="9"/>
      <c r="G32" s="34" t="str">
        <f aca="false">IF($C32="","","A")</f>
        <v>A</v>
      </c>
      <c r="H32" s="34" t="str">
        <f aca="false">IF($C32="","",IF($G32="A",CONFIG!$B$5,IF($G32="B",CONFIG!$B$6,IF($G32="C",CONFIG!$B$7,"Gerência + coordenadores"))))</f>
        <v>(preencha o nome)</v>
      </c>
      <c r="I32" s="34"/>
      <c r="J32" s="56"/>
      <c r="K32" s="53"/>
      <c r="L32" s="53"/>
      <c r="M32" s="54"/>
      <c r="N32" s="54"/>
      <c r="O32" s="54"/>
      <c r="P32" s="55"/>
      <c r="Q32" s="56"/>
      <c r="R32" s="57"/>
      <c r="S32" s="34" t="str">
        <f aca="true">IF($C32="","",IF($Q32="Cancelada","Cancelada",IF($Q32="Reprovado","Reprovada",IF($Q32="Aprovado","Aprovada",IF($M32&lt;&gt;"","Entregue",IF(TODAY()&gt;$C32,"Atrasada","Pendente"))))))</f>
        <v>Atrasada</v>
      </c>
      <c r="T32" s="58"/>
      <c r="U32" s="58"/>
      <c r="V32" s="58"/>
    </row>
    <row r="33" customFormat="false" ht="22.35" hidden="false" customHeight="false" outlineLevel="0" collapsed="false">
      <c r="A33" s="59" t="str">
        <f aca="false">IF($C33="","",$X$2&amp;"-S"&amp;INT(($C33-WEEKDAY($C33,2)+11-DATE(YEAR($C33+4-WEEKDAY($C33,2)),1,1))/7)&amp;"-VIS-B")</f>
        <v>JAN-S2-VIS-B</v>
      </c>
      <c r="B33" s="30" t="str">
        <f aca="false">IF($C33="","","S"&amp;INT(($C33-WEEKDAY($C33,2)+11-DATE(YEAR($C33+4-WEEKDAY($C33,2)),1,1))/7))</f>
        <v>S2</v>
      </c>
      <c r="C33" s="52" t="n">
        <f aca="false">IF(MONTH(($X$1-WEEKDAY($X$1,3)+7)+2)=MONTH($X$1),($X$1-WEEKDAY($X$1,3)+7)+2,"")</f>
        <v>46029</v>
      </c>
      <c r="D33" s="27" t="str">
        <f aca="false">IF($C33="","","Vistoria Setorial (checklist no setor definido pelo gerente)")</f>
        <v>Vistoria Setorial (checklist no setor definido pelo gerente)</v>
      </c>
      <c r="E33" s="27"/>
      <c r="F33" s="27"/>
      <c r="G33" s="30" t="str">
        <f aca="false">IF($C33="","","B")</f>
        <v>B</v>
      </c>
      <c r="H33" s="30" t="str">
        <f aca="false">IF($C33="","",IF($G33="A",CONFIG!$B$5,IF($G33="B",CONFIG!$B$6,IF($G33="C",CONFIG!$B$7,"Gerência + coordenadores"))))</f>
        <v>(preencha o nome)</v>
      </c>
      <c r="I33" s="30"/>
      <c r="J33" s="56"/>
      <c r="K33" s="53"/>
      <c r="L33" s="53"/>
      <c r="M33" s="54"/>
      <c r="N33" s="54"/>
      <c r="O33" s="54"/>
      <c r="P33" s="60"/>
      <c r="Q33" s="56"/>
      <c r="R33" s="57"/>
      <c r="S33" s="30" t="str">
        <f aca="true">IF($C33="","",IF($Q33="Cancelada","Cancelada",IF($Q33="Reprovado","Reprovada",IF($Q33="Aprovado","Aprovada",IF($M33&lt;&gt;"","Entregue",IF(TODAY()&gt;$C33,"Atrasada","Pendente"))))))</f>
        <v>Atrasada</v>
      </c>
      <c r="T33" s="58"/>
      <c r="U33" s="58"/>
      <c r="V33" s="58"/>
    </row>
    <row r="34" customFormat="false" ht="22.35" hidden="false" customHeight="false" outlineLevel="0" collapsed="false">
      <c r="A34" s="51" t="str">
        <f aca="false">IF($C34="","",$X$2&amp;"-S"&amp;INT(($C34-WEEKDAY($C34,2)+11-DATE(YEAR($C34+4-WEEKDAY($C34,2)),1,1))/7)&amp;"-VIS-C")</f>
        <v>JAN-S2-VIS-C</v>
      </c>
      <c r="B34" s="34" t="str">
        <f aca="false">IF($C34="","","S"&amp;INT(($C34-WEEKDAY($C34,2)+11-DATE(YEAR($C34+4-WEEKDAY($C34,2)),1,1))/7))</f>
        <v>S2</v>
      </c>
      <c r="C34" s="52" t="n">
        <f aca="false">IF(MONTH(($X$1-WEEKDAY($X$1,3)+7)+2)=MONTH($X$1),($X$1-WEEKDAY($X$1,3)+7)+2,"")</f>
        <v>46029</v>
      </c>
      <c r="D34" s="9" t="str">
        <f aca="false">IF($C34="","","Vistoria Setorial (checklist no setor definido pelo gerente)")</f>
        <v>Vistoria Setorial (checklist no setor definido pelo gerente)</v>
      </c>
      <c r="E34" s="9"/>
      <c r="F34" s="9"/>
      <c r="G34" s="34" t="str">
        <f aca="false">IF($C34="","","C")</f>
        <v>C</v>
      </c>
      <c r="H34" s="34" t="str">
        <f aca="false">IF($C34="","",IF($G34="A",CONFIG!$B$5,IF($G34="B",CONFIG!$B$6,IF($G34="C",CONFIG!$B$7,"Gerência + coordenadores"))))</f>
        <v>(preencha o nome)</v>
      </c>
      <c r="I34" s="34"/>
      <c r="J34" s="56"/>
      <c r="K34" s="53"/>
      <c r="L34" s="53"/>
      <c r="M34" s="54"/>
      <c r="N34" s="54"/>
      <c r="O34" s="54"/>
      <c r="P34" s="55"/>
      <c r="Q34" s="56"/>
      <c r="R34" s="57"/>
      <c r="S34" s="34" t="str">
        <f aca="true">IF($C34="","",IF($Q34="Cancelada","Cancelada",IF($Q34="Reprovado","Reprovada",IF($Q34="Aprovado","Aprovada",IF($M34&lt;&gt;"","Entregue",IF(TODAY()&gt;$C34,"Atrasada","Pendente"))))))</f>
        <v>Atrasada</v>
      </c>
      <c r="T34" s="58"/>
      <c r="U34" s="58"/>
      <c r="V34" s="58"/>
    </row>
    <row r="35" customFormat="false" ht="22.35" hidden="false" customHeight="false" outlineLevel="0" collapsed="false">
      <c r="A35" s="59" t="str">
        <f aca="false">IF($C35="","",$X$2&amp;"-S"&amp;INT(($C35-WEEKDAY($C35,2)+11-DATE(YEAR($C35+4-WEEKDAY($C35,2)),1,1))/7)&amp;"-RSC-A")</f>
        <v>JAN-S2-RSC-A</v>
      </c>
      <c r="B35" s="30" t="str">
        <f aca="false">IF($C35="","","S"&amp;INT(($C35-WEEKDAY($C35,2)+11-DATE(YEAR($C35+4-WEEKDAY($C35,2)),1,1))/7))</f>
        <v>S2</v>
      </c>
      <c r="C35" s="52" t="n">
        <f aca="false">IF(MONTH(($X$1-WEEKDAY($X$1,3)+7)+3)=MONTH($X$1),($X$1-WEEKDAY($X$1,3)+7)+3,"")</f>
        <v>46030</v>
      </c>
      <c r="D35" s="27" t="str">
        <f aca="false">IF($C35="","","Relatório Semanal Consolidado (erros + metas + faltas + supervisores)")</f>
        <v>Relatório Semanal Consolidado (erros + metas + faltas + supervisores)</v>
      </c>
      <c r="E35" s="27"/>
      <c r="F35" s="27"/>
      <c r="G35" s="30" t="str">
        <f aca="false">IF($C35="","","A")</f>
        <v>A</v>
      </c>
      <c r="H35" s="30" t="str">
        <f aca="false">IF($C35="","",IF($G35="A",CONFIG!$B$5,IF($G35="B",CONFIG!$B$6,IF($G35="C",CONFIG!$B$7,"Gerência + coordenadores"))))</f>
        <v>(preencha o nome)</v>
      </c>
      <c r="I35" s="30"/>
      <c r="J35" s="32" t="str">
        <f aca="false">IF($C35="","","—")</f>
        <v>—</v>
      </c>
      <c r="K35" s="61"/>
      <c r="L35" s="61"/>
      <c r="M35" s="54"/>
      <c r="N35" s="54"/>
      <c r="O35" s="54"/>
      <c r="P35" s="60"/>
      <c r="Q35" s="56"/>
      <c r="R35" s="57"/>
      <c r="S35" s="30" t="str">
        <f aca="true">IF($C35="","",IF($Q35="Cancelada","Cancelada",IF($Q35="Reprovado","Reprovada",IF($Q35="Aprovado","Aprovada",IF($M35&lt;&gt;"","Entregue",IF(TODAY()&gt;$C35,"Atrasada","Pendente"))))))</f>
        <v>Atrasada</v>
      </c>
      <c r="T35" s="58"/>
      <c r="U35" s="58"/>
      <c r="V35" s="58"/>
    </row>
    <row r="36" customFormat="false" ht="22.35" hidden="false" customHeight="false" outlineLevel="0" collapsed="false">
      <c r="A36" s="51" t="str">
        <f aca="false">IF($C36="","",$X$2&amp;"-S"&amp;INT(($C36-WEEKDAY($C36,2)+11-DATE(YEAR($C36+4-WEEKDAY($C36,2)),1,1))/7)&amp;"-RSC-B")</f>
        <v>JAN-S2-RSC-B</v>
      </c>
      <c r="B36" s="34" t="str">
        <f aca="false">IF($C36="","","S"&amp;INT(($C36-WEEKDAY($C36,2)+11-DATE(YEAR($C36+4-WEEKDAY($C36,2)),1,1))/7))</f>
        <v>S2</v>
      </c>
      <c r="C36" s="52" t="n">
        <f aca="false">IF(MONTH(($X$1-WEEKDAY($X$1,3)+7)+3)=MONTH($X$1),($X$1-WEEKDAY($X$1,3)+7)+3,"")</f>
        <v>46030</v>
      </c>
      <c r="D36" s="9" t="str">
        <f aca="false">IF($C36="","","Relatório Semanal Consolidado (erros + metas + faltas + supervisores)")</f>
        <v>Relatório Semanal Consolidado (erros + metas + faltas + supervisores)</v>
      </c>
      <c r="E36" s="9"/>
      <c r="F36" s="9"/>
      <c r="G36" s="34" t="str">
        <f aca="false">IF($C36="","","B")</f>
        <v>B</v>
      </c>
      <c r="H36" s="34" t="str">
        <f aca="false">IF($C36="","",IF($G36="A",CONFIG!$B$5,IF($G36="B",CONFIG!$B$6,IF($G36="C",CONFIG!$B$7,"Gerência + coordenadores"))))</f>
        <v>(preencha o nome)</v>
      </c>
      <c r="I36" s="34"/>
      <c r="J36" s="32" t="str">
        <f aca="false">IF($C36="","","—")</f>
        <v>—</v>
      </c>
      <c r="K36" s="61"/>
      <c r="L36" s="61"/>
      <c r="M36" s="54"/>
      <c r="N36" s="54"/>
      <c r="O36" s="54"/>
      <c r="P36" s="55"/>
      <c r="Q36" s="56"/>
      <c r="R36" s="57"/>
      <c r="S36" s="34" t="str">
        <f aca="true">IF($C36="","",IF($Q36="Cancelada","Cancelada",IF($Q36="Reprovado","Reprovada",IF($Q36="Aprovado","Aprovada",IF($M36&lt;&gt;"","Entregue",IF(TODAY()&gt;$C36,"Atrasada","Pendente"))))))</f>
        <v>Atrasada</v>
      </c>
      <c r="T36" s="58"/>
      <c r="U36" s="58"/>
      <c r="V36" s="58"/>
    </row>
    <row r="37" customFormat="false" ht="22.35" hidden="false" customHeight="false" outlineLevel="0" collapsed="false">
      <c r="A37" s="59" t="str">
        <f aca="false">IF($C37="","",$X$2&amp;"-S"&amp;INT(($C37-WEEKDAY($C37,2)+11-DATE(YEAR($C37+4-WEEKDAY($C37,2)),1,1))/7)&amp;"-RSC-C")</f>
        <v>JAN-S2-RSC-C</v>
      </c>
      <c r="B37" s="30" t="str">
        <f aca="false">IF($C37="","","S"&amp;INT(($C37-WEEKDAY($C37,2)+11-DATE(YEAR($C37+4-WEEKDAY($C37,2)),1,1))/7))</f>
        <v>S2</v>
      </c>
      <c r="C37" s="52" t="n">
        <f aca="false">IF(MONTH(($X$1-WEEKDAY($X$1,3)+7)+3)=MONTH($X$1),($X$1-WEEKDAY($X$1,3)+7)+3,"")</f>
        <v>46030</v>
      </c>
      <c r="D37" s="27" t="str">
        <f aca="false">IF($C37="","","Relatório Semanal Consolidado (erros + metas + faltas + supervisores)")</f>
        <v>Relatório Semanal Consolidado (erros + metas + faltas + supervisores)</v>
      </c>
      <c r="E37" s="27"/>
      <c r="F37" s="27"/>
      <c r="G37" s="30" t="str">
        <f aca="false">IF($C37="","","C")</f>
        <v>C</v>
      </c>
      <c r="H37" s="30" t="str">
        <f aca="false">IF($C37="","",IF($G37="A",CONFIG!$B$5,IF($G37="B",CONFIG!$B$6,IF($G37="C",CONFIG!$B$7,"Gerência + coordenadores"))))</f>
        <v>(preencha o nome)</v>
      </c>
      <c r="I37" s="30"/>
      <c r="J37" s="32" t="str">
        <f aca="false">IF($C37="","","—")</f>
        <v>—</v>
      </c>
      <c r="K37" s="61"/>
      <c r="L37" s="61"/>
      <c r="M37" s="54"/>
      <c r="N37" s="54"/>
      <c r="O37" s="54"/>
      <c r="P37" s="60"/>
      <c r="Q37" s="56"/>
      <c r="R37" s="57"/>
      <c r="S37" s="30" t="str">
        <f aca="true">IF($C37="","",IF($Q37="Cancelada","Cancelada",IF($Q37="Reprovado","Reprovada",IF($Q37="Aprovado","Aprovada",IF($M37&lt;&gt;"","Entregue",IF(TODAY()&gt;$C37,"Atrasada","Pendente"))))))</f>
        <v>Atrasada</v>
      </c>
      <c r="T37" s="58"/>
      <c r="U37" s="58"/>
      <c r="V37" s="58"/>
    </row>
    <row r="38" customFormat="false" ht="22.35" hidden="false" customHeight="false" outlineLevel="0" collapsed="false">
      <c r="A38" s="51" t="str">
        <f aca="false">IF($C38="","",$X$2&amp;"-S"&amp;INT(($C38-WEEKDAY($C38,2)+11-DATE(YEAR($C38+4-WEEKDAY($C38,2)),1,1))/7)&amp;"-REU-T")</f>
        <v>JAN-S2-REU-T</v>
      </c>
      <c r="B38" s="34" t="str">
        <f aca="false">IF($C38="","","S"&amp;INT(($C38-WEEKDAY($C38,2)+11-DATE(YEAR($C38+4-WEEKDAY($C38,2)),1,1))/7))</f>
        <v>S2</v>
      </c>
      <c r="C38" s="52" t="n">
        <f aca="false">IF(MONTH(($X$1-WEEKDAY($X$1,3)+7)+4)=MONTH($X$1),($X$1-WEEKDAY($X$1,3)+7)+4,"")</f>
        <v>46031</v>
      </c>
      <c r="D38" s="9" t="str">
        <f aca="false">IF($C38="","","Reunião Semanal com a Gerência")</f>
        <v>Reunião Semanal com a Gerência</v>
      </c>
      <c r="E38" s="9"/>
      <c r="F38" s="9"/>
      <c r="G38" s="34" t="str">
        <f aca="false">IF($C38="","","Todos")</f>
        <v>Todos</v>
      </c>
      <c r="H38" s="34" t="str">
        <f aca="false">IF($C38="","",IF($G38="A",CONFIG!$B$5,IF($G38="B",CONFIG!$B$6,IF($G38="C",CONFIG!$B$7,"Gerência + coordenadores"))))</f>
        <v>Gerência + coordenadores</v>
      </c>
      <c r="I38" s="34"/>
      <c r="J38" s="32" t="str">
        <f aca="false">IF($C38="","","—")</f>
        <v>—</v>
      </c>
      <c r="K38" s="53"/>
      <c r="L38" s="53"/>
      <c r="M38" s="54"/>
      <c r="N38" s="54"/>
      <c r="O38" s="54"/>
      <c r="P38" s="55"/>
      <c r="Q38" s="56"/>
      <c r="R38" s="57"/>
      <c r="S38" s="34" t="str">
        <f aca="true">IF($C38="","",IF($Q38="Cancelada","Cancelada",IF($Q38="Reprovado","Reprovada",IF($Q38="Aprovado","Aprovada",IF($M38&lt;&gt;"","Entregue",IF(TODAY()&gt;$C38,"Atrasada","Pendente"))))))</f>
        <v>Atrasada</v>
      </c>
      <c r="T38" s="58"/>
      <c r="U38" s="58"/>
      <c r="V38" s="58"/>
    </row>
    <row r="39" customFormat="false" ht="22.35" hidden="false" customHeight="false" outlineLevel="0" collapsed="false">
      <c r="A39" s="59" t="str">
        <f aca="false">IF($C39="","",$X$2&amp;"-S"&amp;INT(($C39-WEEKDAY($C39,2)+11-DATE(YEAR($C39+4-WEEKDAY($C39,2)),1,1))/7)&amp;"-VIS-A")</f>
        <v>JAN-S3-VIS-A</v>
      </c>
      <c r="B39" s="30" t="str">
        <f aca="false">IF($C39="","","S"&amp;INT(($C39-WEEKDAY($C39,2)+11-DATE(YEAR($C39+4-WEEKDAY($C39,2)),1,1))/7))</f>
        <v>S3</v>
      </c>
      <c r="C39" s="52" t="n">
        <f aca="false">IF(MONTH(($X$1-WEEKDAY($X$1,3)+14)+2)=MONTH($X$1),($X$1-WEEKDAY($X$1,3)+14)+2,"")</f>
        <v>46036</v>
      </c>
      <c r="D39" s="27" t="str">
        <f aca="false">IF($C39="","","Vistoria Setorial (checklist no setor definido pelo gerente)")</f>
        <v>Vistoria Setorial (checklist no setor definido pelo gerente)</v>
      </c>
      <c r="E39" s="27"/>
      <c r="F39" s="27"/>
      <c r="G39" s="30" t="str">
        <f aca="false">IF($C39="","","A")</f>
        <v>A</v>
      </c>
      <c r="H39" s="30" t="str">
        <f aca="false">IF($C39="","",IF($G39="A",CONFIG!$B$5,IF($G39="B",CONFIG!$B$6,IF($G39="C",CONFIG!$B$7,"Gerência + coordenadores"))))</f>
        <v>(preencha o nome)</v>
      </c>
      <c r="I39" s="30"/>
      <c r="J39" s="56"/>
      <c r="K39" s="53"/>
      <c r="L39" s="53"/>
      <c r="M39" s="54"/>
      <c r="N39" s="54"/>
      <c r="O39" s="54"/>
      <c r="P39" s="60"/>
      <c r="Q39" s="56"/>
      <c r="R39" s="57"/>
      <c r="S39" s="30" t="str">
        <f aca="true">IF($C39="","",IF($Q39="Cancelada","Cancelada",IF($Q39="Reprovado","Reprovada",IF($Q39="Aprovado","Aprovada",IF($M39&lt;&gt;"","Entregue",IF(TODAY()&gt;$C39,"Atrasada","Pendente"))))))</f>
        <v>Atrasada</v>
      </c>
      <c r="T39" s="58"/>
      <c r="U39" s="58"/>
      <c r="V39" s="58"/>
    </row>
    <row r="40" customFormat="false" ht="22.35" hidden="false" customHeight="false" outlineLevel="0" collapsed="false">
      <c r="A40" s="51" t="str">
        <f aca="false">IF($C40="","",$X$2&amp;"-S"&amp;INT(($C40-WEEKDAY($C40,2)+11-DATE(YEAR($C40+4-WEEKDAY($C40,2)),1,1))/7)&amp;"-VIS-B")</f>
        <v>JAN-S3-VIS-B</v>
      </c>
      <c r="B40" s="34" t="str">
        <f aca="false">IF($C40="","","S"&amp;INT(($C40-WEEKDAY($C40,2)+11-DATE(YEAR($C40+4-WEEKDAY($C40,2)),1,1))/7))</f>
        <v>S3</v>
      </c>
      <c r="C40" s="52" t="n">
        <f aca="false">IF(MONTH(($X$1-WEEKDAY($X$1,3)+14)+2)=MONTH($X$1),($X$1-WEEKDAY($X$1,3)+14)+2,"")</f>
        <v>46036</v>
      </c>
      <c r="D40" s="9" t="str">
        <f aca="false">IF($C40="","","Vistoria Setorial (checklist no setor definido pelo gerente)")</f>
        <v>Vistoria Setorial (checklist no setor definido pelo gerente)</v>
      </c>
      <c r="E40" s="9"/>
      <c r="F40" s="9"/>
      <c r="G40" s="34" t="str">
        <f aca="false">IF($C40="","","B")</f>
        <v>B</v>
      </c>
      <c r="H40" s="34" t="str">
        <f aca="false">IF($C40="","",IF($G40="A",CONFIG!$B$5,IF($G40="B",CONFIG!$B$6,IF($G40="C",CONFIG!$B$7,"Gerência + coordenadores"))))</f>
        <v>(preencha o nome)</v>
      </c>
      <c r="I40" s="34"/>
      <c r="J40" s="56"/>
      <c r="K40" s="53"/>
      <c r="L40" s="53"/>
      <c r="M40" s="54"/>
      <c r="N40" s="54"/>
      <c r="O40" s="54"/>
      <c r="P40" s="55"/>
      <c r="Q40" s="56"/>
      <c r="R40" s="57"/>
      <c r="S40" s="34" t="str">
        <f aca="true">IF($C40="","",IF($Q40="Cancelada","Cancelada",IF($Q40="Reprovado","Reprovada",IF($Q40="Aprovado","Aprovada",IF($M40&lt;&gt;"","Entregue",IF(TODAY()&gt;$C40,"Atrasada","Pendente"))))))</f>
        <v>Atrasada</v>
      </c>
      <c r="T40" s="58"/>
      <c r="U40" s="58"/>
      <c r="V40" s="58"/>
    </row>
    <row r="41" customFormat="false" ht="22.35" hidden="false" customHeight="false" outlineLevel="0" collapsed="false">
      <c r="A41" s="59" t="str">
        <f aca="false">IF($C41="","",$X$2&amp;"-S"&amp;INT(($C41-WEEKDAY($C41,2)+11-DATE(YEAR($C41+4-WEEKDAY($C41,2)),1,1))/7)&amp;"-VIS-C")</f>
        <v>JAN-S3-VIS-C</v>
      </c>
      <c r="B41" s="30" t="str">
        <f aca="false">IF($C41="","","S"&amp;INT(($C41-WEEKDAY($C41,2)+11-DATE(YEAR($C41+4-WEEKDAY($C41,2)),1,1))/7))</f>
        <v>S3</v>
      </c>
      <c r="C41" s="52" t="n">
        <f aca="false">IF(MONTH(($X$1-WEEKDAY($X$1,3)+14)+2)=MONTH($X$1),($X$1-WEEKDAY($X$1,3)+14)+2,"")</f>
        <v>46036</v>
      </c>
      <c r="D41" s="27" t="str">
        <f aca="false">IF($C41="","","Vistoria Setorial (checklist no setor definido pelo gerente)")</f>
        <v>Vistoria Setorial (checklist no setor definido pelo gerente)</v>
      </c>
      <c r="E41" s="27"/>
      <c r="F41" s="27"/>
      <c r="G41" s="30" t="str">
        <f aca="false">IF($C41="","","C")</f>
        <v>C</v>
      </c>
      <c r="H41" s="30" t="str">
        <f aca="false">IF($C41="","",IF($G41="A",CONFIG!$B$5,IF($G41="B",CONFIG!$B$6,IF($G41="C",CONFIG!$B$7,"Gerência + coordenadores"))))</f>
        <v>(preencha o nome)</v>
      </c>
      <c r="I41" s="30"/>
      <c r="J41" s="56"/>
      <c r="K41" s="53"/>
      <c r="L41" s="53"/>
      <c r="M41" s="54"/>
      <c r="N41" s="54"/>
      <c r="O41" s="54"/>
      <c r="P41" s="60"/>
      <c r="Q41" s="56"/>
      <c r="R41" s="57"/>
      <c r="S41" s="30" t="str">
        <f aca="true">IF($C41="","",IF($Q41="Cancelada","Cancelada",IF($Q41="Reprovado","Reprovada",IF($Q41="Aprovado","Aprovada",IF($M41&lt;&gt;"","Entregue",IF(TODAY()&gt;$C41,"Atrasada","Pendente"))))))</f>
        <v>Atrasada</v>
      </c>
      <c r="T41" s="58"/>
      <c r="U41" s="58"/>
      <c r="V41" s="58"/>
    </row>
    <row r="42" customFormat="false" ht="22.35" hidden="false" customHeight="false" outlineLevel="0" collapsed="false">
      <c r="A42" s="51" t="str">
        <f aca="false">IF($C42="","",$X$2&amp;"-S"&amp;INT(($C42-WEEKDAY($C42,2)+11-DATE(YEAR($C42+4-WEEKDAY($C42,2)),1,1))/7)&amp;"-RSC-A")</f>
        <v>JAN-S3-RSC-A</v>
      </c>
      <c r="B42" s="34" t="str">
        <f aca="false">IF($C42="","","S"&amp;INT(($C42-WEEKDAY($C42,2)+11-DATE(YEAR($C42+4-WEEKDAY($C42,2)),1,1))/7))</f>
        <v>S3</v>
      </c>
      <c r="C42" s="52" t="n">
        <f aca="false">IF(MONTH(($X$1-WEEKDAY($X$1,3)+14)+3)=MONTH($X$1),($X$1-WEEKDAY($X$1,3)+14)+3,"")</f>
        <v>46037</v>
      </c>
      <c r="D42" s="9" t="str">
        <f aca="false">IF($C42="","","Relatório Semanal Consolidado (erros + metas + faltas + supervisores)")</f>
        <v>Relatório Semanal Consolidado (erros + metas + faltas + supervisores)</v>
      </c>
      <c r="E42" s="9"/>
      <c r="F42" s="9"/>
      <c r="G42" s="34" t="str">
        <f aca="false">IF($C42="","","A")</f>
        <v>A</v>
      </c>
      <c r="H42" s="34" t="str">
        <f aca="false">IF($C42="","",IF($G42="A",CONFIG!$B$5,IF($G42="B",CONFIG!$B$6,IF($G42="C",CONFIG!$B$7,"Gerência + coordenadores"))))</f>
        <v>(preencha o nome)</v>
      </c>
      <c r="I42" s="34"/>
      <c r="J42" s="32" t="str">
        <f aca="false">IF($C42="","","—")</f>
        <v>—</v>
      </c>
      <c r="K42" s="61"/>
      <c r="L42" s="61"/>
      <c r="M42" s="54"/>
      <c r="N42" s="54"/>
      <c r="O42" s="54"/>
      <c r="P42" s="55"/>
      <c r="Q42" s="56"/>
      <c r="R42" s="57"/>
      <c r="S42" s="34" t="str">
        <f aca="true">IF($C42="","",IF($Q42="Cancelada","Cancelada",IF($Q42="Reprovado","Reprovada",IF($Q42="Aprovado","Aprovada",IF($M42&lt;&gt;"","Entregue",IF(TODAY()&gt;$C42,"Atrasada","Pendente"))))))</f>
        <v>Atrasada</v>
      </c>
      <c r="T42" s="58"/>
      <c r="U42" s="58"/>
      <c r="V42" s="58"/>
    </row>
    <row r="43" customFormat="false" ht="22.35" hidden="false" customHeight="false" outlineLevel="0" collapsed="false">
      <c r="A43" s="59" t="str">
        <f aca="false">IF($C43="","",$X$2&amp;"-S"&amp;INT(($C43-WEEKDAY($C43,2)+11-DATE(YEAR($C43+4-WEEKDAY($C43,2)),1,1))/7)&amp;"-RSC-B")</f>
        <v>JAN-S3-RSC-B</v>
      </c>
      <c r="B43" s="30" t="str">
        <f aca="false">IF($C43="","","S"&amp;INT(($C43-WEEKDAY($C43,2)+11-DATE(YEAR($C43+4-WEEKDAY($C43,2)),1,1))/7))</f>
        <v>S3</v>
      </c>
      <c r="C43" s="52" t="n">
        <f aca="false">IF(MONTH(($X$1-WEEKDAY($X$1,3)+14)+3)=MONTH($X$1),($X$1-WEEKDAY($X$1,3)+14)+3,"")</f>
        <v>46037</v>
      </c>
      <c r="D43" s="27" t="str">
        <f aca="false">IF($C43="","","Relatório Semanal Consolidado (erros + metas + faltas + supervisores)")</f>
        <v>Relatório Semanal Consolidado (erros + metas + faltas + supervisores)</v>
      </c>
      <c r="E43" s="27"/>
      <c r="F43" s="27"/>
      <c r="G43" s="30" t="str">
        <f aca="false">IF($C43="","","B")</f>
        <v>B</v>
      </c>
      <c r="H43" s="30" t="str">
        <f aca="false">IF($C43="","",IF($G43="A",CONFIG!$B$5,IF($G43="B",CONFIG!$B$6,IF($G43="C",CONFIG!$B$7,"Gerência + coordenadores"))))</f>
        <v>(preencha o nome)</v>
      </c>
      <c r="I43" s="30"/>
      <c r="J43" s="32" t="str">
        <f aca="false">IF($C43="","","—")</f>
        <v>—</v>
      </c>
      <c r="K43" s="61"/>
      <c r="L43" s="61"/>
      <c r="M43" s="54"/>
      <c r="N43" s="54"/>
      <c r="O43" s="54"/>
      <c r="P43" s="60"/>
      <c r="Q43" s="56"/>
      <c r="R43" s="57"/>
      <c r="S43" s="30" t="str">
        <f aca="true">IF($C43="","",IF($Q43="Cancelada","Cancelada",IF($Q43="Reprovado","Reprovada",IF($Q43="Aprovado","Aprovada",IF($M43&lt;&gt;"","Entregue",IF(TODAY()&gt;$C43,"Atrasada","Pendente"))))))</f>
        <v>Atrasada</v>
      </c>
      <c r="T43" s="58"/>
      <c r="U43" s="58"/>
      <c r="V43" s="58"/>
    </row>
    <row r="44" customFormat="false" ht="22.35" hidden="false" customHeight="false" outlineLevel="0" collapsed="false">
      <c r="A44" s="51" t="str">
        <f aca="false">IF($C44="","",$X$2&amp;"-S"&amp;INT(($C44-WEEKDAY($C44,2)+11-DATE(YEAR($C44+4-WEEKDAY($C44,2)),1,1))/7)&amp;"-RSC-C")</f>
        <v>JAN-S3-RSC-C</v>
      </c>
      <c r="B44" s="34" t="str">
        <f aca="false">IF($C44="","","S"&amp;INT(($C44-WEEKDAY($C44,2)+11-DATE(YEAR($C44+4-WEEKDAY($C44,2)),1,1))/7))</f>
        <v>S3</v>
      </c>
      <c r="C44" s="52" t="n">
        <f aca="false">IF(MONTH(($X$1-WEEKDAY($X$1,3)+14)+3)=MONTH($X$1),($X$1-WEEKDAY($X$1,3)+14)+3,"")</f>
        <v>46037</v>
      </c>
      <c r="D44" s="9" t="str">
        <f aca="false">IF($C44="","","Relatório Semanal Consolidado (erros + metas + faltas + supervisores)")</f>
        <v>Relatório Semanal Consolidado (erros + metas + faltas + supervisores)</v>
      </c>
      <c r="E44" s="9"/>
      <c r="F44" s="9"/>
      <c r="G44" s="34" t="str">
        <f aca="false">IF($C44="","","C")</f>
        <v>C</v>
      </c>
      <c r="H44" s="34" t="str">
        <f aca="false">IF($C44="","",IF($G44="A",CONFIG!$B$5,IF($G44="B",CONFIG!$B$6,IF($G44="C",CONFIG!$B$7,"Gerência + coordenadores"))))</f>
        <v>(preencha o nome)</v>
      </c>
      <c r="I44" s="34"/>
      <c r="J44" s="32" t="str">
        <f aca="false">IF($C44="","","—")</f>
        <v>—</v>
      </c>
      <c r="K44" s="61"/>
      <c r="L44" s="61"/>
      <c r="M44" s="54"/>
      <c r="N44" s="54"/>
      <c r="O44" s="54"/>
      <c r="P44" s="55"/>
      <c r="Q44" s="56"/>
      <c r="R44" s="57"/>
      <c r="S44" s="34" t="str">
        <f aca="true">IF($C44="","",IF($Q44="Cancelada","Cancelada",IF($Q44="Reprovado","Reprovada",IF($Q44="Aprovado","Aprovada",IF($M44&lt;&gt;"","Entregue",IF(TODAY()&gt;$C44,"Atrasada","Pendente"))))))</f>
        <v>Atrasada</v>
      </c>
      <c r="T44" s="58"/>
      <c r="U44" s="58"/>
      <c r="V44" s="58"/>
    </row>
    <row r="45" customFormat="false" ht="22.35" hidden="false" customHeight="false" outlineLevel="0" collapsed="false">
      <c r="A45" s="59" t="str">
        <f aca="false">IF($C45="","",$X$2&amp;"-S"&amp;INT(($C45-WEEKDAY($C45,2)+11-DATE(YEAR($C45+4-WEEKDAY($C45,2)),1,1))/7)&amp;"-REU-T")</f>
        <v>JAN-S3-REU-T</v>
      </c>
      <c r="B45" s="30" t="str">
        <f aca="false">IF($C45="","","S"&amp;INT(($C45-WEEKDAY($C45,2)+11-DATE(YEAR($C45+4-WEEKDAY($C45,2)),1,1))/7))</f>
        <v>S3</v>
      </c>
      <c r="C45" s="52" t="n">
        <f aca="false">IF(MONTH(($X$1-WEEKDAY($X$1,3)+14)+4)=MONTH($X$1),($X$1-WEEKDAY($X$1,3)+14)+4,"")</f>
        <v>46038</v>
      </c>
      <c r="D45" s="27" t="str">
        <f aca="false">IF($C45="","","Reunião Semanal com a Gerência")</f>
        <v>Reunião Semanal com a Gerência</v>
      </c>
      <c r="E45" s="27"/>
      <c r="F45" s="27"/>
      <c r="G45" s="30" t="str">
        <f aca="false">IF($C45="","","Todos")</f>
        <v>Todos</v>
      </c>
      <c r="H45" s="30" t="str">
        <f aca="false">IF($C45="","",IF($G45="A",CONFIG!$B$5,IF($G45="B",CONFIG!$B$6,IF($G45="C",CONFIG!$B$7,"Gerência + coordenadores"))))</f>
        <v>Gerência + coordenadores</v>
      </c>
      <c r="I45" s="30"/>
      <c r="J45" s="32" t="str">
        <f aca="false">IF($C45="","","—")</f>
        <v>—</v>
      </c>
      <c r="K45" s="53"/>
      <c r="L45" s="53"/>
      <c r="M45" s="54"/>
      <c r="N45" s="54"/>
      <c r="O45" s="54"/>
      <c r="P45" s="60"/>
      <c r="Q45" s="56"/>
      <c r="R45" s="57"/>
      <c r="S45" s="30" t="str">
        <f aca="true">IF($C45="","",IF($Q45="Cancelada","Cancelada",IF($Q45="Reprovado","Reprovada",IF($Q45="Aprovado","Aprovada",IF($M45&lt;&gt;"","Entregue",IF(TODAY()&gt;$C45,"Atrasada","Pendente"))))))</f>
        <v>Atrasada</v>
      </c>
      <c r="T45" s="58"/>
      <c r="U45" s="58"/>
      <c r="V45" s="58"/>
    </row>
    <row r="46" customFormat="false" ht="22.35" hidden="false" customHeight="false" outlineLevel="0" collapsed="false">
      <c r="A46" s="51" t="str">
        <f aca="false">IF($C46="","",$X$2&amp;"-S"&amp;INT(($C46-WEEKDAY($C46,2)+11-DATE(YEAR($C46+4-WEEKDAY($C46,2)),1,1))/7)&amp;"-VIS-A")</f>
        <v>JAN-S4-VIS-A</v>
      </c>
      <c r="B46" s="34" t="str">
        <f aca="false">IF($C46="","","S"&amp;INT(($C46-WEEKDAY($C46,2)+11-DATE(YEAR($C46+4-WEEKDAY($C46,2)),1,1))/7))</f>
        <v>S4</v>
      </c>
      <c r="C46" s="52" t="n">
        <f aca="false">IF(MONTH(($X$1-WEEKDAY($X$1,3)+21)+2)=MONTH($X$1),($X$1-WEEKDAY($X$1,3)+21)+2,"")</f>
        <v>46043</v>
      </c>
      <c r="D46" s="9" t="str">
        <f aca="false">IF($C46="","","Vistoria Setorial (checklist no setor definido pelo gerente)")</f>
        <v>Vistoria Setorial (checklist no setor definido pelo gerente)</v>
      </c>
      <c r="E46" s="9"/>
      <c r="F46" s="9"/>
      <c r="G46" s="34" t="str">
        <f aca="false">IF($C46="","","A")</f>
        <v>A</v>
      </c>
      <c r="H46" s="34" t="str">
        <f aca="false">IF($C46="","",IF($G46="A",CONFIG!$B$5,IF($G46="B",CONFIG!$B$6,IF($G46="C",CONFIG!$B$7,"Gerência + coordenadores"))))</f>
        <v>(preencha o nome)</v>
      </c>
      <c r="I46" s="34"/>
      <c r="J46" s="56"/>
      <c r="K46" s="53"/>
      <c r="L46" s="53"/>
      <c r="M46" s="54"/>
      <c r="N46" s="54"/>
      <c r="O46" s="54"/>
      <c r="P46" s="55"/>
      <c r="Q46" s="56"/>
      <c r="R46" s="57"/>
      <c r="S46" s="34" t="str">
        <f aca="true">IF($C46="","",IF($Q46="Cancelada","Cancelada",IF($Q46="Reprovado","Reprovada",IF($Q46="Aprovado","Aprovada",IF($M46&lt;&gt;"","Entregue",IF(TODAY()&gt;$C46,"Atrasada","Pendente"))))))</f>
        <v>Atrasada</v>
      </c>
      <c r="T46" s="58"/>
      <c r="U46" s="58"/>
      <c r="V46" s="58"/>
    </row>
    <row r="47" customFormat="false" ht="22.35" hidden="false" customHeight="false" outlineLevel="0" collapsed="false">
      <c r="A47" s="59" t="str">
        <f aca="false">IF($C47="","",$X$2&amp;"-S"&amp;INT(($C47-WEEKDAY($C47,2)+11-DATE(YEAR($C47+4-WEEKDAY($C47,2)),1,1))/7)&amp;"-VIS-B")</f>
        <v>JAN-S4-VIS-B</v>
      </c>
      <c r="B47" s="30" t="str">
        <f aca="false">IF($C47="","","S"&amp;INT(($C47-WEEKDAY($C47,2)+11-DATE(YEAR($C47+4-WEEKDAY($C47,2)),1,1))/7))</f>
        <v>S4</v>
      </c>
      <c r="C47" s="52" t="n">
        <f aca="false">IF(MONTH(($X$1-WEEKDAY($X$1,3)+21)+2)=MONTH($X$1),($X$1-WEEKDAY($X$1,3)+21)+2,"")</f>
        <v>46043</v>
      </c>
      <c r="D47" s="27" t="str">
        <f aca="false">IF($C47="","","Vistoria Setorial (checklist no setor definido pelo gerente)")</f>
        <v>Vistoria Setorial (checklist no setor definido pelo gerente)</v>
      </c>
      <c r="E47" s="27"/>
      <c r="F47" s="27"/>
      <c r="G47" s="30" t="str">
        <f aca="false">IF($C47="","","B")</f>
        <v>B</v>
      </c>
      <c r="H47" s="30" t="str">
        <f aca="false">IF($C47="","",IF($G47="A",CONFIG!$B$5,IF($G47="B",CONFIG!$B$6,IF($G47="C",CONFIG!$B$7,"Gerência + coordenadores"))))</f>
        <v>(preencha o nome)</v>
      </c>
      <c r="I47" s="30"/>
      <c r="J47" s="56"/>
      <c r="K47" s="53"/>
      <c r="L47" s="53"/>
      <c r="M47" s="54"/>
      <c r="N47" s="54"/>
      <c r="O47" s="54"/>
      <c r="P47" s="60"/>
      <c r="Q47" s="56"/>
      <c r="R47" s="57"/>
      <c r="S47" s="30" t="str">
        <f aca="true">IF($C47="","",IF($Q47="Cancelada","Cancelada",IF($Q47="Reprovado","Reprovada",IF($Q47="Aprovado","Aprovada",IF($M47&lt;&gt;"","Entregue",IF(TODAY()&gt;$C47,"Atrasada","Pendente"))))))</f>
        <v>Atrasada</v>
      </c>
      <c r="T47" s="58"/>
      <c r="U47" s="58"/>
      <c r="V47" s="58"/>
    </row>
    <row r="48" customFormat="false" ht="22.35" hidden="false" customHeight="false" outlineLevel="0" collapsed="false">
      <c r="A48" s="51" t="str">
        <f aca="false">IF($C48="","",$X$2&amp;"-S"&amp;INT(($C48-WEEKDAY($C48,2)+11-DATE(YEAR($C48+4-WEEKDAY($C48,2)),1,1))/7)&amp;"-VIS-C")</f>
        <v>JAN-S4-VIS-C</v>
      </c>
      <c r="B48" s="34" t="str">
        <f aca="false">IF($C48="","","S"&amp;INT(($C48-WEEKDAY($C48,2)+11-DATE(YEAR($C48+4-WEEKDAY($C48,2)),1,1))/7))</f>
        <v>S4</v>
      </c>
      <c r="C48" s="52" t="n">
        <f aca="false">IF(MONTH(($X$1-WEEKDAY($X$1,3)+21)+2)=MONTH($X$1),($X$1-WEEKDAY($X$1,3)+21)+2,"")</f>
        <v>46043</v>
      </c>
      <c r="D48" s="9" t="str">
        <f aca="false">IF($C48="","","Vistoria Setorial (checklist no setor definido pelo gerente)")</f>
        <v>Vistoria Setorial (checklist no setor definido pelo gerente)</v>
      </c>
      <c r="E48" s="9"/>
      <c r="F48" s="9"/>
      <c r="G48" s="34" t="str">
        <f aca="false">IF($C48="","","C")</f>
        <v>C</v>
      </c>
      <c r="H48" s="34" t="str">
        <f aca="false">IF($C48="","",IF($G48="A",CONFIG!$B$5,IF($G48="B",CONFIG!$B$6,IF($G48="C",CONFIG!$B$7,"Gerência + coordenadores"))))</f>
        <v>(preencha o nome)</v>
      </c>
      <c r="I48" s="34"/>
      <c r="J48" s="56"/>
      <c r="K48" s="53"/>
      <c r="L48" s="53"/>
      <c r="M48" s="54"/>
      <c r="N48" s="54"/>
      <c r="O48" s="54"/>
      <c r="P48" s="55"/>
      <c r="Q48" s="56"/>
      <c r="R48" s="57"/>
      <c r="S48" s="34" t="str">
        <f aca="true">IF($C48="","",IF($Q48="Cancelada","Cancelada",IF($Q48="Reprovado","Reprovada",IF($Q48="Aprovado","Aprovada",IF($M48&lt;&gt;"","Entregue",IF(TODAY()&gt;$C48,"Atrasada","Pendente"))))))</f>
        <v>Atrasada</v>
      </c>
      <c r="T48" s="58"/>
      <c r="U48" s="58"/>
      <c r="V48" s="58"/>
    </row>
    <row r="49" customFormat="false" ht="22.35" hidden="false" customHeight="false" outlineLevel="0" collapsed="false">
      <c r="A49" s="59" t="str">
        <f aca="false">IF($C49="","",$X$2&amp;"-S"&amp;INT(($C49-WEEKDAY($C49,2)+11-DATE(YEAR($C49+4-WEEKDAY($C49,2)),1,1))/7)&amp;"-RSC-A")</f>
        <v>JAN-S4-RSC-A</v>
      </c>
      <c r="B49" s="30" t="str">
        <f aca="false">IF($C49="","","S"&amp;INT(($C49-WEEKDAY($C49,2)+11-DATE(YEAR($C49+4-WEEKDAY($C49,2)),1,1))/7))</f>
        <v>S4</v>
      </c>
      <c r="C49" s="52" t="n">
        <f aca="false">IF(MONTH(($X$1-WEEKDAY($X$1,3)+21)+3)=MONTH($X$1),($X$1-WEEKDAY($X$1,3)+21)+3,"")</f>
        <v>46044</v>
      </c>
      <c r="D49" s="27" t="str">
        <f aca="false">IF($C49="","","Relatório Semanal Consolidado (erros + metas + faltas + supervisores)")</f>
        <v>Relatório Semanal Consolidado (erros + metas + faltas + supervisores)</v>
      </c>
      <c r="E49" s="27"/>
      <c r="F49" s="27"/>
      <c r="G49" s="30" t="str">
        <f aca="false">IF($C49="","","A")</f>
        <v>A</v>
      </c>
      <c r="H49" s="30" t="str">
        <f aca="false">IF($C49="","",IF($G49="A",CONFIG!$B$5,IF($G49="B",CONFIG!$B$6,IF($G49="C",CONFIG!$B$7,"Gerência + coordenadores"))))</f>
        <v>(preencha o nome)</v>
      </c>
      <c r="I49" s="30"/>
      <c r="J49" s="32" t="str">
        <f aca="false">IF($C49="","","—")</f>
        <v>—</v>
      </c>
      <c r="K49" s="61"/>
      <c r="L49" s="61"/>
      <c r="M49" s="54"/>
      <c r="N49" s="54"/>
      <c r="O49" s="54"/>
      <c r="P49" s="60"/>
      <c r="Q49" s="56"/>
      <c r="R49" s="57"/>
      <c r="S49" s="30" t="str">
        <f aca="true">IF($C49="","",IF($Q49="Cancelada","Cancelada",IF($Q49="Reprovado","Reprovada",IF($Q49="Aprovado","Aprovada",IF($M49&lt;&gt;"","Entregue",IF(TODAY()&gt;$C49,"Atrasada","Pendente"))))))</f>
        <v>Atrasada</v>
      </c>
      <c r="T49" s="58"/>
      <c r="U49" s="58"/>
      <c r="V49" s="58"/>
    </row>
    <row r="50" customFormat="false" ht="22.35" hidden="false" customHeight="false" outlineLevel="0" collapsed="false">
      <c r="A50" s="51" t="str">
        <f aca="false">IF($C50="","",$X$2&amp;"-S"&amp;INT(($C50-WEEKDAY($C50,2)+11-DATE(YEAR($C50+4-WEEKDAY($C50,2)),1,1))/7)&amp;"-RSC-B")</f>
        <v>JAN-S4-RSC-B</v>
      </c>
      <c r="B50" s="34" t="str">
        <f aca="false">IF($C50="","","S"&amp;INT(($C50-WEEKDAY($C50,2)+11-DATE(YEAR($C50+4-WEEKDAY($C50,2)),1,1))/7))</f>
        <v>S4</v>
      </c>
      <c r="C50" s="52" t="n">
        <f aca="false">IF(MONTH(($X$1-WEEKDAY($X$1,3)+21)+3)=MONTH($X$1),($X$1-WEEKDAY($X$1,3)+21)+3,"")</f>
        <v>46044</v>
      </c>
      <c r="D50" s="9" t="str">
        <f aca="false">IF($C50="","","Relatório Semanal Consolidado (erros + metas + faltas + supervisores)")</f>
        <v>Relatório Semanal Consolidado (erros + metas + faltas + supervisores)</v>
      </c>
      <c r="E50" s="9"/>
      <c r="F50" s="9"/>
      <c r="G50" s="34" t="str">
        <f aca="false">IF($C50="","","B")</f>
        <v>B</v>
      </c>
      <c r="H50" s="34" t="str">
        <f aca="false">IF($C50="","",IF($G50="A",CONFIG!$B$5,IF($G50="B",CONFIG!$B$6,IF($G50="C",CONFIG!$B$7,"Gerência + coordenadores"))))</f>
        <v>(preencha o nome)</v>
      </c>
      <c r="I50" s="34"/>
      <c r="J50" s="32" t="str">
        <f aca="false">IF($C50="","","—")</f>
        <v>—</v>
      </c>
      <c r="K50" s="61"/>
      <c r="L50" s="61"/>
      <c r="M50" s="54"/>
      <c r="N50" s="54"/>
      <c r="O50" s="54"/>
      <c r="P50" s="55"/>
      <c r="Q50" s="56"/>
      <c r="R50" s="57"/>
      <c r="S50" s="34" t="str">
        <f aca="true">IF($C50="","",IF($Q50="Cancelada","Cancelada",IF($Q50="Reprovado","Reprovada",IF($Q50="Aprovado","Aprovada",IF($M50&lt;&gt;"","Entregue",IF(TODAY()&gt;$C50,"Atrasada","Pendente"))))))</f>
        <v>Atrasada</v>
      </c>
      <c r="T50" s="58"/>
      <c r="U50" s="58"/>
      <c r="V50" s="58"/>
    </row>
    <row r="51" customFormat="false" ht="22.35" hidden="false" customHeight="false" outlineLevel="0" collapsed="false">
      <c r="A51" s="59" t="str">
        <f aca="false">IF($C51="","",$X$2&amp;"-S"&amp;INT(($C51-WEEKDAY($C51,2)+11-DATE(YEAR($C51+4-WEEKDAY($C51,2)),1,1))/7)&amp;"-RSC-C")</f>
        <v>JAN-S4-RSC-C</v>
      </c>
      <c r="B51" s="30" t="str">
        <f aca="false">IF($C51="","","S"&amp;INT(($C51-WEEKDAY($C51,2)+11-DATE(YEAR($C51+4-WEEKDAY($C51,2)),1,1))/7))</f>
        <v>S4</v>
      </c>
      <c r="C51" s="52" t="n">
        <f aca="false">IF(MONTH(($X$1-WEEKDAY($X$1,3)+21)+3)=MONTH($X$1),($X$1-WEEKDAY($X$1,3)+21)+3,"")</f>
        <v>46044</v>
      </c>
      <c r="D51" s="27" t="str">
        <f aca="false">IF($C51="","","Relatório Semanal Consolidado (erros + metas + faltas + supervisores)")</f>
        <v>Relatório Semanal Consolidado (erros + metas + faltas + supervisores)</v>
      </c>
      <c r="E51" s="27"/>
      <c r="F51" s="27"/>
      <c r="G51" s="30" t="str">
        <f aca="false">IF($C51="","","C")</f>
        <v>C</v>
      </c>
      <c r="H51" s="30" t="str">
        <f aca="false">IF($C51="","",IF($G51="A",CONFIG!$B$5,IF($G51="B",CONFIG!$B$6,IF($G51="C",CONFIG!$B$7,"Gerência + coordenadores"))))</f>
        <v>(preencha o nome)</v>
      </c>
      <c r="I51" s="30"/>
      <c r="J51" s="32" t="str">
        <f aca="false">IF($C51="","","—")</f>
        <v>—</v>
      </c>
      <c r="K51" s="61"/>
      <c r="L51" s="61"/>
      <c r="M51" s="54"/>
      <c r="N51" s="54"/>
      <c r="O51" s="54"/>
      <c r="P51" s="60"/>
      <c r="Q51" s="56"/>
      <c r="R51" s="57"/>
      <c r="S51" s="30" t="str">
        <f aca="true">IF($C51="","",IF($Q51="Cancelada","Cancelada",IF($Q51="Reprovado","Reprovada",IF($Q51="Aprovado","Aprovada",IF($M51&lt;&gt;"","Entregue",IF(TODAY()&gt;$C51,"Atrasada","Pendente"))))))</f>
        <v>Atrasada</v>
      </c>
      <c r="T51" s="58"/>
      <c r="U51" s="58"/>
      <c r="V51" s="58"/>
    </row>
    <row r="52" customFormat="false" ht="22.35" hidden="false" customHeight="false" outlineLevel="0" collapsed="false">
      <c r="A52" s="51" t="str">
        <f aca="false">IF($C52="","",$X$2&amp;"-S"&amp;INT(($C52-WEEKDAY($C52,2)+11-DATE(YEAR($C52+4-WEEKDAY($C52,2)),1,1))/7)&amp;"-REU-T")</f>
        <v>JAN-S4-REU-T</v>
      </c>
      <c r="B52" s="34" t="str">
        <f aca="false">IF($C52="","","S"&amp;INT(($C52-WEEKDAY($C52,2)+11-DATE(YEAR($C52+4-WEEKDAY($C52,2)),1,1))/7))</f>
        <v>S4</v>
      </c>
      <c r="C52" s="52" t="n">
        <f aca="false">IF(MONTH(($X$1-WEEKDAY($X$1,3)+21)+4)=MONTH($X$1),($X$1-WEEKDAY($X$1,3)+21)+4,"")</f>
        <v>46045</v>
      </c>
      <c r="D52" s="9" t="str">
        <f aca="false">IF($C52="","","Reunião Semanal com a Gerência")</f>
        <v>Reunião Semanal com a Gerência</v>
      </c>
      <c r="E52" s="9"/>
      <c r="F52" s="9"/>
      <c r="G52" s="34" t="str">
        <f aca="false">IF($C52="","","Todos")</f>
        <v>Todos</v>
      </c>
      <c r="H52" s="34" t="str">
        <f aca="false">IF($C52="","",IF($G52="A",CONFIG!$B$5,IF($G52="B",CONFIG!$B$6,IF($G52="C",CONFIG!$B$7,"Gerência + coordenadores"))))</f>
        <v>Gerência + coordenadores</v>
      </c>
      <c r="I52" s="34"/>
      <c r="J52" s="32" t="str">
        <f aca="false">IF($C52="","","—")</f>
        <v>—</v>
      </c>
      <c r="K52" s="53"/>
      <c r="L52" s="53"/>
      <c r="M52" s="54"/>
      <c r="N52" s="54"/>
      <c r="O52" s="54"/>
      <c r="P52" s="55"/>
      <c r="Q52" s="56"/>
      <c r="R52" s="57"/>
      <c r="S52" s="34" t="str">
        <f aca="true">IF($C52="","",IF($Q52="Cancelada","Cancelada",IF($Q52="Reprovado","Reprovada",IF($Q52="Aprovado","Aprovada",IF($M52&lt;&gt;"","Entregue",IF(TODAY()&gt;$C52,"Atrasada","Pendente"))))))</f>
        <v>Atrasada</v>
      </c>
      <c r="T52" s="58"/>
      <c r="U52" s="58"/>
      <c r="V52" s="58"/>
    </row>
    <row r="53" customFormat="false" ht="22.35" hidden="false" customHeight="false" outlineLevel="0" collapsed="false">
      <c r="A53" s="59" t="str">
        <f aca="false">IF($C53="","",$X$2&amp;"-S"&amp;INT(($C53-WEEKDAY($C53,2)+11-DATE(YEAR($C53+4-WEEKDAY($C53,2)),1,1))/7)&amp;"-VIS-A")</f>
        <v>JAN-S5-VIS-A</v>
      </c>
      <c r="B53" s="30" t="str">
        <f aca="false">IF($C53="","","S"&amp;INT(($C53-WEEKDAY($C53,2)+11-DATE(YEAR($C53+4-WEEKDAY($C53,2)),1,1))/7))</f>
        <v>S5</v>
      </c>
      <c r="C53" s="52" t="n">
        <f aca="false">IF(MONTH(($X$1-WEEKDAY($X$1,3)+28)+2)=MONTH($X$1),($X$1-WEEKDAY($X$1,3)+28)+2,"")</f>
        <v>46050</v>
      </c>
      <c r="D53" s="27" t="str">
        <f aca="false">IF($C53="","","Vistoria Setorial (checklist no setor definido pelo gerente)")</f>
        <v>Vistoria Setorial (checklist no setor definido pelo gerente)</v>
      </c>
      <c r="E53" s="27"/>
      <c r="F53" s="27"/>
      <c r="G53" s="30" t="str">
        <f aca="false">IF($C53="","","A")</f>
        <v>A</v>
      </c>
      <c r="H53" s="30" t="str">
        <f aca="false">IF($C53="","",IF($G53="A",CONFIG!$B$5,IF($G53="B",CONFIG!$B$6,IF($G53="C",CONFIG!$B$7,"Gerência + coordenadores"))))</f>
        <v>(preencha o nome)</v>
      </c>
      <c r="I53" s="30"/>
      <c r="J53" s="56"/>
      <c r="K53" s="53"/>
      <c r="L53" s="53"/>
      <c r="M53" s="54"/>
      <c r="N53" s="54"/>
      <c r="O53" s="54"/>
      <c r="P53" s="60"/>
      <c r="Q53" s="56"/>
      <c r="R53" s="57"/>
      <c r="S53" s="30" t="str">
        <f aca="true">IF($C53="","",IF($Q53="Cancelada","Cancelada",IF($Q53="Reprovado","Reprovada",IF($Q53="Aprovado","Aprovada",IF($M53&lt;&gt;"","Entregue",IF(TODAY()&gt;$C53,"Atrasada","Pendente"))))))</f>
        <v>Atrasada</v>
      </c>
      <c r="T53" s="58"/>
      <c r="U53" s="58"/>
      <c r="V53" s="58"/>
    </row>
    <row r="54" customFormat="false" ht="22.35" hidden="false" customHeight="false" outlineLevel="0" collapsed="false">
      <c r="A54" s="51" t="str">
        <f aca="false">IF($C54="","",$X$2&amp;"-S"&amp;INT(($C54-WEEKDAY($C54,2)+11-DATE(YEAR($C54+4-WEEKDAY($C54,2)),1,1))/7)&amp;"-VIS-B")</f>
        <v>JAN-S5-VIS-B</v>
      </c>
      <c r="B54" s="34" t="str">
        <f aca="false">IF($C54="","","S"&amp;INT(($C54-WEEKDAY($C54,2)+11-DATE(YEAR($C54+4-WEEKDAY($C54,2)),1,1))/7))</f>
        <v>S5</v>
      </c>
      <c r="C54" s="52" t="n">
        <f aca="false">IF(MONTH(($X$1-WEEKDAY($X$1,3)+28)+2)=MONTH($X$1),($X$1-WEEKDAY($X$1,3)+28)+2,"")</f>
        <v>46050</v>
      </c>
      <c r="D54" s="9" t="str">
        <f aca="false">IF($C54="","","Vistoria Setorial (checklist no setor definido pelo gerente)")</f>
        <v>Vistoria Setorial (checklist no setor definido pelo gerente)</v>
      </c>
      <c r="E54" s="9"/>
      <c r="F54" s="9"/>
      <c r="G54" s="34" t="str">
        <f aca="false">IF($C54="","","B")</f>
        <v>B</v>
      </c>
      <c r="H54" s="34" t="str">
        <f aca="false">IF($C54="","",IF($G54="A",CONFIG!$B$5,IF($G54="B",CONFIG!$B$6,IF($G54="C",CONFIG!$B$7,"Gerência + coordenadores"))))</f>
        <v>(preencha o nome)</v>
      </c>
      <c r="I54" s="34"/>
      <c r="J54" s="56"/>
      <c r="K54" s="53"/>
      <c r="L54" s="53"/>
      <c r="M54" s="54"/>
      <c r="N54" s="54"/>
      <c r="O54" s="54"/>
      <c r="P54" s="55"/>
      <c r="Q54" s="56"/>
      <c r="R54" s="57"/>
      <c r="S54" s="34" t="str">
        <f aca="true">IF($C54="","",IF($Q54="Cancelada","Cancelada",IF($Q54="Reprovado","Reprovada",IF($Q54="Aprovado","Aprovada",IF($M54&lt;&gt;"","Entregue",IF(TODAY()&gt;$C54,"Atrasada","Pendente"))))))</f>
        <v>Atrasada</v>
      </c>
      <c r="T54" s="58"/>
      <c r="U54" s="58"/>
      <c r="V54" s="58"/>
    </row>
    <row r="55" customFormat="false" ht="22.35" hidden="false" customHeight="false" outlineLevel="0" collapsed="false">
      <c r="A55" s="59" t="str">
        <f aca="false">IF($C55="","",$X$2&amp;"-S"&amp;INT(($C55-WEEKDAY($C55,2)+11-DATE(YEAR($C55+4-WEEKDAY($C55,2)),1,1))/7)&amp;"-VIS-C")</f>
        <v>JAN-S5-VIS-C</v>
      </c>
      <c r="B55" s="30" t="str">
        <f aca="false">IF($C55="","","S"&amp;INT(($C55-WEEKDAY($C55,2)+11-DATE(YEAR($C55+4-WEEKDAY($C55,2)),1,1))/7))</f>
        <v>S5</v>
      </c>
      <c r="C55" s="52" t="n">
        <f aca="false">IF(MONTH(($X$1-WEEKDAY($X$1,3)+28)+2)=MONTH($X$1),($X$1-WEEKDAY($X$1,3)+28)+2,"")</f>
        <v>46050</v>
      </c>
      <c r="D55" s="27" t="str">
        <f aca="false">IF($C55="","","Vistoria Setorial (checklist no setor definido pelo gerente)")</f>
        <v>Vistoria Setorial (checklist no setor definido pelo gerente)</v>
      </c>
      <c r="E55" s="27"/>
      <c r="F55" s="27"/>
      <c r="G55" s="30" t="str">
        <f aca="false">IF($C55="","","C")</f>
        <v>C</v>
      </c>
      <c r="H55" s="30" t="str">
        <f aca="false">IF($C55="","",IF($G55="A",CONFIG!$B$5,IF($G55="B",CONFIG!$B$6,IF($G55="C",CONFIG!$B$7,"Gerência + coordenadores"))))</f>
        <v>(preencha o nome)</v>
      </c>
      <c r="I55" s="30"/>
      <c r="J55" s="56"/>
      <c r="K55" s="53"/>
      <c r="L55" s="53"/>
      <c r="M55" s="54"/>
      <c r="N55" s="54"/>
      <c r="O55" s="54"/>
      <c r="P55" s="60"/>
      <c r="Q55" s="56"/>
      <c r="R55" s="57"/>
      <c r="S55" s="30" t="str">
        <f aca="true">IF($C55="","",IF($Q55="Cancelada","Cancelada",IF($Q55="Reprovado","Reprovada",IF($Q55="Aprovado","Aprovada",IF($M55&lt;&gt;"","Entregue",IF(TODAY()&gt;$C55,"Atrasada","Pendente"))))))</f>
        <v>Atrasada</v>
      </c>
      <c r="T55" s="58"/>
      <c r="U55" s="58"/>
      <c r="V55" s="58"/>
    </row>
    <row r="56" customFormat="false" ht="22.35" hidden="false" customHeight="false" outlineLevel="0" collapsed="false">
      <c r="A56" s="51" t="str">
        <f aca="false">IF($C56="","",$X$2&amp;"-S"&amp;INT(($C56-WEEKDAY($C56,2)+11-DATE(YEAR($C56+4-WEEKDAY($C56,2)),1,1))/7)&amp;"-RSC-A")</f>
        <v>JAN-S5-RSC-A</v>
      </c>
      <c r="B56" s="34" t="str">
        <f aca="false">IF($C56="","","S"&amp;INT(($C56-WEEKDAY($C56,2)+11-DATE(YEAR($C56+4-WEEKDAY($C56,2)),1,1))/7))</f>
        <v>S5</v>
      </c>
      <c r="C56" s="52" t="n">
        <f aca="false">IF(MONTH(($X$1-WEEKDAY($X$1,3)+28)+3)=MONTH($X$1),($X$1-WEEKDAY($X$1,3)+28)+3,"")</f>
        <v>46051</v>
      </c>
      <c r="D56" s="9" t="str">
        <f aca="false">IF($C56="","","Relatório Semanal Consolidado (erros + metas + faltas + supervisores)")</f>
        <v>Relatório Semanal Consolidado (erros + metas + faltas + supervisores)</v>
      </c>
      <c r="E56" s="9"/>
      <c r="F56" s="9"/>
      <c r="G56" s="34" t="str">
        <f aca="false">IF($C56="","","A")</f>
        <v>A</v>
      </c>
      <c r="H56" s="34" t="str">
        <f aca="false">IF($C56="","",IF($G56="A",CONFIG!$B$5,IF($G56="B",CONFIG!$B$6,IF($G56="C",CONFIG!$B$7,"Gerência + coordenadores"))))</f>
        <v>(preencha o nome)</v>
      </c>
      <c r="I56" s="34"/>
      <c r="J56" s="32" t="str">
        <f aca="false">IF($C56="","","—")</f>
        <v>—</v>
      </c>
      <c r="K56" s="61"/>
      <c r="L56" s="61"/>
      <c r="M56" s="54"/>
      <c r="N56" s="54"/>
      <c r="O56" s="54"/>
      <c r="P56" s="55"/>
      <c r="Q56" s="56"/>
      <c r="R56" s="57"/>
      <c r="S56" s="34" t="str">
        <f aca="true">IF($C56="","",IF($Q56="Cancelada","Cancelada",IF($Q56="Reprovado","Reprovada",IF($Q56="Aprovado","Aprovada",IF($M56&lt;&gt;"","Entregue",IF(TODAY()&gt;$C56,"Atrasada","Pendente"))))))</f>
        <v>Atrasada</v>
      </c>
      <c r="T56" s="58"/>
      <c r="U56" s="58"/>
      <c r="V56" s="58"/>
    </row>
    <row r="57" customFormat="false" ht="22.35" hidden="false" customHeight="false" outlineLevel="0" collapsed="false">
      <c r="A57" s="59" t="str">
        <f aca="false">IF($C57="","",$X$2&amp;"-S"&amp;INT(($C57-WEEKDAY($C57,2)+11-DATE(YEAR($C57+4-WEEKDAY($C57,2)),1,1))/7)&amp;"-RSC-B")</f>
        <v>JAN-S5-RSC-B</v>
      </c>
      <c r="B57" s="30" t="str">
        <f aca="false">IF($C57="","","S"&amp;INT(($C57-WEEKDAY($C57,2)+11-DATE(YEAR($C57+4-WEEKDAY($C57,2)),1,1))/7))</f>
        <v>S5</v>
      </c>
      <c r="C57" s="52" t="n">
        <f aca="false">IF(MONTH(($X$1-WEEKDAY($X$1,3)+28)+3)=MONTH($X$1),($X$1-WEEKDAY($X$1,3)+28)+3,"")</f>
        <v>46051</v>
      </c>
      <c r="D57" s="27" t="str">
        <f aca="false">IF($C57="","","Relatório Semanal Consolidado (erros + metas + faltas + supervisores)")</f>
        <v>Relatório Semanal Consolidado (erros + metas + faltas + supervisores)</v>
      </c>
      <c r="E57" s="27"/>
      <c r="F57" s="27"/>
      <c r="G57" s="30" t="str">
        <f aca="false">IF($C57="","","B")</f>
        <v>B</v>
      </c>
      <c r="H57" s="30" t="str">
        <f aca="false">IF($C57="","",IF($G57="A",CONFIG!$B$5,IF($G57="B",CONFIG!$B$6,IF($G57="C",CONFIG!$B$7,"Gerência + coordenadores"))))</f>
        <v>(preencha o nome)</v>
      </c>
      <c r="I57" s="30"/>
      <c r="J57" s="32" t="str">
        <f aca="false">IF($C57="","","—")</f>
        <v>—</v>
      </c>
      <c r="K57" s="61"/>
      <c r="L57" s="61"/>
      <c r="M57" s="54"/>
      <c r="N57" s="54"/>
      <c r="O57" s="54"/>
      <c r="P57" s="60"/>
      <c r="Q57" s="56"/>
      <c r="R57" s="57"/>
      <c r="S57" s="30" t="str">
        <f aca="true">IF($C57="","",IF($Q57="Cancelada","Cancelada",IF($Q57="Reprovado","Reprovada",IF($Q57="Aprovado","Aprovada",IF($M57&lt;&gt;"","Entregue",IF(TODAY()&gt;$C57,"Atrasada","Pendente"))))))</f>
        <v>Atrasada</v>
      </c>
      <c r="T57" s="58"/>
      <c r="U57" s="58"/>
      <c r="V57" s="58"/>
    </row>
    <row r="58" customFormat="false" ht="22.35" hidden="false" customHeight="false" outlineLevel="0" collapsed="false">
      <c r="A58" s="51" t="str">
        <f aca="false">IF($C58="","",$X$2&amp;"-S"&amp;INT(($C58-WEEKDAY($C58,2)+11-DATE(YEAR($C58+4-WEEKDAY($C58,2)),1,1))/7)&amp;"-RSC-C")</f>
        <v>JAN-S5-RSC-C</v>
      </c>
      <c r="B58" s="34" t="str">
        <f aca="false">IF($C58="","","S"&amp;INT(($C58-WEEKDAY($C58,2)+11-DATE(YEAR($C58+4-WEEKDAY($C58,2)),1,1))/7))</f>
        <v>S5</v>
      </c>
      <c r="C58" s="52" t="n">
        <f aca="false">IF(MONTH(($X$1-WEEKDAY($X$1,3)+28)+3)=MONTH($X$1),($X$1-WEEKDAY($X$1,3)+28)+3,"")</f>
        <v>46051</v>
      </c>
      <c r="D58" s="9" t="str">
        <f aca="false">IF($C58="","","Relatório Semanal Consolidado (erros + metas + faltas + supervisores)")</f>
        <v>Relatório Semanal Consolidado (erros + metas + faltas + supervisores)</v>
      </c>
      <c r="E58" s="9"/>
      <c r="F58" s="9"/>
      <c r="G58" s="34" t="str">
        <f aca="false">IF($C58="","","C")</f>
        <v>C</v>
      </c>
      <c r="H58" s="34" t="str">
        <f aca="false">IF($C58="","",IF($G58="A",CONFIG!$B$5,IF($G58="B",CONFIG!$B$6,IF($G58="C",CONFIG!$B$7,"Gerência + coordenadores"))))</f>
        <v>(preencha o nome)</v>
      </c>
      <c r="I58" s="34"/>
      <c r="J58" s="32" t="str">
        <f aca="false">IF($C58="","","—")</f>
        <v>—</v>
      </c>
      <c r="K58" s="61"/>
      <c r="L58" s="61"/>
      <c r="M58" s="54"/>
      <c r="N58" s="54"/>
      <c r="O58" s="54"/>
      <c r="P58" s="55"/>
      <c r="Q58" s="56"/>
      <c r="R58" s="57"/>
      <c r="S58" s="34" t="str">
        <f aca="true">IF($C58="","",IF($Q58="Cancelada","Cancelada",IF($Q58="Reprovado","Reprovada",IF($Q58="Aprovado","Aprovada",IF($M58&lt;&gt;"","Entregue",IF(TODAY()&gt;$C58,"Atrasada","Pendente"))))))</f>
        <v>Atrasada</v>
      </c>
      <c r="T58" s="58"/>
      <c r="U58" s="58"/>
      <c r="V58" s="58"/>
    </row>
    <row r="59" customFormat="false" ht="22.35" hidden="false" customHeight="false" outlineLevel="0" collapsed="false">
      <c r="A59" s="59" t="str">
        <f aca="false">IF($C59="","",$X$2&amp;"-S"&amp;INT(($C59-WEEKDAY($C59,2)+11-DATE(YEAR($C59+4-WEEKDAY($C59,2)),1,1))/7)&amp;"-REU-T")</f>
        <v>JAN-S5-REU-T</v>
      </c>
      <c r="B59" s="30" t="str">
        <f aca="false">IF($C59="","","S"&amp;INT(($C59-WEEKDAY($C59,2)+11-DATE(YEAR($C59+4-WEEKDAY($C59,2)),1,1))/7))</f>
        <v>S5</v>
      </c>
      <c r="C59" s="52" t="n">
        <f aca="false">IF(MONTH(($X$1-WEEKDAY($X$1,3)+28)+4)=MONTH($X$1),($X$1-WEEKDAY($X$1,3)+28)+4,"")</f>
        <v>46052</v>
      </c>
      <c r="D59" s="27" t="str">
        <f aca="false">IF($C59="","","Reunião Semanal com a Gerência")</f>
        <v>Reunião Semanal com a Gerência</v>
      </c>
      <c r="E59" s="27"/>
      <c r="F59" s="27"/>
      <c r="G59" s="30" t="str">
        <f aca="false">IF($C59="","","Todos")</f>
        <v>Todos</v>
      </c>
      <c r="H59" s="30" t="str">
        <f aca="false">IF($C59="","",IF($G59="A",CONFIG!$B$5,IF($G59="B",CONFIG!$B$6,IF($G59="C",CONFIG!$B$7,"Gerência + coordenadores"))))</f>
        <v>Gerência + coordenadores</v>
      </c>
      <c r="I59" s="30"/>
      <c r="J59" s="32" t="str">
        <f aca="false">IF($C59="","","—")</f>
        <v>—</v>
      </c>
      <c r="K59" s="53"/>
      <c r="L59" s="53"/>
      <c r="M59" s="54"/>
      <c r="N59" s="54"/>
      <c r="O59" s="54"/>
      <c r="P59" s="60"/>
      <c r="Q59" s="56"/>
      <c r="R59" s="57"/>
      <c r="S59" s="30" t="str">
        <f aca="true">IF($C59="","",IF($Q59="Cancelada","Cancelada",IF($Q59="Reprovado","Reprovada",IF($Q59="Aprovado","Aprovada",IF($M59&lt;&gt;"","Entregue",IF(TODAY()&gt;$C59,"Atrasada","Pendente"))))))</f>
        <v>Atrasada</v>
      </c>
      <c r="T59" s="58"/>
      <c r="U59" s="58"/>
      <c r="V59" s="58"/>
    </row>
    <row r="60" customFormat="false" ht="15" hidden="false" customHeight="false" outlineLevel="0" collapsed="false">
      <c r="A60" s="51" t="str">
        <f aca="false">IF($C60="","",$X$2&amp;"-S"&amp;INT(($C60-WEEKDAY($C60,2)+11-DATE(YEAR($C60+4-WEEKDAY($C60,2)),1,1))/7)&amp;"-VIS-A")</f>
        <v/>
      </c>
      <c r="B60" s="34" t="str">
        <f aca="false">IF($C60="","","S"&amp;INT(($C60-WEEKDAY($C60,2)+11-DATE(YEAR($C60+4-WEEKDAY($C60,2)),1,1))/7))</f>
        <v/>
      </c>
      <c r="C60" s="52" t="str">
        <f aca="false">IF(MONTH(($X$1-WEEKDAY($X$1,3)+35)+2)=MONTH($X$1),($X$1-WEEKDAY($X$1,3)+35)+2,"")</f>
        <v/>
      </c>
      <c r="D60" s="9" t="str">
        <f aca="false">IF($C60="","","Vistoria Setorial (checklist no setor definido pelo gerente)")</f>
        <v/>
      </c>
      <c r="E60" s="9"/>
      <c r="F60" s="9"/>
      <c r="G60" s="34" t="str">
        <f aca="false">IF($C60="","","A")</f>
        <v/>
      </c>
      <c r="H60" s="34" t="str">
        <f aca="false">IF($C60="","",IF($G60="A",CONFIG!$B$5,IF($G60="B",CONFIG!$B$6,IF($G60="C",CONFIG!$B$7,"Gerência + coordenadores"))))</f>
        <v/>
      </c>
      <c r="I60" s="34"/>
      <c r="J60" s="56"/>
      <c r="K60" s="53"/>
      <c r="L60" s="53"/>
      <c r="M60" s="54"/>
      <c r="N60" s="54"/>
      <c r="O60" s="54"/>
      <c r="P60" s="55"/>
      <c r="Q60" s="56"/>
      <c r="R60" s="57"/>
      <c r="S60" s="34" t="str">
        <f aca="true">IF($C60="","",IF($Q60="Cancelada","Cancelada",IF($Q60="Reprovado","Reprovada",IF($Q60="Aprovado","Aprovada",IF($M60&lt;&gt;"","Entregue",IF(TODAY()&gt;$C60,"Atrasada","Pendente"))))))</f>
        <v/>
      </c>
      <c r="T60" s="58"/>
      <c r="U60" s="58"/>
      <c r="V60" s="58"/>
    </row>
    <row r="61" customFormat="false" ht="15" hidden="false" customHeight="false" outlineLevel="0" collapsed="false">
      <c r="A61" s="59" t="str">
        <f aca="false">IF($C61="","",$X$2&amp;"-S"&amp;INT(($C61-WEEKDAY($C61,2)+11-DATE(YEAR($C61+4-WEEKDAY($C61,2)),1,1))/7)&amp;"-VIS-B")</f>
        <v/>
      </c>
      <c r="B61" s="30" t="str">
        <f aca="false">IF($C61="","","S"&amp;INT(($C61-WEEKDAY($C61,2)+11-DATE(YEAR($C61+4-WEEKDAY($C61,2)),1,1))/7))</f>
        <v/>
      </c>
      <c r="C61" s="52" t="str">
        <f aca="false">IF(MONTH(($X$1-WEEKDAY($X$1,3)+35)+2)=MONTH($X$1),($X$1-WEEKDAY($X$1,3)+35)+2,"")</f>
        <v/>
      </c>
      <c r="D61" s="27" t="str">
        <f aca="false">IF($C61="","","Vistoria Setorial (checklist no setor definido pelo gerente)")</f>
        <v/>
      </c>
      <c r="E61" s="27"/>
      <c r="F61" s="27"/>
      <c r="G61" s="30" t="str">
        <f aca="false">IF($C61="","","B")</f>
        <v/>
      </c>
      <c r="H61" s="30" t="str">
        <f aca="false">IF($C61="","",IF($G61="A",CONFIG!$B$5,IF($G61="B",CONFIG!$B$6,IF($G61="C",CONFIG!$B$7,"Gerência + coordenadores"))))</f>
        <v/>
      </c>
      <c r="I61" s="30"/>
      <c r="J61" s="56"/>
      <c r="K61" s="53"/>
      <c r="L61" s="53"/>
      <c r="M61" s="54"/>
      <c r="N61" s="54"/>
      <c r="O61" s="54"/>
      <c r="P61" s="60"/>
      <c r="Q61" s="56"/>
      <c r="R61" s="57"/>
      <c r="S61" s="30" t="str">
        <f aca="true">IF($C61="","",IF($Q61="Cancelada","Cancelada",IF($Q61="Reprovado","Reprovada",IF($Q61="Aprovado","Aprovada",IF($M61&lt;&gt;"","Entregue",IF(TODAY()&gt;$C61,"Atrasada","Pendente"))))))</f>
        <v/>
      </c>
      <c r="T61" s="58"/>
      <c r="U61" s="58"/>
      <c r="V61" s="58"/>
    </row>
    <row r="62" customFormat="false" ht="15" hidden="false" customHeight="false" outlineLevel="0" collapsed="false">
      <c r="A62" s="51" t="str">
        <f aca="false">IF($C62="","",$X$2&amp;"-S"&amp;INT(($C62-WEEKDAY($C62,2)+11-DATE(YEAR($C62+4-WEEKDAY($C62,2)),1,1))/7)&amp;"-VIS-C")</f>
        <v/>
      </c>
      <c r="B62" s="34" t="str">
        <f aca="false">IF($C62="","","S"&amp;INT(($C62-WEEKDAY($C62,2)+11-DATE(YEAR($C62+4-WEEKDAY($C62,2)),1,1))/7))</f>
        <v/>
      </c>
      <c r="C62" s="52" t="str">
        <f aca="false">IF(MONTH(($X$1-WEEKDAY($X$1,3)+35)+2)=MONTH($X$1),($X$1-WEEKDAY($X$1,3)+35)+2,"")</f>
        <v/>
      </c>
      <c r="D62" s="9" t="str">
        <f aca="false">IF($C62="","","Vistoria Setorial (checklist no setor definido pelo gerente)")</f>
        <v/>
      </c>
      <c r="E62" s="9"/>
      <c r="F62" s="9"/>
      <c r="G62" s="34" t="str">
        <f aca="false">IF($C62="","","C")</f>
        <v/>
      </c>
      <c r="H62" s="34" t="str">
        <f aca="false">IF($C62="","",IF($G62="A",CONFIG!$B$5,IF($G62="B",CONFIG!$B$6,IF($G62="C",CONFIG!$B$7,"Gerência + coordenadores"))))</f>
        <v/>
      </c>
      <c r="I62" s="34"/>
      <c r="J62" s="56"/>
      <c r="K62" s="53"/>
      <c r="L62" s="53"/>
      <c r="M62" s="54"/>
      <c r="N62" s="54"/>
      <c r="O62" s="54"/>
      <c r="P62" s="55"/>
      <c r="Q62" s="56"/>
      <c r="R62" s="57"/>
      <c r="S62" s="34" t="str">
        <f aca="true">IF($C62="","",IF($Q62="Cancelada","Cancelada",IF($Q62="Reprovado","Reprovada",IF($Q62="Aprovado","Aprovada",IF($M62&lt;&gt;"","Entregue",IF(TODAY()&gt;$C62,"Atrasada","Pendente"))))))</f>
        <v/>
      </c>
      <c r="T62" s="58"/>
      <c r="U62" s="58"/>
      <c r="V62" s="58"/>
    </row>
    <row r="63" customFormat="false" ht="15" hidden="false" customHeight="false" outlineLevel="0" collapsed="false">
      <c r="A63" s="59" t="str">
        <f aca="false">IF($C63="","",$X$2&amp;"-S"&amp;INT(($C63-WEEKDAY($C63,2)+11-DATE(YEAR($C63+4-WEEKDAY($C63,2)),1,1))/7)&amp;"-RSC-A")</f>
        <v/>
      </c>
      <c r="B63" s="30" t="str">
        <f aca="false">IF($C63="","","S"&amp;INT(($C63-WEEKDAY($C63,2)+11-DATE(YEAR($C63+4-WEEKDAY($C63,2)),1,1))/7))</f>
        <v/>
      </c>
      <c r="C63" s="52" t="str">
        <f aca="false">IF(MONTH(($X$1-WEEKDAY($X$1,3)+35)+3)=MONTH($X$1),($X$1-WEEKDAY($X$1,3)+35)+3,"")</f>
        <v/>
      </c>
      <c r="D63" s="27" t="str">
        <f aca="false">IF($C63="","","Relatório Semanal Consolidado (erros + metas + faltas + supervisores)")</f>
        <v/>
      </c>
      <c r="E63" s="27"/>
      <c r="F63" s="27"/>
      <c r="G63" s="30" t="str">
        <f aca="false">IF($C63="","","A")</f>
        <v/>
      </c>
      <c r="H63" s="30" t="str">
        <f aca="false">IF($C63="","",IF($G63="A",CONFIG!$B$5,IF($G63="B",CONFIG!$B$6,IF($G63="C",CONFIG!$B$7,"Gerência + coordenadores"))))</f>
        <v/>
      </c>
      <c r="I63" s="30"/>
      <c r="J63" s="32" t="str">
        <f aca="false">IF($C63="","","—")</f>
        <v/>
      </c>
      <c r="K63" s="61"/>
      <c r="L63" s="61"/>
      <c r="M63" s="54"/>
      <c r="N63" s="54"/>
      <c r="O63" s="54"/>
      <c r="P63" s="60"/>
      <c r="Q63" s="56"/>
      <c r="R63" s="57"/>
      <c r="S63" s="30" t="str">
        <f aca="true">IF($C63="","",IF($Q63="Cancelada","Cancelada",IF($Q63="Reprovado","Reprovada",IF($Q63="Aprovado","Aprovada",IF($M63&lt;&gt;"","Entregue",IF(TODAY()&gt;$C63,"Atrasada","Pendente"))))))</f>
        <v/>
      </c>
      <c r="T63" s="58"/>
      <c r="U63" s="58"/>
      <c r="V63" s="58"/>
    </row>
    <row r="64" customFormat="false" ht="15" hidden="false" customHeight="false" outlineLevel="0" collapsed="false">
      <c r="A64" s="51" t="str">
        <f aca="false">IF($C64="","",$X$2&amp;"-S"&amp;INT(($C64-WEEKDAY($C64,2)+11-DATE(YEAR($C64+4-WEEKDAY($C64,2)),1,1))/7)&amp;"-RSC-B")</f>
        <v/>
      </c>
      <c r="B64" s="34" t="str">
        <f aca="false">IF($C64="","","S"&amp;INT(($C64-WEEKDAY($C64,2)+11-DATE(YEAR($C64+4-WEEKDAY($C64,2)),1,1))/7))</f>
        <v/>
      </c>
      <c r="C64" s="52" t="str">
        <f aca="false">IF(MONTH(($X$1-WEEKDAY($X$1,3)+35)+3)=MONTH($X$1),($X$1-WEEKDAY($X$1,3)+35)+3,"")</f>
        <v/>
      </c>
      <c r="D64" s="9" t="str">
        <f aca="false">IF($C64="","","Relatório Semanal Consolidado (erros + metas + faltas + supervisores)")</f>
        <v/>
      </c>
      <c r="E64" s="9"/>
      <c r="F64" s="9"/>
      <c r="G64" s="34" t="str">
        <f aca="false">IF($C64="","","B")</f>
        <v/>
      </c>
      <c r="H64" s="34" t="str">
        <f aca="false">IF($C64="","",IF($G64="A",CONFIG!$B$5,IF($G64="B",CONFIG!$B$6,IF($G64="C",CONFIG!$B$7,"Gerência + coordenadores"))))</f>
        <v/>
      </c>
      <c r="I64" s="34"/>
      <c r="J64" s="32" t="str">
        <f aca="false">IF($C64="","","—")</f>
        <v/>
      </c>
      <c r="K64" s="61"/>
      <c r="L64" s="61"/>
      <c r="M64" s="54"/>
      <c r="N64" s="54"/>
      <c r="O64" s="54"/>
      <c r="P64" s="55"/>
      <c r="Q64" s="56"/>
      <c r="R64" s="57"/>
      <c r="S64" s="34" t="str">
        <f aca="true">IF($C64="","",IF($Q64="Cancelada","Cancelada",IF($Q64="Reprovado","Reprovada",IF($Q64="Aprovado","Aprovada",IF($M64&lt;&gt;"","Entregue",IF(TODAY()&gt;$C64,"Atrasada","Pendente"))))))</f>
        <v/>
      </c>
      <c r="T64" s="58"/>
      <c r="U64" s="58"/>
      <c r="V64" s="58"/>
    </row>
    <row r="65" customFormat="false" ht="15" hidden="false" customHeight="false" outlineLevel="0" collapsed="false">
      <c r="A65" s="59" t="str">
        <f aca="false">IF($C65="","",$X$2&amp;"-S"&amp;INT(($C65-WEEKDAY($C65,2)+11-DATE(YEAR($C65+4-WEEKDAY($C65,2)),1,1))/7)&amp;"-RSC-C")</f>
        <v/>
      </c>
      <c r="B65" s="30" t="str">
        <f aca="false">IF($C65="","","S"&amp;INT(($C65-WEEKDAY($C65,2)+11-DATE(YEAR($C65+4-WEEKDAY($C65,2)),1,1))/7))</f>
        <v/>
      </c>
      <c r="C65" s="52" t="str">
        <f aca="false">IF(MONTH(($X$1-WEEKDAY($X$1,3)+35)+3)=MONTH($X$1),($X$1-WEEKDAY($X$1,3)+35)+3,"")</f>
        <v/>
      </c>
      <c r="D65" s="27" t="str">
        <f aca="false">IF($C65="","","Relatório Semanal Consolidado (erros + metas + faltas + supervisores)")</f>
        <v/>
      </c>
      <c r="E65" s="27"/>
      <c r="F65" s="27"/>
      <c r="G65" s="30" t="str">
        <f aca="false">IF($C65="","","C")</f>
        <v/>
      </c>
      <c r="H65" s="30" t="str">
        <f aca="false">IF($C65="","",IF($G65="A",CONFIG!$B$5,IF($G65="B",CONFIG!$B$6,IF($G65="C",CONFIG!$B$7,"Gerência + coordenadores"))))</f>
        <v/>
      </c>
      <c r="I65" s="30"/>
      <c r="J65" s="32" t="str">
        <f aca="false">IF($C65="","","—")</f>
        <v/>
      </c>
      <c r="K65" s="61"/>
      <c r="L65" s="61"/>
      <c r="M65" s="54"/>
      <c r="N65" s="54"/>
      <c r="O65" s="54"/>
      <c r="P65" s="60"/>
      <c r="Q65" s="56"/>
      <c r="R65" s="57"/>
      <c r="S65" s="30" t="str">
        <f aca="true">IF($C65="","",IF($Q65="Cancelada","Cancelada",IF($Q65="Reprovado","Reprovada",IF($Q65="Aprovado","Aprovada",IF($M65&lt;&gt;"","Entregue",IF(TODAY()&gt;$C65,"Atrasada","Pendente"))))))</f>
        <v/>
      </c>
      <c r="T65" s="58"/>
      <c r="U65" s="58"/>
      <c r="V65" s="58"/>
    </row>
    <row r="66" customFormat="false" ht="15" hidden="false" customHeight="false" outlineLevel="0" collapsed="false">
      <c r="A66" s="51" t="str">
        <f aca="false">IF($C66="","",$X$2&amp;"-S"&amp;INT(($C66-WEEKDAY($C66,2)+11-DATE(YEAR($C66+4-WEEKDAY($C66,2)),1,1))/7)&amp;"-REU-T")</f>
        <v/>
      </c>
      <c r="B66" s="34" t="str">
        <f aca="false">IF($C66="","","S"&amp;INT(($C66-WEEKDAY($C66,2)+11-DATE(YEAR($C66+4-WEEKDAY($C66,2)),1,1))/7))</f>
        <v/>
      </c>
      <c r="C66" s="52" t="str">
        <f aca="false">IF(MONTH(($X$1-WEEKDAY($X$1,3)+35)+4)=MONTH($X$1),($X$1-WEEKDAY($X$1,3)+35)+4,"")</f>
        <v/>
      </c>
      <c r="D66" s="9" t="str">
        <f aca="false">IF($C66="","","Reunião Semanal com a Gerência")</f>
        <v/>
      </c>
      <c r="E66" s="9"/>
      <c r="F66" s="9"/>
      <c r="G66" s="34" t="str">
        <f aca="false">IF($C66="","","Todos")</f>
        <v/>
      </c>
      <c r="H66" s="34" t="str">
        <f aca="false">IF($C66="","",IF($G66="A",CONFIG!$B$5,IF($G66="B",CONFIG!$B$6,IF($G66="C",CONFIG!$B$7,"Gerência + coordenadores"))))</f>
        <v/>
      </c>
      <c r="I66" s="34"/>
      <c r="J66" s="32" t="str">
        <f aca="false">IF($C66="","","—")</f>
        <v/>
      </c>
      <c r="K66" s="53"/>
      <c r="L66" s="53"/>
      <c r="M66" s="54"/>
      <c r="N66" s="54"/>
      <c r="O66" s="54"/>
      <c r="P66" s="55"/>
      <c r="Q66" s="56"/>
      <c r="R66" s="57"/>
      <c r="S66" s="34" t="str">
        <f aca="true">IF($C66="","",IF($Q66="Cancelada","Cancelada",IF($Q66="Reprovado","Reprovada",IF($Q66="Aprovado","Aprovada",IF($M66&lt;&gt;"","Entregue",IF(TODAY()&gt;$C66,"Atrasada","Pendente"))))))</f>
        <v/>
      </c>
      <c r="T66" s="58"/>
      <c r="U66" s="58"/>
      <c r="V66" s="58"/>
    </row>
    <row r="67" customFormat="false" ht="22.35" hidden="false" customHeight="false" outlineLevel="0" collapsed="false">
      <c r="A67" s="59" t="str">
        <f aca="false">IF($C67="","",$X$2&amp;"-S"&amp;INT(($C67-WEEKDAY($C67,2)+11-DATE(YEAR($C67+4-WEEKDAY($C67,2)),1,1))/7)&amp;"-MDF-T")</f>
        <v>JAN-S5-MDF-T</v>
      </c>
      <c r="B67" s="30" t="str">
        <f aca="false">IF($C67="","","S"&amp;INT(($C67-WEEKDAY($C67,2)+11-DATE(YEAR($C67+4-WEEKDAY($C67,2)),1,1))/7))</f>
        <v>S5</v>
      </c>
      <c r="C67" s="52" t="n">
        <f aca="false">EOMONTH($X$1,0)-MOD(WEEKDAY(EOMONTH($X$1,0),2)-5,7)</f>
        <v>46052</v>
      </c>
      <c r="D67" s="27" t="str">
        <f aca="false">IF($C67="","","Mudança de Função — reunião mensal")</f>
        <v>Mudança de Função — reunião mensal</v>
      </c>
      <c r="E67" s="27"/>
      <c r="F67" s="27"/>
      <c r="G67" s="30" t="str">
        <f aca="false">IF($C67="","","Todos")</f>
        <v>Todos</v>
      </c>
      <c r="H67" s="30" t="str">
        <f aca="false">IF($C67="","",IF($G67="A",CONFIG!$B$5,IF($G67="B",CONFIG!$B$6,IF($G67="C",CONFIG!$B$7,"Gerência + coordenadores"))))</f>
        <v>Gerência + coordenadores</v>
      </c>
      <c r="I67" s="30"/>
      <c r="J67" s="32" t="str">
        <f aca="false">IF($C67="","","—")</f>
        <v>—</v>
      </c>
      <c r="K67" s="53"/>
      <c r="L67" s="53"/>
      <c r="M67" s="54"/>
      <c r="N67" s="54"/>
      <c r="O67" s="54"/>
      <c r="P67" s="60"/>
      <c r="Q67" s="56"/>
      <c r="R67" s="57"/>
      <c r="S67" s="30" t="str">
        <f aca="true">IF($C67="","",IF($Q67="Cancelada","Cancelada",IF($Q67="Reprovado","Reprovada",IF($Q67="Aprovado","Aprovada",IF($M67&lt;&gt;"","Entregue",IF(TODAY()&gt;$C67,"Atrasada","Pendente"))))))</f>
        <v>Atrasada</v>
      </c>
      <c r="T67" s="58"/>
      <c r="U67" s="58"/>
      <c r="V67" s="58"/>
    </row>
    <row r="69" customFormat="false" ht="15" hidden="false" customHeight="true" outlineLevel="0" collapsed="false">
      <c r="A69" s="62" t="s">
        <v>139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</row>
    <row r="70" customFormat="false" ht="21.75" hidden="false" customHeight="true" outlineLevel="0" collapsed="false">
      <c r="A70" s="51" t="str">
        <f aca="false">$X$2&amp;"-TRE-1"</f>
        <v>JAN-TRE-1</v>
      </c>
      <c r="B70" s="32" t="str">
        <f aca="false">IF($C70="","","S"&amp;INT(($C70-WEEKDAY($C70,2)+11-DATE(YEAR($C70+4-WEEKDAY($C70,2)),1,1))/7))</f>
        <v/>
      </c>
      <c r="C70" s="52"/>
      <c r="D70" s="57" t="s">
        <v>140</v>
      </c>
      <c r="E70" s="57"/>
      <c r="F70" s="57"/>
      <c r="G70" s="32" t="s">
        <v>141</v>
      </c>
      <c r="H70" s="34" t="s">
        <v>142</v>
      </c>
      <c r="I70" s="34"/>
      <c r="J70" s="32" t="s">
        <v>143</v>
      </c>
      <c r="K70" s="53"/>
      <c r="L70" s="53"/>
      <c r="M70" s="54"/>
      <c r="N70" s="54"/>
      <c r="O70" s="54"/>
      <c r="P70" s="55"/>
      <c r="Q70" s="56"/>
      <c r="R70" s="57"/>
      <c r="S70" s="34" t="str">
        <f aca="true">IF($C70="","Não agendado",IF($Q70="Cancelada","Cancelada",IF($Q70="Reprovado","Reprovada",IF($Q70="Aprovado","Aprovada",IF($M70&lt;&gt;"","Entregue",IF(TODAY()&gt;$C70,"Atrasada","Pendente"))))))</f>
        <v>Não agendado</v>
      </c>
      <c r="T70" s="58"/>
      <c r="U70" s="58"/>
      <c r="V70" s="58"/>
    </row>
    <row r="71" customFormat="false" ht="21.75" hidden="false" customHeight="true" outlineLevel="0" collapsed="false">
      <c r="A71" s="51" t="str">
        <f aca="false">$X$2&amp;"-TRE-2"</f>
        <v>JAN-TRE-2</v>
      </c>
      <c r="B71" s="32" t="str">
        <f aca="false">IF($C71="","","S"&amp;INT(($C71-WEEKDAY($C71,2)+11-DATE(YEAR($C71+4-WEEKDAY($C71,2)),1,1))/7))</f>
        <v/>
      </c>
      <c r="C71" s="52"/>
      <c r="D71" s="57" t="s">
        <v>140</v>
      </c>
      <c r="E71" s="57"/>
      <c r="F71" s="57"/>
      <c r="G71" s="32" t="s">
        <v>141</v>
      </c>
      <c r="H71" s="34" t="s">
        <v>142</v>
      </c>
      <c r="I71" s="34"/>
      <c r="J71" s="32" t="s">
        <v>143</v>
      </c>
      <c r="K71" s="53"/>
      <c r="L71" s="53"/>
      <c r="M71" s="54"/>
      <c r="N71" s="54"/>
      <c r="O71" s="54"/>
      <c r="P71" s="55"/>
      <c r="Q71" s="56"/>
      <c r="R71" s="57"/>
      <c r="S71" s="34" t="str">
        <f aca="true">IF($C71="","Não agendado",IF($Q71="Cancelada","Cancelada",IF($Q71="Reprovado","Reprovada",IF($Q71="Aprovado","Aprovada",IF($M71&lt;&gt;"","Entregue",IF(TODAY()&gt;$C71,"Atrasada","Pendente"))))))</f>
        <v>Não agendado</v>
      </c>
      <c r="T71" s="58"/>
      <c r="U71" s="58"/>
      <c r="V71" s="58"/>
    </row>
    <row r="72" customFormat="false" ht="21.75" hidden="false" customHeight="true" outlineLevel="0" collapsed="false">
      <c r="A72" s="51" t="str">
        <f aca="false">$X$2&amp;"-TRE-3"</f>
        <v>JAN-TRE-3</v>
      </c>
      <c r="B72" s="32" t="str">
        <f aca="false">IF($C72="","","S"&amp;INT(($C72-WEEKDAY($C72,2)+11-DATE(YEAR($C72+4-WEEKDAY($C72,2)),1,1))/7))</f>
        <v/>
      </c>
      <c r="C72" s="52"/>
      <c r="D72" s="57" t="s">
        <v>140</v>
      </c>
      <c r="E72" s="57"/>
      <c r="F72" s="57"/>
      <c r="G72" s="32" t="s">
        <v>141</v>
      </c>
      <c r="H72" s="34" t="s">
        <v>142</v>
      </c>
      <c r="I72" s="34"/>
      <c r="J72" s="32" t="s">
        <v>143</v>
      </c>
      <c r="K72" s="53"/>
      <c r="L72" s="53"/>
      <c r="M72" s="54"/>
      <c r="N72" s="54"/>
      <c r="O72" s="54"/>
      <c r="P72" s="55"/>
      <c r="Q72" s="56"/>
      <c r="R72" s="57"/>
      <c r="S72" s="34" t="str">
        <f aca="true">IF($C72="","Não agendado",IF($Q72="Cancelada","Cancelada",IF($Q72="Reprovado","Reprovada",IF($Q72="Aprovado","Aprovada",IF($M72&lt;&gt;"","Entregue",IF(TODAY()&gt;$C72,"Atrasada","Pendente"))))))</f>
        <v>Não agendado</v>
      </c>
      <c r="T72" s="58"/>
      <c r="U72" s="58"/>
      <c r="V72" s="58"/>
    </row>
    <row r="73" customFormat="false" ht="21.75" hidden="false" customHeight="true" outlineLevel="0" collapsed="false">
      <c r="A73" s="51" t="str">
        <f aca="false">$X$2&amp;"-TRE-4"</f>
        <v>JAN-TRE-4</v>
      </c>
      <c r="B73" s="32" t="str">
        <f aca="false">IF($C73="","","S"&amp;INT(($C73-WEEKDAY($C73,2)+11-DATE(YEAR($C73+4-WEEKDAY($C73,2)),1,1))/7))</f>
        <v/>
      </c>
      <c r="C73" s="52"/>
      <c r="D73" s="57" t="s">
        <v>140</v>
      </c>
      <c r="E73" s="57"/>
      <c r="F73" s="57"/>
      <c r="G73" s="32" t="s">
        <v>141</v>
      </c>
      <c r="H73" s="34" t="s">
        <v>142</v>
      </c>
      <c r="I73" s="34"/>
      <c r="J73" s="32" t="s">
        <v>143</v>
      </c>
      <c r="K73" s="53"/>
      <c r="L73" s="53"/>
      <c r="M73" s="54"/>
      <c r="N73" s="54"/>
      <c r="O73" s="54"/>
      <c r="P73" s="55"/>
      <c r="Q73" s="56"/>
      <c r="R73" s="57"/>
      <c r="S73" s="34" t="str">
        <f aca="true">IF($C73="","Não agendado",IF($Q73="Cancelada","Cancelada",IF($Q73="Reprovado","Reprovada",IF($Q73="Aprovado","Aprovada",IF($M73&lt;&gt;"","Entregue",IF(TODAY()&gt;$C73,"Atrasada","Pendente"))))))</f>
        <v>Não agendado</v>
      </c>
      <c r="T73" s="58"/>
      <c r="U73" s="58"/>
      <c r="V73" s="58"/>
    </row>
    <row r="74" customFormat="false" ht="21.75" hidden="false" customHeight="true" outlineLevel="0" collapsed="false">
      <c r="A74" s="51" t="str">
        <f aca="false">$X$2&amp;"-TRE-5"</f>
        <v>JAN-TRE-5</v>
      </c>
      <c r="B74" s="32" t="str">
        <f aca="false">IF($C74="","","S"&amp;INT(($C74-WEEKDAY($C74,2)+11-DATE(YEAR($C74+4-WEEKDAY($C74,2)),1,1))/7))</f>
        <v/>
      </c>
      <c r="C74" s="52"/>
      <c r="D74" s="57" t="s">
        <v>140</v>
      </c>
      <c r="E74" s="57"/>
      <c r="F74" s="57"/>
      <c r="G74" s="32" t="s">
        <v>141</v>
      </c>
      <c r="H74" s="34" t="s">
        <v>142</v>
      </c>
      <c r="I74" s="34"/>
      <c r="J74" s="32" t="s">
        <v>143</v>
      </c>
      <c r="K74" s="53"/>
      <c r="L74" s="53"/>
      <c r="M74" s="54"/>
      <c r="N74" s="54"/>
      <c r="O74" s="54"/>
      <c r="P74" s="55"/>
      <c r="Q74" s="56"/>
      <c r="R74" s="57"/>
      <c r="S74" s="34" t="str">
        <f aca="true">IF($C74="","Não agendado",IF($Q74="Cancelada","Cancelada",IF($Q74="Reprovado","Reprovada",IF($Q74="Aprovado","Aprovada",IF($M74&lt;&gt;"","Entregue",IF(TODAY()&gt;$C74,"Atrasada","Pendente"))))))</f>
        <v>Não agendado</v>
      </c>
      <c r="T74" s="58"/>
      <c r="U74" s="58"/>
      <c r="V74" s="58"/>
    </row>
    <row r="75" customFormat="false" ht="21.75" hidden="false" customHeight="true" outlineLevel="0" collapsed="false">
      <c r="A75" s="51" t="str">
        <f aca="false">$X$2&amp;"-TRE-6"</f>
        <v>JAN-TRE-6</v>
      </c>
      <c r="B75" s="32" t="str">
        <f aca="false">IF($C75="","","S"&amp;INT(($C75-WEEKDAY($C75,2)+11-DATE(YEAR($C75+4-WEEKDAY($C75,2)),1,1))/7))</f>
        <v/>
      </c>
      <c r="C75" s="52"/>
      <c r="D75" s="57" t="s">
        <v>140</v>
      </c>
      <c r="E75" s="57"/>
      <c r="F75" s="57"/>
      <c r="G75" s="32" t="s">
        <v>141</v>
      </c>
      <c r="H75" s="34" t="s">
        <v>142</v>
      </c>
      <c r="I75" s="34"/>
      <c r="J75" s="32" t="s">
        <v>143</v>
      </c>
      <c r="K75" s="53"/>
      <c r="L75" s="53"/>
      <c r="M75" s="54"/>
      <c r="N75" s="54"/>
      <c r="O75" s="54"/>
      <c r="P75" s="55"/>
      <c r="Q75" s="56"/>
      <c r="R75" s="57"/>
      <c r="S75" s="34" t="str">
        <f aca="true">IF($C75="","Não agendado",IF($Q75="Cancelada","Cancelada",IF($Q75="Reprovado","Reprovada",IF($Q75="Aprovado","Aprovada",IF($M75&lt;&gt;"","Entregue",IF(TODAY()&gt;$C75,"Atrasada","Pendente"))))))</f>
        <v>Não agendado</v>
      </c>
      <c r="T75" s="58"/>
      <c r="U75" s="58"/>
      <c r="V75" s="58"/>
    </row>
    <row r="77" customFormat="false" ht="15" hidden="false" customHeight="true" outlineLevel="0" collapsed="false">
      <c r="A77" s="48" t="s">
        <v>144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</row>
  </sheetData>
  <mergeCells count="256">
    <mergeCell ref="A1:V1"/>
    <mergeCell ref="A3:O3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O18"/>
    <mergeCell ref="A20:V20"/>
    <mergeCell ref="D21:F21"/>
    <mergeCell ref="H21:I21"/>
    <mergeCell ref="M21:O21"/>
    <mergeCell ref="D22:F22"/>
    <mergeCell ref="H22:I22"/>
    <mergeCell ref="M22:O22"/>
    <mergeCell ref="D23:F23"/>
    <mergeCell ref="H23:I23"/>
    <mergeCell ref="M23:O23"/>
    <mergeCell ref="D24:F24"/>
    <mergeCell ref="H24:I24"/>
    <mergeCell ref="M24:O24"/>
    <mergeCell ref="D25:F25"/>
    <mergeCell ref="H25:I25"/>
    <mergeCell ref="M25:O25"/>
    <mergeCell ref="D26:F26"/>
    <mergeCell ref="H26:I26"/>
    <mergeCell ref="M26:O26"/>
    <mergeCell ref="D27:F27"/>
    <mergeCell ref="H27:I27"/>
    <mergeCell ref="M27:O27"/>
    <mergeCell ref="D28:F28"/>
    <mergeCell ref="H28:I28"/>
    <mergeCell ref="M28:O28"/>
    <mergeCell ref="D29:F29"/>
    <mergeCell ref="H29:I29"/>
    <mergeCell ref="M29:O29"/>
    <mergeCell ref="D30:F30"/>
    <mergeCell ref="H30:I30"/>
    <mergeCell ref="M30:O30"/>
    <mergeCell ref="D31:F31"/>
    <mergeCell ref="H31:I31"/>
    <mergeCell ref="M31:O31"/>
    <mergeCell ref="D32:F32"/>
    <mergeCell ref="H32:I32"/>
    <mergeCell ref="M32:O32"/>
    <mergeCell ref="D33:F33"/>
    <mergeCell ref="H33:I33"/>
    <mergeCell ref="M33:O33"/>
    <mergeCell ref="D34:F34"/>
    <mergeCell ref="H34:I34"/>
    <mergeCell ref="M34:O34"/>
    <mergeCell ref="D35:F35"/>
    <mergeCell ref="H35:I35"/>
    <mergeCell ref="M35:O35"/>
    <mergeCell ref="D36:F36"/>
    <mergeCell ref="H36:I36"/>
    <mergeCell ref="M36:O36"/>
    <mergeCell ref="D37:F37"/>
    <mergeCell ref="H37:I37"/>
    <mergeCell ref="M37:O37"/>
    <mergeCell ref="D38:F38"/>
    <mergeCell ref="H38:I38"/>
    <mergeCell ref="M38:O38"/>
    <mergeCell ref="D39:F39"/>
    <mergeCell ref="H39:I39"/>
    <mergeCell ref="M39:O39"/>
    <mergeCell ref="D40:F40"/>
    <mergeCell ref="H40:I40"/>
    <mergeCell ref="M40:O40"/>
    <mergeCell ref="D41:F41"/>
    <mergeCell ref="H41:I41"/>
    <mergeCell ref="M41:O41"/>
    <mergeCell ref="D42:F42"/>
    <mergeCell ref="H42:I42"/>
    <mergeCell ref="M42:O42"/>
    <mergeCell ref="D43:F43"/>
    <mergeCell ref="H43:I43"/>
    <mergeCell ref="M43:O43"/>
    <mergeCell ref="D44:F44"/>
    <mergeCell ref="H44:I44"/>
    <mergeCell ref="M44:O44"/>
    <mergeCell ref="D45:F45"/>
    <mergeCell ref="H45:I45"/>
    <mergeCell ref="M45:O45"/>
    <mergeCell ref="D46:F46"/>
    <mergeCell ref="H46:I46"/>
    <mergeCell ref="M46:O46"/>
    <mergeCell ref="D47:F47"/>
    <mergeCell ref="H47:I47"/>
    <mergeCell ref="M47:O47"/>
    <mergeCell ref="D48:F48"/>
    <mergeCell ref="H48:I48"/>
    <mergeCell ref="M48:O48"/>
    <mergeCell ref="D49:F49"/>
    <mergeCell ref="H49:I49"/>
    <mergeCell ref="M49:O49"/>
    <mergeCell ref="D50:F50"/>
    <mergeCell ref="H50:I50"/>
    <mergeCell ref="M50:O50"/>
    <mergeCell ref="D51:F51"/>
    <mergeCell ref="H51:I51"/>
    <mergeCell ref="M51:O51"/>
    <mergeCell ref="D52:F52"/>
    <mergeCell ref="H52:I52"/>
    <mergeCell ref="M52:O52"/>
    <mergeCell ref="D53:F53"/>
    <mergeCell ref="H53:I53"/>
    <mergeCell ref="M53:O53"/>
    <mergeCell ref="D54:F54"/>
    <mergeCell ref="H54:I54"/>
    <mergeCell ref="M54:O54"/>
    <mergeCell ref="D55:F55"/>
    <mergeCell ref="H55:I55"/>
    <mergeCell ref="M55:O55"/>
    <mergeCell ref="D56:F56"/>
    <mergeCell ref="H56:I56"/>
    <mergeCell ref="M56:O56"/>
    <mergeCell ref="D57:F57"/>
    <mergeCell ref="H57:I57"/>
    <mergeCell ref="M57:O57"/>
    <mergeCell ref="D58:F58"/>
    <mergeCell ref="H58:I58"/>
    <mergeCell ref="M58:O58"/>
    <mergeCell ref="D59:F59"/>
    <mergeCell ref="H59:I59"/>
    <mergeCell ref="M59:O59"/>
    <mergeCell ref="D60:F60"/>
    <mergeCell ref="H60:I60"/>
    <mergeCell ref="M60:O60"/>
    <mergeCell ref="D61:F61"/>
    <mergeCell ref="H61:I61"/>
    <mergeCell ref="M61:O61"/>
    <mergeCell ref="D62:F62"/>
    <mergeCell ref="H62:I62"/>
    <mergeCell ref="M62:O62"/>
    <mergeCell ref="D63:F63"/>
    <mergeCell ref="H63:I63"/>
    <mergeCell ref="M63:O63"/>
    <mergeCell ref="D64:F64"/>
    <mergeCell ref="H64:I64"/>
    <mergeCell ref="M64:O64"/>
    <mergeCell ref="D65:F65"/>
    <mergeCell ref="H65:I65"/>
    <mergeCell ref="M65:O65"/>
    <mergeCell ref="D66:F66"/>
    <mergeCell ref="H66:I66"/>
    <mergeCell ref="M66:O66"/>
    <mergeCell ref="D67:F67"/>
    <mergeCell ref="H67:I67"/>
    <mergeCell ref="M67:O67"/>
    <mergeCell ref="A69:V69"/>
    <mergeCell ref="D70:F70"/>
    <mergeCell ref="H70:I70"/>
    <mergeCell ref="M70:O70"/>
    <mergeCell ref="D71:F71"/>
    <mergeCell ref="H71:I71"/>
    <mergeCell ref="M71:O71"/>
    <mergeCell ref="D72:F72"/>
    <mergeCell ref="H72:I72"/>
    <mergeCell ref="M72:O72"/>
    <mergeCell ref="D73:F73"/>
    <mergeCell ref="H73:I73"/>
    <mergeCell ref="M73:O73"/>
    <mergeCell ref="D74:F74"/>
    <mergeCell ref="H74:I74"/>
    <mergeCell ref="M74:O74"/>
    <mergeCell ref="D75:F75"/>
    <mergeCell ref="H75:I75"/>
    <mergeCell ref="M75:O75"/>
    <mergeCell ref="A77:V77"/>
  </mergeCells>
  <conditionalFormatting sqref="A3">
    <cfRule type="expression" priority="2" aboveAverage="0" equalAverage="0" bottom="0" percent="0" rank="0" text="" dxfId="3">
      <formula>LEFT($A$3,3)="MÊS"</formula>
    </cfRule>
  </conditionalFormatting>
  <conditionalFormatting sqref="B6:O17">
    <cfRule type="expression" priority="3" aboveAverage="0" equalAverage="0" bottom="0" percent="0" rank="0" text="" dxfId="11">
      <formula>AND(B6&lt;&gt;"",B6=TODAY())</formula>
    </cfRule>
    <cfRule type="expression" priority="4" aboveAverage="0" equalAverage="0" bottom="0" percent="0" rank="0" text="" dxfId="12">
      <formula>AND(B6&lt;&gt;"",COUNTIFS($C$22:$C$150,B6,$S$22:$S$150,"Atrasada")&gt;0)</formula>
    </cfRule>
    <cfRule type="expression" priority="5" aboveAverage="0" equalAverage="0" bottom="0" percent="0" rank="0" text="" dxfId="13">
      <formula>AND(B6&lt;&gt;"",COUNTIFS($C$22:$C$150,B6,$Q$22:$Q$150,"&lt;&gt;Cancelada")&gt;0)</formula>
    </cfRule>
  </conditionalFormatting>
  <conditionalFormatting sqref="A22:I67">
    <cfRule type="expression" priority="6" aboveAverage="0" equalAverage="0" bottom="0" percent="0" rank="0" text="" dxfId="4">
      <formula>ISNUMBER(SEARCH("-REU-",$A22))</formula>
    </cfRule>
  </conditionalFormatting>
  <conditionalFormatting sqref="S22:S150">
    <cfRule type="expression" priority="7" aboveAverage="0" equalAverage="0" bottom="0" percent="0" rank="0" text="" dxfId="5">
      <formula>$S22="Aprovada"</formula>
    </cfRule>
    <cfRule type="expression" priority="8" aboveAverage="0" equalAverage="0" bottom="0" percent="0" rank="0" text="" dxfId="6">
      <formula>$S22="Entregue"</formula>
    </cfRule>
    <cfRule type="expression" priority="9" aboveAverage="0" equalAverage="0" bottom="0" percent="0" rank="0" text="" dxfId="7">
      <formula>$S22="Atrasada"</formula>
    </cfRule>
    <cfRule type="expression" priority="10" aboveAverage="0" equalAverage="0" bottom="0" percent="0" rank="0" text="" dxfId="8">
      <formula>$S22="Reprovada"</formula>
    </cfRule>
    <cfRule type="expression" priority="11" aboveAverage="0" equalAverage="0" bottom="0" percent="0" rank="0" text="" dxfId="9">
      <formula>$S22="Pendente"</formula>
    </cfRule>
    <cfRule type="expression" priority="12" aboveAverage="0" equalAverage="0" bottom="0" percent="0" rank="0" text="" dxfId="10">
      <formula>$S22="Cancelada"</formula>
    </cfRule>
  </conditionalFormatting>
  <dataValidations count="1">
    <dataValidation allowBlank="true" errorStyle="stop" operator="between" showDropDown="false" showErrorMessage="false" showInputMessage="false" sqref="Q22:Q150" type="list">
      <formula1>"Aprovado,Reprovado,Cancelada"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2026-07-30T03:28:27Z</dcterms:created>
  <dc:creator>openpyxl</dc:creator>
  <dc:description/>
  <dc:language>en-US</dc:language>
  <cp:lastModifiedBy>HERCULES SANTOS</cp:lastModifiedBy>
  <dcterms:modified xsi:type="dcterms:W3CDTF">2026-08-05T04:09:12Z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