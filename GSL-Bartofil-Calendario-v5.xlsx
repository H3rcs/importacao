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1.xml.rels" ContentType="application/vnd.openxmlformats-package.relationships+xml"/>
  <Override PartName="/xl/drawings/_rels/drawing6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GERÊNCIA" sheetId="2" state="visible" r:id="rId4"/>
    <sheet name="PAINEL" sheetId="3" state="visible" r:id="rId5"/>
    <sheet name="SCORE" sheetId="4" state="visible" r:id="rId6"/>
    <sheet name="INSIGHTS" sheetId="5" state="visible" r:id="rId7"/>
    <sheet name="CENTRAL" sheetId="6" state="visible" r:id="rId8"/>
    <sheet name="OCORRÊNCIAS" sheetId="7" state="visible" r:id="rId9"/>
    <sheet name="LOG" sheetId="8" state="visible" r:id="rId10"/>
    <sheet name="CONFIG" sheetId="9" state="visible" r:id="rId11"/>
    <sheet name="JUL 2026" sheetId="10" state="visible" r:id="rId12"/>
    <sheet name="AGO 2026" sheetId="11" state="visible" r:id="rId13"/>
    <sheet name="SET 2026" sheetId="12" state="visible" r:id="rId14"/>
    <sheet name="OUT 2026" sheetId="13" state="visible" r:id="rId15"/>
    <sheet name="NOV 2026" sheetId="14" state="visible" r:id="rId16"/>
    <sheet name="DEZ 2026" sheetId="15" state="visible" r:id="rId17"/>
    <sheet name="MODELO_MES" sheetId="16" state="hidden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<sst xmlns="http://schemas.openxmlformats.org/spreadsheetml/2006/main" count="693" uniqueCount="247">
  <si>
    <t xml:space="preserve">GSL BARTOFIL — SISTEMA DE GESTÃO OPERACIONAL · CD FEIRA DE SANTANA</t>
  </si>
  <si>
    <t xml:space="preserve">Turnos A (manhã) · B (tarde) · C (noite) — a semana orbita a VISTORIA de quarta e a REUNIÃO de sexta. Meses novos são gerados automaticamente pelo script.</t>
  </si>
  <si>
    <t xml:space="preserve">A SEMANA — 3 compromissos, tudo apontando para a reunião</t>
  </si>
  <si>
    <t xml:space="preserve">QUA</t>
  </si>
  <si>
    <t xml:space="preserve">Vistoria Setorial</t>
  </si>
  <si>
    <t xml:space="preserve">Checklist impresso no setor definido pelo gerente; anexar escaneado.</t>
  </si>
  <si>
    <t xml:space="preserve">QUI</t>
  </si>
  <si>
    <t xml:space="preserve">Relatório Semanal Consolidado</t>
  </si>
  <si>
    <t xml:space="preserve">UM único documento: erros + metas + faltas/atestados + supervisores. Os números de FALTAS/ATESTADOS da linha calculam sozinhos a partir da aba OCORRÊNCIAS.</t>
  </si>
  <si>
    <t xml:space="preserve">SEX</t>
  </si>
  <si>
    <t xml:space="preserve">Reunião Semanal com a Gerência</t>
  </si>
  <si>
    <t xml:space="preserve">O marco da semana. O gerente chega com a pauta pronta (aba GERÊNCIA + briefing por e-mail) e valida as entregas.</t>
  </si>
  <si>
    <t xml:space="preserve">Mensais: Programação de Férias (1ª segunda) · Mudança de Função (última sexta) · Treinamentos (quando o gerente marcar).</t>
  </si>
  <si>
    <t xml:space="preserve">MODELOS PARA DOWNLOAD — administrador: cole ao lado o link de cada arquivo no Drive</t>
  </si>
  <si>
    <t xml:space="preserve">1.</t>
  </si>
  <si>
    <t xml:space="preserve">Relatório Semanal Consolidado (QUI) — Modelo-Relatorio-Semanal.docx</t>
  </si>
  <si>
    <t xml:space="preserve">(cole aqui o link do arquivo no Drive)</t>
  </si>
  <si>
    <t xml:space="preserve">2.</t>
  </si>
  <si>
    <t xml:space="preserve">Checklist de Vistoria (QUA) — Checklist-Vistoria.docx</t>
  </si>
  <si>
    <t xml:space="preserve">Compartilhe como 'qualquer pessoa com o link pode ver'. Os links entram automaticamente nos e-mails.</t>
  </si>
  <si>
    <t xml:space="preserve">O SISTEMA — dados estruturados, painel e meses infinitos</t>
  </si>
  <si>
    <t xml:space="preserve">Aba OCORRÊNCIAS</t>
  </si>
  <si>
    <t xml:space="preserve">Cada erro, falta ou atestado vira UM registro estruturado (menu Registrar ocorrência). É a fonte única: alimenta PAINEL, SCORE, INSIGHTS, GERÊNCIA e as colunas K/L — nada é digitado duas vezes.</t>
  </si>
  <si>
    <t xml:space="preserve">Abas PAINEL e SCORE</t>
  </si>
  <si>
    <t xml:space="preserve">PAINEL: Pareto de erros por setor, erros e absenteísmo mês a mês e % de conclusão. SCORE: nota 0–100 e ranking mensal dos turnos (pesos ajustáveis) — meritocracia transparente.</t>
  </si>
  <si>
    <t xml:space="preserve">Aba INSIGHTS</t>
  </si>
  <si>
    <t xml:space="preserve">O script analisa os dados e escreve diagnósticos em português: tendências por setor, recorrências, absenteísmo fora da curva e melhorias. Roda toda 5ª e no fechamento do mês.</t>
  </si>
  <si>
    <t xml:space="preserve">Relatório mensal (PDF)</t>
  </si>
  <si>
    <t xml:space="preserve">Todo dia 1º o script fecha o mês anterior num PDF executivo (KPIs, gráficos, score e insights), salva no Drive e envia à gestão e à diretoria (CONFIG!D16).</t>
  </si>
  <si>
    <t xml:space="preserve">Governança</t>
  </si>
  <si>
    <t xml:space="preserve">Aba LOG: trilha de auditoria automática de toda alteração crítica (quem, quando, de/para). Backup mensal da planilha inteira no Drive (mantém os 12 últimos). Menu Diagnóstico do sistema confere a saúde geral.</t>
  </si>
  <si>
    <t xml:space="preserve">Meses automáticos</t>
  </si>
  <si>
    <t xml:space="preserve">Todo dia 20 o script gera a aba do mês seguinte sozinho (ou use o menu Gerar aba do próximo mês). CENTRAL, GERÊNCIA, PAINEL e SCORE já esperam os meses até DEZ/2027.</t>
  </si>
  <si>
    <t xml:space="preserve">E-mails automáticos</t>
  </si>
  <si>
    <t xml:space="preserve">Digesto matinal único por coordenador (atrasadas, hoje, AMANHÃ, próximos), briefing do gerente na véspera e no dia da reunião, e avisos em tempo real de entregas, validações, prazos e setores.</t>
  </si>
  <si>
    <t xml:space="preserve">INSTALAÇÃO (5 min) — APÓS IMPORTAR NO GOOGLE DRIVE</t>
  </si>
  <si>
    <t xml:space="preserve">OBRIGATÓRIO: Arquivo → Salvar como Planilhas Google (em modo .xlsx o script NÃO roda).</t>
  </si>
  <si>
    <t xml:space="preserve">Extensões → Apps Script → cole o Code.gs entregue junto e salve.</t>
  </si>
  <si>
    <t xml:space="preserve">3.</t>
  </si>
  <si>
    <t xml:space="preserve">Preencha a aba CONFIG (nomes e e-mails da equipe).</t>
  </si>
  <si>
    <t xml:space="preserve">4.</t>
  </si>
  <si>
    <t xml:space="preserve">No Apps Script, execute instalarGatilhos uma vez e autorize com a conta do gerente ou do administrador.</t>
  </si>
  <si>
    <t xml:space="preserve">5.</t>
  </si>
  <si>
    <t xml:space="preserve">Recarregue a página: o menu GSL Bartofil aparece na barra. Cada coordenador autoriza no 1º uso.</t>
  </si>
  <si>
    <t xml:space="preserve">6.</t>
  </si>
  <si>
    <t xml:space="preserve">Suba os 2 modelos Word na subpasta Modelos da pasta do Drive e cole os links acima.</t>
  </si>
  <si>
    <t xml:space="preserve">7.</t>
  </si>
  <si>
    <t xml:space="preserve">Recomendado: proteja as colunas do gerente (Dados → Proteger intervalos): PRAZO C, SETOR J, VALIDAÇÃO Q, MOTIVO R.</t>
  </si>
  <si>
    <t xml:space="preserve">8.</t>
  </si>
  <si>
    <t xml:space="preserve">NÃO exclua nem renomeie a aba oculta MODELO_MES — é dela que o script cria os meses novos.</t>
  </si>
  <si>
    <t xml:space="preserve">Identidade visual: paleta oficial Bartofil — azul #111785, verde #01973A e amarelo #FFEE03.</t>
  </si>
  <si>
    <t xml:space="preserve">GERÊNCIA — SALA DE COMANDO DA REUNIÃO</t>
  </si>
  <si>
    <t xml:space="preserve">PRÓXIMA REUNIÃO</t>
  </si>
  <si>
    <t xml:space="preserve">SEMANA ATUAL</t>
  </si>
  <si>
    <t xml:space="preserve">ATRASADAS (CD)</t>
  </si>
  <si>
    <t xml:space="preserve">AGUARDANDO SUA VALIDAÇÃO</t>
  </si>
  <si>
    <t xml:space="preserve">Aba 100% automática — nada a preencher. O briefing chega por e-mail na véspera e na manhã da reunião.</t>
  </si>
  <si>
    <t xml:space="preserve">SEMANA ATUAL POR TURNO — o que orbita a reunião de sexta</t>
  </si>
  <si>
    <t xml:space="preserve">TURNO</t>
  </si>
  <si>
    <t xml:space="preserve">RELATÓRIO (QUI)</t>
  </si>
  <si>
    <t xml:space="preserve">VISTORIA (QUA)</t>
  </si>
  <si>
    <t xml:space="preserve">FALTAS</t>
  </si>
  <si>
    <t xml:space="preserve">ATESTADOS</t>
  </si>
  <si>
    <t xml:space="preserve">ATRASADAS AGORA</t>
  </si>
  <si>
    <t xml:space="preserve">AGUARD. VALIDAÇÃO</t>
  </si>
  <si>
    <t xml:space="preserve">REPROVADAS</t>
  </si>
  <si>
    <t xml:space="preserve">A</t>
  </si>
  <si>
    <t xml:space="preserve">B</t>
  </si>
  <si>
    <t xml:space="preserve">C</t>
  </si>
  <si>
    <t xml:space="preserve">ABSENTEÍSMO — ÚLTIMOS 12 MESES (rolando; fonte: aba OCORRÊNCIAS)</t>
  </si>
  <si>
    <t xml:space="preserve">MÊS</t>
  </si>
  <si>
    <t xml:space="preserve">FALTAS · A</t>
  </si>
  <si>
    <t xml:space="preserve">FALTAS · B</t>
  </si>
  <si>
    <t xml:space="preserve">FALTAS · C</t>
  </si>
  <si>
    <t xml:space="preserve">ATEST. · A</t>
  </si>
  <si>
    <t xml:space="preserve">ATEST. · B</t>
  </si>
  <si>
    <t xml:space="preserve">ATEST. · C</t>
  </si>
  <si>
    <t xml:space="preserve">TOTAL</t>
  </si>
  <si>
    <t xml:space="preserve">TENDÊNCIA</t>
  </si>
  <si>
    <t xml:space="preserve">PAUTA SUGERIDA — gerada automaticamente com os números acima</t>
  </si>
  <si>
    <t xml:space="preserve">Faltas/atestados e erros vêm dos registros da aba OCORRÊNCIAS. Status por semana usa a semana ISO atual (C4) — funciona para qualquer mês, inclusive os gerados no futuro.</t>
  </si>
  <si>
    <t xml:space="preserve">PAINEL EXECUTIVO — ERROS · ABSENTEÍSMO · DESEMPENHO</t>
  </si>
  <si>
    <t xml:space="preserve">ERROS NO MÊS ATUAL</t>
  </si>
  <si>
    <t xml:space="preserve">FALTAS+ATESTADOS NO MÊS</t>
  </si>
  <si>
    <t xml:space="preserve">VS. MÊS ANTERIOR</t>
  </si>
  <si>
    <t xml:space="preserve">SETOR CRÍTICO (erros)</t>
  </si>
  <si>
    <t xml:space="preserve">% CONCLUÍDO (GERAL)</t>
  </si>
  <si>
    <t xml:space="preserve">DADOS DOS GRÁFICOS — NÃO EDITAR (gerados por fórmula)</t>
  </si>
  <si>
    <t xml:space="preserve">MÊS(data)</t>
  </si>
  <si>
    <t xml:space="preserve">ERROS A</t>
  </si>
  <si>
    <t xml:space="preserve">ERROS B</t>
  </si>
  <si>
    <t xml:space="preserve">ERROS C</t>
  </si>
  <si>
    <t xml:space="preserve">ABS A</t>
  </si>
  <si>
    <t xml:space="preserve">ABS B</t>
  </si>
  <si>
    <t xml:space="preserve">ABS C</t>
  </si>
  <si>
    <t xml:space="preserve">APROV</t>
  </si>
  <si>
    <t xml:space="preserve">% CONCL</t>
  </si>
  <si>
    <t xml:space="preserve">Alimentado pelos registros da aba OCORRÊNCIAS e pelas abas mensais. "VS. MÊS ANTERIOR": positivo = piorou, negativo = melhorou. Dados dos gráficos: colunas N em diante (não editar).</t>
  </si>
  <si>
    <t xml:space="preserve">PARETO ERROS POR SETOR</t>
  </si>
  <si>
    <t xml:space="preserve">Legenda dos rótulos: as séries seguem os turnos A (azul), B (verde) e C (laranja). Gráficos cobrem JUL/2026 a DEZ/2027 e preenchem sozinhos conforme os registros entram.</t>
  </si>
  <si>
    <t xml:space="preserve">SCORE — RANKING MENSAL DOS TURNOS</t>
  </si>
  <si>
    <t xml:space="preserve">SCORE · TURNO A</t>
  </si>
  <si>
    <t xml:space="preserve">SCORE · TURNO B</t>
  </si>
  <si>
    <t xml:space="preserve">SCORE · TURNO C</t>
  </si>
  <si>
    <t xml:space="preserve">LÍDER DO MÊS</t>
  </si>
  <si>
    <t xml:space="preserve">Score 0–100 por turno e mês. Fórmula: APROVAÇÃO (entregas aprovadas ÷ programadas) + PONTUALIDADE (1 − atividades que JÁ estiveram atrasadas ÷ programadas) + ABSENTEÍSMO (quanto mais perto da meta, melhor). Ajuste os pesos e a meta nas células amarelas.</t>
  </si>
  <si>
    <t xml:space="preserve">PESO APROVAÇÃO</t>
  </si>
  <si>
    <t xml:space="preserve">PESO PONTUALIDADE</t>
  </si>
  <si>
    <t xml:space="preserve">PESO ABSENTEÍSMO</t>
  </si>
  <si>
    <t xml:space="preserve">META ABSENT. (máx/mês por turno)</t>
  </si>
  <si>
    <t xml:space="preserve">← os três pesos devem somar 100</t>
  </si>
  <si>
    <t xml:space="preserve">APROV. A</t>
  </si>
  <si>
    <t xml:space="preserve">APROV. B</t>
  </si>
  <si>
    <t xml:space="preserve">APROV. C</t>
  </si>
  <si>
    <t xml:space="preserve">PONT. A</t>
  </si>
  <si>
    <t xml:space="preserve">PONT. B</t>
  </si>
  <si>
    <t xml:space="preserve">PONT. C</t>
  </si>
  <si>
    <t xml:space="preserve">ABSENT. A</t>
  </si>
  <si>
    <t xml:space="preserve">ABSENT. B</t>
  </si>
  <si>
    <t xml:space="preserve">ABSENT. C</t>
  </si>
  <si>
    <t xml:space="preserve">SCORE A</t>
  </si>
  <si>
    <t xml:space="preserve">SCORE B</t>
  </si>
  <si>
    <t xml:space="preserve">SCORE C</t>
  </si>
  <si>
    <t xml:space="preserve">LÍDER</t>
  </si>
  <si>
    <t xml:space="preserve">PONTUALIDADE usa a marca interna "fA" (coluna U das abas mensais), carimbada pelo digesto no 1º dia de atraso — entregar depois não apaga o histórico. Meses futuros pontuam sozinhos quando a aba nasce. O ranking entra no relatório mensal da diretoria.</t>
  </si>
  <si>
    <t xml:space="preserve">INSIGHTS — O QUE OS DADOS ESTÃO DIZENDO</t>
  </si>
  <si>
    <t xml:space="preserve">Diagnósticos gerados automaticamente pelo script a partir da aba OCORRÊNCIAS e das abas mensais: tendências por setor, recorrências, absenteísmo fora da curva, concentração por dia da semana e melhorias. Atualiza sozinho toda 5ª-feira e no fechamento do mês — ou na hora: GSL Bartofil &gt; Gerar insights agora. 🔴 crítico · 🟡 atenção · 🟢 positivo.</t>
  </si>
  <si>
    <t xml:space="preserve">GERADO EM</t>
  </si>
  <si>
    <t xml:space="preserve">NÍVEL</t>
  </si>
  <si>
    <t xml:space="preserve">INSIGHT</t>
  </si>
  <si>
    <t xml:space="preserve">RECOMENDAÇÃO</t>
  </si>
  <si>
    <t xml:space="preserve">(ainda sem análise — use o menu GSL Bartofil &gt; Gerar insights agora)</t>
  </si>
  <si>
    <t xml:space="preserve">CENTRAL — ANDAMENTO GERAL</t>
  </si>
  <si>
    <t xml:space="preserve">TOTAL PROGRAMADO</t>
  </si>
  <si>
    <t xml:space="preserve">APROVADAS</t>
  </si>
  <si>
    <t xml:space="preserve">% CONCLUÍDO</t>
  </si>
  <si>
    <t xml:space="preserve">ANDAMENTO MÊS A MÊS — meses futuros aparecem sozinhos quando o script gera a aba</t>
  </si>
  <si>
    <t xml:space="preserve">APROV.</t>
  </si>
  <si>
    <t xml:space="preserve">AGUARD. VALID.</t>
  </si>
  <si>
    <t xml:space="preserve">PEND.</t>
  </si>
  <si>
    <t xml:space="preserve">ATRAS.</t>
  </si>
  <si>
    <t xml:space="preserve">REPROV.</t>
  </si>
  <si>
    <t xml:space="preserve">% CONCL.</t>
  </si>
  <si>
    <t xml:space="preserve">PROGRESSO</t>
  </si>
  <si>
    <t xml:space="preserve">SITUAÇÃO</t>
  </si>
  <si>
    <t xml:space="preserve">DESEMPENHO ACUMULADO POR TURNO</t>
  </si>
  <si>
    <t xml:space="preserve">% APROV.</t>
  </si>
  <si>
    <t xml:space="preserve">"Aguard. valid." = entregue e à espera do Aprovado/Reprovado. Análises de erros, absenteísmo e tendências: aba PAINEL.</t>
  </si>
  <si>
    <t xml:space="preserve">OCORRÊNCIAS — REGISTRO ESTRUTURADO (erros · faltas · atestados)</t>
  </si>
  <si>
    <t xml:space="preserve">Cada linha é UM registro. Lance pelo menu GSL Bartofil &gt; Registrar ocorrência (recomendado) ou digite direto nas colunas azuis. É daqui que saem o PAINEL, a GERÊNCIA e as colunas FALTAS/ATESTADOS das abas mensais — nada é digitado duas vezes.</t>
  </si>
  <si>
    <t xml:space="preserve">QTDE: nº de ocorrências (erro), nº de faltas no dia (falta) ou DIAS de afastamento (atestado). As colunas SEM/MÊS/ANO calculam sozinhas — não digite nelas.</t>
  </si>
  <si>
    <t xml:space="preserve">DATA</t>
  </si>
  <si>
    <t xml:space="preserve">TIPO</t>
  </si>
  <si>
    <t xml:space="preserve">SETOR</t>
  </si>
  <si>
    <t xml:space="preserve">QTDE</t>
  </si>
  <si>
    <t xml:space="preserve">COLABORADOR (opcional)</t>
  </si>
  <si>
    <t xml:space="preserve">DESCRIÇÃO / CAUSA</t>
  </si>
  <si>
    <t xml:space="preserve">SEM.</t>
  </si>
  <si>
    <t xml:space="preserve">ANO</t>
  </si>
  <si>
    <t xml:space="preserve">LOG — TRILHA DE AUDITORIA (registro automático, não editar)</t>
  </si>
  <si>
    <t xml:space="preserve">Toda alteração em campo crítico (prazo, validação, motivo, setor, anexo, atividade, ocorrências e CONFIG) é registrada aqui pelo script com autor, data/hora e valores antes/depois. Complementa o backup mensal automático no Drive.</t>
  </si>
  <si>
    <t xml:space="preserve">QUANDO</t>
  </si>
  <si>
    <t xml:space="preserve">QUEM</t>
  </si>
  <si>
    <t xml:space="preserve">ABA</t>
  </si>
  <si>
    <t xml:space="preserve">CÉLULA</t>
  </si>
  <si>
    <t xml:space="preserve">CAMPO</t>
  </si>
  <si>
    <t xml:space="preserve">VALOR ANTERIOR</t>
  </si>
  <si>
    <t xml:space="preserve">VALOR NOVO</t>
  </si>
  <si>
    <t xml:space="preserve">REF. (ID)</t>
  </si>
  <si>
    <t xml:space="preserve">CONFIG — EQUIPE, SETORES E PARÂMETROS</t>
  </si>
  <si>
    <t xml:space="preserve">1 · EQUIPE (usada nas fórmulas e nos e-mails do script)</t>
  </si>
  <si>
    <t xml:space="preserve">PAPEL</t>
  </si>
  <si>
    <t xml:space="preserve">NOME</t>
  </si>
  <si>
    <t xml:space="preserve">E-MAIL</t>
  </si>
  <si>
    <t xml:space="preserve">Coordenador · Turno A (manhã)</t>
  </si>
  <si>
    <t xml:space="preserve">(preencha o nome)</t>
  </si>
  <si>
    <t xml:space="preserve">turnoA@bartofil.com.br</t>
  </si>
  <si>
    <t xml:space="preserve">Coordenador · Turno B (tarde)</t>
  </si>
  <si>
    <t xml:space="preserve">turnoB@bartofil.com.br</t>
  </si>
  <si>
    <t xml:space="preserve">Coordenador · Turno C (noite)</t>
  </si>
  <si>
    <t xml:space="preserve">turnoC@bartofil.com.br</t>
  </si>
  <si>
    <t xml:space="preserve">Gerente de Logística</t>
  </si>
  <si>
    <t xml:space="preserve">gerente@bartofil.com.br</t>
  </si>
  <si>
    <t xml:space="preserve">Administrador da planilha</t>
  </si>
  <si>
    <t xml:space="preserve">Hércules</t>
  </si>
  <si>
    <t xml:space="preserve">hercules@bartofil.com.br</t>
  </si>
  <si>
    <t xml:space="preserve">2 · SETORES DO CD (lista do campo 'Setor' e das ocorrências)</t>
  </si>
  <si>
    <t xml:space="preserve">3 · PARÂMETROS DO SCRIPT</t>
  </si>
  <si>
    <t xml:space="preserve">Recebimento</t>
  </si>
  <si>
    <t xml:space="preserve">Janela de "próximos prazos" no e-mail matinal (dias)</t>
  </si>
  <si>
    <t xml:space="preserve">Conferência</t>
  </si>
  <si>
    <t xml:space="preserve">Copiar a gestão no digesto após atraso de (dias)</t>
  </si>
  <si>
    <t xml:space="preserve">Armazenagem / Porta-paletes</t>
  </si>
  <si>
    <t xml:space="preserve">E-mail em cópia (opcional)</t>
  </si>
  <si>
    <t xml:space="preserve">Separação (Picking)</t>
  </si>
  <si>
    <t xml:space="preserve">Pasta do Drive p/ entregas (o script cria e preenche)</t>
  </si>
  <si>
    <t xml:space="preserve">Reposição</t>
  </si>
  <si>
    <t xml:space="preserve">E-mail da diretoria p/ relatório mensal (opcional)</t>
  </si>
  <si>
    <t xml:space="preserve">Expedição</t>
  </si>
  <si>
    <t xml:space="preserve">Carregamento / Docas</t>
  </si>
  <si>
    <t xml:space="preserve">Devolução / Avarias</t>
  </si>
  <si>
    <t xml:space="preserve">Inventário</t>
  </si>
  <si>
    <t xml:space="preserve">Manutenção</t>
  </si>
  <si>
    <t xml:space="preserve">Pátio / Área externa</t>
  </si>
  <si>
    <t xml:space="preserve">Administrativo do CD</t>
  </si>
  <si>
    <t xml:space="preserve">Células em amarelo são editáveis. NÃO mova linhas/colunas desta aba: o script lê B5:C9, D12:D16 e A12:A40 (setores — só nomes de setor nessa faixa).</t>
  </si>
  <si>
    <t xml:space="preserve">Para editar setores, SOBRESCREVA ou LIMPE células (Delete). Não exclua linhas — se o menu suspenso quebrar, use GSL Bartofil &gt; Reaplicar lista de setores.</t>
  </si>
  <si>
    <t xml:space="preserve">07 · JULHO 2026 — CALENDÁRIO OPERACIONAL</t>
  </si>
  <si>
    <t xml:space="preserve">JUL</t>
  </si>
  <si>
    <t xml:space="preserve">DOM</t>
  </si>
  <si>
    <t xml:space="preserve">SEG</t>
  </si>
  <si>
    <t xml:space="preserve">TER</t>
  </si>
  <si>
    <t xml:space="preserve">SÁB</t>
  </si>
  <si>
    <t xml:space="preserve">Amarelo = hoje · Azul = dia com prazo · Vermelho = dia com atraso · SEX (verde) = reunião com a gerência — o marco da semana</t>
  </si>
  <si>
    <t xml:space="preserve">GESTÃO DE ATIVIDADES — faltas/atestados agora saem da aba OCORRÊNCIAS (menu GSL Bartofil &gt; Registrar ocorrência); as colunas K/L calculam sozinhas</t>
  </si>
  <si>
    <t xml:space="preserve">ID</t>
  </si>
  <si>
    <t xml:space="preserve">PRAZO</t>
  </si>
  <si>
    <t xml:space="preserve">ATIVIDADE</t>
  </si>
  <si>
    <t xml:space="preserve">COORDENADOR</t>
  </si>
  <si>
    <t xml:space="preserve">SETOR (vistoria)</t>
  </si>
  <si>
    <t xml:space="preserve">ATEST.</t>
  </si>
  <si>
    <t xml:space="preserve">LINK DO ANEXO (ENTREGA)</t>
  </si>
  <si>
    <t xml:space="preserve">ENTREGUE EM</t>
  </si>
  <si>
    <t xml:space="preserve">VALIDAÇÃO</t>
  </si>
  <si>
    <t xml:space="preserve">MOTIVO REPROV./CANCEL.</t>
  </si>
  <si>
    <t xml:space="preserve">STATUS</t>
  </si>
  <si>
    <t xml:space="preserve">fL</t>
  </si>
  <si>
    <t xml:space="preserve">fA</t>
  </si>
  <si>
    <t xml:space="preserve">fE</t>
  </si>
  <si>
    <t xml:space="preserve">TREINAMENTOS PROGRAMADOS PELO GERENTE — preencha o PRAZO (e complete o tema); o turno é avisado por e-mail na hora</t>
  </si>
  <si>
    <t xml:space="preserve">Treinamento com Colaboradores — tema: </t>
  </si>
  <si>
    <t xml:space="preserve">Todos</t>
  </si>
  <si>
    <t xml:space="preserve">Gerência + coordenadores</t>
  </si>
  <si>
    <t xml:space="preserve">—</t>
  </si>
  <si>
    <t xml:space="preserve">Amarelo = o GERENTE edita (prazo, setor da vistoria, validação, motivo, tema do treinamento) · Azul-claro = o COORDENADOR anexa a entrega · FALTAS/ATESTADOS (azul-escuro) somam sozinhos os lançamentos da aba OCORRÊNCIAS. Semanas que não caem neste mês aparecem como linhas vazias — é normal.</t>
  </si>
  <si>
    <t xml:space="preserve">08 · AGOSTO 2026 — CALENDÁRIO OPERACIONAL</t>
  </si>
  <si>
    <t xml:space="preserve">AGO</t>
  </si>
  <si>
    <t xml:space="preserve">09 · SETEMBRO 2026 — CALENDÁRIO OPERACIONAL</t>
  </si>
  <si>
    <t xml:space="preserve">SET</t>
  </si>
  <si>
    <t xml:space="preserve">10 · OUTUBRO 2026 — CALENDÁRIO OPERACIONAL</t>
  </si>
  <si>
    <t xml:space="preserve">OUT</t>
  </si>
  <si>
    <t xml:space="preserve">11 · NOVEMBRO 2026 — CALENDÁRIO OPERACIONAL</t>
  </si>
  <si>
    <t xml:space="preserve">NOV</t>
  </si>
  <si>
    <t xml:space="preserve">12 · DEZEMBRO 2026 — CALENDÁRIO OPERACIONAL</t>
  </si>
  <si>
    <t xml:space="preserve">DEZ</t>
  </si>
  <si>
    <t xml:space="preserve">MODELO — NÃO EDITAR · o script duplica esta aba para criar novos meses</t>
  </si>
  <si>
    <t xml:space="preserve">JAN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</si>
</sst>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mm/dd/yy"/>
    <numFmt numFmtId="166" formatCode="General"/>
    <numFmt numFmtId="167" formatCode="dd/mm/yyyy"/>
    <numFmt numFmtId="168" formatCode="0.0%"/>
    <numFmt numFmtId="169" formatCode="mmm/yy"/>
    <numFmt numFmtId="170" formatCode="0%"/>
    <numFmt numFmtId="171" formatCode="0.0"/>
    <numFmt numFmtId="172" formatCode="mmm/yyyy"/>
    <numFmt numFmtId="173" formatCode="d"/>
    <numFmt numFmtId="174" formatCode="dd/mm/yyyy\ hh:mm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0"/>
      <color rgb="FF111785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sz val="9"/>
      <color rgb="FF222222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9.5"/>
      <color rgb="FF222222"/>
      <name val="Arial"/>
      <family val="0"/>
      <charset val="1"/>
    </font>
    <font>
      <sz val="9.5"/>
      <color rgb="FF222222"/>
      <name val="Arial"/>
      <family val="0"/>
      <charset val="1"/>
    </font>
    <font>
      <sz val="9.5"/>
      <color rgb="FF6B7280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8.5"/>
      <color rgb="FF6B7280"/>
      <name val="Arial"/>
      <family val="0"/>
      <charset val="1"/>
    </font>
    <font>
      <b val="true"/>
      <sz val="15"/>
      <color rgb="FF01973A"/>
      <name val="Arial"/>
      <family val="0"/>
      <charset val="1"/>
    </font>
    <font>
      <b val="true"/>
      <sz val="15"/>
      <color rgb="FF111785"/>
      <name val="Arial"/>
      <family val="0"/>
      <charset val="1"/>
    </font>
    <font>
      <b val="true"/>
      <sz val="15"/>
      <color rgb="FFD71920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sz val="9"/>
      <color rgb="FFD71920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8"/>
      <color rgb="FF6B7280"/>
      <name val="Arial"/>
      <family val="0"/>
      <charset val="1"/>
    </font>
    <font>
      <b val="true"/>
      <sz val="16"/>
      <color rgb="FFD71920"/>
      <name val="Arial"/>
      <family val="0"/>
      <charset val="1"/>
    </font>
    <font>
      <b val="true"/>
      <sz val="16"/>
      <color rgb="FF111785"/>
      <name val="Arial"/>
      <family val="0"/>
      <charset val="1"/>
    </font>
    <font>
      <b val="true"/>
      <sz val="16"/>
      <color rgb="FF6B7280"/>
      <name val="Arial"/>
      <family val="0"/>
      <charset val="1"/>
    </font>
    <font>
      <b val="true"/>
      <sz val="16"/>
      <color rgb="FF01973A"/>
      <name val="Arial"/>
      <family val="0"/>
      <charset val="1"/>
    </font>
    <font>
      <b val="true"/>
      <sz val="7.5"/>
      <color rgb="FF6B7280"/>
      <name val="Arial"/>
      <family val="0"/>
      <charset val="1"/>
    </font>
    <font>
      <sz val="7.5"/>
      <color rgb="FF9CA3A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6"/>
      <color rgb="FF222222"/>
      <name val="Arial"/>
      <family val="0"/>
      <charset val="1"/>
    </font>
    <font>
      <sz val="8.5"/>
      <color rgb="FF6B7280"/>
      <name val="Arial"/>
      <family val="0"/>
      <charset val="1"/>
    </font>
    <font>
      <sz val="8"/>
      <color rgb="FF9CA3A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111785"/>
      <name val="Arial"/>
      <family val="0"/>
      <charset val="1"/>
    </font>
    <font>
      <b val="true"/>
      <sz val="9"/>
      <color rgb="FF374151"/>
      <name val="Arial"/>
      <family val="0"/>
      <charset val="1"/>
    </font>
    <font>
      <sz val="7.5"/>
      <color rgb="FF111785"/>
      <name val="Arial"/>
      <family val="0"/>
      <charset val="1"/>
    </font>
    <font>
      <sz val="9"/>
      <color rgb="FF9CA3AF"/>
      <name val="Arial"/>
      <family val="0"/>
      <charset val="1"/>
    </font>
    <font>
      <b val="true"/>
      <sz val="9"/>
      <color rgb="FF111785"/>
      <name val="Arial"/>
      <family val="0"/>
      <charset val="1"/>
    </font>
    <font>
      <b val="true"/>
      <sz val="9.5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11785"/>
        <bgColor rgb="FF000080"/>
      </patternFill>
    </fill>
    <fill>
      <patternFill patternType="solid">
        <fgColor rgb="FF01973A"/>
        <bgColor rgb="FF008080"/>
      </patternFill>
    </fill>
    <fill>
      <patternFill patternType="solid">
        <fgColor rgb="FFFFEE03"/>
        <bgColor rgb="FFFFFF00"/>
      </patternFill>
    </fill>
    <fill>
      <patternFill patternType="solid">
        <fgColor rgb="FFFFF6BF"/>
        <bgColor rgb="FFF3F4F6"/>
      </patternFill>
    </fill>
    <fill>
      <patternFill patternType="solid">
        <fgColor rgb="FFF8F9FC"/>
        <bgColor rgb="FFF9F9F9"/>
      </patternFill>
    </fill>
    <fill>
      <patternFill patternType="solid">
        <fgColor rgb="FF2A2F8F"/>
        <bgColor rgb="FF111785"/>
      </patternFill>
    </fill>
    <fill>
      <patternFill patternType="solid">
        <fgColor rgb="FFDDEBFF"/>
        <bgColor rgb="FFE3E6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 style="thin">
        <color rgb="FFD8DEE9"/>
      </left>
      <right/>
      <top style="thin">
        <color rgb="FFD8DEE9"/>
      </top>
      <bottom style="thin">
        <color rgb="FFD8DEE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3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ont>
        <name val="Arial"/>
        <charset val="1"/>
        <family val="0"/>
        <b val="1"/>
        <color rgb="FFD71920"/>
        <sz val="9"/>
      </font>
      <fill>
        <patternFill>
          <bgColor rgb="FFFBDCDC"/>
        </patternFill>
      </fill>
    </dxf>
    <dxf>
      <font>
        <name val="Arial"/>
        <charset val="1"/>
        <family val="0"/>
        <b val="1"/>
        <color rgb="FF01652A"/>
        <sz val="9"/>
      </font>
      <fill>
        <patternFill>
          <bgColor rgb="FFDCF3E6"/>
        </patternFill>
      </fill>
    </dxf>
    <dxf>
      <font>
        <name val="Arial"/>
        <charset val="1"/>
        <family val="0"/>
        <b val="1"/>
        <color rgb="FF111785"/>
        <sz val="9"/>
      </font>
      <fill>
        <patternFill>
          <bgColor rgb="FFE3E6FF"/>
        </patternFill>
      </fill>
    </dxf>
    <dxf>
      <font>
        <name val="Arial"/>
        <charset val="1"/>
        <family val="0"/>
        <b val="1"/>
        <color rgb="FFD71920"/>
        <sz val="9"/>
      </font>
    </dxf>
    <dxf>
      <font>
        <name val="Arial"/>
        <charset val="1"/>
        <family val="0"/>
        <b val="1"/>
        <color rgb="FFD71920"/>
        <sz val="9"/>
      </font>
    </dxf>
    <dxf>
      <font>
        <name val="Arial"/>
        <charset val="1"/>
        <family val="0"/>
        <b val="1"/>
        <color rgb="FFD71920"/>
        <sz val="9"/>
      </font>
      <fill>
        <patternFill>
          <bgColor rgb="FFFBDCDC"/>
        </patternFill>
      </fill>
    </dxf>
    <dxf>
      <font>
        <name val="Arial"/>
        <charset val="1"/>
        <family val="0"/>
        <b val="1"/>
        <color rgb="FF01652A"/>
        <sz val="9"/>
      </font>
      <fill>
        <patternFill>
          <bgColor rgb="FFDCF3E6"/>
        </patternFill>
      </fill>
    </dxf>
    <dxf>
      <fill>
        <patternFill>
          <bgColor rgb="FFF8F9FC"/>
        </patternFill>
      </fill>
    </dxf>
    <dxf>
      <border diagonalUp="false" diagonalDown="false">
        <left style="thin">
          <color rgb="FFD8DEE9"/>
        </left>
        <right style="thin">
          <color rgb="FFD8DEE9"/>
        </right>
        <top style="thin">
          <color rgb="FFD8DEE9"/>
        </top>
        <bottom style="thin">
          <color rgb="FFD8DEE9"/>
        </bottom>
        <diagonal/>
      </border>
    </dxf>
    <dxf>
      <font>
        <name val="Arial"/>
        <charset val="1"/>
        <family val="0"/>
        <b val="1"/>
        <color rgb="FFB45309"/>
        <sz val="9"/>
      </font>
    </dxf>
    <dxf>
      <font>
        <name val="Arial"/>
        <charset val="1"/>
        <family val="0"/>
        <b val="1"/>
        <color rgb="FF111785"/>
        <sz val="9"/>
      </font>
    </dxf>
    <dxf>
      <font>
        <name val="Arial"/>
        <charset val="1"/>
        <family val="0"/>
        <b val="1"/>
        <color rgb="FF01973A"/>
        <sz val="10"/>
      </font>
    </dxf>
    <dxf>
      <fill>
        <patternFill>
          <bgColor rgb="FFFFEE03"/>
        </patternFill>
      </fill>
    </dxf>
    <dxf>
      <fill>
        <patternFill>
          <bgColor rgb="FFFBDCDC"/>
        </patternFill>
      </fill>
    </dxf>
    <dxf>
      <fill>
        <patternFill>
          <bgColor rgb="FFE3E6FF"/>
        </patternFill>
      </fill>
    </dxf>
    <dxf>
      <font>
        <name val="Arial"/>
        <charset val="1"/>
        <family val="0"/>
        <color rgb="FF01652A"/>
        <sz val="9"/>
      </font>
      <fill>
        <patternFill>
          <bgColor rgb="FFDCF3E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01973A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111785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D71920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E8590C"/>
        </patternFill>
      </fill>
    </dxf>
    <dxf>
      <font>
        <name val="Arial"/>
        <charset val="1"/>
        <family val="0"/>
        <b val="1"/>
        <color rgb="FF374151"/>
        <sz val="9"/>
      </font>
      <fill>
        <patternFill>
          <bgColor rgb="FFF3F4F6"/>
        </patternFill>
      </fill>
    </dxf>
    <dxf>
      <font>
        <name val="Arial"/>
        <charset val="1"/>
        <family val="0"/>
        <b val="1"/>
        <color rgb="FF6B7280"/>
        <sz val="9"/>
      </font>
      <fill>
        <patternFill>
          <bgColor rgb="FFE5E7EB"/>
        </patternFill>
      </fill>
    </dxf>
  </dxfs>
  <colors>
    <indexedColors>
      <rgbColor rgb="FF000000"/>
      <rgbColor rgb="FFFFFFFF"/>
      <rgbColor rgb="FFD71920"/>
      <rgbColor rgb="FF00FF00"/>
      <rgbColor rgb="FF0000FF"/>
      <rgbColor rgb="FFFFEE03"/>
      <rgbColor rgb="FFFF00FF"/>
      <rgbColor rgb="FF00FFFF"/>
      <rgbColor rgb="FF800000"/>
      <rgbColor rgb="FF01652A"/>
      <rgbColor rgb="FF111785"/>
      <rgbColor rgb="FF808000"/>
      <rgbColor rgb="FF800080"/>
      <rgbColor rgb="FF01973A"/>
      <rgbColor rgb="FFD9D9D9"/>
      <rgbColor rgb="FF878787"/>
      <rgbColor rgb="FF9999FF"/>
      <rgbColor rgb="FF993366"/>
      <rgbColor rgb="FFFFF6BF"/>
      <rgbColor rgb="FFDCF3E6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F"/>
      <rgbColor rgb="FFE5E7EB"/>
      <rgbColor rgb="FFF9F9F9"/>
      <rgbColor rgb="FFE3E6FF"/>
      <rgbColor rgb="FFF3F4F6"/>
      <rgbColor rgb="FFF8F9FC"/>
      <rgbColor rgb="FFFBDCDC"/>
      <rgbColor rgb="FF3366FF"/>
      <rgbColor rgb="FF33CCCC"/>
      <rgbColor rgb="FF99CC00"/>
      <rgbColor rgb="FFFFCC00"/>
      <rgbColor rgb="FFFF9900"/>
      <rgbColor rgb="FFE8590C"/>
      <rgbColor rgb="FF6B7280"/>
      <rgbColor rgb="FF9CA3AF"/>
      <rgbColor rgb="FF003366"/>
      <rgbColor rgb="FF339966"/>
      <rgbColor rgb="FF003300"/>
      <rgbColor rgb="FF222222"/>
      <rgbColor rgb="FFB45309"/>
      <rgbColor rgb="FF993366"/>
      <rgbColor rgb="FF2A2F8F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O CD MAIS ERRA — top setores (todos os registros)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d7192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PAINEL!$AG$4:$AG$11</c:f>
              <c:strCache>
                <c:ptCount val="8"/>
                <c:pt idx="0">
                  <c:v>Administrativo do CD</c:v>
                </c:pt>
                <c:pt idx="1">
                  <c:v>Pátio / Área externa</c:v>
                </c:pt>
                <c:pt idx="2">
                  <c:v>Manutenção</c:v>
                </c:pt>
                <c:pt idx="3">
                  <c:v>Inventário</c:v>
                </c:pt>
                <c:pt idx="4">
                  <c:v>Devolução / Avarias</c:v>
                </c:pt>
                <c:pt idx="5">
                  <c:v>Carregamento / Docas</c:v>
                </c:pt>
                <c:pt idx="6">
                  <c:v>Expedição</c:v>
                </c:pt>
                <c:pt idx="7">
                  <c:v>Reposição</c:v>
                </c:pt>
              </c:strCache>
            </c:strRef>
          </c:cat>
          <c:val>
            <c:numRef>
              <c:f>PAINEL!$AH$4:$AH$11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57245018"/>
        <c:axId val="53212984"/>
      </c:barChart>
      <c:catAx>
        <c:axId val="572450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12984"/>
        <c:crosses val="autoZero"/>
        <c:auto val="1"/>
        <c:lblAlgn val="ctr"/>
        <c:lblOffset val="100"/>
        <c:noMultiLvlLbl val="0"/>
      </c:catAx>
      <c:valAx>
        <c:axId val="532129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450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ERROS OPERACIONAIS POR MÊS · por turno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PAINEL!P4</c:f>
              <c:strCache>
                <c:ptCount val="1"/>
                <c:pt idx="0">
                  <c:v>ERROS A</c:v>
                </c:pt>
              </c:strCache>
            </c:strRef>
          </c:tx>
          <c:spPr>
            <a:solidFill>
              <a:srgbClr val="11178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PAINEL!$O$5:$O$22</c:f>
              <c:strCache>
                <c:ptCount val="18"/>
                <c:pt idx="0">
                  <c:v>JUL/26</c:v>
                </c:pt>
                <c:pt idx="1">
                  <c:v>AGO/26</c:v>
                </c:pt>
                <c:pt idx="2">
                  <c:v>SET/26</c:v>
                </c:pt>
                <c:pt idx="3">
                  <c:v>OUT/26</c:v>
                </c:pt>
                <c:pt idx="4">
                  <c:v>NOV/26</c:v>
                </c:pt>
                <c:pt idx="5">
                  <c:v>DEZ/26</c:v>
                </c:pt>
                <c:pt idx="6">
                  <c:v>JAN/27</c:v>
                </c:pt>
                <c:pt idx="7">
                  <c:v>FEV/27</c:v>
                </c:pt>
                <c:pt idx="8">
                  <c:v>MAR/27</c:v>
                </c:pt>
                <c:pt idx="9">
                  <c:v>ABR/27</c:v>
                </c:pt>
                <c:pt idx="10">
                  <c:v>MAI/27</c:v>
                </c:pt>
                <c:pt idx="11">
                  <c:v>JUN/27</c:v>
                </c:pt>
                <c:pt idx="12">
                  <c:v>JUL/27</c:v>
                </c:pt>
                <c:pt idx="13">
                  <c:v>AGO/27</c:v>
                </c:pt>
                <c:pt idx="14">
                  <c:v>SET/27</c:v>
                </c:pt>
                <c:pt idx="15">
                  <c:v>OUT/27</c:v>
                </c:pt>
                <c:pt idx="16">
                  <c:v>NOV/27</c:v>
                </c:pt>
                <c:pt idx="17">
                  <c:v>DEZ/27</c:v>
                </c:pt>
              </c:strCache>
            </c:strRef>
          </c:cat>
          <c:val>
            <c:numRef>
              <c:f>PAINEL!$P$5:$P$22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1"/>
          <c:order val="1"/>
          <c:tx>
            <c:strRef>
              <c:f>PAINEL!Q4</c:f>
              <c:strCache>
                <c:ptCount val="1"/>
                <c:pt idx="0">
                  <c:v>ERROS B</c:v>
                </c:pt>
              </c:strCache>
            </c:strRef>
          </c:tx>
          <c:spPr>
            <a:solidFill>
              <a:srgbClr val="01973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PAINEL!$O$5:$O$22</c:f>
              <c:strCache>
                <c:ptCount val="18"/>
                <c:pt idx="0">
                  <c:v>JUL/26</c:v>
                </c:pt>
                <c:pt idx="1">
                  <c:v>AGO/26</c:v>
                </c:pt>
                <c:pt idx="2">
                  <c:v>SET/26</c:v>
                </c:pt>
                <c:pt idx="3">
                  <c:v>OUT/26</c:v>
                </c:pt>
                <c:pt idx="4">
                  <c:v>NOV/26</c:v>
                </c:pt>
                <c:pt idx="5">
                  <c:v>DEZ/26</c:v>
                </c:pt>
                <c:pt idx="6">
                  <c:v>JAN/27</c:v>
                </c:pt>
                <c:pt idx="7">
                  <c:v>FEV/27</c:v>
                </c:pt>
                <c:pt idx="8">
                  <c:v>MAR/27</c:v>
                </c:pt>
                <c:pt idx="9">
                  <c:v>ABR/27</c:v>
                </c:pt>
                <c:pt idx="10">
                  <c:v>MAI/27</c:v>
                </c:pt>
                <c:pt idx="11">
                  <c:v>JUN/27</c:v>
                </c:pt>
                <c:pt idx="12">
                  <c:v>JUL/27</c:v>
                </c:pt>
                <c:pt idx="13">
                  <c:v>AGO/27</c:v>
                </c:pt>
                <c:pt idx="14">
                  <c:v>SET/27</c:v>
                </c:pt>
                <c:pt idx="15">
                  <c:v>OUT/27</c:v>
                </c:pt>
                <c:pt idx="16">
                  <c:v>NOV/27</c:v>
                </c:pt>
                <c:pt idx="17">
                  <c:v>DEZ/27</c:v>
                </c:pt>
              </c:strCache>
            </c:strRef>
          </c:cat>
          <c:val>
            <c:numRef>
              <c:f>PAINEL!$Q$5:$Q$22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2"/>
          <c:order val="2"/>
          <c:tx>
            <c:strRef>
              <c:f>PAINEL!R4</c:f>
              <c:strCache>
                <c:ptCount val="1"/>
                <c:pt idx="0">
                  <c:v>ERROS C</c:v>
                </c:pt>
              </c:strCache>
            </c:strRef>
          </c:tx>
          <c:spPr>
            <a:solidFill>
              <a:srgbClr val="e8590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PAINEL!$O$5:$O$22</c:f>
              <c:strCache>
                <c:ptCount val="18"/>
                <c:pt idx="0">
                  <c:v>JUL/26</c:v>
                </c:pt>
                <c:pt idx="1">
                  <c:v>AGO/26</c:v>
                </c:pt>
                <c:pt idx="2">
                  <c:v>SET/26</c:v>
                </c:pt>
                <c:pt idx="3">
                  <c:v>OUT/26</c:v>
                </c:pt>
                <c:pt idx="4">
                  <c:v>NOV/26</c:v>
                </c:pt>
                <c:pt idx="5">
                  <c:v>DEZ/26</c:v>
                </c:pt>
                <c:pt idx="6">
                  <c:v>JAN/27</c:v>
                </c:pt>
                <c:pt idx="7">
                  <c:v>FEV/27</c:v>
                </c:pt>
                <c:pt idx="8">
                  <c:v>MAR/27</c:v>
                </c:pt>
                <c:pt idx="9">
                  <c:v>ABR/27</c:v>
                </c:pt>
                <c:pt idx="10">
                  <c:v>MAI/27</c:v>
                </c:pt>
                <c:pt idx="11">
                  <c:v>JUN/27</c:v>
                </c:pt>
                <c:pt idx="12">
                  <c:v>JUL/27</c:v>
                </c:pt>
                <c:pt idx="13">
                  <c:v>AGO/27</c:v>
                </c:pt>
                <c:pt idx="14">
                  <c:v>SET/27</c:v>
                </c:pt>
                <c:pt idx="15">
                  <c:v>OUT/27</c:v>
                </c:pt>
                <c:pt idx="16">
                  <c:v>NOV/27</c:v>
                </c:pt>
                <c:pt idx="17">
                  <c:v>DEZ/27</c:v>
                </c:pt>
              </c:strCache>
            </c:strRef>
          </c:cat>
          <c:val>
            <c:numRef>
              <c:f>PAINEL!$R$5:$R$22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gapWidth val="150"/>
        <c:overlap val="100"/>
        <c:axId val="55393039"/>
        <c:axId val="92120643"/>
      </c:barChart>
      <c:catAx>
        <c:axId val="55393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20643"/>
        <c:crosses val="autoZero"/>
        <c:auto val="1"/>
        <c:lblAlgn val="ctr"/>
        <c:lblOffset val="100"/>
        <c:noMultiLvlLbl val="0"/>
      </c:catAx>
      <c:valAx>
        <c:axId val="921206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930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ABSENTEÍSMO (faltas + atestados) POR MÊS · por turno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PAINEL!S4</c:f>
              <c:strCache>
                <c:ptCount val="1"/>
                <c:pt idx="0">
                  <c:v>ABS A</c:v>
                </c:pt>
              </c:strCache>
            </c:strRef>
          </c:tx>
          <c:spPr>
            <a:solidFill>
              <a:srgbClr val="111785"/>
            </a:solidFill>
            <a:ln w="21960">
              <a:solidFill>
                <a:srgbClr val="11178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PAINEL!$O$5:$O$22</c:f>
              <c:strCache>
                <c:ptCount val="18"/>
                <c:pt idx="0">
                  <c:v>JUL/26</c:v>
                </c:pt>
                <c:pt idx="1">
                  <c:v>AGO/26</c:v>
                </c:pt>
                <c:pt idx="2">
                  <c:v>SET/26</c:v>
                </c:pt>
                <c:pt idx="3">
                  <c:v>OUT/26</c:v>
                </c:pt>
                <c:pt idx="4">
                  <c:v>NOV/26</c:v>
                </c:pt>
                <c:pt idx="5">
                  <c:v>DEZ/26</c:v>
                </c:pt>
                <c:pt idx="6">
                  <c:v>JAN/27</c:v>
                </c:pt>
                <c:pt idx="7">
                  <c:v>FEV/27</c:v>
                </c:pt>
                <c:pt idx="8">
                  <c:v>MAR/27</c:v>
                </c:pt>
                <c:pt idx="9">
                  <c:v>ABR/27</c:v>
                </c:pt>
                <c:pt idx="10">
                  <c:v>MAI/27</c:v>
                </c:pt>
                <c:pt idx="11">
                  <c:v>JUN/27</c:v>
                </c:pt>
                <c:pt idx="12">
                  <c:v>JUL/27</c:v>
                </c:pt>
                <c:pt idx="13">
                  <c:v>AGO/27</c:v>
                </c:pt>
                <c:pt idx="14">
                  <c:v>SET/27</c:v>
                </c:pt>
                <c:pt idx="15">
                  <c:v>OUT/27</c:v>
                </c:pt>
                <c:pt idx="16">
                  <c:v>NOV/27</c:v>
                </c:pt>
                <c:pt idx="17">
                  <c:v>DEZ/27</c:v>
                </c:pt>
              </c:strCache>
            </c:strRef>
          </c:cat>
          <c:val>
            <c:numRef>
              <c:f>PAINEL!$S$5:$S$22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PAINEL!T4</c:f>
              <c:strCache>
                <c:ptCount val="1"/>
                <c:pt idx="0">
                  <c:v>ABS B</c:v>
                </c:pt>
              </c:strCache>
            </c:strRef>
          </c:tx>
          <c:spPr>
            <a:solidFill>
              <a:srgbClr val="01973a"/>
            </a:solidFill>
            <a:ln w="21960">
              <a:solidFill>
                <a:srgbClr val="0197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PAINEL!$O$5:$O$22</c:f>
              <c:strCache>
                <c:ptCount val="18"/>
                <c:pt idx="0">
                  <c:v>JUL/26</c:v>
                </c:pt>
                <c:pt idx="1">
                  <c:v>AGO/26</c:v>
                </c:pt>
                <c:pt idx="2">
                  <c:v>SET/26</c:v>
                </c:pt>
                <c:pt idx="3">
                  <c:v>OUT/26</c:v>
                </c:pt>
                <c:pt idx="4">
                  <c:v>NOV/26</c:v>
                </c:pt>
                <c:pt idx="5">
                  <c:v>DEZ/26</c:v>
                </c:pt>
                <c:pt idx="6">
                  <c:v>JAN/27</c:v>
                </c:pt>
                <c:pt idx="7">
                  <c:v>FEV/27</c:v>
                </c:pt>
                <c:pt idx="8">
                  <c:v>MAR/27</c:v>
                </c:pt>
                <c:pt idx="9">
                  <c:v>ABR/27</c:v>
                </c:pt>
                <c:pt idx="10">
                  <c:v>MAI/27</c:v>
                </c:pt>
                <c:pt idx="11">
                  <c:v>JUN/27</c:v>
                </c:pt>
                <c:pt idx="12">
                  <c:v>JUL/27</c:v>
                </c:pt>
                <c:pt idx="13">
                  <c:v>AGO/27</c:v>
                </c:pt>
                <c:pt idx="14">
                  <c:v>SET/27</c:v>
                </c:pt>
                <c:pt idx="15">
                  <c:v>OUT/27</c:v>
                </c:pt>
                <c:pt idx="16">
                  <c:v>NOV/27</c:v>
                </c:pt>
                <c:pt idx="17">
                  <c:v>DEZ/27</c:v>
                </c:pt>
              </c:strCache>
            </c:strRef>
          </c:cat>
          <c:val>
            <c:numRef>
              <c:f>PAINEL!$T$5:$T$22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PAINEL!U4</c:f>
              <c:strCache>
                <c:ptCount val="1"/>
                <c:pt idx="0">
                  <c:v>ABS C</c:v>
                </c:pt>
              </c:strCache>
            </c:strRef>
          </c:tx>
          <c:spPr>
            <a:solidFill>
              <a:srgbClr val="e8590c"/>
            </a:solidFill>
            <a:ln w="21960">
              <a:solidFill>
                <a:srgbClr val="e8590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PAINEL!$O$5:$O$22</c:f>
              <c:strCache>
                <c:ptCount val="18"/>
                <c:pt idx="0">
                  <c:v>JUL/26</c:v>
                </c:pt>
                <c:pt idx="1">
                  <c:v>AGO/26</c:v>
                </c:pt>
                <c:pt idx="2">
                  <c:v>SET/26</c:v>
                </c:pt>
                <c:pt idx="3">
                  <c:v>OUT/26</c:v>
                </c:pt>
                <c:pt idx="4">
                  <c:v>NOV/26</c:v>
                </c:pt>
                <c:pt idx="5">
                  <c:v>DEZ/26</c:v>
                </c:pt>
                <c:pt idx="6">
                  <c:v>JAN/27</c:v>
                </c:pt>
                <c:pt idx="7">
                  <c:v>FEV/27</c:v>
                </c:pt>
                <c:pt idx="8">
                  <c:v>MAR/27</c:v>
                </c:pt>
                <c:pt idx="9">
                  <c:v>ABR/27</c:v>
                </c:pt>
                <c:pt idx="10">
                  <c:v>MAI/27</c:v>
                </c:pt>
                <c:pt idx="11">
                  <c:v>JUN/27</c:v>
                </c:pt>
                <c:pt idx="12">
                  <c:v>JUL/27</c:v>
                </c:pt>
                <c:pt idx="13">
                  <c:v>AGO/27</c:v>
                </c:pt>
                <c:pt idx="14">
                  <c:v>SET/27</c:v>
                </c:pt>
                <c:pt idx="15">
                  <c:v>OUT/27</c:v>
                </c:pt>
                <c:pt idx="16">
                  <c:v>NOV/27</c:v>
                </c:pt>
                <c:pt idx="17">
                  <c:v>DEZ/27</c:v>
                </c:pt>
              </c:strCache>
            </c:strRef>
          </c:cat>
          <c:val>
            <c:numRef>
              <c:f>PAINEL!$U$5:$U$22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0732380"/>
        <c:axId val="99932708"/>
      </c:lineChart>
      <c:catAx>
        <c:axId val="507323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932708"/>
        <c:crosses val="autoZero"/>
        <c:auto val="1"/>
        <c:lblAlgn val="ctr"/>
        <c:lblOffset val="100"/>
        <c:noMultiLvlLbl val="0"/>
      </c:catAx>
      <c:valAx>
        <c:axId val="999327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323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DE ATIVIDADES CONCLUÍDAS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PAINEL!X4</c:f>
              <c:strCache>
                <c:ptCount val="1"/>
                <c:pt idx="0">
                  <c:v>% CONCL</c:v>
                </c:pt>
              </c:strCache>
            </c:strRef>
          </c:tx>
          <c:spPr>
            <a:solidFill>
              <a:srgbClr val="01973a"/>
            </a:solidFill>
            <a:ln w="25920">
              <a:solidFill>
                <a:srgbClr val="0197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PAINEL!$O$5:$O$22</c:f>
              <c:strCache>
                <c:ptCount val="18"/>
                <c:pt idx="0">
                  <c:v>JUL/26</c:v>
                </c:pt>
                <c:pt idx="1">
                  <c:v>AGO/26</c:v>
                </c:pt>
                <c:pt idx="2">
                  <c:v>SET/26</c:v>
                </c:pt>
                <c:pt idx="3">
                  <c:v>OUT/26</c:v>
                </c:pt>
                <c:pt idx="4">
                  <c:v>NOV/26</c:v>
                </c:pt>
                <c:pt idx="5">
                  <c:v>DEZ/26</c:v>
                </c:pt>
                <c:pt idx="6">
                  <c:v>JAN/27</c:v>
                </c:pt>
                <c:pt idx="7">
                  <c:v>FEV/27</c:v>
                </c:pt>
                <c:pt idx="8">
                  <c:v>MAR/27</c:v>
                </c:pt>
                <c:pt idx="9">
                  <c:v>ABR/27</c:v>
                </c:pt>
                <c:pt idx="10">
                  <c:v>MAI/27</c:v>
                </c:pt>
                <c:pt idx="11">
                  <c:v>JUN/27</c:v>
                </c:pt>
                <c:pt idx="12">
                  <c:v>JUL/27</c:v>
                </c:pt>
                <c:pt idx="13">
                  <c:v>AGO/27</c:v>
                </c:pt>
                <c:pt idx="14">
                  <c:v>SET/27</c:v>
                </c:pt>
                <c:pt idx="15">
                  <c:v>OUT/27</c:v>
                </c:pt>
                <c:pt idx="16">
                  <c:v>NOV/27</c:v>
                </c:pt>
                <c:pt idx="17">
                  <c:v>DEZ/27</c:v>
                </c:pt>
              </c:strCache>
            </c:strRef>
          </c:cat>
          <c:val>
            <c:numRef>
              <c:f>PAINEL!$X$5:$X$22</c:f>
              <c:numCache>
                <c:formatCode>0%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402946"/>
        <c:axId val="74717033"/>
      </c:lineChart>
      <c:catAx>
        <c:axId val="194029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717033"/>
        <c:crosses val="autoZero"/>
        <c:auto val="1"/>
        <c:lblAlgn val="ctr"/>
        <c:lblOffset val="100"/>
        <c:noMultiLvlLbl val="0"/>
      </c:catAx>
      <c:valAx>
        <c:axId val="747170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029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2</xdr:col>
      <xdr:colOff>2400120</xdr:colOff>
      <xdr:row>0</xdr:row>
      <xdr:rowOff>818640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453840" y="0"/>
          <a:ext cx="2400120" cy="818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0</xdr:row>
      <xdr:rowOff>0</xdr:rowOff>
    </xdr:from>
    <xdr:to>
      <xdr:col>8</xdr:col>
      <xdr:colOff>613080</xdr:colOff>
      <xdr:row>0</xdr:row>
      <xdr:rowOff>542520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704844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</xdr:row>
      <xdr:rowOff>130680</xdr:rowOff>
    </xdr:from>
    <xdr:to>
      <xdr:col>4</xdr:col>
      <xdr:colOff>438480</xdr:colOff>
      <xdr:row>19</xdr:row>
      <xdr:rowOff>55440</xdr:rowOff>
    </xdr:to>
    <xdr:graphicFrame>
      <xdr:nvGraphicFramePr>
        <xdr:cNvPr id="2" name="Chart 1"/>
        <xdr:cNvGraphicFramePr/>
      </xdr:nvGraphicFramePr>
      <xdr:xfrm>
        <a:off x="0" y="1400040"/>
        <a:ext cx="4103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5</xdr:row>
      <xdr:rowOff>130680</xdr:rowOff>
    </xdr:from>
    <xdr:to>
      <xdr:col>10</xdr:col>
      <xdr:colOff>438480</xdr:colOff>
      <xdr:row>19</xdr:row>
      <xdr:rowOff>55440</xdr:rowOff>
    </xdr:to>
    <xdr:graphicFrame>
      <xdr:nvGraphicFramePr>
        <xdr:cNvPr id="3" name="Chart 2"/>
        <xdr:cNvGraphicFramePr/>
      </xdr:nvGraphicFramePr>
      <xdr:xfrm>
        <a:off x="5497920" y="1400040"/>
        <a:ext cx="4103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130680</xdr:rowOff>
    </xdr:from>
    <xdr:to>
      <xdr:col>4</xdr:col>
      <xdr:colOff>438480</xdr:colOff>
      <xdr:row>34</xdr:row>
      <xdr:rowOff>55440</xdr:rowOff>
    </xdr:to>
    <xdr:graphicFrame>
      <xdr:nvGraphicFramePr>
        <xdr:cNvPr id="4" name="Chart 3"/>
        <xdr:cNvGraphicFramePr/>
      </xdr:nvGraphicFramePr>
      <xdr:xfrm>
        <a:off x="0" y="4257720"/>
        <a:ext cx="4103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20</xdr:row>
      <xdr:rowOff>130680</xdr:rowOff>
    </xdr:from>
    <xdr:to>
      <xdr:col>10</xdr:col>
      <xdr:colOff>438480</xdr:colOff>
      <xdr:row>34</xdr:row>
      <xdr:rowOff>55440</xdr:rowOff>
    </xdr:to>
    <xdr:graphicFrame>
      <xdr:nvGraphicFramePr>
        <xdr:cNvPr id="5" name="Chart 4"/>
        <xdr:cNvGraphicFramePr/>
      </xdr:nvGraphicFramePr>
      <xdr:xfrm>
        <a:off x="5497920" y="4257720"/>
        <a:ext cx="4103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0</xdr:colOff>
      <xdr:row>0</xdr:row>
      <xdr:rowOff>0</xdr:rowOff>
    </xdr:from>
    <xdr:to>
      <xdr:col>11</xdr:col>
      <xdr:colOff>683640</xdr:colOff>
      <xdr:row>0</xdr:row>
      <xdr:rowOff>542520</xdr:rowOff>
    </xdr:to>
    <xdr:pic>
      <xdr:nvPicPr>
        <xdr:cNvPr id="6" name="Image 5" descr="Picture"/>
        <xdr:cNvPicPr/>
      </xdr:nvPicPr>
      <xdr:blipFill>
        <a:blip r:embed="rId5"/>
        <a:stretch/>
      </xdr:blipFill>
      <xdr:spPr>
        <a:xfrm>
          <a:off x="916308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0</xdr:row>
      <xdr:rowOff>0</xdr:rowOff>
    </xdr:from>
    <xdr:to>
      <xdr:col>14</xdr:col>
      <xdr:colOff>260640</xdr:colOff>
      <xdr:row>0</xdr:row>
      <xdr:rowOff>542520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845820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0</xdr:row>
      <xdr:rowOff>0</xdr:rowOff>
    </xdr:from>
    <xdr:to>
      <xdr:col>3</xdr:col>
      <xdr:colOff>1599840</xdr:colOff>
      <xdr:row>0</xdr:row>
      <xdr:rowOff>542520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606168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0</xdr:rowOff>
    </xdr:from>
    <xdr:to>
      <xdr:col>9</xdr:col>
      <xdr:colOff>190080</xdr:colOff>
      <xdr:row>0</xdr:row>
      <xdr:rowOff>542520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570924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0</xdr:rowOff>
    </xdr:from>
    <xdr:to>
      <xdr:col>10</xdr:col>
      <xdr:colOff>401760</xdr:colOff>
      <xdr:row>0</xdr:row>
      <xdr:rowOff>542520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958608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0</xdr:row>
      <xdr:rowOff>0</xdr:rowOff>
    </xdr:from>
    <xdr:to>
      <xdr:col>24</xdr:col>
      <xdr:colOff>247320</xdr:colOff>
      <xdr:row>0</xdr:row>
      <xdr:rowOff>542520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1512072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0</xdr:row>
      <xdr:rowOff>0</xdr:rowOff>
    </xdr:from>
    <xdr:to>
      <xdr:col>24</xdr:col>
      <xdr:colOff>247320</xdr:colOff>
      <xdr:row>0</xdr:row>
      <xdr:rowOff>542520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1512072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0</xdr:row>
      <xdr:rowOff>0</xdr:rowOff>
    </xdr:from>
    <xdr:to>
      <xdr:col>24</xdr:col>
      <xdr:colOff>247320</xdr:colOff>
      <xdr:row>0</xdr:row>
      <xdr:rowOff>542520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1512072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0</xdr:row>
      <xdr:rowOff>0</xdr:rowOff>
    </xdr:from>
    <xdr:to>
      <xdr:col>24</xdr:col>
      <xdr:colOff>247320</xdr:colOff>
      <xdr:row>0</xdr:row>
      <xdr:rowOff>542520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512072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0</xdr:row>
      <xdr:rowOff>0</xdr:rowOff>
    </xdr:from>
    <xdr:to>
      <xdr:col>24</xdr:col>
      <xdr:colOff>247320</xdr:colOff>
      <xdr:row>0</xdr:row>
      <xdr:rowOff>542520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512072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0</xdr:row>
      <xdr:rowOff>0</xdr:rowOff>
    </xdr:from>
    <xdr:to>
      <xdr:col>24</xdr:col>
      <xdr:colOff>247320</xdr:colOff>
      <xdr:row>0</xdr:row>
      <xdr:rowOff>542520</xdr:rowOff>
    </xdr:to>
    <xdr:pic>
      <xdr:nvPicPr>
        <xdr:cNvPr id="16" name="Image 1" descr="Picture"/>
        <xdr:cNvPicPr/>
      </xdr:nvPicPr>
      <xdr:blipFill>
        <a:blip r:embed="rId1"/>
        <a:stretch/>
      </xdr:blipFill>
      <xdr:spPr>
        <a:xfrm>
          <a:off x="15120720" y="0"/>
          <a:ext cx="1599840" cy="542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56"/>
  </cols>
  <sheetData>
    <row r="1" customFormat="false" ht="66" hidden="false" customHeight="true" outlineLevel="0" collapsed="false">
      <c r="A1" s="1" t="s">
        <v>0</v>
      </c>
      <c r="B1" s="1"/>
      <c r="C1" s="2"/>
    </row>
    <row r="2" customFormat="false" ht="4.5" hidden="false" customHeight="true" outlineLevel="0" collapsed="false">
      <c r="A2" s="3"/>
      <c r="B2" s="4"/>
      <c r="C2" s="4"/>
    </row>
    <row r="3" customFormat="false" ht="23.85" hidden="false" customHeight="true" outlineLevel="0" collapsed="false">
      <c r="A3" s="5" t="s">
        <v>1</v>
      </c>
      <c r="B3" s="5"/>
      <c r="C3" s="5"/>
    </row>
    <row r="5" customFormat="false" ht="19.5" hidden="false" customHeight="true" outlineLevel="0" collapsed="false">
      <c r="A5" s="6" t="s">
        <v>2</v>
      </c>
      <c r="B5" s="6"/>
      <c r="C5" s="6"/>
    </row>
    <row r="6" customFormat="false" ht="33.75" hidden="false" customHeight="true" outlineLevel="0" collapsed="false">
      <c r="A6" s="7" t="s">
        <v>3</v>
      </c>
      <c r="B6" s="8" t="s">
        <v>4</v>
      </c>
      <c r="C6" s="9" t="s">
        <v>5</v>
      </c>
    </row>
    <row r="7" customFormat="false" ht="33.75" hidden="false" customHeight="true" outlineLevel="0" collapsed="false">
      <c r="A7" s="7" t="s">
        <v>6</v>
      </c>
      <c r="B7" s="8" t="s">
        <v>7</v>
      </c>
      <c r="C7" s="9" t="s">
        <v>8</v>
      </c>
    </row>
    <row r="8" customFormat="false" ht="33.75" hidden="false" customHeight="true" outlineLevel="0" collapsed="false">
      <c r="A8" s="10" t="s">
        <v>9</v>
      </c>
      <c r="B8" s="8" t="s">
        <v>10</v>
      </c>
      <c r="C8" s="9" t="s">
        <v>11</v>
      </c>
    </row>
    <row r="9" customFormat="false" ht="15" hidden="false" customHeight="true" outlineLevel="0" collapsed="false">
      <c r="B9" s="11" t="s">
        <v>12</v>
      </c>
      <c r="C9" s="11"/>
    </row>
    <row r="11" customFormat="false" ht="19.5" hidden="false" customHeight="true" outlineLevel="0" collapsed="false">
      <c r="A11" s="6" t="s">
        <v>13</v>
      </c>
      <c r="B11" s="6"/>
      <c r="C11" s="6"/>
    </row>
    <row r="12" customFormat="false" ht="23.85" hidden="false" customHeight="false" outlineLevel="0" collapsed="false">
      <c r="A12" s="12" t="s">
        <v>14</v>
      </c>
      <c r="B12" s="13" t="s">
        <v>15</v>
      </c>
      <c r="C12" s="14" t="s">
        <v>16</v>
      </c>
    </row>
    <row r="13" customFormat="false" ht="15" hidden="false" customHeight="false" outlineLevel="0" collapsed="false">
      <c r="A13" s="12" t="s">
        <v>17</v>
      </c>
      <c r="B13" s="13" t="s">
        <v>18</v>
      </c>
      <c r="C13" s="14" t="s">
        <v>16</v>
      </c>
    </row>
    <row r="14" customFormat="false" ht="15" hidden="false" customHeight="false" outlineLevel="0" collapsed="false">
      <c r="B14" s="15" t="s">
        <v>19</v>
      </c>
    </row>
    <row r="16" customFormat="false" ht="19.5" hidden="false" customHeight="true" outlineLevel="0" collapsed="false">
      <c r="A16" s="16" t="s">
        <v>20</v>
      </c>
      <c r="B16" s="16"/>
      <c r="C16" s="16"/>
    </row>
    <row r="17" customFormat="false" ht="33.75" hidden="false" customHeight="true" outlineLevel="0" collapsed="false">
      <c r="B17" s="17" t="s">
        <v>21</v>
      </c>
      <c r="C17" s="9" t="s">
        <v>22</v>
      </c>
    </row>
    <row r="18" customFormat="false" ht="33.75" hidden="false" customHeight="true" outlineLevel="0" collapsed="false">
      <c r="B18" s="17" t="s">
        <v>23</v>
      </c>
      <c r="C18" s="9" t="s">
        <v>24</v>
      </c>
    </row>
    <row r="19" customFormat="false" ht="33.75" hidden="false" customHeight="true" outlineLevel="0" collapsed="false">
      <c r="B19" s="17" t="s">
        <v>25</v>
      </c>
      <c r="C19" s="9" t="s">
        <v>26</v>
      </c>
    </row>
    <row r="20" customFormat="false" ht="33.75" hidden="false" customHeight="true" outlineLevel="0" collapsed="false">
      <c r="B20" s="17" t="s">
        <v>27</v>
      </c>
      <c r="C20" s="9" t="s">
        <v>28</v>
      </c>
    </row>
    <row r="21" customFormat="false" ht="33.75" hidden="false" customHeight="true" outlineLevel="0" collapsed="false">
      <c r="B21" s="17" t="s">
        <v>29</v>
      </c>
      <c r="C21" s="9" t="s">
        <v>30</v>
      </c>
    </row>
    <row r="22" customFormat="false" ht="33.75" hidden="false" customHeight="true" outlineLevel="0" collapsed="false">
      <c r="B22" s="17" t="s">
        <v>31</v>
      </c>
      <c r="C22" s="9" t="s">
        <v>32</v>
      </c>
    </row>
    <row r="23" customFormat="false" ht="33.75" hidden="false" customHeight="true" outlineLevel="0" collapsed="false">
      <c r="B23" s="17" t="s">
        <v>33</v>
      </c>
      <c r="C23" s="9" t="s">
        <v>34</v>
      </c>
    </row>
    <row r="25" customFormat="false" ht="19.5" hidden="false" customHeight="true" outlineLevel="0" collapsed="false">
      <c r="A25" s="6" t="s">
        <v>35</v>
      </c>
      <c r="B25" s="6"/>
      <c r="C25" s="6"/>
    </row>
    <row r="26" customFormat="false" ht="15" hidden="false" customHeight="true" outlineLevel="0" collapsed="false">
      <c r="A26" s="12" t="s">
        <v>14</v>
      </c>
      <c r="B26" s="18" t="s">
        <v>36</v>
      </c>
      <c r="C26" s="18"/>
    </row>
    <row r="27" customFormat="false" ht="15" hidden="false" customHeight="true" outlineLevel="0" collapsed="false">
      <c r="A27" s="12" t="s">
        <v>17</v>
      </c>
      <c r="B27" s="18" t="s">
        <v>37</v>
      </c>
      <c r="C27" s="18"/>
    </row>
    <row r="28" customFormat="false" ht="15" hidden="false" customHeight="true" outlineLevel="0" collapsed="false">
      <c r="A28" s="12" t="s">
        <v>38</v>
      </c>
      <c r="B28" s="18" t="s">
        <v>39</v>
      </c>
      <c r="C28" s="18"/>
    </row>
    <row r="29" customFormat="false" ht="15" hidden="false" customHeight="true" outlineLevel="0" collapsed="false">
      <c r="A29" s="12" t="s">
        <v>40</v>
      </c>
      <c r="B29" s="18" t="s">
        <v>41</v>
      </c>
      <c r="C29" s="18"/>
    </row>
    <row r="30" customFormat="false" ht="15" hidden="false" customHeight="true" outlineLevel="0" collapsed="false">
      <c r="A30" s="12" t="s">
        <v>42</v>
      </c>
      <c r="B30" s="18" t="s">
        <v>43</v>
      </c>
      <c r="C30" s="18"/>
    </row>
    <row r="31" customFormat="false" ht="15" hidden="false" customHeight="true" outlineLevel="0" collapsed="false">
      <c r="A31" s="12" t="s">
        <v>44</v>
      </c>
      <c r="B31" s="18" t="s">
        <v>45</v>
      </c>
      <c r="C31" s="18"/>
    </row>
    <row r="32" customFormat="false" ht="23.85" hidden="false" customHeight="true" outlineLevel="0" collapsed="false">
      <c r="A32" s="12" t="s">
        <v>46</v>
      </c>
      <c r="B32" s="18" t="s">
        <v>47</v>
      </c>
      <c r="C32" s="18"/>
    </row>
    <row r="33" customFormat="false" ht="15" hidden="false" customHeight="true" outlineLevel="0" collapsed="false">
      <c r="A33" s="12" t="s">
        <v>48</v>
      </c>
      <c r="B33" s="18" t="s">
        <v>49</v>
      </c>
      <c r="C33" s="18"/>
    </row>
    <row r="35" customFormat="false" ht="15" hidden="false" customHeight="false" outlineLevel="0" collapsed="false">
      <c r="B35" s="15" t="s">
        <v>50</v>
      </c>
    </row>
  </sheetData>
  <mergeCells count="15">
    <mergeCell ref="A1:B1"/>
    <mergeCell ref="A3:C3"/>
    <mergeCell ref="A5:C5"/>
    <mergeCell ref="B9:C9"/>
    <mergeCell ref="A11:C11"/>
    <mergeCell ref="A16:C16"/>
    <mergeCell ref="A25:C25"/>
    <mergeCell ref="B26:C26"/>
    <mergeCell ref="B27:C27"/>
    <mergeCell ref="B28:C28"/>
    <mergeCell ref="B29:C29"/>
    <mergeCell ref="B30:C30"/>
    <mergeCell ref="B31:C31"/>
    <mergeCell ref="B32:C32"/>
    <mergeCell ref="B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true" outlineLevel="0" max="24" min="14" style="0" width="4"/>
  </cols>
  <sheetData>
    <row r="1" customFormat="false" ht="45.75" hidden="false" customHeight="true" outlineLevel="0" collapsed="false">
      <c r="A1" s="1" t="s">
        <v>51</v>
      </c>
      <c r="B1" s="1"/>
      <c r="C1" s="1"/>
      <c r="D1" s="1"/>
      <c r="E1" s="1"/>
      <c r="F1" s="1"/>
      <c r="G1" s="2"/>
      <c r="H1" s="2"/>
      <c r="I1" s="2"/>
    </row>
    <row r="2" customFormat="false" ht="4.5" hidden="false" customHeight="true" outlineLevel="0" collapsed="false">
      <c r="A2" s="3"/>
      <c r="B2" s="3"/>
      <c r="C2" s="3"/>
      <c r="D2" s="3"/>
      <c r="E2" s="4"/>
      <c r="F2" s="4"/>
      <c r="G2" s="4"/>
      <c r="H2" s="4"/>
      <c r="I2" s="4"/>
    </row>
    <row r="3" customFormat="false" ht="15" hidden="false" customHeight="false" outlineLevel="0" collapsed="false">
      <c r="A3" s="19" t="s">
        <v>52</v>
      </c>
      <c r="C3" s="19" t="s">
        <v>53</v>
      </c>
      <c r="E3" s="19" t="s">
        <v>54</v>
      </c>
      <c r="G3" s="19" t="s">
        <v>55</v>
      </c>
      <c r="W3" s="20" t="n">
        <f aca="true">TODAY()-WEEKDAY(TODAY(),3)+2</f>
        <v>46232</v>
      </c>
      <c r="X3" s="0" t="str">
        <f aca="false">CHOOSE(MONTH($W$3),"JAN","FEV","MAR","ABR","MAI","JUN","JUL","AGO","SET","OUT","NOV","DEZ")&amp;" "&amp;YEAR($W$3)</f>
        <v>JUL 2026</v>
      </c>
    </row>
    <row r="4" customFormat="false" ht="18.55" hidden="false" customHeight="false" outlineLevel="0" collapsed="false">
      <c r="A4" s="21" t="str">
        <f aca="true">TEXT(TODAY()+MOD(5-WEEKDAY(TODAY(),2),7),"dd/mm/yyyy")</f>
        <v>31/07/2026</v>
      </c>
      <c r="C4" s="22" t="str">
        <f aca="true">"S"&amp;INT((TODAY()-WEEKDAY(TODAY(),2)+11-DATE(YEAR(TODAY()+4-WEEKDAY(TODAY(),2)),1,1))/7)</f>
        <v>S31</v>
      </c>
      <c r="E4" s="23" t="n">
        <f aca="false">F8+F9+F10</f>
        <v>30</v>
      </c>
      <c r="G4" s="22" t="n">
        <f aca="false">G8+G9+G10</f>
        <v>0</v>
      </c>
      <c r="W4" s="20" t="n">
        <f aca="true">TODAY()-WEEKDAY(TODAY(),3)+3</f>
        <v>46233</v>
      </c>
      <c r="X4" s="0" t="str">
        <f aca="false">CHOOSE(MONTH($W$4),"JAN","FEV","MAR","ABR","MAI","JUN","JUL","AGO","SET","OUT","NOV","DEZ")&amp;" "&amp;YEAR($W$4)</f>
        <v>JUL 2026</v>
      </c>
    </row>
    <row r="5" customFormat="false" ht="15" hidden="false" customHeight="false" outlineLevel="0" collapsed="false">
      <c r="A5" s="15" t="s">
        <v>56</v>
      </c>
    </row>
    <row r="6" customFormat="false" ht="15" hidden="false" customHeight="false" outlineLevel="0" collapsed="false">
      <c r="A6" s="24" t="s">
        <v>57</v>
      </c>
    </row>
    <row r="7" customFormat="false" ht="19.4" hidden="false" customHeight="false" outlineLevel="0" collapsed="false">
      <c r="A7" s="25" t="s">
        <v>58</v>
      </c>
      <c r="B7" s="25" t="s">
        <v>59</v>
      </c>
      <c r="C7" s="25" t="s">
        <v>60</v>
      </c>
      <c r="D7" s="25" t="s">
        <v>61</v>
      </c>
      <c r="E7" s="25" t="s">
        <v>62</v>
      </c>
      <c r="F7" s="25" t="s">
        <v>63</v>
      </c>
      <c r="G7" s="25" t="s">
        <v>64</v>
      </c>
      <c r="H7" s="25" t="s">
        <v>65</v>
      </c>
    </row>
    <row r="8" customFormat="false" ht="15" hidden="false" customHeight="false" outlineLevel="0" collapsed="false">
      <c r="A8" s="26" t="s">
        <v>66</v>
      </c>
      <c r="B8" s="27" t="str">
        <f aca="false">IF($N8&gt;0,"✔ Aprovado",IF($O8&gt;0,"◉ Entregue — validar",IF($P8&gt;0,"✖ ATRASADO",IF($Q8&gt;0,"○ Pendente","—"))))</f>
        <v>○ Pendente</v>
      </c>
      <c r="C8" s="27" t="str">
        <f aca="false">IF($R8&gt;0,"✔ Aprovada",IF($S8&gt;0,"◉ Entregue — validar",IF($T8&gt;0,"✖ ATRASADA",IF($U8&gt;0,"○ Pendente","—"))))</f>
        <v>✖ ATRASADA</v>
      </c>
      <c r="D8" s="28" t="n">
        <f aca="true">SUMIFS(OCORRÊNCIAS!$E$6:$E$605,OCORRÊNCIAS!$B$6:$B$605,"Falta",OCORRÊNCIAS!$C$6:$C$605,$A8,OCORRÊNCIAS!$H$6:$H$605,$C$4,OCORRÊNCIAS!$J$6:$J$605,YEAR(TODAY()+4-WEEKDAY(TODAY(),2)))</f>
        <v>0</v>
      </c>
      <c r="E8" s="28" t="n">
        <f aca="true">SUMIFS(OCORRÊNCIAS!$E$6:$E$605,OCORRÊNCIAS!$B$6:$B$605,"Atestado",OCORRÊNCIAS!$C$6:$C$605,$A8,OCORRÊNCIAS!$H$6:$H$605,$C$4,OCORRÊNCIAS!$J$6:$J$605,YEAR(TODAY()+4-WEEKDAY(TODAY(),2)))</f>
        <v>0</v>
      </c>
      <c r="F8" s="28" t="n">
        <f aca="true">IFERROR(COUNTIFS(INDIRECT("'"&amp;CENTRAL!$A$8&amp;"'!$G$22:$G$150"),$A8,INDIRECT("'"&amp;CENTRAL!$A$8&amp;"'!$S$22:$S$150"),"Atrasada"),0)+IFERROR(COUNTIFS(INDIRECT("'"&amp;CENTRAL!$A$9&amp;"'!$G$22:$G$150"),$A8,INDIRECT("'"&amp;CENTRAL!$A$9&amp;"'!$S$22:$S$150"),"Atrasada"),0)+IFERROR(COUNTIFS(INDIRECT("'"&amp;CENTRAL!$A$10&amp;"'!$G$22:$G$150"),$A8,INDIRECT("'"&amp;CENTRAL!$A$10&amp;"'!$S$22:$S$150"),"Atrasada"),0)+IFERROR(COUNTIFS(INDIRECT("'"&amp;CENTRAL!$A$11&amp;"'!$G$22:$G$150"),$A8,INDIRECT("'"&amp;CENTRAL!$A$11&amp;"'!$S$22:$S$150"),"Atrasada"),0)+IFERROR(COUNTIFS(INDIRECT("'"&amp;CENTRAL!$A$12&amp;"'!$G$22:$G$150"),$A8,INDIRECT("'"&amp;CENTRAL!$A$12&amp;"'!$S$22:$S$150"),"Atrasada"),0)+IFERROR(COUNTIFS(INDIRECT("'"&amp;CENTRAL!$A$13&amp;"'!$G$22:$G$150"),$A8,INDIRECT("'"&amp;CENTRAL!$A$13&amp;"'!$S$22:$S$150"),"Atrasada"),0)+IFERROR(COUNTIFS(INDIRECT("'"&amp;CENTRAL!$A$14&amp;"'!$G$22:$G$150"),$A8,INDIRECT("'"&amp;CENTRAL!$A$14&amp;"'!$S$22:$S$150"),"Atrasada"),0)+IFERROR(COUNTIFS(INDIRECT("'"&amp;CENTRAL!$A$15&amp;"'!$G$22:$G$150"),$A8,INDIRECT("'"&amp;CENTRAL!$A$15&amp;"'!$S$22:$S$150"),"Atrasada"),0)+IFERROR(COUNTIFS(INDIRECT("'"&amp;CENTRAL!$A$16&amp;"'!$G$22:$G$150"),$A8,INDIRECT("'"&amp;CENTRAL!$A$16&amp;"'!$S$22:$S$150"),"Atrasada"),0)+IFERROR(COUNTIFS(INDIRECT("'"&amp;CENTRAL!$A$17&amp;"'!$G$22:$G$150"),$A8,INDIRECT("'"&amp;CENTRAL!$A$17&amp;"'!$S$22:$S$150"),"Atrasada"),0)+IFERROR(COUNTIFS(INDIRECT("'"&amp;CENTRAL!$A$18&amp;"'!$G$22:$G$150"),$A8,INDIRECT("'"&amp;CENTRAL!$A$18&amp;"'!$S$22:$S$150"),"Atrasada"),0)+IFERROR(COUNTIFS(INDIRECT("'"&amp;CENTRAL!$A$19&amp;"'!$G$22:$G$150"),$A8,INDIRECT("'"&amp;CENTRAL!$A$19&amp;"'!$S$22:$S$150"),"Atrasada"),0)+IFERROR(COUNTIFS(INDIRECT("'"&amp;CENTRAL!$A$20&amp;"'!$G$22:$G$150"),$A8,INDIRECT("'"&amp;CENTRAL!$A$20&amp;"'!$S$22:$S$150"),"Atrasada"),0)+IFERROR(COUNTIFS(INDIRECT("'"&amp;CENTRAL!$A$21&amp;"'!$G$22:$G$150"),$A8,INDIRECT("'"&amp;CENTRAL!$A$21&amp;"'!$S$22:$S$150"),"Atrasada"),0)+IFERROR(COUNTIFS(INDIRECT("'"&amp;CENTRAL!$A$22&amp;"'!$G$22:$G$150"),$A8,INDIRECT("'"&amp;CENTRAL!$A$22&amp;"'!$S$22:$S$150"),"Atrasada"),0)+IFERROR(COUNTIFS(INDIRECT("'"&amp;CENTRAL!$A$23&amp;"'!$G$22:$G$150"),$A8,INDIRECT("'"&amp;CENTRAL!$A$23&amp;"'!$S$22:$S$150"),"Atrasada"),0)+IFERROR(COUNTIFS(INDIRECT("'"&amp;CENTRAL!$A$24&amp;"'!$G$22:$G$150"),$A8,INDIRECT("'"&amp;CENTRAL!$A$24&amp;"'!$S$22:$S$150"),"Atrasada"),0)+IFERROR(COUNTIFS(INDIRECT("'"&amp;CENTRAL!$A$25&amp;"'!$G$22:$G$150"),$A8,INDIRECT("'"&amp;CENTRAL!$A$25&amp;"'!$S$22:$S$150"),"Atrasada"),0)</f>
        <v>10</v>
      </c>
      <c r="G8" s="28" t="n">
        <f aca="true">IFERROR(COUNTIFS(INDIRECT("'"&amp;CENTRAL!$A$8&amp;"'!$G$22:$G$150"),$A8,INDIRECT("'"&amp;CENTRAL!$A$8&amp;"'!$S$22:$S$150"),"Entregue"),0)+IFERROR(COUNTIFS(INDIRECT("'"&amp;CENTRAL!$A$9&amp;"'!$G$22:$G$150"),$A8,INDIRECT("'"&amp;CENTRAL!$A$9&amp;"'!$S$22:$S$150"),"Entregue"),0)+IFERROR(COUNTIFS(INDIRECT("'"&amp;CENTRAL!$A$10&amp;"'!$G$22:$G$150"),$A8,INDIRECT("'"&amp;CENTRAL!$A$10&amp;"'!$S$22:$S$150"),"Entregue"),0)+IFERROR(COUNTIFS(INDIRECT("'"&amp;CENTRAL!$A$11&amp;"'!$G$22:$G$150"),$A8,INDIRECT("'"&amp;CENTRAL!$A$11&amp;"'!$S$22:$S$150"),"Entregue"),0)+IFERROR(COUNTIFS(INDIRECT("'"&amp;CENTRAL!$A$12&amp;"'!$G$22:$G$150"),$A8,INDIRECT("'"&amp;CENTRAL!$A$12&amp;"'!$S$22:$S$150"),"Entregue"),0)+IFERROR(COUNTIFS(INDIRECT("'"&amp;CENTRAL!$A$13&amp;"'!$G$22:$G$150"),$A8,INDIRECT("'"&amp;CENTRAL!$A$13&amp;"'!$S$22:$S$150"),"Entregue"),0)+IFERROR(COUNTIFS(INDIRECT("'"&amp;CENTRAL!$A$14&amp;"'!$G$22:$G$150"),$A8,INDIRECT("'"&amp;CENTRAL!$A$14&amp;"'!$S$22:$S$150"),"Entregue"),0)+IFERROR(COUNTIFS(INDIRECT("'"&amp;CENTRAL!$A$15&amp;"'!$G$22:$G$150"),$A8,INDIRECT("'"&amp;CENTRAL!$A$15&amp;"'!$S$22:$S$150"),"Entregue"),0)+IFERROR(COUNTIFS(INDIRECT("'"&amp;CENTRAL!$A$16&amp;"'!$G$22:$G$150"),$A8,INDIRECT("'"&amp;CENTRAL!$A$16&amp;"'!$S$22:$S$150"),"Entregue"),0)+IFERROR(COUNTIFS(INDIRECT("'"&amp;CENTRAL!$A$17&amp;"'!$G$22:$G$150"),$A8,INDIRECT("'"&amp;CENTRAL!$A$17&amp;"'!$S$22:$S$150"),"Entregue"),0)+IFERROR(COUNTIFS(INDIRECT("'"&amp;CENTRAL!$A$18&amp;"'!$G$22:$G$150"),$A8,INDIRECT("'"&amp;CENTRAL!$A$18&amp;"'!$S$22:$S$150"),"Entregue"),0)+IFERROR(COUNTIFS(INDIRECT("'"&amp;CENTRAL!$A$19&amp;"'!$G$22:$G$150"),$A8,INDIRECT("'"&amp;CENTRAL!$A$19&amp;"'!$S$22:$S$150"),"Entregue"),0)+IFERROR(COUNTIFS(INDIRECT("'"&amp;CENTRAL!$A$20&amp;"'!$G$22:$G$150"),$A8,INDIRECT("'"&amp;CENTRAL!$A$20&amp;"'!$S$22:$S$150"),"Entregue"),0)+IFERROR(COUNTIFS(INDIRECT("'"&amp;CENTRAL!$A$21&amp;"'!$G$22:$G$150"),$A8,INDIRECT("'"&amp;CENTRAL!$A$21&amp;"'!$S$22:$S$150"),"Entregue"),0)+IFERROR(COUNTIFS(INDIRECT("'"&amp;CENTRAL!$A$22&amp;"'!$G$22:$G$150"),$A8,INDIRECT("'"&amp;CENTRAL!$A$22&amp;"'!$S$22:$S$150"),"Entregue"),0)+IFERROR(COUNTIFS(INDIRECT("'"&amp;CENTRAL!$A$23&amp;"'!$G$22:$G$150"),$A8,INDIRECT("'"&amp;CENTRAL!$A$23&amp;"'!$S$22:$S$150"),"Entregue"),0)+IFERROR(COUNTIFS(INDIRECT("'"&amp;CENTRAL!$A$24&amp;"'!$G$22:$G$150"),$A8,INDIRECT("'"&amp;CENTRAL!$A$24&amp;"'!$S$22:$S$150"),"Entregue"),0)+IFERROR(COUNTIFS(INDIRECT("'"&amp;CENTRAL!$A$25&amp;"'!$G$22:$G$150"),$A8,INDIRECT("'"&amp;CENTRAL!$A$25&amp;"'!$S$22:$S$150"),"Entregue"),0)</f>
        <v>0</v>
      </c>
      <c r="H8" s="28" t="n">
        <f aca="true">IFERROR(COUNTIFS(INDIRECT("'"&amp;CENTRAL!$A$8&amp;"'!$G$22:$G$150"),$A8,INDIRECT("'"&amp;CENTRAL!$A$8&amp;"'!$S$22:$S$150"),"Reprovada"),0)+IFERROR(COUNTIFS(INDIRECT("'"&amp;CENTRAL!$A$9&amp;"'!$G$22:$G$150"),$A8,INDIRECT("'"&amp;CENTRAL!$A$9&amp;"'!$S$22:$S$150"),"Reprovada"),0)+IFERROR(COUNTIFS(INDIRECT("'"&amp;CENTRAL!$A$10&amp;"'!$G$22:$G$150"),$A8,INDIRECT("'"&amp;CENTRAL!$A$10&amp;"'!$S$22:$S$150"),"Reprovada"),0)+IFERROR(COUNTIFS(INDIRECT("'"&amp;CENTRAL!$A$11&amp;"'!$G$22:$G$150"),$A8,INDIRECT("'"&amp;CENTRAL!$A$11&amp;"'!$S$22:$S$150"),"Reprovada"),0)+IFERROR(COUNTIFS(INDIRECT("'"&amp;CENTRAL!$A$12&amp;"'!$G$22:$G$150"),$A8,INDIRECT("'"&amp;CENTRAL!$A$12&amp;"'!$S$22:$S$150"),"Reprovada"),0)+IFERROR(COUNTIFS(INDIRECT("'"&amp;CENTRAL!$A$13&amp;"'!$G$22:$G$150"),$A8,INDIRECT("'"&amp;CENTRAL!$A$13&amp;"'!$S$22:$S$150"),"Reprovada"),0)+IFERROR(COUNTIFS(INDIRECT("'"&amp;CENTRAL!$A$14&amp;"'!$G$22:$G$150"),$A8,INDIRECT("'"&amp;CENTRAL!$A$14&amp;"'!$S$22:$S$150"),"Reprovada"),0)+IFERROR(COUNTIFS(INDIRECT("'"&amp;CENTRAL!$A$15&amp;"'!$G$22:$G$150"),$A8,INDIRECT("'"&amp;CENTRAL!$A$15&amp;"'!$S$22:$S$150"),"Reprovada"),0)+IFERROR(COUNTIFS(INDIRECT("'"&amp;CENTRAL!$A$16&amp;"'!$G$22:$G$150"),$A8,INDIRECT("'"&amp;CENTRAL!$A$16&amp;"'!$S$22:$S$150"),"Reprovada"),0)+IFERROR(COUNTIFS(INDIRECT("'"&amp;CENTRAL!$A$17&amp;"'!$G$22:$G$150"),$A8,INDIRECT("'"&amp;CENTRAL!$A$17&amp;"'!$S$22:$S$150"),"Reprovada"),0)+IFERROR(COUNTIFS(INDIRECT("'"&amp;CENTRAL!$A$18&amp;"'!$G$22:$G$150"),$A8,INDIRECT("'"&amp;CENTRAL!$A$18&amp;"'!$S$22:$S$150"),"Reprovada"),0)+IFERROR(COUNTIFS(INDIRECT("'"&amp;CENTRAL!$A$19&amp;"'!$G$22:$G$150"),$A8,INDIRECT("'"&amp;CENTRAL!$A$19&amp;"'!$S$22:$S$150"),"Reprovada"),0)+IFERROR(COUNTIFS(INDIRECT("'"&amp;CENTRAL!$A$20&amp;"'!$G$22:$G$150"),$A8,INDIRECT("'"&amp;CENTRAL!$A$20&amp;"'!$S$22:$S$150"),"Reprovada"),0)+IFERROR(COUNTIFS(INDIRECT("'"&amp;CENTRAL!$A$21&amp;"'!$G$22:$G$150"),$A8,INDIRECT("'"&amp;CENTRAL!$A$21&amp;"'!$S$22:$S$150"),"Reprovada"),0)+IFERROR(COUNTIFS(INDIRECT("'"&amp;CENTRAL!$A$22&amp;"'!$G$22:$G$150"),$A8,INDIRECT("'"&amp;CENTRAL!$A$22&amp;"'!$S$22:$S$150"),"Reprovada"),0)+IFERROR(COUNTIFS(INDIRECT("'"&amp;CENTRAL!$A$23&amp;"'!$G$22:$G$150"),$A8,INDIRECT("'"&amp;CENTRAL!$A$23&amp;"'!$S$22:$S$150"),"Reprovada"),0)+IFERROR(COUNTIFS(INDIRECT("'"&amp;CENTRAL!$A$24&amp;"'!$G$22:$G$150"),$A8,INDIRECT("'"&amp;CENTRAL!$A$24&amp;"'!$S$22:$S$150"),"Reprovada"),0)+IFERROR(COUNTIFS(INDIRECT("'"&amp;CENTRAL!$A$25&amp;"'!$G$22:$G$150"),$A8,INDIRECT("'"&amp;CENTRAL!$A$25&amp;"'!$S$22:$S$150"),"Reprovada"),0)</f>
        <v>0</v>
      </c>
      <c r="N8" s="29" t="n">
        <f aca="true">IFERROR(COUNTIFS(INDIRECT("'"&amp;$X$4&amp;"'!$B$22:$B$150"),$C$4,INDIRECT("'"&amp;$X$4&amp;"'!$D$22:$D$150"),"*Relatório*",INDIRECT("'"&amp;$X$4&amp;"'!$G$22:$G$150"),$A8,INDIRECT("'"&amp;$X$4&amp;"'!$S$22:$S$150"),"Aprovada"),0)</f>
        <v>0</v>
      </c>
      <c r="O8" s="29" t="n">
        <f aca="true">IFERROR(COUNTIFS(INDIRECT("'"&amp;$X$4&amp;"'!$B$22:$B$150"),$C$4,INDIRECT("'"&amp;$X$4&amp;"'!$D$22:$D$150"),"*Relatório*",INDIRECT("'"&amp;$X$4&amp;"'!$G$22:$G$150"),$A8,INDIRECT("'"&amp;$X$4&amp;"'!$S$22:$S$150"),"Entregue"),0)</f>
        <v>0</v>
      </c>
      <c r="P8" s="29" t="n">
        <f aca="true">IFERROR(COUNTIFS(INDIRECT("'"&amp;$X$4&amp;"'!$B$22:$B$150"),$C$4,INDIRECT("'"&amp;$X$4&amp;"'!$D$22:$D$150"),"*Relatório*",INDIRECT("'"&amp;$X$4&amp;"'!$G$22:$G$150"),$A8,INDIRECT("'"&amp;$X$4&amp;"'!$S$22:$S$150"),"Atrasada"),0)</f>
        <v>0</v>
      </c>
      <c r="Q8" s="29" t="n">
        <f aca="true">IFERROR(COUNTIFS(INDIRECT("'"&amp;$X$4&amp;"'!$B$22:$B$150"),$C$4,INDIRECT("'"&amp;$X$4&amp;"'!$D$22:$D$150"),"*Relatório*",INDIRECT("'"&amp;$X$4&amp;"'!$G$22:$G$150"),$A8,INDIRECT("'"&amp;$X$4&amp;"'!$S$22:$S$150"),"Pendente"),0)</f>
        <v>1</v>
      </c>
      <c r="R8" s="29" t="n">
        <f aca="true">IFERROR(COUNTIFS(INDIRECT("'"&amp;$X$3&amp;"'!$B$22:$B$150"),$C$4,INDIRECT("'"&amp;$X$3&amp;"'!$D$22:$D$150"),"*Vistoria*",INDIRECT("'"&amp;$X$3&amp;"'!$G$22:$G$150"),$A8,INDIRECT("'"&amp;$X$3&amp;"'!$S$22:$S$150"),"Aprovada"),0)</f>
        <v>0</v>
      </c>
      <c r="S8" s="29" t="n">
        <f aca="true">IFERROR(COUNTIFS(INDIRECT("'"&amp;$X$3&amp;"'!$B$22:$B$150"),$C$4,INDIRECT("'"&amp;$X$3&amp;"'!$D$22:$D$150"),"*Vistoria*",INDIRECT("'"&amp;$X$3&amp;"'!$G$22:$G$150"),$A8,INDIRECT("'"&amp;$X$3&amp;"'!$S$22:$S$150"),"Entregue"),0)</f>
        <v>0</v>
      </c>
      <c r="T8" s="29" t="n">
        <f aca="true">IFERROR(COUNTIFS(INDIRECT("'"&amp;$X$3&amp;"'!$B$22:$B$150"),$C$4,INDIRECT("'"&amp;$X$3&amp;"'!$D$22:$D$150"),"*Vistoria*",INDIRECT("'"&amp;$X$3&amp;"'!$G$22:$G$150"),$A8,INDIRECT("'"&amp;$X$3&amp;"'!$S$22:$S$150"),"Atrasada"),0)</f>
        <v>1</v>
      </c>
      <c r="U8" s="29" t="n">
        <f aca="true">IFERROR(COUNTIFS(INDIRECT("'"&amp;$X$3&amp;"'!$B$22:$B$150"),$C$4,INDIRECT("'"&amp;$X$3&amp;"'!$D$22:$D$150"),"*Vistoria*",INDIRECT("'"&amp;$X$3&amp;"'!$G$22:$G$150"),$A8,INDIRECT("'"&amp;$X$3&amp;"'!$S$22:$S$150"),"Pendente"),0)</f>
        <v>0</v>
      </c>
    </row>
    <row r="9" customFormat="false" ht="15" hidden="false" customHeight="false" outlineLevel="0" collapsed="false">
      <c r="A9" s="26" t="s">
        <v>67</v>
      </c>
      <c r="B9" s="27" t="str">
        <f aca="false">IF($N9&gt;0,"✔ Aprovado",IF($O9&gt;0,"◉ Entregue — validar",IF($P9&gt;0,"✖ ATRASADO",IF($Q9&gt;0,"○ Pendente","—"))))</f>
        <v>○ Pendente</v>
      </c>
      <c r="C9" s="27" t="str">
        <f aca="false">IF($R9&gt;0,"✔ Aprovada",IF($S9&gt;0,"◉ Entregue — validar",IF($T9&gt;0,"✖ ATRASADA",IF($U9&gt;0,"○ Pendente","—"))))</f>
        <v>✖ ATRASADA</v>
      </c>
      <c r="D9" s="28" t="n">
        <f aca="true">SUMIFS(OCORRÊNCIAS!$E$6:$E$605,OCORRÊNCIAS!$B$6:$B$605,"Falta",OCORRÊNCIAS!$C$6:$C$605,$A9,OCORRÊNCIAS!$H$6:$H$605,$C$4,OCORRÊNCIAS!$J$6:$J$605,YEAR(TODAY()+4-WEEKDAY(TODAY(),2)))</f>
        <v>0</v>
      </c>
      <c r="E9" s="28" t="n">
        <f aca="true">SUMIFS(OCORRÊNCIAS!$E$6:$E$605,OCORRÊNCIAS!$B$6:$B$605,"Atestado",OCORRÊNCIAS!$C$6:$C$605,$A9,OCORRÊNCIAS!$H$6:$H$605,$C$4,OCORRÊNCIAS!$J$6:$J$605,YEAR(TODAY()+4-WEEKDAY(TODAY(),2)))</f>
        <v>0</v>
      </c>
      <c r="F9" s="28" t="n">
        <f aca="true">IFERROR(COUNTIFS(INDIRECT("'"&amp;CENTRAL!$A$8&amp;"'!$G$22:$G$150"),$A9,INDIRECT("'"&amp;CENTRAL!$A$8&amp;"'!$S$22:$S$150"),"Atrasada"),0)+IFERROR(COUNTIFS(INDIRECT("'"&amp;CENTRAL!$A$9&amp;"'!$G$22:$G$150"),$A9,INDIRECT("'"&amp;CENTRAL!$A$9&amp;"'!$S$22:$S$150"),"Atrasada"),0)+IFERROR(COUNTIFS(INDIRECT("'"&amp;CENTRAL!$A$10&amp;"'!$G$22:$G$150"),$A9,INDIRECT("'"&amp;CENTRAL!$A$10&amp;"'!$S$22:$S$150"),"Atrasada"),0)+IFERROR(COUNTIFS(INDIRECT("'"&amp;CENTRAL!$A$11&amp;"'!$G$22:$G$150"),$A9,INDIRECT("'"&amp;CENTRAL!$A$11&amp;"'!$S$22:$S$150"),"Atrasada"),0)+IFERROR(COUNTIFS(INDIRECT("'"&amp;CENTRAL!$A$12&amp;"'!$G$22:$G$150"),$A9,INDIRECT("'"&amp;CENTRAL!$A$12&amp;"'!$S$22:$S$150"),"Atrasada"),0)+IFERROR(COUNTIFS(INDIRECT("'"&amp;CENTRAL!$A$13&amp;"'!$G$22:$G$150"),$A9,INDIRECT("'"&amp;CENTRAL!$A$13&amp;"'!$S$22:$S$150"),"Atrasada"),0)+IFERROR(COUNTIFS(INDIRECT("'"&amp;CENTRAL!$A$14&amp;"'!$G$22:$G$150"),$A9,INDIRECT("'"&amp;CENTRAL!$A$14&amp;"'!$S$22:$S$150"),"Atrasada"),0)+IFERROR(COUNTIFS(INDIRECT("'"&amp;CENTRAL!$A$15&amp;"'!$G$22:$G$150"),$A9,INDIRECT("'"&amp;CENTRAL!$A$15&amp;"'!$S$22:$S$150"),"Atrasada"),0)+IFERROR(COUNTIFS(INDIRECT("'"&amp;CENTRAL!$A$16&amp;"'!$G$22:$G$150"),$A9,INDIRECT("'"&amp;CENTRAL!$A$16&amp;"'!$S$22:$S$150"),"Atrasada"),0)+IFERROR(COUNTIFS(INDIRECT("'"&amp;CENTRAL!$A$17&amp;"'!$G$22:$G$150"),$A9,INDIRECT("'"&amp;CENTRAL!$A$17&amp;"'!$S$22:$S$150"),"Atrasada"),0)+IFERROR(COUNTIFS(INDIRECT("'"&amp;CENTRAL!$A$18&amp;"'!$G$22:$G$150"),$A9,INDIRECT("'"&amp;CENTRAL!$A$18&amp;"'!$S$22:$S$150"),"Atrasada"),0)+IFERROR(COUNTIFS(INDIRECT("'"&amp;CENTRAL!$A$19&amp;"'!$G$22:$G$150"),$A9,INDIRECT("'"&amp;CENTRAL!$A$19&amp;"'!$S$22:$S$150"),"Atrasada"),0)+IFERROR(COUNTIFS(INDIRECT("'"&amp;CENTRAL!$A$20&amp;"'!$G$22:$G$150"),$A9,INDIRECT("'"&amp;CENTRAL!$A$20&amp;"'!$S$22:$S$150"),"Atrasada"),0)+IFERROR(COUNTIFS(INDIRECT("'"&amp;CENTRAL!$A$21&amp;"'!$G$22:$G$150"),$A9,INDIRECT("'"&amp;CENTRAL!$A$21&amp;"'!$S$22:$S$150"),"Atrasada"),0)+IFERROR(COUNTIFS(INDIRECT("'"&amp;CENTRAL!$A$22&amp;"'!$G$22:$G$150"),$A9,INDIRECT("'"&amp;CENTRAL!$A$22&amp;"'!$S$22:$S$150"),"Atrasada"),0)+IFERROR(COUNTIFS(INDIRECT("'"&amp;CENTRAL!$A$23&amp;"'!$G$22:$G$150"),$A9,INDIRECT("'"&amp;CENTRAL!$A$23&amp;"'!$S$22:$S$150"),"Atrasada"),0)+IFERROR(COUNTIFS(INDIRECT("'"&amp;CENTRAL!$A$24&amp;"'!$G$22:$G$150"),$A9,INDIRECT("'"&amp;CENTRAL!$A$24&amp;"'!$S$22:$S$150"),"Atrasada"),0)+IFERROR(COUNTIFS(INDIRECT("'"&amp;CENTRAL!$A$25&amp;"'!$G$22:$G$150"),$A9,INDIRECT("'"&amp;CENTRAL!$A$25&amp;"'!$S$22:$S$150"),"Atrasada"),0)</f>
        <v>10</v>
      </c>
      <c r="G9" s="28" t="n">
        <f aca="true">IFERROR(COUNTIFS(INDIRECT("'"&amp;CENTRAL!$A$8&amp;"'!$G$22:$G$150"),$A9,INDIRECT("'"&amp;CENTRAL!$A$8&amp;"'!$S$22:$S$150"),"Entregue"),0)+IFERROR(COUNTIFS(INDIRECT("'"&amp;CENTRAL!$A$9&amp;"'!$G$22:$G$150"),$A9,INDIRECT("'"&amp;CENTRAL!$A$9&amp;"'!$S$22:$S$150"),"Entregue"),0)+IFERROR(COUNTIFS(INDIRECT("'"&amp;CENTRAL!$A$10&amp;"'!$G$22:$G$150"),$A9,INDIRECT("'"&amp;CENTRAL!$A$10&amp;"'!$S$22:$S$150"),"Entregue"),0)+IFERROR(COUNTIFS(INDIRECT("'"&amp;CENTRAL!$A$11&amp;"'!$G$22:$G$150"),$A9,INDIRECT("'"&amp;CENTRAL!$A$11&amp;"'!$S$22:$S$150"),"Entregue"),0)+IFERROR(COUNTIFS(INDIRECT("'"&amp;CENTRAL!$A$12&amp;"'!$G$22:$G$150"),$A9,INDIRECT("'"&amp;CENTRAL!$A$12&amp;"'!$S$22:$S$150"),"Entregue"),0)+IFERROR(COUNTIFS(INDIRECT("'"&amp;CENTRAL!$A$13&amp;"'!$G$22:$G$150"),$A9,INDIRECT("'"&amp;CENTRAL!$A$13&amp;"'!$S$22:$S$150"),"Entregue"),0)+IFERROR(COUNTIFS(INDIRECT("'"&amp;CENTRAL!$A$14&amp;"'!$G$22:$G$150"),$A9,INDIRECT("'"&amp;CENTRAL!$A$14&amp;"'!$S$22:$S$150"),"Entregue"),0)+IFERROR(COUNTIFS(INDIRECT("'"&amp;CENTRAL!$A$15&amp;"'!$G$22:$G$150"),$A9,INDIRECT("'"&amp;CENTRAL!$A$15&amp;"'!$S$22:$S$150"),"Entregue"),0)+IFERROR(COUNTIFS(INDIRECT("'"&amp;CENTRAL!$A$16&amp;"'!$G$22:$G$150"),$A9,INDIRECT("'"&amp;CENTRAL!$A$16&amp;"'!$S$22:$S$150"),"Entregue"),0)+IFERROR(COUNTIFS(INDIRECT("'"&amp;CENTRAL!$A$17&amp;"'!$G$22:$G$150"),$A9,INDIRECT("'"&amp;CENTRAL!$A$17&amp;"'!$S$22:$S$150"),"Entregue"),0)+IFERROR(COUNTIFS(INDIRECT("'"&amp;CENTRAL!$A$18&amp;"'!$G$22:$G$150"),$A9,INDIRECT("'"&amp;CENTRAL!$A$18&amp;"'!$S$22:$S$150"),"Entregue"),0)+IFERROR(COUNTIFS(INDIRECT("'"&amp;CENTRAL!$A$19&amp;"'!$G$22:$G$150"),$A9,INDIRECT("'"&amp;CENTRAL!$A$19&amp;"'!$S$22:$S$150"),"Entregue"),0)+IFERROR(COUNTIFS(INDIRECT("'"&amp;CENTRAL!$A$20&amp;"'!$G$22:$G$150"),$A9,INDIRECT("'"&amp;CENTRAL!$A$20&amp;"'!$S$22:$S$150"),"Entregue"),0)+IFERROR(COUNTIFS(INDIRECT("'"&amp;CENTRAL!$A$21&amp;"'!$G$22:$G$150"),$A9,INDIRECT("'"&amp;CENTRAL!$A$21&amp;"'!$S$22:$S$150"),"Entregue"),0)+IFERROR(COUNTIFS(INDIRECT("'"&amp;CENTRAL!$A$22&amp;"'!$G$22:$G$150"),$A9,INDIRECT("'"&amp;CENTRAL!$A$22&amp;"'!$S$22:$S$150"),"Entregue"),0)+IFERROR(COUNTIFS(INDIRECT("'"&amp;CENTRAL!$A$23&amp;"'!$G$22:$G$150"),$A9,INDIRECT("'"&amp;CENTRAL!$A$23&amp;"'!$S$22:$S$150"),"Entregue"),0)+IFERROR(COUNTIFS(INDIRECT("'"&amp;CENTRAL!$A$24&amp;"'!$G$22:$G$150"),$A9,INDIRECT("'"&amp;CENTRAL!$A$24&amp;"'!$S$22:$S$150"),"Entregue"),0)+IFERROR(COUNTIFS(INDIRECT("'"&amp;CENTRAL!$A$25&amp;"'!$G$22:$G$150"),$A9,INDIRECT("'"&amp;CENTRAL!$A$25&amp;"'!$S$22:$S$150"),"Entregue"),0)</f>
        <v>0</v>
      </c>
      <c r="H9" s="28" t="n">
        <f aca="true">IFERROR(COUNTIFS(INDIRECT("'"&amp;CENTRAL!$A$8&amp;"'!$G$22:$G$150"),$A9,INDIRECT("'"&amp;CENTRAL!$A$8&amp;"'!$S$22:$S$150"),"Reprovada"),0)+IFERROR(COUNTIFS(INDIRECT("'"&amp;CENTRAL!$A$9&amp;"'!$G$22:$G$150"),$A9,INDIRECT("'"&amp;CENTRAL!$A$9&amp;"'!$S$22:$S$150"),"Reprovada"),0)+IFERROR(COUNTIFS(INDIRECT("'"&amp;CENTRAL!$A$10&amp;"'!$G$22:$G$150"),$A9,INDIRECT("'"&amp;CENTRAL!$A$10&amp;"'!$S$22:$S$150"),"Reprovada"),0)+IFERROR(COUNTIFS(INDIRECT("'"&amp;CENTRAL!$A$11&amp;"'!$G$22:$G$150"),$A9,INDIRECT("'"&amp;CENTRAL!$A$11&amp;"'!$S$22:$S$150"),"Reprovada"),0)+IFERROR(COUNTIFS(INDIRECT("'"&amp;CENTRAL!$A$12&amp;"'!$G$22:$G$150"),$A9,INDIRECT("'"&amp;CENTRAL!$A$12&amp;"'!$S$22:$S$150"),"Reprovada"),0)+IFERROR(COUNTIFS(INDIRECT("'"&amp;CENTRAL!$A$13&amp;"'!$G$22:$G$150"),$A9,INDIRECT("'"&amp;CENTRAL!$A$13&amp;"'!$S$22:$S$150"),"Reprovada"),0)+IFERROR(COUNTIFS(INDIRECT("'"&amp;CENTRAL!$A$14&amp;"'!$G$22:$G$150"),$A9,INDIRECT("'"&amp;CENTRAL!$A$14&amp;"'!$S$22:$S$150"),"Reprovada"),0)+IFERROR(COUNTIFS(INDIRECT("'"&amp;CENTRAL!$A$15&amp;"'!$G$22:$G$150"),$A9,INDIRECT("'"&amp;CENTRAL!$A$15&amp;"'!$S$22:$S$150"),"Reprovada"),0)+IFERROR(COUNTIFS(INDIRECT("'"&amp;CENTRAL!$A$16&amp;"'!$G$22:$G$150"),$A9,INDIRECT("'"&amp;CENTRAL!$A$16&amp;"'!$S$22:$S$150"),"Reprovada"),0)+IFERROR(COUNTIFS(INDIRECT("'"&amp;CENTRAL!$A$17&amp;"'!$G$22:$G$150"),$A9,INDIRECT("'"&amp;CENTRAL!$A$17&amp;"'!$S$22:$S$150"),"Reprovada"),0)+IFERROR(COUNTIFS(INDIRECT("'"&amp;CENTRAL!$A$18&amp;"'!$G$22:$G$150"),$A9,INDIRECT("'"&amp;CENTRAL!$A$18&amp;"'!$S$22:$S$150"),"Reprovada"),0)+IFERROR(COUNTIFS(INDIRECT("'"&amp;CENTRAL!$A$19&amp;"'!$G$22:$G$150"),$A9,INDIRECT("'"&amp;CENTRAL!$A$19&amp;"'!$S$22:$S$150"),"Reprovada"),0)+IFERROR(COUNTIFS(INDIRECT("'"&amp;CENTRAL!$A$20&amp;"'!$G$22:$G$150"),$A9,INDIRECT("'"&amp;CENTRAL!$A$20&amp;"'!$S$22:$S$150"),"Reprovada"),0)+IFERROR(COUNTIFS(INDIRECT("'"&amp;CENTRAL!$A$21&amp;"'!$G$22:$G$150"),$A9,INDIRECT("'"&amp;CENTRAL!$A$21&amp;"'!$S$22:$S$150"),"Reprovada"),0)+IFERROR(COUNTIFS(INDIRECT("'"&amp;CENTRAL!$A$22&amp;"'!$G$22:$G$150"),$A9,INDIRECT("'"&amp;CENTRAL!$A$22&amp;"'!$S$22:$S$150"),"Reprovada"),0)+IFERROR(COUNTIFS(INDIRECT("'"&amp;CENTRAL!$A$23&amp;"'!$G$22:$G$150"),$A9,INDIRECT("'"&amp;CENTRAL!$A$23&amp;"'!$S$22:$S$150"),"Reprovada"),0)+IFERROR(COUNTIFS(INDIRECT("'"&amp;CENTRAL!$A$24&amp;"'!$G$22:$G$150"),$A9,INDIRECT("'"&amp;CENTRAL!$A$24&amp;"'!$S$22:$S$150"),"Reprovada"),0)+IFERROR(COUNTIFS(INDIRECT("'"&amp;CENTRAL!$A$25&amp;"'!$G$22:$G$150"),$A9,INDIRECT("'"&amp;CENTRAL!$A$25&amp;"'!$S$22:$S$150"),"Reprovada"),0)</f>
        <v>0</v>
      </c>
      <c r="N9" s="29" t="n">
        <f aca="true">IFERROR(COUNTIFS(INDIRECT("'"&amp;$X$4&amp;"'!$B$22:$B$150"),$C$4,INDIRECT("'"&amp;$X$4&amp;"'!$D$22:$D$150"),"*Relatório*",INDIRECT("'"&amp;$X$4&amp;"'!$G$22:$G$150"),$A9,INDIRECT("'"&amp;$X$4&amp;"'!$S$22:$S$150"),"Aprovada"),0)</f>
        <v>0</v>
      </c>
      <c r="O9" s="29" t="n">
        <f aca="true">IFERROR(COUNTIFS(INDIRECT("'"&amp;$X$4&amp;"'!$B$22:$B$150"),$C$4,INDIRECT("'"&amp;$X$4&amp;"'!$D$22:$D$150"),"*Relatório*",INDIRECT("'"&amp;$X$4&amp;"'!$G$22:$G$150"),$A9,INDIRECT("'"&amp;$X$4&amp;"'!$S$22:$S$150"),"Entregue"),0)</f>
        <v>0</v>
      </c>
      <c r="P9" s="29" t="n">
        <f aca="true">IFERROR(COUNTIFS(INDIRECT("'"&amp;$X$4&amp;"'!$B$22:$B$150"),$C$4,INDIRECT("'"&amp;$X$4&amp;"'!$D$22:$D$150"),"*Relatório*",INDIRECT("'"&amp;$X$4&amp;"'!$G$22:$G$150"),$A9,INDIRECT("'"&amp;$X$4&amp;"'!$S$22:$S$150"),"Atrasada"),0)</f>
        <v>0</v>
      </c>
      <c r="Q9" s="29" t="n">
        <f aca="true">IFERROR(COUNTIFS(INDIRECT("'"&amp;$X$4&amp;"'!$B$22:$B$150"),$C$4,INDIRECT("'"&amp;$X$4&amp;"'!$D$22:$D$150"),"*Relatório*",INDIRECT("'"&amp;$X$4&amp;"'!$G$22:$G$150"),$A9,INDIRECT("'"&amp;$X$4&amp;"'!$S$22:$S$150"),"Pendente"),0)</f>
        <v>1</v>
      </c>
      <c r="R9" s="29" t="n">
        <f aca="true">IFERROR(COUNTIFS(INDIRECT("'"&amp;$X$3&amp;"'!$B$22:$B$150"),$C$4,INDIRECT("'"&amp;$X$3&amp;"'!$D$22:$D$150"),"*Vistoria*",INDIRECT("'"&amp;$X$3&amp;"'!$G$22:$G$150"),$A9,INDIRECT("'"&amp;$X$3&amp;"'!$S$22:$S$150"),"Aprovada"),0)</f>
        <v>0</v>
      </c>
      <c r="S9" s="29" t="n">
        <f aca="true">IFERROR(COUNTIFS(INDIRECT("'"&amp;$X$3&amp;"'!$B$22:$B$150"),$C$4,INDIRECT("'"&amp;$X$3&amp;"'!$D$22:$D$150"),"*Vistoria*",INDIRECT("'"&amp;$X$3&amp;"'!$G$22:$G$150"),$A9,INDIRECT("'"&amp;$X$3&amp;"'!$S$22:$S$150"),"Entregue"),0)</f>
        <v>0</v>
      </c>
      <c r="T9" s="29" t="n">
        <f aca="true">IFERROR(COUNTIFS(INDIRECT("'"&amp;$X$3&amp;"'!$B$22:$B$150"),$C$4,INDIRECT("'"&amp;$X$3&amp;"'!$D$22:$D$150"),"*Vistoria*",INDIRECT("'"&amp;$X$3&amp;"'!$G$22:$G$150"),$A9,INDIRECT("'"&amp;$X$3&amp;"'!$S$22:$S$150"),"Atrasada"),0)</f>
        <v>1</v>
      </c>
      <c r="U9" s="29" t="n">
        <f aca="true">IFERROR(COUNTIFS(INDIRECT("'"&amp;$X$3&amp;"'!$B$22:$B$150"),$C$4,INDIRECT("'"&amp;$X$3&amp;"'!$D$22:$D$150"),"*Vistoria*",INDIRECT("'"&amp;$X$3&amp;"'!$G$22:$G$150"),$A9,INDIRECT("'"&amp;$X$3&amp;"'!$S$22:$S$150"),"Pendente"),0)</f>
        <v>0</v>
      </c>
    </row>
    <row r="10" customFormat="false" ht="15" hidden="false" customHeight="false" outlineLevel="0" collapsed="false">
      <c r="A10" s="26" t="s">
        <v>68</v>
      </c>
      <c r="B10" s="27" t="str">
        <f aca="false">IF($N10&gt;0,"✔ Aprovado",IF($O10&gt;0,"◉ Entregue — validar",IF($P10&gt;0,"✖ ATRASADO",IF($Q10&gt;0,"○ Pendente","—"))))</f>
        <v>○ Pendente</v>
      </c>
      <c r="C10" s="27" t="str">
        <f aca="false">IF($R10&gt;0,"✔ Aprovada",IF($S10&gt;0,"◉ Entregue — validar",IF($T10&gt;0,"✖ ATRASADA",IF($U10&gt;0,"○ Pendente","—"))))</f>
        <v>✖ ATRASADA</v>
      </c>
      <c r="D10" s="28" t="n">
        <f aca="true">SUMIFS(OCORRÊNCIAS!$E$6:$E$605,OCORRÊNCIAS!$B$6:$B$605,"Falta",OCORRÊNCIAS!$C$6:$C$605,$A10,OCORRÊNCIAS!$H$6:$H$605,$C$4,OCORRÊNCIAS!$J$6:$J$605,YEAR(TODAY()+4-WEEKDAY(TODAY(),2)))</f>
        <v>0</v>
      </c>
      <c r="E10" s="28" t="n">
        <f aca="true">SUMIFS(OCORRÊNCIAS!$E$6:$E$605,OCORRÊNCIAS!$B$6:$B$605,"Atestado",OCORRÊNCIAS!$C$6:$C$605,$A10,OCORRÊNCIAS!$H$6:$H$605,$C$4,OCORRÊNCIAS!$J$6:$J$605,YEAR(TODAY()+4-WEEKDAY(TODAY(),2)))</f>
        <v>0</v>
      </c>
      <c r="F10" s="28" t="n">
        <f aca="true">IFERROR(COUNTIFS(INDIRECT("'"&amp;CENTRAL!$A$8&amp;"'!$G$22:$G$150"),$A10,INDIRECT("'"&amp;CENTRAL!$A$8&amp;"'!$S$22:$S$150"),"Atrasada"),0)+IFERROR(COUNTIFS(INDIRECT("'"&amp;CENTRAL!$A$9&amp;"'!$G$22:$G$150"),$A10,INDIRECT("'"&amp;CENTRAL!$A$9&amp;"'!$S$22:$S$150"),"Atrasada"),0)+IFERROR(COUNTIFS(INDIRECT("'"&amp;CENTRAL!$A$10&amp;"'!$G$22:$G$150"),$A10,INDIRECT("'"&amp;CENTRAL!$A$10&amp;"'!$S$22:$S$150"),"Atrasada"),0)+IFERROR(COUNTIFS(INDIRECT("'"&amp;CENTRAL!$A$11&amp;"'!$G$22:$G$150"),$A10,INDIRECT("'"&amp;CENTRAL!$A$11&amp;"'!$S$22:$S$150"),"Atrasada"),0)+IFERROR(COUNTIFS(INDIRECT("'"&amp;CENTRAL!$A$12&amp;"'!$G$22:$G$150"),$A10,INDIRECT("'"&amp;CENTRAL!$A$12&amp;"'!$S$22:$S$150"),"Atrasada"),0)+IFERROR(COUNTIFS(INDIRECT("'"&amp;CENTRAL!$A$13&amp;"'!$G$22:$G$150"),$A10,INDIRECT("'"&amp;CENTRAL!$A$13&amp;"'!$S$22:$S$150"),"Atrasada"),0)+IFERROR(COUNTIFS(INDIRECT("'"&amp;CENTRAL!$A$14&amp;"'!$G$22:$G$150"),$A10,INDIRECT("'"&amp;CENTRAL!$A$14&amp;"'!$S$22:$S$150"),"Atrasada"),0)+IFERROR(COUNTIFS(INDIRECT("'"&amp;CENTRAL!$A$15&amp;"'!$G$22:$G$150"),$A10,INDIRECT("'"&amp;CENTRAL!$A$15&amp;"'!$S$22:$S$150"),"Atrasada"),0)+IFERROR(COUNTIFS(INDIRECT("'"&amp;CENTRAL!$A$16&amp;"'!$G$22:$G$150"),$A10,INDIRECT("'"&amp;CENTRAL!$A$16&amp;"'!$S$22:$S$150"),"Atrasada"),0)+IFERROR(COUNTIFS(INDIRECT("'"&amp;CENTRAL!$A$17&amp;"'!$G$22:$G$150"),$A10,INDIRECT("'"&amp;CENTRAL!$A$17&amp;"'!$S$22:$S$150"),"Atrasada"),0)+IFERROR(COUNTIFS(INDIRECT("'"&amp;CENTRAL!$A$18&amp;"'!$G$22:$G$150"),$A10,INDIRECT("'"&amp;CENTRAL!$A$18&amp;"'!$S$22:$S$150"),"Atrasada"),0)+IFERROR(COUNTIFS(INDIRECT("'"&amp;CENTRAL!$A$19&amp;"'!$G$22:$G$150"),$A10,INDIRECT("'"&amp;CENTRAL!$A$19&amp;"'!$S$22:$S$150"),"Atrasada"),0)+IFERROR(COUNTIFS(INDIRECT("'"&amp;CENTRAL!$A$20&amp;"'!$G$22:$G$150"),$A10,INDIRECT("'"&amp;CENTRAL!$A$20&amp;"'!$S$22:$S$150"),"Atrasada"),0)+IFERROR(COUNTIFS(INDIRECT("'"&amp;CENTRAL!$A$21&amp;"'!$G$22:$G$150"),$A10,INDIRECT("'"&amp;CENTRAL!$A$21&amp;"'!$S$22:$S$150"),"Atrasada"),0)+IFERROR(COUNTIFS(INDIRECT("'"&amp;CENTRAL!$A$22&amp;"'!$G$22:$G$150"),$A10,INDIRECT("'"&amp;CENTRAL!$A$22&amp;"'!$S$22:$S$150"),"Atrasada"),0)+IFERROR(COUNTIFS(INDIRECT("'"&amp;CENTRAL!$A$23&amp;"'!$G$22:$G$150"),$A10,INDIRECT("'"&amp;CENTRAL!$A$23&amp;"'!$S$22:$S$150"),"Atrasada"),0)+IFERROR(COUNTIFS(INDIRECT("'"&amp;CENTRAL!$A$24&amp;"'!$G$22:$G$150"),$A10,INDIRECT("'"&amp;CENTRAL!$A$24&amp;"'!$S$22:$S$150"),"Atrasada"),0)+IFERROR(COUNTIFS(INDIRECT("'"&amp;CENTRAL!$A$25&amp;"'!$G$22:$G$150"),$A10,INDIRECT("'"&amp;CENTRAL!$A$25&amp;"'!$S$22:$S$150"),"Atrasada"),0)</f>
        <v>10</v>
      </c>
      <c r="G10" s="28" t="n">
        <f aca="true">IFERROR(COUNTIFS(INDIRECT("'"&amp;CENTRAL!$A$8&amp;"'!$G$22:$G$150"),$A10,INDIRECT("'"&amp;CENTRAL!$A$8&amp;"'!$S$22:$S$150"),"Entregue"),0)+IFERROR(COUNTIFS(INDIRECT("'"&amp;CENTRAL!$A$9&amp;"'!$G$22:$G$150"),$A10,INDIRECT("'"&amp;CENTRAL!$A$9&amp;"'!$S$22:$S$150"),"Entregue"),0)+IFERROR(COUNTIFS(INDIRECT("'"&amp;CENTRAL!$A$10&amp;"'!$G$22:$G$150"),$A10,INDIRECT("'"&amp;CENTRAL!$A$10&amp;"'!$S$22:$S$150"),"Entregue"),0)+IFERROR(COUNTIFS(INDIRECT("'"&amp;CENTRAL!$A$11&amp;"'!$G$22:$G$150"),$A10,INDIRECT("'"&amp;CENTRAL!$A$11&amp;"'!$S$22:$S$150"),"Entregue"),0)+IFERROR(COUNTIFS(INDIRECT("'"&amp;CENTRAL!$A$12&amp;"'!$G$22:$G$150"),$A10,INDIRECT("'"&amp;CENTRAL!$A$12&amp;"'!$S$22:$S$150"),"Entregue"),0)+IFERROR(COUNTIFS(INDIRECT("'"&amp;CENTRAL!$A$13&amp;"'!$G$22:$G$150"),$A10,INDIRECT("'"&amp;CENTRAL!$A$13&amp;"'!$S$22:$S$150"),"Entregue"),0)+IFERROR(COUNTIFS(INDIRECT("'"&amp;CENTRAL!$A$14&amp;"'!$G$22:$G$150"),$A10,INDIRECT("'"&amp;CENTRAL!$A$14&amp;"'!$S$22:$S$150"),"Entregue"),0)+IFERROR(COUNTIFS(INDIRECT("'"&amp;CENTRAL!$A$15&amp;"'!$G$22:$G$150"),$A10,INDIRECT("'"&amp;CENTRAL!$A$15&amp;"'!$S$22:$S$150"),"Entregue"),0)+IFERROR(COUNTIFS(INDIRECT("'"&amp;CENTRAL!$A$16&amp;"'!$G$22:$G$150"),$A10,INDIRECT("'"&amp;CENTRAL!$A$16&amp;"'!$S$22:$S$150"),"Entregue"),0)+IFERROR(COUNTIFS(INDIRECT("'"&amp;CENTRAL!$A$17&amp;"'!$G$22:$G$150"),$A10,INDIRECT("'"&amp;CENTRAL!$A$17&amp;"'!$S$22:$S$150"),"Entregue"),0)+IFERROR(COUNTIFS(INDIRECT("'"&amp;CENTRAL!$A$18&amp;"'!$G$22:$G$150"),$A10,INDIRECT("'"&amp;CENTRAL!$A$18&amp;"'!$S$22:$S$150"),"Entregue"),0)+IFERROR(COUNTIFS(INDIRECT("'"&amp;CENTRAL!$A$19&amp;"'!$G$22:$G$150"),$A10,INDIRECT("'"&amp;CENTRAL!$A$19&amp;"'!$S$22:$S$150"),"Entregue"),0)+IFERROR(COUNTIFS(INDIRECT("'"&amp;CENTRAL!$A$20&amp;"'!$G$22:$G$150"),$A10,INDIRECT("'"&amp;CENTRAL!$A$20&amp;"'!$S$22:$S$150"),"Entregue"),0)+IFERROR(COUNTIFS(INDIRECT("'"&amp;CENTRAL!$A$21&amp;"'!$G$22:$G$150"),$A10,INDIRECT("'"&amp;CENTRAL!$A$21&amp;"'!$S$22:$S$150"),"Entregue"),0)+IFERROR(COUNTIFS(INDIRECT("'"&amp;CENTRAL!$A$22&amp;"'!$G$22:$G$150"),$A10,INDIRECT("'"&amp;CENTRAL!$A$22&amp;"'!$S$22:$S$150"),"Entregue"),0)+IFERROR(COUNTIFS(INDIRECT("'"&amp;CENTRAL!$A$23&amp;"'!$G$22:$G$150"),$A10,INDIRECT("'"&amp;CENTRAL!$A$23&amp;"'!$S$22:$S$150"),"Entregue"),0)+IFERROR(COUNTIFS(INDIRECT("'"&amp;CENTRAL!$A$24&amp;"'!$G$22:$G$150"),$A10,INDIRECT("'"&amp;CENTRAL!$A$24&amp;"'!$S$22:$S$150"),"Entregue"),0)+IFERROR(COUNTIFS(INDIRECT("'"&amp;CENTRAL!$A$25&amp;"'!$G$22:$G$150"),$A10,INDIRECT("'"&amp;CENTRAL!$A$25&amp;"'!$S$22:$S$150"),"Entregue"),0)</f>
        <v>0</v>
      </c>
      <c r="H10" s="28" t="n">
        <f aca="true">IFERROR(COUNTIFS(INDIRECT("'"&amp;CENTRAL!$A$8&amp;"'!$G$22:$G$150"),$A10,INDIRECT("'"&amp;CENTRAL!$A$8&amp;"'!$S$22:$S$150"),"Reprovada"),0)+IFERROR(COUNTIFS(INDIRECT("'"&amp;CENTRAL!$A$9&amp;"'!$G$22:$G$150"),$A10,INDIRECT("'"&amp;CENTRAL!$A$9&amp;"'!$S$22:$S$150"),"Reprovada"),0)+IFERROR(COUNTIFS(INDIRECT("'"&amp;CENTRAL!$A$10&amp;"'!$G$22:$G$150"),$A10,INDIRECT("'"&amp;CENTRAL!$A$10&amp;"'!$S$22:$S$150"),"Reprovada"),0)+IFERROR(COUNTIFS(INDIRECT("'"&amp;CENTRAL!$A$11&amp;"'!$G$22:$G$150"),$A10,INDIRECT("'"&amp;CENTRAL!$A$11&amp;"'!$S$22:$S$150"),"Reprovada"),0)+IFERROR(COUNTIFS(INDIRECT("'"&amp;CENTRAL!$A$12&amp;"'!$G$22:$G$150"),$A10,INDIRECT("'"&amp;CENTRAL!$A$12&amp;"'!$S$22:$S$150"),"Reprovada"),0)+IFERROR(COUNTIFS(INDIRECT("'"&amp;CENTRAL!$A$13&amp;"'!$G$22:$G$150"),$A10,INDIRECT("'"&amp;CENTRAL!$A$13&amp;"'!$S$22:$S$150"),"Reprovada"),0)+IFERROR(COUNTIFS(INDIRECT("'"&amp;CENTRAL!$A$14&amp;"'!$G$22:$G$150"),$A10,INDIRECT("'"&amp;CENTRAL!$A$14&amp;"'!$S$22:$S$150"),"Reprovada"),0)+IFERROR(COUNTIFS(INDIRECT("'"&amp;CENTRAL!$A$15&amp;"'!$G$22:$G$150"),$A10,INDIRECT("'"&amp;CENTRAL!$A$15&amp;"'!$S$22:$S$150"),"Reprovada"),0)+IFERROR(COUNTIFS(INDIRECT("'"&amp;CENTRAL!$A$16&amp;"'!$G$22:$G$150"),$A10,INDIRECT("'"&amp;CENTRAL!$A$16&amp;"'!$S$22:$S$150"),"Reprovada"),0)+IFERROR(COUNTIFS(INDIRECT("'"&amp;CENTRAL!$A$17&amp;"'!$G$22:$G$150"),$A10,INDIRECT("'"&amp;CENTRAL!$A$17&amp;"'!$S$22:$S$150"),"Reprovada"),0)+IFERROR(COUNTIFS(INDIRECT("'"&amp;CENTRAL!$A$18&amp;"'!$G$22:$G$150"),$A10,INDIRECT("'"&amp;CENTRAL!$A$18&amp;"'!$S$22:$S$150"),"Reprovada"),0)+IFERROR(COUNTIFS(INDIRECT("'"&amp;CENTRAL!$A$19&amp;"'!$G$22:$G$150"),$A10,INDIRECT("'"&amp;CENTRAL!$A$19&amp;"'!$S$22:$S$150"),"Reprovada"),0)+IFERROR(COUNTIFS(INDIRECT("'"&amp;CENTRAL!$A$20&amp;"'!$G$22:$G$150"),$A10,INDIRECT("'"&amp;CENTRAL!$A$20&amp;"'!$S$22:$S$150"),"Reprovada"),0)+IFERROR(COUNTIFS(INDIRECT("'"&amp;CENTRAL!$A$21&amp;"'!$G$22:$G$150"),$A10,INDIRECT("'"&amp;CENTRAL!$A$21&amp;"'!$S$22:$S$150"),"Reprovada"),0)+IFERROR(COUNTIFS(INDIRECT("'"&amp;CENTRAL!$A$22&amp;"'!$G$22:$G$150"),$A10,INDIRECT("'"&amp;CENTRAL!$A$22&amp;"'!$S$22:$S$150"),"Reprovada"),0)+IFERROR(COUNTIFS(INDIRECT("'"&amp;CENTRAL!$A$23&amp;"'!$G$22:$G$150"),$A10,INDIRECT("'"&amp;CENTRAL!$A$23&amp;"'!$S$22:$S$150"),"Reprovada"),0)+IFERROR(COUNTIFS(INDIRECT("'"&amp;CENTRAL!$A$24&amp;"'!$G$22:$G$150"),$A10,INDIRECT("'"&amp;CENTRAL!$A$24&amp;"'!$S$22:$S$150"),"Reprovada"),0)+IFERROR(COUNTIFS(INDIRECT("'"&amp;CENTRAL!$A$25&amp;"'!$G$22:$G$150"),$A10,INDIRECT("'"&amp;CENTRAL!$A$25&amp;"'!$S$22:$S$150"),"Reprovada"),0)</f>
        <v>0</v>
      </c>
      <c r="N10" s="29" t="n">
        <f aca="true">IFERROR(COUNTIFS(INDIRECT("'"&amp;$X$4&amp;"'!$B$22:$B$150"),$C$4,INDIRECT("'"&amp;$X$4&amp;"'!$D$22:$D$150"),"*Relatório*",INDIRECT("'"&amp;$X$4&amp;"'!$G$22:$G$150"),$A10,INDIRECT("'"&amp;$X$4&amp;"'!$S$22:$S$150"),"Aprovada"),0)</f>
        <v>0</v>
      </c>
      <c r="O10" s="29" t="n">
        <f aca="true">IFERROR(COUNTIFS(INDIRECT("'"&amp;$X$4&amp;"'!$B$22:$B$150"),$C$4,INDIRECT("'"&amp;$X$4&amp;"'!$D$22:$D$150"),"*Relatório*",INDIRECT("'"&amp;$X$4&amp;"'!$G$22:$G$150"),$A10,INDIRECT("'"&amp;$X$4&amp;"'!$S$22:$S$150"),"Entregue"),0)</f>
        <v>0</v>
      </c>
      <c r="P10" s="29" t="n">
        <f aca="true">IFERROR(COUNTIFS(INDIRECT("'"&amp;$X$4&amp;"'!$B$22:$B$150"),$C$4,INDIRECT("'"&amp;$X$4&amp;"'!$D$22:$D$150"),"*Relatório*",INDIRECT("'"&amp;$X$4&amp;"'!$G$22:$G$150"),$A10,INDIRECT("'"&amp;$X$4&amp;"'!$S$22:$S$150"),"Atrasada"),0)</f>
        <v>0</v>
      </c>
      <c r="Q10" s="29" t="n">
        <f aca="true">IFERROR(COUNTIFS(INDIRECT("'"&amp;$X$4&amp;"'!$B$22:$B$150"),$C$4,INDIRECT("'"&amp;$X$4&amp;"'!$D$22:$D$150"),"*Relatório*",INDIRECT("'"&amp;$X$4&amp;"'!$G$22:$G$150"),$A10,INDIRECT("'"&amp;$X$4&amp;"'!$S$22:$S$150"),"Pendente"),0)</f>
        <v>1</v>
      </c>
      <c r="R10" s="29" t="n">
        <f aca="true">IFERROR(COUNTIFS(INDIRECT("'"&amp;$X$3&amp;"'!$B$22:$B$150"),$C$4,INDIRECT("'"&amp;$X$3&amp;"'!$D$22:$D$150"),"*Vistoria*",INDIRECT("'"&amp;$X$3&amp;"'!$G$22:$G$150"),$A10,INDIRECT("'"&amp;$X$3&amp;"'!$S$22:$S$150"),"Aprovada"),0)</f>
        <v>0</v>
      </c>
      <c r="S10" s="29" t="n">
        <f aca="true">IFERROR(COUNTIFS(INDIRECT("'"&amp;$X$3&amp;"'!$B$22:$B$150"),$C$4,INDIRECT("'"&amp;$X$3&amp;"'!$D$22:$D$150"),"*Vistoria*",INDIRECT("'"&amp;$X$3&amp;"'!$G$22:$G$150"),$A10,INDIRECT("'"&amp;$X$3&amp;"'!$S$22:$S$150"),"Entregue"),0)</f>
        <v>0</v>
      </c>
      <c r="T10" s="29" t="n">
        <f aca="true">IFERROR(COUNTIFS(INDIRECT("'"&amp;$X$3&amp;"'!$B$22:$B$150"),$C$4,INDIRECT("'"&amp;$X$3&amp;"'!$D$22:$D$150"),"*Vistoria*",INDIRECT("'"&amp;$X$3&amp;"'!$G$22:$G$150"),$A10,INDIRECT("'"&amp;$X$3&amp;"'!$S$22:$S$150"),"Atrasada"),0)</f>
        <v>1</v>
      </c>
      <c r="U10" s="29" t="n">
        <f aca="true">IFERROR(COUNTIFS(INDIRECT("'"&amp;$X$3&amp;"'!$B$22:$B$150"),$C$4,INDIRECT("'"&amp;$X$3&amp;"'!$D$22:$D$150"),"*Vistoria*",INDIRECT("'"&amp;$X$3&amp;"'!$G$22:$G$150"),$A10,INDIRECT("'"&amp;$X$3&amp;"'!$S$22:$S$150"),"Pendente"),0)</f>
        <v>0</v>
      </c>
    </row>
    <row r="12" customFormat="false" ht="15" hidden="false" customHeight="false" outlineLevel="0" collapsed="false">
      <c r="A12" s="24" t="s">
        <v>69</v>
      </c>
    </row>
    <row r="13" customFormat="false" ht="15" hidden="false" customHeight="false" outlineLevel="0" collapsed="false">
      <c r="A13" s="30" t="s">
        <v>70</v>
      </c>
      <c r="B13" s="30" t="s">
        <v>71</v>
      </c>
      <c r="C13" s="30" t="s">
        <v>72</v>
      </c>
      <c r="D13" s="30" t="s">
        <v>73</v>
      </c>
      <c r="E13" s="30" t="s">
        <v>74</v>
      </c>
      <c r="F13" s="30" t="s">
        <v>75</v>
      </c>
      <c r="G13" s="30" t="s">
        <v>76</v>
      </c>
      <c r="H13" s="30" t="s">
        <v>77</v>
      </c>
      <c r="I13" s="30" t="s">
        <v>78</v>
      </c>
    </row>
    <row r="14" customFormat="false" ht="15" hidden="false" customHeight="false" outlineLevel="0" collapsed="false">
      <c r="A14" s="9" t="str">
        <f aca="false">CHOOSE(MONTH($N14),"JAN","FEV","MAR","ABR","MAI","JUN","JUL","AGO","SET","OUT","NOV","DEZ")&amp;"/"&amp;RIGHT(YEAR($N14),2)</f>
        <v>AGO/25</v>
      </c>
      <c r="B14" s="31" t="n">
        <f aca="false">SUMIFS(OCORRÊNCIAS!$E$6:$E$605,OCORRÊNCIAS!$B$6:$B$605,"Falta",OCORRÊNCIAS!$C$6:$C$605,"A",OCORRÊNCIAS!$I$6:$I$605,$N14)</f>
        <v>0</v>
      </c>
      <c r="C14" s="31" t="n">
        <f aca="false">SUMIFS(OCORRÊNCIAS!$E$6:$E$605,OCORRÊNCIAS!$B$6:$B$605,"Falta",OCORRÊNCIAS!$C$6:$C$605,"B",OCORRÊNCIAS!$I$6:$I$605,$N14)</f>
        <v>0</v>
      </c>
      <c r="D14" s="31" t="n">
        <f aca="false">SUMIFS(OCORRÊNCIAS!$E$6:$E$605,OCORRÊNCIAS!$B$6:$B$605,"Falta",OCORRÊNCIAS!$C$6:$C$605,"C",OCORRÊNCIAS!$I$6:$I$605,$N14)</f>
        <v>0</v>
      </c>
      <c r="E14" s="31" t="n">
        <f aca="false">SUMIFS(OCORRÊNCIAS!$E$6:$E$605,OCORRÊNCIAS!$B$6:$B$605,"Atestado",OCORRÊNCIAS!$C$6:$C$605,"A",OCORRÊNCIAS!$I$6:$I$605,$N14)</f>
        <v>0</v>
      </c>
      <c r="F14" s="31" t="n">
        <f aca="false">SUMIFS(OCORRÊNCIAS!$E$6:$E$605,OCORRÊNCIAS!$B$6:$B$605,"Atestado",OCORRÊNCIAS!$C$6:$C$605,"B",OCORRÊNCIAS!$I$6:$I$605,$N14)</f>
        <v>0</v>
      </c>
      <c r="G14" s="31" t="n">
        <f aca="false">SUMIFS(OCORRÊNCIAS!$E$6:$E$605,OCORRÊNCIAS!$B$6:$B$605,"Atestado",OCORRÊNCIAS!$C$6:$C$605,"C",OCORRÊNCIAS!$I$6:$I$605,$N14)</f>
        <v>0</v>
      </c>
      <c r="H14" s="31" t="n">
        <f aca="false">SUM(B14:G14)</f>
        <v>0</v>
      </c>
      <c r="I14" s="32" t="str">
        <f aca="false">REPT("▮",MIN($H14,20))</f>
        <v/>
      </c>
      <c r="N14" s="33" t="n">
        <f aca="true">EDATE(DATE(YEAR(TODAY()),MONTH(TODAY()),1),-11)</f>
        <v>45870</v>
      </c>
    </row>
    <row r="15" customFormat="false" ht="15" hidden="false" customHeight="false" outlineLevel="0" collapsed="false">
      <c r="A15" s="9" t="str">
        <f aca="false">CHOOSE(MONTH($N15),"JAN","FEV","MAR","ABR","MAI","JUN","JUL","AGO","SET","OUT","NOV","DEZ")&amp;"/"&amp;RIGHT(YEAR($N15),2)</f>
        <v>SET/25</v>
      </c>
      <c r="B15" s="31" t="n">
        <f aca="false">SUMIFS(OCORRÊNCIAS!$E$6:$E$605,OCORRÊNCIAS!$B$6:$B$605,"Falta",OCORRÊNCIAS!$C$6:$C$605,"A",OCORRÊNCIAS!$I$6:$I$605,$N15)</f>
        <v>0</v>
      </c>
      <c r="C15" s="31" t="n">
        <f aca="false">SUMIFS(OCORRÊNCIAS!$E$6:$E$605,OCORRÊNCIAS!$B$6:$B$605,"Falta",OCORRÊNCIAS!$C$6:$C$605,"B",OCORRÊNCIAS!$I$6:$I$605,$N15)</f>
        <v>0</v>
      </c>
      <c r="D15" s="31" t="n">
        <f aca="false">SUMIFS(OCORRÊNCIAS!$E$6:$E$605,OCORRÊNCIAS!$B$6:$B$605,"Falta",OCORRÊNCIAS!$C$6:$C$605,"C",OCORRÊNCIAS!$I$6:$I$605,$N15)</f>
        <v>0</v>
      </c>
      <c r="E15" s="31" t="n">
        <f aca="false">SUMIFS(OCORRÊNCIAS!$E$6:$E$605,OCORRÊNCIAS!$B$6:$B$605,"Atestado",OCORRÊNCIAS!$C$6:$C$605,"A",OCORRÊNCIAS!$I$6:$I$605,$N15)</f>
        <v>0</v>
      </c>
      <c r="F15" s="31" t="n">
        <f aca="false">SUMIFS(OCORRÊNCIAS!$E$6:$E$605,OCORRÊNCIAS!$B$6:$B$605,"Atestado",OCORRÊNCIAS!$C$6:$C$605,"B",OCORRÊNCIAS!$I$6:$I$605,$N15)</f>
        <v>0</v>
      </c>
      <c r="G15" s="31" t="n">
        <f aca="false">SUMIFS(OCORRÊNCIAS!$E$6:$E$605,OCORRÊNCIAS!$B$6:$B$605,"Atestado",OCORRÊNCIAS!$C$6:$C$605,"C",OCORRÊNCIAS!$I$6:$I$605,$N15)</f>
        <v>0</v>
      </c>
      <c r="H15" s="31" t="n">
        <f aca="false">SUM(B15:G15)</f>
        <v>0</v>
      </c>
      <c r="I15" s="32" t="str">
        <f aca="false">REPT("▮",MIN($H15,20))</f>
        <v/>
      </c>
      <c r="N15" s="33" t="n">
        <f aca="true">EDATE(DATE(YEAR(TODAY()),MONTH(TODAY()),1),-10)</f>
        <v>45901</v>
      </c>
    </row>
    <row r="16" customFormat="false" ht="15" hidden="false" customHeight="false" outlineLevel="0" collapsed="false">
      <c r="A16" s="9" t="str">
        <f aca="false">CHOOSE(MONTH($N16),"JAN","FEV","MAR","ABR","MAI","JUN","JUL","AGO","SET","OUT","NOV","DEZ")&amp;"/"&amp;RIGHT(YEAR($N16),2)</f>
        <v>OUT/25</v>
      </c>
      <c r="B16" s="31" t="n">
        <f aca="false">SUMIFS(OCORRÊNCIAS!$E$6:$E$605,OCORRÊNCIAS!$B$6:$B$605,"Falta",OCORRÊNCIAS!$C$6:$C$605,"A",OCORRÊNCIAS!$I$6:$I$605,$N16)</f>
        <v>0</v>
      </c>
      <c r="C16" s="31" t="n">
        <f aca="false">SUMIFS(OCORRÊNCIAS!$E$6:$E$605,OCORRÊNCIAS!$B$6:$B$605,"Falta",OCORRÊNCIAS!$C$6:$C$605,"B",OCORRÊNCIAS!$I$6:$I$605,$N16)</f>
        <v>0</v>
      </c>
      <c r="D16" s="31" t="n">
        <f aca="false">SUMIFS(OCORRÊNCIAS!$E$6:$E$605,OCORRÊNCIAS!$B$6:$B$605,"Falta",OCORRÊNCIAS!$C$6:$C$605,"C",OCORRÊNCIAS!$I$6:$I$605,$N16)</f>
        <v>0</v>
      </c>
      <c r="E16" s="31" t="n">
        <f aca="false">SUMIFS(OCORRÊNCIAS!$E$6:$E$605,OCORRÊNCIAS!$B$6:$B$605,"Atestado",OCORRÊNCIAS!$C$6:$C$605,"A",OCORRÊNCIAS!$I$6:$I$605,$N16)</f>
        <v>0</v>
      </c>
      <c r="F16" s="31" t="n">
        <f aca="false">SUMIFS(OCORRÊNCIAS!$E$6:$E$605,OCORRÊNCIAS!$B$6:$B$605,"Atestado",OCORRÊNCIAS!$C$6:$C$605,"B",OCORRÊNCIAS!$I$6:$I$605,$N16)</f>
        <v>0</v>
      </c>
      <c r="G16" s="31" t="n">
        <f aca="false">SUMIFS(OCORRÊNCIAS!$E$6:$E$605,OCORRÊNCIAS!$B$6:$B$605,"Atestado",OCORRÊNCIAS!$C$6:$C$605,"C",OCORRÊNCIAS!$I$6:$I$605,$N16)</f>
        <v>0</v>
      </c>
      <c r="H16" s="31" t="n">
        <f aca="false">SUM(B16:G16)</f>
        <v>0</v>
      </c>
      <c r="I16" s="32" t="str">
        <f aca="false">REPT("▮",MIN($H16,20))</f>
        <v/>
      </c>
      <c r="N16" s="33" t="n">
        <f aca="true">EDATE(DATE(YEAR(TODAY()),MONTH(TODAY()),1),-9)</f>
        <v>45931</v>
      </c>
    </row>
    <row r="17" customFormat="false" ht="15" hidden="false" customHeight="false" outlineLevel="0" collapsed="false">
      <c r="A17" s="9" t="str">
        <f aca="false">CHOOSE(MONTH($N17),"JAN","FEV","MAR","ABR","MAI","JUN","JUL","AGO","SET","OUT","NOV","DEZ")&amp;"/"&amp;RIGHT(YEAR($N17),2)</f>
        <v>NOV/25</v>
      </c>
      <c r="B17" s="31" t="n">
        <f aca="false">SUMIFS(OCORRÊNCIAS!$E$6:$E$605,OCORRÊNCIAS!$B$6:$B$605,"Falta",OCORRÊNCIAS!$C$6:$C$605,"A",OCORRÊNCIAS!$I$6:$I$605,$N17)</f>
        <v>0</v>
      </c>
      <c r="C17" s="31" t="n">
        <f aca="false">SUMIFS(OCORRÊNCIAS!$E$6:$E$605,OCORRÊNCIAS!$B$6:$B$605,"Falta",OCORRÊNCIAS!$C$6:$C$605,"B",OCORRÊNCIAS!$I$6:$I$605,$N17)</f>
        <v>0</v>
      </c>
      <c r="D17" s="31" t="n">
        <f aca="false">SUMIFS(OCORRÊNCIAS!$E$6:$E$605,OCORRÊNCIAS!$B$6:$B$605,"Falta",OCORRÊNCIAS!$C$6:$C$605,"C",OCORRÊNCIAS!$I$6:$I$605,$N17)</f>
        <v>0</v>
      </c>
      <c r="E17" s="31" t="n">
        <f aca="false">SUMIFS(OCORRÊNCIAS!$E$6:$E$605,OCORRÊNCIAS!$B$6:$B$605,"Atestado",OCORRÊNCIAS!$C$6:$C$605,"A",OCORRÊNCIAS!$I$6:$I$605,$N17)</f>
        <v>0</v>
      </c>
      <c r="F17" s="31" t="n">
        <f aca="false">SUMIFS(OCORRÊNCIAS!$E$6:$E$605,OCORRÊNCIAS!$B$6:$B$605,"Atestado",OCORRÊNCIAS!$C$6:$C$605,"B",OCORRÊNCIAS!$I$6:$I$605,$N17)</f>
        <v>0</v>
      </c>
      <c r="G17" s="31" t="n">
        <f aca="false">SUMIFS(OCORRÊNCIAS!$E$6:$E$605,OCORRÊNCIAS!$B$6:$B$605,"Atestado",OCORRÊNCIAS!$C$6:$C$605,"C",OCORRÊNCIAS!$I$6:$I$605,$N17)</f>
        <v>0</v>
      </c>
      <c r="H17" s="31" t="n">
        <f aca="false">SUM(B17:G17)</f>
        <v>0</v>
      </c>
      <c r="I17" s="32" t="str">
        <f aca="false">REPT("▮",MIN($H17,20))</f>
        <v/>
      </c>
      <c r="N17" s="33" t="n">
        <f aca="true">EDATE(DATE(YEAR(TODAY()),MONTH(TODAY()),1),-8)</f>
        <v>45962</v>
      </c>
    </row>
    <row r="18" customFormat="false" ht="15" hidden="false" customHeight="false" outlineLevel="0" collapsed="false">
      <c r="A18" s="9" t="str">
        <f aca="false">CHOOSE(MONTH($N18),"JAN","FEV","MAR","ABR","MAI","JUN","JUL","AGO","SET","OUT","NOV","DEZ")&amp;"/"&amp;RIGHT(YEAR($N18),2)</f>
        <v>DEZ/25</v>
      </c>
      <c r="B18" s="31" t="n">
        <f aca="false">SUMIFS(OCORRÊNCIAS!$E$6:$E$605,OCORRÊNCIAS!$B$6:$B$605,"Falta",OCORRÊNCIAS!$C$6:$C$605,"A",OCORRÊNCIAS!$I$6:$I$605,$N18)</f>
        <v>0</v>
      </c>
      <c r="C18" s="31" t="n">
        <f aca="false">SUMIFS(OCORRÊNCIAS!$E$6:$E$605,OCORRÊNCIAS!$B$6:$B$605,"Falta",OCORRÊNCIAS!$C$6:$C$605,"B",OCORRÊNCIAS!$I$6:$I$605,$N18)</f>
        <v>0</v>
      </c>
      <c r="D18" s="31" t="n">
        <f aca="false">SUMIFS(OCORRÊNCIAS!$E$6:$E$605,OCORRÊNCIAS!$B$6:$B$605,"Falta",OCORRÊNCIAS!$C$6:$C$605,"C",OCORRÊNCIAS!$I$6:$I$605,$N18)</f>
        <v>0</v>
      </c>
      <c r="E18" s="31" t="n">
        <f aca="false">SUMIFS(OCORRÊNCIAS!$E$6:$E$605,OCORRÊNCIAS!$B$6:$B$605,"Atestado",OCORRÊNCIAS!$C$6:$C$605,"A",OCORRÊNCIAS!$I$6:$I$605,$N18)</f>
        <v>0</v>
      </c>
      <c r="F18" s="31" t="n">
        <f aca="false">SUMIFS(OCORRÊNCIAS!$E$6:$E$605,OCORRÊNCIAS!$B$6:$B$605,"Atestado",OCORRÊNCIAS!$C$6:$C$605,"B",OCORRÊNCIAS!$I$6:$I$605,$N18)</f>
        <v>0</v>
      </c>
      <c r="G18" s="31" t="n">
        <f aca="false">SUMIFS(OCORRÊNCIAS!$E$6:$E$605,OCORRÊNCIAS!$B$6:$B$605,"Atestado",OCORRÊNCIAS!$C$6:$C$605,"C",OCORRÊNCIAS!$I$6:$I$605,$N18)</f>
        <v>0</v>
      </c>
      <c r="H18" s="31" t="n">
        <f aca="false">SUM(B18:G18)</f>
        <v>0</v>
      </c>
      <c r="I18" s="32" t="str">
        <f aca="false">REPT("▮",MIN($H18,20))</f>
        <v/>
      </c>
      <c r="N18" s="33" t="n">
        <f aca="true">EDATE(DATE(YEAR(TODAY()),MONTH(TODAY()),1),-7)</f>
        <v>45992</v>
      </c>
    </row>
    <row r="19" customFormat="false" ht="15" hidden="false" customHeight="false" outlineLevel="0" collapsed="false">
      <c r="A19" s="9" t="str">
        <f aca="false">CHOOSE(MONTH($N19),"JAN","FEV","MAR","ABR","MAI","JUN","JUL","AGO","SET","OUT","NOV","DEZ")&amp;"/"&amp;RIGHT(YEAR($N19),2)</f>
        <v>JAN/26</v>
      </c>
      <c r="B19" s="31" t="n">
        <f aca="false">SUMIFS(OCORRÊNCIAS!$E$6:$E$605,OCORRÊNCIAS!$B$6:$B$605,"Falta",OCORRÊNCIAS!$C$6:$C$605,"A",OCORRÊNCIAS!$I$6:$I$605,$N19)</f>
        <v>0</v>
      </c>
      <c r="C19" s="31" t="n">
        <f aca="false">SUMIFS(OCORRÊNCIAS!$E$6:$E$605,OCORRÊNCIAS!$B$6:$B$605,"Falta",OCORRÊNCIAS!$C$6:$C$605,"B",OCORRÊNCIAS!$I$6:$I$605,$N19)</f>
        <v>0</v>
      </c>
      <c r="D19" s="31" t="n">
        <f aca="false">SUMIFS(OCORRÊNCIAS!$E$6:$E$605,OCORRÊNCIAS!$B$6:$B$605,"Falta",OCORRÊNCIAS!$C$6:$C$605,"C",OCORRÊNCIAS!$I$6:$I$605,$N19)</f>
        <v>0</v>
      </c>
      <c r="E19" s="31" t="n">
        <f aca="false">SUMIFS(OCORRÊNCIAS!$E$6:$E$605,OCORRÊNCIAS!$B$6:$B$605,"Atestado",OCORRÊNCIAS!$C$6:$C$605,"A",OCORRÊNCIAS!$I$6:$I$605,$N19)</f>
        <v>0</v>
      </c>
      <c r="F19" s="31" t="n">
        <f aca="false">SUMIFS(OCORRÊNCIAS!$E$6:$E$605,OCORRÊNCIAS!$B$6:$B$605,"Atestado",OCORRÊNCIAS!$C$6:$C$605,"B",OCORRÊNCIAS!$I$6:$I$605,$N19)</f>
        <v>0</v>
      </c>
      <c r="G19" s="31" t="n">
        <f aca="false">SUMIFS(OCORRÊNCIAS!$E$6:$E$605,OCORRÊNCIAS!$B$6:$B$605,"Atestado",OCORRÊNCIAS!$C$6:$C$605,"C",OCORRÊNCIAS!$I$6:$I$605,$N19)</f>
        <v>0</v>
      </c>
      <c r="H19" s="31" t="n">
        <f aca="false">SUM(B19:G19)</f>
        <v>0</v>
      </c>
      <c r="I19" s="32" t="str">
        <f aca="false">REPT("▮",MIN($H19,20))</f>
        <v/>
      </c>
      <c r="N19" s="33" t="n">
        <f aca="true">EDATE(DATE(YEAR(TODAY()),MONTH(TODAY()),1),-6)</f>
        <v>46023</v>
      </c>
    </row>
    <row r="20" customFormat="false" ht="15" hidden="false" customHeight="false" outlineLevel="0" collapsed="false">
      <c r="A20" s="9" t="str">
        <f aca="false">CHOOSE(MONTH($N20),"JAN","FEV","MAR","ABR","MAI","JUN","JUL","AGO","SET","OUT","NOV","DEZ")&amp;"/"&amp;RIGHT(YEAR($N20),2)</f>
        <v>FEV/26</v>
      </c>
      <c r="B20" s="31" t="n">
        <f aca="false">SUMIFS(OCORRÊNCIAS!$E$6:$E$605,OCORRÊNCIAS!$B$6:$B$605,"Falta",OCORRÊNCIAS!$C$6:$C$605,"A",OCORRÊNCIAS!$I$6:$I$605,$N20)</f>
        <v>0</v>
      </c>
      <c r="C20" s="31" t="n">
        <f aca="false">SUMIFS(OCORRÊNCIAS!$E$6:$E$605,OCORRÊNCIAS!$B$6:$B$605,"Falta",OCORRÊNCIAS!$C$6:$C$605,"B",OCORRÊNCIAS!$I$6:$I$605,$N20)</f>
        <v>0</v>
      </c>
      <c r="D20" s="31" t="n">
        <f aca="false">SUMIFS(OCORRÊNCIAS!$E$6:$E$605,OCORRÊNCIAS!$B$6:$B$605,"Falta",OCORRÊNCIAS!$C$6:$C$605,"C",OCORRÊNCIAS!$I$6:$I$605,$N20)</f>
        <v>0</v>
      </c>
      <c r="E20" s="31" t="n">
        <f aca="false">SUMIFS(OCORRÊNCIAS!$E$6:$E$605,OCORRÊNCIAS!$B$6:$B$605,"Atestado",OCORRÊNCIAS!$C$6:$C$605,"A",OCORRÊNCIAS!$I$6:$I$605,$N20)</f>
        <v>0</v>
      </c>
      <c r="F20" s="31" t="n">
        <f aca="false">SUMIFS(OCORRÊNCIAS!$E$6:$E$605,OCORRÊNCIAS!$B$6:$B$605,"Atestado",OCORRÊNCIAS!$C$6:$C$605,"B",OCORRÊNCIAS!$I$6:$I$605,$N20)</f>
        <v>0</v>
      </c>
      <c r="G20" s="31" t="n">
        <f aca="false">SUMIFS(OCORRÊNCIAS!$E$6:$E$605,OCORRÊNCIAS!$B$6:$B$605,"Atestado",OCORRÊNCIAS!$C$6:$C$605,"C",OCORRÊNCIAS!$I$6:$I$605,$N20)</f>
        <v>0</v>
      </c>
      <c r="H20" s="31" t="n">
        <f aca="false">SUM(B20:G20)</f>
        <v>0</v>
      </c>
      <c r="I20" s="32" t="str">
        <f aca="false">REPT("▮",MIN($H20,20))</f>
        <v/>
      </c>
      <c r="N20" s="33" t="n">
        <f aca="true">EDATE(DATE(YEAR(TODAY()),MONTH(TODAY()),1),-5)</f>
        <v>46054</v>
      </c>
    </row>
    <row r="21" customFormat="false" ht="15" hidden="false" customHeight="false" outlineLevel="0" collapsed="false">
      <c r="A21" s="9" t="str">
        <f aca="false">CHOOSE(MONTH($N21),"JAN","FEV","MAR","ABR","MAI","JUN","JUL","AGO","SET","OUT","NOV","DEZ")&amp;"/"&amp;RIGHT(YEAR($N21),2)</f>
        <v>MAR/26</v>
      </c>
      <c r="B21" s="31" t="n">
        <f aca="false">SUMIFS(OCORRÊNCIAS!$E$6:$E$605,OCORRÊNCIAS!$B$6:$B$605,"Falta",OCORRÊNCIAS!$C$6:$C$605,"A",OCORRÊNCIAS!$I$6:$I$605,$N21)</f>
        <v>0</v>
      </c>
      <c r="C21" s="31" t="n">
        <f aca="false">SUMIFS(OCORRÊNCIAS!$E$6:$E$605,OCORRÊNCIAS!$B$6:$B$605,"Falta",OCORRÊNCIAS!$C$6:$C$605,"B",OCORRÊNCIAS!$I$6:$I$605,$N21)</f>
        <v>0</v>
      </c>
      <c r="D21" s="31" t="n">
        <f aca="false">SUMIFS(OCORRÊNCIAS!$E$6:$E$605,OCORRÊNCIAS!$B$6:$B$605,"Falta",OCORRÊNCIAS!$C$6:$C$605,"C",OCORRÊNCIAS!$I$6:$I$605,$N21)</f>
        <v>0</v>
      </c>
      <c r="E21" s="31" t="n">
        <f aca="false">SUMIFS(OCORRÊNCIAS!$E$6:$E$605,OCORRÊNCIAS!$B$6:$B$605,"Atestado",OCORRÊNCIAS!$C$6:$C$605,"A",OCORRÊNCIAS!$I$6:$I$605,$N21)</f>
        <v>0</v>
      </c>
      <c r="F21" s="31" t="n">
        <f aca="false">SUMIFS(OCORRÊNCIAS!$E$6:$E$605,OCORRÊNCIAS!$B$6:$B$605,"Atestado",OCORRÊNCIAS!$C$6:$C$605,"B",OCORRÊNCIAS!$I$6:$I$605,$N21)</f>
        <v>0</v>
      </c>
      <c r="G21" s="31" t="n">
        <f aca="false">SUMIFS(OCORRÊNCIAS!$E$6:$E$605,OCORRÊNCIAS!$B$6:$B$605,"Atestado",OCORRÊNCIAS!$C$6:$C$605,"C",OCORRÊNCIAS!$I$6:$I$605,$N21)</f>
        <v>0</v>
      </c>
      <c r="H21" s="31" t="n">
        <f aca="false">SUM(B21:G21)</f>
        <v>0</v>
      </c>
      <c r="I21" s="32" t="str">
        <f aca="false">REPT("▮",MIN($H21,20))</f>
        <v/>
      </c>
      <c r="N21" s="33" t="n">
        <f aca="true">EDATE(DATE(YEAR(TODAY()),MONTH(TODAY()),1),-4)</f>
        <v>46082</v>
      </c>
    </row>
    <row r="22" customFormat="false" ht="15" hidden="false" customHeight="false" outlineLevel="0" collapsed="false">
      <c r="A22" s="9" t="str">
        <f aca="false">CHOOSE(MONTH($N22),"JAN","FEV","MAR","ABR","MAI","JUN","JUL","AGO","SET","OUT","NOV","DEZ")&amp;"/"&amp;RIGHT(YEAR($N22),2)</f>
        <v>ABR/26</v>
      </c>
      <c r="B22" s="31" t="n">
        <f aca="false">SUMIFS(OCORRÊNCIAS!$E$6:$E$605,OCORRÊNCIAS!$B$6:$B$605,"Falta",OCORRÊNCIAS!$C$6:$C$605,"A",OCORRÊNCIAS!$I$6:$I$605,$N22)</f>
        <v>0</v>
      </c>
      <c r="C22" s="31" t="n">
        <f aca="false">SUMIFS(OCORRÊNCIAS!$E$6:$E$605,OCORRÊNCIAS!$B$6:$B$605,"Falta",OCORRÊNCIAS!$C$6:$C$605,"B",OCORRÊNCIAS!$I$6:$I$605,$N22)</f>
        <v>0</v>
      </c>
      <c r="D22" s="31" t="n">
        <f aca="false">SUMIFS(OCORRÊNCIAS!$E$6:$E$605,OCORRÊNCIAS!$B$6:$B$605,"Falta",OCORRÊNCIAS!$C$6:$C$605,"C",OCORRÊNCIAS!$I$6:$I$605,$N22)</f>
        <v>0</v>
      </c>
      <c r="E22" s="31" t="n">
        <f aca="false">SUMIFS(OCORRÊNCIAS!$E$6:$E$605,OCORRÊNCIAS!$B$6:$B$605,"Atestado",OCORRÊNCIAS!$C$6:$C$605,"A",OCORRÊNCIAS!$I$6:$I$605,$N22)</f>
        <v>0</v>
      </c>
      <c r="F22" s="31" t="n">
        <f aca="false">SUMIFS(OCORRÊNCIAS!$E$6:$E$605,OCORRÊNCIAS!$B$6:$B$605,"Atestado",OCORRÊNCIAS!$C$6:$C$605,"B",OCORRÊNCIAS!$I$6:$I$605,$N22)</f>
        <v>0</v>
      </c>
      <c r="G22" s="31" t="n">
        <f aca="false">SUMIFS(OCORRÊNCIAS!$E$6:$E$605,OCORRÊNCIAS!$B$6:$B$605,"Atestado",OCORRÊNCIAS!$C$6:$C$605,"C",OCORRÊNCIAS!$I$6:$I$605,$N22)</f>
        <v>0</v>
      </c>
      <c r="H22" s="31" t="n">
        <f aca="false">SUM(B22:G22)</f>
        <v>0</v>
      </c>
      <c r="I22" s="32" t="str">
        <f aca="false">REPT("▮",MIN($H22,20))</f>
        <v/>
      </c>
      <c r="N22" s="33" t="n">
        <f aca="true">EDATE(DATE(YEAR(TODAY()),MONTH(TODAY()),1),-3)</f>
        <v>46113</v>
      </c>
    </row>
    <row r="23" customFormat="false" ht="15" hidden="false" customHeight="false" outlineLevel="0" collapsed="false">
      <c r="A23" s="9" t="str">
        <f aca="false">CHOOSE(MONTH($N23),"JAN","FEV","MAR","ABR","MAI","JUN","JUL","AGO","SET","OUT","NOV","DEZ")&amp;"/"&amp;RIGHT(YEAR($N23),2)</f>
        <v>MAI/26</v>
      </c>
      <c r="B23" s="31" t="n">
        <f aca="false">SUMIFS(OCORRÊNCIAS!$E$6:$E$605,OCORRÊNCIAS!$B$6:$B$605,"Falta",OCORRÊNCIAS!$C$6:$C$605,"A",OCORRÊNCIAS!$I$6:$I$605,$N23)</f>
        <v>0</v>
      </c>
      <c r="C23" s="31" t="n">
        <f aca="false">SUMIFS(OCORRÊNCIAS!$E$6:$E$605,OCORRÊNCIAS!$B$6:$B$605,"Falta",OCORRÊNCIAS!$C$6:$C$605,"B",OCORRÊNCIAS!$I$6:$I$605,$N23)</f>
        <v>0</v>
      </c>
      <c r="D23" s="31" t="n">
        <f aca="false">SUMIFS(OCORRÊNCIAS!$E$6:$E$605,OCORRÊNCIAS!$B$6:$B$605,"Falta",OCORRÊNCIAS!$C$6:$C$605,"C",OCORRÊNCIAS!$I$6:$I$605,$N23)</f>
        <v>0</v>
      </c>
      <c r="E23" s="31" t="n">
        <f aca="false">SUMIFS(OCORRÊNCIAS!$E$6:$E$605,OCORRÊNCIAS!$B$6:$B$605,"Atestado",OCORRÊNCIAS!$C$6:$C$605,"A",OCORRÊNCIAS!$I$6:$I$605,$N23)</f>
        <v>0</v>
      </c>
      <c r="F23" s="31" t="n">
        <f aca="false">SUMIFS(OCORRÊNCIAS!$E$6:$E$605,OCORRÊNCIAS!$B$6:$B$605,"Atestado",OCORRÊNCIAS!$C$6:$C$605,"B",OCORRÊNCIAS!$I$6:$I$605,$N23)</f>
        <v>0</v>
      </c>
      <c r="G23" s="31" t="n">
        <f aca="false">SUMIFS(OCORRÊNCIAS!$E$6:$E$605,OCORRÊNCIAS!$B$6:$B$605,"Atestado",OCORRÊNCIAS!$C$6:$C$605,"C",OCORRÊNCIAS!$I$6:$I$605,$N23)</f>
        <v>0</v>
      </c>
      <c r="H23" s="31" t="n">
        <f aca="false">SUM(B23:G23)</f>
        <v>0</v>
      </c>
      <c r="I23" s="32" t="str">
        <f aca="false">REPT("▮",MIN($H23,20))</f>
        <v/>
      </c>
      <c r="N23" s="33" t="n">
        <f aca="true">EDATE(DATE(YEAR(TODAY()),MONTH(TODAY()),1),-2)</f>
        <v>46143</v>
      </c>
    </row>
    <row r="24" customFormat="false" ht="15" hidden="false" customHeight="false" outlineLevel="0" collapsed="false">
      <c r="A24" s="9" t="str">
        <f aca="false">CHOOSE(MONTH($N24),"JAN","FEV","MAR","ABR","MAI","JUN","JUL","AGO","SET","OUT","NOV","DEZ")&amp;"/"&amp;RIGHT(YEAR($N24),2)</f>
        <v>JUN/26</v>
      </c>
      <c r="B24" s="31" t="n">
        <f aca="false">SUMIFS(OCORRÊNCIAS!$E$6:$E$605,OCORRÊNCIAS!$B$6:$B$605,"Falta",OCORRÊNCIAS!$C$6:$C$605,"A",OCORRÊNCIAS!$I$6:$I$605,$N24)</f>
        <v>0</v>
      </c>
      <c r="C24" s="31" t="n">
        <f aca="false">SUMIFS(OCORRÊNCIAS!$E$6:$E$605,OCORRÊNCIAS!$B$6:$B$605,"Falta",OCORRÊNCIAS!$C$6:$C$605,"B",OCORRÊNCIAS!$I$6:$I$605,$N24)</f>
        <v>0</v>
      </c>
      <c r="D24" s="31" t="n">
        <f aca="false">SUMIFS(OCORRÊNCIAS!$E$6:$E$605,OCORRÊNCIAS!$B$6:$B$605,"Falta",OCORRÊNCIAS!$C$6:$C$605,"C",OCORRÊNCIAS!$I$6:$I$605,$N24)</f>
        <v>0</v>
      </c>
      <c r="E24" s="31" t="n">
        <f aca="false">SUMIFS(OCORRÊNCIAS!$E$6:$E$605,OCORRÊNCIAS!$B$6:$B$605,"Atestado",OCORRÊNCIAS!$C$6:$C$605,"A",OCORRÊNCIAS!$I$6:$I$605,$N24)</f>
        <v>0</v>
      </c>
      <c r="F24" s="31" t="n">
        <f aca="false">SUMIFS(OCORRÊNCIAS!$E$6:$E$605,OCORRÊNCIAS!$B$6:$B$605,"Atestado",OCORRÊNCIAS!$C$6:$C$605,"B",OCORRÊNCIAS!$I$6:$I$605,$N24)</f>
        <v>0</v>
      </c>
      <c r="G24" s="31" t="n">
        <f aca="false">SUMIFS(OCORRÊNCIAS!$E$6:$E$605,OCORRÊNCIAS!$B$6:$B$605,"Atestado",OCORRÊNCIAS!$C$6:$C$605,"C",OCORRÊNCIAS!$I$6:$I$605,$N24)</f>
        <v>0</v>
      </c>
      <c r="H24" s="31" t="n">
        <f aca="false">SUM(B24:G24)</f>
        <v>0</v>
      </c>
      <c r="I24" s="32" t="str">
        <f aca="false">REPT("▮",MIN($H24,20))</f>
        <v/>
      </c>
      <c r="N24" s="33" t="n">
        <f aca="true">EDATE(DATE(YEAR(TODAY()),MONTH(TODAY()),1),-1)</f>
        <v>46174</v>
      </c>
    </row>
    <row r="25" customFormat="false" ht="15" hidden="false" customHeight="false" outlineLevel="0" collapsed="false">
      <c r="A25" s="9" t="str">
        <f aca="false">CHOOSE(MONTH($N25),"JAN","FEV","MAR","ABR","MAI","JUN","JUL","AGO","SET","OUT","NOV","DEZ")&amp;"/"&amp;RIGHT(YEAR($N25),2)</f>
        <v>JUL/26</v>
      </c>
      <c r="B25" s="31" t="n">
        <f aca="false">SUMIFS(OCORRÊNCIAS!$E$6:$E$605,OCORRÊNCIAS!$B$6:$B$605,"Falta",OCORRÊNCIAS!$C$6:$C$605,"A",OCORRÊNCIAS!$I$6:$I$605,$N25)</f>
        <v>0</v>
      </c>
      <c r="C25" s="31" t="n">
        <f aca="false">SUMIFS(OCORRÊNCIAS!$E$6:$E$605,OCORRÊNCIAS!$B$6:$B$605,"Falta",OCORRÊNCIAS!$C$6:$C$605,"B",OCORRÊNCIAS!$I$6:$I$605,$N25)</f>
        <v>0</v>
      </c>
      <c r="D25" s="31" t="n">
        <f aca="false">SUMIFS(OCORRÊNCIAS!$E$6:$E$605,OCORRÊNCIAS!$B$6:$B$605,"Falta",OCORRÊNCIAS!$C$6:$C$605,"C",OCORRÊNCIAS!$I$6:$I$605,$N25)</f>
        <v>0</v>
      </c>
      <c r="E25" s="31" t="n">
        <f aca="false">SUMIFS(OCORRÊNCIAS!$E$6:$E$605,OCORRÊNCIAS!$B$6:$B$605,"Atestado",OCORRÊNCIAS!$C$6:$C$605,"A",OCORRÊNCIAS!$I$6:$I$605,$N25)</f>
        <v>0</v>
      </c>
      <c r="F25" s="31" t="n">
        <f aca="false">SUMIFS(OCORRÊNCIAS!$E$6:$E$605,OCORRÊNCIAS!$B$6:$B$605,"Atestado",OCORRÊNCIAS!$C$6:$C$605,"B",OCORRÊNCIAS!$I$6:$I$605,$N25)</f>
        <v>0</v>
      </c>
      <c r="G25" s="31" t="n">
        <f aca="false">SUMIFS(OCORRÊNCIAS!$E$6:$E$605,OCORRÊNCIAS!$B$6:$B$605,"Atestado",OCORRÊNCIAS!$C$6:$C$605,"C",OCORRÊNCIAS!$I$6:$I$605,$N25)</f>
        <v>0</v>
      </c>
      <c r="H25" s="31" t="n">
        <f aca="false">SUM(B25:G25)</f>
        <v>0</v>
      </c>
      <c r="I25" s="32" t="str">
        <f aca="false">REPT("▮",MIN($H25,20))</f>
        <v/>
      </c>
      <c r="N25" s="33" t="n">
        <f aca="true">EDATE(DATE(YEAR(TODAY()),MONTH(TODAY()),1),0)</f>
        <v>46204</v>
      </c>
    </row>
    <row r="26" customFormat="false" ht="15" hidden="false" customHeight="false" outlineLevel="0" collapsed="false">
      <c r="A26" s="34" t="s">
        <v>77</v>
      </c>
      <c r="B26" s="35" t="n">
        <f aca="false">SUM(B14:B25)</f>
        <v>0</v>
      </c>
      <c r="C26" s="35" t="n">
        <f aca="false">SUM(C14:C25)</f>
        <v>0</v>
      </c>
      <c r="D26" s="35" t="n">
        <f aca="false">SUM(D14:D25)</f>
        <v>0</v>
      </c>
      <c r="E26" s="35" t="n">
        <f aca="false">SUM(E14:E25)</f>
        <v>0</v>
      </c>
      <c r="F26" s="35" t="n">
        <f aca="false">SUM(F14:F25)</f>
        <v>0</v>
      </c>
      <c r="G26" s="35" t="n">
        <f aca="false">SUM(G14:G25)</f>
        <v>0</v>
      </c>
      <c r="H26" s="35" t="n">
        <f aca="false">SUM(H14:H25)</f>
        <v>0</v>
      </c>
      <c r="I26" s="36"/>
    </row>
    <row r="28" customFormat="false" ht="15" hidden="false" customHeight="false" outlineLevel="0" collapsed="false">
      <c r="A28" s="24" t="s">
        <v>79</v>
      </c>
    </row>
    <row r="29" customFormat="false" ht="19.5" hidden="false" customHeight="true" outlineLevel="0" collapsed="false">
      <c r="A29" s="37" t="str">
        <f aca="false">"1. Atrasos a cobrar — Turno A: "&amp;$F$8&amp;" · Turno B: "&amp;$F$9&amp;" · Turno C: "&amp;$F$10</f>
        <v>1. Atrasos a cobrar — Turno A: 10 · Turno B: 10 · Turno C: 10</v>
      </c>
      <c r="B29" s="37"/>
      <c r="C29" s="37"/>
      <c r="D29" s="37"/>
      <c r="E29" s="37"/>
      <c r="F29" s="37"/>
      <c r="G29" s="37"/>
      <c r="H29" s="37"/>
      <c r="I29" s="37"/>
    </row>
    <row r="30" customFormat="false" ht="19.5" hidden="false" customHeight="true" outlineLevel="0" collapsed="false">
      <c r="A30" s="38" t="str">
        <f aca="false">"2. Entregas aguardando sua validação (Aprovado/Reprovado): "&amp;$G$4</f>
        <v>2. Entregas aguardando sua validação (Aprovado/Reprovado): 0</v>
      </c>
      <c r="B30" s="38"/>
      <c r="C30" s="38"/>
      <c r="D30" s="38"/>
      <c r="E30" s="38"/>
      <c r="F30" s="38"/>
      <c r="G30" s="38"/>
      <c r="H30" s="38"/>
      <c r="I30" s="38"/>
    </row>
    <row r="31" customFormat="false" ht="19.5" hidden="false" customHeight="true" outlineLevel="0" collapsed="false">
      <c r="A31" s="37" t="str">
        <f aca="false">"3. Absenteísmo da semana — faltas: "&amp;($D$8+$D$9+$D$10)&amp;" · atestados: "&amp;($E$8+$E$9+$E$10)</f>
        <v>3. Absenteísmo da semana — faltas: 0 · atestados: 0</v>
      </c>
      <c r="B31" s="37"/>
      <c r="C31" s="37"/>
      <c r="D31" s="37"/>
      <c r="E31" s="37"/>
      <c r="F31" s="37"/>
      <c r="G31" s="37"/>
      <c r="H31" s="37"/>
      <c r="I31" s="37"/>
    </row>
    <row r="32" customFormat="false" ht="19.5" hidden="false" customHeight="true" outlineLevel="0" collapsed="false">
      <c r="A32" s="38" t="str">
        <f aca="true">"4. Erros operacionais registrados na semana: "&amp;SUMIFS(OCORRÊNCIAS!$E$6:$E$605,OCORRÊNCIAS!$B$6:$B$605,"Erro operacional",OCORRÊNCIAS!$H$6:$H$605,$C$4,OCORRÊNCIAS!$J$6:$J$605,YEAR(TODAY()+4-WEEKDAY(TODAY(),2)))&amp;" — Pareto por setor na aba PAINEL"</f>
        <v>4. Erros operacionais registrados na semana: 0 — Pareto por setor na aba PAINEL</v>
      </c>
      <c r="B32" s="38"/>
      <c r="C32" s="38"/>
      <c r="D32" s="38"/>
      <c r="E32" s="38"/>
      <c r="F32" s="38"/>
      <c r="G32" s="38"/>
      <c r="H32" s="38"/>
      <c r="I32" s="38"/>
    </row>
    <row r="33" customFormat="false" ht="19.5" hidden="false" customHeight="true" outlineLevel="0" collapsed="false">
      <c r="A33" s="37" t="str">
        <f aca="false">"5. Reprovações pendentes de correção: "&amp;($H$8+$H$9+$H$10)</f>
        <v>5. Reprovações pendentes de correção: 0</v>
      </c>
      <c r="B33" s="37"/>
      <c r="C33" s="37"/>
      <c r="D33" s="37"/>
      <c r="E33" s="37"/>
      <c r="F33" s="37"/>
      <c r="G33" s="37"/>
      <c r="H33" s="37"/>
      <c r="I33" s="37"/>
    </row>
    <row r="34" customFormat="false" ht="19.5" hidden="false" customHeight="true" outlineLevel="0" collapsed="false">
      <c r="A34" s="38" t="str">
        <f aca="false">"6. Vistorias — revisar checklists da semana e definir os setores da próxima (coluna SETOR)"</f>
        <v>6. Vistorias — revisar checklists da semana e definir os setores da próxima (coluna SETOR)</v>
      </c>
      <c r="B34" s="38"/>
      <c r="C34" s="38"/>
      <c r="D34" s="38"/>
      <c r="E34" s="38"/>
      <c r="F34" s="38"/>
      <c r="G34" s="38"/>
      <c r="H34" s="38"/>
      <c r="I34" s="38"/>
    </row>
    <row r="35" customFormat="false" ht="19.5" hidden="false" customHeight="true" outlineLevel="0" collapsed="false">
      <c r="A35" s="37" t="str">
        <f aca="false">"7. Treinamentos e mudanças de função — confirmar datas na aba do mês"</f>
        <v>7. Treinamentos e mudanças de função — confirmar datas na aba do mês</v>
      </c>
      <c r="B35" s="37"/>
      <c r="C35" s="37"/>
      <c r="D35" s="37"/>
      <c r="E35" s="37"/>
      <c r="F35" s="37"/>
      <c r="G35" s="37"/>
      <c r="H35" s="37"/>
      <c r="I35" s="37"/>
    </row>
    <row r="37" customFormat="false" ht="15" hidden="false" customHeight="false" outlineLevel="0" collapsed="false">
      <c r="A37" s="15" t="s">
        <v>80</v>
      </c>
    </row>
  </sheetData>
  <mergeCells count="8">
    <mergeCell ref="A1:F1"/>
    <mergeCell ref="A29:I29"/>
    <mergeCell ref="A30:I30"/>
    <mergeCell ref="A31:I31"/>
    <mergeCell ref="A32:I32"/>
    <mergeCell ref="A33:I33"/>
    <mergeCell ref="A34:I34"/>
    <mergeCell ref="A35:I35"/>
  </mergeCells>
  <conditionalFormatting sqref="B8:C10">
    <cfRule type="expression" priority="2" aboveAverage="0" equalAverage="0" bottom="0" percent="0" rank="0" text="" dxfId="0">
      <formula>ISNUMBER(SEARCH("ATRASAD",B8))</formula>
    </cfRule>
    <cfRule type="expression" priority="3" aboveAverage="0" equalAverage="0" bottom="0" percent="0" rank="0" text="" dxfId="1">
      <formula>ISNUMBER(SEARCH("✔",B8))</formula>
    </cfRule>
    <cfRule type="expression" priority="4" aboveAverage="0" equalAverage="0" bottom="0" percent="0" rank="0" text="" dxfId="2">
      <formula>ISNUMBER(SEARCH("◉",B8))</formula>
    </cfRule>
  </conditionalFormatting>
  <conditionalFormatting sqref="F8:F10">
    <cfRule type="expression" priority="5" aboveAverage="0" equalAverage="0" bottom="0" percent="0" rank="0" text="" dxfId="3">
      <formula>F8&gt;0</formula>
    </cfRule>
  </conditionalFormatting>
  <conditionalFormatting sqref="D8:E10">
    <cfRule type="colorScale" priority="6">
      <colorScale>
        <cfvo type="num" val="0"/>
        <cfvo type="num" val="8"/>
        <color rgb="FFFFFFFF"/>
        <color rgb="FFF4B6B6"/>
      </colorScale>
    </cfRule>
  </conditionalFormatting>
  <conditionalFormatting sqref="B14:G25">
    <cfRule type="colorScale" priority="7">
      <colorScale>
        <cfvo type="num" val="0"/>
        <cfvo type="num" val="5"/>
        <cfvo type="num" val="12"/>
        <color rgb="FFFFFFFF"/>
        <color rgb="FFFFF6BF"/>
        <color rgb="FFF4B6B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3"/>
  </cols>
  <sheetData>
    <row r="1" customFormat="false" ht="45.75" hidden="false" customHeight="true" outlineLevel="0" collapsed="false">
      <c r="A1" s="1" t="s">
        <v>81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4"/>
      <c r="H2" s="4"/>
      <c r="I2" s="4"/>
      <c r="J2" s="4"/>
      <c r="K2" s="4"/>
      <c r="L2" s="4"/>
    </row>
    <row r="3" customFormat="false" ht="15" hidden="false" customHeight="false" outlineLevel="0" collapsed="false">
      <c r="A3" s="19" t="s">
        <v>82</v>
      </c>
      <c r="C3" s="19" t="s">
        <v>83</v>
      </c>
      <c r="E3" s="19" t="s">
        <v>84</v>
      </c>
      <c r="G3" s="19" t="s">
        <v>85</v>
      </c>
      <c r="J3" s="19" t="s">
        <v>86</v>
      </c>
      <c r="N3" s="39" t="s">
        <v>87</v>
      </c>
    </row>
    <row r="4" customFormat="false" ht="19.7" hidden="false" customHeight="false" outlineLevel="0" collapsed="false">
      <c r="A4" s="40" t="n">
        <f aca="true">SUMIFS(OCORRÊNCIAS!$E$6:$E$605,OCORRÊNCIAS!$B$6:$B$605,"Erro operacional",OCORRÊNCIAS!$I$6:$I$605,DATE(YEAR(TODAY()),MONTH(TODAY()),1))</f>
        <v>0</v>
      </c>
      <c r="C4" s="41" t="n">
        <f aca="true">SUMIFS(OCORRÊNCIAS!$E$6:$E$605,OCORRÊNCIAS!$B$6:$B$605,"Falta",OCORRÊNCIAS!$I$6:$I$605,DATE(YEAR(TODAY()),MONTH(TODAY()),1))+SUMIFS(OCORRÊNCIAS!$E$6:$E$605,OCORRÊNCIAS!$B$6:$B$605,"Atestado",OCORRÊNCIAS!$I$6:$I$605,DATE(YEAR(TODAY()),MONTH(TODAY()),1))</f>
        <v>0</v>
      </c>
      <c r="E4" s="42" t="n">
        <f aca="true">($A$4+$C$4)-(SUMIFS(OCORRÊNCIAS!$E$6:$E$605,OCORRÊNCIAS!$I$6:$I$605,EDATE(DATE(YEAR(TODAY()),MONTH(TODAY()),1),-1)))</f>
        <v>0</v>
      </c>
      <c r="G4" s="41" t="str">
        <f aca="false">IF($AH$4=0,"—",$AG$4)</f>
        <v>—</v>
      </c>
      <c r="J4" s="43" t="n">
        <f aca="false">CENTRAL!$G$4</f>
        <v>0</v>
      </c>
      <c r="N4" s="44" t="s">
        <v>88</v>
      </c>
      <c r="O4" s="44" t="s">
        <v>70</v>
      </c>
      <c r="P4" s="44" t="s">
        <v>89</v>
      </c>
      <c r="Q4" s="44" t="s">
        <v>90</v>
      </c>
      <c r="R4" s="44" t="s">
        <v>91</v>
      </c>
      <c r="S4" s="44" t="s">
        <v>92</v>
      </c>
      <c r="T4" s="44" t="s">
        <v>93</v>
      </c>
      <c r="U4" s="44" t="s">
        <v>94</v>
      </c>
      <c r="V4" s="44" t="s">
        <v>95</v>
      </c>
      <c r="W4" s="44" t="s">
        <v>77</v>
      </c>
      <c r="X4" s="44" t="s">
        <v>96</v>
      </c>
      <c r="AF4" s="45" t="n">
        <f aca="false">IFERROR(LARGE($P$26:$P$54,1),"")</f>
        <v>3.7E-005</v>
      </c>
      <c r="AG4" s="45" t="str">
        <f aca="false">IF($AF4="","",INDEX($N$26:$N$54,MATCH($AF4,$P$26:$P$54,0)))</f>
        <v>Administrativo do CD</v>
      </c>
      <c r="AH4" s="45" t="n">
        <f aca="false">IF($AF4="",0,ROUND($AF4,0))</f>
        <v>0</v>
      </c>
    </row>
    <row r="5" customFormat="false" ht="15" hidden="false" customHeight="true" outlineLevel="0" collapsed="false">
      <c r="A5" s="46" t="s">
        <v>97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N5" s="47" t="n">
        <f aca="false">EDATE(DATE(2026,7,1),0)</f>
        <v>46204</v>
      </c>
      <c r="O5" s="45" t="str">
        <f aca="false">CHOOSE(MONTH($N5),"JAN","FEV","MAR","ABR","MAI","JUN","JUL","AGO","SET","OUT","NOV","DEZ")&amp;"/"&amp;RIGHT(YEAR($N5),2)</f>
        <v>JUL/26</v>
      </c>
      <c r="P5" s="45" t="n">
        <f aca="false">SUMIFS(OCORRÊNCIAS!$E$6:$E$605,OCORRÊNCIAS!$B$6:$B$605,"Erro operacional",OCORRÊNCIAS!$C$6:$C$605,"A",OCORRÊNCIAS!$I$6:$I$605,$N5)</f>
        <v>0</v>
      </c>
      <c r="Q5" s="45" t="n">
        <f aca="false">SUMIFS(OCORRÊNCIAS!$E$6:$E$605,OCORRÊNCIAS!$B$6:$B$605,"Erro operacional",OCORRÊNCIAS!$C$6:$C$605,"B",OCORRÊNCIAS!$I$6:$I$605,$N5)</f>
        <v>0</v>
      </c>
      <c r="R5" s="45" t="n">
        <f aca="false">SUMIFS(OCORRÊNCIAS!$E$6:$E$605,OCORRÊNCIAS!$B$6:$B$605,"Erro operacional",OCORRÊNCIAS!$C$6:$C$605,"C",OCORRÊNCIAS!$I$6:$I$605,$N5)</f>
        <v>0</v>
      </c>
      <c r="S5" s="45" t="n">
        <f aca="false">SUMIFS(OCORRÊNCIAS!$E$6:$E$605,OCORRÊNCIAS!$B$6:$B$605,"Falta",OCORRÊNCIAS!$C$6:$C$605,"A",OCORRÊNCIAS!$I$6:$I$605,$N5)+SUMIFS(OCORRÊNCIAS!$E$6:$E$605,OCORRÊNCIAS!$B$6:$B$605,"Atestado",OCORRÊNCIAS!$C$6:$C$605,"A",OCORRÊNCIAS!$I$6:$I$605,$N5)</f>
        <v>0</v>
      </c>
      <c r="T5" s="45" t="n">
        <f aca="false">SUMIFS(OCORRÊNCIAS!$E$6:$E$605,OCORRÊNCIAS!$B$6:$B$605,"Falta",OCORRÊNCIAS!$C$6:$C$605,"B",OCORRÊNCIAS!$I$6:$I$605,$N5)+SUMIFS(OCORRÊNCIAS!$E$6:$E$605,OCORRÊNCIAS!$B$6:$B$605,"Atestado",OCORRÊNCIAS!$C$6:$C$605,"B",OCORRÊNCIAS!$I$6:$I$605,$N5)</f>
        <v>0</v>
      </c>
      <c r="U5" s="45" t="n">
        <f aca="false">SUMIFS(OCORRÊNCIAS!$E$6:$E$605,OCORRÊNCIAS!$B$6:$B$605,"Falta",OCORRÊNCIAS!$C$6:$C$605,"C",OCORRÊNCIAS!$I$6:$I$605,$N5)+SUMIFS(OCORRÊNCIAS!$E$6:$E$605,OCORRÊNCIAS!$B$6:$B$605,"Atestado",OCORRÊNCIAS!$C$6:$C$605,"C",OCORRÊNCIAS!$I$6:$I$605,$N5)</f>
        <v>0</v>
      </c>
      <c r="V5" s="45" t="n">
        <f aca="true">IFERROR(COUNTIF(INDIRECT("'"&amp;$O5&amp;"'!$S$22:$S$150"),"Aprovada"),0)</f>
        <v>0</v>
      </c>
      <c r="W5" s="45" t="n">
        <f aca="true">IFERROR(COUNTIF(INDIRECT("'"&amp;$O5&amp;"'!$S$22:$S$150"),"Aprovada"),0)+IFERROR(COUNTIF(INDIRECT("'"&amp;$O5&amp;"'!$S$22:$S$150"),"Entregue"),0)+IFERROR(COUNTIF(INDIRECT("'"&amp;$O5&amp;"'!$S$22:$S$150"),"Pendente"),0)+IFERROR(COUNTIF(INDIRECT("'"&amp;$O5&amp;"'!$S$22:$S$150"),"Atrasada"),0)+IFERROR(COUNTIF(INDIRECT("'"&amp;$O5&amp;"'!$S$22:$S$150"),"Reprovada"),0)</f>
        <v>0</v>
      </c>
      <c r="X5" s="48" t="n">
        <f aca="false">IF($W5=0,0,$V5/$W5)</f>
        <v>0</v>
      </c>
      <c r="AF5" s="45" t="n">
        <f aca="false">IFERROR(LARGE($P$26:$P$54,2),"")</f>
        <v>3.6E-005</v>
      </c>
      <c r="AG5" s="45" t="str">
        <f aca="false">IF($AF5="","",INDEX($N$26:$N$54,MATCH($AF5,$P$26:$P$54,0)))</f>
        <v>Pátio / Área externa</v>
      </c>
      <c r="AH5" s="45" t="n">
        <f aca="false">IF($AF5="",0,ROUND($AF5,0))</f>
        <v>0</v>
      </c>
    </row>
    <row r="6" customFormat="false" ht="15" hidden="false" customHeight="false" outlineLevel="0" collapsed="false">
      <c r="N6" s="47" t="n">
        <f aca="false">EDATE(DATE(2026,7,1),1)</f>
        <v>46235</v>
      </c>
      <c r="O6" s="45" t="str">
        <f aca="false">CHOOSE(MONTH($N6),"JAN","FEV","MAR","ABR","MAI","JUN","JUL","AGO","SET","OUT","NOV","DEZ")&amp;"/"&amp;RIGHT(YEAR($N6),2)</f>
        <v>AGO/26</v>
      </c>
      <c r="P6" s="45" t="n">
        <f aca="false">SUMIFS(OCORRÊNCIAS!$E$6:$E$605,OCORRÊNCIAS!$B$6:$B$605,"Erro operacional",OCORRÊNCIAS!$C$6:$C$605,"A",OCORRÊNCIAS!$I$6:$I$605,$N6)</f>
        <v>0</v>
      </c>
      <c r="Q6" s="45" t="n">
        <f aca="false">SUMIFS(OCORRÊNCIAS!$E$6:$E$605,OCORRÊNCIAS!$B$6:$B$605,"Erro operacional",OCORRÊNCIAS!$C$6:$C$605,"B",OCORRÊNCIAS!$I$6:$I$605,$N6)</f>
        <v>0</v>
      </c>
      <c r="R6" s="45" t="n">
        <f aca="false">SUMIFS(OCORRÊNCIAS!$E$6:$E$605,OCORRÊNCIAS!$B$6:$B$605,"Erro operacional",OCORRÊNCIAS!$C$6:$C$605,"C",OCORRÊNCIAS!$I$6:$I$605,$N6)</f>
        <v>0</v>
      </c>
      <c r="S6" s="45" t="n">
        <f aca="false">SUMIFS(OCORRÊNCIAS!$E$6:$E$605,OCORRÊNCIAS!$B$6:$B$605,"Falta",OCORRÊNCIAS!$C$6:$C$605,"A",OCORRÊNCIAS!$I$6:$I$605,$N6)+SUMIFS(OCORRÊNCIAS!$E$6:$E$605,OCORRÊNCIAS!$B$6:$B$605,"Atestado",OCORRÊNCIAS!$C$6:$C$605,"A",OCORRÊNCIAS!$I$6:$I$605,$N6)</f>
        <v>0</v>
      </c>
      <c r="T6" s="45" t="n">
        <f aca="false">SUMIFS(OCORRÊNCIAS!$E$6:$E$605,OCORRÊNCIAS!$B$6:$B$605,"Falta",OCORRÊNCIAS!$C$6:$C$605,"B",OCORRÊNCIAS!$I$6:$I$605,$N6)+SUMIFS(OCORRÊNCIAS!$E$6:$E$605,OCORRÊNCIAS!$B$6:$B$605,"Atestado",OCORRÊNCIAS!$C$6:$C$605,"B",OCORRÊNCIAS!$I$6:$I$605,$N6)</f>
        <v>0</v>
      </c>
      <c r="U6" s="45" t="n">
        <f aca="false">SUMIFS(OCORRÊNCIAS!$E$6:$E$605,OCORRÊNCIAS!$B$6:$B$605,"Falta",OCORRÊNCIAS!$C$6:$C$605,"C",OCORRÊNCIAS!$I$6:$I$605,$N6)+SUMIFS(OCORRÊNCIAS!$E$6:$E$605,OCORRÊNCIAS!$B$6:$B$605,"Atestado",OCORRÊNCIAS!$C$6:$C$605,"C",OCORRÊNCIAS!$I$6:$I$605,$N6)</f>
        <v>0</v>
      </c>
      <c r="V6" s="45" t="n">
        <f aca="true">IFERROR(COUNTIF(INDIRECT("'"&amp;$O6&amp;"'!$S$22:$S$150"),"Aprovada"),0)</f>
        <v>0</v>
      </c>
      <c r="W6" s="45" t="n">
        <f aca="true">IFERROR(COUNTIF(INDIRECT("'"&amp;$O6&amp;"'!$S$22:$S$150"),"Aprovada"),0)+IFERROR(COUNTIF(INDIRECT("'"&amp;$O6&amp;"'!$S$22:$S$150"),"Entregue"),0)+IFERROR(COUNTIF(INDIRECT("'"&amp;$O6&amp;"'!$S$22:$S$150"),"Pendente"),0)+IFERROR(COUNTIF(INDIRECT("'"&amp;$O6&amp;"'!$S$22:$S$150"),"Atrasada"),0)+IFERROR(COUNTIF(INDIRECT("'"&amp;$O6&amp;"'!$S$22:$S$150"),"Reprovada"),0)</f>
        <v>0</v>
      </c>
      <c r="X6" s="48" t="n">
        <f aca="false">IF($W6=0,0,$V6/$W6)</f>
        <v>0</v>
      </c>
      <c r="AF6" s="45" t="n">
        <f aca="false">IFERROR(LARGE($P$26:$P$54,3),"")</f>
        <v>3.5E-005</v>
      </c>
      <c r="AG6" s="45" t="str">
        <f aca="false">IF($AF6="","",INDEX($N$26:$N$54,MATCH($AF6,$P$26:$P$54,0)))</f>
        <v>Manutenção</v>
      </c>
      <c r="AH6" s="45" t="n">
        <f aca="false">IF($AF6="",0,ROUND($AF6,0))</f>
        <v>0</v>
      </c>
    </row>
    <row r="7" customFormat="false" ht="15" hidden="false" customHeight="false" outlineLevel="0" collapsed="false">
      <c r="N7" s="47" t="n">
        <f aca="false">EDATE(DATE(2026,7,1),2)</f>
        <v>46266</v>
      </c>
      <c r="O7" s="45" t="str">
        <f aca="false">CHOOSE(MONTH($N7),"JAN","FEV","MAR","ABR","MAI","JUN","JUL","AGO","SET","OUT","NOV","DEZ")&amp;"/"&amp;RIGHT(YEAR($N7),2)</f>
        <v>SET/26</v>
      </c>
      <c r="P7" s="45" t="n">
        <f aca="false">SUMIFS(OCORRÊNCIAS!$E$6:$E$605,OCORRÊNCIAS!$B$6:$B$605,"Erro operacional",OCORRÊNCIAS!$C$6:$C$605,"A",OCORRÊNCIAS!$I$6:$I$605,$N7)</f>
        <v>0</v>
      </c>
      <c r="Q7" s="45" t="n">
        <f aca="false">SUMIFS(OCORRÊNCIAS!$E$6:$E$605,OCORRÊNCIAS!$B$6:$B$605,"Erro operacional",OCORRÊNCIAS!$C$6:$C$605,"B",OCORRÊNCIAS!$I$6:$I$605,$N7)</f>
        <v>0</v>
      </c>
      <c r="R7" s="45" t="n">
        <f aca="false">SUMIFS(OCORRÊNCIAS!$E$6:$E$605,OCORRÊNCIAS!$B$6:$B$605,"Erro operacional",OCORRÊNCIAS!$C$6:$C$605,"C",OCORRÊNCIAS!$I$6:$I$605,$N7)</f>
        <v>0</v>
      </c>
      <c r="S7" s="45" t="n">
        <f aca="false">SUMIFS(OCORRÊNCIAS!$E$6:$E$605,OCORRÊNCIAS!$B$6:$B$605,"Falta",OCORRÊNCIAS!$C$6:$C$605,"A",OCORRÊNCIAS!$I$6:$I$605,$N7)+SUMIFS(OCORRÊNCIAS!$E$6:$E$605,OCORRÊNCIAS!$B$6:$B$605,"Atestado",OCORRÊNCIAS!$C$6:$C$605,"A",OCORRÊNCIAS!$I$6:$I$605,$N7)</f>
        <v>0</v>
      </c>
      <c r="T7" s="45" t="n">
        <f aca="false">SUMIFS(OCORRÊNCIAS!$E$6:$E$605,OCORRÊNCIAS!$B$6:$B$605,"Falta",OCORRÊNCIAS!$C$6:$C$605,"B",OCORRÊNCIAS!$I$6:$I$605,$N7)+SUMIFS(OCORRÊNCIAS!$E$6:$E$605,OCORRÊNCIAS!$B$6:$B$605,"Atestado",OCORRÊNCIAS!$C$6:$C$605,"B",OCORRÊNCIAS!$I$6:$I$605,$N7)</f>
        <v>0</v>
      </c>
      <c r="U7" s="45" t="n">
        <f aca="false">SUMIFS(OCORRÊNCIAS!$E$6:$E$605,OCORRÊNCIAS!$B$6:$B$605,"Falta",OCORRÊNCIAS!$C$6:$C$605,"C",OCORRÊNCIAS!$I$6:$I$605,$N7)+SUMIFS(OCORRÊNCIAS!$E$6:$E$605,OCORRÊNCIAS!$B$6:$B$605,"Atestado",OCORRÊNCIAS!$C$6:$C$605,"C",OCORRÊNCIAS!$I$6:$I$605,$N7)</f>
        <v>0</v>
      </c>
      <c r="V7" s="45" t="n">
        <f aca="true">IFERROR(COUNTIF(INDIRECT("'"&amp;$O7&amp;"'!$S$22:$S$150"),"Aprovada"),0)</f>
        <v>0</v>
      </c>
      <c r="W7" s="45" t="n">
        <f aca="true">IFERROR(COUNTIF(INDIRECT("'"&amp;$O7&amp;"'!$S$22:$S$150"),"Aprovada"),0)+IFERROR(COUNTIF(INDIRECT("'"&amp;$O7&amp;"'!$S$22:$S$150"),"Entregue"),0)+IFERROR(COUNTIF(INDIRECT("'"&amp;$O7&amp;"'!$S$22:$S$150"),"Pendente"),0)+IFERROR(COUNTIF(INDIRECT("'"&amp;$O7&amp;"'!$S$22:$S$150"),"Atrasada"),0)+IFERROR(COUNTIF(INDIRECT("'"&amp;$O7&amp;"'!$S$22:$S$150"),"Reprovada"),0)</f>
        <v>0</v>
      </c>
      <c r="X7" s="48" t="n">
        <f aca="false">IF($W7=0,0,$V7/$W7)</f>
        <v>0</v>
      </c>
      <c r="AF7" s="45" t="n">
        <f aca="false">IFERROR(LARGE($P$26:$P$54,4),"")</f>
        <v>3.4E-005</v>
      </c>
      <c r="AG7" s="45" t="str">
        <f aca="false">IF($AF7="","",INDEX($N$26:$N$54,MATCH($AF7,$P$26:$P$54,0)))</f>
        <v>Inventário</v>
      </c>
      <c r="AH7" s="45" t="n">
        <f aca="false">IF($AF7="",0,ROUND($AF7,0))</f>
        <v>0</v>
      </c>
    </row>
    <row r="8" customFormat="false" ht="15" hidden="false" customHeight="false" outlineLevel="0" collapsed="false">
      <c r="N8" s="47" t="n">
        <f aca="false">EDATE(DATE(2026,7,1),3)</f>
        <v>46296</v>
      </c>
      <c r="O8" s="45" t="str">
        <f aca="false">CHOOSE(MONTH($N8),"JAN","FEV","MAR","ABR","MAI","JUN","JUL","AGO","SET","OUT","NOV","DEZ")&amp;"/"&amp;RIGHT(YEAR($N8),2)</f>
        <v>OUT/26</v>
      </c>
      <c r="P8" s="45" t="n">
        <f aca="false">SUMIFS(OCORRÊNCIAS!$E$6:$E$605,OCORRÊNCIAS!$B$6:$B$605,"Erro operacional",OCORRÊNCIAS!$C$6:$C$605,"A",OCORRÊNCIAS!$I$6:$I$605,$N8)</f>
        <v>0</v>
      </c>
      <c r="Q8" s="45" t="n">
        <f aca="false">SUMIFS(OCORRÊNCIAS!$E$6:$E$605,OCORRÊNCIAS!$B$6:$B$605,"Erro operacional",OCORRÊNCIAS!$C$6:$C$605,"B",OCORRÊNCIAS!$I$6:$I$605,$N8)</f>
        <v>0</v>
      </c>
      <c r="R8" s="45" t="n">
        <f aca="false">SUMIFS(OCORRÊNCIAS!$E$6:$E$605,OCORRÊNCIAS!$B$6:$B$605,"Erro operacional",OCORRÊNCIAS!$C$6:$C$605,"C",OCORRÊNCIAS!$I$6:$I$605,$N8)</f>
        <v>0</v>
      </c>
      <c r="S8" s="45" t="n">
        <f aca="false">SUMIFS(OCORRÊNCIAS!$E$6:$E$605,OCORRÊNCIAS!$B$6:$B$605,"Falta",OCORRÊNCIAS!$C$6:$C$605,"A",OCORRÊNCIAS!$I$6:$I$605,$N8)+SUMIFS(OCORRÊNCIAS!$E$6:$E$605,OCORRÊNCIAS!$B$6:$B$605,"Atestado",OCORRÊNCIAS!$C$6:$C$605,"A",OCORRÊNCIAS!$I$6:$I$605,$N8)</f>
        <v>0</v>
      </c>
      <c r="T8" s="45" t="n">
        <f aca="false">SUMIFS(OCORRÊNCIAS!$E$6:$E$605,OCORRÊNCIAS!$B$6:$B$605,"Falta",OCORRÊNCIAS!$C$6:$C$605,"B",OCORRÊNCIAS!$I$6:$I$605,$N8)+SUMIFS(OCORRÊNCIAS!$E$6:$E$605,OCORRÊNCIAS!$B$6:$B$605,"Atestado",OCORRÊNCIAS!$C$6:$C$605,"B",OCORRÊNCIAS!$I$6:$I$605,$N8)</f>
        <v>0</v>
      </c>
      <c r="U8" s="45" t="n">
        <f aca="false">SUMIFS(OCORRÊNCIAS!$E$6:$E$605,OCORRÊNCIAS!$B$6:$B$605,"Falta",OCORRÊNCIAS!$C$6:$C$605,"C",OCORRÊNCIAS!$I$6:$I$605,$N8)+SUMIFS(OCORRÊNCIAS!$E$6:$E$605,OCORRÊNCIAS!$B$6:$B$605,"Atestado",OCORRÊNCIAS!$C$6:$C$605,"C",OCORRÊNCIAS!$I$6:$I$605,$N8)</f>
        <v>0</v>
      </c>
      <c r="V8" s="45" t="n">
        <f aca="true">IFERROR(COUNTIF(INDIRECT("'"&amp;$O8&amp;"'!$S$22:$S$150"),"Aprovada"),0)</f>
        <v>0</v>
      </c>
      <c r="W8" s="45" t="n">
        <f aca="true">IFERROR(COUNTIF(INDIRECT("'"&amp;$O8&amp;"'!$S$22:$S$150"),"Aprovada"),0)+IFERROR(COUNTIF(INDIRECT("'"&amp;$O8&amp;"'!$S$22:$S$150"),"Entregue"),0)+IFERROR(COUNTIF(INDIRECT("'"&amp;$O8&amp;"'!$S$22:$S$150"),"Pendente"),0)+IFERROR(COUNTIF(INDIRECT("'"&amp;$O8&amp;"'!$S$22:$S$150"),"Atrasada"),0)+IFERROR(COUNTIF(INDIRECT("'"&amp;$O8&amp;"'!$S$22:$S$150"),"Reprovada"),0)</f>
        <v>0</v>
      </c>
      <c r="X8" s="48" t="n">
        <f aca="false">IF($W8=0,0,$V8/$W8)</f>
        <v>0</v>
      </c>
      <c r="AF8" s="45" t="n">
        <f aca="false">IFERROR(LARGE($P$26:$P$54,5),"")</f>
        <v>3.3E-005</v>
      </c>
      <c r="AG8" s="45" t="str">
        <f aca="false">IF($AF8="","",INDEX($N$26:$N$54,MATCH($AF8,$P$26:$P$54,0)))</f>
        <v>Devolução / Avarias</v>
      </c>
      <c r="AH8" s="45" t="n">
        <f aca="false">IF($AF8="",0,ROUND($AF8,0))</f>
        <v>0</v>
      </c>
    </row>
    <row r="9" customFormat="false" ht="15" hidden="false" customHeight="false" outlineLevel="0" collapsed="false">
      <c r="N9" s="47" t="n">
        <f aca="false">EDATE(DATE(2026,7,1),4)</f>
        <v>46327</v>
      </c>
      <c r="O9" s="45" t="str">
        <f aca="false">CHOOSE(MONTH($N9),"JAN","FEV","MAR","ABR","MAI","JUN","JUL","AGO","SET","OUT","NOV","DEZ")&amp;"/"&amp;RIGHT(YEAR($N9),2)</f>
        <v>NOV/26</v>
      </c>
      <c r="P9" s="45" t="n">
        <f aca="false">SUMIFS(OCORRÊNCIAS!$E$6:$E$605,OCORRÊNCIAS!$B$6:$B$605,"Erro operacional",OCORRÊNCIAS!$C$6:$C$605,"A",OCORRÊNCIAS!$I$6:$I$605,$N9)</f>
        <v>0</v>
      </c>
      <c r="Q9" s="45" t="n">
        <f aca="false">SUMIFS(OCORRÊNCIAS!$E$6:$E$605,OCORRÊNCIAS!$B$6:$B$605,"Erro operacional",OCORRÊNCIAS!$C$6:$C$605,"B",OCORRÊNCIAS!$I$6:$I$605,$N9)</f>
        <v>0</v>
      </c>
      <c r="R9" s="45" t="n">
        <f aca="false">SUMIFS(OCORRÊNCIAS!$E$6:$E$605,OCORRÊNCIAS!$B$6:$B$605,"Erro operacional",OCORRÊNCIAS!$C$6:$C$605,"C",OCORRÊNCIAS!$I$6:$I$605,$N9)</f>
        <v>0</v>
      </c>
      <c r="S9" s="45" t="n">
        <f aca="false">SUMIFS(OCORRÊNCIAS!$E$6:$E$605,OCORRÊNCIAS!$B$6:$B$605,"Falta",OCORRÊNCIAS!$C$6:$C$605,"A",OCORRÊNCIAS!$I$6:$I$605,$N9)+SUMIFS(OCORRÊNCIAS!$E$6:$E$605,OCORRÊNCIAS!$B$6:$B$605,"Atestado",OCORRÊNCIAS!$C$6:$C$605,"A",OCORRÊNCIAS!$I$6:$I$605,$N9)</f>
        <v>0</v>
      </c>
      <c r="T9" s="45" t="n">
        <f aca="false">SUMIFS(OCORRÊNCIAS!$E$6:$E$605,OCORRÊNCIAS!$B$6:$B$605,"Falta",OCORRÊNCIAS!$C$6:$C$605,"B",OCORRÊNCIAS!$I$6:$I$605,$N9)+SUMIFS(OCORRÊNCIAS!$E$6:$E$605,OCORRÊNCIAS!$B$6:$B$605,"Atestado",OCORRÊNCIAS!$C$6:$C$605,"B",OCORRÊNCIAS!$I$6:$I$605,$N9)</f>
        <v>0</v>
      </c>
      <c r="U9" s="45" t="n">
        <f aca="false">SUMIFS(OCORRÊNCIAS!$E$6:$E$605,OCORRÊNCIAS!$B$6:$B$605,"Falta",OCORRÊNCIAS!$C$6:$C$605,"C",OCORRÊNCIAS!$I$6:$I$605,$N9)+SUMIFS(OCORRÊNCIAS!$E$6:$E$605,OCORRÊNCIAS!$B$6:$B$605,"Atestado",OCORRÊNCIAS!$C$6:$C$605,"C",OCORRÊNCIAS!$I$6:$I$605,$N9)</f>
        <v>0</v>
      </c>
      <c r="V9" s="45" t="n">
        <f aca="true">IFERROR(COUNTIF(INDIRECT("'"&amp;$O9&amp;"'!$S$22:$S$150"),"Aprovada"),0)</f>
        <v>0</v>
      </c>
      <c r="W9" s="45" t="n">
        <f aca="true">IFERROR(COUNTIF(INDIRECT("'"&amp;$O9&amp;"'!$S$22:$S$150"),"Aprovada"),0)+IFERROR(COUNTIF(INDIRECT("'"&amp;$O9&amp;"'!$S$22:$S$150"),"Entregue"),0)+IFERROR(COUNTIF(INDIRECT("'"&amp;$O9&amp;"'!$S$22:$S$150"),"Pendente"),0)+IFERROR(COUNTIF(INDIRECT("'"&amp;$O9&amp;"'!$S$22:$S$150"),"Atrasada"),0)+IFERROR(COUNTIF(INDIRECT("'"&amp;$O9&amp;"'!$S$22:$S$150"),"Reprovada"),0)</f>
        <v>0</v>
      </c>
      <c r="X9" s="48" t="n">
        <f aca="false">IF($W9=0,0,$V9/$W9)</f>
        <v>0</v>
      </c>
      <c r="AF9" s="45" t="n">
        <f aca="false">IFERROR(LARGE($P$26:$P$54,6),"")</f>
        <v>3.2E-005</v>
      </c>
      <c r="AG9" s="45" t="str">
        <f aca="false">IF($AF9="","",INDEX($N$26:$N$54,MATCH($AF9,$P$26:$P$54,0)))</f>
        <v>Carregamento / Docas</v>
      </c>
      <c r="AH9" s="45" t="n">
        <f aca="false">IF($AF9="",0,ROUND($AF9,0))</f>
        <v>0</v>
      </c>
    </row>
    <row r="10" customFormat="false" ht="15" hidden="false" customHeight="false" outlineLevel="0" collapsed="false">
      <c r="N10" s="47" t="n">
        <f aca="false">EDATE(DATE(2026,7,1),5)</f>
        <v>46357</v>
      </c>
      <c r="O10" s="45" t="str">
        <f aca="false">CHOOSE(MONTH($N10),"JAN","FEV","MAR","ABR","MAI","JUN","JUL","AGO","SET","OUT","NOV","DEZ")&amp;"/"&amp;RIGHT(YEAR($N10),2)</f>
        <v>DEZ/26</v>
      </c>
      <c r="P10" s="45" t="n">
        <f aca="false">SUMIFS(OCORRÊNCIAS!$E$6:$E$605,OCORRÊNCIAS!$B$6:$B$605,"Erro operacional",OCORRÊNCIAS!$C$6:$C$605,"A",OCORRÊNCIAS!$I$6:$I$605,$N10)</f>
        <v>0</v>
      </c>
      <c r="Q10" s="45" t="n">
        <f aca="false">SUMIFS(OCORRÊNCIAS!$E$6:$E$605,OCORRÊNCIAS!$B$6:$B$605,"Erro operacional",OCORRÊNCIAS!$C$6:$C$605,"B",OCORRÊNCIAS!$I$6:$I$605,$N10)</f>
        <v>0</v>
      </c>
      <c r="R10" s="45" t="n">
        <f aca="false">SUMIFS(OCORRÊNCIAS!$E$6:$E$605,OCORRÊNCIAS!$B$6:$B$605,"Erro operacional",OCORRÊNCIAS!$C$6:$C$605,"C",OCORRÊNCIAS!$I$6:$I$605,$N10)</f>
        <v>0</v>
      </c>
      <c r="S10" s="45" t="n">
        <f aca="false">SUMIFS(OCORRÊNCIAS!$E$6:$E$605,OCORRÊNCIAS!$B$6:$B$605,"Falta",OCORRÊNCIAS!$C$6:$C$605,"A",OCORRÊNCIAS!$I$6:$I$605,$N10)+SUMIFS(OCORRÊNCIAS!$E$6:$E$605,OCORRÊNCIAS!$B$6:$B$605,"Atestado",OCORRÊNCIAS!$C$6:$C$605,"A",OCORRÊNCIAS!$I$6:$I$605,$N10)</f>
        <v>0</v>
      </c>
      <c r="T10" s="45" t="n">
        <f aca="false">SUMIFS(OCORRÊNCIAS!$E$6:$E$605,OCORRÊNCIAS!$B$6:$B$605,"Falta",OCORRÊNCIAS!$C$6:$C$605,"B",OCORRÊNCIAS!$I$6:$I$605,$N10)+SUMIFS(OCORRÊNCIAS!$E$6:$E$605,OCORRÊNCIAS!$B$6:$B$605,"Atestado",OCORRÊNCIAS!$C$6:$C$605,"B",OCORRÊNCIAS!$I$6:$I$605,$N10)</f>
        <v>0</v>
      </c>
      <c r="U10" s="45" t="n">
        <f aca="false">SUMIFS(OCORRÊNCIAS!$E$6:$E$605,OCORRÊNCIAS!$B$6:$B$605,"Falta",OCORRÊNCIAS!$C$6:$C$605,"C",OCORRÊNCIAS!$I$6:$I$605,$N10)+SUMIFS(OCORRÊNCIAS!$E$6:$E$605,OCORRÊNCIAS!$B$6:$B$605,"Atestado",OCORRÊNCIAS!$C$6:$C$605,"C",OCORRÊNCIAS!$I$6:$I$605,$N10)</f>
        <v>0</v>
      </c>
      <c r="V10" s="45" t="n">
        <f aca="true">IFERROR(COUNTIF(INDIRECT("'"&amp;$O10&amp;"'!$S$22:$S$150"),"Aprovada"),0)</f>
        <v>0</v>
      </c>
      <c r="W10" s="45" t="n">
        <f aca="true">IFERROR(COUNTIF(INDIRECT("'"&amp;$O10&amp;"'!$S$22:$S$150"),"Aprovada"),0)+IFERROR(COUNTIF(INDIRECT("'"&amp;$O10&amp;"'!$S$22:$S$150"),"Entregue"),0)+IFERROR(COUNTIF(INDIRECT("'"&amp;$O10&amp;"'!$S$22:$S$150"),"Pendente"),0)+IFERROR(COUNTIF(INDIRECT("'"&amp;$O10&amp;"'!$S$22:$S$150"),"Atrasada"),0)+IFERROR(COUNTIF(INDIRECT("'"&amp;$O10&amp;"'!$S$22:$S$150"),"Reprovada"),0)</f>
        <v>0</v>
      </c>
      <c r="X10" s="48" t="n">
        <f aca="false">IF($W10=0,0,$V10/$W10)</f>
        <v>0</v>
      </c>
      <c r="AF10" s="45" t="n">
        <f aca="false">IFERROR(LARGE($P$26:$P$54,7),"")</f>
        <v>3.1E-005</v>
      </c>
      <c r="AG10" s="45" t="str">
        <f aca="false">IF($AF10="","",INDEX($N$26:$N$54,MATCH($AF10,$P$26:$P$54,0)))</f>
        <v>Expedição</v>
      </c>
      <c r="AH10" s="45" t="n">
        <f aca="false">IF($AF10="",0,ROUND($AF10,0))</f>
        <v>0</v>
      </c>
    </row>
    <row r="11" customFormat="false" ht="15" hidden="false" customHeight="false" outlineLevel="0" collapsed="false">
      <c r="N11" s="47" t="n">
        <f aca="false">EDATE(DATE(2026,7,1),6)</f>
        <v>46388</v>
      </c>
      <c r="O11" s="45" t="str">
        <f aca="false">CHOOSE(MONTH($N11),"JAN","FEV","MAR","ABR","MAI","JUN","JUL","AGO","SET","OUT","NOV","DEZ")&amp;"/"&amp;RIGHT(YEAR($N11),2)</f>
        <v>JAN/27</v>
      </c>
      <c r="P11" s="45" t="n">
        <f aca="false">SUMIFS(OCORRÊNCIAS!$E$6:$E$605,OCORRÊNCIAS!$B$6:$B$605,"Erro operacional",OCORRÊNCIAS!$C$6:$C$605,"A",OCORRÊNCIAS!$I$6:$I$605,$N11)</f>
        <v>0</v>
      </c>
      <c r="Q11" s="45" t="n">
        <f aca="false">SUMIFS(OCORRÊNCIAS!$E$6:$E$605,OCORRÊNCIAS!$B$6:$B$605,"Erro operacional",OCORRÊNCIAS!$C$6:$C$605,"B",OCORRÊNCIAS!$I$6:$I$605,$N11)</f>
        <v>0</v>
      </c>
      <c r="R11" s="45" t="n">
        <f aca="false">SUMIFS(OCORRÊNCIAS!$E$6:$E$605,OCORRÊNCIAS!$B$6:$B$605,"Erro operacional",OCORRÊNCIAS!$C$6:$C$605,"C",OCORRÊNCIAS!$I$6:$I$605,$N11)</f>
        <v>0</v>
      </c>
      <c r="S11" s="45" t="n">
        <f aca="false">SUMIFS(OCORRÊNCIAS!$E$6:$E$605,OCORRÊNCIAS!$B$6:$B$605,"Falta",OCORRÊNCIAS!$C$6:$C$605,"A",OCORRÊNCIAS!$I$6:$I$605,$N11)+SUMIFS(OCORRÊNCIAS!$E$6:$E$605,OCORRÊNCIAS!$B$6:$B$605,"Atestado",OCORRÊNCIAS!$C$6:$C$605,"A",OCORRÊNCIAS!$I$6:$I$605,$N11)</f>
        <v>0</v>
      </c>
      <c r="T11" s="45" t="n">
        <f aca="false">SUMIFS(OCORRÊNCIAS!$E$6:$E$605,OCORRÊNCIAS!$B$6:$B$605,"Falta",OCORRÊNCIAS!$C$6:$C$605,"B",OCORRÊNCIAS!$I$6:$I$605,$N11)+SUMIFS(OCORRÊNCIAS!$E$6:$E$605,OCORRÊNCIAS!$B$6:$B$605,"Atestado",OCORRÊNCIAS!$C$6:$C$605,"B",OCORRÊNCIAS!$I$6:$I$605,$N11)</f>
        <v>0</v>
      </c>
      <c r="U11" s="45" t="n">
        <f aca="false">SUMIFS(OCORRÊNCIAS!$E$6:$E$605,OCORRÊNCIAS!$B$6:$B$605,"Falta",OCORRÊNCIAS!$C$6:$C$605,"C",OCORRÊNCIAS!$I$6:$I$605,$N11)+SUMIFS(OCORRÊNCIAS!$E$6:$E$605,OCORRÊNCIAS!$B$6:$B$605,"Atestado",OCORRÊNCIAS!$C$6:$C$605,"C",OCORRÊNCIAS!$I$6:$I$605,$N11)</f>
        <v>0</v>
      </c>
      <c r="V11" s="45" t="n">
        <f aca="true">IFERROR(COUNTIF(INDIRECT("'"&amp;$O11&amp;"'!$S$22:$S$150"),"Aprovada"),0)</f>
        <v>0</v>
      </c>
      <c r="W11" s="45" t="n">
        <f aca="true">IFERROR(COUNTIF(INDIRECT("'"&amp;$O11&amp;"'!$S$22:$S$150"),"Aprovada"),0)+IFERROR(COUNTIF(INDIRECT("'"&amp;$O11&amp;"'!$S$22:$S$150"),"Entregue"),0)+IFERROR(COUNTIF(INDIRECT("'"&amp;$O11&amp;"'!$S$22:$S$150"),"Pendente"),0)+IFERROR(COUNTIF(INDIRECT("'"&amp;$O11&amp;"'!$S$22:$S$150"),"Atrasada"),0)+IFERROR(COUNTIF(INDIRECT("'"&amp;$O11&amp;"'!$S$22:$S$150"),"Reprovada"),0)</f>
        <v>0</v>
      </c>
      <c r="X11" s="48" t="n">
        <f aca="false">IF($W11=0,0,$V11/$W11)</f>
        <v>0</v>
      </c>
      <c r="AF11" s="45" t="n">
        <f aca="false">IFERROR(LARGE($P$26:$P$54,8),"")</f>
        <v>3E-005</v>
      </c>
      <c r="AG11" s="45" t="str">
        <f aca="false">IF($AF11="","",INDEX($N$26:$N$54,MATCH($AF11,$P$26:$P$54,0)))</f>
        <v>Reposição</v>
      </c>
      <c r="AH11" s="45" t="n">
        <f aca="false">IF($AF11="",0,ROUND($AF11,0))</f>
        <v>0</v>
      </c>
    </row>
    <row r="12" customFormat="false" ht="15" hidden="false" customHeight="false" outlineLevel="0" collapsed="false">
      <c r="N12" s="47" t="n">
        <f aca="false">EDATE(DATE(2026,7,1),7)</f>
        <v>46419</v>
      </c>
      <c r="O12" s="45" t="str">
        <f aca="false">CHOOSE(MONTH($N12),"JAN","FEV","MAR","ABR","MAI","JUN","JUL","AGO","SET","OUT","NOV","DEZ")&amp;"/"&amp;RIGHT(YEAR($N12),2)</f>
        <v>FEV/27</v>
      </c>
      <c r="P12" s="45" t="n">
        <f aca="false">SUMIFS(OCORRÊNCIAS!$E$6:$E$605,OCORRÊNCIAS!$B$6:$B$605,"Erro operacional",OCORRÊNCIAS!$C$6:$C$605,"A",OCORRÊNCIAS!$I$6:$I$605,$N12)</f>
        <v>0</v>
      </c>
      <c r="Q12" s="45" t="n">
        <f aca="false">SUMIFS(OCORRÊNCIAS!$E$6:$E$605,OCORRÊNCIAS!$B$6:$B$605,"Erro operacional",OCORRÊNCIAS!$C$6:$C$605,"B",OCORRÊNCIAS!$I$6:$I$605,$N12)</f>
        <v>0</v>
      </c>
      <c r="R12" s="45" t="n">
        <f aca="false">SUMIFS(OCORRÊNCIAS!$E$6:$E$605,OCORRÊNCIAS!$B$6:$B$605,"Erro operacional",OCORRÊNCIAS!$C$6:$C$605,"C",OCORRÊNCIAS!$I$6:$I$605,$N12)</f>
        <v>0</v>
      </c>
      <c r="S12" s="45" t="n">
        <f aca="false">SUMIFS(OCORRÊNCIAS!$E$6:$E$605,OCORRÊNCIAS!$B$6:$B$605,"Falta",OCORRÊNCIAS!$C$6:$C$605,"A",OCORRÊNCIAS!$I$6:$I$605,$N12)+SUMIFS(OCORRÊNCIAS!$E$6:$E$605,OCORRÊNCIAS!$B$6:$B$605,"Atestado",OCORRÊNCIAS!$C$6:$C$605,"A",OCORRÊNCIAS!$I$6:$I$605,$N12)</f>
        <v>0</v>
      </c>
      <c r="T12" s="45" t="n">
        <f aca="false">SUMIFS(OCORRÊNCIAS!$E$6:$E$605,OCORRÊNCIAS!$B$6:$B$605,"Falta",OCORRÊNCIAS!$C$6:$C$605,"B",OCORRÊNCIAS!$I$6:$I$605,$N12)+SUMIFS(OCORRÊNCIAS!$E$6:$E$605,OCORRÊNCIAS!$B$6:$B$605,"Atestado",OCORRÊNCIAS!$C$6:$C$605,"B",OCORRÊNCIAS!$I$6:$I$605,$N12)</f>
        <v>0</v>
      </c>
      <c r="U12" s="45" t="n">
        <f aca="false">SUMIFS(OCORRÊNCIAS!$E$6:$E$605,OCORRÊNCIAS!$B$6:$B$605,"Falta",OCORRÊNCIAS!$C$6:$C$605,"C",OCORRÊNCIAS!$I$6:$I$605,$N12)+SUMIFS(OCORRÊNCIAS!$E$6:$E$605,OCORRÊNCIAS!$B$6:$B$605,"Atestado",OCORRÊNCIAS!$C$6:$C$605,"C",OCORRÊNCIAS!$I$6:$I$605,$N12)</f>
        <v>0</v>
      </c>
      <c r="V12" s="45" t="n">
        <f aca="true">IFERROR(COUNTIF(INDIRECT("'"&amp;$O12&amp;"'!$S$22:$S$150"),"Aprovada"),0)</f>
        <v>0</v>
      </c>
      <c r="W12" s="45" t="n">
        <f aca="true">IFERROR(COUNTIF(INDIRECT("'"&amp;$O12&amp;"'!$S$22:$S$150"),"Aprovada"),0)+IFERROR(COUNTIF(INDIRECT("'"&amp;$O12&amp;"'!$S$22:$S$150"),"Entregue"),0)+IFERROR(COUNTIF(INDIRECT("'"&amp;$O12&amp;"'!$S$22:$S$150"),"Pendente"),0)+IFERROR(COUNTIF(INDIRECT("'"&amp;$O12&amp;"'!$S$22:$S$150"),"Atrasada"),0)+IFERROR(COUNTIF(INDIRECT("'"&amp;$O12&amp;"'!$S$22:$S$150"),"Reprovada"),0)</f>
        <v>0</v>
      </c>
      <c r="X12" s="48" t="n">
        <f aca="false">IF($W12=0,0,$V12/$W12)</f>
        <v>0</v>
      </c>
    </row>
    <row r="13" customFormat="false" ht="15" hidden="false" customHeight="false" outlineLevel="0" collapsed="false">
      <c r="N13" s="47" t="n">
        <f aca="false">EDATE(DATE(2026,7,1),8)</f>
        <v>46447</v>
      </c>
      <c r="O13" s="45" t="str">
        <f aca="false">CHOOSE(MONTH($N13),"JAN","FEV","MAR","ABR","MAI","JUN","JUL","AGO","SET","OUT","NOV","DEZ")&amp;"/"&amp;RIGHT(YEAR($N13),2)</f>
        <v>MAR/27</v>
      </c>
      <c r="P13" s="45" t="n">
        <f aca="false">SUMIFS(OCORRÊNCIAS!$E$6:$E$605,OCORRÊNCIAS!$B$6:$B$605,"Erro operacional",OCORRÊNCIAS!$C$6:$C$605,"A",OCORRÊNCIAS!$I$6:$I$605,$N13)</f>
        <v>0</v>
      </c>
      <c r="Q13" s="45" t="n">
        <f aca="false">SUMIFS(OCORRÊNCIAS!$E$6:$E$605,OCORRÊNCIAS!$B$6:$B$605,"Erro operacional",OCORRÊNCIAS!$C$6:$C$605,"B",OCORRÊNCIAS!$I$6:$I$605,$N13)</f>
        <v>0</v>
      </c>
      <c r="R13" s="45" t="n">
        <f aca="false">SUMIFS(OCORRÊNCIAS!$E$6:$E$605,OCORRÊNCIAS!$B$6:$B$605,"Erro operacional",OCORRÊNCIAS!$C$6:$C$605,"C",OCORRÊNCIAS!$I$6:$I$605,$N13)</f>
        <v>0</v>
      </c>
      <c r="S13" s="45" t="n">
        <f aca="false">SUMIFS(OCORRÊNCIAS!$E$6:$E$605,OCORRÊNCIAS!$B$6:$B$605,"Falta",OCORRÊNCIAS!$C$6:$C$605,"A",OCORRÊNCIAS!$I$6:$I$605,$N13)+SUMIFS(OCORRÊNCIAS!$E$6:$E$605,OCORRÊNCIAS!$B$6:$B$605,"Atestado",OCORRÊNCIAS!$C$6:$C$605,"A",OCORRÊNCIAS!$I$6:$I$605,$N13)</f>
        <v>0</v>
      </c>
      <c r="T13" s="45" t="n">
        <f aca="false">SUMIFS(OCORRÊNCIAS!$E$6:$E$605,OCORRÊNCIAS!$B$6:$B$605,"Falta",OCORRÊNCIAS!$C$6:$C$605,"B",OCORRÊNCIAS!$I$6:$I$605,$N13)+SUMIFS(OCORRÊNCIAS!$E$6:$E$605,OCORRÊNCIAS!$B$6:$B$605,"Atestado",OCORRÊNCIAS!$C$6:$C$605,"B",OCORRÊNCIAS!$I$6:$I$605,$N13)</f>
        <v>0</v>
      </c>
      <c r="U13" s="45" t="n">
        <f aca="false">SUMIFS(OCORRÊNCIAS!$E$6:$E$605,OCORRÊNCIAS!$B$6:$B$605,"Falta",OCORRÊNCIAS!$C$6:$C$605,"C",OCORRÊNCIAS!$I$6:$I$605,$N13)+SUMIFS(OCORRÊNCIAS!$E$6:$E$605,OCORRÊNCIAS!$B$6:$B$605,"Atestado",OCORRÊNCIAS!$C$6:$C$605,"C",OCORRÊNCIAS!$I$6:$I$605,$N13)</f>
        <v>0</v>
      </c>
      <c r="V13" s="45" t="n">
        <f aca="true">IFERROR(COUNTIF(INDIRECT("'"&amp;$O13&amp;"'!$S$22:$S$150"),"Aprovada"),0)</f>
        <v>0</v>
      </c>
      <c r="W13" s="45" t="n">
        <f aca="true">IFERROR(COUNTIF(INDIRECT("'"&amp;$O13&amp;"'!$S$22:$S$150"),"Aprovada"),0)+IFERROR(COUNTIF(INDIRECT("'"&amp;$O13&amp;"'!$S$22:$S$150"),"Entregue"),0)+IFERROR(COUNTIF(INDIRECT("'"&amp;$O13&amp;"'!$S$22:$S$150"),"Pendente"),0)+IFERROR(COUNTIF(INDIRECT("'"&amp;$O13&amp;"'!$S$22:$S$150"),"Atrasada"),0)+IFERROR(COUNTIF(INDIRECT("'"&amp;$O13&amp;"'!$S$22:$S$150"),"Reprovada"),0)</f>
        <v>0</v>
      </c>
      <c r="X13" s="48" t="n">
        <f aca="false">IF($W13=0,0,$V13/$W13)</f>
        <v>0</v>
      </c>
    </row>
    <row r="14" customFormat="false" ht="15" hidden="false" customHeight="false" outlineLevel="0" collapsed="false">
      <c r="N14" s="47" t="n">
        <f aca="false">EDATE(DATE(2026,7,1),9)</f>
        <v>46478</v>
      </c>
      <c r="O14" s="45" t="str">
        <f aca="false">CHOOSE(MONTH($N14),"JAN","FEV","MAR","ABR","MAI","JUN","JUL","AGO","SET","OUT","NOV","DEZ")&amp;"/"&amp;RIGHT(YEAR($N14),2)</f>
        <v>ABR/27</v>
      </c>
      <c r="P14" s="45" t="n">
        <f aca="false">SUMIFS(OCORRÊNCIAS!$E$6:$E$605,OCORRÊNCIAS!$B$6:$B$605,"Erro operacional",OCORRÊNCIAS!$C$6:$C$605,"A",OCORRÊNCIAS!$I$6:$I$605,$N14)</f>
        <v>0</v>
      </c>
      <c r="Q14" s="45" t="n">
        <f aca="false">SUMIFS(OCORRÊNCIAS!$E$6:$E$605,OCORRÊNCIAS!$B$6:$B$605,"Erro operacional",OCORRÊNCIAS!$C$6:$C$605,"B",OCORRÊNCIAS!$I$6:$I$605,$N14)</f>
        <v>0</v>
      </c>
      <c r="R14" s="45" t="n">
        <f aca="false">SUMIFS(OCORRÊNCIAS!$E$6:$E$605,OCORRÊNCIAS!$B$6:$B$605,"Erro operacional",OCORRÊNCIAS!$C$6:$C$605,"C",OCORRÊNCIAS!$I$6:$I$605,$N14)</f>
        <v>0</v>
      </c>
      <c r="S14" s="45" t="n">
        <f aca="false">SUMIFS(OCORRÊNCIAS!$E$6:$E$605,OCORRÊNCIAS!$B$6:$B$605,"Falta",OCORRÊNCIAS!$C$6:$C$605,"A",OCORRÊNCIAS!$I$6:$I$605,$N14)+SUMIFS(OCORRÊNCIAS!$E$6:$E$605,OCORRÊNCIAS!$B$6:$B$605,"Atestado",OCORRÊNCIAS!$C$6:$C$605,"A",OCORRÊNCIAS!$I$6:$I$605,$N14)</f>
        <v>0</v>
      </c>
      <c r="T14" s="45" t="n">
        <f aca="false">SUMIFS(OCORRÊNCIAS!$E$6:$E$605,OCORRÊNCIAS!$B$6:$B$605,"Falta",OCORRÊNCIAS!$C$6:$C$605,"B",OCORRÊNCIAS!$I$6:$I$605,$N14)+SUMIFS(OCORRÊNCIAS!$E$6:$E$605,OCORRÊNCIAS!$B$6:$B$605,"Atestado",OCORRÊNCIAS!$C$6:$C$605,"B",OCORRÊNCIAS!$I$6:$I$605,$N14)</f>
        <v>0</v>
      </c>
      <c r="U14" s="45" t="n">
        <f aca="false">SUMIFS(OCORRÊNCIAS!$E$6:$E$605,OCORRÊNCIAS!$B$6:$B$605,"Falta",OCORRÊNCIAS!$C$6:$C$605,"C",OCORRÊNCIAS!$I$6:$I$605,$N14)+SUMIFS(OCORRÊNCIAS!$E$6:$E$605,OCORRÊNCIAS!$B$6:$B$605,"Atestado",OCORRÊNCIAS!$C$6:$C$605,"C",OCORRÊNCIAS!$I$6:$I$605,$N14)</f>
        <v>0</v>
      </c>
      <c r="V14" s="45" t="n">
        <f aca="true">IFERROR(COUNTIF(INDIRECT("'"&amp;$O14&amp;"'!$S$22:$S$150"),"Aprovada"),0)</f>
        <v>0</v>
      </c>
      <c r="W14" s="45" t="n">
        <f aca="true">IFERROR(COUNTIF(INDIRECT("'"&amp;$O14&amp;"'!$S$22:$S$150"),"Aprovada"),0)+IFERROR(COUNTIF(INDIRECT("'"&amp;$O14&amp;"'!$S$22:$S$150"),"Entregue"),0)+IFERROR(COUNTIF(INDIRECT("'"&amp;$O14&amp;"'!$S$22:$S$150"),"Pendente"),0)+IFERROR(COUNTIF(INDIRECT("'"&amp;$O14&amp;"'!$S$22:$S$150"),"Atrasada"),0)+IFERROR(COUNTIF(INDIRECT("'"&amp;$O14&amp;"'!$S$22:$S$150"),"Reprovada"),0)</f>
        <v>0</v>
      </c>
      <c r="X14" s="48" t="n">
        <f aca="false">IF($W14=0,0,$V14/$W14)</f>
        <v>0</v>
      </c>
    </row>
    <row r="15" customFormat="false" ht="15" hidden="false" customHeight="false" outlineLevel="0" collapsed="false">
      <c r="N15" s="47" t="n">
        <f aca="false">EDATE(DATE(2026,7,1),10)</f>
        <v>46508</v>
      </c>
      <c r="O15" s="45" t="str">
        <f aca="false">CHOOSE(MONTH($N15),"JAN","FEV","MAR","ABR","MAI","JUN","JUL","AGO","SET","OUT","NOV","DEZ")&amp;"/"&amp;RIGHT(YEAR($N15),2)</f>
        <v>MAI/27</v>
      </c>
      <c r="P15" s="45" t="n">
        <f aca="false">SUMIFS(OCORRÊNCIAS!$E$6:$E$605,OCORRÊNCIAS!$B$6:$B$605,"Erro operacional",OCORRÊNCIAS!$C$6:$C$605,"A",OCORRÊNCIAS!$I$6:$I$605,$N15)</f>
        <v>0</v>
      </c>
      <c r="Q15" s="45" t="n">
        <f aca="false">SUMIFS(OCORRÊNCIAS!$E$6:$E$605,OCORRÊNCIAS!$B$6:$B$605,"Erro operacional",OCORRÊNCIAS!$C$6:$C$605,"B",OCORRÊNCIAS!$I$6:$I$605,$N15)</f>
        <v>0</v>
      </c>
      <c r="R15" s="45" t="n">
        <f aca="false">SUMIFS(OCORRÊNCIAS!$E$6:$E$605,OCORRÊNCIAS!$B$6:$B$605,"Erro operacional",OCORRÊNCIAS!$C$6:$C$605,"C",OCORRÊNCIAS!$I$6:$I$605,$N15)</f>
        <v>0</v>
      </c>
      <c r="S15" s="45" t="n">
        <f aca="false">SUMIFS(OCORRÊNCIAS!$E$6:$E$605,OCORRÊNCIAS!$B$6:$B$605,"Falta",OCORRÊNCIAS!$C$6:$C$605,"A",OCORRÊNCIAS!$I$6:$I$605,$N15)+SUMIFS(OCORRÊNCIAS!$E$6:$E$605,OCORRÊNCIAS!$B$6:$B$605,"Atestado",OCORRÊNCIAS!$C$6:$C$605,"A",OCORRÊNCIAS!$I$6:$I$605,$N15)</f>
        <v>0</v>
      </c>
      <c r="T15" s="45" t="n">
        <f aca="false">SUMIFS(OCORRÊNCIAS!$E$6:$E$605,OCORRÊNCIAS!$B$6:$B$605,"Falta",OCORRÊNCIAS!$C$6:$C$605,"B",OCORRÊNCIAS!$I$6:$I$605,$N15)+SUMIFS(OCORRÊNCIAS!$E$6:$E$605,OCORRÊNCIAS!$B$6:$B$605,"Atestado",OCORRÊNCIAS!$C$6:$C$605,"B",OCORRÊNCIAS!$I$6:$I$605,$N15)</f>
        <v>0</v>
      </c>
      <c r="U15" s="45" t="n">
        <f aca="false">SUMIFS(OCORRÊNCIAS!$E$6:$E$605,OCORRÊNCIAS!$B$6:$B$605,"Falta",OCORRÊNCIAS!$C$6:$C$605,"C",OCORRÊNCIAS!$I$6:$I$605,$N15)+SUMIFS(OCORRÊNCIAS!$E$6:$E$605,OCORRÊNCIAS!$B$6:$B$605,"Atestado",OCORRÊNCIAS!$C$6:$C$605,"C",OCORRÊNCIAS!$I$6:$I$605,$N15)</f>
        <v>0</v>
      </c>
      <c r="V15" s="45" t="n">
        <f aca="true">IFERROR(COUNTIF(INDIRECT("'"&amp;$O15&amp;"'!$S$22:$S$150"),"Aprovada"),0)</f>
        <v>0</v>
      </c>
      <c r="W15" s="45" t="n">
        <f aca="true">IFERROR(COUNTIF(INDIRECT("'"&amp;$O15&amp;"'!$S$22:$S$150"),"Aprovada"),0)+IFERROR(COUNTIF(INDIRECT("'"&amp;$O15&amp;"'!$S$22:$S$150"),"Entregue"),0)+IFERROR(COUNTIF(INDIRECT("'"&amp;$O15&amp;"'!$S$22:$S$150"),"Pendente"),0)+IFERROR(COUNTIF(INDIRECT("'"&amp;$O15&amp;"'!$S$22:$S$150"),"Atrasada"),0)+IFERROR(COUNTIF(INDIRECT("'"&amp;$O15&amp;"'!$S$22:$S$150"),"Reprovada"),0)</f>
        <v>0</v>
      </c>
      <c r="X15" s="48" t="n">
        <f aca="false">IF($W15=0,0,$V15/$W15)</f>
        <v>0</v>
      </c>
    </row>
    <row r="16" customFormat="false" ht="15" hidden="false" customHeight="false" outlineLevel="0" collapsed="false">
      <c r="N16" s="47" t="n">
        <f aca="false">EDATE(DATE(2026,7,1),11)</f>
        <v>46539</v>
      </c>
      <c r="O16" s="45" t="str">
        <f aca="false">CHOOSE(MONTH($N16),"JAN","FEV","MAR","ABR","MAI","JUN","JUL","AGO","SET","OUT","NOV","DEZ")&amp;"/"&amp;RIGHT(YEAR($N16),2)</f>
        <v>JUN/27</v>
      </c>
      <c r="P16" s="45" t="n">
        <f aca="false">SUMIFS(OCORRÊNCIAS!$E$6:$E$605,OCORRÊNCIAS!$B$6:$B$605,"Erro operacional",OCORRÊNCIAS!$C$6:$C$605,"A",OCORRÊNCIAS!$I$6:$I$605,$N16)</f>
        <v>0</v>
      </c>
      <c r="Q16" s="45" t="n">
        <f aca="false">SUMIFS(OCORRÊNCIAS!$E$6:$E$605,OCORRÊNCIAS!$B$6:$B$605,"Erro operacional",OCORRÊNCIAS!$C$6:$C$605,"B",OCORRÊNCIAS!$I$6:$I$605,$N16)</f>
        <v>0</v>
      </c>
      <c r="R16" s="45" t="n">
        <f aca="false">SUMIFS(OCORRÊNCIAS!$E$6:$E$605,OCORRÊNCIAS!$B$6:$B$605,"Erro operacional",OCORRÊNCIAS!$C$6:$C$605,"C",OCORRÊNCIAS!$I$6:$I$605,$N16)</f>
        <v>0</v>
      </c>
      <c r="S16" s="45" t="n">
        <f aca="false">SUMIFS(OCORRÊNCIAS!$E$6:$E$605,OCORRÊNCIAS!$B$6:$B$605,"Falta",OCORRÊNCIAS!$C$6:$C$605,"A",OCORRÊNCIAS!$I$6:$I$605,$N16)+SUMIFS(OCORRÊNCIAS!$E$6:$E$605,OCORRÊNCIAS!$B$6:$B$605,"Atestado",OCORRÊNCIAS!$C$6:$C$605,"A",OCORRÊNCIAS!$I$6:$I$605,$N16)</f>
        <v>0</v>
      </c>
      <c r="T16" s="45" t="n">
        <f aca="false">SUMIFS(OCORRÊNCIAS!$E$6:$E$605,OCORRÊNCIAS!$B$6:$B$605,"Falta",OCORRÊNCIAS!$C$6:$C$605,"B",OCORRÊNCIAS!$I$6:$I$605,$N16)+SUMIFS(OCORRÊNCIAS!$E$6:$E$605,OCORRÊNCIAS!$B$6:$B$605,"Atestado",OCORRÊNCIAS!$C$6:$C$605,"B",OCORRÊNCIAS!$I$6:$I$605,$N16)</f>
        <v>0</v>
      </c>
      <c r="U16" s="45" t="n">
        <f aca="false">SUMIFS(OCORRÊNCIAS!$E$6:$E$605,OCORRÊNCIAS!$B$6:$B$605,"Falta",OCORRÊNCIAS!$C$6:$C$605,"C",OCORRÊNCIAS!$I$6:$I$605,$N16)+SUMIFS(OCORRÊNCIAS!$E$6:$E$605,OCORRÊNCIAS!$B$6:$B$605,"Atestado",OCORRÊNCIAS!$C$6:$C$605,"C",OCORRÊNCIAS!$I$6:$I$605,$N16)</f>
        <v>0</v>
      </c>
      <c r="V16" s="45" t="n">
        <f aca="true">IFERROR(COUNTIF(INDIRECT("'"&amp;$O16&amp;"'!$S$22:$S$150"),"Aprovada"),0)</f>
        <v>0</v>
      </c>
      <c r="W16" s="45" t="n">
        <f aca="true">IFERROR(COUNTIF(INDIRECT("'"&amp;$O16&amp;"'!$S$22:$S$150"),"Aprovada"),0)+IFERROR(COUNTIF(INDIRECT("'"&amp;$O16&amp;"'!$S$22:$S$150"),"Entregue"),0)+IFERROR(COUNTIF(INDIRECT("'"&amp;$O16&amp;"'!$S$22:$S$150"),"Pendente"),0)+IFERROR(COUNTIF(INDIRECT("'"&amp;$O16&amp;"'!$S$22:$S$150"),"Atrasada"),0)+IFERROR(COUNTIF(INDIRECT("'"&amp;$O16&amp;"'!$S$22:$S$150"),"Reprovada"),0)</f>
        <v>0</v>
      </c>
      <c r="X16" s="48" t="n">
        <f aca="false">IF($W16=0,0,$V16/$W16)</f>
        <v>0</v>
      </c>
    </row>
    <row r="17" customFormat="false" ht="15" hidden="false" customHeight="false" outlineLevel="0" collapsed="false">
      <c r="N17" s="47" t="n">
        <f aca="false">EDATE(DATE(2026,7,1),12)</f>
        <v>46569</v>
      </c>
      <c r="O17" s="45" t="str">
        <f aca="false">CHOOSE(MONTH($N17),"JAN","FEV","MAR","ABR","MAI","JUN","JUL","AGO","SET","OUT","NOV","DEZ")&amp;"/"&amp;RIGHT(YEAR($N17),2)</f>
        <v>JUL/27</v>
      </c>
      <c r="P17" s="45" t="n">
        <f aca="false">SUMIFS(OCORRÊNCIAS!$E$6:$E$605,OCORRÊNCIAS!$B$6:$B$605,"Erro operacional",OCORRÊNCIAS!$C$6:$C$605,"A",OCORRÊNCIAS!$I$6:$I$605,$N17)</f>
        <v>0</v>
      </c>
      <c r="Q17" s="45" t="n">
        <f aca="false">SUMIFS(OCORRÊNCIAS!$E$6:$E$605,OCORRÊNCIAS!$B$6:$B$605,"Erro operacional",OCORRÊNCIAS!$C$6:$C$605,"B",OCORRÊNCIAS!$I$6:$I$605,$N17)</f>
        <v>0</v>
      </c>
      <c r="R17" s="45" t="n">
        <f aca="false">SUMIFS(OCORRÊNCIAS!$E$6:$E$605,OCORRÊNCIAS!$B$6:$B$605,"Erro operacional",OCORRÊNCIAS!$C$6:$C$605,"C",OCORRÊNCIAS!$I$6:$I$605,$N17)</f>
        <v>0</v>
      </c>
      <c r="S17" s="45" t="n">
        <f aca="false">SUMIFS(OCORRÊNCIAS!$E$6:$E$605,OCORRÊNCIAS!$B$6:$B$605,"Falta",OCORRÊNCIAS!$C$6:$C$605,"A",OCORRÊNCIAS!$I$6:$I$605,$N17)+SUMIFS(OCORRÊNCIAS!$E$6:$E$605,OCORRÊNCIAS!$B$6:$B$605,"Atestado",OCORRÊNCIAS!$C$6:$C$605,"A",OCORRÊNCIAS!$I$6:$I$605,$N17)</f>
        <v>0</v>
      </c>
      <c r="T17" s="45" t="n">
        <f aca="false">SUMIFS(OCORRÊNCIAS!$E$6:$E$605,OCORRÊNCIAS!$B$6:$B$605,"Falta",OCORRÊNCIAS!$C$6:$C$605,"B",OCORRÊNCIAS!$I$6:$I$605,$N17)+SUMIFS(OCORRÊNCIAS!$E$6:$E$605,OCORRÊNCIAS!$B$6:$B$605,"Atestado",OCORRÊNCIAS!$C$6:$C$605,"B",OCORRÊNCIAS!$I$6:$I$605,$N17)</f>
        <v>0</v>
      </c>
      <c r="U17" s="45" t="n">
        <f aca="false">SUMIFS(OCORRÊNCIAS!$E$6:$E$605,OCORRÊNCIAS!$B$6:$B$605,"Falta",OCORRÊNCIAS!$C$6:$C$605,"C",OCORRÊNCIAS!$I$6:$I$605,$N17)+SUMIFS(OCORRÊNCIAS!$E$6:$E$605,OCORRÊNCIAS!$B$6:$B$605,"Atestado",OCORRÊNCIAS!$C$6:$C$605,"C",OCORRÊNCIAS!$I$6:$I$605,$N17)</f>
        <v>0</v>
      </c>
      <c r="V17" s="45" t="n">
        <f aca="true">IFERROR(COUNTIF(INDIRECT("'"&amp;$O17&amp;"'!$S$22:$S$150"),"Aprovada"),0)</f>
        <v>0</v>
      </c>
      <c r="W17" s="45" t="n">
        <f aca="true">IFERROR(COUNTIF(INDIRECT("'"&amp;$O17&amp;"'!$S$22:$S$150"),"Aprovada"),0)+IFERROR(COUNTIF(INDIRECT("'"&amp;$O17&amp;"'!$S$22:$S$150"),"Entregue"),0)+IFERROR(COUNTIF(INDIRECT("'"&amp;$O17&amp;"'!$S$22:$S$150"),"Pendente"),0)+IFERROR(COUNTIF(INDIRECT("'"&amp;$O17&amp;"'!$S$22:$S$150"),"Atrasada"),0)+IFERROR(COUNTIF(INDIRECT("'"&amp;$O17&amp;"'!$S$22:$S$150"),"Reprovada"),0)</f>
        <v>0</v>
      </c>
      <c r="X17" s="48" t="n">
        <f aca="false">IF($W17=0,0,$V17/$W17)</f>
        <v>0</v>
      </c>
    </row>
    <row r="18" customFormat="false" ht="15" hidden="false" customHeight="false" outlineLevel="0" collapsed="false">
      <c r="N18" s="47" t="n">
        <f aca="false">EDATE(DATE(2026,7,1),13)</f>
        <v>46600</v>
      </c>
      <c r="O18" s="45" t="str">
        <f aca="false">CHOOSE(MONTH($N18),"JAN","FEV","MAR","ABR","MAI","JUN","JUL","AGO","SET","OUT","NOV","DEZ")&amp;"/"&amp;RIGHT(YEAR($N18),2)</f>
        <v>AGO/27</v>
      </c>
      <c r="P18" s="45" t="n">
        <f aca="false">SUMIFS(OCORRÊNCIAS!$E$6:$E$605,OCORRÊNCIAS!$B$6:$B$605,"Erro operacional",OCORRÊNCIAS!$C$6:$C$605,"A",OCORRÊNCIAS!$I$6:$I$605,$N18)</f>
        <v>0</v>
      </c>
      <c r="Q18" s="45" t="n">
        <f aca="false">SUMIFS(OCORRÊNCIAS!$E$6:$E$605,OCORRÊNCIAS!$B$6:$B$605,"Erro operacional",OCORRÊNCIAS!$C$6:$C$605,"B",OCORRÊNCIAS!$I$6:$I$605,$N18)</f>
        <v>0</v>
      </c>
      <c r="R18" s="45" t="n">
        <f aca="false">SUMIFS(OCORRÊNCIAS!$E$6:$E$605,OCORRÊNCIAS!$B$6:$B$605,"Erro operacional",OCORRÊNCIAS!$C$6:$C$605,"C",OCORRÊNCIAS!$I$6:$I$605,$N18)</f>
        <v>0</v>
      </c>
      <c r="S18" s="45" t="n">
        <f aca="false">SUMIFS(OCORRÊNCIAS!$E$6:$E$605,OCORRÊNCIAS!$B$6:$B$605,"Falta",OCORRÊNCIAS!$C$6:$C$605,"A",OCORRÊNCIAS!$I$6:$I$605,$N18)+SUMIFS(OCORRÊNCIAS!$E$6:$E$605,OCORRÊNCIAS!$B$6:$B$605,"Atestado",OCORRÊNCIAS!$C$6:$C$605,"A",OCORRÊNCIAS!$I$6:$I$605,$N18)</f>
        <v>0</v>
      </c>
      <c r="T18" s="45" t="n">
        <f aca="false">SUMIFS(OCORRÊNCIAS!$E$6:$E$605,OCORRÊNCIAS!$B$6:$B$605,"Falta",OCORRÊNCIAS!$C$6:$C$605,"B",OCORRÊNCIAS!$I$6:$I$605,$N18)+SUMIFS(OCORRÊNCIAS!$E$6:$E$605,OCORRÊNCIAS!$B$6:$B$605,"Atestado",OCORRÊNCIAS!$C$6:$C$605,"B",OCORRÊNCIAS!$I$6:$I$605,$N18)</f>
        <v>0</v>
      </c>
      <c r="U18" s="45" t="n">
        <f aca="false">SUMIFS(OCORRÊNCIAS!$E$6:$E$605,OCORRÊNCIAS!$B$6:$B$605,"Falta",OCORRÊNCIAS!$C$6:$C$605,"C",OCORRÊNCIAS!$I$6:$I$605,$N18)+SUMIFS(OCORRÊNCIAS!$E$6:$E$605,OCORRÊNCIAS!$B$6:$B$605,"Atestado",OCORRÊNCIAS!$C$6:$C$605,"C",OCORRÊNCIAS!$I$6:$I$605,$N18)</f>
        <v>0</v>
      </c>
      <c r="V18" s="45" t="n">
        <f aca="true">IFERROR(COUNTIF(INDIRECT("'"&amp;$O18&amp;"'!$S$22:$S$150"),"Aprovada"),0)</f>
        <v>0</v>
      </c>
      <c r="W18" s="45" t="n">
        <f aca="true">IFERROR(COUNTIF(INDIRECT("'"&amp;$O18&amp;"'!$S$22:$S$150"),"Aprovada"),0)+IFERROR(COUNTIF(INDIRECT("'"&amp;$O18&amp;"'!$S$22:$S$150"),"Entregue"),0)+IFERROR(COUNTIF(INDIRECT("'"&amp;$O18&amp;"'!$S$22:$S$150"),"Pendente"),0)+IFERROR(COUNTIF(INDIRECT("'"&amp;$O18&amp;"'!$S$22:$S$150"),"Atrasada"),0)+IFERROR(COUNTIF(INDIRECT("'"&amp;$O18&amp;"'!$S$22:$S$150"),"Reprovada"),0)</f>
        <v>0</v>
      </c>
      <c r="X18" s="48" t="n">
        <f aca="false">IF($W18=0,0,$V18/$W18)</f>
        <v>0</v>
      </c>
    </row>
    <row r="19" customFormat="false" ht="15" hidden="false" customHeight="false" outlineLevel="0" collapsed="false">
      <c r="N19" s="47" t="n">
        <f aca="false">EDATE(DATE(2026,7,1),14)</f>
        <v>46631</v>
      </c>
      <c r="O19" s="45" t="str">
        <f aca="false">CHOOSE(MONTH($N19),"JAN","FEV","MAR","ABR","MAI","JUN","JUL","AGO","SET","OUT","NOV","DEZ")&amp;"/"&amp;RIGHT(YEAR($N19),2)</f>
        <v>SET/27</v>
      </c>
      <c r="P19" s="45" t="n">
        <f aca="false">SUMIFS(OCORRÊNCIAS!$E$6:$E$605,OCORRÊNCIAS!$B$6:$B$605,"Erro operacional",OCORRÊNCIAS!$C$6:$C$605,"A",OCORRÊNCIAS!$I$6:$I$605,$N19)</f>
        <v>0</v>
      </c>
      <c r="Q19" s="45" t="n">
        <f aca="false">SUMIFS(OCORRÊNCIAS!$E$6:$E$605,OCORRÊNCIAS!$B$6:$B$605,"Erro operacional",OCORRÊNCIAS!$C$6:$C$605,"B",OCORRÊNCIAS!$I$6:$I$605,$N19)</f>
        <v>0</v>
      </c>
      <c r="R19" s="45" t="n">
        <f aca="false">SUMIFS(OCORRÊNCIAS!$E$6:$E$605,OCORRÊNCIAS!$B$6:$B$605,"Erro operacional",OCORRÊNCIAS!$C$6:$C$605,"C",OCORRÊNCIAS!$I$6:$I$605,$N19)</f>
        <v>0</v>
      </c>
      <c r="S19" s="45" t="n">
        <f aca="false">SUMIFS(OCORRÊNCIAS!$E$6:$E$605,OCORRÊNCIAS!$B$6:$B$605,"Falta",OCORRÊNCIAS!$C$6:$C$605,"A",OCORRÊNCIAS!$I$6:$I$605,$N19)+SUMIFS(OCORRÊNCIAS!$E$6:$E$605,OCORRÊNCIAS!$B$6:$B$605,"Atestado",OCORRÊNCIAS!$C$6:$C$605,"A",OCORRÊNCIAS!$I$6:$I$605,$N19)</f>
        <v>0</v>
      </c>
      <c r="T19" s="45" t="n">
        <f aca="false">SUMIFS(OCORRÊNCIAS!$E$6:$E$605,OCORRÊNCIAS!$B$6:$B$605,"Falta",OCORRÊNCIAS!$C$6:$C$605,"B",OCORRÊNCIAS!$I$6:$I$605,$N19)+SUMIFS(OCORRÊNCIAS!$E$6:$E$605,OCORRÊNCIAS!$B$6:$B$605,"Atestado",OCORRÊNCIAS!$C$6:$C$605,"B",OCORRÊNCIAS!$I$6:$I$605,$N19)</f>
        <v>0</v>
      </c>
      <c r="U19" s="45" t="n">
        <f aca="false">SUMIFS(OCORRÊNCIAS!$E$6:$E$605,OCORRÊNCIAS!$B$6:$B$605,"Falta",OCORRÊNCIAS!$C$6:$C$605,"C",OCORRÊNCIAS!$I$6:$I$605,$N19)+SUMIFS(OCORRÊNCIAS!$E$6:$E$605,OCORRÊNCIAS!$B$6:$B$605,"Atestado",OCORRÊNCIAS!$C$6:$C$605,"C",OCORRÊNCIAS!$I$6:$I$605,$N19)</f>
        <v>0</v>
      </c>
      <c r="V19" s="45" t="n">
        <f aca="true">IFERROR(COUNTIF(INDIRECT("'"&amp;$O19&amp;"'!$S$22:$S$150"),"Aprovada"),0)</f>
        <v>0</v>
      </c>
      <c r="W19" s="45" t="n">
        <f aca="true">IFERROR(COUNTIF(INDIRECT("'"&amp;$O19&amp;"'!$S$22:$S$150"),"Aprovada"),0)+IFERROR(COUNTIF(INDIRECT("'"&amp;$O19&amp;"'!$S$22:$S$150"),"Entregue"),0)+IFERROR(COUNTIF(INDIRECT("'"&amp;$O19&amp;"'!$S$22:$S$150"),"Pendente"),0)+IFERROR(COUNTIF(INDIRECT("'"&amp;$O19&amp;"'!$S$22:$S$150"),"Atrasada"),0)+IFERROR(COUNTIF(INDIRECT("'"&amp;$O19&amp;"'!$S$22:$S$150"),"Reprovada"),0)</f>
        <v>0</v>
      </c>
      <c r="X19" s="48" t="n">
        <f aca="false">IF($W19=0,0,$V19/$W19)</f>
        <v>0</v>
      </c>
    </row>
    <row r="20" customFormat="false" ht="15" hidden="false" customHeight="false" outlineLevel="0" collapsed="false">
      <c r="N20" s="47" t="n">
        <f aca="false">EDATE(DATE(2026,7,1),15)</f>
        <v>46661</v>
      </c>
      <c r="O20" s="45" t="str">
        <f aca="false">CHOOSE(MONTH($N20),"JAN","FEV","MAR","ABR","MAI","JUN","JUL","AGO","SET","OUT","NOV","DEZ")&amp;"/"&amp;RIGHT(YEAR($N20),2)</f>
        <v>OUT/27</v>
      </c>
      <c r="P20" s="45" t="n">
        <f aca="false">SUMIFS(OCORRÊNCIAS!$E$6:$E$605,OCORRÊNCIAS!$B$6:$B$605,"Erro operacional",OCORRÊNCIAS!$C$6:$C$605,"A",OCORRÊNCIAS!$I$6:$I$605,$N20)</f>
        <v>0</v>
      </c>
      <c r="Q20" s="45" t="n">
        <f aca="false">SUMIFS(OCORRÊNCIAS!$E$6:$E$605,OCORRÊNCIAS!$B$6:$B$605,"Erro operacional",OCORRÊNCIAS!$C$6:$C$605,"B",OCORRÊNCIAS!$I$6:$I$605,$N20)</f>
        <v>0</v>
      </c>
      <c r="R20" s="45" t="n">
        <f aca="false">SUMIFS(OCORRÊNCIAS!$E$6:$E$605,OCORRÊNCIAS!$B$6:$B$605,"Erro operacional",OCORRÊNCIAS!$C$6:$C$605,"C",OCORRÊNCIAS!$I$6:$I$605,$N20)</f>
        <v>0</v>
      </c>
      <c r="S20" s="45" t="n">
        <f aca="false">SUMIFS(OCORRÊNCIAS!$E$6:$E$605,OCORRÊNCIAS!$B$6:$B$605,"Falta",OCORRÊNCIAS!$C$6:$C$605,"A",OCORRÊNCIAS!$I$6:$I$605,$N20)+SUMIFS(OCORRÊNCIAS!$E$6:$E$605,OCORRÊNCIAS!$B$6:$B$605,"Atestado",OCORRÊNCIAS!$C$6:$C$605,"A",OCORRÊNCIAS!$I$6:$I$605,$N20)</f>
        <v>0</v>
      </c>
      <c r="T20" s="45" t="n">
        <f aca="false">SUMIFS(OCORRÊNCIAS!$E$6:$E$605,OCORRÊNCIAS!$B$6:$B$605,"Falta",OCORRÊNCIAS!$C$6:$C$605,"B",OCORRÊNCIAS!$I$6:$I$605,$N20)+SUMIFS(OCORRÊNCIAS!$E$6:$E$605,OCORRÊNCIAS!$B$6:$B$605,"Atestado",OCORRÊNCIAS!$C$6:$C$605,"B",OCORRÊNCIAS!$I$6:$I$605,$N20)</f>
        <v>0</v>
      </c>
      <c r="U20" s="45" t="n">
        <f aca="false">SUMIFS(OCORRÊNCIAS!$E$6:$E$605,OCORRÊNCIAS!$B$6:$B$605,"Falta",OCORRÊNCIAS!$C$6:$C$605,"C",OCORRÊNCIAS!$I$6:$I$605,$N20)+SUMIFS(OCORRÊNCIAS!$E$6:$E$605,OCORRÊNCIAS!$B$6:$B$605,"Atestado",OCORRÊNCIAS!$C$6:$C$605,"C",OCORRÊNCIAS!$I$6:$I$605,$N20)</f>
        <v>0</v>
      </c>
      <c r="V20" s="45" t="n">
        <f aca="true">IFERROR(COUNTIF(INDIRECT("'"&amp;$O20&amp;"'!$S$22:$S$150"),"Aprovada"),0)</f>
        <v>0</v>
      </c>
      <c r="W20" s="45" t="n">
        <f aca="true">IFERROR(COUNTIF(INDIRECT("'"&amp;$O20&amp;"'!$S$22:$S$150"),"Aprovada"),0)+IFERROR(COUNTIF(INDIRECT("'"&amp;$O20&amp;"'!$S$22:$S$150"),"Entregue"),0)+IFERROR(COUNTIF(INDIRECT("'"&amp;$O20&amp;"'!$S$22:$S$150"),"Pendente"),0)+IFERROR(COUNTIF(INDIRECT("'"&amp;$O20&amp;"'!$S$22:$S$150"),"Atrasada"),0)+IFERROR(COUNTIF(INDIRECT("'"&amp;$O20&amp;"'!$S$22:$S$150"),"Reprovada"),0)</f>
        <v>0</v>
      </c>
      <c r="X20" s="48" t="n">
        <f aca="false">IF($W20=0,0,$V20/$W20)</f>
        <v>0</v>
      </c>
    </row>
    <row r="21" customFormat="false" ht="15" hidden="false" customHeight="false" outlineLevel="0" collapsed="false">
      <c r="N21" s="47" t="n">
        <f aca="false">EDATE(DATE(2026,7,1),16)</f>
        <v>46692</v>
      </c>
      <c r="O21" s="45" t="str">
        <f aca="false">CHOOSE(MONTH($N21),"JAN","FEV","MAR","ABR","MAI","JUN","JUL","AGO","SET","OUT","NOV","DEZ")&amp;"/"&amp;RIGHT(YEAR($N21),2)</f>
        <v>NOV/27</v>
      </c>
      <c r="P21" s="45" t="n">
        <f aca="false">SUMIFS(OCORRÊNCIAS!$E$6:$E$605,OCORRÊNCIAS!$B$6:$B$605,"Erro operacional",OCORRÊNCIAS!$C$6:$C$605,"A",OCORRÊNCIAS!$I$6:$I$605,$N21)</f>
        <v>0</v>
      </c>
      <c r="Q21" s="45" t="n">
        <f aca="false">SUMIFS(OCORRÊNCIAS!$E$6:$E$605,OCORRÊNCIAS!$B$6:$B$605,"Erro operacional",OCORRÊNCIAS!$C$6:$C$605,"B",OCORRÊNCIAS!$I$6:$I$605,$N21)</f>
        <v>0</v>
      </c>
      <c r="R21" s="45" t="n">
        <f aca="false">SUMIFS(OCORRÊNCIAS!$E$6:$E$605,OCORRÊNCIAS!$B$6:$B$605,"Erro operacional",OCORRÊNCIAS!$C$6:$C$605,"C",OCORRÊNCIAS!$I$6:$I$605,$N21)</f>
        <v>0</v>
      </c>
      <c r="S21" s="45" t="n">
        <f aca="false">SUMIFS(OCORRÊNCIAS!$E$6:$E$605,OCORRÊNCIAS!$B$6:$B$605,"Falta",OCORRÊNCIAS!$C$6:$C$605,"A",OCORRÊNCIAS!$I$6:$I$605,$N21)+SUMIFS(OCORRÊNCIAS!$E$6:$E$605,OCORRÊNCIAS!$B$6:$B$605,"Atestado",OCORRÊNCIAS!$C$6:$C$605,"A",OCORRÊNCIAS!$I$6:$I$605,$N21)</f>
        <v>0</v>
      </c>
      <c r="T21" s="45" t="n">
        <f aca="false">SUMIFS(OCORRÊNCIAS!$E$6:$E$605,OCORRÊNCIAS!$B$6:$B$605,"Falta",OCORRÊNCIAS!$C$6:$C$605,"B",OCORRÊNCIAS!$I$6:$I$605,$N21)+SUMIFS(OCORRÊNCIAS!$E$6:$E$605,OCORRÊNCIAS!$B$6:$B$605,"Atestado",OCORRÊNCIAS!$C$6:$C$605,"B",OCORRÊNCIAS!$I$6:$I$605,$N21)</f>
        <v>0</v>
      </c>
      <c r="U21" s="45" t="n">
        <f aca="false">SUMIFS(OCORRÊNCIAS!$E$6:$E$605,OCORRÊNCIAS!$B$6:$B$605,"Falta",OCORRÊNCIAS!$C$6:$C$605,"C",OCORRÊNCIAS!$I$6:$I$605,$N21)+SUMIFS(OCORRÊNCIAS!$E$6:$E$605,OCORRÊNCIAS!$B$6:$B$605,"Atestado",OCORRÊNCIAS!$C$6:$C$605,"C",OCORRÊNCIAS!$I$6:$I$605,$N21)</f>
        <v>0</v>
      </c>
      <c r="V21" s="45" t="n">
        <f aca="true">IFERROR(COUNTIF(INDIRECT("'"&amp;$O21&amp;"'!$S$22:$S$150"),"Aprovada"),0)</f>
        <v>0</v>
      </c>
      <c r="W21" s="45" t="n">
        <f aca="true">IFERROR(COUNTIF(INDIRECT("'"&amp;$O21&amp;"'!$S$22:$S$150"),"Aprovada"),0)+IFERROR(COUNTIF(INDIRECT("'"&amp;$O21&amp;"'!$S$22:$S$150"),"Entregue"),0)+IFERROR(COUNTIF(INDIRECT("'"&amp;$O21&amp;"'!$S$22:$S$150"),"Pendente"),0)+IFERROR(COUNTIF(INDIRECT("'"&amp;$O21&amp;"'!$S$22:$S$150"),"Atrasada"),0)+IFERROR(COUNTIF(INDIRECT("'"&amp;$O21&amp;"'!$S$22:$S$150"),"Reprovada"),0)</f>
        <v>0</v>
      </c>
      <c r="X21" s="48" t="n">
        <f aca="false">IF($W21=0,0,$V21/$W21)</f>
        <v>0</v>
      </c>
    </row>
    <row r="22" customFormat="false" ht="15" hidden="false" customHeight="false" outlineLevel="0" collapsed="false">
      <c r="N22" s="47" t="n">
        <f aca="false">EDATE(DATE(2026,7,1),17)</f>
        <v>46722</v>
      </c>
      <c r="O22" s="45" t="str">
        <f aca="false">CHOOSE(MONTH($N22),"JAN","FEV","MAR","ABR","MAI","JUN","JUL","AGO","SET","OUT","NOV","DEZ")&amp;"/"&amp;RIGHT(YEAR($N22),2)</f>
        <v>DEZ/27</v>
      </c>
      <c r="P22" s="45" t="n">
        <f aca="false">SUMIFS(OCORRÊNCIAS!$E$6:$E$605,OCORRÊNCIAS!$B$6:$B$605,"Erro operacional",OCORRÊNCIAS!$C$6:$C$605,"A",OCORRÊNCIAS!$I$6:$I$605,$N22)</f>
        <v>0</v>
      </c>
      <c r="Q22" s="45" t="n">
        <f aca="false">SUMIFS(OCORRÊNCIAS!$E$6:$E$605,OCORRÊNCIAS!$B$6:$B$605,"Erro operacional",OCORRÊNCIAS!$C$6:$C$605,"B",OCORRÊNCIAS!$I$6:$I$605,$N22)</f>
        <v>0</v>
      </c>
      <c r="R22" s="45" t="n">
        <f aca="false">SUMIFS(OCORRÊNCIAS!$E$6:$E$605,OCORRÊNCIAS!$B$6:$B$605,"Erro operacional",OCORRÊNCIAS!$C$6:$C$605,"C",OCORRÊNCIAS!$I$6:$I$605,$N22)</f>
        <v>0</v>
      </c>
      <c r="S22" s="45" t="n">
        <f aca="false">SUMIFS(OCORRÊNCIAS!$E$6:$E$605,OCORRÊNCIAS!$B$6:$B$605,"Falta",OCORRÊNCIAS!$C$6:$C$605,"A",OCORRÊNCIAS!$I$6:$I$605,$N22)+SUMIFS(OCORRÊNCIAS!$E$6:$E$605,OCORRÊNCIAS!$B$6:$B$605,"Atestado",OCORRÊNCIAS!$C$6:$C$605,"A",OCORRÊNCIAS!$I$6:$I$605,$N22)</f>
        <v>0</v>
      </c>
      <c r="T22" s="45" t="n">
        <f aca="false">SUMIFS(OCORRÊNCIAS!$E$6:$E$605,OCORRÊNCIAS!$B$6:$B$605,"Falta",OCORRÊNCIAS!$C$6:$C$605,"B",OCORRÊNCIAS!$I$6:$I$605,$N22)+SUMIFS(OCORRÊNCIAS!$E$6:$E$605,OCORRÊNCIAS!$B$6:$B$605,"Atestado",OCORRÊNCIAS!$C$6:$C$605,"B",OCORRÊNCIAS!$I$6:$I$605,$N22)</f>
        <v>0</v>
      </c>
      <c r="U22" s="45" t="n">
        <f aca="false">SUMIFS(OCORRÊNCIAS!$E$6:$E$605,OCORRÊNCIAS!$B$6:$B$605,"Falta",OCORRÊNCIAS!$C$6:$C$605,"C",OCORRÊNCIAS!$I$6:$I$605,$N22)+SUMIFS(OCORRÊNCIAS!$E$6:$E$605,OCORRÊNCIAS!$B$6:$B$605,"Atestado",OCORRÊNCIAS!$C$6:$C$605,"C",OCORRÊNCIAS!$I$6:$I$605,$N22)</f>
        <v>0</v>
      </c>
      <c r="V22" s="45" t="n">
        <f aca="true">IFERROR(COUNTIF(INDIRECT("'"&amp;$O22&amp;"'!$S$22:$S$150"),"Aprovada"),0)</f>
        <v>0</v>
      </c>
      <c r="W22" s="45" t="n">
        <f aca="true">IFERROR(COUNTIF(INDIRECT("'"&amp;$O22&amp;"'!$S$22:$S$150"),"Aprovada"),0)+IFERROR(COUNTIF(INDIRECT("'"&amp;$O22&amp;"'!$S$22:$S$150"),"Entregue"),0)+IFERROR(COUNTIF(INDIRECT("'"&amp;$O22&amp;"'!$S$22:$S$150"),"Pendente"),0)+IFERROR(COUNTIF(INDIRECT("'"&amp;$O22&amp;"'!$S$22:$S$150"),"Atrasada"),0)+IFERROR(COUNTIF(INDIRECT("'"&amp;$O22&amp;"'!$S$22:$S$150"),"Reprovada"),0)</f>
        <v>0</v>
      </c>
      <c r="X22" s="48" t="n">
        <f aca="false">IF($W22=0,0,$V22/$W22)</f>
        <v>0</v>
      </c>
    </row>
    <row r="25" customFormat="false" ht="15" hidden="false" customHeight="false" outlineLevel="0" collapsed="false">
      <c r="N25" s="44" t="s">
        <v>98</v>
      </c>
    </row>
    <row r="26" customFormat="false" ht="15" hidden="false" customHeight="false" outlineLevel="0" collapsed="false">
      <c r="N26" s="45" t="str">
        <f aca="false">IF(CONFIG!$A$12="","",CONFIG!$A$12)</f>
        <v>Recebimento</v>
      </c>
      <c r="O26" s="45" t="n">
        <f aca="false">IF($N26="","",SUMIFS(OCORRÊNCIAS!$E$6:$E$605,OCORRÊNCIAS!$B$6:$B$605,"Erro operacional",OCORRÊNCIAS!$D$6:$D$605,$N26))</f>
        <v>0</v>
      </c>
      <c r="P26" s="45" t="n">
        <f aca="false">IF($N26="","",$O26+ROW()/1000000)</f>
        <v>2.6E-005</v>
      </c>
    </row>
    <row r="27" customFormat="false" ht="15" hidden="false" customHeight="false" outlineLevel="0" collapsed="false">
      <c r="N27" s="45" t="str">
        <f aca="false">IF(CONFIG!$A$13="","",CONFIG!$A$13)</f>
        <v>Conferência</v>
      </c>
      <c r="O27" s="45" t="n">
        <f aca="false">IF($N27="","",SUMIFS(OCORRÊNCIAS!$E$6:$E$605,OCORRÊNCIAS!$B$6:$B$605,"Erro operacional",OCORRÊNCIAS!$D$6:$D$605,$N27))</f>
        <v>0</v>
      </c>
      <c r="P27" s="45" t="n">
        <f aca="false">IF($N27="","",$O27+ROW()/1000000)</f>
        <v>2.7E-005</v>
      </c>
    </row>
    <row r="28" customFormat="false" ht="15" hidden="false" customHeight="false" outlineLevel="0" collapsed="false">
      <c r="N28" s="45" t="str">
        <f aca="false">IF(CONFIG!$A$14="","",CONFIG!$A$14)</f>
        <v>Armazenagem / Porta-paletes</v>
      </c>
      <c r="O28" s="45" t="n">
        <f aca="false">IF($N28="","",SUMIFS(OCORRÊNCIAS!$E$6:$E$605,OCORRÊNCIAS!$B$6:$B$605,"Erro operacional",OCORRÊNCIAS!$D$6:$D$605,$N28))</f>
        <v>0</v>
      </c>
      <c r="P28" s="45" t="n">
        <f aca="false">IF($N28="","",$O28+ROW()/1000000)</f>
        <v>2.8E-005</v>
      </c>
    </row>
    <row r="29" customFormat="false" ht="15" hidden="false" customHeight="false" outlineLevel="0" collapsed="false">
      <c r="N29" s="45" t="str">
        <f aca="false">IF(CONFIG!$A$15="","",CONFIG!$A$15)</f>
        <v>Separação (Picking)</v>
      </c>
      <c r="O29" s="45" t="n">
        <f aca="false">IF($N29="","",SUMIFS(OCORRÊNCIAS!$E$6:$E$605,OCORRÊNCIAS!$B$6:$B$605,"Erro operacional",OCORRÊNCIAS!$D$6:$D$605,$N29))</f>
        <v>0</v>
      </c>
      <c r="P29" s="45" t="n">
        <f aca="false">IF($N29="","",$O29+ROW()/1000000)</f>
        <v>2.9E-005</v>
      </c>
    </row>
    <row r="30" customFormat="false" ht="15" hidden="false" customHeight="false" outlineLevel="0" collapsed="false">
      <c r="N30" s="45" t="str">
        <f aca="false">IF(CONFIG!$A$16="","",CONFIG!$A$16)</f>
        <v>Reposição</v>
      </c>
      <c r="O30" s="45" t="n">
        <f aca="false">IF($N30="","",SUMIFS(OCORRÊNCIAS!$E$6:$E$605,OCORRÊNCIAS!$B$6:$B$605,"Erro operacional",OCORRÊNCIAS!$D$6:$D$605,$N30))</f>
        <v>0</v>
      </c>
      <c r="P30" s="45" t="n">
        <f aca="false">IF($N30="","",$O30+ROW()/1000000)</f>
        <v>3E-005</v>
      </c>
    </row>
    <row r="31" customFormat="false" ht="15" hidden="false" customHeight="false" outlineLevel="0" collapsed="false">
      <c r="N31" s="45" t="str">
        <f aca="false">IF(CONFIG!$A$17="","",CONFIG!$A$17)</f>
        <v>Expedição</v>
      </c>
      <c r="O31" s="45" t="n">
        <f aca="false">IF($N31="","",SUMIFS(OCORRÊNCIAS!$E$6:$E$605,OCORRÊNCIAS!$B$6:$B$605,"Erro operacional",OCORRÊNCIAS!$D$6:$D$605,$N31))</f>
        <v>0</v>
      </c>
      <c r="P31" s="45" t="n">
        <f aca="false">IF($N31="","",$O31+ROW()/1000000)</f>
        <v>3.1E-005</v>
      </c>
    </row>
    <row r="32" customFormat="false" ht="15" hidden="false" customHeight="false" outlineLevel="0" collapsed="false">
      <c r="N32" s="45" t="str">
        <f aca="false">IF(CONFIG!$A$18="","",CONFIG!$A$18)</f>
        <v>Carregamento / Docas</v>
      </c>
      <c r="O32" s="45" t="n">
        <f aca="false">IF($N32="","",SUMIFS(OCORRÊNCIAS!$E$6:$E$605,OCORRÊNCIAS!$B$6:$B$605,"Erro operacional",OCORRÊNCIAS!$D$6:$D$605,$N32))</f>
        <v>0</v>
      </c>
      <c r="P32" s="45" t="n">
        <f aca="false">IF($N32="","",$O32+ROW()/1000000)</f>
        <v>3.2E-005</v>
      </c>
    </row>
    <row r="33" customFormat="false" ht="15" hidden="false" customHeight="false" outlineLevel="0" collapsed="false">
      <c r="N33" s="45" t="str">
        <f aca="false">IF(CONFIG!$A$19="","",CONFIG!$A$19)</f>
        <v>Devolução / Avarias</v>
      </c>
      <c r="O33" s="45" t="n">
        <f aca="false">IF($N33="","",SUMIFS(OCORRÊNCIAS!$E$6:$E$605,OCORRÊNCIAS!$B$6:$B$605,"Erro operacional",OCORRÊNCIAS!$D$6:$D$605,$N33))</f>
        <v>0</v>
      </c>
      <c r="P33" s="45" t="n">
        <f aca="false">IF($N33="","",$O33+ROW()/1000000)</f>
        <v>3.3E-005</v>
      </c>
    </row>
    <row r="34" customFormat="false" ht="15" hidden="false" customHeight="false" outlineLevel="0" collapsed="false">
      <c r="N34" s="45" t="str">
        <f aca="false">IF(CONFIG!$A$20="","",CONFIG!$A$20)</f>
        <v>Inventário</v>
      </c>
      <c r="O34" s="45" t="n">
        <f aca="false">IF($N34="","",SUMIFS(OCORRÊNCIAS!$E$6:$E$605,OCORRÊNCIAS!$B$6:$B$605,"Erro operacional",OCORRÊNCIAS!$D$6:$D$605,$N34))</f>
        <v>0</v>
      </c>
      <c r="P34" s="45" t="n">
        <f aca="false">IF($N34="","",$O34+ROW()/1000000)</f>
        <v>3.4E-005</v>
      </c>
    </row>
    <row r="35" customFormat="false" ht="15" hidden="false" customHeight="false" outlineLevel="0" collapsed="false">
      <c r="N35" s="45" t="str">
        <f aca="false">IF(CONFIG!$A$21="","",CONFIG!$A$21)</f>
        <v>Manutenção</v>
      </c>
      <c r="O35" s="45" t="n">
        <f aca="false">IF($N35="","",SUMIFS(OCORRÊNCIAS!$E$6:$E$605,OCORRÊNCIAS!$B$6:$B$605,"Erro operacional",OCORRÊNCIAS!$D$6:$D$605,$N35))</f>
        <v>0</v>
      </c>
      <c r="P35" s="45" t="n">
        <f aca="false">IF($N35="","",$O35+ROW()/1000000)</f>
        <v>3.5E-005</v>
      </c>
    </row>
    <row r="36" customFormat="false" ht="15" hidden="false" customHeight="false" outlineLevel="0" collapsed="false">
      <c r="N36" s="45" t="str">
        <f aca="false">IF(CONFIG!$A$22="","",CONFIG!$A$22)</f>
        <v>Pátio / Área externa</v>
      </c>
      <c r="O36" s="45" t="n">
        <f aca="false">IF($N36="","",SUMIFS(OCORRÊNCIAS!$E$6:$E$605,OCORRÊNCIAS!$B$6:$B$605,"Erro operacional",OCORRÊNCIAS!$D$6:$D$605,$N36))</f>
        <v>0</v>
      </c>
      <c r="P36" s="45" t="n">
        <f aca="false">IF($N36="","",$O36+ROW()/1000000)</f>
        <v>3.6E-005</v>
      </c>
    </row>
    <row r="37" customFormat="false" ht="15" hidden="false" customHeight="true" outlineLevel="0" collapsed="false">
      <c r="A37" s="46" t="s">
        <v>99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N37" s="45" t="str">
        <f aca="false">IF(CONFIG!$A$23="","",CONFIG!$A$23)</f>
        <v>Administrativo do CD</v>
      </c>
      <c r="O37" s="45" t="n">
        <f aca="false">IF($N37="","",SUMIFS(OCORRÊNCIAS!$E$6:$E$605,OCORRÊNCIAS!$B$6:$B$605,"Erro operacional",OCORRÊNCIAS!$D$6:$D$605,$N37))</f>
        <v>0</v>
      </c>
      <c r="P37" s="45" t="n">
        <f aca="false">IF($N37="","",$O37+ROW()/1000000)</f>
        <v>3.7E-005</v>
      </c>
    </row>
    <row r="38" customFormat="false" ht="15" hidden="false" customHeight="false" outlineLevel="0" collapsed="false">
      <c r="N38" s="45" t="str">
        <f aca="false">IF(CONFIG!$A$24="","",CONFIG!$A$24)</f>
        <v/>
      </c>
      <c r="O38" s="45" t="str">
        <f aca="false">IF($N38="","",SUMIFS(OCORRÊNCIAS!$E$6:$E$605,OCORRÊNCIAS!$B$6:$B$605,"Erro operacional",OCORRÊNCIAS!$D$6:$D$605,$N38))</f>
        <v/>
      </c>
      <c r="P38" s="45" t="str">
        <f aca="false">IF($N38="","",$O38+ROW()/1000000)</f>
        <v/>
      </c>
    </row>
    <row r="39" customFormat="false" ht="15" hidden="false" customHeight="false" outlineLevel="0" collapsed="false">
      <c r="N39" s="45" t="str">
        <f aca="false">IF(CONFIG!$A$25="","",CONFIG!$A$25)</f>
        <v/>
      </c>
      <c r="O39" s="45" t="str">
        <f aca="false">IF($N39="","",SUMIFS(OCORRÊNCIAS!$E$6:$E$605,OCORRÊNCIAS!$B$6:$B$605,"Erro operacional",OCORRÊNCIAS!$D$6:$D$605,$N39))</f>
        <v/>
      </c>
      <c r="P39" s="45" t="str">
        <f aca="false">IF($N39="","",$O39+ROW()/1000000)</f>
        <v/>
      </c>
    </row>
    <row r="40" customFormat="false" ht="15" hidden="false" customHeight="false" outlineLevel="0" collapsed="false">
      <c r="N40" s="45" t="str">
        <f aca="false">IF(CONFIG!$A$26="","",CONFIG!$A$26)</f>
        <v/>
      </c>
      <c r="O40" s="45" t="str">
        <f aca="false">IF($N40="","",SUMIFS(OCORRÊNCIAS!$E$6:$E$605,OCORRÊNCIAS!$B$6:$B$605,"Erro operacional",OCORRÊNCIAS!$D$6:$D$605,$N40))</f>
        <v/>
      </c>
      <c r="P40" s="45" t="str">
        <f aca="false">IF($N40="","",$O40+ROW()/1000000)</f>
        <v/>
      </c>
    </row>
    <row r="41" customFormat="false" ht="15" hidden="false" customHeight="false" outlineLevel="0" collapsed="false">
      <c r="N41" s="45" t="str">
        <f aca="false">IF(CONFIG!$A$27="","",CONFIG!$A$27)</f>
        <v/>
      </c>
      <c r="O41" s="45" t="str">
        <f aca="false">IF($N41="","",SUMIFS(OCORRÊNCIAS!$E$6:$E$605,OCORRÊNCIAS!$B$6:$B$605,"Erro operacional",OCORRÊNCIAS!$D$6:$D$605,$N41))</f>
        <v/>
      </c>
      <c r="P41" s="45" t="str">
        <f aca="false">IF($N41="","",$O41+ROW()/1000000)</f>
        <v/>
      </c>
    </row>
    <row r="42" customFormat="false" ht="15" hidden="false" customHeight="false" outlineLevel="0" collapsed="false">
      <c r="N42" s="45" t="str">
        <f aca="false">IF(CONFIG!$A$28="","",CONFIG!$A$28)</f>
        <v/>
      </c>
      <c r="O42" s="45" t="str">
        <f aca="false">IF($N42="","",SUMIFS(OCORRÊNCIAS!$E$6:$E$605,OCORRÊNCIAS!$B$6:$B$605,"Erro operacional",OCORRÊNCIAS!$D$6:$D$605,$N42))</f>
        <v/>
      </c>
      <c r="P42" s="45" t="str">
        <f aca="false">IF($N42="","",$O42+ROW()/1000000)</f>
        <v/>
      </c>
    </row>
    <row r="43" customFormat="false" ht="15" hidden="false" customHeight="false" outlineLevel="0" collapsed="false">
      <c r="N43" s="45" t="str">
        <f aca="false">IF(CONFIG!$A$29="","",CONFIG!$A$29)</f>
        <v/>
      </c>
      <c r="O43" s="45" t="str">
        <f aca="false">IF($N43="","",SUMIFS(OCORRÊNCIAS!$E$6:$E$605,OCORRÊNCIAS!$B$6:$B$605,"Erro operacional",OCORRÊNCIAS!$D$6:$D$605,$N43))</f>
        <v/>
      </c>
      <c r="P43" s="45" t="str">
        <f aca="false">IF($N43="","",$O43+ROW()/1000000)</f>
        <v/>
      </c>
    </row>
    <row r="44" customFormat="false" ht="15" hidden="false" customHeight="false" outlineLevel="0" collapsed="false">
      <c r="N44" s="45" t="str">
        <f aca="false">IF(CONFIG!$A$30="","",CONFIG!$A$30)</f>
        <v/>
      </c>
      <c r="O44" s="45" t="str">
        <f aca="false">IF($N44="","",SUMIFS(OCORRÊNCIAS!$E$6:$E$605,OCORRÊNCIAS!$B$6:$B$605,"Erro operacional",OCORRÊNCIAS!$D$6:$D$605,$N44))</f>
        <v/>
      </c>
      <c r="P44" s="45" t="str">
        <f aca="false">IF($N44="","",$O44+ROW()/1000000)</f>
        <v/>
      </c>
    </row>
    <row r="45" customFormat="false" ht="15" hidden="false" customHeight="false" outlineLevel="0" collapsed="false">
      <c r="N45" s="45" t="str">
        <f aca="false">IF(CONFIG!$A$31="","",CONFIG!$A$31)</f>
        <v/>
      </c>
      <c r="O45" s="45" t="str">
        <f aca="false">IF($N45="","",SUMIFS(OCORRÊNCIAS!$E$6:$E$605,OCORRÊNCIAS!$B$6:$B$605,"Erro operacional",OCORRÊNCIAS!$D$6:$D$605,$N45))</f>
        <v/>
      </c>
      <c r="P45" s="45" t="str">
        <f aca="false">IF($N45="","",$O45+ROW()/1000000)</f>
        <v/>
      </c>
    </row>
    <row r="46" customFormat="false" ht="15" hidden="false" customHeight="false" outlineLevel="0" collapsed="false">
      <c r="N46" s="45" t="str">
        <f aca="false">IF(CONFIG!$A$32="","",CONFIG!$A$32)</f>
        <v/>
      </c>
      <c r="O46" s="45" t="str">
        <f aca="false">IF($N46="","",SUMIFS(OCORRÊNCIAS!$E$6:$E$605,OCORRÊNCIAS!$B$6:$B$605,"Erro operacional",OCORRÊNCIAS!$D$6:$D$605,$N46))</f>
        <v/>
      </c>
      <c r="P46" s="45" t="str">
        <f aca="false">IF($N46="","",$O46+ROW()/1000000)</f>
        <v/>
      </c>
    </row>
    <row r="47" customFormat="false" ht="15" hidden="false" customHeight="false" outlineLevel="0" collapsed="false">
      <c r="N47" s="45" t="str">
        <f aca="false">IF(CONFIG!$A$33="","",CONFIG!$A$33)</f>
        <v/>
      </c>
      <c r="O47" s="45" t="str">
        <f aca="false">IF($N47="","",SUMIFS(OCORRÊNCIAS!$E$6:$E$605,OCORRÊNCIAS!$B$6:$B$605,"Erro operacional",OCORRÊNCIAS!$D$6:$D$605,$N47))</f>
        <v/>
      </c>
      <c r="P47" s="45" t="str">
        <f aca="false">IF($N47="","",$O47+ROW()/1000000)</f>
        <v/>
      </c>
    </row>
    <row r="48" customFormat="false" ht="15" hidden="false" customHeight="false" outlineLevel="0" collapsed="false">
      <c r="N48" s="45" t="str">
        <f aca="false">IF(CONFIG!$A$34="","",CONFIG!$A$34)</f>
        <v/>
      </c>
      <c r="O48" s="45" t="str">
        <f aca="false">IF($N48="","",SUMIFS(OCORRÊNCIAS!$E$6:$E$605,OCORRÊNCIAS!$B$6:$B$605,"Erro operacional",OCORRÊNCIAS!$D$6:$D$605,$N48))</f>
        <v/>
      </c>
      <c r="P48" s="45" t="str">
        <f aca="false">IF($N48="","",$O48+ROW()/1000000)</f>
        <v/>
      </c>
    </row>
    <row r="49" customFormat="false" ht="15" hidden="false" customHeight="false" outlineLevel="0" collapsed="false">
      <c r="N49" s="45" t="str">
        <f aca="false">IF(CONFIG!$A$35="","",CONFIG!$A$35)</f>
        <v/>
      </c>
      <c r="O49" s="45" t="str">
        <f aca="false">IF($N49="","",SUMIFS(OCORRÊNCIAS!$E$6:$E$605,OCORRÊNCIAS!$B$6:$B$605,"Erro operacional",OCORRÊNCIAS!$D$6:$D$605,$N49))</f>
        <v/>
      </c>
      <c r="P49" s="45" t="str">
        <f aca="false">IF($N49="","",$O49+ROW()/1000000)</f>
        <v/>
      </c>
    </row>
    <row r="50" customFormat="false" ht="15" hidden="false" customHeight="false" outlineLevel="0" collapsed="false">
      <c r="N50" s="45" t="str">
        <f aca="false">IF(CONFIG!$A$36="","",CONFIG!$A$36)</f>
        <v/>
      </c>
      <c r="O50" s="45" t="str">
        <f aca="false">IF($N50="","",SUMIFS(OCORRÊNCIAS!$E$6:$E$605,OCORRÊNCIAS!$B$6:$B$605,"Erro operacional",OCORRÊNCIAS!$D$6:$D$605,$N50))</f>
        <v/>
      </c>
      <c r="P50" s="45" t="str">
        <f aca="false">IF($N50="","",$O50+ROW()/1000000)</f>
        <v/>
      </c>
    </row>
    <row r="51" customFormat="false" ht="15" hidden="false" customHeight="false" outlineLevel="0" collapsed="false">
      <c r="N51" s="45" t="str">
        <f aca="false">IF(CONFIG!$A$37="","",CONFIG!$A$37)</f>
        <v/>
      </c>
      <c r="O51" s="45" t="str">
        <f aca="false">IF($N51="","",SUMIFS(OCORRÊNCIAS!$E$6:$E$605,OCORRÊNCIAS!$B$6:$B$605,"Erro operacional",OCORRÊNCIAS!$D$6:$D$605,$N51))</f>
        <v/>
      </c>
      <c r="P51" s="45" t="str">
        <f aca="false">IF($N51="","",$O51+ROW()/1000000)</f>
        <v/>
      </c>
    </row>
    <row r="52" customFormat="false" ht="15" hidden="false" customHeight="false" outlineLevel="0" collapsed="false">
      <c r="N52" s="45" t="str">
        <f aca="false">IF(CONFIG!$A$38="","",CONFIG!$A$38)</f>
        <v/>
      </c>
      <c r="O52" s="45" t="str">
        <f aca="false">IF($N52="","",SUMIFS(OCORRÊNCIAS!$E$6:$E$605,OCORRÊNCIAS!$B$6:$B$605,"Erro operacional",OCORRÊNCIAS!$D$6:$D$605,$N52))</f>
        <v/>
      </c>
      <c r="P52" s="45" t="str">
        <f aca="false">IF($N52="","",$O52+ROW()/1000000)</f>
        <v/>
      </c>
    </row>
    <row r="53" customFormat="false" ht="15" hidden="false" customHeight="false" outlineLevel="0" collapsed="false">
      <c r="N53" s="45" t="str">
        <f aca="false">IF(CONFIG!$A$39="","",CONFIG!$A$39)</f>
        <v/>
      </c>
      <c r="O53" s="45" t="str">
        <f aca="false">IF($N53="","",SUMIFS(OCORRÊNCIAS!$E$6:$E$605,OCORRÊNCIAS!$B$6:$B$605,"Erro operacional",OCORRÊNCIAS!$D$6:$D$605,$N53))</f>
        <v/>
      </c>
      <c r="P53" s="45" t="str">
        <f aca="false">IF($N53="","",$O53+ROW()/1000000)</f>
        <v/>
      </c>
    </row>
    <row r="54" customFormat="false" ht="15" hidden="false" customHeight="false" outlineLevel="0" collapsed="false">
      <c r="N54" s="45" t="str">
        <f aca="false">IF(CONFIG!$A$40="","",CONFIG!$A$40)</f>
        <v/>
      </c>
      <c r="O54" s="45" t="str">
        <f aca="false">IF($N54="","",SUMIFS(OCORRÊNCIAS!$E$6:$E$605,OCORRÊNCIAS!$B$6:$B$605,"Erro operacional",OCORRÊNCIAS!$D$6:$D$605,$N54))</f>
        <v/>
      </c>
      <c r="P54" s="45" t="str">
        <f aca="false">IF($N54="","",$O54+ROW()/1000000)</f>
        <v/>
      </c>
    </row>
  </sheetData>
  <mergeCells count="3">
    <mergeCell ref="A1:I1"/>
    <mergeCell ref="A5:L5"/>
    <mergeCell ref="A37:L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3" min="1" style="0" width="10"/>
    <col collapsed="false" customWidth="true" hidden="false" outlineLevel="0" max="14" min="14" style="0" width="9"/>
    <col collapsed="false" customWidth="true" hidden="true" outlineLevel="0" max="25" min="16" style="0" width="5"/>
  </cols>
  <sheetData>
    <row r="1" customFormat="false" ht="45.7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4"/>
      <c r="I2" s="4"/>
      <c r="J2" s="4"/>
      <c r="K2" s="4"/>
      <c r="L2" s="4"/>
      <c r="M2" s="4"/>
      <c r="N2" s="4"/>
    </row>
    <row r="3" customFormat="false" ht="15" hidden="false" customHeight="false" outlineLevel="0" collapsed="false">
      <c r="A3" s="19" t="s">
        <v>101</v>
      </c>
      <c r="C3" s="19" t="s">
        <v>102</v>
      </c>
      <c r="E3" s="19" t="s">
        <v>103</v>
      </c>
      <c r="H3" s="19" t="s">
        <v>104</v>
      </c>
    </row>
    <row r="4" customFormat="false" ht="19.7" hidden="false" customHeight="false" outlineLevel="0" collapsed="false">
      <c r="A4" s="49" t="n">
        <f aca="true">IFERROR(INDEX($K$10:$K$27,MATCH(DATE(YEAR(TODAY()),MONTH(TODAY()),1),$P$10:$P$27,0)),"—")</f>
        <v>60</v>
      </c>
      <c r="B4" s="50" t="str">
        <f aca="false">IF(N($A$4)=0,"",IF(($A$4&gt;=$C$4)*($A$4&gt;=$E$4),"🥇",IF(($A$4&gt;=$C$4)+($A$4&gt;=$E$4)=1,"🥈","🥉")))</f>
        <v>🥇</v>
      </c>
      <c r="C4" s="49" t="n">
        <f aca="true">IFERROR(INDEX($L$10:$L$27,MATCH(DATE(YEAR(TODAY()),MONTH(TODAY()),1),$P$10:$P$27,0)),"—")</f>
        <v>60</v>
      </c>
      <c r="D4" s="50" t="str">
        <f aca="false">IF(N($C$4)=0,"",IF(($C$4&gt;=$A$4)*($C$4&gt;=$E$4),"🥇",IF(($C$4&gt;=$A$4)+($C$4&gt;=$E$4)=1,"🥈","🥉")))</f>
        <v>🥇</v>
      </c>
      <c r="E4" s="49" t="n">
        <f aca="true">IFERROR(INDEX($M$10:$M$27,MATCH(DATE(YEAR(TODAY()),MONTH(TODAY()),1),$P$10:$P$27,0)),"—")</f>
        <v>60</v>
      </c>
      <c r="F4" s="50" t="str">
        <f aca="false">IF(N($E$4)=0,"",IF(($E$4&gt;=$A$4)*($E$4&gt;=$C$4),"🥇",IF(($E$4&gt;=$A$4)+($E$4&gt;=$C$4)=1,"🥈","🥉")))</f>
        <v>🥇</v>
      </c>
      <c r="H4" s="51" t="str">
        <f aca="false">IF(N($A$4)+N($C$4)+N($E$4)=0,"—",IF(MAX(N($A$4),N($C$4),N($E$4))=N($A$4),"Turno A",IF(MAX(N($A$4),N($C$4),N($E$4))=N($C$4),"Turno B","Turno C")))</f>
        <v>Turno A</v>
      </c>
    </row>
    <row r="5" customFormat="false" ht="30" hidden="false" customHeight="true" outlineLevel="0" collapsed="false">
      <c r="A5" s="46" t="s">
        <v>105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</row>
    <row r="6" customFormat="false" ht="15" hidden="false" customHeight="false" outlineLevel="0" collapsed="false">
      <c r="B6" s="39" t="s">
        <v>106</v>
      </c>
      <c r="D6" s="39" t="s">
        <v>107</v>
      </c>
      <c r="F6" s="39" t="s">
        <v>108</v>
      </c>
      <c r="H6" s="39" t="s">
        <v>109</v>
      </c>
    </row>
    <row r="7" customFormat="false" ht="15" hidden="false" customHeight="false" outlineLevel="0" collapsed="false">
      <c r="B7" s="52" t="n">
        <v>40</v>
      </c>
      <c r="D7" s="52" t="n">
        <v>30</v>
      </c>
      <c r="F7" s="52" t="n">
        <v>30</v>
      </c>
      <c r="H7" s="52" t="n">
        <v>12</v>
      </c>
      <c r="J7" s="15" t="s">
        <v>110</v>
      </c>
    </row>
    <row r="9" customFormat="false" ht="15" hidden="false" customHeight="false" outlineLevel="0" collapsed="false">
      <c r="A9" s="25" t="s">
        <v>70</v>
      </c>
      <c r="B9" s="25" t="s">
        <v>111</v>
      </c>
      <c r="C9" s="25" t="s">
        <v>112</v>
      </c>
      <c r="D9" s="25" t="s">
        <v>113</v>
      </c>
      <c r="E9" s="25" t="s">
        <v>114</v>
      </c>
      <c r="F9" s="25" t="s">
        <v>115</v>
      </c>
      <c r="G9" s="25" t="s">
        <v>116</v>
      </c>
      <c r="H9" s="25" t="s">
        <v>117</v>
      </c>
      <c r="I9" s="25" t="s">
        <v>118</v>
      </c>
      <c r="J9" s="25" t="s">
        <v>119</v>
      </c>
      <c r="K9" s="25" t="s">
        <v>120</v>
      </c>
      <c r="L9" s="25" t="s">
        <v>121</v>
      </c>
      <c r="M9" s="25" t="s">
        <v>122</v>
      </c>
      <c r="N9" s="25" t="s">
        <v>123</v>
      </c>
    </row>
    <row r="10" customFormat="false" ht="15" hidden="false" customHeight="false" outlineLevel="0" collapsed="false">
      <c r="A10" s="9" t="str">
        <f aca="false">CHOOSE(MONTH($P10),"JAN","FEV","MAR","ABR","MAI","JUN","JUL","AGO","SET","OUT","NOV","DEZ")&amp;"/"&amp;RIGHT(YEAR($P10),2)</f>
        <v>JUL/26</v>
      </c>
      <c r="B10" s="53" t="n">
        <f aca="false">IF($Q10=0,"",$T10/$Q10)</f>
        <v>0</v>
      </c>
      <c r="C10" s="53" t="n">
        <f aca="false">IF($R10=0,"",$U10/$R10)</f>
        <v>0</v>
      </c>
      <c r="D10" s="53" t="n">
        <f aca="false">IF($S10=0,"",$V10/$S10)</f>
        <v>0</v>
      </c>
      <c r="E10" s="53" t="n">
        <f aca="false">IF($Q10=0,"",1-$W10/$Q10)</f>
        <v>1</v>
      </c>
      <c r="F10" s="53" t="n">
        <f aca="false">IF($R10=0,"",1-$X10/$R10)</f>
        <v>1</v>
      </c>
      <c r="G10" s="53" t="n">
        <f aca="false">IF($S10=0,"",1-$Y10/$S10)</f>
        <v>1</v>
      </c>
      <c r="H10" s="31" t="n">
        <f aca="false">SUMIFS(OCORRÊNCIAS!$E$6:$E$605,OCORRÊNCIAS!$B$6:$B$605,"Falta",OCORRÊNCIAS!$C$6:$C$605,"A",OCORRÊNCIAS!$I$6:$I$605,$P10)+SUMIFS(OCORRÊNCIAS!$E$6:$E$605,OCORRÊNCIAS!$B$6:$B$605,"Atestado",OCORRÊNCIAS!$C$6:$C$605,"A",OCORRÊNCIAS!$I$6:$I$605,$P10)</f>
        <v>0</v>
      </c>
      <c r="I10" s="31" t="n">
        <f aca="false">SUMIFS(OCORRÊNCIAS!$E$6:$E$605,OCORRÊNCIAS!$B$6:$B$605,"Falta",OCORRÊNCIAS!$C$6:$C$605,"B",OCORRÊNCIAS!$I$6:$I$605,$P10)+SUMIFS(OCORRÊNCIAS!$E$6:$E$605,OCORRÊNCIAS!$B$6:$B$605,"Atestado",OCORRÊNCIAS!$C$6:$C$605,"B",OCORRÊNCIAS!$I$6:$I$605,$P10)</f>
        <v>0</v>
      </c>
      <c r="J10" s="31" t="n">
        <f aca="false">SUMIFS(OCORRÊNCIAS!$E$6:$E$605,OCORRÊNCIAS!$B$6:$B$605,"Falta",OCORRÊNCIAS!$C$6:$C$605,"C",OCORRÊNCIAS!$I$6:$I$605,$P10)+SUMIFS(OCORRÊNCIAS!$E$6:$E$605,OCORRÊNCIAS!$B$6:$B$605,"Atestado",OCORRÊNCIAS!$C$6:$C$605,"C",OCORRÊNCIAS!$I$6:$I$605,$P10)</f>
        <v>0</v>
      </c>
      <c r="K10" s="54" t="n">
        <f aca="false">IF($Q10=0,"",ROUND($B$7*($T10/$Q10)+$D$7*(1-$W10/$Q10)+$F$7*MAX(0,1-$H10/$H$7),1))</f>
        <v>60</v>
      </c>
      <c r="L10" s="54" t="n">
        <f aca="false">IF($R10=0,"",ROUND($B$7*($U10/$R10)+$D$7*(1-$X10/$R10)+$F$7*MAX(0,1-$I10/$H$7),1))</f>
        <v>60</v>
      </c>
      <c r="M10" s="54" t="n">
        <f aca="false">IF($S10=0,"",ROUND($B$7*($V10/$S10)+$D$7*(1-$Y10/$S10)+$F$7*MAX(0,1-$J10/$H$7),1))</f>
        <v>60</v>
      </c>
      <c r="N10" s="31" t="str">
        <f aca="false">IF(N($K10)+N($L10)+N($M10)=0,"—",CHOOSE(MATCH(MAX(N($K10),N($L10),N($M10)),CHOOSE({1,2,3},N($K10),N($L10),N($M10)),0),"Turno A","Turno B","Turno C"))</f>
        <v>Turno A</v>
      </c>
      <c r="P10" s="55" t="n">
        <f aca="false">EDATE(DATE(2026,7,1),0)</f>
        <v>46204</v>
      </c>
      <c r="Q10" s="45" t="n">
        <f aca="true">IFERROR(COUNTIFS(INDIRECT("'"&amp;CHOOSE(MONTH($P10),"JAN","FEV","MAR","ABR","MAI","JUN","JUL","AGO","SET","OUT","NOV","DEZ")&amp;" "&amp;YEAR($P10)&amp;"'!$G$22:$G$150"),"A",INDIRECT("'"&amp;CHOOSE(MONTH($P10),"JAN","FEV","MAR","ABR","MAI","JUN","JUL","AGO","SET","OUT","NOV","DEZ")&amp;" "&amp;YEAR($P10)&amp;"'!$S$22:$S$150"),"Aprovada"),0)+IFERROR(COUNTIFS(INDIRECT("'"&amp;CHOOSE(MONTH($P10),"JAN","FEV","MAR","ABR","MAI","JUN","JUL","AGO","SET","OUT","NOV","DEZ")&amp;" "&amp;YEAR($P10)&amp;"'!$G$22:$G$150"),"A",INDIRECT("'"&amp;CHOOSE(MONTH($P10),"JAN","FEV","MAR","ABR","MAI","JUN","JUL","AGO","SET","OUT","NOV","DEZ")&amp;" "&amp;YEAR($P10)&amp;"'!$S$22:$S$150"),"Entregue"),0)+IFERROR(COUNTIFS(INDIRECT("'"&amp;CHOOSE(MONTH($P10),"JAN","FEV","MAR","ABR","MAI","JUN","JUL","AGO","SET","OUT","NOV","DEZ")&amp;" "&amp;YEAR($P10)&amp;"'!$G$22:$G$150"),"A",INDIRECT("'"&amp;CHOOSE(MONTH($P10),"JAN","FEV","MAR","ABR","MAI","JUN","JUL","AGO","SET","OUT","NOV","DEZ")&amp;" "&amp;YEAR($P10)&amp;"'!$S$22:$S$150"),"Pendente"),0)+IFERROR(COUNTIFS(INDIRECT("'"&amp;CHOOSE(MONTH($P10),"JAN","FEV","MAR","ABR","MAI","JUN","JUL","AGO","SET","OUT","NOV","DEZ")&amp;" "&amp;YEAR($P10)&amp;"'!$G$22:$G$150"),"A",INDIRECT("'"&amp;CHOOSE(MONTH($P10),"JAN","FEV","MAR","ABR","MAI","JUN","JUL","AGO","SET","OUT","NOV","DEZ")&amp;" "&amp;YEAR($P10)&amp;"'!$S$22:$S$150"),"Atrasada"),0)+IFERROR(COUNTIFS(INDIRECT("'"&amp;CHOOSE(MONTH($P10),"JAN","FEV","MAR","ABR","MAI","JUN","JUL","AGO","SET","OUT","NOV","DEZ")&amp;" "&amp;YEAR($P10)&amp;"'!$G$22:$G$150"),"A",INDIRECT("'"&amp;CHOOSE(MONTH($P10),"JAN","FEV","MAR","ABR","MAI","JUN","JUL","AGO","SET","OUT","NOV","DEZ")&amp;" "&amp;YEAR($P10)&amp;"'!$S$22:$S$150"),"Reprovada"),0)</f>
        <v>11</v>
      </c>
      <c r="R10" s="45" t="n">
        <f aca="true">IFERROR(COUNTIFS(INDIRECT("'"&amp;CHOOSE(MONTH($P10),"JAN","FEV","MAR","ABR","MAI","JUN","JUL","AGO","SET","OUT","NOV","DEZ")&amp;" "&amp;YEAR($P10)&amp;"'!$G$22:$G$150"),"B",INDIRECT("'"&amp;CHOOSE(MONTH($P10),"JAN","FEV","MAR","ABR","MAI","JUN","JUL","AGO","SET","OUT","NOV","DEZ")&amp;" "&amp;YEAR($P10)&amp;"'!$S$22:$S$150"),"Aprovada"),0)+IFERROR(COUNTIFS(INDIRECT("'"&amp;CHOOSE(MONTH($P10),"JAN","FEV","MAR","ABR","MAI","JUN","JUL","AGO","SET","OUT","NOV","DEZ")&amp;" "&amp;YEAR($P10)&amp;"'!$G$22:$G$150"),"B",INDIRECT("'"&amp;CHOOSE(MONTH($P10),"JAN","FEV","MAR","ABR","MAI","JUN","JUL","AGO","SET","OUT","NOV","DEZ")&amp;" "&amp;YEAR($P10)&amp;"'!$S$22:$S$150"),"Entregue"),0)+IFERROR(COUNTIFS(INDIRECT("'"&amp;CHOOSE(MONTH($P10),"JAN","FEV","MAR","ABR","MAI","JUN","JUL","AGO","SET","OUT","NOV","DEZ")&amp;" "&amp;YEAR($P10)&amp;"'!$G$22:$G$150"),"B",INDIRECT("'"&amp;CHOOSE(MONTH($P10),"JAN","FEV","MAR","ABR","MAI","JUN","JUL","AGO","SET","OUT","NOV","DEZ")&amp;" "&amp;YEAR($P10)&amp;"'!$S$22:$S$150"),"Pendente"),0)+IFERROR(COUNTIFS(INDIRECT("'"&amp;CHOOSE(MONTH($P10),"JAN","FEV","MAR","ABR","MAI","JUN","JUL","AGO","SET","OUT","NOV","DEZ")&amp;" "&amp;YEAR($P10)&amp;"'!$G$22:$G$150"),"B",INDIRECT("'"&amp;CHOOSE(MONTH($P10),"JAN","FEV","MAR","ABR","MAI","JUN","JUL","AGO","SET","OUT","NOV","DEZ")&amp;" "&amp;YEAR($P10)&amp;"'!$S$22:$S$150"),"Atrasada"),0)+IFERROR(COUNTIFS(INDIRECT("'"&amp;CHOOSE(MONTH($P10),"JAN","FEV","MAR","ABR","MAI","JUN","JUL","AGO","SET","OUT","NOV","DEZ")&amp;" "&amp;YEAR($P10)&amp;"'!$G$22:$G$150"),"B",INDIRECT("'"&amp;CHOOSE(MONTH($P10),"JAN","FEV","MAR","ABR","MAI","JUN","JUL","AGO","SET","OUT","NOV","DEZ")&amp;" "&amp;YEAR($P10)&amp;"'!$S$22:$S$150"),"Reprovada"),0)</f>
        <v>11</v>
      </c>
      <c r="S10" s="45" t="n">
        <f aca="true">IFERROR(COUNTIFS(INDIRECT("'"&amp;CHOOSE(MONTH($P10),"JAN","FEV","MAR","ABR","MAI","JUN","JUL","AGO","SET","OUT","NOV","DEZ")&amp;" "&amp;YEAR($P10)&amp;"'!$G$22:$G$150"),"C",INDIRECT("'"&amp;CHOOSE(MONTH($P10),"JAN","FEV","MAR","ABR","MAI","JUN","JUL","AGO","SET","OUT","NOV","DEZ")&amp;" "&amp;YEAR($P10)&amp;"'!$S$22:$S$150"),"Aprovada"),0)+IFERROR(COUNTIFS(INDIRECT("'"&amp;CHOOSE(MONTH($P10),"JAN","FEV","MAR","ABR","MAI","JUN","JUL","AGO","SET","OUT","NOV","DEZ")&amp;" "&amp;YEAR($P10)&amp;"'!$G$22:$G$150"),"C",INDIRECT("'"&amp;CHOOSE(MONTH($P10),"JAN","FEV","MAR","ABR","MAI","JUN","JUL","AGO","SET","OUT","NOV","DEZ")&amp;" "&amp;YEAR($P10)&amp;"'!$S$22:$S$150"),"Entregue"),0)+IFERROR(COUNTIFS(INDIRECT("'"&amp;CHOOSE(MONTH($P10),"JAN","FEV","MAR","ABR","MAI","JUN","JUL","AGO","SET","OUT","NOV","DEZ")&amp;" "&amp;YEAR($P10)&amp;"'!$G$22:$G$150"),"C",INDIRECT("'"&amp;CHOOSE(MONTH($P10),"JAN","FEV","MAR","ABR","MAI","JUN","JUL","AGO","SET","OUT","NOV","DEZ")&amp;" "&amp;YEAR($P10)&amp;"'!$S$22:$S$150"),"Pendente"),0)+IFERROR(COUNTIFS(INDIRECT("'"&amp;CHOOSE(MONTH($P10),"JAN","FEV","MAR","ABR","MAI","JUN","JUL","AGO","SET","OUT","NOV","DEZ")&amp;" "&amp;YEAR($P10)&amp;"'!$G$22:$G$150"),"C",INDIRECT("'"&amp;CHOOSE(MONTH($P10),"JAN","FEV","MAR","ABR","MAI","JUN","JUL","AGO","SET","OUT","NOV","DEZ")&amp;" "&amp;YEAR($P10)&amp;"'!$S$22:$S$150"),"Atrasada"),0)+IFERROR(COUNTIFS(INDIRECT("'"&amp;CHOOSE(MONTH($P10),"JAN","FEV","MAR","ABR","MAI","JUN","JUL","AGO","SET","OUT","NOV","DEZ")&amp;" "&amp;YEAR($P10)&amp;"'!$G$22:$G$150"),"C",INDIRECT("'"&amp;CHOOSE(MONTH($P10),"JAN","FEV","MAR","ABR","MAI","JUN","JUL","AGO","SET","OUT","NOV","DEZ")&amp;" "&amp;YEAR($P10)&amp;"'!$S$22:$S$150"),"Reprovada"),0)</f>
        <v>11</v>
      </c>
      <c r="T10" s="45" t="n">
        <f aca="true">IFERROR(COUNTIFS(INDIRECT("'"&amp;CHOOSE(MONTH($P10),"JAN","FEV","MAR","ABR","MAI","JUN","JUL","AGO","SET","OUT","NOV","DEZ")&amp;" "&amp;YEAR($P10)&amp;"'!$G$22:$G$150"),"A",INDIRECT("'"&amp;CHOOSE(MONTH($P10),"JAN","FEV","MAR","ABR","MAI","JUN","JUL","AGO","SET","OUT","NOV","DEZ")&amp;" "&amp;YEAR($P10)&amp;"'!$S$22:$S$150"),"Aprovada"),0)</f>
        <v>0</v>
      </c>
      <c r="U10" s="45" t="n">
        <f aca="true">IFERROR(COUNTIFS(INDIRECT("'"&amp;CHOOSE(MONTH($P10),"JAN","FEV","MAR","ABR","MAI","JUN","JUL","AGO","SET","OUT","NOV","DEZ")&amp;" "&amp;YEAR($P10)&amp;"'!$G$22:$G$150"),"B",INDIRECT("'"&amp;CHOOSE(MONTH($P10),"JAN","FEV","MAR","ABR","MAI","JUN","JUL","AGO","SET","OUT","NOV","DEZ")&amp;" "&amp;YEAR($P10)&amp;"'!$S$22:$S$150"),"Aprovada"),0)</f>
        <v>0</v>
      </c>
      <c r="V10" s="45" t="n">
        <f aca="true">IFERROR(COUNTIFS(INDIRECT("'"&amp;CHOOSE(MONTH($P10),"JAN","FEV","MAR","ABR","MAI","JUN","JUL","AGO","SET","OUT","NOV","DEZ")&amp;" "&amp;YEAR($P10)&amp;"'!$G$22:$G$150"),"C",INDIRECT("'"&amp;CHOOSE(MONTH($P10),"JAN","FEV","MAR","ABR","MAI","JUN","JUL","AGO","SET","OUT","NOV","DEZ")&amp;" "&amp;YEAR($P10)&amp;"'!$S$22:$S$150"),"Aprovada"),0)</f>
        <v>0</v>
      </c>
      <c r="W10" s="45" t="n">
        <f aca="true">IFERROR(COUNTIFS(INDIRECT("'"&amp;CHOOSE(MONTH($P10),"JAN","FEV","MAR","ABR","MAI","JUN","JUL","AGO","SET","OUT","NOV","DEZ")&amp;" "&amp;YEAR($P10)&amp;"'!$G$22:$G$150"),"A",INDIRECT("'"&amp;CHOOSE(MONTH($P10),"JAN","FEV","MAR","ABR","MAI","JUN","JUL","AGO","SET","OUT","NOV","DEZ")&amp;" "&amp;YEAR($P10)&amp;"'!$U$22:$U$150"),"&lt;&gt;"),0)</f>
        <v>0</v>
      </c>
      <c r="X10" s="45" t="n">
        <f aca="true">IFERROR(COUNTIFS(INDIRECT("'"&amp;CHOOSE(MONTH($P10),"JAN","FEV","MAR","ABR","MAI","JUN","JUL","AGO","SET","OUT","NOV","DEZ")&amp;" "&amp;YEAR($P10)&amp;"'!$G$22:$G$150"),"B",INDIRECT("'"&amp;CHOOSE(MONTH($P10),"JAN","FEV","MAR","ABR","MAI","JUN","JUL","AGO","SET","OUT","NOV","DEZ")&amp;" "&amp;YEAR($P10)&amp;"'!$U$22:$U$150"),"&lt;&gt;"),0)</f>
        <v>0</v>
      </c>
      <c r="Y10" s="45" t="n">
        <f aca="true">IFERROR(COUNTIFS(INDIRECT("'"&amp;CHOOSE(MONTH($P10),"JAN","FEV","MAR","ABR","MAI","JUN","JUL","AGO","SET","OUT","NOV","DEZ")&amp;" "&amp;YEAR($P10)&amp;"'!$G$22:$G$150"),"C",INDIRECT("'"&amp;CHOOSE(MONTH($P10),"JAN","FEV","MAR","ABR","MAI","JUN","JUL","AGO","SET","OUT","NOV","DEZ")&amp;" "&amp;YEAR($P10)&amp;"'!$U$22:$U$150"),"&lt;&gt;"),0)</f>
        <v>0</v>
      </c>
    </row>
    <row r="11" customFormat="false" ht="15" hidden="false" customHeight="false" outlineLevel="0" collapsed="false">
      <c r="A11" s="56" t="str">
        <f aca="false">CHOOSE(MONTH($P11),"JAN","FEV","MAR","ABR","MAI","JUN","JUL","AGO","SET","OUT","NOV","DEZ")&amp;"/"&amp;RIGHT(YEAR($P11),2)</f>
        <v>AGO/26</v>
      </c>
      <c r="B11" s="57" t="n">
        <f aca="false">IF($Q11=0,"",$T11/$Q11)</f>
        <v>0</v>
      </c>
      <c r="C11" s="57" t="n">
        <f aca="false">IF($R11=0,"",$U11/$R11)</f>
        <v>0</v>
      </c>
      <c r="D11" s="57" t="n">
        <f aca="false">IF($S11=0,"",$V11/$S11)</f>
        <v>0</v>
      </c>
      <c r="E11" s="57" t="n">
        <f aca="false">IF($Q11=0,"",1-$W11/$Q11)</f>
        <v>1</v>
      </c>
      <c r="F11" s="57" t="n">
        <f aca="false">IF($R11=0,"",1-$X11/$R11)</f>
        <v>1</v>
      </c>
      <c r="G11" s="57" t="n">
        <f aca="false">IF($S11=0,"",1-$Y11/$S11)</f>
        <v>1</v>
      </c>
      <c r="H11" s="58" t="n">
        <f aca="false">SUMIFS(OCORRÊNCIAS!$E$6:$E$605,OCORRÊNCIAS!$B$6:$B$605,"Falta",OCORRÊNCIAS!$C$6:$C$605,"A",OCORRÊNCIAS!$I$6:$I$605,$P11)+SUMIFS(OCORRÊNCIAS!$E$6:$E$605,OCORRÊNCIAS!$B$6:$B$605,"Atestado",OCORRÊNCIAS!$C$6:$C$605,"A",OCORRÊNCIAS!$I$6:$I$605,$P11)</f>
        <v>0</v>
      </c>
      <c r="I11" s="58" t="n">
        <f aca="false">SUMIFS(OCORRÊNCIAS!$E$6:$E$605,OCORRÊNCIAS!$B$6:$B$605,"Falta",OCORRÊNCIAS!$C$6:$C$605,"B",OCORRÊNCIAS!$I$6:$I$605,$P11)+SUMIFS(OCORRÊNCIAS!$E$6:$E$605,OCORRÊNCIAS!$B$6:$B$605,"Atestado",OCORRÊNCIAS!$C$6:$C$605,"B",OCORRÊNCIAS!$I$6:$I$605,$P11)</f>
        <v>0</v>
      </c>
      <c r="J11" s="58" t="n">
        <f aca="false">SUMIFS(OCORRÊNCIAS!$E$6:$E$605,OCORRÊNCIAS!$B$6:$B$605,"Falta",OCORRÊNCIAS!$C$6:$C$605,"C",OCORRÊNCIAS!$I$6:$I$605,$P11)+SUMIFS(OCORRÊNCIAS!$E$6:$E$605,OCORRÊNCIAS!$B$6:$B$605,"Atestado",OCORRÊNCIAS!$C$6:$C$605,"C",OCORRÊNCIAS!$I$6:$I$605,$P11)</f>
        <v>0</v>
      </c>
      <c r="K11" s="59" t="n">
        <f aca="false">IF($Q11=0,"",ROUND($B$7*($T11/$Q11)+$D$7*(1-$W11/$Q11)+$F$7*MAX(0,1-$H11/$H$7),1))</f>
        <v>60</v>
      </c>
      <c r="L11" s="59" t="n">
        <f aca="false">IF($R11=0,"",ROUND($B$7*($U11/$R11)+$D$7*(1-$X11/$R11)+$F$7*MAX(0,1-$I11/$H$7),1))</f>
        <v>60</v>
      </c>
      <c r="M11" s="59" t="n">
        <f aca="false">IF($S11=0,"",ROUND($B$7*($V11/$S11)+$D$7*(1-$Y11/$S11)+$F$7*MAX(0,1-$J11/$H$7),1))</f>
        <v>60</v>
      </c>
      <c r="N11" s="60" t="str">
        <f aca="false">IF(N($K11)+N($L11)+N($M11)=0,"—",CHOOSE(MATCH(MAX(N($K11),N($L11),N($M11)),CHOOSE({1,2,3},N($K11),N($L11),N($M11)),0),"Turno A","Turno B","Turno C"))</f>
        <v>Turno A</v>
      </c>
      <c r="P11" s="55" t="n">
        <f aca="false">EDATE(DATE(2026,7,1),1)</f>
        <v>46235</v>
      </c>
      <c r="Q11" s="45" t="n">
        <f aca="true">IFERROR(COUNTIFS(INDIRECT("'"&amp;CHOOSE(MONTH($P11),"JAN","FEV","MAR","ABR","MAI","JUN","JUL","AGO","SET","OUT","NOV","DEZ")&amp;" "&amp;YEAR($P11)&amp;"'!$G$22:$G$150"),"A",INDIRECT("'"&amp;CHOOSE(MONTH($P11),"JAN","FEV","MAR","ABR","MAI","JUN","JUL","AGO","SET","OUT","NOV","DEZ")&amp;" "&amp;YEAR($P11)&amp;"'!$S$22:$S$150"),"Aprovada"),0)+IFERROR(COUNTIFS(INDIRECT("'"&amp;CHOOSE(MONTH($P11),"JAN","FEV","MAR","ABR","MAI","JUN","JUL","AGO","SET","OUT","NOV","DEZ")&amp;" "&amp;YEAR($P11)&amp;"'!$G$22:$G$150"),"A",INDIRECT("'"&amp;CHOOSE(MONTH($P11),"JAN","FEV","MAR","ABR","MAI","JUN","JUL","AGO","SET","OUT","NOV","DEZ")&amp;" "&amp;YEAR($P11)&amp;"'!$S$22:$S$150"),"Entregue"),0)+IFERROR(COUNTIFS(INDIRECT("'"&amp;CHOOSE(MONTH($P11),"JAN","FEV","MAR","ABR","MAI","JUN","JUL","AGO","SET","OUT","NOV","DEZ")&amp;" "&amp;YEAR($P11)&amp;"'!$G$22:$G$150"),"A",INDIRECT("'"&amp;CHOOSE(MONTH($P11),"JAN","FEV","MAR","ABR","MAI","JUN","JUL","AGO","SET","OUT","NOV","DEZ")&amp;" "&amp;YEAR($P11)&amp;"'!$S$22:$S$150"),"Pendente"),0)+IFERROR(COUNTIFS(INDIRECT("'"&amp;CHOOSE(MONTH($P11),"JAN","FEV","MAR","ABR","MAI","JUN","JUL","AGO","SET","OUT","NOV","DEZ")&amp;" "&amp;YEAR($P11)&amp;"'!$G$22:$G$150"),"A",INDIRECT("'"&amp;CHOOSE(MONTH($P11),"JAN","FEV","MAR","ABR","MAI","JUN","JUL","AGO","SET","OUT","NOV","DEZ")&amp;" "&amp;YEAR($P11)&amp;"'!$S$22:$S$150"),"Atrasada"),0)+IFERROR(COUNTIFS(INDIRECT("'"&amp;CHOOSE(MONTH($P11),"JAN","FEV","MAR","ABR","MAI","JUN","JUL","AGO","SET","OUT","NOV","DEZ")&amp;" "&amp;YEAR($P11)&amp;"'!$G$22:$G$150"),"A",INDIRECT("'"&amp;CHOOSE(MONTH($P11),"JAN","FEV","MAR","ABR","MAI","JUN","JUL","AGO","SET","OUT","NOV","DEZ")&amp;" "&amp;YEAR($P11)&amp;"'!$S$22:$S$150"),"Reprovada"),0)</f>
        <v>9</v>
      </c>
      <c r="R11" s="45" t="n">
        <f aca="true">IFERROR(COUNTIFS(INDIRECT("'"&amp;CHOOSE(MONTH($P11),"JAN","FEV","MAR","ABR","MAI","JUN","JUL","AGO","SET","OUT","NOV","DEZ")&amp;" "&amp;YEAR($P11)&amp;"'!$G$22:$G$150"),"B",INDIRECT("'"&amp;CHOOSE(MONTH($P11),"JAN","FEV","MAR","ABR","MAI","JUN","JUL","AGO","SET","OUT","NOV","DEZ")&amp;" "&amp;YEAR($P11)&amp;"'!$S$22:$S$150"),"Aprovada"),0)+IFERROR(COUNTIFS(INDIRECT("'"&amp;CHOOSE(MONTH($P11),"JAN","FEV","MAR","ABR","MAI","JUN","JUL","AGO","SET","OUT","NOV","DEZ")&amp;" "&amp;YEAR($P11)&amp;"'!$G$22:$G$150"),"B",INDIRECT("'"&amp;CHOOSE(MONTH($P11),"JAN","FEV","MAR","ABR","MAI","JUN","JUL","AGO","SET","OUT","NOV","DEZ")&amp;" "&amp;YEAR($P11)&amp;"'!$S$22:$S$150"),"Entregue"),0)+IFERROR(COUNTIFS(INDIRECT("'"&amp;CHOOSE(MONTH($P11),"JAN","FEV","MAR","ABR","MAI","JUN","JUL","AGO","SET","OUT","NOV","DEZ")&amp;" "&amp;YEAR($P11)&amp;"'!$G$22:$G$150"),"B",INDIRECT("'"&amp;CHOOSE(MONTH($P11),"JAN","FEV","MAR","ABR","MAI","JUN","JUL","AGO","SET","OUT","NOV","DEZ")&amp;" "&amp;YEAR($P11)&amp;"'!$S$22:$S$150"),"Pendente"),0)+IFERROR(COUNTIFS(INDIRECT("'"&amp;CHOOSE(MONTH($P11),"JAN","FEV","MAR","ABR","MAI","JUN","JUL","AGO","SET","OUT","NOV","DEZ")&amp;" "&amp;YEAR($P11)&amp;"'!$G$22:$G$150"),"B",INDIRECT("'"&amp;CHOOSE(MONTH($P11),"JAN","FEV","MAR","ABR","MAI","JUN","JUL","AGO","SET","OUT","NOV","DEZ")&amp;" "&amp;YEAR($P11)&amp;"'!$S$22:$S$150"),"Atrasada"),0)+IFERROR(COUNTIFS(INDIRECT("'"&amp;CHOOSE(MONTH($P11),"JAN","FEV","MAR","ABR","MAI","JUN","JUL","AGO","SET","OUT","NOV","DEZ")&amp;" "&amp;YEAR($P11)&amp;"'!$G$22:$G$150"),"B",INDIRECT("'"&amp;CHOOSE(MONTH($P11),"JAN","FEV","MAR","ABR","MAI","JUN","JUL","AGO","SET","OUT","NOV","DEZ")&amp;" "&amp;YEAR($P11)&amp;"'!$S$22:$S$150"),"Reprovada"),0)</f>
        <v>9</v>
      </c>
      <c r="S11" s="45" t="n">
        <f aca="true">IFERROR(COUNTIFS(INDIRECT("'"&amp;CHOOSE(MONTH($P11),"JAN","FEV","MAR","ABR","MAI","JUN","JUL","AGO","SET","OUT","NOV","DEZ")&amp;" "&amp;YEAR($P11)&amp;"'!$G$22:$G$150"),"C",INDIRECT("'"&amp;CHOOSE(MONTH($P11),"JAN","FEV","MAR","ABR","MAI","JUN","JUL","AGO","SET","OUT","NOV","DEZ")&amp;" "&amp;YEAR($P11)&amp;"'!$S$22:$S$150"),"Aprovada"),0)+IFERROR(COUNTIFS(INDIRECT("'"&amp;CHOOSE(MONTH($P11),"JAN","FEV","MAR","ABR","MAI","JUN","JUL","AGO","SET","OUT","NOV","DEZ")&amp;" "&amp;YEAR($P11)&amp;"'!$G$22:$G$150"),"C",INDIRECT("'"&amp;CHOOSE(MONTH($P11),"JAN","FEV","MAR","ABR","MAI","JUN","JUL","AGO","SET","OUT","NOV","DEZ")&amp;" "&amp;YEAR($P11)&amp;"'!$S$22:$S$150"),"Entregue"),0)+IFERROR(COUNTIFS(INDIRECT("'"&amp;CHOOSE(MONTH($P11),"JAN","FEV","MAR","ABR","MAI","JUN","JUL","AGO","SET","OUT","NOV","DEZ")&amp;" "&amp;YEAR($P11)&amp;"'!$G$22:$G$150"),"C",INDIRECT("'"&amp;CHOOSE(MONTH($P11),"JAN","FEV","MAR","ABR","MAI","JUN","JUL","AGO","SET","OUT","NOV","DEZ")&amp;" "&amp;YEAR($P11)&amp;"'!$S$22:$S$150"),"Pendente"),0)+IFERROR(COUNTIFS(INDIRECT("'"&amp;CHOOSE(MONTH($P11),"JAN","FEV","MAR","ABR","MAI","JUN","JUL","AGO","SET","OUT","NOV","DEZ")&amp;" "&amp;YEAR($P11)&amp;"'!$G$22:$G$150"),"C",INDIRECT("'"&amp;CHOOSE(MONTH($P11),"JAN","FEV","MAR","ABR","MAI","JUN","JUL","AGO","SET","OUT","NOV","DEZ")&amp;" "&amp;YEAR($P11)&amp;"'!$S$22:$S$150"),"Atrasada"),0)+IFERROR(COUNTIFS(INDIRECT("'"&amp;CHOOSE(MONTH($P11),"JAN","FEV","MAR","ABR","MAI","JUN","JUL","AGO","SET","OUT","NOV","DEZ")&amp;" "&amp;YEAR($P11)&amp;"'!$G$22:$G$150"),"C",INDIRECT("'"&amp;CHOOSE(MONTH($P11),"JAN","FEV","MAR","ABR","MAI","JUN","JUL","AGO","SET","OUT","NOV","DEZ")&amp;" "&amp;YEAR($P11)&amp;"'!$S$22:$S$150"),"Reprovada"),0)</f>
        <v>9</v>
      </c>
      <c r="T11" s="45" t="n">
        <f aca="true">IFERROR(COUNTIFS(INDIRECT("'"&amp;CHOOSE(MONTH($P11),"JAN","FEV","MAR","ABR","MAI","JUN","JUL","AGO","SET","OUT","NOV","DEZ")&amp;" "&amp;YEAR($P11)&amp;"'!$G$22:$G$150"),"A",INDIRECT("'"&amp;CHOOSE(MONTH($P11),"JAN","FEV","MAR","ABR","MAI","JUN","JUL","AGO","SET","OUT","NOV","DEZ")&amp;" "&amp;YEAR($P11)&amp;"'!$S$22:$S$150"),"Aprovada"),0)</f>
        <v>0</v>
      </c>
      <c r="U11" s="45" t="n">
        <f aca="true">IFERROR(COUNTIFS(INDIRECT("'"&amp;CHOOSE(MONTH($P11),"JAN","FEV","MAR","ABR","MAI","JUN","JUL","AGO","SET","OUT","NOV","DEZ")&amp;" "&amp;YEAR($P11)&amp;"'!$G$22:$G$150"),"B",INDIRECT("'"&amp;CHOOSE(MONTH($P11),"JAN","FEV","MAR","ABR","MAI","JUN","JUL","AGO","SET","OUT","NOV","DEZ")&amp;" "&amp;YEAR($P11)&amp;"'!$S$22:$S$150"),"Aprovada"),0)</f>
        <v>0</v>
      </c>
      <c r="V11" s="45" t="n">
        <f aca="true">IFERROR(COUNTIFS(INDIRECT("'"&amp;CHOOSE(MONTH($P11),"JAN","FEV","MAR","ABR","MAI","JUN","JUL","AGO","SET","OUT","NOV","DEZ")&amp;" "&amp;YEAR($P11)&amp;"'!$G$22:$G$150"),"C",INDIRECT("'"&amp;CHOOSE(MONTH($P11),"JAN","FEV","MAR","ABR","MAI","JUN","JUL","AGO","SET","OUT","NOV","DEZ")&amp;" "&amp;YEAR($P11)&amp;"'!$S$22:$S$150"),"Aprovada"),0)</f>
        <v>0</v>
      </c>
      <c r="W11" s="45" t="n">
        <f aca="true">IFERROR(COUNTIFS(INDIRECT("'"&amp;CHOOSE(MONTH($P11),"JAN","FEV","MAR","ABR","MAI","JUN","JUL","AGO","SET","OUT","NOV","DEZ")&amp;" "&amp;YEAR($P11)&amp;"'!$G$22:$G$150"),"A",INDIRECT("'"&amp;CHOOSE(MONTH($P11),"JAN","FEV","MAR","ABR","MAI","JUN","JUL","AGO","SET","OUT","NOV","DEZ")&amp;" "&amp;YEAR($P11)&amp;"'!$U$22:$U$150"),"&lt;&gt;"),0)</f>
        <v>0</v>
      </c>
      <c r="X11" s="45" t="n">
        <f aca="true">IFERROR(COUNTIFS(INDIRECT("'"&amp;CHOOSE(MONTH($P11),"JAN","FEV","MAR","ABR","MAI","JUN","JUL","AGO","SET","OUT","NOV","DEZ")&amp;" "&amp;YEAR($P11)&amp;"'!$G$22:$G$150"),"B",INDIRECT("'"&amp;CHOOSE(MONTH($P11),"JAN","FEV","MAR","ABR","MAI","JUN","JUL","AGO","SET","OUT","NOV","DEZ")&amp;" "&amp;YEAR($P11)&amp;"'!$U$22:$U$150"),"&lt;&gt;"),0)</f>
        <v>0</v>
      </c>
      <c r="Y11" s="45" t="n">
        <f aca="true">IFERROR(COUNTIFS(INDIRECT("'"&amp;CHOOSE(MONTH($P11),"JAN","FEV","MAR","ABR","MAI","JUN","JUL","AGO","SET","OUT","NOV","DEZ")&amp;" "&amp;YEAR($P11)&amp;"'!$G$22:$G$150"),"C",INDIRECT("'"&amp;CHOOSE(MONTH($P11),"JAN","FEV","MAR","ABR","MAI","JUN","JUL","AGO","SET","OUT","NOV","DEZ")&amp;" "&amp;YEAR($P11)&amp;"'!$U$22:$U$150"),"&lt;&gt;"),0)</f>
        <v>0</v>
      </c>
    </row>
    <row r="12" customFormat="false" ht="15" hidden="false" customHeight="false" outlineLevel="0" collapsed="false">
      <c r="A12" s="9" t="str">
        <f aca="false">CHOOSE(MONTH($P12),"JAN","FEV","MAR","ABR","MAI","JUN","JUL","AGO","SET","OUT","NOV","DEZ")&amp;"/"&amp;RIGHT(YEAR($P12),2)</f>
        <v>SET/26</v>
      </c>
      <c r="B12" s="53" t="n">
        <f aca="false">IF($Q12=0,"",$T12/$Q12)</f>
        <v>0</v>
      </c>
      <c r="C12" s="53" t="n">
        <f aca="false">IF($R12=0,"",$U12/$R12)</f>
        <v>0</v>
      </c>
      <c r="D12" s="53" t="n">
        <f aca="false">IF($S12=0,"",$V12/$S12)</f>
        <v>0</v>
      </c>
      <c r="E12" s="53" t="n">
        <f aca="false">IF($Q12=0,"",1-$W12/$Q12)</f>
        <v>1</v>
      </c>
      <c r="F12" s="53" t="n">
        <f aca="false">IF($R12=0,"",1-$X12/$R12)</f>
        <v>1</v>
      </c>
      <c r="G12" s="53" t="n">
        <f aca="false">IF($S12=0,"",1-$Y12/$S12)</f>
        <v>1</v>
      </c>
      <c r="H12" s="31" t="n">
        <f aca="false">SUMIFS(OCORRÊNCIAS!$E$6:$E$605,OCORRÊNCIAS!$B$6:$B$605,"Falta",OCORRÊNCIAS!$C$6:$C$605,"A",OCORRÊNCIAS!$I$6:$I$605,$P12)+SUMIFS(OCORRÊNCIAS!$E$6:$E$605,OCORRÊNCIAS!$B$6:$B$605,"Atestado",OCORRÊNCIAS!$C$6:$C$605,"A",OCORRÊNCIAS!$I$6:$I$605,$P12)</f>
        <v>0</v>
      </c>
      <c r="I12" s="31" t="n">
        <f aca="false">SUMIFS(OCORRÊNCIAS!$E$6:$E$605,OCORRÊNCIAS!$B$6:$B$605,"Falta",OCORRÊNCIAS!$C$6:$C$605,"B",OCORRÊNCIAS!$I$6:$I$605,$P12)+SUMIFS(OCORRÊNCIAS!$E$6:$E$605,OCORRÊNCIAS!$B$6:$B$605,"Atestado",OCORRÊNCIAS!$C$6:$C$605,"B",OCORRÊNCIAS!$I$6:$I$605,$P12)</f>
        <v>0</v>
      </c>
      <c r="J12" s="31" t="n">
        <f aca="false">SUMIFS(OCORRÊNCIAS!$E$6:$E$605,OCORRÊNCIAS!$B$6:$B$605,"Falta",OCORRÊNCIAS!$C$6:$C$605,"C",OCORRÊNCIAS!$I$6:$I$605,$P12)+SUMIFS(OCORRÊNCIAS!$E$6:$E$605,OCORRÊNCIAS!$B$6:$B$605,"Atestado",OCORRÊNCIAS!$C$6:$C$605,"C",OCORRÊNCIAS!$I$6:$I$605,$P12)</f>
        <v>0</v>
      </c>
      <c r="K12" s="54" t="n">
        <f aca="false">IF($Q12=0,"",ROUND($B$7*($T12/$Q12)+$D$7*(1-$W12/$Q12)+$F$7*MAX(0,1-$H12/$H$7),1))</f>
        <v>60</v>
      </c>
      <c r="L12" s="54" t="n">
        <f aca="false">IF($R12=0,"",ROUND($B$7*($U12/$R12)+$D$7*(1-$X12/$R12)+$F$7*MAX(0,1-$I12/$H$7),1))</f>
        <v>60</v>
      </c>
      <c r="M12" s="54" t="n">
        <f aca="false">IF($S12=0,"",ROUND($B$7*($V12/$S12)+$D$7*(1-$Y12/$S12)+$F$7*MAX(0,1-$J12/$H$7),1))</f>
        <v>60</v>
      </c>
      <c r="N12" s="31" t="str">
        <f aca="false">IF(N($K12)+N($L12)+N($M12)=0,"—",CHOOSE(MATCH(MAX(N($K12),N($L12),N($M12)),CHOOSE({1,2,3},N($K12),N($L12),N($M12)),0),"Turno A","Turno B","Turno C"))</f>
        <v>Turno A</v>
      </c>
      <c r="P12" s="55" t="n">
        <f aca="false">EDATE(DATE(2026,7,1),2)</f>
        <v>46266</v>
      </c>
      <c r="Q12" s="45" t="n">
        <f aca="true">IFERROR(COUNTIFS(INDIRECT("'"&amp;CHOOSE(MONTH($P12),"JAN","FEV","MAR","ABR","MAI","JUN","JUL","AGO","SET","OUT","NOV","DEZ")&amp;" "&amp;YEAR($P12)&amp;"'!$G$22:$G$150"),"A",INDIRECT("'"&amp;CHOOSE(MONTH($P12),"JAN","FEV","MAR","ABR","MAI","JUN","JUL","AGO","SET","OUT","NOV","DEZ")&amp;" "&amp;YEAR($P12)&amp;"'!$S$22:$S$150"),"Aprovada"),0)+IFERROR(COUNTIFS(INDIRECT("'"&amp;CHOOSE(MONTH($P12),"JAN","FEV","MAR","ABR","MAI","JUN","JUL","AGO","SET","OUT","NOV","DEZ")&amp;" "&amp;YEAR($P12)&amp;"'!$G$22:$G$150"),"A",INDIRECT("'"&amp;CHOOSE(MONTH($P12),"JAN","FEV","MAR","ABR","MAI","JUN","JUL","AGO","SET","OUT","NOV","DEZ")&amp;" "&amp;YEAR($P12)&amp;"'!$S$22:$S$150"),"Entregue"),0)+IFERROR(COUNTIFS(INDIRECT("'"&amp;CHOOSE(MONTH($P12),"JAN","FEV","MAR","ABR","MAI","JUN","JUL","AGO","SET","OUT","NOV","DEZ")&amp;" "&amp;YEAR($P12)&amp;"'!$G$22:$G$150"),"A",INDIRECT("'"&amp;CHOOSE(MONTH($P12),"JAN","FEV","MAR","ABR","MAI","JUN","JUL","AGO","SET","OUT","NOV","DEZ")&amp;" "&amp;YEAR($P12)&amp;"'!$S$22:$S$150"),"Pendente"),0)+IFERROR(COUNTIFS(INDIRECT("'"&amp;CHOOSE(MONTH($P12),"JAN","FEV","MAR","ABR","MAI","JUN","JUL","AGO","SET","OUT","NOV","DEZ")&amp;" "&amp;YEAR($P12)&amp;"'!$G$22:$G$150"),"A",INDIRECT("'"&amp;CHOOSE(MONTH($P12),"JAN","FEV","MAR","ABR","MAI","JUN","JUL","AGO","SET","OUT","NOV","DEZ")&amp;" "&amp;YEAR($P12)&amp;"'!$S$22:$S$150"),"Atrasada"),0)+IFERROR(COUNTIFS(INDIRECT("'"&amp;CHOOSE(MONTH($P12),"JAN","FEV","MAR","ABR","MAI","JUN","JUL","AGO","SET","OUT","NOV","DEZ")&amp;" "&amp;YEAR($P12)&amp;"'!$G$22:$G$150"),"A",INDIRECT("'"&amp;CHOOSE(MONTH($P12),"JAN","FEV","MAR","ABR","MAI","JUN","JUL","AGO","SET","OUT","NOV","DEZ")&amp;" "&amp;YEAR($P12)&amp;"'!$S$22:$S$150"),"Reprovada"),0)</f>
        <v>10</v>
      </c>
      <c r="R12" s="45" t="n">
        <f aca="true">IFERROR(COUNTIFS(INDIRECT("'"&amp;CHOOSE(MONTH($P12),"JAN","FEV","MAR","ABR","MAI","JUN","JUL","AGO","SET","OUT","NOV","DEZ")&amp;" "&amp;YEAR($P12)&amp;"'!$G$22:$G$150"),"B",INDIRECT("'"&amp;CHOOSE(MONTH($P12),"JAN","FEV","MAR","ABR","MAI","JUN","JUL","AGO","SET","OUT","NOV","DEZ")&amp;" "&amp;YEAR($P12)&amp;"'!$S$22:$S$150"),"Aprovada"),0)+IFERROR(COUNTIFS(INDIRECT("'"&amp;CHOOSE(MONTH($P12),"JAN","FEV","MAR","ABR","MAI","JUN","JUL","AGO","SET","OUT","NOV","DEZ")&amp;" "&amp;YEAR($P12)&amp;"'!$G$22:$G$150"),"B",INDIRECT("'"&amp;CHOOSE(MONTH($P12),"JAN","FEV","MAR","ABR","MAI","JUN","JUL","AGO","SET","OUT","NOV","DEZ")&amp;" "&amp;YEAR($P12)&amp;"'!$S$22:$S$150"),"Entregue"),0)+IFERROR(COUNTIFS(INDIRECT("'"&amp;CHOOSE(MONTH($P12),"JAN","FEV","MAR","ABR","MAI","JUN","JUL","AGO","SET","OUT","NOV","DEZ")&amp;" "&amp;YEAR($P12)&amp;"'!$G$22:$G$150"),"B",INDIRECT("'"&amp;CHOOSE(MONTH($P12),"JAN","FEV","MAR","ABR","MAI","JUN","JUL","AGO","SET","OUT","NOV","DEZ")&amp;" "&amp;YEAR($P12)&amp;"'!$S$22:$S$150"),"Pendente"),0)+IFERROR(COUNTIFS(INDIRECT("'"&amp;CHOOSE(MONTH($P12),"JAN","FEV","MAR","ABR","MAI","JUN","JUL","AGO","SET","OUT","NOV","DEZ")&amp;" "&amp;YEAR($P12)&amp;"'!$G$22:$G$150"),"B",INDIRECT("'"&amp;CHOOSE(MONTH($P12),"JAN","FEV","MAR","ABR","MAI","JUN","JUL","AGO","SET","OUT","NOV","DEZ")&amp;" "&amp;YEAR($P12)&amp;"'!$S$22:$S$150"),"Atrasada"),0)+IFERROR(COUNTIFS(INDIRECT("'"&amp;CHOOSE(MONTH($P12),"JAN","FEV","MAR","ABR","MAI","JUN","JUL","AGO","SET","OUT","NOV","DEZ")&amp;" "&amp;YEAR($P12)&amp;"'!$G$22:$G$150"),"B",INDIRECT("'"&amp;CHOOSE(MONTH($P12),"JAN","FEV","MAR","ABR","MAI","JUN","JUL","AGO","SET","OUT","NOV","DEZ")&amp;" "&amp;YEAR($P12)&amp;"'!$S$22:$S$150"),"Reprovada"),0)</f>
        <v>10</v>
      </c>
      <c r="S12" s="45" t="n">
        <f aca="true">IFERROR(COUNTIFS(INDIRECT("'"&amp;CHOOSE(MONTH($P12),"JAN","FEV","MAR","ABR","MAI","JUN","JUL","AGO","SET","OUT","NOV","DEZ")&amp;" "&amp;YEAR($P12)&amp;"'!$G$22:$G$150"),"C",INDIRECT("'"&amp;CHOOSE(MONTH($P12),"JAN","FEV","MAR","ABR","MAI","JUN","JUL","AGO","SET","OUT","NOV","DEZ")&amp;" "&amp;YEAR($P12)&amp;"'!$S$22:$S$150"),"Aprovada"),0)+IFERROR(COUNTIFS(INDIRECT("'"&amp;CHOOSE(MONTH($P12),"JAN","FEV","MAR","ABR","MAI","JUN","JUL","AGO","SET","OUT","NOV","DEZ")&amp;" "&amp;YEAR($P12)&amp;"'!$G$22:$G$150"),"C",INDIRECT("'"&amp;CHOOSE(MONTH($P12),"JAN","FEV","MAR","ABR","MAI","JUN","JUL","AGO","SET","OUT","NOV","DEZ")&amp;" "&amp;YEAR($P12)&amp;"'!$S$22:$S$150"),"Entregue"),0)+IFERROR(COUNTIFS(INDIRECT("'"&amp;CHOOSE(MONTH($P12),"JAN","FEV","MAR","ABR","MAI","JUN","JUL","AGO","SET","OUT","NOV","DEZ")&amp;" "&amp;YEAR($P12)&amp;"'!$G$22:$G$150"),"C",INDIRECT("'"&amp;CHOOSE(MONTH($P12),"JAN","FEV","MAR","ABR","MAI","JUN","JUL","AGO","SET","OUT","NOV","DEZ")&amp;" "&amp;YEAR($P12)&amp;"'!$S$22:$S$150"),"Pendente"),0)+IFERROR(COUNTIFS(INDIRECT("'"&amp;CHOOSE(MONTH($P12),"JAN","FEV","MAR","ABR","MAI","JUN","JUL","AGO","SET","OUT","NOV","DEZ")&amp;" "&amp;YEAR($P12)&amp;"'!$G$22:$G$150"),"C",INDIRECT("'"&amp;CHOOSE(MONTH($P12),"JAN","FEV","MAR","ABR","MAI","JUN","JUL","AGO","SET","OUT","NOV","DEZ")&amp;" "&amp;YEAR($P12)&amp;"'!$S$22:$S$150"),"Atrasada"),0)+IFERROR(COUNTIFS(INDIRECT("'"&amp;CHOOSE(MONTH($P12),"JAN","FEV","MAR","ABR","MAI","JUN","JUL","AGO","SET","OUT","NOV","DEZ")&amp;" "&amp;YEAR($P12)&amp;"'!$G$22:$G$150"),"C",INDIRECT("'"&amp;CHOOSE(MONTH($P12),"JAN","FEV","MAR","ABR","MAI","JUN","JUL","AGO","SET","OUT","NOV","DEZ")&amp;" "&amp;YEAR($P12)&amp;"'!$S$22:$S$150"),"Reprovada"),0)</f>
        <v>10</v>
      </c>
      <c r="T12" s="45" t="n">
        <f aca="true">IFERROR(COUNTIFS(INDIRECT("'"&amp;CHOOSE(MONTH($P12),"JAN","FEV","MAR","ABR","MAI","JUN","JUL","AGO","SET","OUT","NOV","DEZ")&amp;" "&amp;YEAR($P12)&amp;"'!$G$22:$G$150"),"A",INDIRECT("'"&amp;CHOOSE(MONTH($P12),"JAN","FEV","MAR","ABR","MAI","JUN","JUL","AGO","SET","OUT","NOV","DEZ")&amp;" "&amp;YEAR($P12)&amp;"'!$S$22:$S$150"),"Aprovada"),0)</f>
        <v>0</v>
      </c>
      <c r="U12" s="45" t="n">
        <f aca="true">IFERROR(COUNTIFS(INDIRECT("'"&amp;CHOOSE(MONTH($P12),"JAN","FEV","MAR","ABR","MAI","JUN","JUL","AGO","SET","OUT","NOV","DEZ")&amp;" "&amp;YEAR($P12)&amp;"'!$G$22:$G$150"),"B",INDIRECT("'"&amp;CHOOSE(MONTH($P12),"JAN","FEV","MAR","ABR","MAI","JUN","JUL","AGO","SET","OUT","NOV","DEZ")&amp;" "&amp;YEAR($P12)&amp;"'!$S$22:$S$150"),"Aprovada"),0)</f>
        <v>0</v>
      </c>
      <c r="V12" s="45" t="n">
        <f aca="true">IFERROR(COUNTIFS(INDIRECT("'"&amp;CHOOSE(MONTH($P12),"JAN","FEV","MAR","ABR","MAI","JUN","JUL","AGO","SET","OUT","NOV","DEZ")&amp;" "&amp;YEAR($P12)&amp;"'!$G$22:$G$150"),"C",INDIRECT("'"&amp;CHOOSE(MONTH($P12),"JAN","FEV","MAR","ABR","MAI","JUN","JUL","AGO","SET","OUT","NOV","DEZ")&amp;" "&amp;YEAR($P12)&amp;"'!$S$22:$S$150"),"Aprovada"),0)</f>
        <v>0</v>
      </c>
      <c r="W12" s="45" t="n">
        <f aca="true">IFERROR(COUNTIFS(INDIRECT("'"&amp;CHOOSE(MONTH($P12),"JAN","FEV","MAR","ABR","MAI","JUN","JUL","AGO","SET","OUT","NOV","DEZ")&amp;" "&amp;YEAR($P12)&amp;"'!$G$22:$G$150"),"A",INDIRECT("'"&amp;CHOOSE(MONTH($P12),"JAN","FEV","MAR","ABR","MAI","JUN","JUL","AGO","SET","OUT","NOV","DEZ")&amp;" "&amp;YEAR($P12)&amp;"'!$U$22:$U$150"),"&lt;&gt;"),0)</f>
        <v>0</v>
      </c>
      <c r="X12" s="45" t="n">
        <f aca="true">IFERROR(COUNTIFS(INDIRECT("'"&amp;CHOOSE(MONTH($P12),"JAN","FEV","MAR","ABR","MAI","JUN","JUL","AGO","SET","OUT","NOV","DEZ")&amp;" "&amp;YEAR($P12)&amp;"'!$G$22:$G$150"),"B",INDIRECT("'"&amp;CHOOSE(MONTH($P12),"JAN","FEV","MAR","ABR","MAI","JUN","JUL","AGO","SET","OUT","NOV","DEZ")&amp;" "&amp;YEAR($P12)&amp;"'!$U$22:$U$150"),"&lt;&gt;"),0)</f>
        <v>0</v>
      </c>
      <c r="Y12" s="45" t="n">
        <f aca="true">IFERROR(COUNTIFS(INDIRECT("'"&amp;CHOOSE(MONTH($P12),"JAN","FEV","MAR","ABR","MAI","JUN","JUL","AGO","SET","OUT","NOV","DEZ")&amp;" "&amp;YEAR($P12)&amp;"'!$G$22:$G$150"),"C",INDIRECT("'"&amp;CHOOSE(MONTH($P12),"JAN","FEV","MAR","ABR","MAI","JUN","JUL","AGO","SET","OUT","NOV","DEZ")&amp;" "&amp;YEAR($P12)&amp;"'!$U$22:$U$150"),"&lt;&gt;"),0)</f>
        <v>0</v>
      </c>
    </row>
    <row r="13" customFormat="false" ht="15" hidden="false" customHeight="false" outlineLevel="0" collapsed="false">
      <c r="A13" s="56" t="str">
        <f aca="false">CHOOSE(MONTH($P13),"JAN","FEV","MAR","ABR","MAI","JUN","JUL","AGO","SET","OUT","NOV","DEZ")&amp;"/"&amp;RIGHT(YEAR($P13),2)</f>
        <v>OUT/26</v>
      </c>
      <c r="B13" s="57" t="n">
        <f aca="false">IF($Q13=0,"",$T13/$Q13)</f>
        <v>0</v>
      </c>
      <c r="C13" s="57" t="n">
        <f aca="false">IF($R13=0,"",$U13/$R13)</f>
        <v>0</v>
      </c>
      <c r="D13" s="57" t="n">
        <f aca="false">IF($S13=0,"",$V13/$S13)</f>
        <v>0</v>
      </c>
      <c r="E13" s="57" t="n">
        <f aca="false">IF($Q13=0,"",1-$W13/$Q13)</f>
        <v>1</v>
      </c>
      <c r="F13" s="57" t="n">
        <f aca="false">IF($R13=0,"",1-$X13/$R13)</f>
        <v>1</v>
      </c>
      <c r="G13" s="57" t="n">
        <f aca="false">IF($S13=0,"",1-$Y13/$S13)</f>
        <v>1</v>
      </c>
      <c r="H13" s="58" t="n">
        <f aca="false">SUMIFS(OCORRÊNCIAS!$E$6:$E$605,OCORRÊNCIAS!$B$6:$B$605,"Falta",OCORRÊNCIAS!$C$6:$C$605,"A",OCORRÊNCIAS!$I$6:$I$605,$P13)+SUMIFS(OCORRÊNCIAS!$E$6:$E$605,OCORRÊNCIAS!$B$6:$B$605,"Atestado",OCORRÊNCIAS!$C$6:$C$605,"A",OCORRÊNCIAS!$I$6:$I$605,$P13)</f>
        <v>0</v>
      </c>
      <c r="I13" s="58" t="n">
        <f aca="false">SUMIFS(OCORRÊNCIAS!$E$6:$E$605,OCORRÊNCIAS!$B$6:$B$605,"Falta",OCORRÊNCIAS!$C$6:$C$605,"B",OCORRÊNCIAS!$I$6:$I$605,$P13)+SUMIFS(OCORRÊNCIAS!$E$6:$E$605,OCORRÊNCIAS!$B$6:$B$605,"Atestado",OCORRÊNCIAS!$C$6:$C$605,"B",OCORRÊNCIAS!$I$6:$I$605,$P13)</f>
        <v>0</v>
      </c>
      <c r="J13" s="58" t="n">
        <f aca="false">SUMIFS(OCORRÊNCIAS!$E$6:$E$605,OCORRÊNCIAS!$B$6:$B$605,"Falta",OCORRÊNCIAS!$C$6:$C$605,"C",OCORRÊNCIAS!$I$6:$I$605,$P13)+SUMIFS(OCORRÊNCIAS!$E$6:$E$605,OCORRÊNCIAS!$B$6:$B$605,"Atestado",OCORRÊNCIAS!$C$6:$C$605,"C",OCORRÊNCIAS!$I$6:$I$605,$P13)</f>
        <v>0</v>
      </c>
      <c r="K13" s="59" t="n">
        <f aca="false">IF($Q13=0,"",ROUND($B$7*($T13/$Q13)+$D$7*(1-$W13/$Q13)+$F$7*MAX(0,1-$H13/$H$7),1))</f>
        <v>60</v>
      </c>
      <c r="L13" s="59" t="n">
        <f aca="false">IF($R13=0,"",ROUND($B$7*($U13/$R13)+$D$7*(1-$X13/$R13)+$F$7*MAX(0,1-$I13/$H$7),1))</f>
        <v>60</v>
      </c>
      <c r="M13" s="59" t="n">
        <f aca="false">IF($S13=0,"",ROUND($B$7*($V13/$S13)+$D$7*(1-$Y13/$S13)+$F$7*MAX(0,1-$J13/$H$7),1))</f>
        <v>60</v>
      </c>
      <c r="N13" s="60" t="str">
        <f aca="false">IF(N($K13)+N($L13)+N($M13)=0,"—",CHOOSE(MATCH(MAX(N($K13),N($L13),N($M13)),CHOOSE({1,2,3},N($K13),N($L13),N($M13)),0),"Turno A","Turno B","Turno C"))</f>
        <v>Turno A</v>
      </c>
      <c r="P13" s="55" t="n">
        <f aca="false">EDATE(DATE(2026,7,1),3)</f>
        <v>46296</v>
      </c>
      <c r="Q13" s="45" t="n">
        <f aca="true">IFERROR(COUNTIFS(INDIRECT("'"&amp;CHOOSE(MONTH($P13),"JAN","FEV","MAR","ABR","MAI","JUN","JUL","AGO","SET","OUT","NOV","DEZ")&amp;" "&amp;YEAR($P13)&amp;"'!$G$22:$G$150"),"A",INDIRECT("'"&amp;CHOOSE(MONTH($P13),"JAN","FEV","MAR","ABR","MAI","JUN","JUL","AGO","SET","OUT","NOV","DEZ")&amp;" "&amp;YEAR($P13)&amp;"'!$S$22:$S$150"),"Aprovada"),0)+IFERROR(COUNTIFS(INDIRECT("'"&amp;CHOOSE(MONTH($P13),"JAN","FEV","MAR","ABR","MAI","JUN","JUL","AGO","SET","OUT","NOV","DEZ")&amp;" "&amp;YEAR($P13)&amp;"'!$G$22:$G$150"),"A",INDIRECT("'"&amp;CHOOSE(MONTH($P13),"JAN","FEV","MAR","ABR","MAI","JUN","JUL","AGO","SET","OUT","NOV","DEZ")&amp;" "&amp;YEAR($P13)&amp;"'!$S$22:$S$150"),"Entregue"),0)+IFERROR(COUNTIFS(INDIRECT("'"&amp;CHOOSE(MONTH($P13),"JAN","FEV","MAR","ABR","MAI","JUN","JUL","AGO","SET","OUT","NOV","DEZ")&amp;" "&amp;YEAR($P13)&amp;"'!$G$22:$G$150"),"A",INDIRECT("'"&amp;CHOOSE(MONTH($P13),"JAN","FEV","MAR","ABR","MAI","JUN","JUL","AGO","SET","OUT","NOV","DEZ")&amp;" "&amp;YEAR($P13)&amp;"'!$S$22:$S$150"),"Pendente"),0)+IFERROR(COUNTIFS(INDIRECT("'"&amp;CHOOSE(MONTH($P13),"JAN","FEV","MAR","ABR","MAI","JUN","JUL","AGO","SET","OUT","NOV","DEZ")&amp;" "&amp;YEAR($P13)&amp;"'!$G$22:$G$150"),"A",INDIRECT("'"&amp;CHOOSE(MONTH($P13),"JAN","FEV","MAR","ABR","MAI","JUN","JUL","AGO","SET","OUT","NOV","DEZ")&amp;" "&amp;YEAR($P13)&amp;"'!$S$22:$S$150"),"Atrasada"),0)+IFERROR(COUNTIFS(INDIRECT("'"&amp;CHOOSE(MONTH($P13),"JAN","FEV","MAR","ABR","MAI","JUN","JUL","AGO","SET","OUT","NOV","DEZ")&amp;" "&amp;YEAR($P13)&amp;"'!$G$22:$G$150"),"A",INDIRECT("'"&amp;CHOOSE(MONTH($P13),"JAN","FEV","MAR","ABR","MAI","JUN","JUL","AGO","SET","OUT","NOV","DEZ")&amp;" "&amp;YEAR($P13)&amp;"'!$S$22:$S$150"),"Reprovada"),0)</f>
        <v>10</v>
      </c>
      <c r="R13" s="45" t="n">
        <f aca="true">IFERROR(COUNTIFS(INDIRECT("'"&amp;CHOOSE(MONTH($P13),"JAN","FEV","MAR","ABR","MAI","JUN","JUL","AGO","SET","OUT","NOV","DEZ")&amp;" "&amp;YEAR($P13)&amp;"'!$G$22:$G$150"),"B",INDIRECT("'"&amp;CHOOSE(MONTH($P13),"JAN","FEV","MAR","ABR","MAI","JUN","JUL","AGO","SET","OUT","NOV","DEZ")&amp;" "&amp;YEAR($P13)&amp;"'!$S$22:$S$150"),"Aprovada"),0)+IFERROR(COUNTIFS(INDIRECT("'"&amp;CHOOSE(MONTH($P13),"JAN","FEV","MAR","ABR","MAI","JUN","JUL","AGO","SET","OUT","NOV","DEZ")&amp;" "&amp;YEAR($P13)&amp;"'!$G$22:$G$150"),"B",INDIRECT("'"&amp;CHOOSE(MONTH($P13),"JAN","FEV","MAR","ABR","MAI","JUN","JUL","AGO","SET","OUT","NOV","DEZ")&amp;" "&amp;YEAR($P13)&amp;"'!$S$22:$S$150"),"Entregue"),0)+IFERROR(COUNTIFS(INDIRECT("'"&amp;CHOOSE(MONTH($P13),"JAN","FEV","MAR","ABR","MAI","JUN","JUL","AGO","SET","OUT","NOV","DEZ")&amp;" "&amp;YEAR($P13)&amp;"'!$G$22:$G$150"),"B",INDIRECT("'"&amp;CHOOSE(MONTH($P13),"JAN","FEV","MAR","ABR","MAI","JUN","JUL","AGO","SET","OUT","NOV","DEZ")&amp;" "&amp;YEAR($P13)&amp;"'!$S$22:$S$150"),"Pendente"),0)+IFERROR(COUNTIFS(INDIRECT("'"&amp;CHOOSE(MONTH($P13),"JAN","FEV","MAR","ABR","MAI","JUN","JUL","AGO","SET","OUT","NOV","DEZ")&amp;" "&amp;YEAR($P13)&amp;"'!$G$22:$G$150"),"B",INDIRECT("'"&amp;CHOOSE(MONTH($P13),"JAN","FEV","MAR","ABR","MAI","JUN","JUL","AGO","SET","OUT","NOV","DEZ")&amp;" "&amp;YEAR($P13)&amp;"'!$S$22:$S$150"),"Atrasada"),0)+IFERROR(COUNTIFS(INDIRECT("'"&amp;CHOOSE(MONTH($P13),"JAN","FEV","MAR","ABR","MAI","JUN","JUL","AGO","SET","OUT","NOV","DEZ")&amp;" "&amp;YEAR($P13)&amp;"'!$G$22:$G$150"),"B",INDIRECT("'"&amp;CHOOSE(MONTH($P13),"JAN","FEV","MAR","ABR","MAI","JUN","JUL","AGO","SET","OUT","NOV","DEZ")&amp;" "&amp;YEAR($P13)&amp;"'!$S$22:$S$150"),"Reprovada"),0)</f>
        <v>10</v>
      </c>
      <c r="S13" s="45" t="n">
        <f aca="true">IFERROR(COUNTIFS(INDIRECT("'"&amp;CHOOSE(MONTH($P13),"JAN","FEV","MAR","ABR","MAI","JUN","JUL","AGO","SET","OUT","NOV","DEZ")&amp;" "&amp;YEAR($P13)&amp;"'!$G$22:$G$150"),"C",INDIRECT("'"&amp;CHOOSE(MONTH($P13),"JAN","FEV","MAR","ABR","MAI","JUN","JUL","AGO","SET","OUT","NOV","DEZ")&amp;" "&amp;YEAR($P13)&amp;"'!$S$22:$S$150"),"Aprovada"),0)+IFERROR(COUNTIFS(INDIRECT("'"&amp;CHOOSE(MONTH($P13),"JAN","FEV","MAR","ABR","MAI","JUN","JUL","AGO","SET","OUT","NOV","DEZ")&amp;" "&amp;YEAR($P13)&amp;"'!$G$22:$G$150"),"C",INDIRECT("'"&amp;CHOOSE(MONTH($P13),"JAN","FEV","MAR","ABR","MAI","JUN","JUL","AGO","SET","OUT","NOV","DEZ")&amp;" "&amp;YEAR($P13)&amp;"'!$S$22:$S$150"),"Entregue"),0)+IFERROR(COUNTIFS(INDIRECT("'"&amp;CHOOSE(MONTH($P13),"JAN","FEV","MAR","ABR","MAI","JUN","JUL","AGO","SET","OUT","NOV","DEZ")&amp;" "&amp;YEAR($P13)&amp;"'!$G$22:$G$150"),"C",INDIRECT("'"&amp;CHOOSE(MONTH($P13),"JAN","FEV","MAR","ABR","MAI","JUN","JUL","AGO","SET","OUT","NOV","DEZ")&amp;" "&amp;YEAR($P13)&amp;"'!$S$22:$S$150"),"Pendente"),0)+IFERROR(COUNTIFS(INDIRECT("'"&amp;CHOOSE(MONTH($P13),"JAN","FEV","MAR","ABR","MAI","JUN","JUL","AGO","SET","OUT","NOV","DEZ")&amp;" "&amp;YEAR($P13)&amp;"'!$G$22:$G$150"),"C",INDIRECT("'"&amp;CHOOSE(MONTH($P13),"JAN","FEV","MAR","ABR","MAI","JUN","JUL","AGO","SET","OUT","NOV","DEZ")&amp;" "&amp;YEAR($P13)&amp;"'!$S$22:$S$150"),"Atrasada"),0)+IFERROR(COUNTIFS(INDIRECT("'"&amp;CHOOSE(MONTH($P13),"JAN","FEV","MAR","ABR","MAI","JUN","JUL","AGO","SET","OUT","NOV","DEZ")&amp;" "&amp;YEAR($P13)&amp;"'!$G$22:$G$150"),"C",INDIRECT("'"&amp;CHOOSE(MONTH($P13),"JAN","FEV","MAR","ABR","MAI","JUN","JUL","AGO","SET","OUT","NOV","DEZ")&amp;" "&amp;YEAR($P13)&amp;"'!$S$22:$S$150"),"Reprovada"),0)</f>
        <v>10</v>
      </c>
      <c r="T13" s="45" t="n">
        <f aca="true">IFERROR(COUNTIFS(INDIRECT("'"&amp;CHOOSE(MONTH($P13),"JAN","FEV","MAR","ABR","MAI","JUN","JUL","AGO","SET","OUT","NOV","DEZ")&amp;" "&amp;YEAR($P13)&amp;"'!$G$22:$G$150"),"A",INDIRECT("'"&amp;CHOOSE(MONTH($P13),"JAN","FEV","MAR","ABR","MAI","JUN","JUL","AGO","SET","OUT","NOV","DEZ")&amp;" "&amp;YEAR($P13)&amp;"'!$S$22:$S$150"),"Aprovada"),0)</f>
        <v>0</v>
      </c>
      <c r="U13" s="45" t="n">
        <f aca="true">IFERROR(COUNTIFS(INDIRECT("'"&amp;CHOOSE(MONTH($P13),"JAN","FEV","MAR","ABR","MAI","JUN","JUL","AGO","SET","OUT","NOV","DEZ")&amp;" "&amp;YEAR($P13)&amp;"'!$G$22:$G$150"),"B",INDIRECT("'"&amp;CHOOSE(MONTH($P13),"JAN","FEV","MAR","ABR","MAI","JUN","JUL","AGO","SET","OUT","NOV","DEZ")&amp;" "&amp;YEAR($P13)&amp;"'!$S$22:$S$150"),"Aprovada"),0)</f>
        <v>0</v>
      </c>
      <c r="V13" s="45" t="n">
        <f aca="true">IFERROR(COUNTIFS(INDIRECT("'"&amp;CHOOSE(MONTH($P13),"JAN","FEV","MAR","ABR","MAI","JUN","JUL","AGO","SET","OUT","NOV","DEZ")&amp;" "&amp;YEAR($P13)&amp;"'!$G$22:$G$150"),"C",INDIRECT("'"&amp;CHOOSE(MONTH($P13),"JAN","FEV","MAR","ABR","MAI","JUN","JUL","AGO","SET","OUT","NOV","DEZ")&amp;" "&amp;YEAR($P13)&amp;"'!$S$22:$S$150"),"Aprovada"),0)</f>
        <v>0</v>
      </c>
      <c r="W13" s="45" t="n">
        <f aca="true">IFERROR(COUNTIFS(INDIRECT("'"&amp;CHOOSE(MONTH($P13),"JAN","FEV","MAR","ABR","MAI","JUN","JUL","AGO","SET","OUT","NOV","DEZ")&amp;" "&amp;YEAR($P13)&amp;"'!$G$22:$G$150"),"A",INDIRECT("'"&amp;CHOOSE(MONTH($P13),"JAN","FEV","MAR","ABR","MAI","JUN","JUL","AGO","SET","OUT","NOV","DEZ")&amp;" "&amp;YEAR($P13)&amp;"'!$U$22:$U$150"),"&lt;&gt;"),0)</f>
        <v>0</v>
      </c>
      <c r="X13" s="45" t="n">
        <f aca="true">IFERROR(COUNTIFS(INDIRECT("'"&amp;CHOOSE(MONTH($P13),"JAN","FEV","MAR","ABR","MAI","JUN","JUL","AGO","SET","OUT","NOV","DEZ")&amp;" "&amp;YEAR($P13)&amp;"'!$G$22:$G$150"),"B",INDIRECT("'"&amp;CHOOSE(MONTH($P13),"JAN","FEV","MAR","ABR","MAI","JUN","JUL","AGO","SET","OUT","NOV","DEZ")&amp;" "&amp;YEAR($P13)&amp;"'!$U$22:$U$150"),"&lt;&gt;"),0)</f>
        <v>0</v>
      </c>
      <c r="Y13" s="45" t="n">
        <f aca="true">IFERROR(COUNTIFS(INDIRECT("'"&amp;CHOOSE(MONTH($P13),"JAN","FEV","MAR","ABR","MAI","JUN","JUL","AGO","SET","OUT","NOV","DEZ")&amp;" "&amp;YEAR($P13)&amp;"'!$G$22:$G$150"),"C",INDIRECT("'"&amp;CHOOSE(MONTH($P13),"JAN","FEV","MAR","ABR","MAI","JUN","JUL","AGO","SET","OUT","NOV","DEZ")&amp;" "&amp;YEAR($P13)&amp;"'!$U$22:$U$150"),"&lt;&gt;"),0)</f>
        <v>0</v>
      </c>
    </row>
    <row r="14" customFormat="false" ht="15" hidden="false" customHeight="false" outlineLevel="0" collapsed="false">
      <c r="A14" s="9" t="str">
        <f aca="false">CHOOSE(MONTH($P14),"JAN","FEV","MAR","ABR","MAI","JUN","JUL","AGO","SET","OUT","NOV","DEZ")&amp;"/"&amp;RIGHT(YEAR($P14),2)</f>
        <v>NOV/26</v>
      </c>
      <c r="B14" s="53" t="n">
        <f aca="false">IF($Q14=0,"",$T14/$Q14)</f>
        <v>0</v>
      </c>
      <c r="C14" s="53" t="n">
        <f aca="false">IF($R14=0,"",$U14/$R14)</f>
        <v>0</v>
      </c>
      <c r="D14" s="53" t="n">
        <f aca="false">IF($S14=0,"",$V14/$S14)</f>
        <v>0</v>
      </c>
      <c r="E14" s="53" t="n">
        <f aca="false">IF($Q14=0,"",1-$W14/$Q14)</f>
        <v>1</v>
      </c>
      <c r="F14" s="53" t="n">
        <f aca="false">IF($R14=0,"",1-$X14/$R14)</f>
        <v>1</v>
      </c>
      <c r="G14" s="53" t="n">
        <f aca="false">IF($S14=0,"",1-$Y14/$S14)</f>
        <v>1</v>
      </c>
      <c r="H14" s="31" t="n">
        <f aca="false">SUMIFS(OCORRÊNCIAS!$E$6:$E$605,OCORRÊNCIAS!$B$6:$B$605,"Falta",OCORRÊNCIAS!$C$6:$C$605,"A",OCORRÊNCIAS!$I$6:$I$605,$P14)+SUMIFS(OCORRÊNCIAS!$E$6:$E$605,OCORRÊNCIAS!$B$6:$B$605,"Atestado",OCORRÊNCIAS!$C$6:$C$605,"A",OCORRÊNCIAS!$I$6:$I$605,$P14)</f>
        <v>0</v>
      </c>
      <c r="I14" s="31" t="n">
        <f aca="false">SUMIFS(OCORRÊNCIAS!$E$6:$E$605,OCORRÊNCIAS!$B$6:$B$605,"Falta",OCORRÊNCIAS!$C$6:$C$605,"B",OCORRÊNCIAS!$I$6:$I$605,$P14)+SUMIFS(OCORRÊNCIAS!$E$6:$E$605,OCORRÊNCIAS!$B$6:$B$605,"Atestado",OCORRÊNCIAS!$C$6:$C$605,"B",OCORRÊNCIAS!$I$6:$I$605,$P14)</f>
        <v>0</v>
      </c>
      <c r="J14" s="31" t="n">
        <f aca="false">SUMIFS(OCORRÊNCIAS!$E$6:$E$605,OCORRÊNCIAS!$B$6:$B$605,"Falta",OCORRÊNCIAS!$C$6:$C$605,"C",OCORRÊNCIAS!$I$6:$I$605,$P14)+SUMIFS(OCORRÊNCIAS!$E$6:$E$605,OCORRÊNCIAS!$B$6:$B$605,"Atestado",OCORRÊNCIAS!$C$6:$C$605,"C",OCORRÊNCIAS!$I$6:$I$605,$P14)</f>
        <v>0</v>
      </c>
      <c r="K14" s="54" t="n">
        <f aca="false">IF($Q14=0,"",ROUND($B$7*($T14/$Q14)+$D$7*(1-$W14/$Q14)+$F$7*MAX(0,1-$H14/$H$7),1))</f>
        <v>60</v>
      </c>
      <c r="L14" s="54" t="n">
        <f aca="false">IF($R14=0,"",ROUND($B$7*($U14/$R14)+$D$7*(1-$X14/$R14)+$F$7*MAX(0,1-$I14/$H$7),1))</f>
        <v>60</v>
      </c>
      <c r="M14" s="54" t="n">
        <f aca="false">IF($S14=0,"",ROUND($B$7*($V14/$S14)+$D$7*(1-$Y14/$S14)+$F$7*MAX(0,1-$J14/$H$7),1))</f>
        <v>60</v>
      </c>
      <c r="N14" s="31" t="str">
        <f aca="false">IF(N($K14)+N($L14)+N($M14)=0,"—",CHOOSE(MATCH(MAX(N($K14),N($L14),N($M14)),CHOOSE({1,2,3},N($K14),N($L14),N($M14)),0),"Turno A","Turno B","Turno C"))</f>
        <v>Turno A</v>
      </c>
      <c r="P14" s="55" t="n">
        <f aca="false">EDATE(DATE(2026,7,1),4)</f>
        <v>46327</v>
      </c>
      <c r="Q14" s="45" t="n">
        <f aca="true">IFERROR(COUNTIFS(INDIRECT("'"&amp;CHOOSE(MONTH($P14),"JAN","FEV","MAR","ABR","MAI","JUN","JUL","AGO","SET","OUT","NOV","DEZ")&amp;" "&amp;YEAR($P14)&amp;"'!$G$22:$G$150"),"A",INDIRECT("'"&amp;CHOOSE(MONTH($P14),"JAN","FEV","MAR","ABR","MAI","JUN","JUL","AGO","SET","OUT","NOV","DEZ")&amp;" "&amp;YEAR($P14)&amp;"'!$S$22:$S$150"),"Aprovada"),0)+IFERROR(COUNTIFS(INDIRECT("'"&amp;CHOOSE(MONTH($P14),"JAN","FEV","MAR","ABR","MAI","JUN","JUL","AGO","SET","OUT","NOV","DEZ")&amp;" "&amp;YEAR($P14)&amp;"'!$G$22:$G$150"),"A",INDIRECT("'"&amp;CHOOSE(MONTH($P14),"JAN","FEV","MAR","ABR","MAI","JUN","JUL","AGO","SET","OUT","NOV","DEZ")&amp;" "&amp;YEAR($P14)&amp;"'!$S$22:$S$150"),"Entregue"),0)+IFERROR(COUNTIFS(INDIRECT("'"&amp;CHOOSE(MONTH($P14),"JAN","FEV","MAR","ABR","MAI","JUN","JUL","AGO","SET","OUT","NOV","DEZ")&amp;" "&amp;YEAR($P14)&amp;"'!$G$22:$G$150"),"A",INDIRECT("'"&amp;CHOOSE(MONTH($P14),"JAN","FEV","MAR","ABR","MAI","JUN","JUL","AGO","SET","OUT","NOV","DEZ")&amp;" "&amp;YEAR($P14)&amp;"'!$S$22:$S$150"),"Pendente"),0)+IFERROR(COUNTIFS(INDIRECT("'"&amp;CHOOSE(MONTH($P14),"JAN","FEV","MAR","ABR","MAI","JUN","JUL","AGO","SET","OUT","NOV","DEZ")&amp;" "&amp;YEAR($P14)&amp;"'!$G$22:$G$150"),"A",INDIRECT("'"&amp;CHOOSE(MONTH($P14),"JAN","FEV","MAR","ABR","MAI","JUN","JUL","AGO","SET","OUT","NOV","DEZ")&amp;" "&amp;YEAR($P14)&amp;"'!$S$22:$S$150"),"Atrasada"),0)+IFERROR(COUNTIFS(INDIRECT("'"&amp;CHOOSE(MONTH($P14),"JAN","FEV","MAR","ABR","MAI","JUN","JUL","AGO","SET","OUT","NOV","DEZ")&amp;" "&amp;YEAR($P14)&amp;"'!$G$22:$G$150"),"A",INDIRECT("'"&amp;CHOOSE(MONTH($P14),"JAN","FEV","MAR","ABR","MAI","JUN","JUL","AGO","SET","OUT","NOV","DEZ")&amp;" "&amp;YEAR($P14)&amp;"'!$S$22:$S$150"),"Reprovada"),0)</f>
        <v>9</v>
      </c>
      <c r="R14" s="45" t="n">
        <f aca="true">IFERROR(COUNTIFS(INDIRECT("'"&amp;CHOOSE(MONTH($P14),"JAN","FEV","MAR","ABR","MAI","JUN","JUL","AGO","SET","OUT","NOV","DEZ")&amp;" "&amp;YEAR($P14)&amp;"'!$G$22:$G$150"),"B",INDIRECT("'"&amp;CHOOSE(MONTH($P14),"JAN","FEV","MAR","ABR","MAI","JUN","JUL","AGO","SET","OUT","NOV","DEZ")&amp;" "&amp;YEAR($P14)&amp;"'!$S$22:$S$150"),"Aprovada"),0)+IFERROR(COUNTIFS(INDIRECT("'"&amp;CHOOSE(MONTH($P14),"JAN","FEV","MAR","ABR","MAI","JUN","JUL","AGO","SET","OUT","NOV","DEZ")&amp;" "&amp;YEAR($P14)&amp;"'!$G$22:$G$150"),"B",INDIRECT("'"&amp;CHOOSE(MONTH($P14),"JAN","FEV","MAR","ABR","MAI","JUN","JUL","AGO","SET","OUT","NOV","DEZ")&amp;" "&amp;YEAR($P14)&amp;"'!$S$22:$S$150"),"Entregue"),0)+IFERROR(COUNTIFS(INDIRECT("'"&amp;CHOOSE(MONTH($P14),"JAN","FEV","MAR","ABR","MAI","JUN","JUL","AGO","SET","OUT","NOV","DEZ")&amp;" "&amp;YEAR($P14)&amp;"'!$G$22:$G$150"),"B",INDIRECT("'"&amp;CHOOSE(MONTH($P14),"JAN","FEV","MAR","ABR","MAI","JUN","JUL","AGO","SET","OUT","NOV","DEZ")&amp;" "&amp;YEAR($P14)&amp;"'!$S$22:$S$150"),"Pendente"),0)+IFERROR(COUNTIFS(INDIRECT("'"&amp;CHOOSE(MONTH($P14),"JAN","FEV","MAR","ABR","MAI","JUN","JUL","AGO","SET","OUT","NOV","DEZ")&amp;" "&amp;YEAR($P14)&amp;"'!$G$22:$G$150"),"B",INDIRECT("'"&amp;CHOOSE(MONTH($P14),"JAN","FEV","MAR","ABR","MAI","JUN","JUL","AGO","SET","OUT","NOV","DEZ")&amp;" "&amp;YEAR($P14)&amp;"'!$S$22:$S$150"),"Atrasada"),0)+IFERROR(COUNTIFS(INDIRECT("'"&amp;CHOOSE(MONTH($P14),"JAN","FEV","MAR","ABR","MAI","JUN","JUL","AGO","SET","OUT","NOV","DEZ")&amp;" "&amp;YEAR($P14)&amp;"'!$G$22:$G$150"),"B",INDIRECT("'"&amp;CHOOSE(MONTH($P14),"JAN","FEV","MAR","ABR","MAI","JUN","JUL","AGO","SET","OUT","NOV","DEZ")&amp;" "&amp;YEAR($P14)&amp;"'!$S$22:$S$150"),"Reprovada"),0)</f>
        <v>9</v>
      </c>
      <c r="S14" s="45" t="n">
        <f aca="true">IFERROR(COUNTIFS(INDIRECT("'"&amp;CHOOSE(MONTH($P14),"JAN","FEV","MAR","ABR","MAI","JUN","JUL","AGO","SET","OUT","NOV","DEZ")&amp;" "&amp;YEAR($P14)&amp;"'!$G$22:$G$150"),"C",INDIRECT("'"&amp;CHOOSE(MONTH($P14),"JAN","FEV","MAR","ABR","MAI","JUN","JUL","AGO","SET","OUT","NOV","DEZ")&amp;" "&amp;YEAR($P14)&amp;"'!$S$22:$S$150"),"Aprovada"),0)+IFERROR(COUNTIFS(INDIRECT("'"&amp;CHOOSE(MONTH($P14),"JAN","FEV","MAR","ABR","MAI","JUN","JUL","AGO","SET","OUT","NOV","DEZ")&amp;" "&amp;YEAR($P14)&amp;"'!$G$22:$G$150"),"C",INDIRECT("'"&amp;CHOOSE(MONTH($P14),"JAN","FEV","MAR","ABR","MAI","JUN","JUL","AGO","SET","OUT","NOV","DEZ")&amp;" "&amp;YEAR($P14)&amp;"'!$S$22:$S$150"),"Entregue"),0)+IFERROR(COUNTIFS(INDIRECT("'"&amp;CHOOSE(MONTH($P14),"JAN","FEV","MAR","ABR","MAI","JUN","JUL","AGO","SET","OUT","NOV","DEZ")&amp;" "&amp;YEAR($P14)&amp;"'!$G$22:$G$150"),"C",INDIRECT("'"&amp;CHOOSE(MONTH($P14),"JAN","FEV","MAR","ABR","MAI","JUN","JUL","AGO","SET","OUT","NOV","DEZ")&amp;" "&amp;YEAR($P14)&amp;"'!$S$22:$S$150"),"Pendente"),0)+IFERROR(COUNTIFS(INDIRECT("'"&amp;CHOOSE(MONTH($P14),"JAN","FEV","MAR","ABR","MAI","JUN","JUL","AGO","SET","OUT","NOV","DEZ")&amp;" "&amp;YEAR($P14)&amp;"'!$G$22:$G$150"),"C",INDIRECT("'"&amp;CHOOSE(MONTH($P14),"JAN","FEV","MAR","ABR","MAI","JUN","JUL","AGO","SET","OUT","NOV","DEZ")&amp;" "&amp;YEAR($P14)&amp;"'!$S$22:$S$150"),"Atrasada"),0)+IFERROR(COUNTIFS(INDIRECT("'"&amp;CHOOSE(MONTH($P14),"JAN","FEV","MAR","ABR","MAI","JUN","JUL","AGO","SET","OUT","NOV","DEZ")&amp;" "&amp;YEAR($P14)&amp;"'!$G$22:$G$150"),"C",INDIRECT("'"&amp;CHOOSE(MONTH($P14),"JAN","FEV","MAR","ABR","MAI","JUN","JUL","AGO","SET","OUT","NOV","DEZ")&amp;" "&amp;YEAR($P14)&amp;"'!$S$22:$S$150"),"Reprovada"),0)</f>
        <v>9</v>
      </c>
      <c r="T14" s="45" t="n">
        <f aca="true">IFERROR(COUNTIFS(INDIRECT("'"&amp;CHOOSE(MONTH($P14),"JAN","FEV","MAR","ABR","MAI","JUN","JUL","AGO","SET","OUT","NOV","DEZ")&amp;" "&amp;YEAR($P14)&amp;"'!$G$22:$G$150"),"A",INDIRECT("'"&amp;CHOOSE(MONTH($P14),"JAN","FEV","MAR","ABR","MAI","JUN","JUL","AGO","SET","OUT","NOV","DEZ")&amp;" "&amp;YEAR($P14)&amp;"'!$S$22:$S$150"),"Aprovada"),0)</f>
        <v>0</v>
      </c>
      <c r="U14" s="45" t="n">
        <f aca="true">IFERROR(COUNTIFS(INDIRECT("'"&amp;CHOOSE(MONTH($P14),"JAN","FEV","MAR","ABR","MAI","JUN","JUL","AGO","SET","OUT","NOV","DEZ")&amp;" "&amp;YEAR($P14)&amp;"'!$G$22:$G$150"),"B",INDIRECT("'"&amp;CHOOSE(MONTH($P14),"JAN","FEV","MAR","ABR","MAI","JUN","JUL","AGO","SET","OUT","NOV","DEZ")&amp;" "&amp;YEAR($P14)&amp;"'!$S$22:$S$150"),"Aprovada"),0)</f>
        <v>0</v>
      </c>
      <c r="V14" s="45" t="n">
        <f aca="true">IFERROR(COUNTIFS(INDIRECT("'"&amp;CHOOSE(MONTH($P14),"JAN","FEV","MAR","ABR","MAI","JUN","JUL","AGO","SET","OUT","NOV","DEZ")&amp;" "&amp;YEAR($P14)&amp;"'!$G$22:$G$150"),"C",INDIRECT("'"&amp;CHOOSE(MONTH($P14),"JAN","FEV","MAR","ABR","MAI","JUN","JUL","AGO","SET","OUT","NOV","DEZ")&amp;" "&amp;YEAR($P14)&amp;"'!$S$22:$S$150"),"Aprovada"),0)</f>
        <v>0</v>
      </c>
      <c r="W14" s="45" t="n">
        <f aca="true">IFERROR(COUNTIFS(INDIRECT("'"&amp;CHOOSE(MONTH($P14),"JAN","FEV","MAR","ABR","MAI","JUN","JUL","AGO","SET","OUT","NOV","DEZ")&amp;" "&amp;YEAR($P14)&amp;"'!$G$22:$G$150"),"A",INDIRECT("'"&amp;CHOOSE(MONTH($P14),"JAN","FEV","MAR","ABR","MAI","JUN","JUL","AGO","SET","OUT","NOV","DEZ")&amp;" "&amp;YEAR($P14)&amp;"'!$U$22:$U$150"),"&lt;&gt;"),0)</f>
        <v>0</v>
      </c>
      <c r="X14" s="45" t="n">
        <f aca="true">IFERROR(COUNTIFS(INDIRECT("'"&amp;CHOOSE(MONTH($P14),"JAN","FEV","MAR","ABR","MAI","JUN","JUL","AGO","SET","OUT","NOV","DEZ")&amp;" "&amp;YEAR($P14)&amp;"'!$G$22:$G$150"),"B",INDIRECT("'"&amp;CHOOSE(MONTH($P14),"JAN","FEV","MAR","ABR","MAI","JUN","JUL","AGO","SET","OUT","NOV","DEZ")&amp;" "&amp;YEAR($P14)&amp;"'!$U$22:$U$150"),"&lt;&gt;"),0)</f>
        <v>0</v>
      </c>
      <c r="Y14" s="45" t="n">
        <f aca="true">IFERROR(COUNTIFS(INDIRECT("'"&amp;CHOOSE(MONTH($P14),"JAN","FEV","MAR","ABR","MAI","JUN","JUL","AGO","SET","OUT","NOV","DEZ")&amp;" "&amp;YEAR($P14)&amp;"'!$G$22:$G$150"),"C",INDIRECT("'"&amp;CHOOSE(MONTH($P14),"JAN","FEV","MAR","ABR","MAI","JUN","JUL","AGO","SET","OUT","NOV","DEZ")&amp;" "&amp;YEAR($P14)&amp;"'!$U$22:$U$150"),"&lt;&gt;"),0)</f>
        <v>0</v>
      </c>
    </row>
    <row r="15" customFormat="false" ht="15" hidden="false" customHeight="false" outlineLevel="0" collapsed="false">
      <c r="A15" s="56" t="str">
        <f aca="false">CHOOSE(MONTH($P15),"JAN","FEV","MAR","ABR","MAI","JUN","JUL","AGO","SET","OUT","NOV","DEZ")&amp;"/"&amp;RIGHT(YEAR($P15),2)</f>
        <v>DEZ/26</v>
      </c>
      <c r="B15" s="57" t="n">
        <f aca="false">IF($Q15=0,"",$T15/$Q15)</f>
        <v>0</v>
      </c>
      <c r="C15" s="57" t="n">
        <f aca="false">IF($R15=0,"",$U15/$R15)</f>
        <v>0</v>
      </c>
      <c r="D15" s="57" t="n">
        <f aca="false">IF($S15=0,"",$V15/$S15)</f>
        <v>0</v>
      </c>
      <c r="E15" s="57" t="n">
        <f aca="false">IF($Q15=0,"",1-$W15/$Q15)</f>
        <v>1</v>
      </c>
      <c r="F15" s="57" t="n">
        <f aca="false">IF($R15=0,"",1-$X15/$R15)</f>
        <v>1</v>
      </c>
      <c r="G15" s="57" t="n">
        <f aca="false">IF($S15=0,"",1-$Y15/$S15)</f>
        <v>1</v>
      </c>
      <c r="H15" s="58" t="n">
        <f aca="false">SUMIFS(OCORRÊNCIAS!$E$6:$E$605,OCORRÊNCIAS!$B$6:$B$605,"Falta",OCORRÊNCIAS!$C$6:$C$605,"A",OCORRÊNCIAS!$I$6:$I$605,$P15)+SUMIFS(OCORRÊNCIAS!$E$6:$E$605,OCORRÊNCIAS!$B$6:$B$605,"Atestado",OCORRÊNCIAS!$C$6:$C$605,"A",OCORRÊNCIAS!$I$6:$I$605,$P15)</f>
        <v>0</v>
      </c>
      <c r="I15" s="58" t="n">
        <f aca="false">SUMIFS(OCORRÊNCIAS!$E$6:$E$605,OCORRÊNCIAS!$B$6:$B$605,"Falta",OCORRÊNCIAS!$C$6:$C$605,"B",OCORRÊNCIAS!$I$6:$I$605,$P15)+SUMIFS(OCORRÊNCIAS!$E$6:$E$605,OCORRÊNCIAS!$B$6:$B$605,"Atestado",OCORRÊNCIAS!$C$6:$C$605,"B",OCORRÊNCIAS!$I$6:$I$605,$P15)</f>
        <v>0</v>
      </c>
      <c r="J15" s="58" t="n">
        <f aca="false">SUMIFS(OCORRÊNCIAS!$E$6:$E$605,OCORRÊNCIAS!$B$6:$B$605,"Falta",OCORRÊNCIAS!$C$6:$C$605,"C",OCORRÊNCIAS!$I$6:$I$605,$P15)+SUMIFS(OCORRÊNCIAS!$E$6:$E$605,OCORRÊNCIAS!$B$6:$B$605,"Atestado",OCORRÊNCIAS!$C$6:$C$605,"C",OCORRÊNCIAS!$I$6:$I$605,$P15)</f>
        <v>0</v>
      </c>
      <c r="K15" s="59" t="n">
        <f aca="false">IF($Q15=0,"",ROUND($B$7*($T15/$Q15)+$D$7*(1-$W15/$Q15)+$F$7*MAX(0,1-$H15/$H$7),1))</f>
        <v>60</v>
      </c>
      <c r="L15" s="59" t="n">
        <f aca="false">IF($R15=0,"",ROUND($B$7*($U15/$R15)+$D$7*(1-$X15/$R15)+$F$7*MAX(0,1-$I15/$H$7),1))</f>
        <v>60</v>
      </c>
      <c r="M15" s="59" t="n">
        <f aca="false">IF($S15=0,"",ROUND($B$7*($V15/$S15)+$D$7*(1-$Y15/$S15)+$F$7*MAX(0,1-$J15/$H$7),1))</f>
        <v>60</v>
      </c>
      <c r="N15" s="60" t="str">
        <f aca="false">IF(N($K15)+N($L15)+N($M15)=0,"—",CHOOSE(MATCH(MAX(N($K15),N($L15),N($M15)),CHOOSE({1,2,3},N($K15),N($L15),N($M15)),0),"Turno A","Turno B","Turno C"))</f>
        <v>Turno A</v>
      </c>
      <c r="P15" s="55" t="n">
        <f aca="false">EDATE(DATE(2026,7,1),5)</f>
        <v>46357</v>
      </c>
      <c r="Q15" s="45" t="n">
        <f aca="true">IFERROR(COUNTIFS(INDIRECT("'"&amp;CHOOSE(MONTH($P15),"JAN","FEV","MAR","ABR","MAI","JUN","JUL","AGO","SET","OUT","NOV","DEZ")&amp;" "&amp;YEAR($P15)&amp;"'!$G$22:$G$150"),"A",INDIRECT("'"&amp;CHOOSE(MONTH($P15),"JAN","FEV","MAR","ABR","MAI","JUN","JUL","AGO","SET","OUT","NOV","DEZ")&amp;" "&amp;YEAR($P15)&amp;"'!$S$22:$S$150"),"Aprovada"),0)+IFERROR(COUNTIFS(INDIRECT("'"&amp;CHOOSE(MONTH($P15),"JAN","FEV","MAR","ABR","MAI","JUN","JUL","AGO","SET","OUT","NOV","DEZ")&amp;" "&amp;YEAR($P15)&amp;"'!$G$22:$G$150"),"A",INDIRECT("'"&amp;CHOOSE(MONTH($P15),"JAN","FEV","MAR","ABR","MAI","JUN","JUL","AGO","SET","OUT","NOV","DEZ")&amp;" "&amp;YEAR($P15)&amp;"'!$S$22:$S$150"),"Entregue"),0)+IFERROR(COUNTIFS(INDIRECT("'"&amp;CHOOSE(MONTH($P15),"JAN","FEV","MAR","ABR","MAI","JUN","JUL","AGO","SET","OUT","NOV","DEZ")&amp;" "&amp;YEAR($P15)&amp;"'!$G$22:$G$150"),"A",INDIRECT("'"&amp;CHOOSE(MONTH($P15),"JAN","FEV","MAR","ABR","MAI","JUN","JUL","AGO","SET","OUT","NOV","DEZ")&amp;" "&amp;YEAR($P15)&amp;"'!$S$22:$S$150"),"Pendente"),0)+IFERROR(COUNTIFS(INDIRECT("'"&amp;CHOOSE(MONTH($P15),"JAN","FEV","MAR","ABR","MAI","JUN","JUL","AGO","SET","OUT","NOV","DEZ")&amp;" "&amp;YEAR($P15)&amp;"'!$G$22:$G$150"),"A",INDIRECT("'"&amp;CHOOSE(MONTH($P15),"JAN","FEV","MAR","ABR","MAI","JUN","JUL","AGO","SET","OUT","NOV","DEZ")&amp;" "&amp;YEAR($P15)&amp;"'!$S$22:$S$150"),"Atrasada"),0)+IFERROR(COUNTIFS(INDIRECT("'"&amp;CHOOSE(MONTH($P15),"JAN","FEV","MAR","ABR","MAI","JUN","JUL","AGO","SET","OUT","NOV","DEZ")&amp;" "&amp;YEAR($P15)&amp;"'!$G$22:$G$150"),"A",INDIRECT("'"&amp;CHOOSE(MONTH($P15),"JAN","FEV","MAR","ABR","MAI","JUN","JUL","AGO","SET","OUT","NOV","DEZ")&amp;" "&amp;YEAR($P15)&amp;"'!$S$22:$S$150"),"Reprovada"),0)</f>
        <v>11</v>
      </c>
      <c r="R15" s="45" t="n">
        <f aca="true">IFERROR(COUNTIFS(INDIRECT("'"&amp;CHOOSE(MONTH($P15),"JAN","FEV","MAR","ABR","MAI","JUN","JUL","AGO","SET","OUT","NOV","DEZ")&amp;" "&amp;YEAR($P15)&amp;"'!$G$22:$G$150"),"B",INDIRECT("'"&amp;CHOOSE(MONTH($P15),"JAN","FEV","MAR","ABR","MAI","JUN","JUL","AGO","SET","OUT","NOV","DEZ")&amp;" "&amp;YEAR($P15)&amp;"'!$S$22:$S$150"),"Aprovada"),0)+IFERROR(COUNTIFS(INDIRECT("'"&amp;CHOOSE(MONTH($P15),"JAN","FEV","MAR","ABR","MAI","JUN","JUL","AGO","SET","OUT","NOV","DEZ")&amp;" "&amp;YEAR($P15)&amp;"'!$G$22:$G$150"),"B",INDIRECT("'"&amp;CHOOSE(MONTH($P15),"JAN","FEV","MAR","ABR","MAI","JUN","JUL","AGO","SET","OUT","NOV","DEZ")&amp;" "&amp;YEAR($P15)&amp;"'!$S$22:$S$150"),"Entregue"),0)+IFERROR(COUNTIFS(INDIRECT("'"&amp;CHOOSE(MONTH($P15),"JAN","FEV","MAR","ABR","MAI","JUN","JUL","AGO","SET","OUT","NOV","DEZ")&amp;" "&amp;YEAR($P15)&amp;"'!$G$22:$G$150"),"B",INDIRECT("'"&amp;CHOOSE(MONTH($P15),"JAN","FEV","MAR","ABR","MAI","JUN","JUL","AGO","SET","OUT","NOV","DEZ")&amp;" "&amp;YEAR($P15)&amp;"'!$S$22:$S$150"),"Pendente"),0)+IFERROR(COUNTIFS(INDIRECT("'"&amp;CHOOSE(MONTH($P15),"JAN","FEV","MAR","ABR","MAI","JUN","JUL","AGO","SET","OUT","NOV","DEZ")&amp;" "&amp;YEAR($P15)&amp;"'!$G$22:$G$150"),"B",INDIRECT("'"&amp;CHOOSE(MONTH($P15),"JAN","FEV","MAR","ABR","MAI","JUN","JUL","AGO","SET","OUT","NOV","DEZ")&amp;" "&amp;YEAR($P15)&amp;"'!$S$22:$S$150"),"Atrasada"),0)+IFERROR(COUNTIFS(INDIRECT("'"&amp;CHOOSE(MONTH($P15),"JAN","FEV","MAR","ABR","MAI","JUN","JUL","AGO","SET","OUT","NOV","DEZ")&amp;" "&amp;YEAR($P15)&amp;"'!$G$22:$G$150"),"B",INDIRECT("'"&amp;CHOOSE(MONTH($P15),"JAN","FEV","MAR","ABR","MAI","JUN","JUL","AGO","SET","OUT","NOV","DEZ")&amp;" "&amp;YEAR($P15)&amp;"'!$S$22:$S$150"),"Reprovada"),0)</f>
        <v>11</v>
      </c>
      <c r="S15" s="45" t="n">
        <f aca="true">IFERROR(COUNTIFS(INDIRECT("'"&amp;CHOOSE(MONTH($P15),"JAN","FEV","MAR","ABR","MAI","JUN","JUL","AGO","SET","OUT","NOV","DEZ")&amp;" "&amp;YEAR($P15)&amp;"'!$G$22:$G$150"),"C",INDIRECT("'"&amp;CHOOSE(MONTH($P15),"JAN","FEV","MAR","ABR","MAI","JUN","JUL","AGO","SET","OUT","NOV","DEZ")&amp;" "&amp;YEAR($P15)&amp;"'!$S$22:$S$150"),"Aprovada"),0)+IFERROR(COUNTIFS(INDIRECT("'"&amp;CHOOSE(MONTH($P15),"JAN","FEV","MAR","ABR","MAI","JUN","JUL","AGO","SET","OUT","NOV","DEZ")&amp;" "&amp;YEAR($P15)&amp;"'!$G$22:$G$150"),"C",INDIRECT("'"&amp;CHOOSE(MONTH($P15),"JAN","FEV","MAR","ABR","MAI","JUN","JUL","AGO","SET","OUT","NOV","DEZ")&amp;" "&amp;YEAR($P15)&amp;"'!$S$22:$S$150"),"Entregue"),0)+IFERROR(COUNTIFS(INDIRECT("'"&amp;CHOOSE(MONTH($P15),"JAN","FEV","MAR","ABR","MAI","JUN","JUL","AGO","SET","OUT","NOV","DEZ")&amp;" "&amp;YEAR($P15)&amp;"'!$G$22:$G$150"),"C",INDIRECT("'"&amp;CHOOSE(MONTH($P15),"JAN","FEV","MAR","ABR","MAI","JUN","JUL","AGO","SET","OUT","NOV","DEZ")&amp;" "&amp;YEAR($P15)&amp;"'!$S$22:$S$150"),"Pendente"),0)+IFERROR(COUNTIFS(INDIRECT("'"&amp;CHOOSE(MONTH($P15),"JAN","FEV","MAR","ABR","MAI","JUN","JUL","AGO","SET","OUT","NOV","DEZ")&amp;" "&amp;YEAR($P15)&amp;"'!$G$22:$G$150"),"C",INDIRECT("'"&amp;CHOOSE(MONTH($P15),"JAN","FEV","MAR","ABR","MAI","JUN","JUL","AGO","SET","OUT","NOV","DEZ")&amp;" "&amp;YEAR($P15)&amp;"'!$S$22:$S$150"),"Atrasada"),0)+IFERROR(COUNTIFS(INDIRECT("'"&amp;CHOOSE(MONTH($P15),"JAN","FEV","MAR","ABR","MAI","JUN","JUL","AGO","SET","OUT","NOV","DEZ")&amp;" "&amp;YEAR($P15)&amp;"'!$G$22:$G$150"),"C",INDIRECT("'"&amp;CHOOSE(MONTH($P15),"JAN","FEV","MAR","ABR","MAI","JUN","JUL","AGO","SET","OUT","NOV","DEZ")&amp;" "&amp;YEAR($P15)&amp;"'!$S$22:$S$150"),"Reprovada"),0)</f>
        <v>11</v>
      </c>
      <c r="T15" s="45" t="n">
        <f aca="true">IFERROR(COUNTIFS(INDIRECT("'"&amp;CHOOSE(MONTH($P15),"JAN","FEV","MAR","ABR","MAI","JUN","JUL","AGO","SET","OUT","NOV","DEZ")&amp;" "&amp;YEAR($P15)&amp;"'!$G$22:$G$150"),"A",INDIRECT("'"&amp;CHOOSE(MONTH($P15),"JAN","FEV","MAR","ABR","MAI","JUN","JUL","AGO","SET","OUT","NOV","DEZ")&amp;" "&amp;YEAR($P15)&amp;"'!$S$22:$S$150"),"Aprovada"),0)</f>
        <v>0</v>
      </c>
      <c r="U15" s="45" t="n">
        <f aca="true">IFERROR(COUNTIFS(INDIRECT("'"&amp;CHOOSE(MONTH($P15),"JAN","FEV","MAR","ABR","MAI","JUN","JUL","AGO","SET","OUT","NOV","DEZ")&amp;" "&amp;YEAR($P15)&amp;"'!$G$22:$G$150"),"B",INDIRECT("'"&amp;CHOOSE(MONTH($P15),"JAN","FEV","MAR","ABR","MAI","JUN","JUL","AGO","SET","OUT","NOV","DEZ")&amp;" "&amp;YEAR($P15)&amp;"'!$S$22:$S$150"),"Aprovada"),0)</f>
        <v>0</v>
      </c>
      <c r="V15" s="45" t="n">
        <f aca="true">IFERROR(COUNTIFS(INDIRECT("'"&amp;CHOOSE(MONTH($P15),"JAN","FEV","MAR","ABR","MAI","JUN","JUL","AGO","SET","OUT","NOV","DEZ")&amp;" "&amp;YEAR($P15)&amp;"'!$G$22:$G$150"),"C",INDIRECT("'"&amp;CHOOSE(MONTH($P15),"JAN","FEV","MAR","ABR","MAI","JUN","JUL","AGO","SET","OUT","NOV","DEZ")&amp;" "&amp;YEAR($P15)&amp;"'!$S$22:$S$150"),"Aprovada"),0)</f>
        <v>0</v>
      </c>
      <c r="W15" s="45" t="n">
        <f aca="true">IFERROR(COUNTIFS(INDIRECT("'"&amp;CHOOSE(MONTH($P15),"JAN","FEV","MAR","ABR","MAI","JUN","JUL","AGO","SET","OUT","NOV","DEZ")&amp;" "&amp;YEAR($P15)&amp;"'!$G$22:$G$150"),"A",INDIRECT("'"&amp;CHOOSE(MONTH($P15),"JAN","FEV","MAR","ABR","MAI","JUN","JUL","AGO","SET","OUT","NOV","DEZ")&amp;" "&amp;YEAR($P15)&amp;"'!$U$22:$U$150"),"&lt;&gt;"),0)</f>
        <v>0</v>
      </c>
      <c r="X15" s="45" t="n">
        <f aca="true">IFERROR(COUNTIFS(INDIRECT("'"&amp;CHOOSE(MONTH($P15),"JAN","FEV","MAR","ABR","MAI","JUN","JUL","AGO","SET","OUT","NOV","DEZ")&amp;" "&amp;YEAR($P15)&amp;"'!$G$22:$G$150"),"B",INDIRECT("'"&amp;CHOOSE(MONTH($P15),"JAN","FEV","MAR","ABR","MAI","JUN","JUL","AGO","SET","OUT","NOV","DEZ")&amp;" "&amp;YEAR($P15)&amp;"'!$U$22:$U$150"),"&lt;&gt;"),0)</f>
        <v>0</v>
      </c>
      <c r="Y15" s="45" t="n">
        <f aca="true">IFERROR(COUNTIFS(INDIRECT("'"&amp;CHOOSE(MONTH($P15),"JAN","FEV","MAR","ABR","MAI","JUN","JUL","AGO","SET","OUT","NOV","DEZ")&amp;" "&amp;YEAR($P15)&amp;"'!$G$22:$G$150"),"C",INDIRECT("'"&amp;CHOOSE(MONTH($P15),"JAN","FEV","MAR","ABR","MAI","JUN","JUL","AGO","SET","OUT","NOV","DEZ")&amp;" "&amp;YEAR($P15)&amp;"'!$U$22:$U$150"),"&lt;&gt;"),0)</f>
        <v>0</v>
      </c>
    </row>
    <row r="16" customFormat="false" ht="15" hidden="false" customHeight="false" outlineLevel="0" collapsed="false">
      <c r="A16" s="9" t="str">
        <f aca="false">CHOOSE(MONTH($P16),"JAN","FEV","MAR","ABR","MAI","JUN","JUL","AGO","SET","OUT","NOV","DEZ")&amp;"/"&amp;RIGHT(YEAR($P16),2)</f>
        <v>JAN/27</v>
      </c>
      <c r="B16" s="53" t="str">
        <f aca="false">IF($Q16=0,"",$T16/$Q16)</f>
        <v/>
      </c>
      <c r="C16" s="53" t="str">
        <f aca="false">IF($R16=0,"",$U16/$R16)</f>
        <v/>
      </c>
      <c r="D16" s="53" t="str">
        <f aca="false">IF($S16=0,"",$V16/$S16)</f>
        <v/>
      </c>
      <c r="E16" s="53" t="str">
        <f aca="false">IF($Q16=0,"",1-$W16/$Q16)</f>
        <v/>
      </c>
      <c r="F16" s="53" t="str">
        <f aca="false">IF($R16=0,"",1-$X16/$R16)</f>
        <v/>
      </c>
      <c r="G16" s="53" t="str">
        <f aca="false">IF($S16=0,"",1-$Y16/$S16)</f>
        <v/>
      </c>
      <c r="H16" s="31" t="n">
        <f aca="false">SUMIFS(OCORRÊNCIAS!$E$6:$E$605,OCORRÊNCIAS!$B$6:$B$605,"Falta",OCORRÊNCIAS!$C$6:$C$605,"A",OCORRÊNCIAS!$I$6:$I$605,$P16)+SUMIFS(OCORRÊNCIAS!$E$6:$E$605,OCORRÊNCIAS!$B$6:$B$605,"Atestado",OCORRÊNCIAS!$C$6:$C$605,"A",OCORRÊNCIAS!$I$6:$I$605,$P16)</f>
        <v>0</v>
      </c>
      <c r="I16" s="31" t="n">
        <f aca="false">SUMIFS(OCORRÊNCIAS!$E$6:$E$605,OCORRÊNCIAS!$B$6:$B$605,"Falta",OCORRÊNCIAS!$C$6:$C$605,"B",OCORRÊNCIAS!$I$6:$I$605,$P16)+SUMIFS(OCORRÊNCIAS!$E$6:$E$605,OCORRÊNCIAS!$B$6:$B$605,"Atestado",OCORRÊNCIAS!$C$6:$C$605,"B",OCORRÊNCIAS!$I$6:$I$605,$P16)</f>
        <v>0</v>
      </c>
      <c r="J16" s="31" t="n">
        <f aca="false">SUMIFS(OCORRÊNCIAS!$E$6:$E$605,OCORRÊNCIAS!$B$6:$B$605,"Falta",OCORRÊNCIAS!$C$6:$C$605,"C",OCORRÊNCIAS!$I$6:$I$605,$P16)+SUMIFS(OCORRÊNCIAS!$E$6:$E$605,OCORRÊNCIAS!$B$6:$B$605,"Atestado",OCORRÊNCIAS!$C$6:$C$605,"C",OCORRÊNCIAS!$I$6:$I$605,$P16)</f>
        <v>0</v>
      </c>
      <c r="K16" s="54" t="str">
        <f aca="false">IF($Q16=0,"",ROUND($B$7*($T16/$Q16)+$D$7*(1-$W16/$Q16)+$F$7*MAX(0,1-$H16/$H$7),1))</f>
        <v/>
      </c>
      <c r="L16" s="54" t="str">
        <f aca="false">IF($R16=0,"",ROUND($B$7*($U16/$R16)+$D$7*(1-$X16/$R16)+$F$7*MAX(0,1-$I16/$H$7),1))</f>
        <v/>
      </c>
      <c r="M16" s="54" t="str">
        <f aca="false">IF($S16=0,"",ROUND($B$7*($V16/$S16)+$D$7*(1-$Y16/$S16)+$F$7*MAX(0,1-$J16/$H$7),1))</f>
        <v/>
      </c>
      <c r="N16" s="31" t="str">
        <f aca="false">IF(N($K16)+N($L16)+N($M16)=0,"—",CHOOSE(MATCH(MAX(N($K16),N($L16),N($M16)),CHOOSE({1,2,3},N($K16),N($L16),N($M16)),0),"Turno A","Turno B","Turno C"))</f>
        <v>—</v>
      </c>
      <c r="P16" s="55" t="n">
        <f aca="false">EDATE(DATE(2026,7,1),6)</f>
        <v>46388</v>
      </c>
      <c r="Q16" s="45" t="n">
        <f aca="true">IFERROR(COUNTIFS(INDIRECT("'"&amp;CHOOSE(MONTH($P16),"JAN","FEV","MAR","ABR","MAI","JUN","JUL","AGO","SET","OUT","NOV","DEZ")&amp;" "&amp;YEAR($P16)&amp;"'!$G$22:$G$150"),"A",INDIRECT("'"&amp;CHOOSE(MONTH($P16),"JAN","FEV","MAR","ABR","MAI","JUN","JUL","AGO","SET","OUT","NOV","DEZ")&amp;" "&amp;YEAR($P16)&amp;"'!$S$22:$S$150"),"Aprovada"),0)+IFERROR(COUNTIFS(INDIRECT("'"&amp;CHOOSE(MONTH($P16),"JAN","FEV","MAR","ABR","MAI","JUN","JUL","AGO","SET","OUT","NOV","DEZ")&amp;" "&amp;YEAR($P16)&amp;"'!$G$22:$G$150"),"A",INDIRECT("'"&amp;CHOOSE(MONTH($P16),"JAN","FEV","MAR","ABR","MAI","JUN","JUL","AGO","SET","OUT","NOV","DEZ")&amp;" "&amp;YEAR($P16)&amp;"'!$S$22:$S$150"),"Entregue"),0)+IFERROR(COUNTIFS(INDIRECT("'"&amp;CHOOSE(MONTH($P16),"JAN","FEV","MAR","ABR","MAI","JUN","JUL","AGO","SET","OUT","NOV","DEZ")&amp;" "&amp;YEAR($P16)&amp;"'!$G$22:$G$150"),"A",INDIRECT("'"&amp;CHOOSE(MONTH($P16),"JAN","FEV","MAR","ABR","MAI","JUN","JUL","AGO","SET","OUT","NOV","DEZ")&amp;" "&amp;YEAR($P16)&amp;"'!$S$22:$S$150"),"Pendente"),0)+IFERROR(COUNTIFS(INDIRECT("'"&amp;CHOOSE(MONTH($P16),"JAN","FEV","MAR","ABR","MAI","JUN","JUL","AGO","SET","OUT","NOV","DEZ")&amp;" "&amp;YEAR($P16)&amp;"'!$G$22:$G$150"),"A",INDIRECT("'"&amp;CHOOSE(MONTH($P16),"JAN","FEV","MAR","ABR","MAI","JUN","JUL","AGO","SET","OUT","NOV","DEZ")&amp;" "&amp;YEAR($P16)&amp;"'!$S$22:$S$150"),"Atrasada"),0)+IFERROR(COUNTIFS(INDIRECT("'"&amp;CHOOSE(MONTH($P16),"JAN","FEV","MAR","ABR","MAI","JUN","JUL","AGO","SET","OUT","NOV","DEZ")&amp;" "&amp;YEAR($P16)&amp;"'!$G$22:$G$150"),"A",INDIRECT("'"&amp;CHOOSE(MONTH($P16),"JAN","FEV","MAR","ABR","MAI","JUN","JUL","AGO","SET","OUT","NOV","DEZ")&amp;" "&amp;YEAR($P16)&amp;"'!$S$22:$S$150"),"Reprovada"),0)</f>
        <v>0</v>
      </c>
      <c r="R16" s="45" t="n">
        <f aca="true">IFERROR(COUNTIFS(INDIRECT("'"&amp;CHOOSE(MONTH($P16),"JAN","FEV","MAR","ABR","MAI","JUN","JUL","AGO","SET","OUT","NOV","DEZ")&amp;" "&amp;YEAR($P16)&amp;"'!$G$22:$G$150"),"B",INDIRECT("'"&amp;CHOOSE(MONTH($P16),"JAN","FEV","MAR","ABR","MAI","JUN","JUL","AGO","SET","OUT","NOV","DEZ")&amp;" "&amp;YEAR($P16)&amp;"'!$S$22:$S$150"),"Aprovada"),0)+IFERROR(COUNTIFS(INDIRECT("'"&amp;CHOOSE(MONTH($P16),"JAN","FEV","MAR","ABR","MAI","JUN","JUL","AGO","SET","OUT","NOV","DEZ")&amp;" "&amp;YEAR($P16)&amp;"'!$G$22:$G$150"),"B",INDIRECT("'"&amp;CHOOSE(MONTH($P16),"JAN","FEV","MAR","ABR","MAI","JUN","JUL","AGO","SET","OUT","NOV","DEZ")&amp;" "&amp;YEAR($P16)&amp;"'!$S$22:$S$150"),"Entregue"),0)+IFERROR(COUNTIFS(INDIRECT("'"&amp;CHOOSE(MONTH($P16),"JAN","FEV","MAR","ABR","MAI","JUN","JUL","AGO","SET","OUT","NOV","DEZ")&amp;" "&amp;YEAR($P16)&amp;"'!$G$22:$G$150"),"B",INDIRECT("'"&amp;CHOOSE(MONTH($P16),"JAN","FEV","MAR","ABR","MAI","JUN","JUL","AGO","SET","OUT","NOV","DEZ")&amp;" "&amp;YEAR($P16)&amp;"'!$S$22:$S$150"),"Pendente"),0)+IFERROR(COUNTIFS(INDIRECT("'"&amp;CHOOSE(MONTH($P16),"JAN","FEV","MAR","ABR","MAI","JUN","JUL","AGO","SET","OUT","NOV","DEZ")&amp;" "&amp;YEAR($P16)&amp;"'!$G$22:$G$150"),"B",INDIRECT("'"&amp;CHOOSE(MONTH($P16),"JAN","FEV","MAR","ABR","MAI","JUN","JUL","AGO","SET","OUT","NOV","DEZ")&amp;" "&amp;YEAR($P16)&amp;"'!$S$22:$S$150"),"Atrasada"),0)+IFERROR(COUNTIFS(INDIRECT("'"&amp;CHOOSE(MONTH($P16),"JAN","FEV","MAR","ABR","MAI","JUN","JUL","AGO","SET","OUT","NOV","DEZ")&amp;" "&amp;YEAR($P16)&amp;"'!$G$22:$G$150"),"B",INDIRECT("'"&amp;CHOOSE(MONTH($P16),"JAN","FEV","MAR","ABR","MAI","JUN","JUL","AGO","SET","OUT","NOV","DEZ")&amp;" "&amp;YEAR($P16)&amp;"'!$S$22:$S$150"),"Reprovada"),0)</f>
        <v>0</v>
      </c>
      <c r="S16" s="45" t="n">
        <f aca="true">IFERROR(COUNTIFS(INDIRECT("'"&amp;CHOOSE(MONTH($P16),"JAN","FEV","MAR","ABR","MAI","JUN","JUL","AGO","SET","OUT","NOV","DEZ")&amp;" "&amp;YEAR($P16)&amp;"'!$G$22:$G$150"),"C",INDIRECT("'"&amp;CHOOSE(MONTH($P16),"JAN","FEV","MAR","ABR","MAI","JUN","JUL","AGO","SET","OUT","NOV","DEZ")&amp;" "&amp;YEAR($P16)&amp;"'!$S$22:$S$150"),"Aprovada"),0)+IFERROR(COUNTIFS(INDIRECT("'"&amp;CHOOSE(MONTH($P16),"JAN","FEV","MAR","ABR","MAI","JUN","JUL","AGO","SET","OUT","NOV","DEZ")&amp;" "&amp;YEAR($P16)&amp;"'!$G$22:$G$150"),"C",INDIRECT("'"&amp;CHOOSE(MONTH($P16),"JAN","FEV","MAR","ABR","MAI","JUN","JUL","AGO","SET","OUT","NOV","DEZ")&amp;" "&amp;YEAR($P16)&amp;"'!$S$22:$S$150"),"Entregue"),0)+IFERROR(COUNTIFS(INDIRECT("'"&amp;CHOOSE(MONTH($P16),"JAN","FEV","MAR","ABR","MAI","JUN","JUL","AGO","SET","OUT","NOV","DEZ")&amp;" "&amp;YEAR($P16)&amp;"'!$G$22:$G$150"),"C",INDIRECT("'"&amp;CHOOSE(MONTH($P16),"JAN","FEV","MAR","ABR","MAI","JUN","JUL","AGO","SET","OUT","NOV","DEZ")&amp;" "&amp;YEAR($P16)&amp;"'!$S$22:$S$150"),"Pendente"),0)+IFERROR(COUNTIFS(INDIRECT("'"&amp;CHOOSE(MONTH($P16),"JAN","FEV","MAR","ABR","MAI","JUN","JUL","AGO","SET","OUT","NOV","DEZ")&amp;" "&amp;YEAR($P16)&amp;"'!$G$22:$G$150"),"C",INDIRECT("'"&amp;CHOOSE(MONTH($P16),"JAN","FEV","MAR","ABR","MAI","JUN","JUL","AGO","SET","OUT","NOV","DEZ")&amp;" "&amp;YEAR($P16)&amp;"'!$S$22:$S$150"),"Atrasada"),0)+IFERROR(COUNTIFS(INDIRECT("'"&amp;CHOOSE(MONTH($P16),"JAN","FEV","MAR","ABR","MAI","JUN","JUL","AGO","SET","OUT","NOV","DEZ")&amp;" "&amp;YEAR($P16)&amp;"'!$G$22:$G$150"),"C",INDIRECT("'"&amp;CHOOSE(MONTH($P16),"JAN","FEV","MAR","ABR","MAI","JUN","JUL","AGO","SET","OUT","NOV","DEZ")&amp;" "&amp;YEAR($P16)&amp;"'!$S$22:$S$150"),"Reprovada"),0)</f>
        <v>0</v>
      </c>
      <c r="T16" s="45" t="n">
        <f aca="true">IFERROR(COUNTIFS(INDIRECT("'"&amp;CHOOSE(MONTH($P16),"JAN","FEV","MAR","ABR","MAI","JUN","JUL","AGO","SET","OUT","NOV","DEZ")&amp;" "&amp;YEAR($P16)&amp;"'!$G$22:$G$150"),"A",INDIRECT("'"&amp;CHOOSE(MONTH($P16),"JAN","FEV","MAR","ABR","MAI","JUN","JUL","AGO","SET","OUT","NOV","DEZ")&amp;" "&amp;YEAR($P16)&amp;"'!$S$22:$S$150"),"Aprovada"),0)</f>
        <v>0</v>
      </c>
      <c r="U16" s="45" t="n">
        <f aca="true">IFERROR(COUNTIFS(INDIRECT("'"&amp;CHOOSE(MONTH($P16),"JAN","FEV","MAR","ABR","MAI","JUN","JUL","AGO","SET","OUT","NOV","DEZ")&amp;" "&amp;YEAR($P16)&amp;"'!$G$22:$G$150"),"B",INDIRECT("'"&amp;CHOOSE(MONTH($P16),"JAN","FEV","MAR","ABR","MAI","JUN","JUL","AGO","SET","OUT","NOV","DEZ")&amp;" "&amp;YEAR($P16)&amp;"'!$S$22:$S$150"),"Aprovada"),0)</f>
        <v>0</v>
      </c>
      <c r="V16" s="45" t="n">
        <f aca="true">IFERROR(COUNTIFS(INDIRECT("'"&amp;CHOOSE(MONTH($P16),"JAN","FEV","MAR","ABR","MAI","JUN","JUL","AGO","SET","OUT","NOV","DEZ")&amp;" "&amp;YEAR($P16)&amp;"'!$G$22:$G$150"),"C",INDIRECT("'"&amp;CHOOSE(MONTH($P16),"JAN","FEV","MAR","ABR","MAI","JUN","JUL","AGO","SET","OUT","NOV","DEZ")&amp;" "&amp;YEAR($P16)&amp;"'!$S$22:$S$150"),"Aprovada"),0)</f>
        <v>0</v>
      </c>
      <c r="W16" s="45" t="n">
        <f aca="true">IFERROR(COUNTIFS(INDIRECT("'"&amp;CHOOSE(MONTH($P16),"JAN","FEV","MAR","ABR","MAI","JUN","JUL","AGO","SET","OUT","NOV","DEZ")&amp;" "&amp;YEAR($P16)&amp;"'!$G$22:$G$150"),"A",INDIRECT("'"&amp;CHOOSE(MONTH($P16),"JAN","FEV","MAR","ABR","MAI","JUN","JUL","AGO","SET","OUT","NOV","DEZ")&amp;" "&amp;YEAR($P16)&amp;"'!$U$22:$U$150"),"&lt;&gt;"),0)</f>
        <v>0</v>
      </c>
      <c r="X16" s="45" t="n">
        <f aca="true">IFERROR(COUNTIFS(INDIRECT("'"&amp;CHOOSE(MONTH($P16),"JAN","FEV","MAR","ABR","MAI","JUN","JUL","AGO","SET","OUT","NOV","DEZ")&amp;" "&amp;YEAR($P16)&amp;"'!$G$22:$G$150"),"B",INDIRECT("'"&amp;CHOOSE(MONTH($P16),"JAN","FEV","MAR","ABR","MAI","JUN","JUL","AGO","SET","OUT","NOV","DEZ")&amp;" "&amp;YEAR($P16)&amp;"'!$U$22:$U$150"),"&lt;&gt;"),0)</f>
        <v>0</v>
      </c>
      <c r="Y16" s="45" t="n">
        <f aca="true">IFERROR(COUNTIFS(INDIRECT("'"&amp;CHOOSE(MONTH($P16),"JAN","FEV","MAR","ABR","MAI","JUN","JUL","AGO","SET","OUT","NOV","DEZ")&amp;" "&amp;YEAR($P16)&amp;"'!$G$22:$G$150"),"C",INDIRECT("'"&amp;CHOOSE(MONTH($P16),"JAN","FEV","MAR","ABR","MAI","JUN","JUL","AGO","SET","OUT","NOV","DEZ")&amp;" "&amp;YEAR($P16)&amp;"'!$U$22:$U$150"),"&lt;&gt;"),0)</f>
        <v>0</v>
      </c>
    </row>
    <row r="17" customFormat="false" ht="15" hidden="false" customHeight="false" outlineLevel="0" collapsed="false">
      <c r="A17" s="56" t="str">
        <f aca="false">CHOOSE(MONTH($P17),"JAN","FEV","MAR","ABR","MAI","JUN","JUL","AGO","SET","OUT","NOV","DEZ")&amp;"/"&amp;RIGHT(YEAR($P17),2)</f>
        <v>FEV/27</v>
      </c>
      <c r="B17" s="57" t="str">
        <f aca="false">IF($Q17=0,"",$T17/$Q17)</f>
        <v/>
      </c>
      <c r="C17" s="57" t="str">
        <f aca="false">IF($R17=0,"",$U17/$R17)</f>
        <v/>
      </c>
      <c r="D17" s="57" t="str">
        <f aca="false">IF($S17=0,"",$V17/$S17)</f>
        <v/>
      </c>
      <c r="E17" s="57" t="str">
        <f aca="false">IF($Q17=0,"",1-$W17/$Q17)</f>
        <v/>
      </c>
      <c r="F17" s="57" t="str">
        <f aca="false">IF($R17=0,"",1-$X17/$R17)</f>
        <v/>
      </c>
      <c r="G17" s="57" t="str">
        <f aca="false">IF($S17=0,"",1-$Y17/$S17)</f>
        <v/>
      </c>
      <c r="H17" s="58" t="n">
        <f aca="false">SUMIFS(OCORRÊNCIAS!$E$6:$E$605,OCORRÊNCIAS!$B$6:$B$605,"Falta",OCORRÊNCIAS!$C$6:$C$605,"A",OCORRÊNCIAS!$I$6:$I$605,$P17)+SUMIFS(OCORRÊNCIAS!$E$6:$E$605,OCORRÊNCIAS!$B$6:$B$605,"Atestado",OCORRÊNCIAS!$C$6:$C$605,"A",OCORRÊNCIAS!$I$6:$I$605,$P17)</f>
        <v>0</v>
      </c>
      <c r="I17" s="58" t="n">
        <f aca="false">SUMIFS(OCORRÊNCIAS!$E$6:$E$605,OCORRÊNCIAS!$B$6:$B$605,"Falta",OCORRÊNCIAS!$C$6:$C$605,"B",OCORRÊNCIAS!$I$6:$I$605,$P17)+SUMIFS(OCORRÊNCIAS!$E$6:$E$605,OCORRÊNCIAS!$B$6:$B$605,"Atestado",OCORRÊNCIAS!$C$6:$C$605,"B",OCORRÊNCIAS!$I$6:$I$605,$P17)</f>
        <v>0</v>
      </c>
      <c r="J17" s="58" t="n">
        <f aca="false">SUMIFS(OCORRÊNCIAS!$E$6:$E$605,OCORRÊNCIAS!$B$6:$B$605,"Falta",OCORRÊNCIAS!$C$6:$C$605,"C",OCORRÊNCIAS!$I$6:$I$605,$P17)+SUMIFS(OCORRÊNCIAS!$E$6:$E$605,OCORRÊNCIAS!$B$6:$B$605,"Atestado",OCORRÊNCIAS!$C$6:$C$605,"C",OCORRÊNCIAS!$I$6:$I$605,$P17)</f>
        <v>0</v>
      </c>
      <c r="K17" s="59" t="str">
        <f aca="false">IF($Q17=0,"",ROUND($B$7*($T17/$Q17)+$D$7*(1-$W17/$Q17)+$F$7*MAX(0,1-$H17/$H$7),1))</f>
        <v/>
      </c>
      <c r="L17" s="59" t="str">
        <f aca="false">IF($R17=0,"",ROUND($B$7*($U17/$R17)+$D$7*(1-$X17/$R17)+$F$7*MAX(0,1-$I17/$H$7),1))</f>
        <v/>
      </c>
      <c r="M17" s="59" t="str">
        <f aca="false">IF($S17=0,"",ROUND($B$7*($V17/$S17)+$D$7*(1-$Y17/$S17)+$F$7*MAX(0,1-$J17/$H$7),1))</f>
        <v/>
      </c>
      <c r="N17" s="60" t="str">
        <f aca="false">IF(N($K17)+N($L17)+N($M17)=0,"—",CHOOSE(MATCH(MAX(N($K17),N($L17),N($M17)),CHOOSE({1,2,3},N($K17),N($L17),N($M17)),0),"Turno A","Turno B","Turno C"))</f>
        <v>—</v>
      </c>
      <c r="P17" s="55" t="n">
        <f aca="false">EDATE(DATE(2026,7,1),7)</f>
        <v>46419</v>
      </c>
      <c r="Q17" s="45" t="n">
        <f aca="true">IFERROR(COUNTIFS(INDIRECT("'"&amp;CHOOSE(MONTH($P17),"JAN","FEV","MAR","ABR","MAI","JUN","JUL","AGO","SET","OUT","NOV","DEZ")&amp;" "&amp;YEAR($P17)&amp;"'!$G$22:$G$150"),"A",INDIRECT("'"&amp;CHOOSE(MONTH($P17),"JAN","FEV","MAR","ABR","MAI","JUN","JUL","AGO","SET","OUT","NOV","DEZ")&amp;" "&amp;YEAR($P17)&amp;"'!$S$22:$S$150"),"Aprovada"),0)+IFERROR(COUNTIFS(INDIRECT("'"&amp;CHOOSE(MONTH($P17),"JAN","FEV","MAR","ABR","MAI","JUN","JUL","AGO","SET","OUT","NOV","DEZ")&amp;" "&amp;YEAR($P17)&amp;"'!$G$22:$G$150"),"A",INDIRECT("'"&amp;CHOOSE(MONTH($P17),"JAN","FEV","MAR","ABR","MAI","JUN","JUL","AGO","SET","OUT","NOV","DEZ")&amp;" "&amp;YEAR($P17)&amp;"'!$S$22:$S$150"),"Entregue"),0)+IFERROR(COUNTIFS(INDIRECT("'"&amp;CHOOSE(MONTH($P17),"JAN","FEV","MAR","ABR","MAI","JUN","JUL","AGO","SET","OUT","NOV","DEZ")&amp;" "&amp;YEAR($P17)&amp;"'!$G$22:$G$150"),"A",INDIRECT("'"&amp;CHOOSE(MONTH($P17),"JAN","FEV","MAR","ABR","MAI","JUN","JUL","AGO","SET","OUT","NOV","DEZ")&amp;" "&amp;YEAR($P17)&amp;"'!$S$22:$S$150"),"Pendente"),0)+IFERROR(COUNTIFS(INDIRECT("'"&amp;CHOOSE(MONTH($P17),"JAN","FEV","MAR","ABR","MAI","JUN","JUL","AGO","SET","OUT","NOV","DEZ")&amp;" "&amp;YEAR($P17)&amp;"'!$G$22:$G$150"),"A",INDIRECT("'"&amp;CHOOSE(MONTH($P17),"JAN","FEV","MAR","ABR","MAI","JUN","JUL","AGO","SET","OUT","NOV","DEZ")&amp;" "&amp;YEAR($P17)&amp;"'!$S$22:$S$150"),"Atrasada"),0)+IFERROR(COUNTIFS(INDIRECT("'"&amp;CHOOSE(MONTH($P17),"JAN","FEV","MAR","ABR","MAI","JUN","JUL","AGO","SET","OUT","NOV","DEZ")&amp;" "&amp;YEAR($P17)&amp;"'!$G$22:$G$150"),"A",INDIRECT("'"&amp;CHOOSE(MONTH($P17),"JAN","FEV","MAR","ABR","MAI","JUN","JUL","AGO","SET","OUT","NOV","DEZ")&amp;" "&amp;YEAR($P17)&amp;"'!$S$22:$S$150"),"Reprovada"),0)</f>
        <v>0</v>
      </c>
      <c r="R17" s="45" t="n">
        <f aca="true">IFERROR(COUNTIFS(INDIRECT("'"&amp;CHOOSE(MONTH($P17),"JAN","FEV","MAR","ABR","MAI","JUN","JUL","AGO","SET","OUT","NOV","DEZ")&amp;" "&amp;YEAR($P17)&amp;"'!$G$22:$G$150"),"B",INDIRECT("'"&amp;CHOOSE(MONTH($P17),"JAN","FEV","MAR","ABR","MAI","JUN","JUL","AGO","SET","OUT","NOV","DEZ")&amp;" "&amp;YEAR($P17)&amp;"'!$S$22:$S$150"),"Aprovada"),0)+IFERROR(COUNTIFS(INDIRECT("'"&amp;CHOOSE(MONTH($P17),"JAN","FEV","MAR","ABR","MAI","JUN","JUL","AGO","SET","OUT","NOV","DEZ")&amp;" "&amp;YEAR($P17)&amp;"'!$G$22:$G$150"),"B",INDIRECT("'"&amp;CHOOSE(MONTH($P17),"JAN","FEV","MAR","ABR","MAI","JUN","JUL","AGO","SET","OUT","NOV","DEZ")&amp;" "&amp;YEAR($P17)&amp;"'!$S$22:$S$150"),"Entregue"),0)+IFERROR(COUNTIFS(INDIRECT("'"&amp;CHOOSE(MONTH($P17),"JAN","FEV","MAR","ABR","MAI","JUN","JUL","AGO","SET","OUT","NOV","DEZ")&amp;" "&amp;YEAR($P17)&amp;"'!$G$22:$G$150"),"B",INDIRECT("'"&amp;CHOOSE(MONTH($P17),"JAN","FEV","MAR","ABR","MAI","JUN","JUL","AGO","SET","OUT","NOV","DEZ")&amp;" "&amp;YEAR($P17)&amp;"'!$S$22:$S$150"),"Pendente"),0)+IFERROR(COUNTIFS(INDIRECT("'"&amp;CHOOSE(MONTH($P17),"JAN","FEV","MAR","ABR","MAI","JUN","JUL","AGO","SET","OUT","NOV","DEZ")&amp;" "&amp;YEAR($P17)&amp;"'!$G$22:$G$150"),"B",INDIRECT("'"&amp;CHOOSE(MONTH($P17),"JAN","FEV","MAR","ABR","MAI","JUN","JUL","AGO","SET","OUT","NOV","DEZ")&amp;" "&amp;YEAR($P17)&amp;"'!$S$22:$S$150"),"Atrasada"),0)+IFERROR(COUNTIFS(INDIRECT("'"&amp;CHOOSE(MONTH($P17),"JAN","FEV","MAR","ABR","MAI","JUN","JUL","AGO","SET","OUT","NOV","DEZ")&amp;" "&amp;YEAR($P17)&amp;"'!$G$22:$G$150"),"B",INDIRECT("'"&amp;CHOOSE(MONTH($P17),"JAN","FEV","MAR","ABR","MAI","JUN","JUL","AGO","SET","OUT","NOV","DEZ")&amp;" "&amp;YEAR($P17)&amp;"'!$S$22:$S$150"),"Reprovada"),0)</f>
        <v>0</v>
      </c>
      <c r="S17" s="45" t="n">
        <f aca="true">IFERROR(COUNTIFS(INDIRECT("'"&amp;CHOOSE(MONTH($P17),"JAN","FEV","MAR","ABR","MAI","JUN","JUL","AGO","SET","OUT","NOV","DEZ")&amp;" "&amp;YEAR($P17)&amp;"'!$G$22:$G$150"),"C",INDIRECT("'"&amp;CHOOSE(MONTH($P17),"JAN","FEV","MAR","ABR","MAI","JUN","JUL","AGO","SET","OUT","NOV","DEZ")&amp;" "&amp;YEAR($P17)&amp;"'!$S$22:$S$150"),"Aprovada"),0)+IFERROR(COUNTIFS(INDIRECT("'"&amp;CHOOSE(MONTH($P17),"JAN","FEV","MAR","ABR","MAI","JUN","JUL","AGO","SET","OUT","NOV","DEZ")&amp;" "&amp;YEAR($P17)&amp;"'!$G$22:$G$150"),"C",INDIRECT("'"&amp;CHOOSE(MONTH($P17),"JAN","FEV","MAR","ABR","MAI","JUN","JUL","AGO","SET","OUT","NOV","DEZ")&amp;" "&amp;YEAR($P17)&amp;"'!$S$22:$S$150"),"Entregue"),0)+IFERROR(COUNTIFS(INDIRECT("'"&amp;CHOOSE(MONTH($P17),"JAN","FEV","MAR","ABR","MAI","JUN","JUL","AGO","SET","OUT","NOV","DEZ")&amp;" "&amp;YEAR($P17)&amp;"'!$G$22:$G$150"),"C",INDIRECT("'"&amp;CHOOSE(MONTH($P17),"JAN","FEV","MAR","ABR","MAI","JUN","JUL","AGO","SET","OUT","NOV","DEZ")&amp;" "&amp;YEAR($P17)&amp;"'!$S$22:$S$150"),"Pendente"),0)+IFERROR(COUNTIFS(INDIRECT("'"&amp;CHOOSE(MONTH($P17),"JAN","FEV","MAR","ABR","MAI","JUN","JUL","AGO","SET","OUT","NOV","DEZ")&amp;" "&amp;YEAR($P17)&amp;"'!$G$22:$G$150"),"C",INDIRECT("'"&amp;CHOOSE(MONTH($P17),"JAN","FEV","MAR","ABR","MAI","JUN","JUL","AGO","SET","OUT","NOV","DEZ")&amp;" "&amp;YEAR($P17)&amp;"'!$S$22:$S$150"),"Atrasada"),0)+IFERROR(COUNTIFS(INDIRECT("'"&amp;CHOOSE(MONTH($P17),"JAN","FEV","MAR","ABR","MAI","JUN","JUL","AGO","SET","OUT","NOV","DEZ")&amp;" "&amp;YEAR($P17)&amp;"'!$G$22:$G$150"),"C",INDIRECT("'"&amp;CHOOSE(MONTH($P17),"JAN","FEV","MAR","ABR","MAI","JUN","JUL","AGO","SET","OUT","NOV","DEZ")&amp;" "&amp;YEAR($P17)&amp;"'!$S$22:$S$150"),"Reprovada"),0)</f>
        <v>0</v>
      </c>
      <c r="T17" s="45" t="n">
        <f aca="true">IFERROR(COUNTIFS(INDIRECT("'"&amp;CHOOSE(MONTH($P17),"JAN","FEV","MAR","ABR","MAI","JUN","JUL","AGO","SET","OUT","NOV","DEZ")&amp;" "&amp;YEAR($P17)&amp;"'!$G$22:$G$150"),"A",INDIRECT("'"&amp;CHOOSE(MONTH($P17),"JAN","FEV","MAR","ABR","MAI","JUN","JUL","AGO","SET","OUT","NOV","DEZ")&amp;" "&amp;YEAR($P17)&amp;"'!$S$22:$S$150"),"Aprovada"),0)</f>
        <v>0</v>
      </c>
      <c r="U17" s="45" t="n">
        <f aca="true">IFERROR(COUNTIFS(INDIRECT("'"&amp;CHOOSE(MONTH($P17),"JAN","FEV","MAR","ABR","MAI","JUN","JUL","AGO","SET","OUT","NOV","DEZ")&amp;" "&amp;YEAR($P17)&amp;"'!$G$22:$G$150"),"B",INDIRECT("'"&amp;CHOOSE(MONTH($P17),"JAN","FEV","MAR","ABR","MAI","JUN","JUL","AGO","SET","OUT","NOV","DEZ")&amp;" "&amp;YEAR($P17)&amp;"'!$S$22:$S$150"),"Aprovada"),0)</f>
        <v>0</v>
      </c>
      <c r="V17" s="45" t="n">
        <f aca="true">IFERROR(COUNTIFS(INDIRECT("'"&amp;CHOOSE(MONTH($P17),"JAN","FEV","MAR","ABR","MAI","JUN","JUL","AGO","SET","OUT","NOV","DEZ")&amp;" "&amp;YEAR($P17)&amp;"'!$G$22:$G$150"),"C",INDIRECT("'"&amp;CHOOSE(MONTH($P17),"JAN","FEV","MAR","ABR","MAI","JUN","JUL","AGO","SET","OUT","NOV","DEZ")&amp;" "&amp;YEAR($P17)&amp;"'!$S$22:$S$150"),"Aprovada"),0)</f>
        <v>0</v>
      </c>
      <c r="W17" s="45" t="n">
        <f aca="true">IFERROR(COUNTIFS(INDIRECT("'"&amp;CHOOSE(MONTH($P17),"JAN","FEV","MAR","ABR","MAI","JUN","JUL","AGO","SET","OUT","NOV","DEZ")&amp;" "&amp;YEAR($P17)&amp;"'!$G$22:$G$150"),"A",INDIRECT("'"&amp;CHOOSE(MONTH($P17),"JAN","FEV","MAR","ABR","MAI","JUN","JUL","AGO","SET","OUT","NOV","DEZ")&amp;" "&amp;YEAR($P17)&amp;"'!$U$22:$U$150"),"&lt;&gt;"),0)</f>
        <v>0</v>
      </c>
      <c r="X17" s="45" t="n">
        <f aca="true">IFERROR(COUNTIFS(INDIRECT("'"&amp;CHOOSE(MONTH($P17),"JAN","FEV","MAR","ABR","MAI","JUN","JUL","AGO","SET","OUT","NOV","DEZ")&amp;" "&amp;YEAR($P17)&amp;"'!$G$22:$G$150"),"B",INDIRECT("'"&amp;CHOOSE(MONTH($P17),"JAN","FEV","MAR","ABR","MAI","JUN","JUL","AGO","SET","OUT","NOV","DEZ")&amp;" "&amp;YEAR($P17)&amp;"'!$U$22:$U$150"),"&lt;&gt;"),0)</f>
        <v>0</v>
      </c>
      <c r="Y17" s="45" t="n">
        <f aca="true">IFERROR(COUNTIFS(INDIRECT("'"&amp;CHOOSE(MONTH($P17),"JAN","FEV","MAR","ABR","MAI","JUN","JUL","AGO","SET","OUT","NOV","DEZ")&amp;" "&amp;YEAR($P17)&amp;"'!$G$22:$G$150"),"C",INDIRECT("'"&amp;CHOOSE(MONTH($P17),"JAN","FEV","MAR","ABR","MAI","JUN","JUL","AGO","SET","OUT","NOV","DEZ")&amp;" "&amp;YEAR($P17)&amp;"'!$U$22:$U$150"),"&lt;&gt;"),0)</f>
        <v>0</v>
      </c>
    </row>
    <row r="18" customFormat="false" ht="15" hidden="false" customHeight="false" outlineLevel="0" collapsed="false">
      <c r="A18" s="9" t="str">
        <f aca="false">CHOOSE(MONTH($P18),"JAN","FEV","MAR","ABR","MAI","JUN","JUL","AGO","SET","OUT","NOV","DEZ")&amp;"/"&amp;RIGHT(YEAR($P18),2)</f>
        <v>MAR/27</v>
      </c>
      <c r="B18" s="53" t="str">
        <f aca="false">IF($Q18=0,"",$T18/$Q18)</f>
        <v/>
      </c>
      <c r="C18" s="53" t="str">
        <f aca="false">IF($R18=0,"",$U18/$R18)</f>
        <v/>
      </c>
      <c r="D18" s="53" t="str">
        <f aca="false">IF($S18=0,"",$V18/$S18)</f>
        <v/>
      </c>
      <c r="E18" s="53" t="str">
        <f aca="false">IF($Q18=0,"",1-$W18/$Q18)</f>
        <v/>
      </c>
      <c r="F18" s="53" t="str">
        <f aca="false">IF($R18=0,"",1-$X18/$R18)</f>
        <v/>
      </c>
      <c r="G18" s="53" t="str">
        <f aca="false">IF($S18=0,"",1-$Y18/$S18)</f>
        <v/>
      </c>
      <c r="H18" s="31" t="n">
        <f aca="false">SUMIFS(OCORRÊNCIAS!$E$6:$E$605,OCORRÊNCIAS!$B$6:$B$605,"Falta",OCORRÊNCIAS!$C$6:$C$605,"A",OCORRÊNCIAS!$I$6:$I$605,$P18)+SUMIFS(OCORRÊNCIAS!$E$6:$E$605,OCORRÊNCIAS!$B$6:$B$605,"Atestado",OCORRÊNCIAS!$C$6:$C$605,"A",OCORRÊNCIAS!$I$6:$I$605,$P18)</f>
        <v>0</v>
      </c>
      <c r="I18" s="31" t="n">
        <f aca="false">SUMIFS(OCORRÊNCIAS!$E$6:$E$605,OCORRÊNCIAS!$B$6:$B$605,"Falta",OCORRÊNCIAS!$C$6:$C$605,"B",OCORRÊNCIAS!$I$6:$I$605,$P18)+SUMIFS(OCORRÊNCIAS!$E$6:$E$605,OCORRÊNCIAS!$B$6:$B$605,"Atestado",OCORRÊNCIAS!$C$6:$C$605,"B",OCORRÊNCIAS!$I$6:$I$605,$P18)</f>
        <v>0</v>
      </c>
      <c r="J18" s="31" t="n">
        <f aca="false">SUMIFS(OCORRÊNCIAS!$E$6:$E$605,OCORRÊNCIAS!$B$6:$B$605,"Falta",OCORRÊNCIAS!$C$6:$C$605,"C",OCORRÊNCIAS!$I$6:$I$605,$P18)+SUMIFS(OCORRÊNCIAS!$E$6:$E$605,OCORRÊNCIAS!$B$6:$B$605,"Atestado",OCORRÊNCIAS!$C$6:$C$605,"C",OCORRÊNCIAS!$I$6:$I$605,$P18)</f>
        <v>0</v>
      </c>
      <c r="K18" s="54" t="str">
        <f aca="false">IF($Q18=0,"",ROUND($B$7*($T18/$Q18)+$D$7*(1-$W18/$Q18)+$F$7*MAX(0,1-$H18/$H$7),1))</f>
        <v/>
      </c>
      <c r="L18" s="54" t="str">
        <f aca="false">IF($R18=0,"",ROUND($B$7*($U18/$R18)+$D$7*(1-$X18/$R18)+$F$7*MAX(0,1-$I18/$H$7),1))</f>
        <v/>
      </c>
      <c r="M18" s="54" t="str">
        <f aca="false">IF($S18=0,"",ROUND($B$7*($V18/$S18)+$D$7*(1-$Y18/$S18)+$F$7*MAX(0,1-$J18/$H$7),1))</f>
        <v/>
      </c>
      <c r="N18" s="31" t="str">
        <f aca="false">IF(N($K18)+N($L18)+N($M18)=0,"—",CHOOSE(MATCH(MAX(N($K18),N($L18),N($M18)),CHOOSE({1,2,3},N($K18),N($L18),N($M18)),0),"Turno A","Turno B","Turno C"))</f>
        <v>—</v>
      </c>
      <c r="P18" s="55" t="n">
        <f aca="false">EDATE(DATE(2026,7,1),8)</f>
        <v>46447</v>
      </c>
      <c r="Q18" s="45" t="n">
        <f aca="true">IFERROR(COUNTIFS(INDIRECT("'"&amp;CHOOSE(MONTH($P18),"JAN","FEV","MAR","ABR","MAI","JUN","JUL","AGO","SET","OUT","NOV","DEZ")&amp;" "&amp;YEAR($P18)&amp;"'!$G$22:$G$150"),"A",INDIRECT("'"&amp;CHOOSE(MONTH($P18),"JAN","FEV","MAR","ABR","MAI","JUN","JUL","AGO","SET","OUT","NOV","DEZ")&amp;" "&amp;YEAR($P18)&amp;"'!$S$22:$S$150"),"Aprovada"),0)+IFERROR(COUNTIFS(INDIRECT("'"&amp;CHOOSE(MONTH($P18),"JAN","FEV","MAR","ABR","MAI","JUN","JUL","AGO","SET","OUT","NOV","DEZ")&amp;" "&amp;YEAR($P18)&amp;"'!$G$22:$G$150"),"A",INDIRECT("'"&amp;CHOOSE(MONTH($P18),"JAN","FEV","MAR","ABR","MAI","JUN","JUL","AGO","SET","OUT","NOV","DEZ")&amp;" "&amp;YEAR($P18)&amp;"'!$S$22:$S$150"),"Entregue"),0)+IFERROR(COUNTIFS(INDIRECT("'"&amp;CHOOSE(MONTH($P18),"JAN","FEV","MAR","ABR","MAI","JUN","JUL","AGO","SET","OUT","NOV","DEZ")&amp;" "&amp;YEAR($P18)&amp;"'!$G$22:$G$150"),"A",INDIRECT("'"&amp;CHOOSE(MONTH($P18),"JAN","FEV","MAR","ABR","MAI","JUN","JUL","AGO","SET","OUT","NOV","DEZ")&amp;" "&amp;YEAR($P18)&amp;"'!$S$22:$S$150"),"Pendente"),0)+IFERROR(COUNTIFS(INDIRECT("'"&amp;CHOOSE(MONTH($P18),"JAN","FEV","MAR","ABR","MAI","JUN","JUL","AGO","SET","OUT","NOV","DEZ")&amp;" "&amp;YEAR($P18)&amp;"'!$G$22:$G$150"),"A",INDIRECT("'"&amp;CHOOSE(MONTH($P18),"JAN","FEV","MAR","ABR","MAI","JUN","JUL","AGO","SET","OUT","NOV","DEZ")&amp;" "&amp;YEAR($P18)&amp;"'!$S$22:$S$150"),"Atrasada"),0)+IFERROR(COUNTIFS(INDIRECT("'"&amp;CHOOSE(MONTH($P18),"JAN","FEV","MAR","ABR","MAI","JUN","JUL","AGO","SET","OUT","NOV","DEZ")&amp;" "&amp;YEAR($P18)&amp;"'!$G$22:$G$150"),"A",INDIRECT("'"&amp;CHOOSE(MONTH($P18),"JAN","FEV","MAR","ABR","MAI","JUN","JUL","AGO","SET","OUT","NOV","DEZ")&amp;" "&amp;YEAR($P18)&amp;"'!$S$22:$S$150"),"Reprovada"),0)</f>
        <v>0</v>
      </c>
      <c r="R18" s="45" t="n">
        <f aca="true">IFERROR(COUNTIFS(INDIRECT("'"&amp;CHOOSE(MONTH($P18),"JAN","FEV","MAR","ABR","MAI","JUN","JUL","AGO","SET","OUT","NOV","DEZ")&amp;" "&amp;YEAR($P18)&amp;"'!$G$22:$G$150"),"B",INDIRECT("'"&amp;CHOOSE(MONTH($P18),"JAN","FEV","MAR","ABR","MAI","JUN","JUL","AGO","SET","OUT","NOV","DEZ")&amp;" "&amp;YEAR($P18)&amp;"'!$S$22:$S$150"),"Aprovada"),0)+IFERROR(COUNTIFS(INDIRECT("'"&amp;CHOOSE(MONTH($P18),"JAN","FEV","MAR","ABR","MAI","JUN","JUL","AGO","SET","OUT","NOV","DEZ")&amp;" "&amp;YEAR($P18)&amp;"'!$G$22:$G$150"),"B",INDIRECT("'"&amp;CHOOSE(MONTH($P18),"JAN","FEV","MAR","ABR","MAI","JUN","JUL","AGO","SET","OUT","NOV","DEZ")&amp;" "&amp;YEAR($P18)&amp;"'!$S$22:$S$150"),"Entregue"),0)+IFERROR(COUNTIFS(INDIRECT("'"&amp;CHOOSE(MONTH($P18),"JAN","FEV","MAR","ABR","MAI","JUN","JUL","AGO","SET","OUT","NOV","DEZ")&amp;" "&amp;YEAR($P18)&amp;"'!$G$22:$G$150"),"B",INDIRECT("'"&amp;CHOOSE(MONTH($P18),"JAN","FEV","MAR","ABR","MAI","JUN","JUL","AGO","SET","OUT","NOV","DEZ")&amp;" "&amp;YEAR($P18)&amp;"'!$S$22:$S$150"),"Pendente"),0)+IFERROR(COUNTIFS(INDIRECT("'"&amp;CHOOSE(MONTH($P18),"JAN","FEV","MAR","ABR","MAI","JUN","JUL","AGO","SET","OUT","NOV","DEZ")&amp;" "&amp;YEAR($P18)&amp;"'!$G$22:$G$150"),"B",INDIRECT("'"&amp;CHOOSE(MONTH($P18),"JAN","FEV","MAR","ABR","MAI","JUN","JUL","AGO","SET","OUT","NOV","DEZ")&amp;" "&amp;YEAR($P18)&amp;"'!$S$22:$S$150"),"Atrasada"),0)+IFERROR(COUNTIFS(INDIRECT("'"&amp;CHOOSE(MONTH($P18),"JAN","FEV","MAR","ABR","MAI","JUN","JUL","AGO","SET","OUT","NOV","DEZ")&amp;" "&amp;YEAR($P18)&amp;"'!$G$22:$G$150"),"B",INDIRECT("'"&amp;CHOOSE(MONTH($P18),"JAN","FEV","MAR","ABR","MAI","JUN","JUL","AGO","SET","OUT","NOV","DEZ")&amp;" "&amp;YEAR($P18)&amp;"'!$S$22:$S$150"),"Reprovada"),0)</f>
        <v>0</v>
      </c>
      <c r="S18" s="45" t="n">
        <f aca="true">IFERROR(COUNTIFS(INDIRECT("'"&amp;CHOOSE(MONTH($P18),"JAN","FEV","MAR","ABR","MAI","JUN","JUL","AGO","SET","OUT","NOV","DEZ")&amp;" "&amp;YEAR($P18)&amp;"'!$G$22:$G$150"),"C",INDIRECT("'"&amp;CHOOSE(MONTH($P18),"JAN","FEV","MAR","ABR","MAI","JUN","JUL","AGO","SET","OUT","NOV","DEZ")&amp;" "&amp;YEAR($P18)&amp;"'!$S$22:$S$150"),"Aprovada"),0)+IFERROR(COUNTIFS(INDIRECT("'"&amp;CHOOSE(MONTH($P18),"JAN","FEV","MAR","ABR","MAI","JUN","JUL","AGO","SET","OUT","NOV","DEZ")&amp;" "&amp;YEAR($P18)&amp;"'!$G$22:$G$150"),"C",INDIRECT("'"&amp;CHOOSE(MONTH($P18),"JAN","FEV","MAR","ABR","MAI","JUN","JUL","AGO","SET","OUT","NOV","DEZ")&amp;" "&amp;YEAR($P18)&amp;"'!$S$22:$S$150"),"Entregue"),0)+IFERROR(COUNTIFS(INDIRECT("'"&amp;CHOOSE(MONTH($P18),"JAN","FEV","MAR","ABR","MAI","JUN","JUL","AGO","SET","OUT","NOV","DEZ")&amp;" "&amp;YEAR($P18)&amp;"'!$G$22:$G$150"),"C",INDIRECT("'"&amp;CHOOSE(MONTH($P18),"JAN","FEV","MAR","ABR","MAI","JUN","JUL","AGO","SET","OUT","NOV","DEZ")&amp;" "&amp;YEAR($P18)&amp;"'!$S$22:$S$150"),"Pendente"),0)+IFERROR(COUNTIFS(INDIRECT("'"&amp;CHOOSE(MONTH($P18),"JAN","FEV","MAR","ABR","MAI","JUN","JUL","AGO","SET","OUT","NOV","DEZ")&amp;" "&amp;YEAR($P18)&amp;"'!$G$22:$G$150"),"C",INDIRECT("'"&amp;CHOOSE(MONTH($P18),"JAN","FEV","MAR","ABR","MAI","JUN","JUL","AGO","SET","OUT","NOV","DEZ")&amp;" "&amp;YEAR($P18)&amp;"'!$S$22:$S$150"),"Atrasada"),0)+IFERROR(COUNTIFS(INDIRECT("'"&amp;CHOOSE(MONTH($P18),"JAN","FEV","MAR","ABR","MAI","JUN","JUL","AGO","SET","OUT","NOV","DEZ")&amp;" "&amp;YEAR($P18)&amp;"'!$G$22:$G$150"),"C",INDIRECT("'"&amp;CHOOSE(MONTH($P18),"JAN","FEV","MAR","ABR","MAI","JUN","JUL","AGO","SET","OUT","NOV","DEZ")&amp;" "&amp;YEAR($P18)&amp;"'!$S$22:$S$150"),"Reprovada"),0)</f>
        <v>0</v>
      </c>
      <c r="T18" s="45" t="n">
        <f aca="true">IFERROR(COUNTIFS(INDIRECT("'"&amp;CHOOSE(MONTH($P18),"JAN","FEV","MAR","ABR","MAI","JUN","JUL","AGO","SET","OUT","NOV","DEZ")&amp;" "&amp;YEAR($P18)&amp;"'!$G$22:$G$150"),"A",INDIRECT("'"&amp;CHOOSE(MONTH($P18),"JAN","FEV","MAR","ABR","MAI","JUN","JUL","AGO","SET","OUT","NOV","DEZ")&amp;" "&amp;YEAR($P18)&amp;"'!$S$22:$S$150"),"Aprovada"),0)</f>
        <v>0</v>
      </c>
      <c r="U18" s="45" t="n">
        <f aca="true">IFERROR(COUNTIFS(INDIRECT("'"&amp;CHOOSE(MONTH($P18),"JAN","FEV","MAR","ABR","MAI","JUN","JUL","AGO","SET","OUT","NOV","DEZ")&amp;" "&amp;YEAR($P18)&amp;"'!$G$22:$G$150"),"B",INDIRECT("'"&amp;CHOOSE(MONTH($P18),"JAN","FEV","MAR","ABR","MAI","JUN","JUL","AGO","SET","OUT","NOV","DEZ")&amp;" "&amp;YEAR($P18)&amp;"'!$S$22:$S$150"),"Aprovada"),0)</f>
        <v>0</v>
      </c>
      <c r="V18" s="45" t="n">
        <f aca="true">IFERROR(COUNTIFS(INDIRECT("'"&amp;CHOOSE(MONTH($P18),"JAN","FEV","MAR","ABR","MAI","JUN","JUL","AGO","SET","OUT","NOV","DEZ")&amp;" "&amp;YEAR($P18)&amp;"'!$G$22:$G$150"),"C",INDIRECT("'"&amp;CHOOSE(MONTH($P18),"JAN","FEV","MAR","ABR","MAI","JUN","JUL","AGO","SET","OUT","NOV","DEZ")&amp;" "&amp;YEAR($P18)&amp;"'!$S$22:$S$150"),"Aprovada"),0)</f>
        <v>0</v>
      </c>
      <c r="W18" s="45" t="n">
        <f aca="true">IFERROR(COUNTIFS(INDIRECT("'"&amp;CHOOSE(MONTH($P18),"JAN","FEV","MAR","ABR","MAI","JUN","JUL","AGO","SET","OUT","NOV","DEZ")&amp;" "&amp;YEAR($P18)&amp;"'!$G$22:$G$150"),"A",INDIRECT("'"&amp;CHOOSE(MONTH($P18),"JAN","FEV","MAR","ABR","MAI","JUN","JUL","AGO","SET","OUT","NOV","DEZ")&amp;" "&amp;YEAR($P18)&amp;"'!$U$22:$U$150"),"&lt;&gt;"),0)</f>
        <v>0</v>
      </c>
      <c r="X18" s="45" t="n">
        <f aca="true">IFERROR(COUNTIFS(INDIRECT("'"&amp;CHOOSE(MONTH($P18),"JAN","FEV","MAR","ABR","MAI","JUN","JUL","AGO","SET","OUT","NOV","DEZ")&amp;" "&amp;YEAR($P18)&amp;"'!$G$22:$G$150"),"B",INDIRECT("'"&amp;CHOOSE(MONTH($P18),"JAN","FEV","MAR","ABR","MAI","JUN","JUL","AGO","SET","OUT","NOV","DEZ")&amp;" "&amp;YEAR($P18)&amp;"'!$U$22:$U$150"),"&lt;&gt;"),0)</f>
        <v>0</v>
      </c>
      <c r="Y18" s="45" t="n">
        <f aca="true">IFERROR(COUNTIFS(INDIRECT("'"&amp;CHOOSE(MONTH($P18),"JAN","FEV","MAR","ABR","MAI","JUN","JUL","AGO","SET","OUT","NOV","DEZ")&amp;" "&amp;YEAR($P18)&amp;"'!$G$22:$G$150"),"C",INDIRECT("'"&amp;CHOOSE(MONTH($P18),"JAN","FEV","MAR","ABR","MAI","JUN","JUL","AGO","SET","OUT","NOV","DEZ")&amp;" "&amp;YEAR($P18)&amp;"'!$U$22:$U$150"),"&lt;&gt;"),0)</f>
        <v>0</v>
      </c>
    </row>
    <row r="19" customFormat="false" ht="15" hidden="false" customHeight="false" outlineLevel="0" collapsed="false">
      <c r="A19" s="56" t="str">
        <f aca="false">CHOOSE(MONTH($P19),"JAN","FEV","MAR","ABR","MAI","JUN","JUL","AGO","SET","OUT","NOV","DEZ")&amp;"/"&amp;RIGHT(YEAR($P19),2)</f>
        <v>ABR/27</v>
      </c>
      <c r="B19" s="57" t="str">
        <f aca="false">IF($Q19=0,"",$T19/$Q19)</f>
        <v/>
      </c>
      <c r="C19" s="57" t="str">
        <f aca="false">IF($R19=0,"",$U19/$R19)</f>
        <v/>
      </c>
      <c r="D19" s="57" t="str">
        <f aca="false">IF($S19=0,"",$V19/$S19)</f>
        <v/>
      </c>
      <c r="E19" s="57" t="str">
        <f aca="false">IF($Q19=0,"",1-$W19/$Q19)</f>
        <v/>
      </c>
      <c r="F19" s="57" t="str">
        <f aca="false">IF($R19=0,"",1-$X19/$R19)</f>
        <v/>
      </c>
      <c r="G19" s="57" t="str">
        <f aca="false">IF($S19=0,"",1-$Y19/$S19)</f>
        <v/>
      </c>
      <c r="H19" s="58" t="n">
        <f aca="false">SUMIFS(OCORRÊNCIAS!$E$6:$E$605,OCORRÊNCIAS!$B$6:$B$605,"Falta",OCORRÊNCIAS!$C$6:$C$605,"A",OCORRÊNCIAS!$I$6:$I$605,$P19)+SUMIFS(OCORRÊNCIAS!$E$6:$E$605,OCORRÊNCIAS!$B$6:$B$605,"Atestado",OCORRÊNCIAS!$C$6:$C$605,"A",OCORRÊNCIAS!$I$6:$I$605,$P19)</f>
        <v>0</v>
      </c>
      <c r="I19" s="58" t="n">
        <f aca="false">SUMIFS(OCORRÊNCIAS!$E$6:$E$605,OCORRÊNCIAS!$B$6:$B$605,"Falta",OCORRÊNCIAS!$C$6:$C$605,"B",OCORRÊNCIAS!$I$6:$I$605,$P19)+SUMIFS(OCORRÊNCIAS!$E$6:$E$605,OCORRÊNCIAS!$B$6:$B$605,"Atestado",OCORRÊNCIAS!$C$6:$C$605,"B",OCORRÊNCIAS!$I$6:$I$605,$P19)</f>
        <v>0</v>
      </c>
      <c r="J19" s="58" t="n">
        <f aca="false">SUMIFS(OCORRÊNCIAS!$E$6:$E$605,OCORRÊNCIAS!$B$6:$B$605,"Falta",OCORRÊNCIAS!$C$6:$C$605,"C",OCORRÊNCIAS!$I$6:$I$605,$P19)+SUMIFS(OCORRÊNCIAS!$E$6:$E$605,OCORRÊNCIAS!$B$6:$B$605,"Atestado",OCORRÊNCIAS!$C$6:$C$605,"C",OCORRÊNCIAS!$I$6:$I$605,$P19)</f>
        <v>0</v>
      </c>
      <c r="K19" s="59" t="str">
        <f aca="false">IF($Q19=0,"",ROUND($B$7*($T19/$Q19)+$D$7*(1-$W19/$Q19)+$F$7*MAX(0,1-$H19/$H$7),1))</f>
        <v/>
      </c>
      <c r="L19" s="59" t="str">
        <f aca="false">IF($R19=0,"",ROUND($B$7*($U19/$R19)+$D$7*(1-$X19/$R19)+$F$7*MAX(0,1-$I19/$H$7),1))</f>
        <v/>
      </c>
      <c r="M19" s="59" t="str">
        <f aca="false">IF($S19=0,"",ROUND($B$7*($V19/$S19)+$D$7*(1-$Y19/$S19)+$F$7*MAX(0,1-$J19/$H$7),1))</f>
        <v/>
      </c>
      <c r="N19" s="60" t="str">
        <f aca="false">IF(N($K19)+N($L19)+N($M19)=0,"—",CHOOSE(MATCH(MAX(N($K19),N($L19),N($M19)),CHOOSE({1,2,3},N($K19),N($L19),N($M19)),0),"Turno A","Turno B","Turno C"))</f>
        <v>—</v>
      </c>
      <c r="P19" s="55" t="n">
        <f aca="false">EDATE(DATE(2026,7,1),9)</f>
        <v>46478</v>
      </c>
      <c r="Q19" s="45" t="n">
        <f aca="true">IFERROR(COUNTIFS(INDIRECT("'"&amp;CHOOSE(MONTH($P19),"JAN","FEV","MAR","ABR","MAI","JUN","JUL","AGO","SET","OUT","NOV","DEZ")&amp;" "&amp;YEAR($P19)&amp;"'!$G$22:$G$150"),"A",INDIRECT("'"&amp;CHOOSE(MONTH($P19),"JAN","FEV","MAR","ABR","MAI","JUN","JUL","AGO","SET","OUT","NOV","DEZ")&amp;" "&amp;YEAR($P19)&amp;"'!$S$22:$S$150"),"Aprovada"),0)+IFERROR(COUNTIFS(INDIRECT("'"&amp;CHOOSE(MONTH($P19),"JAN","FEV","MAR","ABR","MAI","JUN","JUL","AGO","SET","OUT","NOV","DEZ")&amp;" "&amp;YEAR($P19)&amp;"'!$G$22:$G$150"),"A",INDIRECT("'"&amp;CHOOSE(MONTH($P19),"JAN","FEV","MAR","ABR","MAI","JUN","JUL","AGO","SET","OUT","NOV","DEZ")&amp;" "&amp;YEAR($P19)&amp;"'!$S$22:$S$150"),"Entregue"),0)+IFERROR(COUNTIFS(INDIRECT("'"&amp;CHOOSE(MONTH($P19),"JAN","FEV","MAR","ABR","MAI","JUN","JUL","AGO","SET","OUT","NOV","DEZ")&amp;" "&amp;YEAR($P19)&amp;"'!$G$22:$G$150"),"A",INDIRECT("'"&amp;CHOOSE(MONTH($P19),"JAN","FEV","MAR","ABR","MAI","JUN","JUL","AGO","SET","OUT","NOV","DEZ")&amp;" "&amp;YEAR($P19)&amp;"'!$S$22:$S$150"),"Pendente"),0)+IFERROR(COUNTIFS(INDIRECT("'"&amp;CHOOSE(MONTH($P19),"JAN","FEV","MAR","ABR","MAI","JUN","JUL","AGO","SET","OUT","NOV","DEZ")&amp;" "&amp;YEAR($P19)&amp;"'!$G$22:$G$150"),"A",INDIRECT("'"&amp;CHOOSE(MONTH($P19),"JAN","FEV","MAR","ABR","MAI","JUN","JUL","AGO","SET","OUT","NOV","DEZ")&amp;" "&amp;YEAR($P19)&amp;"'!$S$22:$S$150"),"Atrasada"),0)+IFERROR(COUNTIFS(INDIRECT("'"&amp;CHOOSE(MONTH($P19),"JAN","FEV","MAR","ABR","MAI","JUN","JUL","AGO","SET","OUT","NOV","DEZ")&amp;" "&amp;YEAR($P19)&amp;"'!$G$22:$G$150"),"A",INDIRECT("'"&amp;CHOOSE(MONTH($P19),"JAN","FEV","MAR","ABR","MAI","JUN","JUL","AGO","SET","OUT","NOV","DEZ")&amp;" "&amp;YEAR($P19)&amp;"'!$S$22:$S$150"),"Reprovada"),0)</f>
        <v>0</v>
      </c>
      <c r="R19" s="45" t="n">
        <f aca="true">IFERROR(COUNTIFS(INDIRECT("'"&amp;CHOOSE(MONTH($P19),"JAN","FEV","MAR","ABR","MAI","JUN","JUL","AGO","SET","OUT","NOV","DEZ")&amp;" "&amp;YEAR($P19)&amp;"'!$G$22:$G$150"),"B",INDIRECT("'"&amp;CHOOSE(MONTH($P19),"JAN","FEV","MAR","ABR","MAI","JUN","JUL","AGO","SET","OUT","NOV","DEZ")&amp;" "&amp;YEAR($P19)&amp;"'!$S$22:$S$150"),"Aprovada"),0)+IFERROR(COUNTIFS(INDIRECT("'"&amp;CHOOSE(MONTH($P19),"JAN","FEV","MAR","ABR","MAI","JUN","JUL","AGO","SET","OUT","NOV","DEZ")&amp;" "&amp;YEAR($P19)&amp;"'!$G$22:$G$150"),"B",INDIRECT("'"&amp;CHOOSE(MONTH($P19),"JAN","FEV","MAR","ABR","MAI","JUN","JUL","AGO","SET","OUT","NOV","DEZ")&amp;" "&amp;YEAR($P19)&amp;"'!$S$22:$S$150"),"Entregue"),0)+IFERROR(COUNTIFS(INDIRECT("'"&amp;CHOOSE(MONTH($P19),"JAN","FEV","MAR","ABR","MAI","JUN","JUL","AGO","SET","OUT","NOV","DEZ")&amp;" "&amp;YEAR($P19)&amp;"'!$G$22:$G$150"),"B",INDIRECT("'"&amp;CHOOSE(MONTH($P19),"JAN","FEV","MAR","ABR","MAI","JUN","JUL","AGO","SET","OUT","NOV","DEZ")&amp;" "&amp;YEAR($P19)&amp;"'!$S$22:$S$150"),"Pendente"),0)+IFERROR(COUNTIFS(INDIRECT("'"&amp;CHOOSE(MONTH($P19),"JAN","FEV","MAR","ABR","MAI","JUN","JUL","AGO","SET","OUT","NOV","DEZ")&amp;" "&amp;YEAR($P19)&amp;"'!$G$22:$G$150"),"B",INDIRECT("'"&amp;CHOOSE(MONTH($P19),"JAN","FEV","MAR","ABR","MAI","JUN","JUL","AGO","SET","OUT","NOV","DEZ")&amp;" "&amp;YEAR($P19)&amp;"'!$S$22:$S$150"),"Atrasada"),0)+IFERROR(COUNTIFS(INDIRECT("'"&amp;CHOOSE(MONTH($P19),"JAN","FEV","MAR","ABR","MAI","JUN","JUL","AGO","SET","OUT","NOV","DEZ")&amp;" "&amp;YEAR($P19)&amp;"'!$G$22:$G$150"),"B",INDIRECT("'"&amp;CHOOSE(MONTH($P19),"JAN","FEV","MAR","ABR","MAI","JUN","JUL","AGO","SET","OUT","NOV","DEZ")&amp;" "&amp;YEAR($P19)&amp;"'!$S$22:$S$150"),"Reprovada"),0)</f>
        <v>0</v>
      </c>
      <c r="S19" s="45" t="n">
        <f aca="true">IFERROR(COUNTIFS(INDIRECT("'"&amp;CHOOSE(MONTH($P19),"JAN","FEV","MAR","ABR","MAI","JUN","JUL","AGO","SET","OUT","NOV","DEZ")&amp;" "&amp;YEAR($P19)&amp;"'!$G$22:$G$150"),"C",INDIRECT("'"&amp;CHOOSE(MONTH($P19),"JAN","FEV","MAR","ABR","MAI","JUN","JUL","AGO","SET","OUT","NOV","DEZ")&amp;" "&amp;YEAR($P19)&amp;"'!$S$22:$S$150"),"Aprovada"),0)+IFERROR(COUNTIFS(INDIRECT("'"&amp;CHOOSE(MONTH($P19),"JAN","FEV","MAR","ABR","MAI","JUN","JUL","AGO","SET","OUT","NOV","DEZ")&amp;" "&amp;YEAR($P19)&amp;"'!$G$22:$G$150"),"C",INDIRECT("'"&amp;CHOOSE(MONTH($P19),"JAN","FEV","MAR","ABR","MAI","JUN","JUL","AGO","SET","OUT","NOV","DEZ")&amp;" "&amp;YEAR($P19)&amp;"'!$S$22:$S$150"),"Entregue"),0)+IFERROR(COUNTIFS(INDIRECT("'"&amp;CHOOSE(MONTH($P19),"JAN","FEV","MAR","ABR","MAI","JUN","JUL","AGO","SET","OUT","NOV","DEZ")&amp;" "&amp;YEAR($P19)&amp;"'!$G$22:$G$150"),"C",INDIRECT("'"&amp;CHOOSE(MONTH($P19),"JAN","FEV","MAR","ABR","MAI","JUN","JUL","AGO","SET","OUT","NOV","DEZ")&amp;" "&amp;YEAR($P19)&amp;"'!$S$22:$S$150"),"Pendente"),0)+IFERROR(COUNTIFS(INDIRECT("'"&amp;CHOOSE(MONTH($P19),"JAN","FEV","MAR","ABR","MAI","JUN","JUL","AGO","SET","OUT","NOV","DEZ")&amp;" "&amp;YEAR($P19)&amp;"'!$G$22:$G$150"),"C",INDIRECT("'"&amp;CHOOSE(MONTH($P19),"JAN","FEV","MAR","ABR","MAI","JUN","JUL","AGO","SET","OUT","NOV","DEZ")&amp;" "&amp;YEAR($P19)&amp;"'!$S$22:$S$150"),"Atrasada"),0)+IFERROR(COUNTIFS(INDIRECT("'"&amp;CHOOSE(MONTH($P19),"JAN","FEV","MAR","ABR","MAI","JUN","JUL","AGO","SET","OUT","NOV","DEZ")&amp;" "&amp;YEAR($P19)&amp;"'!$G$22:$G$150"),"C",INDIRECT("'"&amp;CHOOSE(MONTH($P19),"JAN","FEV","MAR","ABR","MAI","JUN","JUL","AGO","SET","OUT","NOV","DEZ")&amp;" "&amp;YEAR($P19)&amp;"'!$S$22:$S$150"),"Reprovada"),0)</f>
        <v>0</v>
      </c>
      <c r="T19" s="45" t="n">
        <f aca="true">IFERROR(COUNTIFS(INDIRECT("'"&amp;CHOOSE(MONTH($P19),"JAN","FEV","MAR","ABR","MAI","JUN","JUL","AGO","SET","OUT","NOV","DEZ")&amp;" "&amp;YEAR($P19)&amp;"'!$G$22:$G$150"),"A",INDIRECT("'"&amp;CHOOSE(MONTH($P19),"JAN","FEV","MAR","ABR","MAI","JUN","JUL","AGO","SET","OUT","NOV","DEZ")&amp;" "&amp;YEAR($P19)&amp;"'!$S$22:$S$150"),"Aprovada"),0)</f>
        <v>0</v>
      </c>
      <c r="U19" s="45" t="n">
        <f aca="true">IFERROR(COUNTIFS(INDIRECT("'"&amp;CHOOSE(MONTH($P19),"JAN","FEV","MAR","ABR","MAI","JUN","JUL","AGO","SET","OUT","NOV","DEZ")&amp;" "&amp;YEAR($P19)&amp;"'!$G$22:$G$150"),"B",INDIRECT("'"&amp;CHOOSE(MONTH($P19),"JAN","FEV","MAR","ABR","MAI","JUN","JUL","AGO","SET","OUT","NOV","DEZ")&amp;" "&amp;YEAR($P19)&amp;"'!$S$22:$S$150"),"Aprovada"),0)</f>
        <v>0</v>
      </c>
      <c r="V19" s="45" t="n">
        <f aca="true">IFERROR(COUNTIFS(INDIRECT("'"&amp;CHOOSE(MONTH($P19),"JAN","FEV","MAR","ABR","MAI","JUN","JUL","AGO","SET","OUT","NOV","DEZ")&amp;" "&amp;YEAR($P19)&amp;"'!$G$22:$G$150"),"C",INDIRECT("'"&amp;CHOOSE(MONTH($P19),"JAN","FEV","MAR","ABR","MAI","JUN","JUL","AGO","SET","OUT","NOV","DEZ")&amp;" "&amp;YEAR($P19)&amp;"'!$S$22:$S$150"),"Aprovada"),0)</f>
        <v>0</v>
      </c>
      <c r="W19" s="45" t="n">
        <f aca="true">IFERROR(COUNTIFS(INDIRECT("'"&amp;CHOOSE(MONTH($P19),"JAN","FEV","MAR","ABR","MAI","JUN","JUL","AGO","SET","OUT","NOV","DEZ")&amp;" "&amp;YEAR($P19)&amp;"'!$G$22:$G$150"),"A",INDIRECT("'"&amp;CHOOSE(MONTH($P19),"JAN","FEV","MAR","ABR","MAI","JUN","JUL","AGO","SET","OUT","NOV","DEZ")&amp;" "&amp;YEAR($P19)&amp;"'!$U$22:$U$150"),"&lt;&gt;"),0)</f>
        <v>0</v>
      </c>
      <c r="X19" s="45" t="n">
        <f aca="true">IFERROR(COUNTIFS(INDIRECT("'"&amp;CHOOSE(MONTH($P19),"JAN","FEV","MAR","ABR","MAI","JUN","JUL","AGO","SET","OUT","NOV","DEZ")&amp;" "&amp;YEAR($P19)&amp;"'!$G$22:$G$150"),"B",INDIRECT("'"&amp;CHOOSE(MONTH($P19),"JAN","FEV","MAR","ABR","MAI","JUN","JUL","AGO","SET","OUT","NOV","DEZ")&amp;" "&amp;YEAR($P19)&amp;"'!$U$22:$U$150"),"&lt;&gt;"),0)</f>
        <v>0</v>
      </c>
      <c r="Y19" s="45" t="n">
        <f aca="true">IFERROR(COUNTIFS(INDIRECT("'"&amp;CHOOSE(MONTH($P19),"JAN","FEV","MAR","ABR","MAI","JUN","JUL","AGO","SET","OUT","NOV","DEZ")&amp;" "&amp;YEAR($P19)&amp;"'!$G$22:$G$150"),"C",INDIRECT("'"&amp;CHOOSE(MONTH($P19),"JAN","FEV","MAR","ABR","MAI","JUN","JUL","AGO","SET","OUT","NOV","DEZ")&amp;" "&amp;YEAR($P19)&amp;"'!$U$22:$U$150"),"&lt;&gt;"),0)</f>
        <v>0</v>
      </c>
    </row>
    <row r="20" customFormat="false" ht="15" hidden="false" customHeight="false" outlineLevel="0" collapsed="false">
      <c r="A20" s="9" t="str">
        <f aca="false">CHOOSE(MONTH($P20),"JAN","FEV","MAR","ABR","MAI","JUN","JUL","AGO","SET","OUT","NOV","DEZ")&amp;"/"&amp;RIGHT(YEAR($P20),2)</f>
        <v>MAI/27</v>
      </c>
      <c r="B20" s="53" t="str">
        <f aca="false">IF($Q20=0,"",$T20/$Q20)</f>
        <v/>
      </c>
      <c r="C20" s="53" t="str">
        <f aca="false">IF($R20=0,"",$U20/$R20)</f>
        <v/>
      </c>
      <c r="D20" s="53" t="str">
        <f aca="false">IF($S20=0,"",$V20/$S20)</f>
        <v/>
      </c>
      <c r="E20" s="53" t="str">
        <f aca="false">IF($Q20=0,"",1-$W20/$Q20)</f>
        <v/>
      </c>
      <c r="F20" s="53" t="str">
        <f aca="false">IF($R20=0,"",1-$X20/$R20)</f>
        <v/>
      </c>
      <c r="G20" s="53" t="str">
        <f aca="false">IF($S20=0,"",1-$Y20/$S20)</f>
        <v/>
      </c>
      <c r="H20" s="31" t="n">
        <f aca="false">SUMIFS(OCORRÊNCIAS!$E$6:$E$605,OCORRÊNCIAS!$B$6:$B$605,"Falta",OCORRÊNCIAS!$C$6:$C$605,"A",OCORRÊNCIAS!$I$6:$I$605,$P20)+SUMIFS(OCORRÊNCIAS!$E$6:$E$605,OCORRÊNCIAS!$B$6:$B$605,"Atestado",OCORRÊNCIAS!$C$6:$C$605,"A",OCORRÊNCIAS!$I$6:$I$605,$P20)</f>
        <v>0</v>
      </c>
      <c r="I20" s="31" t="n">
        <f aca="false">SUMIFS(OCORRÊNCIAS!$E$6:$E$605,OCORRÊNCIAS!$B$6:$B$605,"Falta",OCORRÊNCIAS!$C$6:$C$605,"B",OCORRÊNCIAS!$I$6:$I$605,$P20)+SUMIFS(OCORRÊNCIAS!$E$6:$E$605,OCORRÊNCIAS!$B$6:$B$605,"Atestado",OCORRÊNCIAS!$C$6:$C$605,"B",OCORRÊNCIAS!$I$6:$I$605,$P20)</f>
        <v>0</v>
      </c>
      <c r="J20" s="31" t="n">
        <f aca="false">SUMIFS(OCORRÊNCIAS!$E$6:$E$605,OCORRÊNCIAS!$B$6:$B$605,"Falta",OCORRÊNCIAS!$C$6:$C$605,"C",OCORRÊNCIAS!$I$6:$I$605,$P20)+SUMIFS(OCORRÊNCIAS!$E$6:$E$605,OCORRÊNCIAS!$B$6:$B$605,"Atestado",OCORRÊNCIAS!$C$6:$C$605,"C",OCORRÊNCIAS!$I$6:$I$605,$P20)</f>
        <v>0</v>
      </c>
      <c r="K20" s="54" t="str">
        <f aca="false">IF($Q20=0,"",ROUND($B$7*($T20/$Q20)+$D$7*(1-$W20/$Q20)+$F$7*MAX(0,1-$H20/$H$7),1))</f>
        <v/>
      </c>
      <c r="L20" s="54" t="str">
        <f aca="false">IF($R20=0,"",ROUND($B$7*($U20/$R20)+$D$7*(1-$X20/$R20)+$F$7*MAX(0,1-$I20/$H$7),1))</f>
        <v/>
      </c>
      <c r="M20" s="54" t="str">
        <f aca="false">IF($S20=0,"",ROUND($B$7*($V20/$S20)+$D$7*(1-$Y20/$S20)+$F$7*MAX(0,1-$J20/$H$7),1))</f>
        <v/>
      </c>
      <c r="N20" s="31" t="str">
        <f aca="false">IF(N($K20)+N($L20)+N($M20)=0,"—",CHOOSE(MATCH(MAX(N($K20),N($L20),N($M20)),CHOOSE({1,2,3},N($K20),N($L20),N($M20)),0),"Turno A","Turno B","Turno C"))</f>
        <v>—</v>
      </c>
      <c r="P20" s="55" t="n">
        <f aca="false">EDATE(DATE(2026,7,1),10)</f>
        <v>46508</v>
      </c>
      <c r="Q20" s="45" t="n">
        <f aca="true">IFERROR(COUNTIFS(INDIRECT("'"&amp;CHOOSE(MONTH($P20),"JAN","FEV","MAR","ABR","MAI","JUN","JUL","AGO","SET","OUT","NOV","DEZ")&amp;" "&amp;YEAR($P20)&amp;"'!$G$22:$G$150"),"A",INDIRECT("'"&amp;CHOOSE(MONTH($P20),"JAN","FEV","MAR","ABR","MAI","JUN","JUL","AGO","SET","OUT","NOV","DEZ")&amp;" "&amp;YEAR($P20)&amp;"'!$S$22:$S$150"),"Aprovada"),0)+IFERROR(COUNTIFS(INDIRECT("'"&amp;CHOOSE(MONTH($P20),"JAN","FEV","MAR","ABR","MAI","JUN","JUL","AGO","SET","OUT","NOV","DEZ")&amp;" "&amp;YEAR($P20)&amp;"'!$G$22:$G$150"),"A",INDIRECT("'"&amp;CHOOSE(MONTH($P20),"JAN","FEV","MAR","ABR","MAI","JUN","JUL","AGO","SET","OUT","NOV","DEZ")&amp;" "&amp;YEAR($P20)&amp;"'!$S$22:$S$150"),"Entregue"),0)+IFERROR(COUNTIFS(INDIRECT("'"&amp;CHOOSE(MONTH($P20),"JAN","FEV","MAR","ABR","MAI","JUN","JUL","AGO","SET","OUT","NOV","DEZ")&amp;" "&amp;YEAR($P20)&amp;"'!$G$22:$G$150"),"A",INDIRECT("'"&amp;CHOOSE(MONTH($P20),"JAN","FEV","MAR","ABR","MAI","JUN","JUL","AGO","SET","OUT","NOV","DEZ")&amp;" "&amp;YEAR($P20)&amp;"'!$S$22:$S$150"),"Pendente"),0)+IFERROR(COUNTIFS(INDIRECT("'"&amp;CHOOSE(MONTH($P20),"JAN","FEV","MAR","ABR","MAI","JUN","JUL","AGO","SET","OUT","NOV","DEZ")&amp;" "&amp;YEAR($P20)&amp;"'!$G$22:$G$150"),"A",INDIRECT("'"&amp;CHOOSE(MONTH($P20),"JAN","FEV","MAR","ABR","MAI","JUN","JUL","AGO","SET","OUT","NOV","DEZ")&amp;" "&amp;YEAR($P20)&amp;"'!$S$22:$S$150"),"Atrasada"),0)+IFERROR(COUNTIFS(INDIRECT("'"&amp;CHOOSE(MONTH($P20),"JAN","FEV","MAR","ABR","MAI","JUN","JUL","AGO","SET","OUT","NOV","DEZ")&amp;" "&amp;YEAR($P20)&amp;"'!$G$22:$G$150"),"A",INDIRECT("'"&amp;CHOOSE(MONTH($P20),"JAN","FEV","MAR","ABR","MAI","JUN","JUL","AGO","SET","OUT","NOV","DEZ")&amp;" "&amp;YEAR($P20)&amp;"'!$S$22:$S$150"),"Reprovada"),0)</f>
        <v>0</v>
      </c>
      <c r="R20" s="45" t="n">
        <f aca="true">IFERROR(COUNTIFS(INDIRECT("'"&amp;CHOOSE(MONTH($P20),"JAN","FEV","MAR","ABR","MAI","JUN","JUL","AGO","SET","OUT","NOV","DEZ")&amp;" "&amp;YEAR($P20)&amp;"'!$G$22:$G$150"),"B",INDIRECT("'"&amp;CHOOSE(MONTH($P20),"JAN","FEV","MAR","ABR","MAI","JUN","JUL","AGO","SET","OUT","NOV","DEZ")&amp;" "&amp;YEAR($P20)&amp;"'!$S$22:$S$150"),"Aprovada"),0)+IFERROR(COUNTIFS(INDIRECT("'"&amp;CHOOSE(MONTH($P20),"JAN","FEV","MAR","ABR","MAI","JUN","JUL","AGO","SET","OUT","NOV","DEZ")&amp;" "&amp;YEAR($P20)&amp;"'!$G$22:$G$150"),"B",INDIRECT("'"&amp;CHOOSE(MONTH($P20),"JAN","FEV","MAR","ABR","MAI","JUN","JUL","AGO","SET","OUT","NOV","DEZ")&amp;" "&amp;YEAR($P20)&amp;"'!$S$22:$S$150"),"Entregue"),0)+IFERROR(COUNTIFS(INDIRECT("'"&amp;CHOOSE(MONTH($P20),"JAN","FEV","MAR","ABR","MAI","JUN","JUL","AGO","SET","OUT","NOV","DEZ")&amp;" "&amp;YEAR($P20)&amp;"'!$G$22:$G$150"),"B",INDIRECT("'"&amp;CHOOSE(MONTH($P20),"JAN","FEV","MAR","ABR","MAI","JUN","JUL","AGO","SET","OUT","NOV","DEZ")&amp;" "&amp;YEAR($P20)&amp;"'!$S$22:$S$150"),"Pendente"),0)+IFERROR(COUNTIFS(INDIRECT("'"&amp;CHOOSE(MONTH($P20),"JAN","FEV","MAR","ABR","MAI","JUN","JUL","AGO","SET","OUT","NOV","DEZ")&amp;" "&amp;YEAR($P20)&amp;"'!$G$22:$G$150"),"B",INDIRECT("'"&amp;CHOOSE(MONTH($P20),"JAN","FEV","MAR","ABR","MAI","JUN","JUL","AGO","SET","OUT","NOV","DEZ")&amp;" "&amp;YEAR($P20)&amp;"'!$S$22:$S$150"),"Atrasada"),0)+IFERROR(COUNTIFS(INDIRECT("'"&amp;CHOOSE(MONTH($P20),"JAN","FEV","MAR","ABR","MAI","JUN","JUL","AGO","SET","OUT","NOV","DEZ")&amp;" "&amp;YEAR($P20)&amp;"'!$G$22:$G$150"),"B",INDIRECT("'"&amp;CHOOSE(MONTH($P20),"JAN","FEV","MAR","ABR","MAI","JUN","JUL","AGO","SET","OUT","NOV","DEZ")&amp;" "&amp;YEAR($P20)&amp;"'!$S$22:$S$150"),"Reprovada"),0)</f>
        <v>0</v>
      </c>
      <c r="S20" s="45" t="n">
        <f aca="true">IFERROR(COUNTIFS(INDIRECT("'"&amp;CHOOSE(MONTH($P20),"JAN","FEV","MAR","ABR","MAI","JUN","JUL","AGO","SET","OUT","NOV","DEZ")&amp;" "&amp;YEAR($P20)&amp;"'!$G$22:$G$150"),"C",INDIRECT("'"&amp;CHOOSE(MONTH($P20),"JAN","FEV","MAR","ABR","MAI","JUN","JUL","AGO","SET","OUT","NOV","DEZ")&amp;" "&amp;YEAR($P20)&amp;"'!$S$22:$S$150"),"Aprovada"),0)+IFERROR(COUNTIFS(INDIRECT("'"&amp;CHOOSE(MONTH($P20),"JAN","FEV","MAR","ABR","MAI","JUN","JUL","AGO","SET","OUT","NOV","DEZ")&amp;" "&amp;YEAR($P20)&amp;"'!$G$22:$G$150"),"C",INDIRECT("'"&amp;CHOOSE(MONTH($P20),"JAN","FEV","MAR","ABR","MAI","JUN","JUL","AGO","SET","OUT","NOV","DEZ")&amp;" "&amp;YEAR($P20)&amp;"'!$S$22:$S$150"),"Entregue"),0)+IFERROR(COUNTIFS(INDIRECT("'"&amp;CHOOSE(MONTH($P20),"JAN","FEV","MAR","ABR","MAI","JUN","JUL","AGO","SET","OUT","NOV","DEZ")&amp;" "&amp;YEAR($P20)&amp;"'!$G$22:$G$150"),"C",INDIRECT("'"&amp;CHOOSE(MONTH($P20),"JAN","FEV","MAR","ABR","MAI","JUN","JUL","AGO","SET","OUT","NOV","DEZ")&amp;" "&amp;YEAR($P20)&amp;"'!$S$22:$S$150"),"Pendente"),0)+IFERROR(COUNTIFS(INDIRECT("'"&amp;CHOOSE(MONTH($P20),"JAN","FEV","MAR","ABR","MAI","JUN","JUL","AGO","SET","OUT","NOV","DEZ")&amp;" "&amp;YEAR($P20)&amp;"'!$G$22:$G$150"),"C",INDIRECT("'"&amp;CHOOSE(MONTH($P20),"JAN","FEV","MAR","ABR","MAI","JUN","JUL","AGO","SET","OUT","NOV","DEZ")&amp;" "&amp;YEAR($P20)&amp;"'!$S$22:$S$150"),"Atrasada"),0)+IFERROR(COUNTIFS(INDIRECT("'"&amp;CHOOSE(MONTH($P20),"JAN","FEV","MAR","ABR","MAI","JUN","JUL","AGO","SET","OUT","NOV","DEZ")&amp;" "&amp;YEAR($P20)&amp;"'!$G$22:$G$150"),"C",INDIRECT("'"&amp;CHOOSE(MONTH($P20),"JAN","FEV","MAR","ABR","MAI","JUN","JUL","AGO","SET","OUT","NOV","DEZ")&amp;" "&amp;YEAR($P20)&amp;"'!$S$22:$S$150"),"Reprovada"),0)</f>
        <v>0</v>
      </c>
      <c r="T20" s="45" t="n">
        <f aca="true">IFERROR(COUNTIFS(INDIRECT("'"&amp;CHOOSE(MONTH($P20),"JAN","FEV","MAR","ABR","MAI","JUN","JUL","AGO","SET","OUT","NOV","DEZ")&amp;" "&amp;YEAR($P20)&amp;"'!$G$22:$G$150"),"A",INDIRECT("'"&amp;CHOOSE(MONTH($P20),"JAN","FEV","MAR","ABR","MAI","JUN","JUL","AGO","SET","OUT","NOV","DEZ")&amp;" "&amp;YEAR($P20)&amp;"'!$S$22:$S$150"),"Aprovada"),0)</f>
        <v>0</v>
      </c>
      <c r="U20" s="45" t="n">
        <f aca="true">IFERROR(COUNTIFS(INDIRECT("'"&amp;CHOOSE(MONTH($P20),"JAN","FEV","MAR","ABR","MAI","JUN","JUL","AGO","SET","OUT","NOV","DEZ")&amp;" "&amp;YEAR($P20)&amp;"'!$G$22:$G$150"),"B",INDIRECT("'"&amp;CHOOSE(MONTH($P20),"JAN","FEV","MAR","ABR","MAI","JUN","JUL","AGO","SET","OUT","NOV","DEZ")&amp;" "&amp;YEAR($P20)&amp;"'!$S$22:$S$150"),"Aprovada"),0)</f>
        <v>0</v>
      </c>
      <c r="V20" s="45" t="n">
        <f aca="true">IFERROR(COUNTIFS(INDIRECT("'"&amp;CHOOSE(MONTH($P20),"JAN","FEV","MAR","ABR","MAI","JUN","JUL","AGO","SET","OUT","NOV","DEZ")&amp;" "&amp;YEAR($P20)&amp;"'!$G$22:$G$150"),"C",INDIRECT("'"&amp;CHOOSE(MONTH($P20),"JAN","FEV","MAR","ABR","MAI","JUN","JUL","AGO","SET","OUT","NOV","DEZ")&amp;" "&amp;YEAR($P20)&amp;"'!$S$22:$S$150"),"Aprovada"),0)</f>
        <v>0</v>
      </c>
      <c r="W20" s="45" t="n">
        <f aca="true">IFERROR(COUNTIFS(INDIRECT("'"&amp;CHOOSE(MONTH($P20),"JAN","FEV","MAR","ABR","MAI","JUN","JUL","AGO","SET","OUT","NOV","DEZ")&amp;" "&amp;YEAR($P20)&amp;"'!$G$22:$G$150"),"A",INDIRECT("'"&amp;CHOOSE(MONTH($P20),"JAN","FEV","MAR","ABR","MAI","JUN","JUL","AGO","SET","OUT","NOV","DEZ")&amp;" "&amp;YEAR($P20)&amp;"'!$U$22:$U$150"),"&lt;&gt;"),0)</f>
        <v>0</v>
      </c>
      <c r="X20" s="45" t="n">
        <f aca="true">IFERROR(COUNTIFS(INDIRECT("'"&amp;CHOOSE(MONTH($P20),"JAN","FEV","MAR","ABR","MAI","JUN","JUL","AGO","SET","OUT","NOV","DEZ")&amp;" "&amp;YEAR($P20)&amp;"'!$G$22:$G$150"),"B",INDIRECT("'"&amp;CHOOSE(MONTH($P20),"JAN","FEV","MAR","ABR","MAI","JUN","JUL","AGO","SET","OUT","NOV","DEZ")&amp;" "&amp;YEAR($P20)&amp;"'!$U$22:$U$150"),"&lt;&gt;"),0)</f>
        <v>0</v>
      </c>
      <c r="Y20" s="45" t="n">
        <f aca="true">IFERROR(COUNTIFS(INDIRECT("'"&amp;CHOOSE(MONTH($P20),"JAN","FEV","MAR","ABR","MAI","JUN","JUL","AGO","SET","OUT","NOV","DEZ")&amp;" "&amp;YEAR($P20)&amp;"'!$G$22:$G$150"),"C",INDIRECT("'"&amp;CHOOSE(MONTH($P20),"JAN","FEV","MAR","ABR","MAI","JUN","JUL","AGO","SET","OUT","NOV","DEZ")&amp;" "&amp;YEAR($P20)&amp;"'!$U$22:$U$150"),"&lt;&gt;"),0)</f>
        <v>0</v>
      </c>
    </row>
    <row r="21" customFormat="false" ht="15" hidden="false" customHeight="false" outlineLevel="0" collapsed="false">
      <c r="A21" s="56" t="str">
        <f aca="false">CHOOSE(MONTH($P21),"JAN","FEV","MAR","ABR","MAI","JUN","JUL","AGO","SET","OUT","NOV","DEZ")&amp;"/"&amp;RIGHT(YEAR($P21),2)</f>
        <v>JUN/27</v>
      </c>
      <c r="B21" s="57" t="str">
        <f aca="false">IF($Q21=0,"",$T21/$Q21)</f>
        <v/>
      </c>
      <c r="C21" s="57" t="str">
        <f aca="false">IF($R21=0,"",$U21/$R21)</f>
        <v/>
      </c>
      <c r="D21" s="57" t="str">
        <f aca="false">IF($S21=0,"",$V21/$S21)</f>
        <v/>
      </c>
      <c r="E21" s="57" t="str">
        <f aca="false">IF($Q21=0,"",1-$W21/$Q21)</f>
        <v/>
      </c>
      <c r="F21" s="57" t="str">
        <f aca="false">IF($R21=0,"",1-$X21/$R21)</f>
        <v/>
      </c>
      <c r="G21" s="57" t="str">
        <f aca="false">IF($S21=0,"",1-$Y21/$S21)</f>
        <v/>
      </c>
      <c r="H21" s="58" t="n">
        <f aca="false">SUMIFS(OCORRÊNCIAS!$E$6:$E$605,OCORRÊNCIAS!$B$6:$B$605,"Falta",OCORRÊNCIAS!$C$6:$C$605,"A",OCORRÊNCIAS!$I$6:$I$605,$P21)+SUMIFS(OCORRÊNCIAS!$E$6:$E$605,OCORRÊNCIAS!$B$6:$B$605,"Atestado",OCORRÊNCIAS!$C$6:$C$605,"A",OCORRÊNCIAS!$I$6:$I$605,$P21)</f>
        <v>0</v>
      </c>
      <c r="I21" s="58" t="n">
        <f aca="false">SUMIFS(OCORRÊNCIAS!$E$6:$E$605,OCORRÊNCIAS!$B$6:$B$605,"Falta",OCORRÊNCIAS!$C$6:$C$605,"B",OCORRÊNCIAS!$I$6:$I$605,$P21)+SUMIFS(OCORRÊNCIAS!$E$6:$E$605,OCORRÊNCIAS!$B$6:$B$605,"Atestado",OCORRÊNCIAS!$C$6:$C$605,"B",OCORRÊNCIAS!$I$6:$I$605,$P21)</f>
        <v>0</v>
      </c>
      <c r="J21" s="58" t="n">
        <f aca="false">SUMIFS(OCORRÊNCIAS!$E$6:$E$605,OCORRÊNCIAS!$B$6:$B$605,"Falta",OCORRÊNCIAS!$C$6:$C$605,"C",OCORRÊNCIAS!$I$6:$I$605,$P21)+SUMIFS(OCORRÊNCIAS!$E$6:$E$605,OCORRÊNCIAS!$B$6:$B$605,"Atestado",OCORRÊNCIAS!$C$6:$C$605,"C",OCORRÊNCIAS!$I$6:$I$605,$P21)</f>
        <v>0</v>
      </c>
      <c r="K21" s="59" t="str">
        <f aca="false">IF($Q21=0,"",ROUND($B$7*($T21/$Q21)+$D$7*(1-$W21/$Q21)+$F$7*MAX(0,1-$H21/$H$7),1))</f>
        <v/>
      </c>
      <c r="L21" s="59" t="str">
        <f aca="false">IF($R21=0,"",ROUND($B$7*($U21/$R21)+$D$7*(1-$X21/$R21)+$F$7*MAX(0,1-$I21/$H$7),1))</f>
        <v/>
      </c>
      <c r="M21" s="59" t="str">
        <f aca="false">IF($S21=0,"",ROUND($B$7*($V21/$S21)+$D$7*(1-$Y21/$S21)+$F$7*MAX(0,1-$J21/$H$7),1))</f>
        <v/>
      </c>
      <c r="N21" s="60" t="str">
        <f aca="false">IF(N($K21)+N($L21)+N($M21)=0,"—",CHOOSE(MATCH(MAX(N($K21),N($L21),N($M21)),CHOOSE({1,2,3},N($K21),N($L21),N($M21)),0),"Turno A","Turno B","Turno C"))</f>
        <v>—</v>
      </c>
      <c r="P21" s="55" t="n">
        <f aca="false">EDATE(DATE(2026,7,1),11)</f>
        <v>46539</v>
      </c>
      <c r="Q21" s="45" t="n">
        <f aca="true">IFERROR(COUNTIFS(INDIRECT("'"&amp;CHOOSE(MONTH($P21),"JAN","FEV","MAR","ABR","MAI","JUN","JUL","AGO","SET","OUT","NOV","DEZ")&amp;" "&amp;YEAR($P21)&amp;"'!$G$22:$G$150"),"A",INDIRECT("'"&amp;CHOOSE(MONTH($P21),"JAN","FEV","MAR","ABR","MAI","JUN","JUL","AGO","SET","OUT","NOV","DEZ")&amp;" "&amp;YEAR($P21)&amp;"'!$S$22:$S$150"),"Aprovada"),0)+IFERROR(COUNTIFS(INDIRECT("'"&amp;CHOOSE(MONTH($P21),"JAN","FEV","MAR","ABR","MAI","JUN","JUL","AGO","SET","OUT","NOV","DEZ")&amp;" "&amp;YEAR($P21)&amp;"'!$G$22:$G$150"),"A",INDIRECT("'"&amp;CHOOSE(MONTH($P21),"JAN","FEV","MAR","ABR","MAI","JUN","JUL","AGO","SET","OUT","NOV","DEZ")&amp;" "&amp;YEAR($P21)&amp;"'!$S$22:$S$150"),"Entregue"),0)+IFERROR(COUNTIFS(INDIRECT("'"&amp;CHOOSE(MONTH($P21),"JAN","FEV","MAR","ABR","MAI","JUN","JUL","AGO","SET","OUT","NOV","DEZ")&amp;" "&amp;YEAR($P21)&amp;"'!$G$22:$G$150"),"A",INDIRECT("'"&amp;CHOOSE(MONTH($P21),"JAN","FEV","MAR","ABR","MAI","JUN","JUL","AGO","SET","OUT","NOV","DEZ")&amp;" "&amp;YEAR($P21)&amp;"'!$S$22:$S$150"),"Pendente"),0)+IFERROR(COUNTIFS(INDIRECT("'"&amp;CHOOSE(MONTH($P21),"JAN","FEV","MAR","ABR","MAI","JUN","JUL","AGO","SET","OUT","NOV","DEZ")&amp;" "&amp;YEAR($P21)&amp;"'!$G$22:$G$150"),"A",INDIRECT("'"&amp;CHOOSE(MONTH($P21),"JAN","FEV","MAR","ABR","MAI","JUN","JUL","AGO","SET","OUT","NOV","DEZ")&amp;" "&amp;YEAR($P21)&amp;"'!$S$22:$S$150"),"Atrasada"),0)+IFERROR(COUNTIFS(INDIRECT("'"&amp;CHOOSE(MONTH($P21),"JAN","FEV","MAR","ABR","MAI","JUN","JUL","AGO","SET","OUT","NOV","DEZ")&amp;" "&amp;YEAR($P21)&amp;"'!$G$22:$G$150"),"A",INDIRECT("'"&amp;CHOOSE(MONTH($P21),"JAN","FEV","MAR","ABR","MAI","JUN","JUL","AGO","SET","OUT","NOV","DEZ")&amp;" "&amp;YEAR($P21)&amp;"'!$S$22:$S$150"),"Reprovada"),0)</f>
        <v>0</v>
      </c>
      <c r="R21" s="45" t="n">
        <f aca="true">IFERROR(COUNTIFS(INDIRECT("'"&amp;CHOOSE(MONTH($P21),"JAN","FEV","MAR","ABR","MAI","JUN","JUL","AGO","SET","OUT","NOV","DEZ")&amp;" "&amp;YEAR($P21)&amp;"'!$G$22:$G$150"),"B",INDIRECT("'"&amp;CHOOSE(MONTH($P21),"JAN","FEV","MAR","ABR","MAI","JUN","JUL","AGO","SET","OUT","NOV","DEZ")&amp;" "&amp;YEAR($P21)&amp;"'!$S$22:$S$150"),"Aprovada"),0)+IFERROR(COUNTIFS(INDIRECT("'"&amp;CHOOSE(MONTH($P21),"JAN","FEV","MAR","ABR","MAI","JUN","JUL","AGO","SET","OUT","NOV","DEZ")&amp;" "&amp;YEAR($P21)&amp;"'!$G$22:$G$150"),"B",INDIRECT("'"&amp;CHOOSE(MONTH($P21),"JAN","FEV","MAR","ABR","MAI","JUN","JUL","AGO","SET","OUT","NOV","DEZ")&amp;" "&amp;YEAR($P21)&amp;"'!$S$22:$S$150"),"Entregue"),0)+IFERROR(COUNTIFS(INDIRECT("'"&amp;CHOOSE(MONTH($P21),"JAN","FEV","MAR","ABR","MAI","JUN","JUL","AGO","SET","OUT","NOV","DEZ")&amp;" "&amp;YEAR($P21)&amp;"'!$G$22:$G$150"),"B",INDIRECT("'"&amp;CHOOSE(MONTH($P21),"JAN","FEV","MAR","ABR","MAI","JUN","JUL","AGO","SET","OUT","NOV","DEZ")&amp;" "&amp;YEAR($P21)&amp;"'!$S$22:$S$150"),"Pendente"),0)+IFERROR(COUNTIFS(INDIRECT("'"&amp;CHOOSE(MONTH($P21),"JAN","FEV","MAR","ABR","MAI","JUN","JUL","AGO","SET","OUT","NOV","DEZ")&amp;" "&amp;YEAR($P21)&amp;"'!$G$22:$G$150"),"B",INDIRECT("'"&amp;CHOOSE(MONTH($P21),"JAN","FEV","MAR","ABR","MAI","JUN","JUL","AGO","SET","OUT","NOV","DEZ")&amp;" "&amp;YEAR($P21)&amp;"'!$S$22:$S$150"),"Atrasada"),0)+IFERROR(COUNTIFS(INDIRECT("'"&amp;CHOOSE(MONTH($P21),"JAN","FEV","MAR","ABR","MAI","JUN","JUL","AGO","SET","OUT","NOV","DEZ")&amp;" "&amp;YEAR($P21)&amp;"'!$G$22:$G$150"),"B",INDIRECT("'"&amp;CHOOSE(MONTH($P21),"JAN","FEV","MAR","ABR","MAI","JUN","JUL","AGO","SET","OUT","NOV","DEZ")&amp;" "&amp;YEAR($P21)&amp;"'!$S$22:$S$150"),"Reprovada"),0)</f>
        <v>0</v>
      </c>
      <c r="S21" s="45" t="n">
        <f aca="true">IFERROR(COUNTIFS(INDIRECT("'"&amp;CHOOSE(MONTH($P21),"JAN","FEV","MAR","ABR","MAI","JUN","JUL","AGO","SET","OUT","NOV","DEZ")&amp;" "&amp;YEAR($P21)&amp;"'!$G$22:$G$150"),"C",INDIRECT("'"&amp;CHOOSE(MONTH($P21),"JAN","FEV","MAR","ABR","MAI","JUN","JUL","AGO","SET","OUT","NOV","DEZ")&amp;" "&amp;YEAR($P21)&amp;"'!$S$22:$S$150"),"Aprovada"),0)+IFERROR(COUNTIFS(INDIRECT("'"&amp;CHOOSE(MONTH($P21),"JAN","FEV","MAR","ABR","MAI","JUN","JUL","AGO","SET","OUT","NOV","DEZ")&amp;" "&amp;YEAR($P21)&amp;"'!$G$22:$G$150"),"C",INDIRECT("'"&amp;CHOOSE(MONTH($P21),"JAN","FEV","MAR","ABR","MAI","JUN","JUL","AGO","SET","OUT","NOV","DEZ")&amp;" "&amp;YEAR($P21)&amp;"'!$S$22:$S$150"),"Entregue"),0)+IFERROR(COUNTIFS(INDIRECT("'"&amp;CHOOSE(MONTH($P21),"JAN","FEV","MAR","ABR","MAI","JUN","JUL","AGO","SET","OUT","NOV","DEZ")&amp;" "&amp;YEAR($P21)&amp;"'!$G$22:$G$150"),"C",INDIRECT("'"&amp;CHOOSE(MONTH($P21),"JAN","FEV","MAR","ABR","MAI","JUN","JUL","AGO","SET","OUT","NOV","DEZ")&amp;" "&amp;YEAR($P21)&amp;"'!$S$22:$S$150"),"Pendente"),0)+IFERROR(COUNTIFS(INDIRECT("'"&amp;CHOOSE(MONTH($P21),"JAN","FEV","MAR","ABR","MAI","JUN","JUL","AGO","SET","OUT","NOV","DEZ")&amp;" "&amp;YEAR($P21)&amp;"'!$G$22:$G$150"),"C",INDIRECT("'"&amp;CHOOSE(MONTH($P21),"JAN","FEV","MAR","ABR","MAI","JUN","JUL","AGO","SET","OUT","NOV","DEZ")&amp;" "&amp;YEAR($P21)&amp;"'!$S$22:$S$150"),"Atrasada"),0)+IFERROR(COUNTIFS(INDIRECT("'"&amp;CHOOSE(MONTH($P21),"JAN","FEV","MAR","ABR","MAI","JUN","JUL","AGO","SET","OUT","NOV","DEZ")&amp;" "&amp;YEAR($P21)&amp;"'!$G$22:$G$150"),"C",INDIRECT("'"&amp;CHOOSE(MONTH($P21),"JAN","FEV","MAR","ABR","MAI","JUN","JUL","AGO","SET","OUT","NOV","DEZ")&amp;" "&amp;YEAR($P21)&amp;"'!$S$22:$S$150"),"Reprovada"),0)</f>
        <v>0</v>
      </c>
      <c r="T21" s="45" t="n">
        <f aca="true">IFERROR(COUNTIFS(INDIRECT("'"&amp;CHOOSE(MONTH($P21),"JAN","FEV","MAR","ABR","MAI","JUN","JUL","AGO","SET","OUT","NOV","DEZ")&amp;" "&amp;YEAR($P21)&amp;"'!$G$22:$G$150"),"A",INDIRECT("'"&amp;CHOOSE(MONTH($P21),"JAN","FEV","MAR","ABR","MAI","JUN","JUL","AGO","SET","OUT","NOV","DEZ")&amp;" "&amp;YEAR($P21)&amp;"'!$S$22:$S$150"),"Aprovada"),0)</f>
        <v>0</v>
      </c>
      <c r="U21" s="45" t="n">
        <f aca="true">IFERROR(COUNTIFS(INDIRECT("'"&amp;CHOOSE(MONTH($P21),"JAN","FEV","MAR","ABR","MAI","JUN","JUL","AGO","SET","OUT","NOV","DEZ")&amp;" "&amp;YEAR($P21)&amp;"'!$G$22:$G$150"),"B",INDIRECT("'"&amp;CHOOSE(MONTH($P21),"JAN","FEV","MAR","ABR","MAI","JUN","JUL","AGO","SET","OUT","NOV","DEZ")&amp;" "&amp;YEAR($P21)&amp;"'!$S$22:$S$150"),"Aprovada"),0)</f>
        <v>0</v>
      </c>
      <c r="V21" s="45" t="n">
        <f aca="true">IFERROR(COUNTIFS(INDIRECT("'"&amp;CHOOSE(MONTH($P21),"JAN","FEV","MAR","ABR","MAI","JUN","JUL","AGO","SET","OUT","NOV","DEZ")&amp;" "&amp;YEAR($P21)&amp;"'!$G$22:$G$150"),"C",INDIRECT("'"&amp;CHOOSE(MONTH($P21),"JAN","FEV","MAR","ABR","MAI","JUN","JUL","AGO","SET","OUT","NOV","DEZ")&amp;" "&amp;YEAR($P21)&amp;"'!$S$22:$S$150"),"Aprovada"),0)</f>
        <v>0</v>
      </c>
      <c r="W21" s="45" t="n">
        <f aca="true">IFERROR(COUNTIFS(INDIRECT("'"&amp;CHOOSE(MONTH($P21),"JAN","FEV","MAR","ABR","MAI","JUN","JUL","AGO","SET","OUT","NOV","DEZ")&amp;" "&amp;YEAR($P21)&amp;"'!$G$22:$G$150"),"A",INDIRECT("'"&amp;CHOOSE(MONTH($P21),"JAN","FEV","MAR","ABR","MAI","JUN","JUL","AGO","SET","OUT","NOV","DEZ")&amp;" "&amp;YEAR($P21)&amp;"'!$U$22:$U$150"),"&lt;&gt;"),0)</f>
        <v>0</v>
      </c>
      <c r="X21" s="45" t="n">
        <f aca="true">IFERROR(COUNTIFS(INDIRECT("'"&amp;CHOOSE(MONTH($P21),"JAN","FEV","MAR","ABR","MAI","JUN","JUL","AGO","SET","OUT","NOV","DEZ")&amp;" "&amp;YEAR($P21)&amp;"'!$G$22:$G$150"),"B",INDIRECT("'"&amp;CHOOSE(MONTH($P21),"JAN","FEV","MAR","ABR","MAI","JUN","JUL","AGO","SET","OUT","NOV","DEZ")&amp;" "&amp;YEAR($P21)&amp;"'!$U$22:$U$150"),"&lt;&gt;"),0)</f>
        <v>0</v>
      </c>
      <c r="Y21" s="45" t="n">
        <f aca="true">IFERROR(COUNTIFS(INDIRECT("'"&amp;CHOOSE(MONTH($P21),"JAN","FEV","MAR","ABR","MAI","JUN","JUL","AGO","SET","OUT","NOV","DEZ")&amp;" "&amp;YEAR($P21)&amp;"'!$G$22:$G$150"),"C",INDIRECT("'"&amp;CHOOSE(MONTH($P21),"JAN","FEV","MAR","ABR","MAI","JUN","JUL","AGO","SET","OUT","NOV","DEZ")&amp;" "&amp;YEAR($P21)&amp;"'!$U$22:$U$150"),"&lt;&gt;"),0)</f>
        <v>0</v>
      </c>
    </row>
    <row r="22" customFormat="false" ht="15" hidden="false" customHeight="false" outlineLevel="0" collapsed="false">
      <c r="A22" s="9" t="str">
        <f aca="false">CHOOSE(MONTH($P22),"JAN","FEV","MAR","ABR","MAI","JUN","JUL","AGO","SET","OUT","NOV","DEZ")&amp;"/"&amp;RIGHT(YEAR($P22),2)</f>
        <v>JUL/27</v>
      </c>
      <c r="B22" s="53" t="str">
        <f aca="false">IF($Q22=0,"",$T22/$Q22)</f>
        <v/>
      </c>
      <c r="C22" s="53" t="str">
        <f aca="false">IF($R22=0,"",$U22/$R22)</f>
        <v/>
      </c>
      <c r="D22" s="53" t="str">
        <f aca="false">IF($S22=0,"",$V22/$S22)</f>
        <v/>
      </c>
      <c r="E22" s="53" t="str">
        <f aca="false">IF($Q22=0,"",1-$W22/$Q22)</f>
        <v/>
      </c>
      <c r="F22" s="53" t="str">
        <f aca="false">IF($R22=0,"",1-$X22/$R22)</f>
        <v/>
      </c>
      <c r="G22" s="53" t="str">
        <f aca="false">IF($S22=0,"",1-$Y22/$S22)</f>
        <v/>
      </c>
      <c r="H22" s="31" t="n">
        <f aca="false">SUMIFS(OCORRÊNCIAS!$E$6:$E$605,OCORRÊNCIAS!$B$6:$B$605,"Falta",OCORRÊNCIAS!$C$6:$C$605,"A",OCORRÊNCIAS!$I$6:$I$605,$P22)+SUMIFS(OCORRÊNCIAS!$E$6:$E$605,OCORRÊNCIAS!$B$6:$B$605,"Atestado",OCORRÊNCIAS!$C$6:$C$605,"A",OCORRÊNCIAS!$I$6:$I$605,$P22)</f>
        <v>0</v>
      </c>
      <c r="I22" s="31" t="n">
        <f aca="false">SUMIFS(OCORRÊNCIAS!$E$6:$E$605,OCORRÊNCIAS!$B$6:$B$605,"Falta",OCORRÊNCIAS!$C$6:$C$605,"B",OCORRÊNCIAS!$I$6:$I$605,$P22)+SUMIFS(OCORRÊNCIAS!$E$6:$E$605,OCORRÊNCIAS!$B$6:$B$605,"Atestado",OCORRÊNCIAS!$C$6:$C$605,"B",OCORRÊNCIAS!$I$6:$I$605,$P22)</f>
        <v>0</v>
      </c>
      <c r="J22" s="31" t="n">
        <f aca="false">SUMIFS(OCORRÊNCIAS!$E$6:$E$605,OCORRÊNCIAS!$B$6:$B$605,"Falta",OCORRÊNCIAS!$C$6:$C$605,"C",OCORRÊNCIAS!$I$6:$I$605,$P22)+SUMIFS(OCORRÊNCIAS!$E$6:$E$605,OCORRÊNCIAS!$B$6:$B$605,"Atestado",OCORRÊNCIAS!$C$6:$C$605,"C",OCORRÊNCIAS!$I$6:$I$605,$P22)</f>
        <v>0</v>
      </c>
      <c r="K22" s="54" t="str">
        <f aca="false">IF($Q22=0,"",ROUND($B$7*($T22/$Q22)+$D$7*(1-$W22/$Q22)+$F$7*MAX(0,1-$H22/$H$7),1))</f>
        <v/>
      </c>
      <c r="L22" s="54" t="str">
        <f aca="false">IF($R22=0,"",ROUND($B$7*($U22/$R22)+$D$7*(1-$X22/$R22)+$F$7*MAX(0,1-$I22/$H$7),1))</f>
        <v/>
      </c>
      <c r="M22" s="54" t="str">
        <f aca="false">IF($S22=0,"",ROUND($B$7*($V22/$S22)+$D$7*(1-$Y22/$S22)+$F$7*MAX(0,1-$J22/$H$7),1))</f>
        <v/>
      </c>
      <c r="N22" s="31" t="str">
        <f aca="false">IF(N($K22)+N($L22)+N($M22)=0,"—",CHOOSE(MATCH(MAX(N($K22),N($L22),N($M22)),CHOOSE({1,2,3},N($K22),N($L22),N($M22)),0),"Turno A","Turno B","Turno C"))</f>
        <v>—</v>
      </c>
      <c r="P22" s="55" t="n">
        <f aca="false">EDATE(DATE(2026,7,1),12)</f>
        <v>46569</v>
      </c>
      <c r="Q22" s="45" t="n">
        <f aca="true">IFERROR(COUNTIFS(INDIRECT("'"&amp;CHOOSE(MONTH($P22),"JAN","FEV","MAR","ABR","MAI","JUN","JUL","AGO","SET","OUT","NOV","DEZ")&amp;" "&amp;YEAR($P22)&amp;"'!$G$22:$G$150"),"A",INDIRECT("'"&amp;CHOOSE(MONTH($P22),"JAN","FEV","MAR","ABR","MAI","JUN","JUL","AGO","SET","OUT","NOV","DEZ")&amp;" "&amp;YEAR($P22)&amp;"'!$S$22:$S$150"),"Aprovada"),0)+IFERROR(COUNTIFS(INDIRECT("'"&amp;CHOOSE(MONTH($P22),"JAN","FEV","MAR","ABR","MAI","JUN","JUL","AGO","SET","OUT","NOV","DEZ")&amp;" "&amp;YEAR($P22)&amp;"'!$G$22:$G$150"),"A",INDIRECT("'"&amp;CHOOSE(MONTH($P22),"JAN","FEV","MAR","ABR","MAI","JUN","JUL","AGO","SET","OUT","NOV","DEZ")&amp;" "&amp;YEAR($P22)&amp;"'!$S$22:$S$150"),"Entregue"),0)+IFERROR(COUNTIFS(INDIRECT("'"&amp;CHOOSE(MONTH($P22),"JAN","FEV","MAR","ABR","MAI","JUN","JUL","AGO","SET","OUT","NOV","DEZ")&amp;" "&amp;YEAR($P22)&amp;"'!$G$22:$G$150"),"A",INDIRECT("'"&amp;CHOOSE(MONTH($P22),"JAN","FEV","MAR","ABR","MAI","JUN","JUL","AGO","SET","OUT","NOV","DEZ")&amp;" "&amp;YEAR($P22)&amp;"'!$S$22:$S$150"),"Pendente"),0)+IFERROR(COUNTIFS(INDIRECT("'"&amp;CHOOSE(MONTH($P22),"JAN","FEV","MAR","ABR","MAI","JUN","JUL","AGO","SET","OUT","NOV","DEZ")&amp;" "&amp;YEAR($P22)&amp;"'!$G$22:$G$150"),"A",INDIRECT("'"&amp;CHOOSE(MONTH($P22),"JAN","FEV","MAR","ABR","MAI","JUN","JUL","AGO","SET","OUT","NOV","DEZ")&amp;" "&amp;YEAR($P22)&amp;"'!$S$22:$S$150"),"Atrasada"),0)+IFERROR(COUNTIFS(INDIRECT("'"&amp;CHOOSE(MONTH($P22),"JAN","FEV","MAR","ABR","MAI","JUN","JUL","AGO","SET","OUT","NOV","DEZ")&amp;" "&amp;YEAR($P22)&amp;"'!$G$22:$G$150"),"A",INDIRECT("'"&amp;CHOOSE(MONTH($P22),"JAN","FEV","MAR","ABR","MAI","JUN","JUL","AGO","SET","OUT","NOV","DEZ")&amp;" "&amp;YEAR($P22)&amp;"'!$S$22:$S$150"),"Reprovada"),0)</f>
        <v>0</v>
      </c>
      <c r="R22" s="45" t="n">
        <f aca="true">IFERROR(COUNTIFS(INDIRECT("'"&amp;CHOOSE(MONTH($P22),"JAN","FEV","MAR","ABR","MAI","JUN","JUL","AGO","SET","OUT","NOV","DEZ")&amp;" "&amp;YEAR($P22)&amp;"'!$G$22:$G$150"),"B",INDIRECT("'"&amp;CHOOSE(MONTH($P22),"JAN","FEV","MAR","ABR","MAI","JUN","JUL","AGO","SET","OUT","NOV","DEZ")&amp;" "&amp;YEAR($P22)&amp;"'!$S$22:$S$150"),"Aprovada"),0)+IFERROR(COUNTIFS(INDIRECT("'"&amp;CHOOSE(MONTH($P22),"JAN","FEV","MAR","ABR","MAI","JUN","JUL","AGO","SET","OUT","NOV","DEZ")&amp;" "&amp;YEAR($P22)&amp;"'!$G$22:$G$150"),"B",INDIRECT("'"&amp;CHOOSE(MONTH($P22),"JAN","FEV","MAR","ABR","MAI","JUN","JUL","AGO","SET","OUT","NOV","DEZ")&amp;" "&amp;YEAR($P22)&amp;"'!$S$22:$S$150"),"Entregue"),0)+IFERROR(COUNTIFS(INDIRECT("'"&amp;CHOOSE(MONTH($P22),"JAN","FEV","MAR","ABR","MAI","JUN","JUL","AGO","SET","OUT","NOV","DEZ")&amp;" "&amp;YEAR($P22)&amp;"'!$G$22:$G$150"),"B",INDIRECT("'"&amp;CHOOSE(MONTH($P22),"JAN","FEV","MAR","ABR","MAI","JUN","JUL","AGO","SET","OUT","NOV","DEZ")&amp;" "&amp;YEAR($P22)&amp;"'!$S$22:$S$150"),"Pendente"),0)+IFERROR(COUNTIFS(INDIRECT("'"&amp;CHOOSE(MONTH($P22),"JAN","FEV","MAR","ABR","MAI","JUN","JUL","AGO","SET","OUT","NOV","DEZ")&amp;" "&amp;YEAR($P22)&amp;"'!$G$22:$G$150"),"B",INDIRECT("'"&amp;CHOOSE(MONTH($P22),"JAN","FEV","MAR","ABR","MAI","JUN","JUL","AGO","SET","OUT","NOV","DEZ")&amp;" "&amp;YEAR($P22)&amp;"'!$S$22:$S$150"),"Atrasada"),0)+IFERROR(COUNTIFS(INDIRECT("'"&amp;CHOOSE(MONTH($P22),"JAN","FEV","MAR","ABR","MAI","JUN","JUL","AGO","SET","OUT","NOV","DEZ")&amp;" "&amp;YEAR($P22)&amp;"'!$G$22:$G$150"),"B",INDIRECT("'"&amp;CHOOSE(MONTH($P22),"JAN","FEV","MAR","ABR","MAI","JUN","JUL","AGO","SET","OUT","NOV","DEZ")&amp;" "&amp;YEAR($P22)&amp;"'!$S$22:$S$150"),"Reprovada"),0)</f>
        <v>0</v>
      </c>
      <c r="S22" s="45" t="n">
        <f aca="true">IFERROR(COUNTIFS(INDIRECT("'"&amp;CHOOSE(MONTH($P22),"JAN","FEV","MAR","ABR","MAI","JUN","JUL","AGO","SET","OUT","NOV","DEZ")&amp;" "&amp;YEAR($P22)&amp;"'!$G$22:$G$150"),"C",INDIRECT("'"&amp;CHOOSE(MONTH($P22),"JAN","FEV","MAR","ABR","MAI","JUN","JUL","AGO","SET","OUT","NOV","DEZ")&amp;" "&amp;YEAR($P22)&amp;"'!$S$22:$S$150"),"Aprovada"),0)+IFERROR(COUNTIFS(INDIRECT("'"&amp;CHOOSE(MONTH($P22),"JAN","FEV","MAR","ABR","MAI","JUN","JUL","AGO","SET","OUT","NOV","DEZ")&amp;" "&amp;YEAR($P22)&amp;"'!$G$22:$G$150"),"C",INDIRECT("'"&amp;CHOOSE(MONTH($P22),"JAN","FEV","MAR","ABR","MAI","JUN","JUL","AGO","SET","OUT","NOV","DEZ")&amp;" "&amp;YEAR($P22)&amp;"'!$S$22:$S$150"),"Entregue"),0)+IFERROR(COUNTIFS(INDIRECT("'"&amp;CHOOSE(MONTH($P22),"JAN","FEV","MAR","ABR","MAI","JUN","JUL","AGO","SET","OUT","NOV","DEZ")&amp;" "&amp;YEAR($P22)&amp;"'!$G$22:$G$150"),"C",INDIRECT("'"&amp;CHOOSE(MONTH($P22),"JAN","FEV","MAR","ABR","MAI","JUN","JUL","AGO","SET","OUT","NOV","DEZ")&amp;" "&amp;YEAR($P22)&amp;"'!$S$22:$S$150"),"Pendente"),0)+IFERROR(COUNTIFS(INDIRECT("'"&amp;CHOOSE(MONTH($P22),"JAN","FEV","MAR","ABR","MAI","JUN","JUL","AGO","SET","OUT","NOV","DEZ")&amp;" "&amp;YEAR($P22)&amp;"'!$G$22:$G$150"),"C",INDIRECT("'"&amp;CHOOSE(MONTH($P22),"JAN","FEV","MAR","ABR","MAI","JUN","JUL","AGO","SET","OUT","NOV","DEZ")&amp;" "&amp;YEAR($P22)&amp;"'!$S$22:$S$150"),"Atrasada"),0)+IFERROR(COUNTIFS(INDIRECT("'"&amp;CHOOSE(MONTH($P22),"JAN","FEV","MAR","ABR","MAI","JUN","JUL","AGO","SET","OUT","NOV","DEZ")&amp;" "&amp;YEAR($P22)&amp;"'!$G$22:$G$150"),"C",INDIRECT("'"&amp;CHOOSE(MONTH($P22),"JAN","FEV","MAR","ABR","MAI","JUN","JUL","AGO","SET","OUT","NOV","DEZ")&amp;" "&amp;YEAR($P22)&amp;"'!$S$22:$S$150"),"Reprovada"),0)</f>
        <v>0</v>
      </c>
      <c r="T22" s="45" t="n">
        <f aca="true">IFERROR(COUNTIFS(INDIRECT("'"&amp;CHOOSE(MONTH($P22),"JAN","FEV","MAR","ABR","MAI","JUN","JUL","AGO","SET","OUT","NOV","DEZ")&amp;" "&amp;YEAR($P22)&amp;"'!$G$22:$G$150"),"A",INDIRECT("'"&amp;CHOOSE(MONTH($P22),"JAN","FEV","MAR","ABR","MAI","JUN","JUL","AGO","SET","OUT","NOV","DEZ")&amp;" "&amp;YEAR($P22)&amp;"'!$S$22:$S$150"),"Aprovada"),0)</f>
        <v>0</v>
      </c>
      <c r="U22" s="45" t="n">
        <f aca="true">IFERROR(COUNTIFS(INDIRECT("'"&amp;CHOOSE(MONTH($P22),"JAN","FEV","MAR","ABR","MAI","JUN","JUL","AGO","SET","OUT","NOV","DEZ")&amp;" "&amp;YEAR($P22)&amp;"'!$G$22:$G$150"),"B",INDIRECT("'"&amp;CHOOSE(MONTH($P22),"JAN","FEV","MAR","ABR","MAI","JUN","JUL","AGO","SET","OUT","NOV","DEZ")&amp;" "&amp;YEAR($P22)&amp;"'!$S$22:$S$150"),"Aprovada"),0)</f>
        <v>0</v>
      </c>
      <c r="V22" s="45" t="n">
        <f aca="true">IFERROR(COUNTIFS(INDIRECT("'"&amp;CHOOSE(MONTH($P22),"JAN","FEV","MAR","ABR","MAI","JUN","JUL","AGO","SET","OUT","NOV","DEZ")&amp;" "&amp;YEAR($P22)&amp;"'!$G$22:$G$150"),"C",INDIRECT("'"&amp;CHOOSE(MONTH($P22),"JAN","FEV","MAR","ABR","MAI","JUN","JUL","AGO","SET","OUT","NOV","DEZ")&amp;" "&amp;YEAR($P22)&amp;"'!$S$22:$S$150"),"Aprovada"),0)</f>
        <v>0</v>
      </c>
      <c r="W22" s="45" t="n">
        <f aca="true">IFERROR(COUNTIFS(INDIRECT("'"&amp;CHOOSE(MONTH($P22),"JAN","FEV","MAR","ABR","MAI","JUN","JUL","AGO","SET","OUT","NOV","DEZ")&amp;" "&amp;YEAR($P22)&amp;"'!$G$22:$G$150"),"A",INDIRECT("'"&amp;CHOOSE(MONTH($P22),"JAN","FEV","MAR","ABR","MAI","JUN","JUL","AGO","SET","OUT","NOV","DEZ")&amp;" "&amp;YEAR($P22)&amp;"'!$U$22:$U$150"),"&lt;&gt;"),0)</f>
        <v>0</v>
      </c>
      <c r="X22" s="45" t="n">
        <f aca="true">IFERROR(COUNTIFS(INDIRECT("'"&amp;CHOOSE(MONTH($P22),"JAN","FEV","MAR","ABR","MAI","JUN","JUL","AGO","SET","OUT","NOV","DEZ")&amp;" "&amp;YEAR($P22)&amp;"'!$G$22:$G$150"),"B",INDIRECT("'"&amp;CHOOSE(MONTH($P22),"JAN","FEV","MAR","ABR","MAI","JUN","JUL","AGO","SET","OUT","NOV","DEZ")&amp;" "&amp;YEAR($P22)&amp;"'!$U$22:$U$150"),"&lt;&gt;"),0)</f>
        <v>0</v>
      </c>
      <c r="Y22" s="45" t="n">
        <f aca="true">IFERROR(COUNTIFS(INDIRECT("'"&amp;CHOOSE(MONTH($P22),"JAN","FEV","MAR","ABR","MAI","JUN","JUL","AGO","SET","OUT","NOV","DEZ")&amp;" "&amp;YEAR($P22)&amp;"'!$G$22:$G$150"),"C",INDIRECT("'"&amp;CHOOSE(MONTH($P22),"JAN","FEV","MAR","ABR","MAI","JUN","JUL","AGO","SET","OUT","NOV","DEZ")&amp;" "&amp;YEAR($P22)&amp;"'!$U$22:$U$150"),"&lt;&gt;"),0)</f>
        <v>0</v>
      </c>
    </row>
    <row r="23" customFormat="false" ht="15" hidden="false" customHeight="false" outlineLevel="0" collapsed="false">
      <c r="A23" s="56" t="str">
        <f aca="false">CHOOSE(MONTH($P23),"JAN","FEV","MAR","ABR","MAI","JUN","JUL","AGO","SET","OUT","NOV","DEZ")&amp;"/"&amp;RIGHT(YEAR($P23),2)</f>
        <v>AGO/27</v>
      </c>
      <c r="B23" s="57" t="str">
        <f aca="false">IF($Q23=0,"",$T23/$Q23)</f>
        <v/>
      </c>
      <c r="C23" s="57" t="str">
        <f aca="false">IF($R23=0,"",$U23/$R23)</f>
        <v/>
      </c>
      <c r="D23" s="57" t="str">
        <f aca="false">IF($S23=0,"",$V23/$S23)</f>
        <v/>
      </c>
      <c r="E23" s="57" t="str">
        <f aca="false">IF($Q23=0,"",1-$W23/$Q23)</f>
        <v/>
      </c>
      <c r="F23" s="57" t="str">
        <f aca="false">IF($R23=0,"",1-$X23/$R23)</f>
        <v/>
      </c>
      <c r="G23" s="57" t="str">
        <f aca="false">IF($S23=0,"",1-$Y23/$S23)</f>
        <v/>
      </c>
      <c r="H23" s="58" t="n">
        <f aca="false">SUMIFS(OCORRÊNCIAS!$E$6:$E$605,OCORRÊNCIAS!$B$6:$B$605,"Falta",OCORRÊNCIAS!$C$6:$C$605,"A",OCORRÊNCIAS!$I$6:$I$605,$P23)+SUMIFS(OCORRÊNCIAS!$E$6:$E$605,OCORRÊNCIAS!$B$6:$B$605,"Atestado",OCORRÊNCIAS!$C$6:$C$605,"A",OCORRÊNCIAS!$I$6:$I$605,$P23)</f>
        <v>0</v>
      </c>
      <c r="I23" s="58" t="n">
        <f aca="false">SUMIFS(OCORRÊNCIAS!$E$6:$E$605,OCORRÊNCIAS!$B$6:$B$605,"Falta",OCORRÊNCIAS!$C$6:$C$605,"B",OCORRÊNCIAS!$I$6:$I$605,$P23)+SUMIFS(OCORRÊNCIAS!$E$6:$E$605,OCORRÊNCIAS!$B$6:$B$605,"Atestado",OCORRÊNCIAS!$C$6:$C$605,"B",OCORRÊNCIAS!$I$6:$I$605,$P23)</f>
        <v>0</v>
      </c>
      <c r="J23" s="58" t="n">
        <f aca="false">SUMIFS(OCORRÊNCIAS!$E$6:$E$605,OCORRÊNCIAS!$B$6:$B$605,"Falta",OCORRÊNCIAS!$C$6:$C$605,"C",OCORRÊNCIAS!$I$6:$I$605,$P23)+SUMIFS(OCORRÊNCIAS!$E$6:$E$605,OCORRÊNCIAS!$B$6:$B$605,"Atestado",OCORRÊNCIAS!$C$6:$C$605,"C",OCORRÊNCIAS!$I$6:$I$605,$P23)</f>
        <v>0</v>
      </c>
      <c r="K23" s="59" t="str">
        <f aca="false">IF($Q23=0,"",ROUND($B$7*($T23/$Q23)+$D$7*(1-$W23/$Q23)+$F$7*MAX(0,1-$H23/$H$7),1))</f>
        <v/>
      </c>
      <c r="L23" s="59" t="str">
        <f aca="false">IF($R23=0,"",ROUND($B$7*($U23/$R23)+$D$7*(1-$X23/$R23)+$F$7*MAX(0,1-$I23/$H$7),1))</f>
        <v/>
      </c>
      <c r="M23" s="59" t="str">
        <f aca="false">IF($S23=0,"",ROUND($B$7*($V23/$S23)+$D$7*(1-$Y23/$S23)+$F$7*MAX(0,1-$J23/$H$7),1))</f>
        <v/>
      </c>
      <c r="N23" s="60" t="str">
        <f aca="false">IF(N($K23)+N($L23)+N($M23)=0,"—",CHOOSE(MATCH(MAX(N($K23),N($L23),N($M23)),CHOOSE({1,2,3},N($K23),N($L23),N($M23)),0),"Turno A","Turno B","Turno C"))</f>
        <v>—</v>
      </c>
      <c r="P23" s="55" t="n">
        <f aca="false">EDATE(DATE(2026,7,1),13)</f>
        <v>46600</v>
      </c>
      <c r="Q23" s="45" t="n">
        <f aca="true">IFERROR(COUNTIFS(INDIRECT("'"&amp;CHOOSE(MONTH($P23),"JAN","FEV","MAR","ABR","MAI","JUN","JUL","AGO","SET","OUT","NOV","DEZ")&amp;" "&amp;YEAR($P23)&amp;"'!$G$22:$G$150"),"A",INDIRECT("'"&amp;CHOOSE(MONTH($P23),"JAN","FEV","MAR","ABR","MAI","JUN","JUL","AGO","SET","OUT","NOV","DEZ")&amp;" "&amp;YEAR($P23)&amp;"'!$S$22:$S$150"),"Aprovada"),0)+IFERROR(COUNTIFS(INDIRECT("'"&amp;CHOOSE(MONTH($P23),"JAN","FEV","MAR","ABR","MAI","JUN","JUL","AGO","SET","OUT","NOV","DEZ")&amp;" "&amp;YEAR($P23)&amp;"'!$G$22:$G$150"),"A",INDIRECT("'"&amp;CHOOSE(MONTH($P23),"JAN","FEV","MAR","ABR","MAI","JUN","JUL","AGO","SET","OUT","NOV","DEZ")&amp;" "&amp;YEAR($P23)&amp;"'!$S$22:$S$150"),"Entregue"),0)+IFERROR(COUNTIFS(INDIRECT("'"&amp;CHOOSE(MONTH($P23),"JAN","FEV","MAR","ABR","MAI","JUN","JUL","AGO","SET","OUT","NOV","DEZ")&amp;" "&amp;YEAR($P23)&amp;"'!$G$22:$G$150"),"A",INDIRECT("'"&amp;CHOOSE(MONTH($P23),"JAN","FEV","MAR","ABR","MAI","JUN","JUL","AGO","SET","OUT","NOV","DEZ")&amp;" "&amp;YEAR($P23)&amp;"'!$S$22:$S$150"),"Pendente"),0)+IFERROR(COUNTIFS(INDIRECT("'"&amp;CHOOSE(MONTH($P23),"JAN","FEV","MAR","ABR","MAI","JUN","JUL","AGO","SET","OUT","NOV","DEZ")&amp;" "&amp;YEAR($P23)&amp;"'!$G$22:$G$150"),"A",INDIRECT("'"&amp;CHOOSE(MONTH($P23),"JAN","FEV","MAR","ABR","MAI","JUN","JUL","AGO","SET","OUT","NOV","DEZ")&amp;" "&amp;YEAR($P23)&amp;"'!$S$22:$S$150"),"Atrasada"),0)+IFERROR(COUNTIFS(INDIRECT("'"&amp;CHOOSE(MONTH($P23),"JAN","FEV","MAR","ABR","MAI","JUN","JUL","AGO","SET","OUT","NOV","DEZ")&amp;" "&amp;YEAR($P23)&amp;"'!$G$22:$G$150"),"A",INDIRECT("'"&amp;CHOOSE(MONTH($P23),"JAN","FEV","MAR","ABR","MAI","JUN","JUL","AGO","SET","OUT","NOV","DEZ")&amp;" "&amp;YEAR($P23)&amp;"'!$S$22:$S$150"),"Reprovada"),0)</f>
        <v>0</v>
      </c>
      <c r="R23" s="45" t="n">
        <f aca="true">IFERROR(COUNTIFS(INDIRECT("'"&amp;CHOOSE(MONTH($P23),"JAN","FEV","MAR","ABR","MAI","JUN","JUL","AGO","SET","OUT","NOV","DEZ")&amp;" "&amp;YEAR($P23)&amp;"'!$G$22:$G$150"),"B",INDIRECT("'"&amp;CHOOSE(MONTH($P23),"JAN","FEV","MAR","ABR","MAI","JUN","JUL","AGO","SET","OUT","NOV","DEZ")&amp;" "&amp;YEAR($P23)&amp;"'!$S$22:$S$150"),"Aprovada"),0)+IFERROR(COUNTIFS(INDIRECT("'"&amp;CHOOSE(MONTH($P23),"JAN","FEV","MAR","ABR","MAI","JUN","JUL","AGO","SET","OUT","NOV","DEZ")&amp;" "&amp;YEAR($P23)&amp;"'!$G$22:$G$150"),"B",INDIRECT("'"&amp;CHOOSE(MONTH($P23),"JAN","FEV","MAR","ABR","MAI","JUN","JUL","AGO","SET","OUT","NOV","DEZ")&amp;" "&amp;YEAR($P23)&amp;"'!$S$22:$S$150"),"Entregue"),0)+IFERROR(COUNTIFS(INDIRECT("'"&amp;CHOOSE(MONTH($P23),"JAN","FEV","MAR","ABR","MAI","JUN","JUL","AGO","SET","OUT","NOV","DEZ")&amp;" "&amp;YEAR($P23)&amp;"'!$G$22:$G$150"),"B",INDIRECT("'"&amp;CHOOSE(MONTH($P23),"JAN","FEV","MAR","ABR","MAI","JUN","JUL","AGO","SET","OUT","NOV","DEZ")&amp;" "&amp;YEAR($P23)&amp;"'!$S$22:$S$150"),"Pendente"),0)+IFERROR(COUNTIFS(INDIRECT("'"&amp;CHOOSE(MONTH($P23),"JAN","FEV","MAR","ABR","MAI","JUN","JUL","AGO","SET","OUT","NOV","DEZ")&amp;" "&amp;YEAR($P23)&amp;"'!$G$22:$G$150"),"B",INDIRECT("'"&amp;CHOOSE(MONTH($P23),"JAN","FEV","MAR","ABR","MAI","JUN","JUL","AGO","SET","OUT","NOV","DEZ")&amp;" "&amp;YEAR($P23)&amp;"'!$S$22:$S$150"),"Atrasada"),0)+IFERROR(COUNTIFS(INDIRECT("'"&amp;CHOOSE(MONTH($P23),"JAN","FEV","MAR","ABR","MAI","JUN","JUL","AGO","SET","OUT","NOV","DEZ")&amp;" "&amp;YEAR($P23)&amp;"'!$G$22:$G$150"),"B",INDIRECT("'"&amp;CHOOSE(MONTH($P23),"JAN","FEV","MAR","ABR","MAI","JUN","JUL","AGO","SET","OUT","NOV","DEZ")&amp;" "&amp;YEAR($P23)&amp;"'!$S$22:$S$150"),"Reprovada"),0)</f>
        <v>0</v>
      </c>
      <c r="S23" s="45" t="n">
        <f aca="true">IFERROR(COUNTIFS(INDIRECT("'"&amp;CHOOSE(MONTH($P23),"JAN","FEV","MAR","ABR","MAI","JUN","JUL","AGO","SET","OUT","NOV","DEZ")&amp;" "&amp;YEAR($P23)&amp;"'!$G$22:$G$150"),"C",INDIRECT("'"&amp;CHOOSE(MONTH($P23),"JAN","FEV","MAR","ABR","MAI","JUN","JUL","AGO","SET","OUT","NOV","DEZ")&amp;" "&amp;YEAR($P23)&amp;"'!$S$22:$S$150"),"Aprovada"),0)+IFERROR(COUNTIFS(INDIRECT("'"&amp;CHOOSE(MONTH($P23),"JAN","FEV","MAR","ABR","MAI","JUN","JUL","AGO","SET","OUT","NOV","DEZ")&amp;" "&amp;YEAR($P23)&amp;"'!$G$22:$G$150"),"C",INDIRECT("'"&amp;CHOOSE(MONTH($P23),"JAN","FEV","MAR","ABR","MAI","JUN","JUL","AGO","SET","OUT","NOV","DEZ")&amp;" "&amp;YEAR($P23)&amp;"'!$S$22:$S$150"),"Entregue"),0)+IFERROR(COUNTIFS(INDIRECT("'"&amp;CHOOSE(MONTH($P23),"JAN","FEV","MAR","ABR","MAI","JUN","JUL","AGO","SET","OUT","NOV","DEZ")&amp;" "&amp;YEAR($P23)&amp;"'!$G$22:$G$150"),"C",INDIRECT("'"&amp;CHOOSE(MONTH($P23),"JAN","FEV","MAR","ABR","MAI","JUN","JUL","AGO","SET","OUT","NOV","DEZ")&amp;" "&amp;YEAR($P23)&amp;"'!$S$22:$S$150"),"Pendente"),0)+IFERROR(COUNTIFS(INDIRECT("'"&amp;CHOOSE(MONTH($P23),"JAN","FEV","MAR","ABR","MAI","JUN","JUL","AGO","SET","OUT","NOV","DEZ")&amp;" "&amp;YEAR($P23)&amp;"'!$G$22:$G$150"),"C",INDIRECT("'"&amp;CHOOSE(MONTH($P23),"JAN","FEV","MAR","ABR","MAI","JUN","JUL","AGO","SET","OUT","NOV","DEZ")&amp;" "&amp;YEAR($P23)&amp;"'!$S$22:$S$150"),"Atrasada"),0)+IFERROR(COUNTIFS(INDIRECT("'"&amp;CHOOSE(MONTH($P23),"JAN","FEV","MAR","ABR","MAI","JUN","JUL","AGO","SET","OUT","NOV","DEZ")&amp;" "&amp;YEAR($P23)&amp;"'!$G$22:$G$150"),"C",INDIRECT("'"&amp;CHOOSE(MONTH($P23),"JAN","FEV","MAR","ABR","MAI","JUN","JUL","AGO","SET","OUT","NOV","DEZ")&amp;" "&amp;YEAR($P23)&amp;"'!$S$22:$S$150"),"Reprovada"),0)</f>
        <v>0</v>
      </c>
      <c r="T23" s="45" t="n">
        <f aca="true">IFERROR(COUNTIFS(INDIRECT("'"&amp;CHOOSE(MONTH($P23),"JAN","FEV","MAR","ABR","MAI","JUN","JUL","AGO","SET","OUT","NOV","DEZ")&amp;" "&amp;YEAR($P23)&amp;"'!$G$22:$G$150"),"A",INDIRECT("'"&amp;CHOOSE(MONTH($P23),"JAN","FEV","MAR","ABR","MAI","JUN","JUL","AGO","SET","OUT","NOV","DEZ")&amp;" "&amp;YEAR($P23)&amp;"'!$S$22:$S$150"),"Aprovada"),0)</f>
        <v>0</v>
      </c>
      <c r="U23" s="45" t="n">
        <f aca="true">IFERROR(COUNTIFS(INDIRECT("'"&amp;CHOOSE(MONTH($P23),"JAN","FEV","MAR","ABR","MAI","JUN","JUL","AGO","SET","OUT","NOV","DEZ")&amp;" "&amp;YEAR($P23)&amp;"'!$G$22:$G$150"),"B",INDIRECT("'"&amp;CHOOSE(MONTH($P23),"JAN","FEV","MAR","ABR","MAI","JUN","JUL","AGO","SET","OUT","NOV","DEZ")&amp;" "&amp;YEAR($P23)&amp;"'!$S$22:$S$150"),"Aprovada"),0)</f>
        <v>0</v>
      </c>
      <c r="V23" s="45" t="n">
        <f aca="true">IFERROR(COUNTIFS(INDIRECT("'"&amp;CHOOSE(MONTH($P23),"JAN","FEV","MAR","ABR","MAI","JUN","JUL","AGO","SET","OUT","NOV","DEZ")&amp;" "&amp;YEAR($P23)&amp;"'!$G$22:$G$150"),"C",INDIRECT("'"&amp;CHOOSE(MONTH($P23),"JAN","FEV","MAR","ABR","MAI","JUN","JUL","AGO","SET","OUT","NOV","DEZ")&amp;" "&amp;YEAR($P23)&amp;"'!$S$22:$S$150"),"Aprovada"),0)</f>
        <v>0</v>
      </c>
      <c r="W23" s="45" t="n">
        <f aca="true">IFERROR(COUNTIFS(INDIRECT("'"&amp;CHOOSE(MONTH($P23),"JAN","FEV","MAR","ABR","MAI","JUN","JUL","AGO","SET","OUT","NOV","DEZ")&amp;" "&amp;YEAR($P23)&amp;"'!$G$22:$G$150"),"A",INDIRECT("'"&amp;CHOOSE(MONTH($P23),"JAN","FEV","MAR","ABR","MAI","JUN","JUL","AGO","SET","OUT","NOV","DEZ")&amp;" "&amp;YEAR($P23)&amp;"'!$U$22:$U$150"),"&lt;&gt;"),0)</f>
        <v>0</v>
      </c>
      <c r="X23" s="45" t="n">
        <f aca="true">IFERROR(COUNTIFS(INDIRECT("'"&amp;CHOOSE(MONTH($P23),"JAN","FEV","MAR","ABR","MAI","JUN","JUL","AGO","SET","OUT","NOV","DEZ")&amp;" "&amp;YEAR($P23)&amp;"'!$G$22:$G$150"),"B",INDIRECT("'"&amp;CHOOSE(MONTH($P23),"JAN","FEV","MAR","ABR","MAI","JUN","JUL","AGO","SET","OUT","NOV","DEZ")&amp;" "&amp;YEAR($P23)&amp;"'!$U$22:$U$150"),"&lt;&gt;"),0)</f>
        <v>0</v>
      </c>
      <c r="Y23" s="45" t="n">
        <f aca="true">IFERROR(COUNTIFS(INDIRECT("'"&amp;CHOOSE(MONTH($P23),"JAN","FEV","MAR","ABR","MAI","JUN","JUL","AGO","SET","OUT","NOV","DEZ")&amp;" "&amp;YEAR($P23)&amp;"'!$G$22:$G$150"),"C",INDIRECT("'"&amp;CHOOSE(MONTH($P23),"JAN","FEV","MAR","ABR","MAI","JUN","JUL","AGO","SET","OUT","NOV","DEZ")&amp;" "&amp;YEAR($P23)&amp;"'!$U$22:$U$150"),"&lt;&gt;"),0)</f>
        <v>0</v>
      </c>
    </row>
    <row r="24" customFormat="false" ht="15" hidden="false" customHeight="false" outlineLevel="0" collapsed="false">
      <c r="A24" s="9" t="str">
        <f aca="false">CHOOSE(MONTH($P24),"JAN","FEV","MAR","ABR","MAI","JUN","JUL","AGO","SET","OUT","NOV","DEZ")&amp;"/"&amp;RIGHT(YEAR($P24),2)</f>
        <v>SET/27</v>
      </c>
      <c r="B24" s="53" t="str">
        <f aca="false">IF($Q24=0,"",$T24/$Q24)</f>
        <v/>
      </c>
      <c r="C24" s="53" t="str">
        <f aca="false">IF($R24=0,"",$U24/$R24)</f>
        <v/>
      </c>
      <c r="D24" s="53" t="str">
        <f aca="false">IF($S24=0,"",$V24/$S24)</f>
        <v/>
      </c>
      <c r="E24" s="53" t="str">
        <f aca="false">IF($Q24=0,"",1-$W24/$Q24)</f>
        <v/>
      </c>
      <c r="F24" s="53" t="str">
        <f aca="false">IF($R24=0,"",1-$X24/$R24)</f>
        <v/>
      </c>
      <c r="G24" s="53" t="str">
        <f aca="false">IF($S24=0,"",1-$Y24/$S24)</f>
        <v/>
      </c>
      <c r="H24" s="31" t="n">
        <f aca="false">SUMIFS(OCORRÊNCIAS!$E$6:$E$605,OCORRÊNCIAS!$B$6:$B$605,"Falta",OCORRÊNCIAS!$C$6:$C$605,"A",OCORRÊNCIAS!$I$6:$I$605,$P24)+SUMIFS(OCORRÊNCIAS!$E$6:$E$605,OCORRÊNCIAS!$B$6:$B$605,"Atestado",OCORRÊNCIAS!$C$6:$C$605,"A",OCORRÊNCIAS!$I$6:$I$605,$P24)</f>
        <v>0</v>
      </c>
      <c r="I24" s="31" t="n">
        <f aca="false">SUMIFS(OCORRÊNCIAS!$E$6:$E$605,OCORRÊNCIAS!$B$6:$B$605,"Falta",OCORRÊNCIAS!$C$6:$C$605,"B",OCORRÊNCIAS!$I$6:$I$605,$P24)+SUMIFS(OCORRÊNCIAS!$E$6:$E$605,OCORRÊNCIAS!$B$6:$B$605,"Atestado",OCORRÊNCIAS!$C$6:$C$605,"B",OCORRÊNCIAS!$I$6:$I$605,$P24)</f>
        <v>0</v>
      </c>
      <c r="J24" s="31" t="n">
        <f aca="false">SUMIFS(OCORRÊNCIAS!$E$6:$E$605,OCORRÊNCIAS!$B$6:$B$605,"Falta",OCORRÊNCIAS!$C$6:$C$605,"C",OCORRÊNCIAS!$I$6:$I$605,$P24)+SUMIFS(OCORRÊNCIAS!$E$6:$E$605,OCORRÊNCIAS!$B$6:$B$605,"Atestado",OCORRÊNCIAS!$C$6:$C$605,"C",OCORRÊNCIAS!$I$6:$I$605,$P24)</f>
        <v>0</v>
      </c>
      <c r="K24" s="54" t="str">
        <f aca="false">IF($Q24=0,"",ROUND($B$7*($T24/$Q24)+$D$7*(1-$W24/$Q24)+$F$7*MAX(0,1-$H24/$H$7),1))</f>
        <v/>
      </c>
      <c r="L24" s="54" t="str">
        <f aca="false">IF($R24=0,"",ROUND($B$7*($U24/$R24)+$D$7*(1-$X24/$R24)+$F$7*MAX(0,1-$I24/$H$7),1))</f>
        <v/>
      </c>
      <c r="M24" s="54" t="str">
        <f aca="false">IF($S24=0,"",ROUND($B$7*($V24/$S24)+$D$7*(1-$Y24/$S24)+$F$7*MAX(0,1-$J24/$H$7),1))</f>
        <v/>
      </c>
      <c r="N24" s="31" t="str">
        <f aca="false">IF(N($K24)+N($L24)+N($M24)=0,"—",CHOOSE(MATCH(MAX(N($K24),N($L24),N($M24)),CHOOSE({1,2,3},N($K24),N($L24),N($M24)),0),"Turno A","Turno B","Turno C"))</f>
        <v>—</v>
      </c>
      <c r="P24" s="55" t="n">
        <f aca="false">EDATE(DATE(2026,7,1),14)</f>
        <v>46631</v>
      </c>
      <c r="Q24" s="45" t="n">
        <f aca="true">IFERROR(COUNTIFS(INDIRECT("'"&amp;CHOOSE(MONTH($P24),"JAN","FEV","MAR","ABR","MAI","JUN","JUL","AGO","SET","OUT","NOV","DEZ")&amp;" "&amp;YEAR($P24)&amp;"'!$G$22:$G$150"),"A",INDIRECT("'"&amp;CHOOSE(MONTH($P24),"JAN","FEV","MAR","ABR","MAI","JUN","JUL","AGO","SET","OUT","NOV","DEZ")&amp;" "&amp;YEAR($P24)&amp;"'!$S$22:$S$150"),"Aprovada"),0)+IFERROR(COUNTIFS(INDIRECT("'"&amp;CHOOSE(MONTH($P24),"JAN","FEV","MAR","ABR","MAI","JUN","JUL","AGO","SET","OUT","NOV","DEZ")&amp;" "&amp;YEAR($P24)&amp;"'!$G$22:$G$150"),"A",INDIRECT("'"&amp;CHOOSE(MONTH($P24),"JAN","FEV","MAR","ABR","MAI","JUN","JUL","AGO","SET","OUT","NOV","DEZ")&amp;" "&amp;YEAR($P24)&amp;"'!$S$22:$S$150"),"Entregue"),0)+IFERROR(COUNTIFS(INDIRECT("'"&amp;CHOOSE(MONTH($P24),"JAN","FEV","MAR","ABR","MAI","JUN","JUL","AGO","SET","OUT","NOV","DEZ")&amp;" "&amp;YEAR($P24)&amp;"'!$G$22:$G$150"),"A",INDIRECT("'"&amp;CHOOSE(MONTH($P24),"JAN","FEV","MAR","ABR","MAI","JUN","JUL","AGO","SET","OUT","NOV","DEZ")&amp;" "&amp;YEAR($P24)&amp;"'!$S$22:$S$150"),"Pendente"),0)+IFERROR(COUNTIFS(INDIRECT("'"&amp;CHOOSE(MONTH($P24),"JAN","FEV","MAR","ABR","MAI","JUN","JUL","AGO","SET","OUT","NOV","DEZ")&amp;" "&amp;YEAR($P24)&amp;"'!$G$22:$G$150"),"A",INDIRECT("'"&amp;CHOOSE(MONTH($P24),"JAN","FEV","MAR","ABR","MAI","JUN","JUL","AGO","SET","OUT","NOV","DEZ")&amp;" "&amp;YEAR($P24)&amp;"'!$S$22:$S$150"),"Atrasada"),0)+IFERROR(COUNTIFS(INDIRECT("'"&amp;CHOOSE(MONTH($P24),"JAN","FEV","MAR","ABR","MAI","JUN","JUL","AGO","SET","OUT","NOV","DEZ")&amp;" "&amp;YEAR($P24)&amp;"'!$G$22:$G$150"),"A",INDIRECT("'"&amp;CHOOSE(MONTH($P24),"JAN","FEV","MAR","ABR","MAI","JUN","JUL","AGO","SET","OUT","NOV","DEZ")&amp;" "&amp;YEAR($P24)&amp;"'!$S$22:$S$150"),"Reprovada"),0)</f>
        <v>0</v>
      </c>
      <c r="R24" s="45" t="n">
        <f aca="true">IFERROR(COUNTIFS(INDIRECT("'"&amp;CHOOSE(MONTH($P24),"JAN","FEV","MAR","ABR","MAI","JUN","JUL","AGO","SET","OUT","NOV","DEZ")&amp;" "&amp;YEAR($P24)&amp;"'!$G$22:$G$150"),"B",INDIRECT("'"&amp;CHOOSE(MONTH($P24),"JAN","FEV","MAR","ABR","MAI","JUN","JUL","AGO","SET","OUT","NOV","DEZ")&amp;" "&amp;YEAR($P24)&amp;"'!$S$22:$S$150"),"Aprovada"),0)+IFERROR(COUNTIFS(INDIRECT("'"&amp;CHOOSE(MONTH($P24),"JAN","FEV","MAR","ABR","MAI","JUN","JUL","AGO","SET","OUT","NOV","DEZ")&amp;" "&amp;YEAR($P24)&amp;"'!$G$22:$G$150"),"B",INDIRECT("'"&amp;CHOOSE(MONTH($P24),"JAN","FEV","MAR","ABR","MAI","JUN","JUL","AGO","SET","OUT","NOV","DEZ")&amp;" "&amp;YEAR($P24)&amp;"'!$S$22:$S$150"),"Entregue"),0)+IFERROR(COUNTIFS(INDIRECT("'"&amp;CHOOSE(MONTH($P24),"JAN","FEV","MAR","ABR","MAI","JUN","JUL","AGO","SET","OUT","NOV","DEZ")&amp;" "&amp;YEAR($P24)&amp;"'!$G$22:$G$150"),"B",INDIRECT("'"&amp;CHOOSE(MONTH($P24),"JAN","FEV","MAR","ABR","MAI","JUN","JUL","AGO","SET","OUT","NOV","DEZ")&amp;" "&amp;YEAR($P24)&amp;"'!$S$22:$S$150"),"Pendente"),0)+IFERROR(COUNTIFS(INDIRECT("'"&amp;CHOOSE(MONTH($P24),"JAN","FEV","MAR","ABR","MAI","JUN","JUL","AGO","SET","OUT","NOV","DEZ")&amp;" "&amp;YEAR($P24)&amp;"'!$G$22:$G$150"),"B",INDIRECT("'"&amp;CHOOSE(MONTH($P24),"JAN","FEV","MAR","ABR","MAI","JUN","JUL","AGO","SET","OUT","NOV","DEZ")&amp;" "&amp;YEAR($P24)&amp;"'!$S$22:$S$150"),"Atrasada"),0)+IFERROR(COUNTIFS(INDIRECT("'"&amp;CHOOSE(MONTH($P24),"JAN","FEV","MAR","ABR","MAI","JUN","JUL","AGO","SET","OUT","NOV","DEZ")&amp;" "&amp;YEAR($P24)&amp;"'!$G$22:$G$150"),"B",INDIRECT("'"&amp;CHOOSE(MONTH($P24),"JAN","FEV","MAR","ABR","MAI","JUN","JUL","AGO","SET","OUT","NOV","DEZ")&amp;" "&amp;YEAR($P24)&amp;"'!$S$22:$S$150"),"Reprovada"),0)</f>
        <v>0</v>
      </c>
      <c r="S24" s="45" t="n">
        <f aca="true">IFERROR(COUNTIFS(INDIRECT("'"&amp;CHOOSE(MONTH($P24),"JAN","FEV","MAR","ABR","MAI","JUN","JUL","AGO","SET","OUT","NOV","DEZ")&amp;" "&amp;YEAR($P24)&amp;"'!$G$22:$G$150"),"C",INDIRECT("'"&amp;CHOOSE(MONTH($P24),"JAN","FEV","MAR","ABR","MAI","JUN","JUL","AGO","SET","OUT","NOV","DEZ")&amp;" "&amp;YEAR($P24)&amp;"'!$S$22:$S$150"),"Aprovada"),0)+IFERROR(COUNTIFS(INDIRECT("'"&amp;CHOOSE(MONTH($P24),"JAN","FEV","MAR","ABR","MAI","JUN","JUL","AGO","SET","OUT","NOV","DEZ")&amp;" "&amp;YEAR($P24)&amp;"'!$G$22:$G$150"),"C",INDIRECT("'"&amp;CHOOSE(MONTH($P24),"JAN","FEV","MAR","ABR","MAI","JUN","JUL","AGO","SET","OUT","NOV","DEZ")&amp;" "&amp;YEAR($P24)&amp;"'!$S$22:$S$150"),"Entregue"),0)+IFERROR(COUNTIFS(INDIRECT("'"&amp;CHOOSE(MONTH($P24),"JAN","FEV","MAR","ABR","MAI","JUN","JUL","AGO","SET","OUT","NOV","DEZ")&amp;" "&amp;YEAR($P24)&amp;"'!$G$22:$G$150"),"C",INDIRECT("'"&amp;CHOOSE(MONTH($P24),"JAN","FEV","MAR","ABR","MAI","JUN","JUL","AGO","SET","OUT","NOV","DEZ")&amp;" "&amp;YEAR($P24)&amp;"'!$S$22:$S$150"),"Pendente"),0)+IFERROR(COUNTIFS(INDIRECT("'"&amp;CHOOSE(MONTH($P24),"JAN","FEV","MAR","ABR","MAI","JUN","JUL","AGO","SET","OUT","NOV","DEZ")&amp;" "&amp;YEAR($P24)&amp;"'!$G$22:$G$150"),"C",INDIRECT("'"&amp;CHOOSE(MONTH($P24),"JAN","FEV","MAR","ABR","MAI","JUN","JUL","AGO","SET","OUT","NOV","DEZ")&amp;" "&amp;YEAR($P24)&amp;"'!$S$22:$S$150"),"Atrasada"),0)+IFERROR(COUNTIFS(INDIRECT("'"&amp;CHOOSE(MONTH($P24),"JAN","FEV","MAR","ABR","MAI","JUN","JUL","AGO","SET","OUT","NOV","DEZ")&amp;" "&amp;YEAR($P24)&amp;"'!$G$22:$G$150"),"C",INDIRECT("'"&amp;CHOOSE(MONTH($P24),"JAN","FEV","MAR","ABR","MAI","JUN","JUL","AGO","SET","OUT","NOV","DEZ")&amp;" "&amp;YEAR($P24)&amp;"'!$S$22:$S$150"),"Reprovada"),0)</f>
        <v>0</v>
      </c>
      <c r="T24" s="45" t="n">
        <f aca="true">IFERROR(COUNTIFS(INDIRECT("'"&amp;CHOOSE(MONTH($P24),"JAN","FEV","MAR","ABR","MAI","JUN","JUL","AGO","SET","OUT","NOV","DEZ")&amp;" "&amp;YEAR($P24)&amp;"'!$G$22:$G$150"),"A",INDIRECT("'"&amp;CHOOSE(MONTH($P24),"JAN","FEV","MAR","ABR","MAI","JUN","JUL","AGO","SET","OUT","NOV","DEZ")&amp;" "&amp;YEAR($P24)&amp;"'!$S$22:$S$150"),"Aprovada"),0)</f>
        <v>0</v>
      </c>
      <c r="U24" s="45" t="n">
        <f aca="true">IFERROR(COUNTIFS(INDIRECT("'"&amp;CHOOSE(MONTH($P24),"JAN","FEV","MAR","ABR","MAI","JUN","JUL","AGO","SET","OUT","NOV","DEZ")&amp;" "&amp;YEAR($P24)&amp;"'!$G$22:$G$150"),"B",INDIRECT("'"&amp;CHOOSE(MONTH($P24),"JAN","FEV","MAR","ABR","MAI","JUN","JUL","AGO","SET","OUT","NOV","DEZ")&amp;" "&amp;YEAR($P24)&amp;"'!$S$22:$S$150"),"Aprovada"),0)</f>
        <v>0</v>
      </c>
      <c r="V24" s="45" t="n">
        <f aca="true">IFERROR(COUNTIFS(INDIRECT("'"&amp;CHOOSE(MONTH($P24),"JAN","FEV","MAR","ABR","MAI","JUN","JUL","AGO","SET","OUT","NOV","DEZ")&amp;" "&amp;YEAR($P24)&amp;"'!$G$22:$G$150"),"C",INDIRECT("'"&amp;CHOOSE(MONTH($P24),"JAN","FEV","MAR","ABR","MAI","JUN","JUL","AGO","SET","OUT","NOV","DEZ")&amp;" "&amp;YEAR($P24)&amp;"'!$S$22:$S$150"),"Aprovada"),0)</f>
        <v>0</v>
      </c>
      <c r="W24" s="45" t="n">
        <f aca="true">IFERROR(COUNTIFS(INDIRECT("'"&amp;CHOOSE(MONTH($P24),"JAN","FEV","MAR","ABR","MAI","JUN","JUL","AGO","SET","OUT","NOV","DEZ")&amp;" "&amp;YEAR($P24)&amp;"'!$G$22:$G$150"),"A",INDIRECT("'"&amp;CHOOSE(MONTH($P24),"JAN","FEV","MAR","ABR","MAI","JUN","JUL","AGO","SET","OUT","NOV","DEZ")&amp;" "&amp;YEAR($P24)&amp;"'!$U$22:$U$150"),"&lt;&gt;"),0)</f>
        <v>0</v>
      </c>
      <c r="X24" s="45" t="n">
        <f aca="true">IFERROR(COUNTIFS(INDIRECT("'"&amp;CHOOSE(MONTH($P24),"JAN","FEV","MAR","ABR","MAI","JUN","JUL","AGO","SET","OUT","NOV","DEZ")&amp;" "&amp;YEAR($P24)&amp;"'!$G$22:$G$150"),"B",INDIRECT("'"&amp;CHOOSE(MONTH($P24),"JAN","FEV","MAR","ABR","MAI","JUN","JUL","AGO","SET","OUT","NOV","DEZ")&amp;" "&amp;YEAR($P24)&amp;"'!$U$22:$U$150"),"&lt;&gt;"),0)</f>
        <v>0</v>
      </c>
      <c r="Y24" s="45" t="n">
        <f aca="true">IFERROR(COUNTIFS(INDIRECT("'"&amp;CHOOSE(MONTH($P24),"JAN","FEV","MAR","ABR","MAI","JUN","JUL","AGO","SET","OUT","NOV","DEZ")&amp;" "&amp;YEAR($P24)&amp;"'!$G$22:$G$150"),"C",INDIRECT("'"&amp;CHOOSE(MONTH($P24),"JAN","FEV","MAR","ABR","MAI","JUN","JUL","AGO","SET","OUT","NOV","DEZ")&amp;" "&amp;YEAR($P24)&amp;"'!$U$22:$U$150"),"&lt;&gt;"),0)</f>
        <v>0</v>
      </c>
    </row>
    <row r="25" customFormat="false" ht="15" hidden="false" customHeight="false" outlineLevel="0" collapsed="false">
      <c r="A25" s="56" t="str">
        <f aca="false">CHOOSE(MONTH($P25),"JAN","FEV","MAR","ABR","MAI","JUN","JUL","AGO","SET","OUT","NOV","DEZ")&amp;"/"&amp;RIGHT(YEAR($P25),2)</f>
        <v>OUT/27</v>
      </c>
      <c r="B25" s="57" t="str">
        <f aca="false">IF($Q25=0,"",$T25/$Q25)</f>
        <v/>
      </c>
      <c r="C25" s="57" t="str">
        <f aca="false">IF($R25=0,"",$U25/$R25)</f>
        <v/>
      </c>
      <c r="D25" s="57" t="str">
        <f aca="false">IF($S25=0,"",$V25/$S25)</f>
        <v/>
      </c>
      <c r="E25" s="57" t="str">
        <f aca="false">IF($Q25=0,"",1-$W25/$Q25)</f>
        <v/>
      </c>
      <c r="F25" s="57" t="str">
        <f aca="false">IF($R25=0,"",1-$X25/$R25)</f>
        <v/>
      </c>
      <c r="G25" s="57" t="str">
        <f aca="false">IF($S25=0,"",1-$Y25/$S25)</f>
        <v/>
      </c>
      <c r="H25" s="58" t="n">
        <f aca="false">SUMIFS(OCORRÊNCIAS!$E$6:$E$605,OCORRÊNCIAS!$B$6:$B$605,"Falta",OCORRÊNCIAS!$C$6:$C$605,"A",OCORRÊNCIAS!$I$6:$I$605,$P25)+SUMIFS(OCORRÊNCIAS!$E$6:$E$605,OCORRÊNCIAS!$B$6:$B$605,"Atestado",OCORRÊNCIAS!$C$6:$C$605,"A",OCORRÊNCIAS!$I$6:$I$605,$P25)</f>
        <v>0</v>
      </c>
      <c r="I25" s="58" t="n">
        <f aca="false">SUMIFS(OCORRÊNCIAS!$E$6:$E$605,OCORRÊNCIAS!$B$6:$B$605,"Falta",OCORRÊNCIAS!$C$6:$C$605,"B",OCORRÊNCIAS!$I$6:$I$605,$P25)+SUMIFS(OCORRÊNCIAS!$E$6:$E$605,OCORRÊNCIAS!$B$6:$B$605,"Atestado",OCORRÊNCIAS!$C$6:$C$605,"B",OCORRÊNCIAS!$I$6:$I$605,$P25)</f>
        <v>0</v>
      </c>
      <c r="J25" s="58" t="n">
        <f aca="false">SUMIFS(OCORRÊNCIAS!$E$6:$E$605,OCORRÊNCIAS!$B$6:$B$605,"Falta",OCORRÊNCIAS!$C$6:$C$605,"C",OCORRÊNCIAS!$I$6:$I$605,$P25)+SUMIFS(OCORRÊNCIAS!$E$6:$E$605,OCORRÊNCIAS!$B$6:$B$605,"Atestado",OCORRÊNCIAS!$C$6:$C$605,"C",OCORRÊNCIAS!$I$6:$I$605,$P25)</f>
        <v>0</v>
      </c>
      <c r="K25" s="59" t="str">
        <f aca="false">IF($Q25=0,"",ROUND($B$7*($T25/$Q25)+$D$7*(1-$W25/$Q25)+$F$7*MAX(0,1-$H25/$H$7),1))</f>
        <v/>
      </c>
      <c r="L25" s="59" t="str">
        <f aca="false">IF($R25=0,"",ROUND($B$7*($U25/$R25)+$D$7*(1-$X25/$R25)+$F$7*MAX(0,1-$I25/$H$7),1))</f>
        <v/>
      </c>
      <c r="M25" s="59" t="str">
        <f aca="false">IF($S25=0,"",ROUND($B$7*($V25/$S25)+$D$7*(1-$Y25/$S25)+$F$7*MAX(0,1-$J25/$H$7),1))</f>
        <v/>
      </c>
      <c r="N25" s="60" t="str">
        <f aca="false">IF(N($K25)+N($L25)+N($M25)=0,"—",CHOOSE(MATCH(MAX(N($K25),N($L25),N($M25)),CHOOSE({1,2,3},N($K25),N($L25),N($M25)),0),"Turno A","Turno B","Turno C"))</f>
        <v>—</v>
      </c>
      <c r="P25" s="55" t="n">
        <f aca="false">EDATE(DATE(2026,7,1),15)</f>
        <v>46661</v>
      </c>
      <c r="Q25" s="45" t="n">
        <f aca="true">IFERROR(COUNTIFS(INDIRECT("'"&amp;CHOOSE(MONTH($P25),"JAN","FEV","MAR","ABR","MAI","JUN","JUL","AGO","SET","OUT","NOV","DEZ")&amp;" "&amp;YEAR($P25)&amp;"'!$G$22:$G$150"),"A",INDIRECT("'"&amp;CHOOSE(MONTH($P25),"JAN","FEV","MAR","ABR","MAI","JUN","JUL","AGO","SET","OUT","NOV","DEZ")&amp;" "&amp;YEAR($P25)&amp;"'!$S$22:$S$150"),"Aprovada"),0)+IFERROR(COUNTIFS(INDIRECT("'"&amp;CHOOSE(MONTH($P25),"JAN","FEV","MAR","ABR","MAI","JUN","JUL","AGO","SET","OUT","NOV","DEZ")&amp;" "&amp;YEAR($P25)&amp;"'!$G$22:$G$150"),"A",INDIRECT("'"&amp;CHOOSE(MONTH($P25),"JAN","FEV","MAR","ABR","MAI","JUN","JUL","AGO","SET","OUT","NOV","DEZ")&amp;" "&amp;YEAR($P25)&amp;"'!$S$22:$S$150"),"Entregue"),0)+IFERROR(COUNTIFS(INDIRECT("'"&amp;CHOOSE(MONTH($P25),"JAN","FEV","MAR","ABR","MAI","JUN","JUL","AGO","SET","OUT","NOV","DEZ")&amp;" "&amp;YEAR($P25)&amp;"'!$G$22:$G$150"),"A",INDIRECT("'"&amp;CHOOSE(MONTH($P25),"JAN","FEV","MAR","ABR","MAI","JUN","JUL","AGO","SET","OUT","NOV","DEZ")&amp;" "&amp;YEAR($P25)&amp;"'!$S$22:$S$150"),"Pendente"),0)+IFERROR(COUNTIFS(INDIRECT("'"&amp;CHOOSE(MONTH($P25),"JAN","FEV","MAR","ABR","MAI","JUN","JUL","AGO","SET","OUT","NOV","DEZ")&amp;" "&amp;YEAR($P25)&amp;"'!$G$22:$G$150"),"A",INDIRECT("'"&amp;CHOOSE(MONTH($P25),"JAN","FEV","MAR","ABR","MAI","JUN","JUL","AGO","SET","OUT","NOV","DEZ")&amp;" "&amp;YEAR($P25)&amp;"'!$S$22:$S$150"),"Atrasada"),0)+IFERROR(COUNTIFS(INDIRECT("'"&amp;CHOOSE(MONTH($P25),"JAN","FEV","MAR","ABR","MAI","JUN","JUL","AGO","SET","OUT","NOV","DEZ")&amp;" "&amp;YEAR($P25)&amp;"'!$G$22:$G$150"),"A",INDIRECT("'"&amp;CHOOSE(MONTH($P25),"JAN","FEV","MAR","ABR","MAI","JUN","JUL","AGO","SET","OUT","NOV","DEZ")&amp;" "&amp;YEAR($P25)&amp;"'!$S$22:$S$150"),"Reprovada"),0)</f>
        <v>0</v>
      </c>
      <c r="R25" s="45" t="n">
        <f aca="true">IFERROR(COUNTIFS(INDIRECT("'"&amp;CHOOSE(MONTH($P25),"JAN","FEV","MAR","ABR","MAI","JUN","JUL","AGO","SET","OUT","NOV","DEZ")&amp;" "&amp;YEAR($P25)&amp;"'!$G$22:$G$150"),"B",INDIRECT("'"&amp;CHOOSE(MONTH($P25),"JAN","FEV","MAR","ABR","MAI","JUN","JUL","AGO","SET","OUT","NOV","DEZ")&amp;" "&amp;YEAR($P25)&amp;"'!$S$22:$S$150"),"Aprovada"),0)+IFERROR(COUNTIFS(INDIRECT("'"&amp;CHOOSE(MONTH($P25),"JAN","FEV","MAR","ABR","MAI","JUN","JUL","AGO","SET","OUT","NOV","DEZ")&amp;" "&amp;YEAR($P25)&amp;"'!$G$22:$G$150"),"B",INDIRECT("'"&amp;CHOOSE(MONTH($P25),"JAN","FEV","MAR","ABR","MAI","JUN","JUL","AGO","SET","OUT","NOV","DEZ")&amp;" "&amp;YEAR($P25)&amp;"'!$S$22:$S$150"),"Entregue"),0)+IFERROR(COUNTIFS(INDIRECT("'"&amp;CHOOSE(MONTH($P25),"JAN","FEV","MAR","ABR","MAI","JUN","JUL","AGO","SET","OUT","NOV","DEZ")&amp;" "&amp;YEAR($P25)&amp;"'!$G$22:$G$150"),"B",INDIRECT("'"&amp;CHOOSE(MONTH($P25),"JAN","FEV","MAR","ABR","MAI","JUN","JUL","AGO","SET","OUT","NOV","DEZ")&amp;" "&amp;YEAR($P25)&amp;"'!$S$22:$S$150"),"Pendente"),0)+IFERROR(COUNTIFS(INDIRECT("'"&amp;CHOOSE(MONTH($P25),"JAN","FEV","MAR","ABR","MAI","JUN","JUL","AGO","SET","OUT","NOV","DEZ")&amp;" "&amp;YEAR($P25)&amp;"'!$G$22:$G$150"),"B",INDIRECT("'"&amp;CHOOSE(MONTH($P25),"JAN","FEV","MAR","ABR","MAI","JUN","JUL","AGO","SET","OUT","NOV","DEZ")&amp;" "&amp;YEAR($P25)&amp;"'!$S$22:$S$150"),"Atrasada"),0)+IFERROR(COUNTIFS(INDIRECT("'"&amp;CHOOSE(MONTH($P25),"JAN","FEV","MAR","ABR","MAI","JUN","JUL","AGO","SET","OUT","NOV","DEZ")&amp;" "&amp;YEAR($P25)&amp;"'!$G$22:$G$150"),"B",INDIRECT("'"&amp;CHOOSE(MONTH($P25),"JAN","FEV","MAR","ABR","MAI","JUN","JUL","AGO","SET","OUT","NOV","DEZ")&amp;" "&amp;YEAR($P25)&amp;"'!$S$22:$S$150"),"Reprovada"),0)</f>
        <v>0</v>
      </c>
      <c r="S25" s="45" t="n">
        <f aca="true">IFERROR(COUNTIFS(INDIRECT("'"&amp;CHOOSE(MONTH($P25),"JAN","FEV","MAR","ABR","MAI","JUN","JUL","AGO","SET","OUT","NOV","DEZ")&amp;" "&amp;YEAR($P25)&amp;"'!$G$22:$G$150"),"C",INDIRECT("'"&amp;CHOOSE(MONTH($P25),"JAN","FEV","MAR","ABR","MAI","JUN","JUL","AGO","SET","OUT","NOV","DEZ")&amp;" "&amp;YEAR($P25)&amp;"'!$S$22:$S$150"),"Aprovada"),0)+IFERROR(COUNTIFS(INDIRECT("'"&amp;CHOOSE(MONTH($P25),"JAN","FEV","MAR","ABR","MAI","JUN","JUL","AGO","SET","OUT","NOV","DEZ")&amp;" "&amp;YEAR($P25)&amp;"'!$G$22:$G$150"),"C",INDIRECT("'"&amp;CHOOSE(MONTH($P25),"JAN","FEV","MAR","ABR","MAI","JUN","JUL","AGO","SET","OUT","NOV","DEZ")&amp;" "&amp;YEAR($P25)&amp;"'!$S$22:$S$150"),"Entregue"),0)+IFERROR(COUNTIFS(INDIRECT("'"&amp;CHOOSE(MONTH($P25),"JAN","FEV","MAR","ABR","MAI","JUN","JUL","AGO","SET","OUT","NOV","DEZ")&amp;" "&amp;YEAR($P25)&amp;"'!$G$22:$G$150"),"C",INDIRECT("'"&amp;CHOOSE(MONTH($P25),"JAN","FEV","MAR","ABR","MAI","JUN","JUL","AGO","SET","OUT","NOV","DEZ")&amp;" "&amp;YEAR($P25)&amp;"'!$S$22:$S$150"),"Pendente"),0)+IFERROR(COUNTIFS(INDIRECT("'"&amp;CHOOSE(MONTH($P25),"JAN","FEV","MAR","ABR","MAI","JUN","JUL","AGO","SET","OUT","NOV","DEZ")&amp;" "&amp;YEAR($P25)&amp;"'!$G$22:$G$150"),"C",INDIRECT("'"&amp;CHOOSE(MONTH($P25),"JAN","FEV","MAR","ABR","MAI","JUN","JUL","AGO","SET","OUT","NOV","DEZ")&amp;" "&amp;YEAR($P25)&amp;"'!$S$22:$S$150"),"Atrasada"),0)+IFERROR(COUNTIFS(INDIRECT("'"&amp;CHOOSE(MONTH($P25),"JAN","FEV","MAR","ABR","MAI","JUN","JUL","AGO","SET","OUT","NOV","DEZ")&amp;" "&amp;YEAR($P25)&amp;"'!$G$22:$G$150"),"C",INDIRECT("'"&amp;CHOOSE(MONTH($P25),"JAN","FEV","MAR","ABR","MAI","JUN","JUL","AGO","SET","OUT","NOV","DEZ")&amp;" "&amp;YEAR($P25)&amp;"'!$S$22:$S$150"),"Reprovada"),0)</f>
        <v>0</v>
      </c>
      <c r="T25" s="45" t="n">
        <f aca="true">IFERROR(COUNTIFS(INDIRECT("'"&amp;CHOOSE(MONTH($P25),"JAN","FEV","MAR","ABR","MAI","JUN","JUL","AGO","SET","OUT","NOV","DEZ")&amp;" "&amp;YEAR($P25)&amp;"'!$G$22:$G$150"),"A",INDIRECT("'"&amp;CHOOSE(MONTH($P25),"JAN","FEV","MAR","ABR","MAI","JUN","JUL","AGO","SET","OUT","NOV","DEZ")&amp;" "&amp;YEAR($P25)&amp;"'!$S$22:$S$150"),"Aprovada"),0)</f>
        <v>0</v>
      </c>
      <c r="U25" s="45" t="n">
        <f aca="true">IFERROR(COUNTIFS(INDIRECT("'"&amp;CHOOSE(MONTH($P25),"JAN","FEV","MAR","ABR","MAI","JUN","JUL","AGO","SET","OUT","NOV","DEZ")&amp;" "&amp;YEAR($P25)&amp;"'!$G$22:$G$150"),"B",INDIRECT("'"&amp;CHOOSE(MONTH($P25),"JAN","FEV","MAR","ABR","MAI","JUN","JUL","AGO","SET","OUT","NOV","DEZ")&amp;" "&amp;YEAR($P25)&amp;"'!$S$22:$S$150"),"Aprovada"),0)</f>
        <v>0</v>
      </c>
      <c r="V25" s="45" t="n">
        <f aca="true">IFERROR(COUNTIFS(INDIRECT("'"&amp;CHOOSE(MONTH($P25),"JAN","FEV","MAR","ABR","MAI","JUN","JUL","AGO","SET","OUT","NOV","DEZ")&amp;" "&amp;YEAR($P25)&amp;"'!$G$22:$G$150"),"C",INDIRECT("'"&amp;CHOOSE(MONTH($P25),"JAN","FEV","MAR","ABR","MAI","JUN","JUL","AGO","SET","OUT","NOV","DEZ")&amp;" "&amp;YEAR($P25)&amp;"'!$S$22:$S$150"),"Aprovada"),0)</f>
        <v>0</v>
      </c>
      <c r="W25" s="45" t="n">
        <f aca="true">IFERROR(COUNTIFS(INDIRECT("'"&amp;CHOOSE(MONTH($P25),"JAN","FEV","MAR","ABR","MAI","JUN","JUL","AGO","SET","OUT","NOV","DEZ")&amp;" "&amp;YEAR($P25)&amp;"'!$G$22:$G$150"),"A",INDIRECT("'"&amp;CHOOSE(MONTH($P25),"JAN","FEV","MAR","ABR","MAI","JUN","JUL","AGO","SET","OUT","NOV","DEZ")&amp;" "&amp;YEAR($P25)&amp;"'!$U$22:$U$150"),"&lt;&gt;"),0)</f>
        <v>0</v>
      </c>
      <c r="X25" s="45" t="n">
        <f aca="true">IFERROR(COUNTIFS(INDIRECT("'"&amp;CHOOSE(MONTH($P25),"JAN","FEV","MAR","ABR","MAI","JUN","JUL","AGO","SET","OUT","NOV","DEZ")&amp;" "&amp;YEAR($P25)&amp;"'!$G$22:$G$150"),"B",INDIRECT("'"&amp;CHOOSE(MONTH($P25),"JAN","FEV","MAR","ABR","MAI","JUN","JUL","AGO","SET","OUT","NOV","DEZ")&amp;" "&amp;YEAR($P25)&amp;"'!$U$22:$U$150"),"&lt;&gt;"),0)</f>
        <v>0</v>
      </c>
      <c r="Y25" s="45" t="n">
        <f aca="true">IFERROR(COUNTIFS(INDIRECT("'"&amp;CHOOSE(MONTH($P25),"JAN","FEV","MAR","ABR","MAI","JUN","JUL","AGO","SET","OUT","NOV","DEZ")&amp;" "&amp;YEAR($P25)&amp;"'!$G$22:$G$150"),"C",INDIRECT("'"&amp;CHOOSE(MONTH($P25),"JAN","FEV","MAR","ABR","MAI","JUN","JUL","AGO","SET","OUT","NOV","DEZ")&amp;" "&amp;YEAR($P25)&amp;"'!$U$22:$U$150"),"&lt;&gt;"),0)</f>
        <v>0</v>
      </c>
    </row>
    <row r="26" customFormat="false" ht="15" hidden="false" customHeight="false" outlineLevel="0" collapsed="false">
      <c r="A26" s="9" t="str">
        <f aca="false">CHOOSE(MONTH($P26),"JAN","FEV","MAR","ABR","MAI","JUN","JUL","AGO","SET","OUT","NOV","DEZ")&amp;"/"&amp;RIGHT(YEAR($P26),2)</f>
        <v>NOV/27</v>
      </c>
      <c r="B26" s="53" t="str">
        <f aca="false">IF($Q26=0,"",$T26/$Q26)</f>
        <v/>
      </c>
      <c r="C26" s="53" t="str">
        <f aca="false">IF($R26=0,"",$U26/$R26)</f>
        <v/>
      </c>
      <c r="D26" s="53" t="str">
        <f aca="false">IF($S26=0,"",$V26/$S26)</f>
        <v/>
      </c>
      <c r="E26" s="53" t="str">
        <f aca="false">IF($Q26=0,"",1-$W26/$Q26)</f>
        <v/>
      </c>
      <c r="F26" s="53" t="str">
        <f aca="false">IF($R26=0,"",1-$X26/$R26)</f>
        <v/>
      </c>
      <c r="G26" s="53" t="str">
        <f aca="false">IF($S26=0,"",1-$Y26/$S26)</f>
        <v/>
      </c>
      <c r="H26" s="31" t="n">
        <f aca="false">SUMIFS(OCORRÊNCIAS!$E$6:$E$605,OCORRÊNCIAS!$B$6:$B$605,"Falta",OCORRÊNCIAS!$C$6:$C$605,"A",OCORRÊNCIAS!$I$6:$I$605,$P26)+SUMIFS(OCORRÊNCIAS!$E$6:$E$605,OCORRÊNCIAS!$B$6:$B$605,"Atestado",OCORRÊNCIAS!$C$6:$C$605,"A",OCORRÊNCIAS!$I$6:$I$605,$P26)</f>
        <v>0</v>
      </c>
      <c r="I26" s="31" t="n">
        <f aca="false">SUMIFS(OCORRÊNCIAS!$E$6:$E$605,OCORRÊNCIAS!$B$6:$B$605,"Falta",OCORRÊNCIAS!$C$6:$C$605,"B",OCORRÊNCIAS!$I$6:$I$605,$P26)+SUMIFS(OCORRÊNCIAS!$E$6:$E$605,OCORRÊNCIAS!$B$6:$B$605,"Atestado",OCORRÊNCIAS!$C$6:$C$605,"B",OCORRÊNCIAS!$I$6:$I$605,$P26)</f>
        <v>0</v>
      </c>
      <c r="J26" s="31" t="n">
        <f aca="false">SUMIFS(OCORRÊNCIAS!$E$6:$E$605,OCORRÊNCIAS!$B$6:$B$605,"Falta",OCORRÊNCIAS!$C$6:$C$605,"C",OCORRÊNCIAS!$I$6:$I$605,$P26)+SUMIFS(OCORRÊNCIAS!$E$6:$E$605,OCORRÊNCIAS!$B$6:$B$605,"Atestado",OCORRÊNCIAS!$C$6:$C$605,"C",OCORRÊNCIAS!$I$6:$I$605,$P26)</f>
        <v>0</v>
      </c>
      <c r="K26" s="54" t="str">
        <f aca="false">IF($Q26=0,"",ROUND($B$7*($T26/$Q26)+$D$7*(1-$W26/$Q26)+$F$7*MAX(0,1-$H26/$H$7),1))</f>
        <v/>
      </c>
      <c r="L26" s="54" t="str">
        <f aca="false">IF($R26=0,"",ROUND($B$7*($U26/$R26)+$D$7*(1-$X26/$R26)+$F$7*MAX(0,1-$I26/$H$7),1))</f>
        <v/>
      </c>
      <c r="M26" s="54" t="str">
        <f aca="false">IF($S26=0,"",ROUND($B$7*($V26/$S26)+$D$7*(1-$Y26/$S26)+$F$7*MAX(0,1-$J26/$H$7),1))</f>
        <v/>
      </c>
      <c r="N26" s="31" t="str">
        <f aca="false">IF(N($K26)+N($L26)+N($M26)=0,"—",CHOOSE(MATCH(MAX(N($K26),N($L26),N($M26)),CHOOSE({1,2,3},N($K26),N($L26),N($M26)),0),"Turno A","Turno B","Turno C"))</f>
        <v>—</v>
      </c>
      <c r="P26" s="55" t="n">
        <f aca="false">EDATE(DATE(2026,7,1),16)</f>
        <v>46692</v>
      </c>
      <c r="Q26" s="45" t="n">
        <f aca="true">IFERROR(COUNTIFS(INDIRECT("'"&amp;CHOOSE(MONTH($P26),"JAN","FEV","MAR","ABR","MAI","JUN","JUL","AGO","SET","OUT","NOV","DEZ")&amp;" "&amp;YEAR($P26)&amp;"'!$G$22:$G$150"),"A",INDIRECT("'"&amp;CHOOSE(MONTH($P26),"JAN","FEV","MAR","ABR","MAI","JUN","JUL","AGO","SET","OUT","NOV","DEZ")&amp;" "&amp;YEAR($P26)&amp;"'!$S$22:$S$150"),"Aprovada"),0)+IFERROR(COUNTIFS(INDIRECT("'"&amp;CHOOSE(MONTH($P26),"JAN","FEV","MAR","ABR","MAI","JUN","JUL","AGO","SET","OUT","NOV","DEZ")&amp;" "&amp;YEAR($P26)&amp;"'!$G$22:$G$150"),"A",INDIRECT("'"&amp;CHOOSE(MONTH($P26),"JAN","FEV","MAR","ABR","MAI","JUN","JUL","AGO","SET","OUT","NOV","DEZ")&amp;" "&amp;YEAR($P26)&amp;"'!$S$22:$S$150"),"Entregue"),0)+IFERROR(COUNTIFS(INDIRECT("'"&amp;CHOOSE(MONTH($P26),"JAN","FEV","MAR","ABR","MAI","JUN","JUL","AGO","SET","OUT","NOV","DEZ")&amp;" "&amp;YEAR($P26)&amp;"'!$G$22:$G$150"),"A",INDIRECT("'"&amp;CHOOSE(MONTH($P26),"JAN","FEV","MAR","ABR","MAI","JUN","JUL","AGO","SET","OUT","NOV","DEZ")&amp;" "&amp;YEAR($P26)&amp;"'!$S$22:$S$150"),"Pendente"),0)+IFERROR(COUNTIFS(INDIRECT("'"&amp;CHOOSE(MONTH($P26),"JAN","FEV","MAR","ABR","MAI","JUN","JUL","AGO","SET","OUT","NOV","DEZ")&amp;" "&amp;YEAR($P26)&amp;"'!$G$22:$G$150"),"A",INDIRECT("'"&amp;CHOOSE(MONTH($P26),"JAN","FEV","MAR","ABR","MAI","JUN","JUL","AGO","SET","OUT","NOV","DEZ")&amp;" "&amp;YEAR($P26)&amp;"'!$S$22:$S$150"),"Atrasada"),0)+IFERROR(COUNTIFS(INDIRECT("'"&amp;CHOOSE(MONTH($P26),"JAN","FEV","MAR","ABR","MAI","JUN","JUL","AGO","SET","OUT","NOV","DEZ")&amp;" "&amp;YEAR($P26)&amp;"'!$G$22:$G$150"),"A",INDIRECT("'"&amp;CHOOSE(MONTH($P26),"JAN","FEV","MAR","ABR","MAI","JUN","JUL","AGO","SET","OUT","NOV","DEZ")&amp;" "&amp;YEAR($P26)&amp;"'!$S$22:$S$150"),"Reprovada"),0)</f>
        <v>0</v>
      </c>
      <c r="R26" s="45" t="n">
        <f aca="true">IFERROR(COUNTIFS(INDIRECT("'"&amp;CHOOSE(MONTH($P26),"JAN","FEV","MAR","ABR","MAI","JUN","JUL","AGO","SET","OUT","NOV","DEZ")&amp;" "&amp;YEAR($P26)&amp;"'!$G$22:$G$150"),"B",INDIRECT("'"&amp;CHOOSE(MONTH($P26),"JAN","FEV","MAR","ABR","MAI","JUN","JUL","AGO","SET","OUT","NOV","DEZ")&amp;" "&amp;YEAR($P26)&amp;"'!$S$22:$S$150"),"Aprovada"),0)+IFERROR(COUNTIFS(INDIRECT("'"&amp;CHOOSE(MONTH($P26),"JAN","FEV","MAR","ABR","MAI","JUN","JUL","AGO","SET","OUT","NOV","DEZ")&amp;" "&amp;YEAR($P26)&amp;"'!$G$22:$G$150"),"B",INDIRECT("'"&amp;CHOOSE(MONTH($P26),"JAN","FEV","MAR","ABR","MAI","JUN","JUL","AGO","SET","OUT","NOV","DEZ")&amp;" "&amp;YEAR($P26)&amp;"'!$S$22:$S$150"),"Entregue"),0)+IFERROR(COUNTIFS(INDIRECT("'"&amp;CHOOSE(MONTH($P26),"JAN","FEV","MAR","ABR","MAI","JUN","JUL","AGO","SET","OUT","NOV","DEZ")&amp;" "&amp;YEAR($P26)&amp;"'!$G$22:$G$150"),"B",INDIRECT("'"&amp;CHOOSE(MONTH($P26),"JAN","FEV","MAR","ABR","MAI","JUN","JUL","AGO","SET","OUT","NOV","DEZ")&amp;" "&amp;YEAR($P26)&amp;"'!$S$22:$S$150"),"Pendente"),0)+IFERROR(COUNTIFS(INDIRECT("'"&amp;CHOOSE(MONTH($P26),"JAN","FEV","MAR","ABR","MAI","JUN","JUL","AGO","SET","OUT","NOV","DEZ")&amp;" "&amp;YEAR($P26)&amp;"'!$G$22:$G$150"),"B",INDIRECT("'"&amp;CHOOSE(MONTH($P26),"JAN","FEV","MAR","ABR","MAI","JUN","JUL","AGO","SET","OUT","NOV","DEZ")&amp;" "&amp;YEAR($P26)&amp;"'!$S$22:$S$150"),"Atrasada"),0)+IFERROR(COUNTIFS(INDIRECT("'"&amp;CHOOSE(MONTH($P26),"JAN","FEV","MAR","ABR","MAI","JUN","JUL","AGO","SET","OUT","NOV","DEZ")&amp;" "&amp;YEAR($P26)&amp;"'!$G$22:$G$150"),"B",INDIRECT("'"&amp;CHOOSE(MONTH($P26),"JAN","FEV","MAR","ABR","MAI","JUN","JUL","AGO","SET","OUT","NOV","DEZ")&amp;" "&amp;YEAR($P26)&amp;"'!$S$22:$S$150"),"Reprovada"),0)</f>
        <v>0</v>
      </c>
      <c r="S26" s="45" t="n">
        <f aca="true">IFERROR(COUNTIFS(INDIRECT("'"&amp;CHOOSE(MONTH($P26),"JAN","FEV","MAR","ABR","MAI","JUN","JUL","AGO","SET","OUT","NOV","DEZ")&amp;" "&amp;YEAR($P26)&amp;"'!$G$22:$G$150"),"C",INDIRECT("'"&amp;CHOOSE(MONTH($P26),"JAN","FEV","MAR","ABR","MAI","JUN","JUL","AGO","SET","OUT","NOV","DEZ")&amp;" "&amp;YEAR($P26)&amp;"'!$S$22:$S$150"),"Aprovada"),0)+IFERROR(COUNTIFS(INDIRECT("'"&amp;CHOOSE(MONTH($P26),"JAN","FEV","MAR","ABR","MAI","JUN","JUL","AGO","SET","OUT","NOV","DEZ")&amp;" "&amp;YEAR($P26)&amp;"'!$G$22:$G$150"),"C",INDIRECT("'"&amp;CHOOSE(MONTH($P26),"JAN","FEV","MAR","ABR","MAI","JUN","JUL","AGO","SET","OUT","NOV","DEZ")&amp;" "&amp;YEAR($P26)&amp;"'!$S$22:$S$150"),"Entregue"),0)+IFERROR(COUNTIFS(INDIRECT("'"&amp;CHOOSE(MONTH($P26),"JAN","FEV","MAR","ABR","MAI","JUN","JUL","AGO","SET","OUT","NOV","DEZ")&amp;" "&amp;YEAR($P26)&amp;"'!$G$22:$G$150"),"C",INDIRECT("'"&amp;CHOOSE(MONTH($P26),"JAN","FEV","MAR","ABR","MAI","JUN","JUL","AGO","SET","OUT","NOV","DEZ")&amp;" "&amp;YEAR($P26)&amp;"'!$S$22:$S$150"),"Pendente"),0)+IFERROR(COUNTIFS(INDIRECT("'"&amp;CHOOSE(MONTH($P26),"JAN","FEV","MAR","ABR","MAI","JUN","JUL","AGO","SET","OUT","NOV","DEZ")&amp;" "&amp;YEAR($P26)&amp;"'!$G$22:$G$150"),"C",INDIRECT("'"&amp;CHOOSE(MONTH($P26),"JAN","FEV","MAR","ABR","MAI","JUN","JUL","AGO","SET","OUT","NOV","DEZ")&amp;" "&amp;YEAR($P26)&amp;"'!$S$22:$S$150"),"Atrasada"),0)+IFERROR(COUNTIFS(INDIRECT("'"&amp;CHOOSE(MONTH($P26),"JAN","FEV","MAR","ABR","MAI","JUN","JUL","AGO","SET","OUT","NOV","DEZ")&amp;" "&amp;YEAR($P26)&amp;"'!$G$22:$G$150"),"C",INDIRECT("'"&amp;CHOOSE(MONTH($P26),"JAN","FEV","MAR","ABR","MAI","JUN","JUL","AGO","SET","OUT","NOV","DEZ")&amp;" "&amp;YEAR($P26)&amp;"'!$S$22:$S$150"),"Reprovada"),0)</f>
        <v>0</v>
      </c>
      <c r="T26" s="45" t="n">
        <f aca="true">IFERROR(COUNTIFS(INDIRECT("'"&amp;CHOOSE(MONTH($P26),"JAN","FEV","MAR","ABR","MAI","JUN","JUL","AGO","SET","OUT","NOV","DEZ")&amp;" "&amp;YEAR($P26)&amp;"'!$G$22:$G$150"),"A",INDIRECT("'"&amp;CHOOSE(MONTH($P26),"JAN","FEV","MAR","ABR","MAI","JUN","JUL","AGO","SET","OUT","NOV","DEZ")&amp;" "&amp;YEAR($P26)&amp;"'!$S$22:$S$150"),"Aprovada"),0)</f>
        <v>0</v>
      </c>
      <c r="U26" s="45" t="n">
        <f aca="true">IFERROR(COUNTIFS(INDIRECT("'"&amp;CHOOSE(MONTH($P26),"JAN","FEV","MAR","ABR","MAI","JUN","JUL","AGO","SET","OUT","NOV","DEZ")&amp;" "&amp;YEAR($P26)&amp;"'!$G$22:$G$150"),"B",INDIRECT("'"&amp;CHOOSE(MONTH($P26),"JAN","FEV","MAR","ABR","MAI","JUN","JUL","AGO","SET","OUT","NOV","DEZ")&amp;" "&amp;YEAR($P26)&amp;"'!$S$22:$S$150"),"Aprovada"),0)</f>
        <v>0</v>
      </c>
      <c r="V26" s="45" t="n">
        <f aca="true">IFERROR(COUNTIFS(INDIRECT("'"&amp;CHOOSE(MONTH($P26),"JAN","FEV","MAR","ABR","MAI","JUN","JUL","AGO","SET","OUT","NOV","DEZ")&amp;" "&amp;YEAR($P26)&amp;"'!$G$22:$G$150"),"C",INDIRECT("'"&amp;CHOOSE(MONTH($P26),"JAN","FEV","MAR","ABR","MAI","JUN","JUL","AGO","SET","OUT","NOV","DEZ")&amp;" "&amp;YEAR($P26)&amp;"'!$S$22:$S$150"),"Aprovada"),0)</f>
        <v>0</v>
      </c>
      <c r="W26" s="45" t="n">
        <f aca="true">IFERROR(COUNTIFS(INDIRECT("'"&amp;CHOOSE(MONTH($P26),"JAN","FEV","MAR","ABR","MAI","JUN","JUL","AGO","SET","OUT","NOV","DEZ")&amp;" "&amp;YEAR($P26)&amp;"'!$G$22:$G$150"),"A",INDIRECT("'"&amp;CHOOSE(MONTH($P26),"JAN","FEV","MAR","ABR","MAI","JUN","JUL","AGO","SET","OUT","NOV","DEZ")&amp;" "&amp;YEAR($P26)&amp;"'!$U$22:$U$150"),"&lt;&gt;"),0)</f>
        <v>0</v>
      </c>
      <c r="X26" s="45" t="n">
        <f aca="true">IFERROR(COUNTIFS(INDIRECT("'"&amp;CHOOSE(MONTH($P26),"JAN","FEV","MAR","ABR","MAI","JUN","JUL","AGO","SET","OUT","NOV","DEZ")&amp;" "&amp;YEAR($P26)&amp;"'!$G$22:$G$150"),"B",INDIRECT("'"&amp;CHOOSE(MONTH($P26),"JAN","FEV","MAR","ABR","MAI","JUN","JUL","AGO","SET","OUT","NOV","DEZ")&amp;" "&amp;YEAR($P26)&amp;"'!$U$22:$U$150"),"&lt;&gt;"),0)</f>
        <v>0</v>
      </c>
      <c r="Y26" s="45" t="n">
        <f aca="true">IFERROR(COUNTIFS(INDIRECT("'"&amp;CHOOSE(MONTH($P26),"JAN","FEV","MAR","ABR","MAI","JUN","JUL","AGO","SET","OUT","NOV","DEZ")&amp;" "&amp;YEAR($P26)&amp;"'!$G$22:$G$150"),"C",INDIRECT("'"&amp;CHOOSE(MONTH($P26),"JAN","FEV","MAR","ABR","MAI","JUN","JUL","AGO","SET","OUT","NOV","DEZ")&amp;" "&amp;YEAR($P26)&amp;"'!$U$22:$U$150"),"&lt;&gt;"),0)</f>
        <v>0</v>
      </c>
    </row>
    <row r="27" customFormat="false" ht="15" hidden="false" customHeight="false" outlineLevel="0" collapsed="false">
      <c r="A27" s="56" t="str">
        <f aca="false">CHOOSE(MONTH($P27),"JAN","FEV","MAR","ABR","MAI","JUN","JUL","AGO","SET","OUT","NOV","DEZ")&amp;"/"&amp;RIGHT(YEAR($P27),2)</f>
        <v>DEZ/27</v>
      </c>
      <c r="B27" s="57" t="str">
        <f aca="false">IF($Q27=0,"",$T27/$Q27)</f>
        <v/>
      </c>
      <c r="C27" s="57" t="str">
        <f aca="false">IF($R27=0,"",$U27/$R27)</f>
        <v/>
      </c>
      <c r="D27" s="57" t="str">
        <f aca="false">IF($S27=0,"",$V27/$S27)</f>
        <v/>
      </c>
      <c r="E27" s="57" t="str">
        <f aca="false">IF($Q27=0,"",1-$W27/$Q27)</f>
        <v/>
      </c>
      <c r="F27" s="57" t="str">
        <f aca="false">IF($R27=0,"",1-$X27/$R27)</f>
        <v/>
      </c>
      <c r="G27" s="57" t="str">
        <f aca="false">IF($S27=0,"",1-$Y27/$S27)</f>
        <v/>
      </c>
      <c r="H27" s="58" t="n">
        <f aca="false">SUMIFS(OCORRÊNCIAS!$E$6:$E$605,OCORRÊNCIAS!$B$6:$B$605,"Falta",OCORRÊNCIAS!$C$6:$C$605,"A",OCORRÊNCIAS!$I$6:$I$605,$P27)+SUMIFS(OCORRÊNCIAS!$E$6:$E$605,OCORRÊNCIAS!$B$6:$B$605,"Atestado",OCORRÊNCIAS!$C$6:$C$605,"A",OCORRÊNCIAS!$I$6:$I$605,$P27)</f>
        <v>0</v>
      </c>
      <c r="I27" s="58" t="n">
        <f aca="false">SUMIFS(OCORRÊNCIAS!$E$6:$E$605,OCORRÊNCIAS!$B$6:$B$605,"Falta",OCORRÊNCIAS!$C$6:$C$605,"B",OCORRÊNCIAS!$I$6:$I$605,$P27)+SUMIFS(OCORRÊNCIAS!$E$6:$E$605,OCORRÊNCIAS!$B$6:$B$605,"Atestado",OCORRÊNCIAS!$C$6:$C$605,"B",OCORRÊNCIAS!$I$6:$I$605,$P27)</f>
        <v>0</v>
      </c>
      <c r="J27" s="58" t="n">
        <f aca="false">SUMIFS(OCORRÊNCIAS!$E$6:$E$605,OCORRÊNCIAS!$B$6:$B$605,"Falta",OCORRÊNCIAS!$C$6:$C$605,"C",OCORRÊNCIAS!$I$6:$I$605,$P27)+SUMIFS(OCORRÊNCIAS!$E$6:$E$605,OCORRÊNCIAS!$B$6:$B$605,"Atestado",OCORRÊNCIAS!$C$6:$C$605,"C",OCORRÊNCIAS!$I$6:$I$605,$P27)</f>
        <v>0</v>
      </c>
      <c r="K27" s="59" t="str">
        <f aca="false">IF($Q27=0,"",ROUND($B$7*($T27/$Q27)+$D$7*(1-$W27/$Q27)+$F$7*MAX(0,1-$H27/$H$7),1))</f>
        <v/>
      </c>
      <c r="L27" s="59" t="str">
        <f aca="false">IF($R27=0,"",ROUND($B$7*($U27/$R27)+$D$7*(1-$X27/$R27)+$F$7*MAX(0,1-$I27/$H$7),1))</f>
        <v/>
      </c>
      <c r="M27" s="59" t="str">
        <f aca="false">IF($S27=0,"",ROUND($B$7*($V27/$S27)+$D$7*(1-$Y27/$S27)+$F$7*MAX(0,1-$J27/$H$7),1))</f>
        <v/>
      </c>
      <c r="N27" s="60" t="str">
        <f aca="false">IF(N($K27)+N($L27)+N($M27)=0,"—",CHOOSE(MATCH(MAX(N($K27),N($L27),N($M27)),CHOOSE({1,2,3},N($K27),N($L27),N($M27)),0),"Turno A","Turno B","Turno C"))</f>
        <v>—</v>
      </c>
      <c r="P27" s="55" t="n">
        <f aca="false">EDATE(DATE(2026,7,1),17)</f>
        <v>46722</v>
      </c>
      <c r="Q27" s="45" t="n">
        <f aca="true">IFERROR(COUNTIFS(INDIRECT("'"&amp;CHOOSE(MONTH($P27),"JAN","FEV","MAR","ABR","MAI","JUN","JUL","AGO","SET","OUT","NOV","DEZ")&amp;" "&amp;YEAR($P27)&amp;"'!$G$22:$G$150"),"A",INDIRECT("'"&amp;CHOOSE(MONTH($P27),"JAN","FEV","MAR","ABR","MAI","JUN","JUL","AGO","SET","OUT","NOV","DEZ")&amp;" "&amp;YEAR($P27)&amp;"'!$S$22:$S$150"),"Aprovada"),0)+IFERROR(COUNTIFS(INDIRECT("'"&amp;CHOOSE(MONTH($P27),"JAN","FEV","MAR","ABR","MAI","JUN","JUL","AGO","SET","OUT","NOV","DEZ")&amp;" "&amp;YEAR($P27)&amp;"'!$G$22:$G$150"),"A",INDIRECT("'"&amp;CHOOSE(MONTH($P27),"JAN","FEV","MAR","ABR","MAI","JUN","JUL","AGO","SET","OUT","NOV","DEZ")&amp;" "&amp;YEAR($P27)&amp;"'!$S$22:$S$150"),"Entregue"),0)+IFERROR(COUNTIFS(INDIRECT("'"&amp;CHOOSE(MONTH($P27),"JAN","FEV","MAR","ABR","MAI","JUN","JUL","AGO","SET","OUT","NOV","DEZ")&amp;" "&amp;YEAR($P27)&amp;"'!$G$22:$G$150"),"A",INDIRECT("'"&amp;CHOOSE(MONTH($P27),"JAN","FEV","MAR","ABR","MAI","JUN","JUL","AGO","SET","OUT","NOV","DEZ")&amp;" "&amp;YEAR($P27)&amp;"'!$S$22:$S$150"),"Pendente"),0)+IFERROR(COUNTIFS(INDIRECT("'"&amp;CHOOSE(MONTH($P27),"JAN","FEV","MAR","ABR","MAI","JUN","JUL","AGO","SET","OUT","NOV","DEZ")&amp;" "&amp;YEAR($P27)&amp;"'!$G$22:$G$150"),"A",INDIRECT("'"&amp;CHOOSE(MONTH($P27),"JAN","FEV","MAR","ABR","MAI","JUN","JUL","AGO","SET","OUT","NOV","DEZ")&amp;" "&amp;YEAR($P27)&amp;"'!$S$22:$S$150"),"Atrasada"),0)+IFERROR(COUNTIFS(INDIRECT("'"&amp;CHOOSE(MONTH($P27),"JAN","FEV","MAR","ABR","MAI","JUN","JUL","AGO","SET","OUT","NOV","DEZ")&amp;" "&amp;YEAR($P27)&amp;"'!$G$22:$G$150"),"A",INDIRECT("'"&amp;CHOOSE(MONTH($P27),"JAN","FEV","MAR","ABR","MAI","JUN","JUL","AGO","SET","OUT","NOV","DEZ")&amp;" "&amp;YEAR($P27)&amp;"'!$S$22:$S$150"),"Reprovada"),0)</f>
        <v>0</v>
      </c>
      <c r="R27" s="45" t="n">
        <f aca="true">IFERROR(COUNTIFS(INDIRECT("'"&amp;CHOOSE(MONTH($P27),"JAN","FEV","MAR","ABR","MAI","JUN","JUL","AGO","SET","OUT","NOV","DEZ")&amp;" "&amp;YEAR($P27)&amp;"'!$G$22:$G$150"),"B",INDIRECT("'"&amp;CHOOSE(MONTH($P27),"JAN","FEV","MAR","ABR","MAI","JUN","JUL","AGO","SET","OUT","NOV","DEZ")&amp;" "&amp;YEAR($P27)&amp;"'!$S$22:$S$150"),"Aprovada"),0)+IFERROR(COUNTIFS(INDIRECT("'"&amp;CHOOSE(MONTH($P27),"JAN","FEV","MAR","ABR","MAI","JUN","JUL","AGO","SET","OUT","NOV","DEZ")&amp;" "&amp;YEAR($P27)&amp;"'!$G$22:$G$150"),"B",INDIRECT("'"&amp;CHOOSE(MONTH($P27),"JAN","FEV","MAR","ABR","MAI","JUN","JUL","AGO","SET","OUT","NOV","DEZ")&amp;" "&amp;YEAR($P27)&amp;"'!$S$22:$S$150"),"Entregue"),0)+IFERROR(COUNTIFS(INDIRECT("'"&amp;CHOOSE(MONTH($P27),"JAN","FEV","MAR","ABR","MAI","JUN","JUL","AGO","SET","OUT","NOV","DEZ")&amp;" "&amp;YEAR($P27)&amp;"'!$G$22:$G$150"),"B",INDIRECT("'"&amp;CHOOSE(MONTH($P27),"JAN","FEV","MAR","ABR","MAI","JUN","JUL","AGO","SET","OUT","NOV","DEZ")&amp;" "&amp;YEAR($P27)&amp;"'!$S$22:$S$150"),"Pendente"),0)+IFERROR(COUNTIFS(INDIRECT("'"&amp;CHOOSE(MONTH($P27),"JAN","FEV","MAR","ABR","MAI","JUN","JUL","AGO","SET","OUT","NOV","DEZ")&amp;" "&amp;YEAR($P27)&amp;"'!$G$22:$G$150"),"B",INDIRECT("'"&amp;CHOOSE(MONTH($P27),"JAN","FEV","MAR","ABR","MAI","JUN","JUL","AGO","SET","OUT","NOV","DEZ")&amp;" "&amp;YEAR($P27)&amp;"'!$S$22:$S$150"),"Atrasada"),0)+IFERROR(COUNTIFS(INDIRECT("'"&amp;CHOOSE(MONTH($P27),"JAN","FEV","MAR","ABR","MAI","JUN","JUL","AGO","SET","OUT","NOV","DEZ")&amp;" "&amp;YEAR($P27)&amp;"'!$G$22:$G$150"),"B",INDIRECT("'"&amp;CHOOSE(MONTH($P27),"JAN","FEV","MAR","ABR","MAI","JUN","JUL","AGO","SET","OUT","NOV","DEZ")&amp;" "&amp;YEAR($P27)&amp;"'!$S$22:$S$150"),"Reprovada"),0)</f>
        <v>0</v>
      </c>
      <c r="S27" s="45" t="n">
        <f aca="true">IFERROR(COUNTIFS(INDIRECT("'"&amp;CHOOSE(MONTH($P27),"JAN","FEV","MAR","ABR","MAI","JUN","JUL","AGO","SET","OUT","NOV","DEZ")&amp;" "&amp;YEAR($P27)&amp;"'!$G$22:$G$150"),"C",INDIRECT("'"&amp;CHOOSE(MONTH($P27),"JAN","FEV","MAR","ABR","MAI","JUN","JUL","AGO","SET","OUT","NOV","DEZ")&amp;" "&amp;YEAR($P27)&amp;"'!$S$22:$S$150"),"Aprovada"),0)+IFERROR(COUNTIFS(INDIRECT("'"&amp;CHOOSE(MONTH($P27),"JAN","FEV","MAR","ABR","MAI","JUN","JUL","AGO","SET","OUT","NOV","DEZ")&amp;" "&amp;YEAR($P27)&amp;"'!$G$22:$G$150"),"C",INDIRECT("'"&amp;CHOOSE(MONTH($P27),"JAN","FEV","MAR","ABR","MAI","JUN","JUL","AGO","SET","OUT","NOV","DEZ")&amp;" "&amp;YEAR($P27)&amp;"'!$S$22:$S$150"),"Entregue"),0)+IFERROR(COUNTIFS(INDIRECT("'"&amp;CHOOSE(MONTH($P27),"JAN","FEV","MAR","ABR","MAI","JUN","JUL","AGO","SET","OUT","NOV","DEZ")&amp;" "&amp;YEAR($P27)&amp;"'!$G$22:$G$150"),"C",INDIRECT("'"&amp;CHOOSE(MONTH($P27),"JAN","FEV","MAR","ABR","MAI","JUN","JUL","AGO","SET","OUT","NOV","DEZ")&amp;" "&amp;YEAR($P27)&amp;"'!$S$22:$S$150"),"Pendente"),0)+IFERROR(COUNTIFS(INDIRECT("'"&amp;CHOOSE(MONTH($P27),"JAN","FEV","MAR","ABR","MAI","JUN","JUL","AGO","SET","OUT","NOV","DEZ")&amp;" "&amp;YEAR($P27)&amp;"'!$G$22:$G$150"),"C",INDIRECT("'"&amp;CHOOSE(MONTH($P27),"JAN","FEV","MAR","ABR","MAI","JUN","JUL","AGO","SET","OUT","NOV","DEZ")&amp;" "&amp;YEAR($P27)&amp;"'!$S$22:$S$150"),"Atrasada"),0)+IFERROR(COUNTIFS(INDIRECT("'"&amp;CHOOSE(MONTH($P27),"JAN","FEV","MAR","ABR","MAI","JUN","JUL","AGO","SET","OUT","NOV","DEZ")&amp;" "&amp;YEAR($P27)&amp;"'!$G$22:$G$150"),"C",INDIRECT("'"&amp;CHOOSE(MONTH($P27),"JAN","FEV","MAR","ABR","MAI","JUN","JUL","AGO","SET","OUT","NOV","DEZ")&amp;" "&amp;YEAR($P27)&amp;"'!$S$22:$S$150"),"Reprovada"),0)</f>
        <v>0</v>
      </c>
      <c r="T27" s="45" t="n">
        <f aca="true">IFERROR(COUNTIFS(INDIRECT("'"&amp;CHOOSE(MONTH($P27),"JAN","FEV","MAR","ABR","MAI","JUN","JUL","AGO","SET","OUT","NOV","DEZ")&amp;" "&amp;YEAR($P27)&amp;"'!$G$22:$G$150"),"A",INDIRECT("'"&amp;CHOOSE(MONTH($P27),"JAN","FEV","MAR","ABR","MAI","JUN","JUL","AGO","SET","OUT","NOV","DEZ")&amp;" "&amp;YEAR($P27)&amp;"'!$S$22:$S$150"),"Aprovada"),0)</f>
        <v>0</v>
      </c>
      <c r="U27" s="45" t="n">
        <f aca="true">IFERROR(COUNTIFS(INDIRECT("'"&amp;CHOOSE(MONTH($P27),"JAN","FEV","MAR","ABR","MAI","JUN","JUL","AGO","SET","OUT","NOV","DEZ")&amp;" "&amp;YEAR($P27)&amp;"'!$G$22:$G$150"),"B",INDIRECT("'"&amp;CHOOSE(MONTH($P27),"JAN","FEV","MAR","ABR","MAI","JUN","JUL","AGO","SET","OUT","NOV","DEZ")&amp;" "&amp;YEAR($P27)&amp;"'!$S$22:$S$150"),"Aprovada"),0)</f>
        <v>0</v>
      </c>
      <c r="V27" s="45" t="n">
        <f aca="true">IFERROR(COUNTIFS(INDIRECT("'"&amp;CHOOSE(MONTH($P27),"JAN","FEV","MAR","ABR","MAI","JUN","JUL","AGO","SET","OUT","NOV","DEZ")&amp;" "&amp;YEAR($P27)&amp;"'!$G$22:$G$150"),"C",INDIRECT("'"&amp;CHOOSE(MONTH($P27),"JAN","FEV","MAR","ABR","MAI","JUN","JUL","AGO","SET","OUT","NOV","DEZ")&amp;" "&amp;YEAR($P27)&amp;"'!$S$22:$S$150"),"Aprovada"),0)</f>
        <v>0</v>
      </c>
      <c r="W27" s="45" t="n">
        <f aca="true">IFERROR(COUNTIFS(INDIRECT("'"&amp;CHOOSE(MONTH($P27),"JAN","FEV","MAR","ABR","MAI","JUN","JUL","AGO","SET","OUT","NOV","DEZ")&amp;" "&amp;YEAR($P27)&amp;"'!$G$22:$G$150"),"A",INDIRECT("'"&amp;CHOOSE(MONTH($P27),"JAN","FEV","MAR","ABR","MAI","JUN","JUL","AGO","SET","OUT","NOV","DEZ")&amp;" "&amp;YEAR($P27)&amp;"'!$U$22:$U$150"),"&lt;&gt;"),0)</f>
        <v>0</v>
      </c>
      <c r="X27" s="45" t="n">
        <f aca="true">IFERROR(COUNTIFS(INDIRECT("'"&amp;CHOOSE(MONTH($P27),"JAN","FEV","MAR","ABR","MAI","JUN","JUL","AGO","SET","OUT","NOV","DEZ")&amp;" "&amp;YEAR($P27)&amp;"'!$G$22:$G$150"),"B",INDIRECT("'"&amp;CHOOSE(MONTH($P27),"JAN","FEV","MAR","ABR","MAI","JUN","JUL","AGO","SET","OUT","NOV","DEZ")&amp;" "&amp;YEAR($P27)&amp;"'!$U$22:$U$150"),"&lt;&gt;"),0)</f>
        <v>0</v>
      </c>
      <c r="Y27" s="45" t="n">
        <f aca="true">IFERROR(COUNTIFS(INDIRECT("'"&amp;CHOOSE(MONTH($P27),"JAN","FEV","MAR","ABR","MAI","JUN","JUL","AGO","SET","OUT","NOV","DEZ")&amp;" "&amp;YEAR($P27)&amp;"'!$G$22:$G$150"),"C",INDIRECT("'"&amp;CHOOSE(MONTH($P27),"JAN","FEV","MAR","ABR","MAI","JUN","JUL","AGO","SET","OUT","NOV","DEZ")&amp;" "&amp;YEAR($P27)&amp;"'!$U$22:$U$150"),"&lt;&gt;"),0)</f>
        <v>0</v>
      </c>
    </row>
    <row r="29" customFormat="false" ht="27.75" hidden="false" customHeight="true" outlineLevel="0" collapsed="false">
      <c r="A29" s="46" t="s">
        <v>124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</row>
  </sheetData>
  <mergeCells count="3">
    <mergeCell ref="A1:K1"/>
    <mergeCell ref="A5:N5"/>
    <mergeCell ref="A29:N29"/>
  </mergeCells>
  <conditionalFormatting sqref="K10:M27">
    <cfRule type="colorScale" priority="2">
      <colorScale>
        <cfvo type="num" val="40"/>
        <cfvo type="num" val="70"/>
        <cfvo type="num" val="95"/>
        <color rgb="FFFBDCDC"/>
        <color rgb="FFFFF6BF"/>
        <color rgb="FFDCF3E6"/>
      </colorScale>
    </cfRule>
  </conditionalFormatting>
  <conditionalFormatting sqref="H10:J27">
    <cfRule type="colorScale" priority="3">
      <colorScale>
        <cfvo type="num" val="0"/>
        <cfvo type="num" val="15"/>
        <color rgb="FFFFFFFF"/>
        <color rgb="FFF4B6B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64"/>
    <col collapsed="false" customWidth="true" hidden="false" outlineLevel="0" max="4" min="4" style="0" width="52"/>
  </cols>
  <sheetData>
    <row r="1" customFormat="false" ht="45.75" hidden="false" customHeight="true" outlineLevel="0" collapsed="false">
      <c r="A1" s="1" t="s">
        <v>125</v>
      </c>
      <c r="B1" s="1"/>
      <c r="C1" s="2"/>
      <c r="D1" s="2"/>
    </row>
    <row r="2" customFormat="false" ht="4.5" hidden="false" customHeight="true" outlineLevel="0" collapsed="false">
      <c r="A2" s="3"/>
      <c r="B2" s="3"/>
      <c r="C2" s="4"/>
      <c r="D2" s="4"/>
    </row>
    <row r="3" customFormat="false" ht="42" hidden="false" customHeight="true" outlineLevel="0" collapsed="false">
      <c r="A3" s="11" t="s">
        <v>126</v>
      </c>
      <c r="B3" s="11"/>
      <c r="C3" s="11"/>
      <c r="D3" s="11"/>
    </row>
    <row r="5" customFormat="false" ht="15" hidden="false" customHeight="false" outlineLevel="0" collapsed="false">
      <c r="A5" s="25" t="s">
        <v>127</v>
      </c>
      <c r="B5" s="25" t="s">
        <v>128</v>
      </c>
      <c r="C5" s="25" t="s">
        <v>129</v>
      </c>
      <c r="D5" s="25" t="s">
        <v>130</v>
      </c>
    </row>
    <row r="6" customFormat="false" ht="15" hidden="false" customHeight="false" outlineLevel="0" collapsed="false">
      <c r="C6" s="61" t="s">
        <v>131</v>
      </c>
    </row>
  </sheetData>
  <mergeCells count="2">
    <mergeCell ref="A1:B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9" min="9" style="0" width="20"/>
    <col collapsed="false" customWidth="true" hidden="false" outlineLevel="0" max="10" min="10" style="0" width="14"/>
    <col collapsed="false" customWidth="true" hidden="true" outlineLevel="0" max="12" min="12" style="0" width="11"/>
    <col collapsed="false" customWidth="true" hidden="true" outlineLevel="0" max="15" min="13" style="0" width="13"/>
  </cols>
  <sheetData>
    <row r="1" customFormat="false" ht="45.7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2"/>
      <c r="I1" s="2"/>
      <c r="J1" s="2"/>
    </row>
    <row r="2" customFormat="false" ht="4.5" hidden="false" customHeight="true" outlineLevel="0" collapsed="false">
      <c r="A2" s="3"/>
      <c r="B2" s="3"/>
      <c r="C2" s="3"/>
      <c r="D2" s="3"/>
      <c r="E2" s="3"/>
      <c r="F2" s="4"/>
      <c r="G2" s="4"/>
      <c r="H2" s="4"/>
      <c r="I2" s="4"/>
      <c r="J2" s="4"/>
    </row>
    <row r="3" customFormat="false" ht="15" hidden="false" customHeight="false" outlineLevel="0" collapsed="false">
      <c r="A3" s="19" t="s">
        <v>133</v>
      </c>
      <c r="C3" s="19" t="s">
        <v>134</v>
      </c>
      <c r="E3" s="19" t="s">
        <v>63</v>
      </c>
      <c r="G3" s="19" t="s">
        <v>135</v>
      </c>
      <c r="I3" s="62" t="str">
        <f aca="true">TEXT(TODAY(),"dd/mm/yyyy")&amp;" — visão geral"</f>
        <v>30/07/2026 — visão geral</v>
      </c>
    </row>
    <row r="4" customFormat="false" ht="19.7" hidden="false" customHeight="false" outlineLevel="0" collapsed="false">
      <c r="A4" s="41" t="n">
        <f aca="false">SUM(B8:B25)</f>
        <v>212</v>
      </c>
      <c r="C4" s="41" t="n">
        <f aca="false">SUM(C8:C25)</f>
        <v>0</v>
      </c>
      <c r="E4" s="40" t="n">
        <f aca="false">SUM(F8:F25)</f>
        <v>34</v>
      </c>
      <c r="G4" s="63" t="n">
        <f aca="false">IF(SUM(B8:B25)=0,0,SUM(C8:C25)/SUM(B8:B25))</f>
        <v>0</v>
      </c>
    </row>
    <row r="6" customFormat="false" ht="15" hidden="false" customHeight="false" outlineLevel="0" collapsed="false">
      <c r="A6" s="24" t="s">
        <v>136</v>
      </c>
    </row>
    <row r="7" customFormat="false" ht="19.4" hidden="false" customHeight="false" outlineLevel="0" collapsed="false">
      <c r="A7" s="25" t="s">
        <v>70</v>
      </c>
      <c r="B7" s="25" t="s">
        <v>77</v>
      </c>
      <c r="C7" s="25" t="s">
        <v>137</v>
      </c>
      <c r="D7" s="25" t="s">
        <v>138</v>
      </c>
      <c r="E7" s="25" t="s">
        <v>139</v>
      </c>
      <c r="F7" s="25" t="s">
        <v>140</v>
      </c>
      <c r="G7" s="25" t="s">
        <v>141</v>
      </c>
      <c r="H7" s="25" t="s">
        <v>142</v>
      </c>
      <c r="I7" s="25" t="s">
        <v>143</v>
      </c>
      <c r="J7" s="25" t="s">
        <v>144</v>
      </c>
    </row>
    <row r="8" customFormat="false" ht="15" hidden="false" customHeight="false" outlineLevel="0" collapsed="false">
      <c r="A8" s="56" t="str">
        <f aca="false">CHOOSE(MONTH($L8),"JAN","FEV","MAR","ABR","MAI","JUN","JUL","AGO","SET","OUT","NOV","DEZ")&amp;" "&amp;YEAR($L8)</f>
        <v>JUL 2026</v>
      </c>
      <c r="B8" s="60" t="n">
        <f aca="true">IFERROR(COUNTIF(INDIRECT("'"&amp;$A8&amp;"'!$S$22:$S$150"),"Aprovada"),0)+IFERROR(COUNTIF(INDIRECT("'"&amp;$A8&amp;"'!$S$22:$S$150"),"Entregue"),0)+IFERROR(COUNTIF(INDIRECT("'"&amp;$A8&amp;"'!$S$22:$S$150"),"Pendente"),0)+IFERROR(COUNTIF(INDIRECT("'"&amp;$A8&amp;"'!$S$22:$S$150"),"Atrasada"),0)+IFERROR(COUNTIF(INDIRECT("'"&amp;$A8&amp;"'!$S$22:$S$150"),"Reprovada"),0)</f>
        <v>39</v>
      </c>
      <c r="C8" s="60" t="n">
        <f aca="true">IFERROR(COUNTIF(INDIRECT("'"&amp;$A8&amp;"'!$S$22:$S$150"),"Aprovada"),0)</f>
        <v>0</v>
      </c>
      <c r="D8" s="60" t="n">
        <f aca="true">IFERROR(COUNTIF(INDIRECT("'"&amp;$A8&amp;"'!$S$22:$S$150"),"Entregue"),0)</f>
        <v>0</v>
      </c>
      <c r="E8" s="60" t="n">
        <f aca="true">IFERROR(COUNTIF(INDIRECT("'"&amp;$A8&amp;"'!$S$22:$S$150"),"Pendente"),0)</f>
        <v>5</v>
      </c>
      <c r="F8" s="58" t="n">
        <f aca="true">IFERROR(COUNTIF(INDIRECT("'"&amp;$A8&amp;"'!$S$22:$S$150"),"Atrasada"),0)</f>
        <v>34</v>
      </c>
      <c r="G8" s="60" t="n">
        <f aca="true">IFERROR(COUNTIF(INDIRECT("'"&amp;$A8&amp;"'!$S$22:$S$150"),"Reprovada"),0)</f>
        <v>0</v>
      </c>
      <c r="H8" s="64" t="n">
        <f aca="false">IF($B8=0,0,$C8/$B8)</f>
        <v>0</v>
      </c>
      <c r="I8" s="60" t="str">
        <f aca="false">IF($B8=0,"",REPT("█",ROUND($H8*15,0))&amp;REPT("░",15-ROUND($H8*15,0)))</f>
        <v>░░░░░░░░░░░░░░░</v>
      </c>
      <c r="J8" s="58" t="str">
        <f aca="false">IF($B8=0,"—",IF($C8=$B8,"Concluído",IF($F8&gt;0,"Com atrasos","Em andamento")))</f>
        <v>Com atrasos</v>
      </c>
      <c r="L8" s="33" t="n">
        <f aca="false">EDATE(DATE(2026,7,1),0)</f>
        <v>46204</v>
      </c>
    </row>
    <row r="9" customFormat="false" ht="15" hidden="false" customHeight="false" outlineLevel="0" collapsed="false">
      <c r="A9" s="9" t="str">
        <f aca="false">CHOOSE(MONTH($L9),"JAN","FEV","MAR","ABR","MAI","JUN","JUL","AGO","SET","OUT","NOV","DEZ")&amp;" "&amp;YEAR($L9)</f>
        <v>AGO 2026</v>
      </c>
      <c r="B9" s="31" t="n">
        <f aca="true">IFERROR(COUNTIF(INDIRECT("'"&amp;$A9&amp;"'!$S$22:$S$150"),"Aprovada"),0)+IFERROR(COUNTIF(INDIRECT("'"&amp;$A9&amp;"'!$S$22:$S$150"),"Entregue"),0)+IFERROR(COUNTIF(INDIRECT("'"&amp;$A9&amp;"'!$S$22:$S$150"),"Pendente"),0)+IFERROR(COUNTIF(INDIRECT("'"&amp;$A9&amp;"'!$S$22:$S$150"),"Atrasada"),0)+IFERROR(COUNTIF(INDIRECT("'"&amp;$A9&amp;"'!$S$22:$S$150"),"Reprovada"),0)</f>
        <v>32</v>
      </c>
      <c r="C9" s="31" t="n">
        <f aca="true">IFERROR(COUNTIF(INDIRECT("'"&amp;$A9&amp;"'!$S$22:$S$150"),"Aprovada"),0)</f>
        <v>0</v>
      </c>
      <c r="D9" s="31" t="n">
        <f aca="true">IFERROR(COUNTIF(INDIRECT("'"&amp;$A9&amp;"'!$S$22:$S$150"),"Entregue"),0)</f>
        <v>0</v>
      </c>
      <c r="E9" s="31" t="n">
        <f aca="true">IFERROR(COUNTIF(INDIRECT("'"&amp;$A9&amp;"'!$S$22:$S$150"),"Pendente"),0)</f>
        <v>32</v>
      </c>
      <c r="F9" s="31" t="n">
        <f aca="true">IFERROR(COUNTIF(INDIRECT("'"&amp;$A9&amp;"'!$S$22:$S$150"),"Atrasada"),0)</f>
        <v>0</v>
      </c>
      <c r="G9" s="31" t="n">
        <f aca="true">IFERROR(COUNTIF(INDIRECT("'"&amp;$A9&amp;"'!$S$22:$S$150"),"Reprovada"),0)</f>
        <v>0</v>
      </c>
      <c r="H9" s="65" t="n">
        <f aca="false">IF($B9=0,0,$C9/$B9)</f>
        <v>0</v>
      </c>
      <c r="I9" s="31" t="str">
        <f aca="false">IF($B9=0,"",REPT("█",ROUND($H9*15,0))&amp;REPT("░",15-ROUND($H9*15,0)))</f>
        <v>░░░░░░░░░░░░░░░</v>
      </c>
      <c r="J9" s="31" t="str">
        <f aca="false">IF($B9=0,"—",IF($C9=$B9,"Concluído",IF($F9&gt;0,"Com atrasos","Em andamento")))</f>
        <v>Em andamento</v>
      </c>
      <c r="L9" s="33" t="n">
        <f aca="false">EDATE(DATE(2026,7,1),1)</f>
        <v>46235</v>
      </c>
    </row>
    <row r="10" customFormat="false" ht="15" hidden="false" customHeight="false" outlineLevel="0" collapsed="false">
      <c r="A10" s="56" t="str">
        <f aca="false">CHOOSE(MONTH($L10),"JAN","FEV","MAR","ABR","MAI","JUN","JUL","AGO","SET","OUT","NOV","DEZ")&amp;" "&amp;YEAR($L10)</f>
        <v>SET 2026</v>
      </c>
      <c r="B10" s="60" t="n">
        <f aca="true">IFERROR(COUNTIF(INDIRECT("'"&amp;$A10&amp;"'!$S$22:$S$150"),"Aprovada"),0)+IFERROR(COUNTIF(INDIRECT("'"&amp;$A10&amp;"'!$S$22:$S$150"),"Entregue"),0)+IFERROR(COUNTIF(INDIRECT("'"&amp;$A10&amp;"'!$S$22:$S$150"),"Pendente"),0)+IFERROR(COUNTIF(INDIRECT("'"&amp;$A10&amp;"'!$S$22:$S$150"),"Atrasada"),0)+IFERROR(COUNTIF(INDIRECT("'"&amp;$A10&amp;"'!$S$22:$S$150"),"Reprovada"),0)</f>
        <v>35</v>
      </c>
      <c r="C10" s="60" t="n">
        <f aca="true">IFERROR(COUNTIF(INDIRECT("'"&amp;$A10&amp;"'!$S$22:$S$150"),"Aprovada"),0)</f>
        <v>0</v>
      </c>
      <c r="D10" s="60" t="n">
        <f aca="true">IFERROR(COUNTIF(INDIRECT("'"&amp;$A10&amp;"'!$S$22:$S$150"),"Entregue"),0)</f>
        <v>0</v>
      </c>
      <c r="E10" s="60" t="n">
        <f aca="true">IFERROR(COUNTIF(INDIRECT("'"&amp;$A10&amp;"'!$S$22:$S$150"),"Pendente"),0)</f>
        <v>35</v>
      </c>
      <c r="F10" s="58" t="n">
        <f aca="true">IFERROR(COUNTIF(INDIRECT("'"&amp;$A10&amp;"'!$S$22:$S$150"),"Atrasada"),0)</f>
        <v>0</v>
      </c>
      <c r="G10" s="60" t="n">
        <f aca="true">IFERROR(COUNTIF(INDIRECT("'"&amp;$A10&amp;"'!$S$22:$S$150"),"Reprovada"),0)</f>
        <v>0</v>
      </c>
      <c r="H10" s="64" t="n">
        <f aca="false">IF($B10=0,0,$C10/$B10)</f>
        <v>0</v>
      </c>
      <c r="I10" s="60" t="str">
        <f aca="false">IF($B10=0,"",REPT("█",ROUND($H10*15,0))&amp;REPT("░",15-ROUND($H10*15,0)))</f>
        <v>░░░░░░░░░░░░░░░</v>
      </c>
      <c r="J10" s="58" t="str">
        <f aca="false">IF($B10=0,"—",IF($C10=$B10,"Concluído",IF($F10&gt;0,"Com atrasos","Em andamento")))</f>
        <v>Em andamento</v>
      </c>
      <c r="L10" s="33" t="n">
        <f aca="false">EDATE(DATE(2026,7,1),2)</f>
        <v>46266</v>
      </c>
    </row>
    <row r="11" customFormat="false" ht="15" hidden="false" customHeight="false" outlineLevel="0" collapsed="false">
      <c r="A11" s="9" t="str">
        <f aca="false">CHOOSE(MONTH($L11),"JAN","FEV","MAR","ABR","MAI","JUN","JUL","AGO","SET","OUT","NOV","DEZ")&amp;" "&amp;YEAR($L11)</f>
        <v>OUT 2026</v>
      </c>
      <c r="B11" s="31" t="n">
        <f aca="true">IFERROR(COUNTIF(INDIRECT("'"&amp;$A11&amp;"'!$S$22:$S$150"),"Aprovada"),0)+IFERROR(COUNTIF(INDIRECT("'"&amp;$A11&amp;"'!$S$22:$S$150"),"Entregue"),0)+IFERROR(COUNTIF(INDIRECT("'"&amp;$A11&amp;"'!$S$22:$S$150"),"Pendente"),0)+IFERROR(COUNTIF(INDIRECT("'"&amp;$A11&amp;"'!$S$22:$S$150"),"Atrasada"),0)+IFERROR(COUNTIF(INDIRECT("'"&amp;$A11&amp;"'!$S$22:$S$150"),"Reprovada"),0)</f>
        <v>36</v>
      </c>
      <c r="C11" s="31" t="n">
        <f aca="true">IFERROR(COUNTIF(INDIRECT("'"&amp;$A11&amp;"'!$S$22:$S$150"),"Aprovada"),0)</f>
        <v>0</v>
      </c>
      <c r="D11" s="31" t="n">
        <f aca="true">IFERROR(COUNTIF(INDIRECT("'"&amp;$A11&amp;"'!$S$22:$S$150"),"Entregue"),0)</f>
        <v>0</v>
      </c>
      <c r="E11" s="31" t="n">
        <f aca="true">IFERROR(COUNTIF(INDIRECT("'"&amp;$A11&amp;"'!$S$22:$S$150"),"Pendente"),0)</f>
        <v>36</v>
      </c>
      <c r="F11" s="31" t="n">
        <f aca="true">IFERROR(COUNTIF(INDIRECT("'"&amp;$A11&amp;"'!$S$22:$S$150"),"Atrasada"),0)</f>
        <v>0</v>
      </c>
      <c r="G11" s="31" t="n">
        <f aca="true">IFERROR(COUNTIF(INDIRECT("'"&amp;$A11&amp;"'!$S$22:$S$150"),"Reprovada"),0)</f>
        <v>0</v>
      </c>
      <c r="H11" s="65" t="n">
        <f aca="false">IF($B11=0,0,$C11/$B11)</f>
        <v>0</v>
      </c>
      <c r="I11" s="31" t="str">
        <f aca="false">IF($B11=0,"",REPT("█",ROUND($H11*15,0))&amp;REPT("░",15-ROUND($H11*15,0)))</f>
        <v>░░░░░░░░░░░░░░░</v>
      </c>
      <c r="J11" s="31" t="str">
        <f aca="false">IF($B11=0,"—",IF($C11=$B11,"Concluído",IF($F11&gt;0,"Com atrasos","Em andamento")))</f>
        <v>Em andamento</v>
      </c>
      <c r="L11" s="33" t="n">
        <f aca="false">EDATE(DATE(2026,7,1),3)</f>
        <v>46296</v>
      </c>
    </row>
    <row r="12" customFormat="false" ht="15" hidden="false" customHeight="false" outlineLevel="0" collapsed="false">
      <c r="A12" s="56" t="str">
        <f aca="false">CHOOSE(MONTH($L12),"JAN","FEV","MAR","ABR","MAI","JUN","JUL","AGO","SET","OUT","NOV","DEZ")&amp;" "&amp;YEAR($L12)</f>
        <v>NOV 2026</v>
      </c>
      <c r="B12" s="60" t="n">
        <f aca="true">IFERROR(COUNTIF(INDIRECT("'"&amp;$A12&amp;"'!$S$22:$S$150"),"Aprovada"),0)+IFERROR(COUNTIF(INDIRECT("'"&amp;$A12&amp;"'!$S$22:$S$150"),"Entregue"),0)+IFERROR(COUNTIF(INDIRECT("'"&amp;$A12&amp;"'!$S$22:$S$150"),"Pendente"),0)+IFERROR(COUNTIF(INDIRECT("'"&amp;$A12&amp;"'!$S$22:$S$150"),"Atrasada"),0)+IFERROR(COUNTIF(INDIRECT("'"&amp;$A12&amp;"'!$S$22:$S$150"),"Reprovada"),0)</f>
        <v>32</v>
      </c>
      <c r="C12" s="60" t="n">
        <f aca="true">IFERROR(COUNTIF(INDIRECT("'"&amp;$A12&amp;"'!$S$22:$S$150"),"Aprovada"),0)</f>
        <v>0</v>
      </c>
      <c r="D12" s="60" t="n">
        <f aca="true">IFERROR(COUNTIF(INDIRECT("'"&amp;$A12&amp;"'!$S$22:$S$150"),"Entregue"),0)</f>
        <v>0</v>
      </c>
      <c r="E12" s="60" t="n">
        <f aca="true">IFERROR(COUNTIF(INDIRECT("'"&amp;$A12&amp;"'!$S$22:$S$150"),"Pendente"),0)</f>
        <v>32</v>
      </c>
      <c r="F12" s="58" t="n">
        <f aca="true">IFERROR(COUNTIF(INDIRECT("'"&amp;$A12&amp;"'!$S$22:$S$150"),"Atrasada"),0)</f>
        <v>0</v>
      </c>
      <c r="G12" s="60" t="n">
        <f aca="true">IFERROR(COUNTIF(INDIRECT("'"&amp;$A12&amp;"'!$S$22:$S$150"),"Reprovada"),0)</f>
        <v>0</v>
      </c>
      <c r="H12" s="64" t="n">
        <f aca="false">IF($B12=0,0,$C12/$B12)</f>
        <v>0</v>
      </c>
      <c r="I12" s="60" t="str">
        <f aca="false">IF($B12=0,"",REPT("█",ROUND($H12*15,0))&amp;REPT("░",15-ROUND($H12*15,0)))</f>
        <v>░░░░░░░░░░░░░░░</v>
      </c>
      <c r="J12" s="58" t="str">
        <f aca="false">IF($B12=0,"—",IF($C12=$B12,"Concluído",IF($F12&gt;0,"Com atrasos","Em andamento")))</f>
        <v>Em andamento</v>
      </c>
      <c r="L12" s="33" t="n">
        <f aca="false">EDATE(DATE(2026,7,1),4)</f>
        <v>46327</v>
      </c>
    </row>
    <row r="13" customFormat="false" ht="15" hidden="false" customHeight="false" outlineLevel="0" collapsed="false">
      <c r="A13" s="9" t="str">
        <f aca="false">CHOOSE(MONTH($L13),"JAN","FEV","MAR","ABR","MAI","JUN","JUL","AGO","SET","OUT","NOV","DEZ")&amp;" "&amp;YEAR($L13)</f>
        <v>DEZ 2026</v>
      </c>
      <c r="B13" s="31" t="n">
        <f aca="true">IFERROR(COUNTIF(INDIRECT("'"&amp;$A13&amp;"'!$S$22:$S$150"),"Aprovada"),0)+IFERROR(COUNTIF(INDIRECT("'"&amp;$A13&amp;"'!$S$22:$S$150"),"Entregue"),0)+IFERROR(COUNTIF(INDIRECT("'"&amp;$A13&amp;"'!$S$22:$S$150"),"Pendente"),0)+IFERROR(COUNTIF(INDIRECT("'"&amp;$A13&amp;"'!$S$22:$S$150"),"Atrasada"),0)+IFERROR(COUNTIF(INDIRECT("'"&amp;$A13&amp;"'!$S$22:$S$150"),"Reprovada"),0)</f>
        <v>38</v>
      </c>
      <c r="C13" s="31" t="n">
        <f aca="true">IFERROR(COUNTIF(INDIRECT("'"&amp;$A13&amp;"'!$S$22:$S$150"),"Aprovada"),0)</f>
        <v>0</v>
      </c>
      <c r="D13" s="31" t="n">
        <f aca="true">IFERROR(COUNTIF(INDIRECT("'"&amp;$A13&amp;"'!$S$22:$S$150"),"Entregue"),0)</f>
        <v>0</v>
      </c>
      <c r="E13" s="31" t="n">
        <f aca="true">IFERROR(COUNTIF(INDIRECT("'"&amp;$A13&amp;"'!$S$22:$S$150"),"Pendente"),0)</f>
        <v>38</v>
      </c>
      <c r="F13" s="31" t="n">
        <f aca="true">IFERROR(COUNTIF(INDIRECT("'"&amp;$A13&amp;"'!$S$22:$S$150"),"Atrasada"),0)</f>
        <v>0</v>
      </c>
      <c r="G13" s="31" t="n">
        <f aca="true">IFERROR(COUNTIF(INDIRECT("'"&amp;$A13&amp;"'!$S$22:$S$150"),"Reprovada"),0)</f>
        <v>0</v>
      </c>
      <c r="H13" s="65" t="n">
        <f aca="false">IF($B13=0,0,$C13/$B13)</f>
        <v>0</v>
      </c>
      <c r="I13" s="31" t="str">
        <f aca="false">IF($B13=0,"",REPT("█",ROUND($H13*15,0))&amp;REPT("░",15-ROUND($H13*15,0)))</f>
        <v>░░░░░░░░░░░░░░░</v>
      </c>
      <c r="J13" s="31" t="str">
        <f aca="false">IF($B13=0,"—",IF($C13=$B13,"Concluído",IF($F13&gt;0,"Com atrasos","Em andamento")))</f>
        <v>Em andamento</v>
      </c>
      <c r="L13" s="33" t="n">
        <f aca="false">EDATE(DATE(2026,7,1),5)</f>
        <v>46357</v>
      </c>
    </row>
    <row r="14" customFormat="false" ht="15" hidden="false" customHeight="false" outlineLevel="0" collapsed="false">
      <c r="A14" s="56" t="str">
        <f aca="false">CHOOSE(MONTH($L14),"JAN","FEV","MAR","ABR","MAI","JUN","JUL","AGO","SET","OUT","NOV","DEZ")&amp;" "&amp;YEAR($L14)</f>
        <v>JAN 2027</v>
      </c>
      <c r="B14" s="60" t="n">
        <f aca="true">IFERROR(COUNTIF(INDIRECT("'"&amp;$A14&amp;"'!$S$22:$S$150"),"Aprovada"),0)+IFERROR(COUNTIF(INDIRECT("'"&amp;$A14&amp;"'!$S$22:$S$150"),"Entregue"),0)+IFERROR(COUNTIF(INDIRECT("'"&amp;$A14&amp;"'!$S$22:$S$150"),"Pendente"),0)+IFERROR(COUNTIF(INDIRECT("'"&amp;$A14&amp;"'!$S$22:$S$150"),"Atrasada"),0)+IFERROR(COUNTIF(INDIRECT("'"&amp;$A14&amp;"'!$S$22:$S$150"),"Reprovada"),0)</f>
        <v>0</v>
      </c>
      <c r="C14" s="60" t="n">
        <f aca="true">IFERROR(COUNTIF(INDIRECT("'"&amp;$A14&amp;"'!$S$22:$S$150"),"Aprovada"),0)</f>
        <v>0</v>
      </c>
      <c r="D14" s="60" t="n">
        <f aca="true">IFERROR(COUNTIF(INDIRECT("'"&amp;$A14&amp;"'!$S$22:$S$150"),"Entregue"),0)</f>
        <v>0</v>
      </c>
      <c r="E14" s="60" t="n">
        <f aca="true">IFERROR(COUNTIF(INDIRECT("'"&amp;$A14&amp;"'!$S$22:$S$150"),"Pendente"),0)</f>
        <v>0</v>
      </c>
      <c r="F14" s="58" t="n">
        <f aca="true">IFERROR(COUNTIF(INDIRECT("'"&amp;$A14&amp;"'!$S$22:$S$150"),"Atrasada"),0)</f>
        <v>0</v>
      </c>
      <c r="G14" s="60" t="n">
        <f aca="true">IFERROR(COUNTIF(INDIRECT("'"&amp;$A14&amp;"'!$S$22:$S$150"),"Reprovada"),0)</f>
        <v>0</v>
      </c>
      <c r="H14" s="64" t="n">
        <f aca="false">IF($B14=0,0,$C14/$B14)</f>
        <v>0</v>
      </c>
      <c r="I14" s="60" t="str">
        <f aca="false">IF($B14=0,"",REPT("█",ROUND($H14*15,0))&amp;REPT("░",15-ROUND($H14*15,0)))</f>
        <v/>
      </c>
      <c r="J14" s="58" t="str">
        <f aca="false">IF($B14=0,"—",IF($C14=$B14,"Concluído",IF($F14&gt;0,"Com atrasos","Em andamento")))</f>
        <v>—</v>
      </c>
      <c r="L14" s="33" t="n">
        <f aca="false">EDATE(DATE(2026,7,1),6)</f>
        <v>46388</v>
      </c>
    </row>
    <row r="15" customFormat="false" ht="15" hidden="false" customHeight="false" outlineLevel="0" collapsed="false">
      <c r="A15" s="9" t="str">
        <f aca="false">CHOOSE(MONTH($L15),"JAN","FEV","MAR","ABR","MAI","JUN","JUL","AGO","SET","OUT","NOV","DEZ")&amp;" "&amp;YEAR($L15)</f>
        <v>FEV 2027</v>
      </c>
      <c r="B15" s="31" t="n">
        <f aca="true">IFERROR(COUNTIF(INDIRECT("'"&amp;$A15&amp;"'!$S$22:$S$150"),"Aprovada"),0)+IFERROR(COUNTIF(INDIRECT("'"&amp;$A15&amp;"'!$S$22:$S$150"),"Entregue"),0)+IFERROR(COUNTIF(INDIRECT("'"&amp;$A15&amp;"'!$S$22:$S$150"),"Pendente"),0)+IFERROR(COUNTIF(INDIRECT("'"&amp;$A15&amp;"'!$S$22:$S$150"),"Atrasada"),0)+IFERROR(COUNTIF(INDIRECT("'"&amp;$A15&amp;"'!$S$22:$S$150"),"Reprovada"),0)</f>
        <v>0</v>
      </c>
      <c r="C15" s="31" t="n">
        <f aca="true">IFERROR(COUNTIF(INDIRECT("'"&amp;$A15&amp;"'!$S$22:$S$150"),"Aprovada"),0)</f>
        <v>0</v>
      </c>
      <c r="D15" s="31" t="n">
        <f aca="true">IFERROR(COUNTIF(INDIRECT("'"&amp;$A15&amp;"'!$S$22:$S$150"),"Entregue"),0)</f>
        <v>0</v>
      </c>
      <c r="E15" s="31" t="n">
        <f aca="true">IFERROR(COUNTIF(INDIRECT("'"&amp;$A15&amp;"'!$S$22:$S$150"),"Pendente"),0)</f>
        <v>0</v>
      </c>
      <c r="F15" s="31" t="n">
        <f aca="true">IFERROR(COUNTIF(INDIRECT("'"&amp;$A15&amp;"'!$S$22:$S$150"),"Atrasada"),0)</f>
        <v>0</v>
      </c>
      <c r="G15" s="31" t="n">
        <f aca="true">IFERROR(COUNTIF(INDIRECT("'"&amp;$A15&amp;"'!$S$22:$S$150"),"Reprovada"),0)</f>
        <v>0</v>
      </c>
      <c r="H15" s="65" t="n">
        <f aca="false">IF($B15=0,0,$C15/$B15)</f>
        <v>0</v>
      </c>
      <c r="I15" s="31" t="str">
        <f aca="false">IF($B15=0,"",REPT("█",ROUND($H15*15,0))&amp;REPT("░",15-ROUND($H15*15,0)))</f>
        <v/>
      </c>
      <c r="J15" s="31" t="str">
        <f aca="false">IF($B15=0,"—",IF($C15=$B15,"Concluído",IF($F15&gt;0,"Com atrasos","Em andamento")))</f>
        <v>—</v>
      </c>
      <c r="L15" s="33" t="n">
        <f aca="false">EDATE(DATE(2026,7,1),7)</f>
        <v>46419</v>
      </c>
    </row>
    <row r="16" customFormat="false" ht="15" hidden="false" customHeight="false" outlineLevel="0" collapsed="false">
      <c r="A16" s="56" t="str">
        <f aca="false">CHOOSE(MONTH($L16),"JAN","FEV","MAR","ABR","MAI","JUN","JUL","AGO","SET","OUT","NOV","DEZ")&amp;" "&amp;YEAR($L16)</f>
        <v>MAR 2027</v>
      </c>
      <c r="B16" s="60" t="n">
        <f aca="true">IFERROR(COUNTIF(INDIRECT("'"&amp;$A16&amp;"'!$S$22:$S$150"),"Aprovada"),0)+IFERROR(COUNTIF(INDIRECT("'"&amp;$A16&amp;"'!$S$22:$S$150"),"Entregue"),0)+IFERROR(COUNTIF(INDIRECT("'"&amp;$A16&amp;"'!$S$22:$S$150"),"Pendente"),0)+IFERROR(COUNTIF(INDIRECT("'"&amp;$A16&amp;"'!$S$22:$S$150"),"Atrasada"),0)+IFERROR(COUNTIF(INDIRECT("'"&amp;$A16&amp;"'!$S$22:$S$150"),"Reprovada"),0)</f>
        <v>0</v>
      </c>
      <c r="C16" s="60" t="n">
        <f aca="true">IFERROR(COUNTIF(INDIRECT("'"&amp;$A16&amp;"'!$S$22:$S$150"),"Aprovada"),0)</f>
        <v>0</v>
      </c>
      <c r="D16" s="60" t="n">
        <f aca="true">IFERROR(COUNTIF(INDIRECT("'"&amp;$A16&amp;"'!$S$22:$S$150"),"Entregue"),0)</f>
        <v>0</v>
      </c>
      <c r="E16" s="60" t="n">
        <f aca="true">IFERROR(COUNTIF(INDIRECT("'"&amp;$A16&amp;"'!$S$22:$S$150"),"Pendente"),0)</f>
        <v>0</v>
      </c>
      <c r="F16" s="58" t="n">
        <f aca="true">IFERROR(COUNTIF(INDIRECT("'"&amp;$A16&amp;"'!$S$22:$S$150"),"Atrasada"),0)</f>
        <v>0</v>
      </c>
      <c r="G16" s="60" t="n">
        <f aca="true">IFERROR(COUNTIF(INDIRECT("'"&amp;$A16&amp;"'!$S$22:$S$150"),"Reprovada"),0)</f>
        <v>0</v>
      </c>
      <c r="H16" s="64" t="n">
        <f aca="false">IF($B16=0,0,$C16/$B16)</f>
        <v>0</v>
      </c>
      <c r="I16" s="60" t="str">
        <f aca="false">IF($B16=0,"",REPT("█",ROUND($H16*15,0))&amp;REPT("░",15-ROUND($H16*15,0)))</f>
        <v/>
      </c>
      <c r="J16" s="58" t="str">
        <f aca="false">IF($B16=0,"—",IF($C16=$B16,"Concluído",IF($F16&gt;0,"Com atrasos","Em andamento")))</f>
        <v>—</v>
      </c>
      <c r="L16" s="33" t="n">
        <f aca="false">EDATE(DATE(2026,7,1),8)</f>
        <v>46447</v>
      </c>
    </row>
    <row r="17" customFormat="false" ht="15" hidden="false" customHeight="false" outlineLevel="0" collapsed="false">
      <c r="A17" s="9" t="str">
        <f aca="false">CHOOSE(MONTH($L17),"JAN","FEV","MAR","ABR","MAI","JUN","JUL","AGO","SET","OUT","NOV","DEZ")&amp;" "&amp;YEAR($L17)</f>
        <v>ABR 2027</v>
      </c>
      <c r="B17" s="31" t="n">
        <f aca="true">IFERROR(COUNTIF(INDIRECT("'"&amp;$A17&amp;"'!$S$22:$S$150"),"Aprovada"),0)+IFERROR(COUNTIF(INDIRECT("'"&amp;$A17&amp;"'!$S$22:$S$150"),"Entregue"),0)+IFERROR(COUNTIF(INDIRECT("'"&amp;$A17&amp;"'!$S$22:$S$150"),"Pendente"),0)+IFERROR(COUNTIF(INDIRECT("'"&amp;$A17&amp;"'!$S$22:$S$150"),"Atrasada"),0)+IFERROR(COUNTIF(INDIRECT("'"&amp;$A17&amp;"'!$S$22:$S$150"),"Reprovada"),0)</f>
        <v>0</v>
      </c>
      <c r="C17" s="31" t="n">
        <f aca="true">IFERROR(COUNTIF(INDIRECT("'"&amp;$A17&amp;"'!$S$22:$S$150"),"Aprovada"),0)</f>
        <v>0</v>
      </c>
      <c r="D17" s="31" t="n">
        <f aca="true">IFERROR(COUNTIF(INDIRECT("'"&amp;$A17&amp;"'!$S$22:$S$150"),"Entregue"),0)</f>
        <v>0</v>
      </c>
      <c r="E17" s="31" t="n">
        <f aca="true">IFERROR(COUNTIF(INDIRECT("'"&amp;$A17&amp;"'!$S$22:$S$150"),"Pendente"),0)</f>
        <v>0</v>
      </c>
      <c r="F17" s="31" t="n">
        <f aca="true">IFERROR(COUNTIF(INDIRECT("'"&amp;$A17&amp;"'!$S$22:$S$150"),"Atrasada"),0)</f>
        <v>0</v>
      </c>
      <c r="G17" s="31" t="n">
        <f aca="true">IFERROR(COUNTIF(INDIRECT("'"&amp;$A17&amp;"'!$S$22:$S$150"),"Reprovada"),0)</f>
        <v>0</v>
      </c>
      <c r="H17" s="65" t="n">
        <f aca="false">IF($B17=0,0,$C17/$B17)</f>
        <v>0</v>
      </c>
      <c r="I17" s="31" t="str">
        <f aca="false">IF($B17=0,"",REPT("█",ROUND($H17*15,0))&amp;REPT("░",15-ROUND($H17*15,0)))</f>
        <v/>
      </c>
      <c r="J17" s="31" t="str">
        <f aca="false">IF($B17=0,"—",IF($C17=$B17,"Concluído",IF($F17&gt;0,"Com atrasos","Em andamento")))</f>
        <v>—</v>
      </c>
      <c r="L17" s="33" t="n">
        <f aca="false">EDATE(DATE(2026,7,1),9)</f>
        <v>46478</v>
      </c>
    </row>
    <row r="18" customFormat="false" ht="15" hidden="false" customHeight="false" outlineLevel="0" collapsed="false">
      <c r="A18" s="56" t="str">
        <f aca="false">CHOOSE(MONTH($L18),"JAN","FEV","MAR","ABR","MAI","JUN","JUL","AGO","SET","OUT","NOV","DEZ")&amp;" "&amp;YEAR($L18)</f>
        <v>MAI 2027</v>
      </c>
      <c r="B18" s="60" t="n">
        <f aca="true">IFERROR(COUNTIF(INDIRECT("'"&amp;$A18&amp;"'!$S$22:$S$150"),"Aprovada"),0)+IFERROR(COUNTIF(INDIRECT("'"&amp;$A18&amp;"'!$S$22:$S$150"),"Entregue"),0)+IFERROR(COUNTIF(INDIRECT("'"&amp;$A18&amp;"'!$S$22:$S$150"),"Pendente"),0)+IFERROR(COUNTIF(INDIRECT("'"&amp;$A18&amp;"'!$S$22:$S$150"),"Atrasada"),0)+IFERROR(COUNTIF(INDIRECT("'"&amp;$A18&amp;"'!$S$22:$S$150"),"Reprovada"),0)</f>
        <v>0</v>
      </c>
      <c r="C18" s="60" t="n">
        <f aca="true">IFERROR(COUNTIF(INDIRECT("'"&amp;$A18&amp;"'!$S$22:$S$150"),"Aprovada"),0)</f>
        <v>0</v>
      </c>
      <c r="D18" s="60" t="n">
        <f aca="true">IFERROR(COUNTIF(INDIRECT("'"&amp;$A18&amp;"'!$S$22:$S$150"),"Entregue"),0)</f>
        <v>0</v>
      </c>
      <c r="E18" s="60" t="n">
        <f aca="true">IFERROR(COUNTIF(INDIRECT("'"&amp;$A18&amp;"'!$S$22:$S$150"),"Pendente"),0)</f>
        <v>0</v>
      </c>
      <c r="F18" s="58" t="n">
        <f aca="true">IFERROR(COUNTIF(INDIRECT("'"&amp;$A18&amp;"'!$S$22:$S$150"),"Atrasada"),0)</f>
        <v>0</v>
      </c>
      <c r="G18" s="60" t="n">
        <f aca="true">IFERROR(COUNTIF(INDIRECT("'"&amp;$A18&amp;"'!$S$22:$S$150"),"Reprovada"),0)</f>
        <v>0</v>
      </c>
      <c r="H18" s="64" t="n">
        <f aca="false">IF($B18=0,0,$C18/$B18)</f>
        <v>0</v>
      </c>
      <c r="I18" s="60" t="str">
        <f aca="false">IF($B18=0,"",REPT("█",ROUND($H18*15,0))&amp;REPT("░",15-ROUND($H18*15,0)))</f>
        <v/>
      </c>
      <c r="J18" s="58" t="str">
        <f aca="false">IF($B18=0,"—",IF($C18=$B18,"Concluído",IF($F18&gt;0,"Com atrasos","Em andamento")))</f>
        <v>—</v>
      </c>
      <c r="L18" s="33" t="n">
        <f aca="false">EDATE(DATE(2026,7,1),10)</f>
        <v>46508</v>
      </c>
    </row>
    <row r="19" customFormat="false" ht="15" hidden="false" customHeight="false" outlineLevel="0" collapsed="false">
      <c r="A19" s="9" t="str">
        <f aca="false">CHOOSE(MONTH($L19),"JAN","FEV","MAR","ABR","MAI","JUN","JUL","AGO","SET","OUT","NOV","DEZ")&amp;" "&amp;YEAR($L19)</f>
        <v>JUN 2027</v>
      </c>
      <c r="B19" s="31" t="n">
        <f aca="true">IFERROR(COUNTIF(INDIRECT("'"&amp;$A19&amp;"'!$S$22:$S$150"),"Aprovada"),0)+IFERROR(COUNTIF(INDIRECT("'"&amp;$A19&amp;"'!$S$22:$S$150"),"Entregue"),0)+IFERROR(COUNTIF(INDIRECT("'"&amp;$A19&amp;"'!$S$22:$S$150"),"Pendente"),0)+IFERROR(COUNTIF(INDIRECT("'"&amp;$A19&amp;"'!$S$22:$S$150"),"Atrasada"),0)+IFERROR(COUNTIF(INDIRECT("'"&amp;$A19&amp;"'!$S$22:$S$150"),"Reprovada"),0)</f>
        <v>0</v>
      </c>
      <c r="C19" s="31" t="n">
        <f aca="true">IFERROR(COUNTIF(INDIRECT("'"&amp;$A19&amp;"'!$S$22:$S$150"),"Aprovada"),0)</f>
        <v>0</v>
      </c>
      <c r="D19" s="31" t="n">
        <f aca="true">IFERROR(COUNTIF(INDIRECT("'"&amp;$A19&amp;"'!$S$22:$S$150"),"Entregue"),0)</f>
        <v>0</v>
      </c>
      <c r="E19" s="31" t="n">
        <f aca="true">IFERROR(COUNTIF(INDIRECT("'"&amp;$A19&amp;"'!$S$22:$S$150"),"Pendente"),0)</f>
        <v>0</v>
      </c>
      <c r="F19" s="31" t="n">
        <f aca="true">IFERROR(COUNTIF(INDIRECT("'"&amp;$A19&amp;"'!$S$22:$S$150"),"Atrasada"),0)</f>
        <v>0</v>
      </c>
      <c r="G19" s="31" t="n">
        <f aca="true">IFERROR(COUNTIF(INDIRECT("'"&amp;$A19&amp;"'!$S$22:$S$150"),"Reprovada"),0)</f>
        <v>0</v>
      </c>
      <c r="H19" s="65" t="n">
        <f aca="false">IF($B19=0,0,$C19/$B19)</f>
        <v>0</v>
      </c>
      <c r="I19" s="31" t="str">
        <f aca="false">IF($B19=0,"",REPT("█",ROUND($H19*15,0))&amp;REPT("░",15-ROUND($H19*15,0)))</f>
        <v/>
      </c>
      <c r="J19" s="31" t="str">
        <f aca="false">IF($B19=0,"—",IF($C19=$B19,"Concluído",IF($F19&gt;0,"Com atrasos","Em andamento")))</f>
        <v>—</v>
      </c>
      <c r="L19" s="33" t="n">
        <f aca="false">EDATE(DATE(2026,7,1),11)</f>
        <v>46539</v>
      </c>
    </row>
    <row r="20" customFormat="false" ht="15" hidden="false" customHeight="false" outlineLevel="0" collapsed="false">
      <c r="A20" s="56" t="str">
        <f aca="false">CHOOSE(MONTH($L20),"JAN","FEV","MAR","ABR","MAI","JUN","JUL","AGO","SET","OUT","NOV","DEZ")&amp;" "&amp;YEAR($L20)</f>
        <v>JUL 2027</v>
      </c>
      <c r="B20" s="60" t="n">
        <f aca="true">IFERROR(COUNTIF(INDIRECT("'"&amp;$A20&amp;"'!$S$22:$S$150"),"Aprovada"),0)+IFERROR(COUNTIF(INDIRECT("'"&amp;$A20&amp;"'!$S$22:$S$150"),"Entregue"),0)+IFERROR(COUNTIF(INDIRECT("'"&amp;$A20&amp;"'!$S$22:$S$150"),"Pendente"),0)+IFERROR(COUNTIF(INDIRECT("'"&amp;$A20&amp;"'!$S$22:$S$150"),"Atrasada"),0)+IFERROR(COUNTIF(INDIRECT("'"&amp;$A20&amp;"'!$S$22:$S$150"),"Reprovada"),0)</f>
        <v>0</v>
      </c>
      <c r="C20" s="60" t="n">
        <f aca="true">IFERROR(COUNTIF(INDIRECT("'"&amp;$A20&amp;"'!$S$22:$S$150"),"Aprovada"),0)</f>
        <v>0</v>
      </c>
      <c r="D20" s="60" t="n">
        <f aca="true">IFERROR(COUNTIF(INDIRECT("'"&amp;$A20&amp;"'!$S$22:$S$150"),"Entregue"),0)</f>
        <v>0</v>
      </c>
      <c r="E20" s="60" t="n">
        <f aca="true">IFERROR(COUNTIF(INDIRECT("'"&amp;$A20&amp;"'!$S$22:$S$150"),"Pendente"),0)</f>
        <v>0</v>
      </c>
      <c r="F20" s="58" t="n">
        <f aca="true">IFERROR(COUNTIF(INDIRECT("'"&amp;$A20&amp;"'!$S$22:$S$150"),"Atrasada"),0)</f>
        <v>0</v>
      </c>
      <c r="G20" s="60" t="n">
        <f aca="true">IFERROR(COUNTIF(INDIRECT("'"&amp;$A20&amp;"'!$S$22:$S$150"),"Reprovada"),0)</f>
        <v>0</v>
      </c>
      <c r="H20" s="64" t="n">
        <f aca="false">IF($B20=0,0,$C20/$B20)</f>
        <v>0</v>
      </c>
      <c r="I20" s="60" t="str">
        <f aca="false">IF($B20=0,"",REPT("█",ROUND($H20*15,0))&amp;REPT("░",15-ROUND($H20*15,0)))</f>
        <v/>
      </c>
      <c r="J20" s="58" t="str">
        <f aca="false">IF($B20=0,"—",IF($C20=$B20,"Concluído",IF($F20&gt;0,"Com atrasos","Em andamento")))</f>
        <v>—</v>
      </c>
      <c r="L20" s="33" t="n">
        <f aca="false">EDATE(DATE(2026,7,1),12)</f>
        <v>46569</v>
      </c>
    </row>
    <row r="21" customFormat="false" ht="15" hidden="false" customHeight="false" outlineLevel="0" collapsed="false">
      <c r="A21" s="9" t="str">
        <f aca="false">CHOOSE(MONTH($L21),"JAN","FEV","MAR","ABR","MAI","JUN","JUL","AGO","SET","OUT","NOV","DEZ")&amp;" "&amp;YEAR($L21)</f>
        <v>AGO 2027</v>
      </c>
      <c r="B21" s="31" t="n">
        <f aca="true">IFERROR(COUNTIF(INDIRECT("'"&amp;$A21&amp;"'!$S$22:$S$150"),"Aprovada"),0)+IFERROR(COUNTIF(INDIRECT("'"&amp;$A21&amp;"'!$S$22:$S$150"),"Entregue"),0)+IFERROR(COUNTIF(INDIRECT("'"&amp;$A21&amp;"'!$S$22:$S$150"),"Pendente"),0)+IFERROR(COUNTIF(INDIRECT("'"&amp;$A21&amp;"'!$S$22:$S$150"),"Atrasada"),0)+IFERROR(COUNTIF(INDIRECT("'"&amp;$A21&amp;"'!$S$22:$S$150"),"Reprovada"),0)</f>
        <v>0</v>
      </c>
      <c r="C21" s="31" t="n">
        <f aca="true">IFERROR(COUNTIF(INDIRECT("'"&amp;$A21&amp;"'!$S$22:$S$150"),"Aprovada"),0)</f>
        <v>0</v>
      </c>
      <c r="D21" s="31" t="n">
        <f aca="true">IFERROR(COUNTIF(INDIRECT("'"&amp;$A21&amp;"'!$S$22:$S$150"),"Entregue"),0)</f>
        <v>0</v>
      </c>
      <c r="E21" s="31" t="n">
        <f aca="true">IFERROR(COUNTIF(INDIRECT("'"&amp;$A21&amp;"'!$S$22:$S$150"),"Pendente"),0)</f>
        <v>0</v>
      </c>
      <c r="F21" s="31" t="n">
        <f aca="true">IFERROR(COUNTIF(INDIRECT("'"&amp;$A21&amp;"'!$S$22:$S$150"),"Atrasada"),0)</f>
        <v>0</v>
      </c>
      <c r="G21" s="31" t="n">
        <f aca="true">IFERROR(COUNTIF(INDIRECT("'"&amp;$A21&amp;"'!$S$22:$S$150"),"Reprovada"),0)</f>
        <v>0</v>
      </c>
      <c r="H21" s="65" t="n">
        <f aca="false">IF($B21=0,0,$C21/$B21)</f>
        <v>0</v>
      </c>
      <c r="I21" s="31" t="str">
        <f aca="false">IF($B21=0,"",REPT("█",ROUND($H21*15,0))&amp;REPT("░",15-ROUND($H21*15,0)))</f>
        <v/>
      </c>
      <c r="J21" s="31" t="str">
        <f aca="false">IF($B21=0,"—",IF($C21=$B21,"Concluído",IF($F21&gt;0,"Com atrasos","Em andamento")))</f>
        <v>—</v>
      </c>
      <c r="L21" s="33" t="n">
        <f aca="false">EDATE(DATE(2026,7,1),13)</f>
        <v>46600</v>
      </c>
    </row>
    <row r="22" customFormat="false" ht="15" hidden="false" customHeight="false" outlineLevel="0" collapsed="false">
      <c r="A22" s="56" t="str">
        <f aca="false">CHOOSE(MONTH($L22),"JAN","FEV","MAR","ABR","MAI","JUN","JUL","AGO","SET","OUT","NOV","DEZ")&amp;" "&amp;YEAR($L22)</f>
        <v>SET 2027</v>
      </c>
      <c r="B22" s="60" t="n">
        <f aca="true">IFERROR(COUNTIF(INDIRECT("'"&amp;$A22&amp;"'!$S$22:$S$150"),"Aprovada"),0)+IFERROR(COUNTIF(INDIRECT("'"&amp;$A22&amp;"'!$S$22:$S$150"),"Entregue"),0)+IFERROR(COUNTIF(INDIRECT("'"&amp;$A22&amp;"'!$S$22:$S$150"),"Pendente"),0)+IFERROR(COUNTIF(INDIRECT("'"&amp;$A22&amp;"'!$S$22:$S$150"),"Atrasada"),0)+IFERROR(COUNTIF(INDIRECT("'"&amp;$A22&amp;"'!$S$22:$S$150"),"Reprovada"),0)</f>
        <v>0</v>
      </c>
      <c r="C22" s="60" t="n">
        <f aca="true">IFERROR(COUNTIF(INDIRECT("'"&amp;$A22&amp;"'!$S$22:$S$150"),"Aprovada"),0)</f>
        <v>0</v>
      </c>
      <c r="D22" s="60" t="n">
        <f aca="true">IFERROR(COUNTIF(INDIRECT("'"&amp;$A22&amp;"'!$S$22:$S$150"),"Entregue"),0)</f>
        <v>0</v>
      </c>
      <c r="E22" s="60" t="n">
        <f aca="true">IFERROR(COUNTIF(INDIRECT("'"&amp;$A22&amp;"'!$S$22:$S$150"),"Pendente"),0)</f>
        <v>0</v>
      </c>
      <c r="F22" s="58" t="n">
        <f aca="true">IFERROR(COUNTIF(INDIRECT("'"&amp;$A22&amp;"'!$S$22:$S$150"),"Atrasada"),0)</f>
        <v>0</v>
      </c>
      <c r="G22" s="60" t="n">
        <f aca="true">IFERROR(COUNTIF(INDIRECT("'"&amp;$A22&amp;"'!$S$22:$S$150"),"Reprovada"),0)</f>
        <v>0</v>
      </c>
      <c r="H22" s="64" t="n">
        <f aca="false">IF($B22=0,0,$C22/$B22)</f>
        <v>0</v>
      </c>
      <c r="I22" s="60" t="str">
        <f aca="false">IF($B22=0,"",REPT("█",ROUND($H22*15,0))&amp;REPT("░",15-ROUND($H22*15,0)))</f>
        <v/>
      </c>
      <c r="J22" s="58" t="str">
        <f aca="false">IF($B22=0,"—",IF($C22=$B22,"Concluído",IF($F22&gt;0,"Com atrasos","Em andamento")))</f>
        <v>—</v>
      </c>
      <c r="L22" s="33" t="n">
        <f aca="false">EDATE(DATE(2026,7,1),14)</f>
        <v>46631</v>
      </c>
    </row>
    <row r="23" customFormat="false" ht="15" hidden="false" customHeight="false" outlineLevel="0" collapsed="false">
      <c r="A23" s="9" t="str">
        <f aca="false">CHOOSE(MONTH($L23),"JAN","FEV","MAR","ABR","MAI","JUN","JUL","AGO","SET","OUT","NOV","DEZ")&amp;" "&amp;YEAR($L23)</f>
        <v>OUT 2027</v>
      </c>
      <c r="B23" s="31" t="n">
        <f aca="true">IFERROR(COUNTIF(INDIRECT("'"&amp;$A23&amp;"'!$S$22:$S$150"),"Aprovada"),0)+IFERROR(COUNTIF(INDIRECT("'"&amp;$A23&amp;"'!$S$22:$S$150"),"Entregue"),0)+IFERROR(COUNTIF(INDIRECT("'"&amp;$A23&amp;"'!$S$22:$S$150"),"Pendente"),0)+IFERROR(COUNTIF(INDIRECT("'"&amp;$A23&amp;"'!$S$22:$S$150"),"Atrasada"),0)+IFERROR(COUNTIF(INDIRECT("'"&amp;$A23&amp;"'!$S$22:$S$150"),"Reprovada"),0)</f>
        <v>0</v>
      </c>
      <c r="C23" s="31" t="n">
        <f aca="true">IFERROR(COUNTIF(INDIRECT("'"&amp;$A23&amp;"'!$S$22:$S$150"),"Aprovada"),0)</f>
        <v>0</v>
      </c>
      <c r="D23" s="31" t="n">
        <f aca="true">IFERROR(COUNTIF(INDIRECT("'"&amp;$A23&amp;"'!$S$22:$S$150"),"Entregue"),0)</f>
        <v>0</v>
      </c>
      <c r="E23" s="31" t="n">
        <f aca="true">IFERROR(COUNTIF(INDIRECT("'"&amp;$A23&amp;"'!$S$22:$S$150"),"Pendente"),0)</f>
        <v>0</v>
      </c>
      <c r="F23" s="31" t="n">
        <f aca="true">IFERROR(COUNTIF(INDIRECT("'"&amp;$A23&amp;"'!$S$22:$S$150"),"Atrasada"),0)</f>
        <v>0</v>
      </c>
      <c r="G23" s="31" t="n">
        <f aca="true">IFERROR(COUNTIF(INDIRECT("'"&amp;$A23&amp;"'!$S$22:$S$150"),"Reprovada"),0)</f>
        <v>0</v>
      </c>
      <c r="H23" s="65" t="n">
        <f aca="false">IF($B23=0,0,$C23/$B23)</f>
        <v>0</v>
      </c>
      <c r="I23" s="31" t="str">
        <f aca="false">IF($B23=0,"",REPT("█",ROUND($H23*15,0))&amp;REPT("░",15-ROUND($H23*15,0)))</f>
        <v/>
      </c>
      <c r="J23" s="31" t="str">
        <f aca="false">IF($B23=0,"—",IF($C23=$B23,"Concluído",IF($F23&gt;0,"Com atrasos","Em andamento")))</f>
        <v>—</v>
      </c>
      <c r="L23" s="33" t="n">
        <f aca="false">EDATE(DATE(2026,7,1),15)</f>
        <v>46661</v>
      </c>
    </row>
    <row r="24" customFormat="false" ht="15" hidden="false" customHeight="false" outlineLevel="0" collapsed="false">
      <c r="A24" s="56" t="str">
        <f aca="false">CHOOSE(MONTH($L24),"JAN","FEV","MAR","ABR","MAI","JUN","JUL","AGO","SET","OUT","NOV","DEZ")&amp;" "&amp;YEAR($L24)</f>
        <v>NOV 2027</v>
      </c>
      <c r="B24" s="60" t="n">
        <f aca="true">IFERROR(COUNTIF(INDIRECT("'"&amp;$A24&amp;"'!$S$22:$S$150"),"Aprovada"),0)+IFERROR(COUNTIF(INDIRECT("'"&amp;$A24&amp;"'!$S$22:$S$150"),"Entregue"),0)+IFERROR(COUNTIF(INDIRECT("'"&amp;$A24&amp;"'!$S$22:$S$150"),"Pendente"),0)+IFERROR(COUNTIF(INDIRECT("'"&amp;$A24&amp;"'!$S$22:$S$150"),"Atrasada"),0)+IFERROR(COUNTIF(INDIRECT("'"&amp;$A24&amp;"'!$S$22:$S$150"),"Reprovada"),0)</f>
        <v>0</v>
      </c>
      <c r="C24" s="60" t="n">
        <f aca="true">IFERROR(COUNTIF(INDIRECT("'"&amp;$A24&amp;"'!$S$22:$S$150"),"Aprovada"),0)</f>
        <v>0</v>
      </c>
      <c r="D24" s="60" t="n">
        <f aca="true">IFERROR(COUNTIF(INDIRECT("'"&amp;$A24&amp;"'!$S$22:$S$150"),"Entregue"),0)</f>
        <v>0</v>
      </c>
      <c r="E24" s="60" t="n">
        <f aca="true">IFERROR(COUNTIF(INDIRECT("'"&amp;$A24&amp;"'!$S$22:$S$150"),"Pendente"),0)</f>
        <v>0</v>
      </c>
      <c r="F24" s="58" t="n">
        <f aca="true">IFERROR(COUNTIF(INDIRECT("'"&amp;$A24&amp;"'!$S$22:$S$150"),"Atrasada"),0)</f>
        <v>0</v>
      </c>
      <c r="G24" s="60" t="n">
        <f aca="true">IFERROR(COUNTIF(INDIRECT("'"&amp;$A24&amp;"'!$S$22:$S$150"),"Reprovada"),0)</f>
        <v>0</v>
      </c>
      <c r="H24" s="64" t="n">
        <f aca="false">IF($B24=0,0,$C24/$B24)</f>
        <v>0</v>
      </c>
      <c r="I24" s="60" t="str">
        <f aca="false">IF($B24=0,"",REPT("█",ROUND($H24*15,0))&amp;REPT("░",15-ROUND($H24*15,0)))</f>
        <v/>
      </c>
      <c r="J24" s="58" t="str">
        <f aca="false">IF($B24=0,"—",IF($C24=$B24,"Concluído",IF($F24&gt;0,"Com atrasos","Em andamento")))</f>
        <v>—</v>
      </c>
      <c r="L24" s="33" t="n">
        <f aca="false">EDATE(DATE(2026,7,1),16)</f>
        <v>46692</v>
      </c>
    </row>
    <row r="25" customFormat="false" ht="15" hidden="false" customHeight="false" outlineLevel="0" collapsed="false">
      <c r="A25" s="9" t="str">
        <f aca="false">CHOOSE(MONTH($L25),"JAN","FEV","MAR","ABR","MAI","JUN","JUL","AGO","SET","OUT","NOV","DEZ")&amp;" "&amp;YEAR($L25)</f>
        <v>DEZ 2027</v>
      </c>
      <c r="B25" s="31" t="n">
        <f aca="true">IFERROR(COUNTIF(INDIRECT("'"&amp;$A25&amp;"'!$S$22:$S$150"),"Aprovada"),0)+IFERROR(COUNTIF(INDIRECT("'"&amp;$A25&amp;"'!$S$22:$S$150"),"Entregue"),0)+IFERROR(COUNTIF(INDIRECT("'"&amp;$A25&amp;"'!$S$22:$S$150"),"Pendente"),0)+IFERROR(COUNTIF(INDIRECT("'"&amp;$A25&amp;"'!$S$22:$S$150"),"Atrasada"),0)+IFERROR(COUNTIF(INDIRECT("'"&amp;$A25&amp;"'!$S$22:$S$150"),"Reprovada"),0)</f>
        <v>0</v>
      </c>
      <c r="C25" s="31" t="n">
        <f aca="true">IFERROR(COUNTIF(INDIRECT("'"&amp;$A25&amp;"'!$S$22:$S$150"),"Aprovada"),0)</f>
        <v>0</v>
      </c>
      <c r="D25" s="31" t="n">
        <f aca="true">IFERROR(COUNTIF(INDIRECT("'"&amp;$A25&amp;"'!$S$22:$S$150"),"Entregue"),0)</f>
        <v>0</v>
      </c>
      <c r="E25" s="31" t="n">
        <f aca="true">IFERROR(COUNTIF(INDIRECT("'"&amp;$A25&amp;"'!$S$22:$S$150"),"Pendente"),0)</f>
        <v>0</v>
      </c>
      <c r="F25" s="31" t="n">
        <f aca="true">IFERROR(COUNTIF(INDIRECT("'"&amp;$A25&amp;"'!$S$22:$S$150"),"Atrasada"),0)</f>
        <v>0</v>
      </c>
      <c r="G25" s="31" t="n">
        <f aca="true">IFERROR(COUNTIF(INDIRECT("'"&amp;$A25&amp;"'!$S$22:$S$150"),"Reprovada"),0)</f>
        <v>0</v>
      </c>
      <c r="H25" s="65" t="n">
        <f aca="false">IF($B25=0,0,$C25/$B25)</f>
        <v>0</v>
      </c>
      <c r="I25" s="31" t="str">
        <f aca="false">IF($B25=0,"",REPT("█",ROUND($H25*15,0))&amp;REPT("░",15-ROUND($H25*15,0)))</f>
        <v/>
      </c>
      <c r="J25" s="31" t="str">
        <f aca="false">IF($B25=0,"—",IF($C25=$B25,"Concluído",IF($F25&gt;0,"Com atrasos","Em andamento")))</f>
        <v>—</v>
      </c>
      <c r="L25" s="33" t="n">
        <f aca="false">EDATE(DATE(2026,7,1),17)</f>
        <v>46722</v>
      </c>
    </row>
    <row r="26" customFormat="false" ht="15" hidden="false" customHeight="false" outlineLevel="0" collapsed="false">
      <c r="A26" s="34" t="s">
        <v>77</v>
      </c>
      <c r="B26" s="35" t="n">
        <f aca="false">SUM(B8:B25)</f>
        <v>212</v>
      </c>
      <c r="C26" s="35" t="n">
        <f aca="false">SUM(C8:C25)</f>
        <v>0</v>
      </c>
      <c r="D26" s="35" t="n">
        <f aca="false">SUM(D8:D25)</f>
        <v>0</v>
      </c>
      <c r="E26" s="35" t="n">
        <f aca="false">SUM(E8:E25)</f>
        <v>178</v>
      </c>
      <c r="F26" s="35" t="n">
        <f aca="false">SUM(F8:F25)</f>
        <v>34</v>
      </c>
      <c r="G26" s="35" t="n">
        <f aca="false">SUM(G8:G25)</f>
        <v>0</v>
      </c>
      <c r="H26" s="66" t="n">
        <f aca="false">IF($B26=0,0,$C26/$B26)</f>
        <v>0</v>
      </c>
      <c r="I26" s="35" t="str">
        <f aca="false">REPT("█",ROUND($H26*15,0))&amp;REPT("░",15-ROUND($H26*15,0))</f>
        <v>░░░░░░░░░░░░░░░</v>
      </c>
      <c r="J26" s="35"/>
    </row>
    <row r="28" customFormat="false" ht="15" hidden="false" customHeight="false" outlineLevel="0" collapsed="false">
      <c r="A28" s="24" t="s">
        <v>145</v>
      </c>
    </row>
    <row r="29" customFormat="false" ht="19.4" hidden="false" customHeight="false" outlineLevel="0" collapsed="false">
      <c r="A29" s="30" t="s">
        <v>58</v>
      </c>
      <c r="B29" s="30" t="s">
        <v>77</v>
      </c>
      <c r="C29" s="30" t="s">
        <v>137</v>
      </c>
      <c r="D29" s="30" t="s">
        <v>140</v>
      </c>
      <c r="E29" s="30" t="s">
        <v>146</v>
      </c>
      <c r="F29" s="30" t="s">
        <v>143</v>
      </c>
    </row>
    <row r="30" customFormat="false" ht="32.8" hidden="false" customHeight="false" outlineLevel="0" collapsed="false">
      <c r="A30" s="9" t="s">
        <v>66</v>
      </c>
      <c r="B30" s="31" t="n">
        <f aca="false">$C30+$D30+$M30+$N30+$O30</f>
        <v>60</v>
      </c>
      <c r="C30" s="31" t="n">
        <f aca="true">IFERROR(COUNTIFS(INDIRECT("'"&amp;$A$8&amp;"'!$G$22:$G$150"),$A30,INDIRECT("'"&amp;$A$8&amp;"'!$S$22:$S$150"),"Aprovada"),0)+IFERROR(COUNTIFS(INDIRECT("'"&amp;$A$9&amp;"'!$G$22:$G$150"),$A30,INDIRECT("'"&amp;$A$9&amp;"'!$S$22:$S$150"),"Aprovada"),0)+IFERROR(COUNTIFS(INDIRECT("'"&amp;$A$10&amp;"'!$G$22:$G$150"),$A30,INDIRECT("'"&amp;$A$10&amp;"'!$S$22:$S$150"),"Aprovada"),0)+IFERROR(COUNTIFS(INDIRECT("'"&amp;$A$11&amp;"'!$G$22:$G$150"),$A30,INDIRECT("'"&amp;$A$11&amp;"'!$S$22:$S$150"),"Aprovada"),0)+IFERROR(COUNTIFS(INDIRECT("'"&amp;$A$12&amp;"'!$G$22:$G$150"),$A30,INDIRECT("'"&amp;$A$12&amp;"'!$S$22:$S$150"),"Aprovada"),0)+IFERROR(COUNTIFS(INDIRECT("'"&amp;$A$13&amp;"'!$G$22:$G$150"),$A30,INDIRECT("'"&amp;$A$13&amp;"'!$S$22:$S$150"),"Aprovada"),0)+IFERROR(COUNTIFS(INDIRECT("'"&amp;$A$14&amp;"'!$G$22:$G$150"),$A30,INDIRECT("'"&amp;$A$14&amp;"'!$S$22:$S$150"),"Aprovada"),0)+IFERROR(COUNTIFS(INDIRECT("'"&amp;$A$15&amp;"'!$G$22:$G$150"),$A30,INDIRECT("'"&amp;$A$15&amp;"'!$S$22:$S$150"),"Aprovada"),0)+IFERROR(COUNTIFS(INDIRECT("'"&amp;$A$16&amp;"'!$G$22:$G$150"),$A30,INDIRECT("'"&amp;$A$16&amp;"'!$S$22:$S$150"),"Aprovada"),0)+IFERROR(COUNTIFS(INDIRECT("'"&amp;$A$17&amp;"'!$G$22:$G$150"),$A30,INDIRECT("'"&amp;$A$17&amp;"'!$S$22:$S$150"),"Aprovada"),0)+IFERROR(COUNTIFS(INDIRECT("'"&amp;$A$18&amp;"'!$G$22:$G$150"),$A30,INDIRECT("'"&amp;$A$18&amp;"'!$S$22:$S$150"),"Aprovada"),0)+IFERROR(COUNTIFS(INDIRECT("'"&amp;$A$19&amp;"'!$G$22:$G$150"),$A30,INDIRECT("'"&amp;$A$19&amp;"'!$S$22:$S$150"),"Aprovada"),0)+IFERROR(COUNTIFS(INDIRECT("'"&amp;$A$20&amp;"'!$G$22:$G$150"),$A30,INDIRECT("'"&amp;$A$20&amp;"'!$S$22:$S$150"),"Aprovada"),0)+IFERROR(COUNTIFS(INDIRECT("'"&amp;$A$21&amp;"'!$G$22:$G$150"),$A30,INDIRECT("'"&amp;$A$21&amp;"'!$S$22:$S$150"),"Aprovada"),0)+IFERROR(COUNTIFS(INDIRECT("'"&amp;$A$22&amp;"'!$G$22:$G$150"),$A30,INDIRECT("'"&amp;$A$22&amp;"'!$S$22:$S$150"),"Aprovada"),0)+IFERROR(COUNTIFS(INDIRECT("'"&amp;$A$23&amp;"'!$G$22:$G$150"),$A30,INDIRECT("'"&amp;$A$23&amp;"'!$S$22:$S$150"),"Aprovada"),0)+IFERROR(COUNTIFS(INDIRECT("'"&amp;$A$24&amp;"'!$G$22:$G$150"),$A30,INDIRECT("'"&amp;$A$24&amp;"'!$S$22:$S$150"),"Aprovada"),0)+IFERROR(COUNTIFS(INDIRECT("'"&amp;$A$25&amp;"'!$G$22:$G$150"),$A30,INDIRECT("'"&amp;$A$25&amp;"'!$S$22:$S$150"),"Aprovada"),0)</f>
        <v>0</v>
      </c>
      <c r="D30" s="31" t="n">
        <f aca="true">IFERROR(COUNTIFS(INDIRECT("'"&amp;$A$8&amp;"'!$G$22:$G$150"),$A30,INDIRECT("'"&amp;$A$8&amp;"'!$S$22:$S$150"),"Atrasada"),0)+IFERROR(COUNTIFS(INDIRECT("'"&amp;$A$9&amp;"'!$G$22:$G$150"),$A30,INDIRECT("'"&amp;$A$9&amp;"'!$S$22:$S$150"),"Atrasada"),0)+IFERROR(COUNTIFS(INDIRECT("'"&amp;$A$10&amp;"'!$G$22:$G$150"),$A30,INDIRECT("'"&amp;$A$10&amp;"'!$S$22:$S$150"),"Atrasada"),0)+IFERROR(COUNTIFS(INDIRECT("'"&amp;$A$11&amp;"'!$G$22:$G$150"),$A30,INDIRECT("'"&amp;$A$11&amp;"'!$S$22:$S$150"),"Atrasada"),0)+IFERROR(COUNTIFS(INDIRECT("'"&amp;$A$12&amp;"'!$G$22:$G$150"),$A30,INDIRECT("'"&amp;$A$12&amp;"'!$S$22:$S$150"),"Atrasada"),0)+IFERROR(COUNTIFS(INDIRECT("'"&amp;$A$13&amp;"'!$G$22:$G$150"),$A30,INDIRECT("'"&amp;$A$13&amp;"'!$S$22:$S$150"),"Atrasada"),0)+IFERROR(COUNTIFS(INDIRECT("'"&amp;$A$14&amp;"'!$G$22:$G$150"),$A30,INDIRECT("'"&amp;$A$14&amp;"'!$S$22:$S$150"),"Atrasada"),0)+IFERROR(COUNTIFS(INDIRECT("'"&amp;$A$15&amp;"'!$G$22:$G$150"),$A30,INDIRECT("'"&amp;$A$15&amp;"'!$S$22:$S$150"),"Atrasada"),0)+IFERROR(COUNTIFS(INDIRECT("'"&amp;$A$16&amp;"'!$G$22:$G$150"),$A30,INDIRECT("'"&amp;$A$16&amp;"'!$S$22:$S$150"),"Atrasada"),0)+IFERROR(COUNTIFS(INDIRECT("'"&amp;$A$17&amp;"'!$G$22:$G$150"),$A30,INDIRECT("'"&amp;$A$17&amp;"'!$S$22:$S$150"),"Atrasada"),0)+IFERROR(COUNTIFS(INDIRECT("'"&amp;$A$18&amp;"'!$G$22:$G$150"),$A30,INDIRECT("'"&amp;$A$18&amp;"'!$S$22:$S$150"),"Atrasada"),0)+IFERROR(COUNTIFS(INDIRECT("'"&amp;$A$19&amp;"'!$G$22:$G$150"),$A30,INDIRECT("'"&amp;$A$19&amp;"'!$S$22:$S$150"),"Atrasada"),0)+IFERROR(COUNTIFS(INDIRECT("'"&amp;$A$20&amp;"'!$G$22:$G$150"),$A30,INDIRECT("'"&amp;$A$20&amp;"'!$S$22:$S$150"),"Atrasada"),0)+IFERROR(COUNTIFS(INDIRECT("'"&amp;$A$21&amp;"'!$G$22:$G$150"),$A30,INDIRECT("'"&amp;$A$21&amp;"'!$S$22:$S$150"),"Atrasada"),0)+IFERROR(COUNTIFS(INDIRECT("'"&amp;$A$22&amp;"'!$G$22:$G$150"),$A30,INDIRECT("'"&amp;$A$22&amp;"'!$S$22:$S$150"),"Atrasada"),0)+IFERROR(COUNTIFS(INDIRECT("'"&amp;$A$23&amp;"'!$G$22:$G$150"),$A30,INDIRECT("'"&amp;$A$23&amp;"'!$S$22:$S$150"),"Atrasada"),0)+IFERROR(COUNTIFS(INDIRECT("'"&amp;$A$24&amp;"'!$G$22:$G$150"),$A30,INDIRECT("'"&amp;$A$24&amp;"'!$S$22:$S$150"),"Atrasada"),0)+IFERROR(COUNTIFS(INDIRECT("'"&amp;$A$25&amp;"'!$G$22:$G$150"),$A30,INDIRECT("'"&amp;$A$25&amp;"'!$S$22:$S$150"),"Atrasada"),0)</f>
        <v>10</v>
      </c>
      <c r="E30" s="65" t="n">
        <f aca="false">IF($B30=0,0,$C30/$B30)</f>
        <v>0</v>
      </c>
      <c r="F30" s="31" t="str">
        <f aca="false">REPT("█",ROUND($E30*15,0))&amp;REPT("░",15-ROUND($E30*15,0))</f>
        <v>░░░░░░░░░░░░░░░</v>
      </c>
      <c r="M30" s="67" t="n">
        <f aca="true">IFERROR(COUNTIFS(INDIRECT("'"&amp;$A$8&amp;"'!$G$22:$G$150"),$A30,INDIRECT("'"&amp;$A$8&amp;"'!$S$22:$S$150"),"Entregue"),0)+IFERROR(COUNTIFS(INDIRECT("'"&amp;$A$9&amp;"'!$G$22:$G$150"),$A30,INDIRECT("'"&amp;$A$9&amp;"'!$S$22:$S$150"),"Entregue"),0)+IFERROR(COUNTIFS(INDIRECT("'"&amp;$A$10&amp;"'!$G$22:$G$150"),$A30,INDIRECT("'"&amp;$A$10&amp;"'!$S$22:$S$150"),"Entregue"),0)+IFERROR(COUNTIFS(INDIRECT("'"&amp;$A$11&amp;"'!$G$22:$G$150"),$A30,INDIRECT("'"&amp;$A$11&amp;"'!$S$22:$S$150"),"Entregue"),0)+IFERROR(COUNTIFS(INDIRECT("'"&amp;$A$12&amp;"'!$G$22:$G$150"),$A30,INDIRECT("'"&amp;$A$12&amp;"'!$S$22:$S$150"),"Entregue"),0)+IFERROR(COUNTIFS(INDIRECT("'"&amp;$A$13&amp;"'!$G$22:$G$150"),$A30,INDIRECT("'"&amp;$A$13&amp;"'!$S$22:$S$150"),"Entregue"),0)+IFERROR(COUNTIFS(INDIRECT("'"&amp;$A$14&amp;"'!$G$22:$G$150"),$A30,INDIRECT("'"&amp;$A$14&amp;"'!$S$22:$S$150"),"Entregue"),0)+IFERROR(COUNTIFS(INDIRECT("'"&amp;$A$15&amp;"'!$G$22:$G$150"),$A30,INDIRECT("'"&amp;$A$15&amp;"'!$S$22:$S$150"),"Entregue"),0)+IFERROR(COUNTIFS(INDIRECT("'"&amp;$A$16&amp;"'!$G$22:$G$150"),$A30,INDIRECT("'"&amp;$A$16&amp;"'!$S$22:$S$150"),"Entregue"),0)+IFERROR(COUNTIFS(INDIRECT("'"&amp;$A$17&amp;"'!$G$22:$G$150"),$A30,INDIRECT("'"&amp;$A$17&amp;"'!$S$22:$S$150"),"Entregue"),0)+IFERROR(COUNTIFS(INDIRECT("'"&amp;$A$18&amp;"'!$G$22:$G$150"),$A30,INDIRECT("'"&amp;$A$18&amp;"'!$S$22:$S$150"),"Entregue"),0)+IFERROR(COUNTIFS(INDIRECT("'"&amp;$A$19&amp;"'!$G$22:$G$150"),$A30,INDIRECT("'"&amp;$A$19&amp;"'!$S$22:$S$150"),"Entregue"),0)+IFERROR(COUNTIFS(INDIRECT("'"&amp;$A$20&amp;"'!$G$22:$G$150"),$A30,INDIRECT("'"&amp;$A$20&amp;"'!$S$22:$S$150"),"Entregue"),0)+IFERROR(COUNTIFS(INDIRECT("'"&amp;$A$21&amp;"'!$G$22:$G$150"),$A30,INDIRECT("'"&amp;$A$21&amp;"'!$S$22:$S$150"),"Entregue"),0)+IFERROR(COUNTIFS(INDIRECT("'"&amp;$A$22&amp;"'!$G$22:$G$150"),$A30,INDIRECT("'"&amp;$A$22&amp;"'!$S$22:$S$150"),"Entregue"),0)+IFERROR(COUNTIFS(INDIRECT("'"&amp;$A$23&amp;"'!$G$22:$G$150"),$A30,INDIRECT("'"&amp;$A$23&amp;"'!$S$22:$S$150"),"Entregue"),0)+IFERROR(COUNTIFS(INDIRECT("'"&amp;$A$24&amp;"'!$G$22:$G$150"),$A30,INDIRECT("'"&amp;$A$24&amp;"'!$S$22:$S$150"),"Entregue"),0)+IFERROR(COUNTIFS(INDIRECT("'"&amp;$A$25&amp;"'!$G$22:$G$150"),$A30,INDIRECT("'"&amp;$A$25&amp;"'!$S$22:$S$150"),"Entregue"),0)</f>
        <v>0</v>
      </c>
      <c r="N30" s="67" t="n">
        <f aca="true">IFERROR(COUNTIFS(INDIRECT("'"&amp;$A$8&amp;"'!$G$22:$G$150"),$A30,INDIRECT("'"&amp;$A$8&amp;"'!$S$22:$S$150"),"Pendente"),0)+IFERROR(COUNTIFS(INDIRECT("'"&amp;$A$9&amp;"'!$G$22:$G$150"),$A30,INDIRECT("'"&amp;$A$9&amp;"'!$S$22:$S$150"),"Pendente"),0)+IFERROR(COUNTIFS(INDIRECT("'"&amp;$A$10&amp;"'!$G$22:$G$150"),$A30,INDIRECT("'"&amp;$A$10&amp;"'!$S$22:$S$150"),"Pendente"),0)+IFERROR(COUNTIFS(INDIRECT("'"&amp;$A$11&amp;"'!$G$22:$G$150"),$A30,INDIRECT("'"&amp;$A$11&amp;"'!$S$22:$S$150"),"Pendente"),0)+IFERROR(COUNTIFS(INDIRECT("'"&amp;$A$12&amp;"'!$G$22:$G$150"),$A30,INDIRECT("'"&amp;$A$12&amp;"'!$S$22:$S$150"),"Pendente"),0)+IFERROR(COUNTIFS(INDIRECT("'"&amp;$A$13&amp;"'!$G$22:$G$150"),$A30,INDIRECT("'"&amp;$A$13&amp;"'!$S$22:$S$150"),"Pendente"),0)+IFERROR(COUNTIFS(INDIRECT("'"&amp;$A$14&amp;"'!$G$22:$G$150"),$A30,INDIRECT("'"&amp;$A$14&amp;"'!$S$22:$S$150"),"Pendente"),0)+IFERROR(COUNTIFS(INDIRECT("'"&amp;$A$15&amp;"'!$G$22:$G$150"),$A30,INDIRECT("'"&amp;$A$15&amp;"'!$S$22:$S$150"),"Pendente"),0)+IFERROR(COUNTIFS(INDIRECT("'"&amp;$A$16&amp;"'!$G$22:$G$150"),$A30,INDIRECT("'"&amp;$A$16&amp;"'!$S$22:$S$150"),"Pendente"),0)+IFERROR(COUNTIFS(INDIRECT("'"&amp;$A$17&amp;"'!$G$22:$G$150"),$A30,INDIRECT("'"&amp;$A$17&amp;"'!$S$22:$S$150"),"Pendente"),0)+IFERROR(COUNTIFS(INDIRECT("'"&amp;$A$18&amp;"'!$G$22:$G$150"),$A30,INDIRECT("'"&amp;$A$18&amp;"'!$S$22:$S$150"),"Pendente"),0)+IFERROR(COUNTIFS(INDIRECT("'"&amp;$A$19&amp;"'!$G$22:$G$150"),$A30,INDIRECT("'"&amp;$A$19&amp;"'!$S$22:$S$150"),"Pendente"),0)+IFERROR(COUNTIFS(INDIRECT("'"&amp;$A$20&amp;"'!$G$22:$G$150"),$A30,INDIRECT("'"&amp;$A$20&amp;"'!$S$22:$S$150"),"Pendente"),0)+IFERROR(COUNTIFS(INDIRECT("'"&amp;$A$21&amp;"'!$G$22:$G$150"),$A30,INDIRECT("'"&amp;$A$21&amp;"'!$S$22:$S$150"),"Pendente"),0)+IFERROR(COUNTIFS(INDIRECT("'"&amp;$A$22&amp;"'!$G$22:$G$150"),$A30,INDIRECT("'"&amp;$A$22&amp;"'!$S$22:$S$150"),"Pendente"),0)+IFERROR(COUNTIFS(INDIRECT("'"&amp;$A$23&amp;"'!$G$22:$G$150"),$A30,INDIRECT("'"&amp;$A$23&amp;"'!$S$22:$S$150"),"Pendente"),0)+IFERROR(COUNTIFS(INDIRECT("'"&amp;$A$24&amp;"'!$G$22:$G$150"),$A30,INDIRECT("'"&amp;$A$24&amp;"'!$S$22:$S$150"),"Pendente"),0)+IFERROR(COUNTIFS(INDIRECT("'"&amp;$A$25&amp;"'!$G$22:$G$150"),$A30,INDIRECT("'"&amp;$A$25&amp;"'!$S$22:$S$150"),"Pendente"),0)</f>
        <v>50</v>
      </c>
      <c r="O30" s="67" t="n">
        <f aca="true">IFERROR(COUNTIFS(INDIRECT("'"&amp;$A$8&amp;"'!$G$22:$G$150"),$A30,INDIRECT("'"&amp;$A$8&amp;"'!$S$22:$S$150"),"Reprovada"),0)+IFERROR(COUNTIFS(INDIRECT("'"&amp;$A$9&amp;"'!$G$22:$G$150"),$A30,INDIRECT("'"&amp;$A$9&amp;"'!$S$22:$S$150"),"Reprovada"),0)+IFERROR(COUNTIFS(INDIRECT("'"&amp;$A$10&amp;"'!$G$22:$G$150"),$A30,INDIRECT("'"&amp;$A$10&amp;"'!$S$22:$S$150"),"Reprovada"),0)+IFERROR(COUNTIFS(INDIRECT("'"&amp;$A$11&amp;"'!$G$22:$G$150"),$A30,INDIRECT("'"&amp;$A$11&amp;"'!$S$22:$S$150"),"Reprovada"),0)+IFERROR(COUNTIFS(INDIRECT("'"&amp;$A$12&amp;"'!$G$22:$G$150"),$A30,INDIRECT("'"&amp;$A$12&amp;"'!$S$22:$S$150"),"Reprovada"),0)+IFERROR(COUNTIFS(INDIRECT("'"&amp;$A$13&amp;"'!$G$22:$G$150"),$A30,INDIRECT("'"&amp;$A$13&amp;"'!$S$22:$S$150"),"Reprovada"),0)+IFERROR(COUNTIFS(INDIRECT("'"&amp;$A$14&amp;"'!$G$22:$G$150"),$A30,INDIRECT("'"&amp;$A$14&amp;"'!$S$22:$S$150"),"Reprovada"),0)+IFERROR(COUNTIFS(INDIRECT("'"&amp;$A$15&amp;"'!$G$22:$G$150"),$A30,INDIRECT("'"&amp;$A$15&amp;"'!$S$22:$S$150"),"Reprovada"),0)+IFERROR(COUNTIFS(INDIRECT("'"&amp;$A$16&amp;"'!$G$22:$G$150"),$A30,INDIRECT("'"&amp;$A$16&amp;"'!$S$22:$S$150"),"Reprovada"),0)+IFERROR(COUNTIFS(INDIRECT("'"&amp;$A$17&amp;"'!$G$22:$G$150"),$A30,INDIRECT("'"&amp;$A$17&amp;"'!$S$22:$S$150"),"Reprovada"),0)+IFERROR(COUNTIFS(INDIRECT("'"&amp;$A$18&amp;"'!$G$22:$G$150"),$A30,INDIRECT("'"&amp;$A$18&amp;"'!$S$22:$S$150"),"Reprovada"),0)+IFERROR(COUNTIFS(INDIRECT("'"&amp;$A$19&amp;"'!$G$22:$G$150"),$A30,INDIRECT("'"&amp;$A$19&amp;"'!$S$22:$S$150"),"Reprovada"),0)+IFERROR(COUNTIFS(INDIRECT("'"&amp;$A$20&amp;"'!$G$22:$G$150"),$A30,INDIRECT("'"&amp;$A$20&amp;"'!$S$22:$S$150"),"Reprovada"),0)+IFERROR(COUNTIFS(INDIRECT("'"&amp;$A$21&amp;"'!$G$22:$G$150"),$A30,INDIRECT("'"&amp;$A$21&amp;"'!$S$22:$S$150"),"Reprovada"),0)+IFERROR(COUNTIFS(INDIRECT("'"&amp;$A$22&amp;"'!$G$22:$G$150"),$A30,INDIRECT("'"&amp;$A$22&amp;"'!$S$22:$S$150"),"Reprovada"),0)+IFERROR(COUNTIFS(INDIRECT("'"&amp;$A$23&amp;"'!$G$22:$G$150"),$A30,INDIRECT("'"&amp;$A$23&amp;"'!$S$22:$S$150"),"Reprovada"),0)+IFERROR(COUNTIFS(INDIRECT("'"&amp;$A$24&amp;"'!$G$22:$G$150"),$A30,INDIRECT("'"&amp;$A$24&amp;"'!$S$22:$S$150"),"Reprovada"),0)+IFERROR(COUNTIFS(INDIRECT("'"&amp;$A$25&amp;"'!$G$22:$G$150"),$A30,INDIRECT("'"&amp;$A$25&amp;"'!$S$22:$S$150"),"Reprovada"),0)</f>
        <v>0</v>
      </c>
    </row>
    <row r="31" customFormat="false" ht="32.8" hidden="false" customHeight="false" outlineLevel="0" collapsed="false">
      <c r="A31" s="9" t="s">
        <v>67</v>
      </c>
      <c r="B31" s="31" t="n">
        <f aca="false">$C31+$D31+$M31+$N31+$O31</f>
        <v>60</v>
      </c>
      <c r="C31" s="31" t="n">
        <f aca="true">IFERROR(COUNTIFS(INDIRECT("'"&amp;$A$8&amp;"'!$G$22:$G$150"),$A31,INDIRECT("'"&amp;$A$8&amp;"'!$S$22:$S$150"),"Aprovada"),0)+IFERROR(COUNTIFS(INDIRECT("'"&amp;$A$9&amp;"'!$G$22:$G$150"),$A31,INDIRECT("'"&amp;$A$9&amp;"'!$S$22:$S$150"),"Aprovada"),0)+IFERROR(COUNTIFS(INDIRECT("'"&amp;$A$10&amp;"'!$G$22:$G$150"),$A31,INDIRECT("'"&amp;$A$10&amp;"'!$S$22:$S$150"),"Aprovada"),0)+IFERROR(COUNTIFS(INDIRECT("'"&amp;$A$11&amp;"'!$G$22:$G$150"),$A31,INDIRECT("'"&amp;$A$11&amp;"'!$S$22:$S$150"),"Aprovada"),0)+IFERROR(COUNTIFS(INDIRECT("'"&amp;$A$12&amp;"'!$G$22:$G$150"),$A31,INDIRECT("'"&amp;$A$12&amp;"'!$S$22:$S$150"),"Aprovada"),0)+IFERROR(COUNTIFS(INDIRECT("'"&amp;$A$13&amp;"'!$G$22:$G$150"),$A31,INDIRECT("'"&amp;$A$13&amp;"'!$S$22:$S$150"),"Aprovada"),0)+IFERROR(COUNTIFS(INDIRECT("'"&amp;$A$14&amp;"'!$G$22:$G$150"),$A31,INDIRECT("'"&amp;$A$14&amp;"'!$S$22:$S$150"),"Aprovada"),0)+IFERROR(COUNTIFS(INDIRECT("'"&amp;$A$15&amp;"'!$G$22:$G$150"),$A31,INDIRECT("'"&amp;$A$15&amp;"'!$S$22:$S$150"),"Aprovada"),0)+IFERROR(COUNTIFS(INDIRECT("'"&amp;$A$16&amp;"'!$G$22:$G$150"),$A31,INDIRECT("'"&amp;$A$16&amp;"'!$S$22:$S$150"),"Aprovada"),0)+IFERROR(COUNTIFS(INDIRECT("'"&amp;$A$17&amp;"'!$G$22:$G$150"),$A31,INDIRECT("'"&amp;$A$17&amp;"'!$S$22:$S$150"),"Aprovada"),0)+IFERROR(COUNTIFS(INDIRECT("'"&amp;$A$18&amp;"'!$G$22:$G$150"),$A31,INDIRECT("'"&amp;$A$18&amp;"'!$S$22:$S$150"),"Aprovada"),0)+IFERROR(COUNTIFS(INDIRECT("'"&amp;$A$19&amp;"'!$G$22:$G$150"),$A31,INDIRECT("'"&amp;$A$19&amp;"'!$S$22:$S$150"),"Aprovada"),0)+IFERROR(COUNTIFS(INDIRECT("'"&amp;$A$20&amp;"'!$G$22:$G$150"),$A31,INDIRECT("'"&amp;$A$20&amp;"'!$S$22:$S$150"),"Aprovada"),0)+IFERROR(COUNTIFS(INDIRECT("'"&amp;$A$21&amp;"'!$G$22:$G$150"),$A31,INDIRECT("'"&amp;$A$21&amp;"'!$S$22:$S$150"),"Aprovada"),0)+IFERROR(COUNTIFS(INDIRECT("'"&amp;$A$22&amp;"'!$G$22:$G$150"),$A31,INDIRECT("'"&amp;$A$22&amp;"'!$S$22:$S$150"),"Aprovada"),0)+IFERROR(COUNTIFS(INDIRECT("'"&amp;$A$23&amp;"'!$G$22:$G$150"),$A31,INDIRECT("'"&amp;$A$23&amp;"'!$S$22:$S$150"),"Aprovada"),0)+IFERROR(COUNTIFS(INDIRECT("'"&amp;$A$24&amp;"'!$G$22:$G$150"),$A31,INDIRECT("'"&amp;$A$24&amp;"'!$S$22:$S$150"),"Aprovada"),0)+IFERROR(COUNTIFS(INDIRECT("'"&amp;$A$25&amp;"'!$G$22:$G$150"),$A31,INDIRECT("'"&amp;$A$25&amp;"'!$S$22:$S$150"),"Aprovada"),0)</f>
        <v>0</v>
      </c>
      <c r="D31" s="31" t="n">
        <f aca="true">IFERROR(COUNTIFS(INDIRECT("'"&amp;$A$8&amp;"'!$G$22:$G$150"),$A31,INDIRECT("'"&amp;$A$8&amp;"'!$S$22:$S$150"),"Atrasada"),0)+IFERROR(COUNTIFS(INDIRECT("'"&amp;$A$9&amp;"'!$G$22:$G$150"),$A31,INDIRECT("'"&amp;$A$9&amp;"'!$S$22:$S$150"),"Atrasada"),0)+IFERROR(COUNTIFS(INDIRECT("'"&amp;$A$10&amp;"'!$G$22:$G$150"),$A31,INDIRECT("'"&amp;$A$10&amp;"'!$S$22:$S$150"),"Atrasada"),0)+IFERROR(COUNTIFS(INDIRECT("'"&amp;$A$11&amp;"'!$G$22:$G$150"),$A31,INDIRECT("'"&amp;$A$11&amp;"'!$S$22:$S$150"),"Atrasada"),0)+IFERROR(COUNTIFS(INDIRECT("'"&amp;$A$12&amp;"'!$G$22:$G$150"),$A31,INDIRECT("'"&amp;$A$12&amp;"'!$S$22:$S$150"),"Atrasada"),0)+IFERROR(COUNTIFS(INDIRECT("'"&amp;$A$13&amp;"'!$G$22:$G$150"),$A31,INDIRECT("'"&amp;$A$13&amp;"'!$S$22:$S$150"),"Atrasada"),0)+IFERROR(COUNTIFS(INDIRECT("'"&amp;$A$14&amp;"'!$G$22:$G$150"),$A31,INDIRECT("'"&amp;$A$14&amp;"'!$S$22:$S$150"),"Atrasada"),0)+IFERROR(COUNTIFS(INDIRECT("'"&amp;$A$15&amp;"'!$G$22:$G$150"),$A31,INDIRECT("'"&amp;$A$15&amp;"'!$S$22:$S$150"),"Atrasada"),0)+IFERROR(COUNTIFS(INDIRECT("'"&amp;$A$16&amp;"'!$G$22:$G$150"),$A31,INDIRECT("'"&amp;$A$16&amp;"'!$S$22:$S$150"),"Atrasada"),0)+IFERROR(COUNTIFS(INDIRECT("'"&amp;$A$17&amp;"'!$G$22:$G$150"),$A31,INDIRECT("'"&amp;$A$17&amp;"'!$S$22:$S$150"),"Atrasada"),0)+IFERROR(COUNTIFS(INDIRECT("'"&amp;$A$18&amp;"'!$G$22:$G$150"),$A31,INDIRECT("'"&amp;$A$18&amp;"'!$S$22:$S$150"),"Atrasada"),0)+IFERROR(COUNTIFS(INDIRECT("'"&amp;$A$19&amp;"'!$G$22:$G$150"),$A31,INDIRECT("'"&amp;$A$19&amp;"'!$S$22:$S$150"),"Atrasada"),0)+IFERROR(COUNTIFS(INDIRECT("'"&amp;$A$20&amp;"'!$G$22:$G$150"),$A31,INDIRECT("'"&amp;$A$20&amp;"'!$S$22:$S$150"),"Atrasada"),0)+IFERROR(COUNTIFS(INDIRECT("'"&amp;$A$21&amp;"'!$G$22:$G$150"),$A31,INDIRECT("'"&amp;$A$21&amp;"'!$S$22:$S$150"),"Atrasada"),0)+IFERROR(COUNTIFS(INDIRECT("'"&amp;$A$22&amp;"'!$G$22:$G$150"),$A31,INDIRECT("'"&amp;$A$22&amp;"'!$S$22:$S$150"),"Atrasada"),0)+IFERROR(COUNTIFS(INDIRECT("'"&amp;$A$23&amp;"'!$G$22:$G$150"),$A31,INDIRECT("'"&amp;$A$23&amp;"'!$S$22:$S$150"),"Atrasada"),0)+IFERROR(COUNTIFS(INDIRECT("'"&amp;$A$24&amp;"'!$G$22:$G$150"),$A31,INDIRECT("'"&amp;$A$24&amp;"'!$S$22:$S$150"),"Atrasada"),0)+IFERROR(COUNTIFS(INDIRECT("'"&amp;$A$25&amp;"'!$G$22:$G$150"),$A31,INDIRECT("'"&amp;$A$25&amp;"'!$S$22:$S$150"),"Atrasada"),0)</f>
        <v>10</v>
      </c>
      <c r="E31" s="65" t="n">
        <f aca="false">IF($B31=0,0,$C31/$B31)</f>
        <v>0</v>
      </c>
      <c r="F31" s="31" t="str">
        <f aca="false">REPT("█",ROUND($E31*15,0))&amp;REPT("░",15-ROUND($E31*15,0))</f>
        <v>░░░░░░░░░░░░░░░</v>
      </c>
      <c r="M31" s="67" t="n">
        <f aca="true">IFERROR(COUNTIFS(INDIRECT("'"&amp;$A$8&amp;"'!$G$22:$G$150"),$A31,INDIRECT("'"&amp;$A$8&amp;"'!$S$22:$S$150"),"Entregue"),0)+IFERROR(COUNTIFS(INDIRECT("'"&amp;$A$9&amp;"'!$G$22:$G$150"),$A31,INDIRECT("'"&amp;$A$9&amp;"'!$S$22:$S$150"),"Entregue"),0)+IFERROR(COUNTIFS(INDIRECT("'"&amp;$A$10&amp;"'!$G$22:$G$150"),$A31,INDIRECT("'"&amp;$A$10&amp;"'!$S$22:$S$150"),"Entregue"),0)+IFERROR(COUNTIFS(INDIRECT("'"&amp;$A$11&amp;"'!$G$22:$G$150"),$A31,INDIRECT("'"&amp;$A$11&amp;"'!$S$22:$S$150"),"Entregue"),0)+IFERROR(COUNTIFS(INDIRECT("'"&amp;$A$12&amp;"'!$G$22:$G$150"),$A31,INDIRECT("'"&amp;$A$12&amp;"'!$S$22:$S$150"),"Entregue"),0)+IFERROR(COUNTIFS(INDIRECT("'"&amp;$A$13&amp;"'!$G$22:$G$150"),$A31,INDIRECT("'"&amp;$A$13&amp;"'!$S$22:$S$150"),"Entregue"),0)+IFERROR(COUNTIFS(INDIRECT("'"&amp;$A$14&amp;"'!$G$22:$G$150"),$A31,INDIRECT("'"&amp;$A$14&amp;"'!$S$22:$S$150"),"Entregue"),0)+IFERROR(COUNTIFS(INDIRECT("'"&amp;$A$15&amp;"'!$G$22:$G$150"),$A31,INDIRECT("'"&amp;$A$15&amp;"'!$S$22:$S$150"),"Entregue"),0)+IFERROR(COUNTIFS(INDIRECT("'"&amp;$A$16&amp;"'!$G$22:$G$150"),$A31,INDIRECT("'"&amp;$A$16&amp;"'!$S$22:$S$150"),"Entregue"),0)+IFERROR(COUNTIFS(INDIRECT("'"&amp;$A$17&amp;"'!$G$22:$G$150"),$A31,INDIRECT("'"&amp;$A$17&amp;"'!$S$22:$S$150"),"Entregue"),0)+IFERROR(COUNTIFS(INDIRECT("'"&amp;$A$18&amp;"'!$G$22:$G$150"),$A31,INDIRECT("'"&amp;$A$18&amp;"'!$S$22:$S$150"),"Entregue"),0)+IFERROR(COUNTIFS(INDIRECT("'"&amp;$A$19&amp;"'!$G$22:$G$150"),$A31,INDIRECT("'"&amp;$A$19&amp;"'!$S$22:$S$150"),"Entregue"),0)+IFERROR(COUNTIFS(INDIRECT("'"&amp;$A$20&amp;"'!$G$22:$G$150"),$A31,INDIRECT("'"&amp;$A$20&amp;"'!$S$22:$S$150"),"Entregue"),0)+IFERROR(COUNTIFS(INDIRECT("'"&amp;$A$21&amp;"'!$G$22:$G$150"),$A31,INDIRECT("'"&amp;$A$21&amp;"'!$S$22:$S$150"),"Entregue"),0)+IFERROR(COUNTIFS(INDIRECT("'"&amp;$A$22&amp;"'!$G$22:$G$150"),$A31,INDIRECT("'"&amp;$A$22&amp;"'!$S$22:$S$150"),"Entregue"),0)+IFERROR(COUNTIFS(INDIRECT("'"&amp;$A$23&amp;"'!$G$22:$G$150"),$A31,INDIRECT("'"&amp;$A$23&amp;"'!$S$22:$S$150"),"Entregue"),0)+IFERROR(COUNTIFS(INDIRECT("'"&amp;$A$24&amp;"'!$G$22:$G$150"),$A31,INDIRECT("'"&amp;$A$24&amp;"'!$S$22:$S$150"),"Entregue"),0)+IFERROR(COUNTIFS(INDIRECT("'"&amp;$A$25&amp;"'!$G$22:$G$150"),$A31,INDIRECT("'"&amp;$A$25&amp;"'!$S$22:$S$150"),"Entregue"),0)</f>
        <v>0</v>
      </c>
      <c r="N31" s="67" t="n">
        <f aca="true">IFERROR(COUNTIFS(INDIRECT("'"&amp;$A$8&amp;"'!$G$22:$G$150"),$A31,INDIRECT("'"&amp;$A$8&amp;"'!$S$22:$S$150"),"Pendente"),0)+IFERROR(COUNTIFS(INDIRECT("'"&amp;$A$9&amp;"'!$G$22:$G$150"),$A31,INDIRECT("'"&amp;$A$9&amp;"'!$S$22:$S$150"),"Pendente"),0)+IFERROR(COUNTIFS(INDIRECT("'"&amp;$A$10&amp;"'!$G$22:$G$150"),$A31,INDIRECT("'"&amp;$A$10&amp;"'!$S$22:$S$150"),"Pendente"),0)+IFERROR(COUNTIFS(INDIRECT("'"&amp;$A$11&amp;"'!$G$22:$G$150"),$A31,INDIRECT("'"&amp;$A$11&amp;"'!$S$22:$S$150"),"Pendente"),0)+IFERROR(COUNTIFS(INDIRECT("'"&amp;$A$12&amp;"'!$G$22:$G$150"),$A31,INDIRECT("'"&amp;$A$12&amp;"'!$S$22:$S$150"),"Pendente"),0)+IFERROR(COUNTIFS(INDIRECT("'"&amp;$A$13&amp;"'!$G$22:$G$150"),$A31,INDIRECT("'"&amp;$A$13&amp;"'!$S$22:$S$150"),"Pendente"),0)+IFERROR(COUNTIFS(INDIRECT("'"&amp;$A$14&amp;"'!$G$22:$G$150"),$A31,INDIRECT("'"&amp;$A$14&amp;"'!$S$22:$S$150"),"Pendente"),0)+IFERROR(COUNTIFS(INDIRECT("'"&amp;$A$15&amp;"'!$G$22:$G$150"),$A31,INDIRECT("'"&amp;$A$15&amp;"'!$S$22:$S$150"),"Pendente"),0)+IFERROR(COUNTIFS(INDIRECT("'"&amp;$A$16&amp;"'!$G$22:$G$150"),$A31,INDIRECT("'"&amp;$A$16&amp;"'!$S$22:$S$150"),"Pendente"),0)+IFERROR(COUNTIFS(INDIRECT("'"&amp;$A$17&amp;"'!$G$22:$G$150"),$A31,INDIRECT("'"&amp;$A$17&amp;"'!$S$22:$S$150"),"Pendente"),0)+IFERROR(COUNTIFS(INDIRECT("'"&amp;$A$18&amp;"'!$G$22:$G$150"),$A31,INDIRECT("'"&amp;$A$18&amp;"'!$S$22:$S$150"),"Pendente"),0)+IFERROR(COUNTIFS(INDIRECT("'"&amp;$A$19&amp;"'!$G$22:$G$150"),$A31,INDIRECT("'"&amp;$A$19&amp;"'!$S$22:$S$150"),"Pendente"),0)+IFERROR(COUNTIFS(INDIRECT("'"&amp;$A$20&amp;"'!$G$22:$G$150"),$A31,INDIRECT("'"&amp;$A$20&amp;"'!$S$22:$S$150"),"Pendente"),0)+IFERROR(COUNTIFS(INDIRECT("'"&amp;$A$21&amp;"'!$G$22:$G$150"),$A31,INDIRECT("'"&amp;$A$21&amp;"'!$S$22:$S$150"),"Pendente"),0)+IFERROR(COUNTIFS(INDIRECT("'"&amp;$A$22&amp;"'!$G$22:$G$150"),$A31,INDIRECT("'"&amp;$A$22&amp;"'!$S$22:$S$150"),"Pendente"),0)+IFERROR(COUNTIFS(INDIRECT("'"&amp;$A$23&amp;"'!$G$22:$G$150"),$A31,INDIRECT("'"&amp;$A$23&amp;"'!$S$22:$S$150"),"Pendente"),0)+IFERROR(COUNTIFS(INDIRECT("'"&amp;$A$24&amp;"'!$G$22:$G$150"),$A31,INDIRECT("'"&amp;$A$24&amp;"'!$S$22:$S$150"),"Pendente"),0)+IFERROR(COUNTIFS(INDIRECT("'"&amp;$A$25&amp;"'!$G$22:$G$150"),$A31,INDIRECT("'"&amp;$A$25&amp;"'!$S$22:$S$150"),"Pendente"),0)</f>
        <v>50</v>
      </c>
      <c r="O31" s="67" t="n">
        <f aca="true">IFERROR(COUNTIFS(INDIRECT("'"&amp;$A$8&amp;"'!$G$22:$G$150"),$A31,INDIRECT("'"&amp;$A$8&amp;"'!$S$22:$S$150"),"Reprovada"),0)+IFERROR(COUNTIFS(INDIRECT("'"&amp;$A$9&amp;"'!$G$22:$G$150"),$A31,INDIRECT("'"&amp;$A$9&amp;"'!$S$22:$S$150"),"Reprovada"),0)+IFERROR(COUNTIFS(INDIRECT("'"&amp;$A$10&amp;"'!$G$22:$G$150"),$A31,INDIRECT("'"&amp;$A$10&amp;"'!$S$22:$S$150"),"Reprovada"),0)+IFERROR(COUNTIFS(INDIRECT("'"&amp;$A$11&amp;"'!$G$22:$G$150"),$A31,INDIRECT("'"&amp;$A$11&amp;"'!$S$22:$S$150"),"Reprovada"),0)+IFERROR(COUNTIFS(INDIRECT("'"&amp;$A$12&amp;"'!$G$22:$G$150"),$A31,INDIRECT("'"&amp;$A$12&amp;"'!$S$22:$S$150"),"Reprovada"),0)+IFERROR(COUNTIFS(INDIRECT("'"&amp;$A$13&amp;"'!$G$22:$G$150"),$A31,INDIRECT("'"&amp;$A$13&amp;"'!$S$22:$S$150"),"Reprovada"),0)+IFERROR(COUNTIFS(INDIRECT("'"&amp;$A$14&amp;"'!$G$22:$G$150"),$A31,INDIRECT("'"&amp;$A$14&amp;"'!$S$22:$S$150"),"Reprovada"),0)+IFERROR(COUNTIFS(INDIRECT("'"&amp;$A$15&amp;"'!$G$22:$G$150"),$A31,INDIRECT("'"&amp;$A$15&amp;"'!$S$22:$S$150"),"Reprovada"),0)+IFERROR(COUNTIFS(INDIRECT("'"&amp;$A$16&amp;"'!$G$22:$G$150"),$A31,INDIRECT("'"&amp;$A$16&amp;"'!$S$22:$S$150"),"Reprovada"),0)+IFERROR(COUNTIFS(INDIRECT("'"&amp;$A$17&amp;"'!$G$22:$G$150"),$A31,INDIRECT("'"&amp;$A$17&amp;"'!$S$22:$S$150"),"Reprovada"),0)+IFERROR(COUNTIFS(INDIRECT("'"&amp;$A$18&amp;"'!$G$22:$G$150"),$A31,INDIRECT("'"&amp;$A$18&amp;"'!$S$22:$S$150"),"Reprovada"),0)+IFERROR(COUNTIFS(INDIRECT("'"&amp;$A$19&amp;"'!$G$22:$G$150"),$A31,INDIRECT("'"&amp;$A$19&amp;"'!$S$22:$S$150"),"Reprovada"),0)+IFERROR(COUNTIFS(INDIRECT("'"&amp;$A$20&amp;"'!$G$22:$G$150"),$A31,INDIRECT("'"&amp;$A$20&amp;"'!$S$22:$S$150"),"Reprovada"),0)+IFERROR(COUNTIFS(INDIRECT("'"&amp;$A$21&amp;"'!$G$22:$G$150"),$A31,INDIRECT("'"&amp;$A$21&amp;"'!$S$22:$S$150"),"Reprovada"),0)+IFERROR(COUNTIFS(INDIRECT("'"&amp;$A$22&amp;"'!$G$22:$G$150"),$A31,INDIRECT("'"&amp;$A$22&amp;"'!$S$22:$S$150"),"Reprovada"),0)+IFERROR(COUNTIFS(INDIRECT("'"&amp;$A$23&amp;"'!$G$22:$G$150"),$A31,INDIRECT("'"&amp;$A$23&amp;"'!$S$22:$S$150"),"Reprovada"),0)+IFERROR(COUNTIFS(INDIRECT("'"&amp;$A$24&amp;"'!$G$22:$G$150"),$A31,INDIRECT("'"&amp;$A$24&amp;"'!$S$22:$S$150"),"Reprovada"),0)+IFERROR(COUNTIFS(INDIRECT("'"&amp;$A$25&amp;"'!$G$22:$G$150"),$A31,INDIRECT("'"&amp;$A$25&amp;"'!$S$22:$S$150"),"Reprovada"),0)</f>
        <v>0</v>
      </c>
    </row>
    <row r="32" customFormat="false" ht="32.8" hidden="false" customHeight="false" outlineLevel="0" collapsed="false">
      <c r="A32" s="9" t="s">
        <v>68</v>
      </c>
      <c r="B32" s="31" t="n">
        <f aca="false">$C32+$D32+$M32+$N32+$O32</f>
        <v>60</v>
      </c>
      <c r="C32" s="31" t="n">
        <f aca="true">IFERROR(COUNTIFS(INDIRECT("'"&amp;$A$8&amp;"'!$G$22:$G$150"),$A32,INDIRECT("'"&amp;$A$8&amp;"'!$S$22:$S$150"),"Aprovada"),0)+IFERROR(COUNTIFS(INDIRECT("'"&amp;$A$9&amp;"'!$G$22:$G$150"),$A32,INDIRECT("'"&amp;$A$9&amp;"'!$S$22:$S$150"),"Aprovada"),0)+IFERROR(COUNTIFS(INDIRECT("'"&amp;$A$10&amp;"'!$G$22:$G$150"),$A32,INDIRECT("'"&amp;$A$10&amp;"'!$S$22:$S$150"),"Aprovada"),0)+IFERROR(COUNTIFS(INDIRECT("'"&amp;$A$11&amp;"'!$G$22:$G$150"),$A32,INDIRECT("'"&amp;$A$11&amp;"'!$S$22:$S$150"),"Aprovada"),0)+IFERROR(COUNTIFS(INDIRECT("'"&amp;$A$12&amp;"'!$G$22:$G$150"),$A32,INDIRECT("'"&amp;$A$12&amp;"'!$S$22:$S$150"),"Aprovada"),0)+IFERROR(COUNTIFS(INDIRECT("'"&amp;$A$13&amp;"'!$G$22:$G$150"),$A32,INDIRECT("'"&amp;$A$13&amp;"'!$S$22:$S$150"),"Aprovada"),0)+IFERROR(COUNTIFS(INDIRECT("'"&amp;$A$14&amp;"'!$G$22:$G$150"),$A32,INDIRECT("'"&amp;$A$14&amp;"'!$S$22:$S$150"),"Aprovada"),0)+IFERROR(COUNTIFS(INDIRECT("'"&amp;$A$15&amp;"'!$G$22:$G$150"),$A32,INDIRECT("'"&amp;$A$15&amp;"'!$S$22:$S$150"),"Aprovada"),0)+IFERROR(COUNTIFS(INDIRECT("'"&amp;$A$16&amp;"'!$G$22:$G$150"),$A32,INDIRECT("'"&amp;$A$16&amp;"'!$S$22:$S$150"),"Aprovada"),0)+IFERROR(COUNTIFS(INDIRECT("'"&amp;$A$17&amp;"'!$G$22:$G$150"),$A32,INDIRECT("'"&amp;$A$17&amp;"'!$S$22:$S$150"),"Aprovada"),0)+IFERROR(COUNTIFS(INDIRECT("'"&amp;$A$18&amp;"'!$G$22:$G$150"),$A32,INDIRECT("'"&amp;$A$18&amp;"'!$S$22:$S$150"),"Aprovada"),0)+IFERROR(COUNTIFS(INDIRECT("'"&amp;$A$19&amp;"'!$G$22:$G$150"),$A32,INDIRECT("'"&amp;$A$19&amp;"'!$S$22:$S$150"),"Aprovada"),0)+IFERROR(COUNTIFS(INDIRECT("'"&amp;$A$20&amp;"'!$G$22:$G$150"),$A32,INDIRECT("'"&amp;$A$20&amp;"'!$S$22:$S$150"),"Aprovada"),0)+IFERROR(COUNTIFS(INDIRECT("'"&amp;$A$21&amp;"'!$G$22:$G$150"),$A32,INDIRECT("'"&amp;$A$21&amp;"'!$S$22:$S$150"),"Aprovada"),0)+IFERROR(COUNTIFS(INDIRECT("'"&amp;$A$22&amp;"'!$G$22:$G$150"),$A32,INDIRECT("'"&amp;$A$22&amp;"'!$S$22:$S$150"),"Aprovada"),0)+IFERROR(COUNTIFS(INDIRECT("'"&amp;$A$23&amp;"'!$G$22:$G$150"),$A32,INDIRECT("'"&amp;$A$23&amp;"'!$S$22:$S$150"),"Aprovada"),0)+IFERROR(COUNTIFS(INDIRECT("'"&amp;$A$24&amp;"'!$G$22:$G$150"),$A32,INDIRECT("'"&amp;$A$24&amp;"'!$S$22:$S$150"),"Aprovada"),0)+IFERROR(COUNTIFS(INDIRECT("'"&amp;$A$25&amp;"'!$G$22:$G$150"),$A32,INDIRECT("'"&amp;$A$25&amp;"'!$S$22:$S$150"),"Aprovada"),0)</f>
        <v>0</v>
      </c>
      <c r="D32" s="31" t="n">
        <f aca="true">IFERROR(COUNTIFS(INDIRECT("'"&amp;$A$8&amp;"'!$G$22:$G$150"),$A32,INDIRECT("'"&amp;$A$8&amp;"'!$S$22:$S$150"),"Atrasada"),0)+IFERROR(COUNTIFS(INDIRECT("'"&amp;$A$9&amp;"'!$G$22:$G$150"),$A32,INDIRECT("'"&amp;$A$9&amp;"'!$S$22:$S$150"),"Atrasada"),0)+IFERROR(COUNTIFS(INDIRECT("'"&amp;$A$10&amp;"'!$G$22:$G$150"),$A32,INDIRECT("'"&amp;$A$10&amp;"'!$S$22:$S$150"),"Atrasada"),0)+IFERROR(COUNTIFS(INDIRECT("'"&amp;$A$11&amp;"'!$G$22:$G$150"),$A32,INDIRECT("'"&amp;$A$11&amp;"'!$S$22:$S$150"),"Atrasada"),0)+IFERROR(COUNTIFS(INDIRECT("'"&amp;$A$12&amp;"'!$G$22:$G$150"),$A32,INDIRECT("'"&amp;$A$12&amp;"'!$S$22:$S$150"),"Atrasada"),0)+IFERROR(COUNTIFS(INDIRECT("'"&amp;$A$13&amp;"'!$G$22:$G$150"),$A32,INDIRECT("'"&amp;$A$13&amp;"'!$S$22:$S$150"),"Atrasada"),0)+IFERROR(COUNTIFS(INDIRECT("'"&amp;$A$14&amp;"'!$G$22:$G$150"),$A32,INDIRECT("'"&amp;$A$14&amp;"'!$S$22:$S$150"),"Atrasada"),0)+IFERROR(COUNTIFS(INDIRECT("'"&amp;$A$15&amp;"'!$G$22:$G$150"),$A32,INDIRECT("'"&amp;$A$15&amp;"'!$S$22:$S$150"),"Atrasada"),0)+IFERROR(COUNTIFS(INDIRECT("'"&amp;$A$16&amp;"'!$G$22:$G$150"),$A32,INDIRECT("'"&amp;$A$16&amp;"'!$S$22:$S$150"),"Atrasada"),0)+IFERROR(COUNTIFS(INDIRECT("'"&amp;$A$17&amp;"'!$G$22:$G$150"),$A32,INDIRECT("'"&amp;$A$17&amp;"'!$S$22:$S$150"),"Atrasada"),0)+IFERROR(COUNTIFS(INDIRECT("'"&amp;$A$18&amp;"'!$G$22:$G$150"),$A32,INDIRECT("'"&amp;$A$18&amp;"'!$S$22:$S$150"),"Atrasada"),0)+IFERROR(COUNTIFS(INDIRECT("'"&amp;$A$19&amp;"'!$G$22:$G$150"),$A32,INDIRECT("'"&amp;$A$19&amp;"'!$S$22:$S$150"),"Atrasada"),0)+IFERROR(COUNTIFS(INDIRECT("'"&amp;$A$20&amp;"'!$G$22:$G$150"),$A32,INDIRECT("'"&amp;$A$20&amp;"'!$S$22:$S$150"),"Atrasada"),0)+IFERROR(COUNTIFS(INDIRECT("'"&amp;$A$21&amp;"'!$G$22:$G$150"),$A32,INDIRECT("'"&amp;$A$21&amp;"'!$S$22:$S$150"),"Atrasada"),0)+IFERROR(COUNTIFS(INDIRECT("'"&amp;$A$22&amp;"'!$G$22:$G$150"),$A32,INDIRECT("'"&amp;$A$22&amp;"'!$S$22:$S$150"),"Atrasada"),0)+IFERROR(COUNTIFS(INDIRECT("'"&amp;$A$23&amp;"'!$G$22:$G$150"),$A32,INDIRECT("'"&amp;$A$23&amp;"'!$S$22:$S$150"),"Atrasada"),0)+IFERROR(COUNTIFS(INDIRECT("'"&amp;$A$24&amp;"'!$G$22:$G$150"),$A32,INDIRECT("'"&amp;$A$24&amp;"'!$S$22:$S$150"),"Atrasada"),0)+IFERROR(COUNTIFS(INDIRECT("'"&amp;$A$25&amp;"'!$G$22:$G$150"),$A32,INDIRECT("'"&amp;$A$25&amp;"'!$S$22:$S$150"),"Atrasada"),0)</f>
        <v>10</v>
      </c>
      <c r="E32" s="65" t="n">
        <f aca="false">IF($B32=0,0,$C32/$B32)</f>
        <v>0</v>
      </c>
      <c r="F32" s="31" t="str">
        <f aca="false">REPT("█",ROUND($E32*15,0))&amp;REPT("░",15-ROUND($E32*15,0))</f>
        <v>░░░░░░░░░░░░░░░</v>
      </c>
      <c r="M32" s="67" t="n">
        <f aca="true">IFERROR(COUNTIFS(INDIRECT("'"&amp;$A$8&amp;"'!$G$22:$G$150"),$A32,INDIRECT("'"&amp;$A$8&amp;"'!$S$22:$S$150"),"Entregue"),0)+IFERROR(COUNTIFS(INDIRECT("'"&amp;$A$9&amp;"'!$G$22:$G$150"),$A32,INDIRECT("'"&amp;$A$9&amp;"'!$S$22:$S$150"),"Entregue"),0)+IFERROR(COUNTIFS(INDIRECT("'"&amp;$A$10&amp;"'!$G$22:$G$150"),$A32,INDIRECT("'"&amp;$A$10&amp;"'!$S$22:$S$150"),"Entregue"),0)+IFERROR(COUNTIFS(INDIRECT("'"&amp;$A$11&amp;"'!$G$22:$G$150"),$A32,INDIRECT("'"&amp;$A$11&amp;"'!$S$22:$S$150"),"Entregue"),0)+IFERROR(COUNTIFS(INDIRECT("'"&amp;$A$12&amp;"'!$G$22:$G$150"),$A32,INDIRECT("'"&amp;$A$12&amp;"'!$S$22:$S$150"),"Entregue"),0)+IFERROR(COUNTIFS(INDIRECT("'"&amp;$A$13&amp;"'!$G$22:$G$150"),$A32,INDIRECT("'"&amp;$A$13&amp;"'!$S$22:$S$150"),"Entregue"),0)+IFERROR(COUNTIFS(INDIRECT("'"&amp;$A$14&amp;"'!$G$22:$G$150"),$A32,INDIRECT("'"&amp;$A$14&amp;"'!$S$22:$S$150"),"Entregue"),0)+IFERROR(COUNTIFS(INDIRECT("'"&amp;$A$15&amp;"'!$G$22:$G$150"),$A32,INDIRECT("'"&amp;$A$15&amp;"'!$S$22:$S$150"),"Entregue"),0)+IFERROR(COUNTIFS(INDIRECT("'"&amp;$A$16&amp;"'!$G$22:$G$150"),$A32,INDIRECT("'"&amp;$A$16&amp;"'!$S$22:$S$150"),"Entregue"),0)+IFERROR(COUNTIFS(INDIRECT("'"&amp;$A$17&amp;"'!$G$22:$G$150"),$A32,INDIRECT("'"&amp;$A$17&amp;"'!$S$22:$S$150"),"Entregue"),0)+IFERROR(COUNTIFS(INDIRECT("'"&amp;$A$18&amp;"'!$G$22:$G$150"),$A32,INDIRECT("'"&amp;$A$18&amp;"'!$S$22:$S$150"),"Entregue"),0)+IFERROR(COUNTIFS(INDIRECT("'"&amp;$A$19&amp;"'!$G$22:$G$150"),$A32,INDIRECT("'"&amp;$A$19&amp;"'!$S$22:$S$150"),"Entregue"),0)+IFERROR(COUNTIFS(INDIRECT("'"&amp;$A$20&amp;"'!$G$22:$G$150"),$A32,INDIRECT("'"&amp;$A$20&amp;"'!$S$22:$S$150"),"Entregue"),0)+IFERROR(COUNTIFS(INDIRECT("'"&amp;$A$21&amp;"'!$G$22:$G$150"),$A32,INDIRECT("'"&amp;$A$21&amp;"'!$S$22:$S$150"),"Entregue"),0)+IFERROR(COUNTIFS(INDIRECT("'"&amp;$A$22&amp;"'!$G$22:$G$150"),$A32,INDIRECT("'"&amp;$A$22&amp;"'!$S$22:$S$150"),"Entregue"),0)+IFERROR(COUNTIFS(INDIRECT("'"&amp;$A$23&amp;"'!$G$22:$G$150"),$A32,INDIRECT("'"&amp;$A$23&amp;"'!$S$22:$S$150"),"Entregue"),0)+IFERROR(COUNTIFS(INDIRECT("'"&amp;$A$24&amp;"'!$G$22:$G$150"),$A32,INDIRECT("'"&amp;$A$24&amp;"'!$S$22:$S$150"),"Entregue"),0)+IFERROR(COUNTIFS(INDIRECT("'"&amp;$A$25&amp;"'!$G$22:$G$150"),$A32,INDIRECT("'"&amp;$A$25&amp;"'!$S$22:$S$150"),"Entregue"),0)</f>
        <v>0</v>
      </c>
      <c r="N32" s="67" t="n">
        <f aca="true">IFERROR(COUNTIFS(INDIRECT("'"&amp;$A$8&amp;"'!$G$22:$G$150"),$A32,INDIRECT("'"&amp;$A$8&amp;"'!$S$22:$S$150"),"Pendente"),0)+IFERROR(COUNTIFS(INDIRECT("'"&amp;$A$9&amp;"'!$G$22:$G$150"),$A32,INDIRECT("'"&amp;$A$9&amp;"'!$S$22:$S$150"),"Pendente"),0)+IFERROR(COUNTIFS(INDIRECT("'"&amp;$A$10&amp;"'!$G$22:$G$150"),$A32,INDIRECT("'"&amp;$A$10&amp;"'!$S$22:$S$150"),"Pendente"),0)+IFERROR(COUNTIFS(INDIRECT("'"&amp;$A$11&amp;"'!$G$22:$G$150"),$A32,INDIRECT("'"&amp;$A$11&amp;"'!$S$22:$S$150"),"Pendente"),0)+IFERROR(COUNTIFS(INDIRECT("'"&amp;$A$12&amp;"'!$G$22:$G$150"),$A32,INDIRECT("'"&amp;$A$12&amp;"'!$S$22:$S$150"),"Pendente"),0)+IFERROR(COUNTIFS(INDIRECT("'"&amp;$A$13&amp;"'!$G$22:$G$150"),$A32,INDIRECT("'"&amp;$A$13&amp;"'!$S$22:$S$150"),"Pendente"),0)+IFERROR(COUNTIFS(INDIRECT("'"&amp;$A$14&amp;"'!$G$22:$G$150"),$A32,INDIRECT("'"&amp;$A$14&amp;"'!$S$22:$S$150"),"Pendente"),0)+IFERROR(COUNTIFS(INDIRECT("'"&amp;$A$15&amp;"'!$G$22:$G$150"),$A32,INDIRECT("'"&amp;$A$15&amp;"'!$S$22:$S$150"),"Pendente"),0)+IFERROR(COUNTIFS(INDIRECT("'"&amp;$A$16&amp;"'!$G$22:$G$150"),$A32,INDIRECT("'"&amp;$A$16&amp;"'!$S$22:$S$150"),"Pendente"),0)+IFERROR(COUNTIFS(INDIRECT("'"&amp;$A$17&amp;"'!$G$22:$G$150"),$A32,INDIRECT("'"&amp;$A$17&amp;"'!$S$22:$S$150"),"Pendente"),0)+IFERROR(COUNTIFS(INDIRECT("'"&amp;$A$18&amp;"'!$G$22:$G$150"),$A32,INDIRECT("'"&amp;$A$18&amp;"'!$S$22:$S$150"),"Pendente"),0)+IFERROR(COUNTIFS(INDIRECT("'"&amp;$A$19&amp;"'!$G$22:$G$150"),$A32,INDIRECT("'"&amp;$A$19&amp;"'!$S$22:$S$150"),"Pendente"),0)+IFERROR(COUNTIFS(INDIRECT("'"&amp;$A$20&amp;"'!$G$22:$G$150"),$A32,INDIRECT("'"&amp;$A$20&amp;"'!$S$22:$S$150"),"Pendente"),0)+IFERROR(COUNTIFS(INDIRECT("'"&amp;$A$21&amp;"'!$G$22:$G$150"),$A32,INDIRECT("'"&amp;$A$21&amp;"'!$S$22:$S$150"),"Pendente"),0)+IFERROR(COUNTIFS(INDIRECT("'"&amp;$A$22&amp;"'!$G$22:$G$150"),$A32,INDIRECT("'"&amp;$A$22&amp;"'!$S$22:$S$150"),"Pendente"),0)+IFERROR(COUNTIFS(INDIRECT("'"&amp;$A$23&amp;"'!$G$22:$G$150"),$A32,INDIRECT("'"&amp;$A$23&amp;"'!$S$22:$S$150"),"Pendente"),0)+IFERROR(COUNTIFS(INDIRECT("'"&amp;$A$24&amp;"'!$G$22:$G$150"),$A32,INDIRECT("'"&amp;$A$24&amp;"'!$S$22:$S$150"),"Pendente"),0)+IFERROR(COUNTIFS(INDIRECT("'"&amp;$A$25&amp;"'!$G$22:$G$150"),$A32,INDIRECT("'"&amp;$A$25&amp;"'!$S$22:$S$150"),"Pendente"),0)</f>
        <v>50</v>
      </c>
      <c r="O32" s="67" t="n">
        <f aca="true">IFERROR(COUNTIFS(INDIRECT("'"&amp;$A$8&amp;"'!$G$22:$G$150"),$A32,INDIRECT("'"&amp;$A$8&amp;"'!$S$22:$S$150"),"Reprovada"),0)+IFERROR(COUNTIFS(INDIRECT("'"&amp;$A$9&amp;"'!$G$22:$G$150"),$A32,INDIRECT("'"&amp;$A$9&amp;"'!$S$22:$S$150"),"Reprovada"),0)+IFERROR(COUNTIFS(INDIRECT("'"&amp;$A$10&amp;"'!$G$22:$G$150"),$A32,INDIRECT("'"&amp;$A$10&amp;"'!$S$22:$S$150"),"Reprovada"),0)+IFERROR(COUNTIFS(INDIRECT("'"&amp;$A$11&amp;"'!$G$22:$G$150"),$A32,INDIRECT("'"&amp;$A$11&amp;"'!$S$22:$S$150"),"Reprovada"),0)+IFERROR(COUNTIFS(INDIRECT("'"&amp;$A$12&amp;"'!$G$22:$G$150"),$A32,INDIRECT("'"&amp;$A$12&amp;"'!$S$22:$S$150"),"Reprovada"),0)+IFERROR(COUNTIFS(INDIRECT("'"&amp;$A$13&amp;"'!$G$22:$G$150"),$A32,INDIRECT("'"&amp;$A$13&amp;"'!$S$22:$S$150"),"Reprovada"),0)+IFERROR(COUNTIFS(INDIRECT("'"&amp;$A$14&amp;"'!$G$22:$G$150"),$A32,INDIRECT("'"&amp;$A$14&amp;"'!$S$22:$S$150"),"Reprovada"),0)+IFERROR(COUNTIFS(INDIRECT("'"&amp;$A$15&amp;"'!$G$22:$G$150"),$A32,INDIRECT("'"&amp;$A$15&amp;"'!$S$22:$S$150"),"Reprovada"),0)+IFERROR(COUNTIFS(INDIRECT("'"&amp;$A$16&amp;"'!$G$22:$G$150"),$A32,INDIRECT("'"&amp;$A$16&amp;"'!$S$22:$S$150"),"Reprovada"),0)+IFERROR(COUNTIFS(INDIRECT("'"&amp;$A$17&amp;"'!$G$22:$G$150"),$A32,INDIRECT("'"&amp;$A$17&amp;"'!$S$22:$S$150"),"Reprovada"),0)+IFERROR(COUNTIFS(INDIRECT("'"&amp;$A$18&amp;"'!$G$22:$G$150"),$A32,INDIRECT("'"&amp;$A$18&amp;"'!$S$22:$S$150"),"Reprovada"),0)+IFERROR(COUNTIFS(INDIRECT("'"&amp;$A$19&amp;"'!$G$22:$G$150"),$A32,INDIRECT("'"&amp;$A$19&amp;"'!$S$22:$S$150"),"Reprovada"),0)+IFERROR(COUNTIFS(INDIRECT("'"&amp;$A$20&amp;"'!$G$22:$G$150"),$A32,INDIRECT("'"&amp;$A$20&amp;"'!$S$22:$S$150"),"Reprovada"),0)+IFERROR(COUNTIFS(INDIRECT("'"&amp;$A$21&amp;"'!$G$22:$G$150"),$A32,INDIRECT("'"&amp;$A$21&amp;"'!$S$22:$S$150"),"Reprovada"),0)+IFERROR(COUNTIFS(INDIRECT("'"&amp;$A$22&amp;"'!$G$22:$G$150"),$A32,INDIRECT("'"&amp;$A$22&amp;"'!$S$22:$S$150"),"Reprovada"),0)+IFERROR(COUNTIFS(INDIRECT("'"&amp;$A$23&amp;"'!$G$22:$G$150"),$A32,INDIRECT("'"&amp;$A$23&amp;"'!$S$22:$S$150"),"Reprovada"),0)+IFERROR(COUNTIFS(INDIRECT("'"&amp;$A$24&amp;"'!$G$22:$G$150"),$A32,INDIRECT("'"&amp;$A$24&amp;"'!$S$22:$S$150"),"Reprovada"),0)+IFERROR(COUNTIFS(INDIRECT("'"&amp;$A$25&amp;"'!$G$22:$G$150"),$A32,INDIRECT("'"&amp;$A$25&amp;"'!$S$22:$S$150"),"Reprovada"),0)</f>
        <v>0</v>
      </c>
    </row>
    <row r="34" customFormat="false" ht="15" hidden="false" customHeight="false" outlineLevel="0" collapsed="false">
      <c r="A34" s="15" t="s">
        <v>147</v>
      </c>
    </row>
  </sheetData>
  <mergeCells count="1">
    <mergeCell ref="A1:G1"/>
  </mergeCells>
  <conditionalFormatting sqref="F8:F26">
    <cfRule type="expression" priority="2" aboveAverage="0" equalAverage="0" bottom="0" percent="0" rank="0" text="" dxfId="4">
      <formula>F8&gt;0</formula>
    </cfRule>
  </conditionalFormatting>
  <conditionalFormatting sqref="J8:J25">
    <cfRule type="expression" priority="3" aboveAverage="0" equalAverage="0" bottom="0" percent="0" rank="0" text="" dxfId="5">
      <formula>$J8="Com atrasos"</formula>
    </cfRule>
    <cfRule type="expression" priority="4" aboveAverage="0" equalAverage="0" bottom="0" percent="0" rank="0" text="" dxfId="6">
      <formula>$J8="Concluído"</formula>
    </cfRule>
  </conditionalFormatting>
  <conditionalFormatting sqref="H8:H26">
    <cfRule type="colorScale" priority="5">
      <colorScale>
        <cfvo type="num" val="0"/>
        <cfvo type="num" val="0.5"/>
        <cfvo type="num" val="1"/>
        <color rgb="FFFBDCDC"/>
        <color rgb="FFFFF6BF"/>
        <color rgb="FFDCF3E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7"/>
    <col collapsed="false" customWidth="true" hidden="false" outlineLevel="0" max="9" min="9" style="0" width="10"/>
    <col collapsed="false" customWidth="true" hidden="false" outlineLevel="0" max="10" min="10" style="0" width="7"/>
  </cols>
  <sheetData>
    <row r="1" customFormat="false" ht="45.75" hidden="false" customHeight="true" outlineLevel="0" collapsed="false">
      <c r="A1" s="1" t="s">
        <v>148</v>
      </c>
      <c r="B1" s="1"/>
      <c r="C1" s="1"/>
      <c r="D1" s="1"/>
      <c r="E1" s="1"/>
      <c r="F1" s="1"/>
      <c r="G1" s="1"/>
      <c r="H1" s="2"/>
      <c r="I1" s="2"/>
      <c r="J1" s="2"/>
    </row>
    <row r="2" customFormat="false" ht="4.5" hidden="false" customHeight="true" outlineLevel="0" collapsed="false">
      <c r="A2" s="3"/>
      <c r="B2" s="3"/>
      <c r="C2" s="3"/>
      <c r="D2" s="3"/>
      <c r="E2" s="3"/>
      <c r="F2" s="4"/>
      <c r="G2" s="4"/>
      <c r="H2" s="4"/>
      <c r="I2" s="4"/>
      <c r="J2" s="4"/>
    </row>
    <row r="3" customFormat="false" ht="30" hidden="false" customHeight="true" outlineLevel="0" collapsed="false">
      <c r="A3" s="11" t="s">
        <v>149</v>
      </c>
      <c r="B3" s="11"/>
      <c r="C3" s="11"/>
      <c r="D3" s="11"/>
      <c r="E3" s="11"/>
      <c r="F3" s="11"/>
      <c r="G3" s="11"/>
      <c r="H3" s="11"/>
      <c r="I3" s="11"/>
      <c r="J3" s="11"/>
    </row>
    <row r="4" customFormat="false" ht="15" hidden="false" customHeight="true" outlineLevel="0" collapsed="false">
      <c r="A4" s="46" t="s">
        <v>150</v>
      </c>
      <c r="B4" s="46"/>
      <c r="C4" s="46"/>
      <c r="D4" s="46"/>
      <c r="E4" s="46"/>
      <c r="F4" s="46"/>
      <c r="G4" s="46"/>
      <c r="H4" s="46"/>
      <c r="I4" s="46"/>
      <c r="J4" s="46"/>
    </row>
    <row r="5" customFormat="false" ht="15" hidden="false" customHeight="false" outlineLevel="0" collapsed="false">
      <c r="A5" s="25" t="s">
        <v>151</v>
      </c>
      <c r="B5" s="25" t="s">
        <v>152</v>
      </c>
      <c r="C5" s="25" t="s">
        <v>58</v>
      </c>
      <c r="D5" s="25" t="s">
        <v>153</v>
      </c>
      <c r="E5" s="25" t="s">
        <v>154</v>
      </c>
      <c r="F5" s="25" t="s">
        <v>155</v>
      </c>
      <c r="G5" s="25" t="s">
        <v>156</v>
      </c>
      <c r="H5" s="25" t="s">
        <v>157</v>
      </c>
      <c r="I5" s="25" t="s">
        <v>70</v>
      </c>
      <c r="J5" s="25" t="s">
        <v>158</v>
      </c>
    </row>
    <row r="6" customFormat="false" ht="15" hidden="false" customHeight="false" outlineLevel="0" collapsed="false">
      <c r="A6" s="33"/>
      <c r="H6" s="68" t="str">
        <f aca="false">IF($A6="","","S"&amp;INT(($A6-WEEKDAY($A6,2)+11-DATE(YEAR($A6+4-WEEKDAY($A6,2)),1,1))/7))</f>
        <v/>
      </c>
      <c r="I6" s="69" t="str">
        <f aca="false">IF($A6="","",DATE(YEAR($A6),MONTH($A6),1))</f>
        <v/>
      </c>
      <c r="J6" s="68" t="str">
        <f aca="false">IF($A6="","",YEAR($A6+4-WEEKDAY($A6,2)))</f>
        <v/>
      </c>
    </row>
    <row r="7" customFormat="false" ht="15" hidden="false" customHeight="false" outlineLevel="0" collapsed="false">
      <c r="A7" s="33"/>
      <c r="H7" s="68" t="str">
        <f aca="false">IF($A7="","","S"&amp;INT(($A7-WEEKDAY($A7,2)+11-DATE(YEAR($A7+4-WEEKDAY($A7,2)),1,1))/7))</f>
        <v/>
      </c>
      <c r="I7" s="69" t="str">
        <f aca="false">IF($A7="","",DATE(YEAR($A7),MONTH($A7),1))</f>
        <v/>
      </c>
      <c r="J7" s="68" t="str">
        <f aca="false">IF($A7="","",YEAR($A7+4-WEEKDAY($A7,2)))</f>
        <v/>
      </c>
    </row>
    <row r="8" customFormat="false" ht="15" hidden="false" customHeight="false" outlineLevel="0" collapsed="false">
      <c r="A8" s="33"/>
      <c r="H8" s="68" t="str">
        <f aca="false">IF($A8="","","S"&amp;INT(($A8-WEEKDAY($A8,2)+11-DATE(YEAR($A8+4-WEEKDAY($A8,2)),1,1))/7))</f>
        <v/>
      </c>
      <c r="I8" s="69" t="str">
        <f aca="false">IF($A8="","",DATE(YEAR($A8),MONTH($A8),1))</f>
        <v/>
      </c>
      <c r="J8" s="68" t="str">
        <f aca="false">IF($A8="","",YEAR($A8+4-WEEKDAY($A8,2)))</f>
        <v/>
      </c>
    </row>
    <row r="9" customFormat="false" ht="15" hidden="false" customHeight="false" outlineLevel="0" collapsed="false">
      <c r="A9" s="33"/>
      <c r="H9" s="68" t="str">
        <f aca="false">IF($A9="","","S"&amp;INT(($A9-WEEKDAY($A9,2)+11-DATE(YEAR($A9+4-WEEKDAY($A9,2)),1,1))/7))</f>
        <v/>
      </c>
      <c r="I9" s="69" t="str">
        <f aca="false">IF($A9="","",DATE(YEAR($A9),MONTH($A9),1))</f>
        <v/>
      </c>
      <c r="J9" s="68" t="str">
        <f aca="false">IF($A9="","",YEAR($A9+4-WEEKDAY($A9,2)))</f>
        <v/>
      </c>
    </row>
    <row r="10" customFormat="false" ht="15" hidden="false" customHeight="false" outlineLevel="0" collapsed="false">
      <c r="A10" s="33"/>
      <c r="H10" s="68" t="str">
        <f aca="false">IF($A10="","","S"&amp;INT(($A10-WEEKDAY($A10,2)+11-DATE(YEAR($A10+4-WEEKDAY($A10,2)),1,1))/7))</f>
        <v/>
      </c>
      <c r="I10" s="69" t="str">
        <f aca="false">IF($A10="","",DATE(YEAR($A10),MONTH($A10),1))</f>
        <v/>
      </c>
      <c r="J10" s="68" t="str">
        <f aca="false">IF($A10="","",YEAR($A10+4-WEEKDAY($A10,2)))</f>
        <v/>
      </c>
    </row>
    <row r="11" customFormat="false" ht="15" hidden="false" customHeight="false" outlineLevel="0" collapsed="false">
      <c r="A11" s="33"/>
      <c r="H11" s="68" t="str">
        <f aca="false">IF($A11="","","S"&amp;INT(($A11-WEEKDAY($A11,2)+11-DATE(YEAR($A11+4-WEEKDAY($A11,2)),1,1))/7))</f>
        <v/>
      </c>
      <c r="I11" s="69" t="str">
        <f aca="false">IF($A11="","",DATE(YEAR($A11),MONTH($A11),1))</f>
        <v/>
      </c>
      <c r="J11" s="68" t="str">
        <f aca="false">IF($A11="","",YEAR($A11+4-WEEKDAY($A11,2)))</f>
        <v/>
      </c>
    </row>
    <row r="12" customFormat="false" ht="15" hidden="false" customHeight="false" outlineLevel="0" collapsed="false">
      <c r="A12" s="33"/>
      <c r="H12" s="68" t="str">
        <f aca="false">IF($A12="","","S"&amp;INT(($A12-WEEKDAY($A12,2)+11-DATE(YEAR($A12+4-WEEKDAY($A12,2)),1,1))/7))</f>
        <v/>
      </c>
      <c r="I12" s="69" t="str">
        <f aca="false">IF($A12="","",DATE(YEAR($A12),MONTH($A12),1))</f>
        <v/>
      </c>
      <c r="J12" s="68" t="str">
        <f aca="false">IF($A12="","",YEAR($A12+4-WEEKDAY($A12,2)))</f>
        <v/>
      </c>
    </row>
    <row r="13" customFormat="false" ht="15" hidden="false" customHeight="false" outlineLevel="0" collapsed="false">
      <c r="A13" s="33"/>
      <c r="H13" s="68" t="str">
        <f aca="false">IF($A13="","","S"&amp;INT(($A13-WEEKDAY($A13,2)+11-DATE(YEAR($A13+4-WEEKDAY($A13,2)),1,1))/7))</f>
        <v/>
      </c>
      <c r="I13" s="69" t="str">
        <f aca="false">IF($A13="","",DATE(YEAR($A13),MONTH($A13),1))</f>
        <v/>
      </c>
      <c r="J13" s="68" t="str">
        <f aca="false">IF($A13="","",YEAR($A13+4-WEEKDAY($A13,2)))</f>
        <v/>
      </c>
    </row>
    <row r="14" customFormat="false" ht="15" hidden="false" customHeight="false" outlineLevel="0" collapsed="false">
      <c r="A14" s="33"/>
      <c r="H14" s="68" t="str">
        <f aca="false">IF($A14="","","S"&amp;INT(($A14-WEEKDAY($A14,2)+11-DATE(YEAR($A14+4-WEEKDAY($A14,2)),1,1))/7))</f>
        <v/>
      </c>
      <c r="I14" s="69" t="str">
        <f aca="false">IF($A14="","",DATE(YEAR($A14),MONTH($A14),1))</f>
        <v/>
      </c>
      <c r="J14" s="68" t="str">
        <f aca="false">IF($A14="","",YEAR($A14+4-WEEKDAY($A14,2)))</f>
        <v/>
      </c>
    </row>
    <row r="15" customFormat="false" ht="15" hidden="false" customHeight="false" outlineLevel="0" collapsed="false">
      <c r="A15" s="33"/>
      <c r="H15" s="68" t="str">
        <f aca="false">IF($A15="","","S"&amp;INT(($A15-WEEKDAY($A15,2)+11-DATE(YEAR($A15+4-WEEKDAY($A15,2)),1,1))/7))</f>
        <v/>
      </c>
      <c r="I15" s="69" t="str">
        <f aca="false">IF($A15="","",DATE(YEAR($A15),MONTH($A15),1))</f>
        <v/>
      </c>
      <c r="J15" s="68" t="str">
        <f aca="false">IF($A15="","",YEAR($A15+4-WEEKDAY($A15,2)))</f>
        <v/>
      </c>
    </row>
    <row r="16" customFormat="false" ht="15" hidden="false" customHeight="false" outlineLevel="0" collapsed="false">
      <c r="A16" s="33"/>
      <c r="H16" s="68" t="str">
        <f aca="false">IF($A16="","","S"&amp;INT(($A16-WEEKDAY($A16,2)+11-DATE(YEAR($A16+4-WEEKDAY($A16,2)),1,1))/7))</f>
        <v/>
      </c>
      <c r="I16" s="69" t="str">
        <f aca="false">IF($A16="","",DATE(YEAR($A16),MONTH($A16),1))</f>
        <v/>
      </c>
      <c r="J16" s="68" t="str">
        <f aca="false">IF($A16="","",YEAR($A16+4-WEEKDAY($A16,2)))</f>
        <v/>
      </c>
    </row>
    <row r="17" customFormat="false" ht="15" hidden="false" customHeight="false" outlineLevel="0" collapsed="false">
      <c r="A17" s="33"/>
      <c r="H17" s="68" t="str">
        <f aca="false">IF($A17="","","S"&amp;INT(($A17-WEEKDAY($A17,2)+11-DATE(YEAR($A17+4-WEEKDAY($A17,2)),1,1))/7))</f>
        <v/>
      </c>
      <c r="I17" s="69" t="str">
        <f aca="false">IF($A17="","",DATE(YEAR($A17),MONTH($A17),1))</f>
        <v/>
      </c>
      <c r="J17" s="68" t="str">
        <f aca="false">IF($A17="","",YEAR($A17+4-WEEKDAY($A17,2)))</f>
        <v/>
      </c>
    </row>
    <row r="18" customFormat="false" ht="15" hidden="false" customHeight="false" outlineLevel="0" collapsed="false">
      <c r="A18" s="33"/>
      <c r="H18" s="68" t="str">
        <f aca="false">IF($A18="","","S"&amp;INT(($A18-WEEKDAY($A18,2)+11-DATE(YEAR($A18+4-WEEKDAY($A18,2)),1,1))/7))</f>
        <v/>
      </c>
      <c r="I18" s="69" t="str">
        <f aca="false">IF($A18="","",DATE(YEAR($A18),MONTH($A18),1))</f>
        <v/>
      </c>
      <c r="J18" s="68" t="str">
        <f aca="false">IF($A18="","",YEAR($A18+4-WEEKDAY($A18,2)))</f>
        <v/>
      </c>
    </row>
    <row r="19" customFormat="false" ht="15" hidden="false" customHeight="false" outlineLevel="0" collapsed="false">
      <c r="A19" s="33"/>
      <c r="H19" s="68" t="str">
        <f aca="false">IF($A19="","","S"&amp;INT(($A19-WEEKDAY($A19,2)+11-DATE(YEAR($A19+4-WEEKDAY($A19,2)),1,1))/7))</f>
        <v/>
      </c>
      <c r="I19" s="69" t="str">
        <f aca="false">IF($A19="","",DATE(YEAR($A19),MONTH($A19),1))</f>
        <v/>
      </c>
      <c r="J19" s="68" t="str">
        <f aca="false">IF($A19="","",YEAR($A19+4-WEEKDAY($A19,2)))</f>
        <v/>
      </c>
    </row>
    <row r="20" customFormat="false" ht="15" hidden="false" customHeight="false" outlineLevel="0" collapsed="false">
      <c r="A20" s="33"/>
      <c r="H20" s="68" t="str">
        <f aca="false">IF($A20="","","S"&amp;INT(($A20-WEEKDAY($A20,2)+11-DATE(YEAR($A20+4-WEEKDAY($A20,2)),1,1))/7))</f>
        <v/>
      </c>
      <c r="I20" s="69" t="str">
        <f aca="false">IF($A20="","",DATE(YEAR($A20),MONTH($A20),1))</f>
        <v/>
      </c>
      <c r="J20" s="68" t="str">
        <f aca="false">IF($A20="","",YEAR($A20+4-WEEKDAY($A20,2)))</f>
        <v/>
      </c>
    </row>
    <row r="21" customFormat="false" ht="15" hidden="false" customHeight="false" outlineLevel="0" collapsed="false">
      <c r="A21" s="33"/>
      <c r="H21" s="68" t="str">
        <f aca="false">IF($A21="","","S"&amp;INT(($A21-WEEKDAY($A21,2)+11-DATE(YEAR($A21+4-WEEKDAY($A21,2)),1,1))/7))</f>
        <v/>
      </c>
      <c r="I21" s="69" t="str">
        <f aca="false">IF($A21="","",DATE(YEAR($A21),MONTH($A21),1))</f>
        <v/>
      </c>
      <c r="J21" s="68" t="str">
        <f aca="false">IF($A21="","",YEAR($A21+4-WEEKDAY($A21,2)))</f>
        <v/>
      </c>
    </row>
    <row r="22" customFormat="false" ht="15" hidden="false" customHeight="false" outlineLevel="0" collapsed="false">
      <c r="A22" s="33"/>
      <c r="H22" s="68" t="str">
        <f aca="false">IF($A22="","","S"&amp;INT(($A22-WEEKDAY($A22,2)+11-DATE(YEAR($A22+4-WEEKDAY($A22,2)),1,1))/7))</f>
        <v/>
      </c>
      <c r="I22" s="69" t="str">
        <f aca="false">IF($A22="","",DATE(YEAR($A22),MONTH($A22),1))</f>
        <v/>
      </c>
      <c r="J22" s="68" t="str">
        <f aca="false">IF($A22="","",YEAR($A22+4-WEEKDAY($A22,2)))</f>
        <v/>
      </c>
    </row>
    <row r="23" customFormat="false" ht="15" hidden="false" customHeight="false" outlineLevel="0" collapsed="false">
      <c r="A23" s="33"/>
      <c r="H23" s="68" t="str">
        <f aca="false">IF($A23="","","S"&amp;INT(($A23-WEEKDAY($A23,2)+11-DATE(YEAR($A23+4-WEEKDAY($A23,2)),1,1))/7))</f>
        <v/>
      </c>
      <c r="I23" s="69" t="str">
        <f aca="false">IF($A23="","",DATE(YEAR($A23),MONTH($A23),1))</f>
        <v/>
      </c>
      <c r="J23" s="68" t="str">
        <f aca="false">IF($A23="","",YEAR($A23+4-WEEKDAY($A23,2)))</f>
        <v/>
      </c>
    </row>
    <row r="24" customFormat="false" ht="15" hidden="false" customHeight="false" outlineLevel="0" collapsed="false">
      <c r="A24" s="33"/>
      <c r="H24" s="68" t="str">
        <f aca="false">IF($A24="","","S"&amp;INT(($A24-WEEKDAY($A24,2)+11-DATE(YEAR($A24+4-WEEKDAY($A24,2)),1,1))/7))</f>
        <v/>
      </c>
      <c r="I24" s="69" t="str">
        <f aca="false">IF($A24="","",DATE(YEAR($A24),MONTH($A24),1))</f>
        <v/>
      </c>
      <c r="J24" s="68" t="str">
        <f aca="false">IF($A24="","",YEAR($A24+4-WEEKDAY($A24,2)))</f>
        <v/>
      </c>
    </row>
    <row r="25" customFormat="false" ht="15" hidden="false" customHeight="false" outlineLevel="0" collapsed="false">
      <c r="A25" s="33"/>
      <c r="H25" s="68" t="str">
        <f aca="false">IF($A25="","","S"&amp;INT(($A25-WEEKDAY($A25,2)+11-DATE(YEAR($A25+4-WEEKDAY($A25,2)),1,1))/7))</f>
        <v/>
      </c>
      <c r="I25" s="69" t="str">
        <f aca="false">IF($A25="","",DATE(YEAR($A25),MONTH($A25),1))</f>
        <v/>
      </c>
      <c r="J25" s="68" t="str">
        <f aca="false">IF($A25="","",YEAR($A25+4-WEEKDAY($A25,2)))</f>
        <v/>
      </c>
    </row>
    <row r="26" customFormat="false" ht="15" hidden="false" customHeight="false" outlineLevel="0" collapsed="false">
      <c r="A26" s="33"/>
      <c r="H26" s="68" t="str">
        <f aca="false">IF($A26="","","S"&amp;INT(($A26-WEEKDAY($A26,2)+11-DATE(YEAR($A26+4-WEEKDAY($A26,2)),1,1))/7))</f>
        <v/>
      </c>
      <c r="I26" s="69" t="str">
        <f aca="false">IF($A26="","",DATE(YEAR($A26),MONTH($A26),1))</f>
        <v/>
      </c>
      <c r="J26" s="68" t="str">
        <f aca="false">IF($A26="","",YEAR($A26+4-WEEKDAY($A26,2)))</f>
        <v/>
      </c>
    </row>
    <row r="27" customFormat="false" ht="15" hidden="false" customHeight="false" outlineLevel="0" collapsed="false">
      <c r="A27" s="33"/>
      <c r="H27" s="68" t="str">
        <f aca="false">IF($A27="","","S"&amp;INT(($A27-WEEKDAY($A27,2)+11-DATE(YEAR($A27+4-WEEKDAY($A27,2)),1,1))/7))</f>
        <v/>
      </c>
      <c r="I27" s="69" t="str">
        <f aca="false">IF($A27="","",DATE(YEAR($A27),MONTH($A27),1))</f>
        <v/>
      </c>
      <c r="J27" s="68" t="str">
        <f aca="false">IF($A27="","",YEAR($A27+4-WEEKDAY($A27,2)))</f>
        <v/>
      </c>
    </row>
    <row r="28" customFormat="false" ht="15" hidden="false" customHeight="false" outlineLevel="0" collapsed="false">
      <c r="A28" s="33"/>
      <c r="H28" s="68" t="str">
        <f aca="false">IF($A28="","","S"&amp;INT(($A28-WEEKDAY($A28,2)+11-DATE(YEAR($A28+4-WEEKDAY($A28,2)),1,1))/7))</f>
        <v/>
      </c>
      <c r="I28" s="69" t="str">
        <f aca="false">IF($A28="","",DATE(YEAR($A28),MONTH($A28),1))</f>
        <v/>
      </c>
      <c r="J28" s="68" t="str">
        <f aca="false">IF($A28="","",YEAR($A28+4-WEEKDAY($A28,2)))</f>
        <v/>
      </c>
    </row>
    <row r="29" customFormat="false" ht="15" hidden="false" customHeight="false" outlineLevel="0" collapsed="false">
      <c r="A29" s="33"/>
      <c r="H29" s="68" t="str">
        <f aca="false">IF($A29="","","S"&amp;INT(($A29-WEEKDAY($A29,2)+11-DATE(YEAR($A29+4-WEEKDAY($A29,2)),1,1))/7))</f>
        <v/>
      </c>
      <c r="I29" s="69" t="str">
        <f aca="false">IF($A29="","",DATE(YEAR($A29),MONTH($A29),1))</f>
        <v/>
      </c>
      <c r="J29" s="68" t="str">
        <f aca="false">IF($A29="","",YEAR($A29+4-WEEKDAY($A29,2)))</f>
        <v/>
      </c>
    </row>
    <row r="30" customFormat="false" ht="15" hidden="false" customHeight="false" outlineLevel="0" collapsed="false">
      <c r="A30" s="33"/>
      <c r="H30" s="68" t="str">
        <f aca="false">IF($A30="","","S"&amp;INT(($A30-WEEKDAY($A30,2)+11-DATE(YEAR($A30+4-WEEKDAY($A30,2)),1,1))/7))</f>
        <v/>
      </c>
      <c r="I30" s="69" t="str">
        <f aca="false">IF($A30="","",DATE(YEAR($A30),MONTH($A30),1))</f>
        <v/>
      </c>
      <c r="J30" s="68" t="str">
        <f aca="false">IF($A30="","",YEAR($A30+4-WEEKDAY($A30,2)))</f>
        <v/>
      </c>
    </row>
    <row r="31" customFormat="false" ht="15" hidden="false" customHeight="false" outlineLevel="0" collapsed="false">
      <c r="A31" s="33"/>
      <c r="H31" s="68" t="str">
        <f aca="false">IF($A31="","","S"&amp;INT(($A31-WEEKDAY($A31,2)+11-DATE(YEAR($A31+4-WEEKDAY($A31,2)),1,1))/7))</f>
        <v/>
      </c>
      <c r="I31" s="69" t="str">
        <f aca="false">IF($A31="","",DATE(YEAR($A31),MONTH($A31),1))</f>
        <v/>
      </c>
      <c r="J31" s="68" t="str">
        <f aca="false">IF($A31="","",YEAR($A31+4-WEEKDAY($A31,2)))</f>
        <v/>
      </c>
    </row>
    <row r="32" customFormat="false" ht="15" hidden="false" customHeight="false" outlineLevel="0" collapsed="false">
      <c r="A32" s="33"/>
      <c r="H32" s="68" t="str">
        <f aca="false">IF($A32="","","S"&amp;INT(($A32-WEEKDAY($A32,2)+11-DATE(YEAR($A32+4-WEEKDAY($A32,2)),1,1))/7))</f>
        <v/>
      </c>
      <c r="I32" s="69" t="str">
        <f aca="false">IF($A32="","",DATE(YEAR($A32),MONTH($A32),1))</f>
        <v/>
      </c>
      <c r="J32" s="68" t="str">
        <f aca="false">IF($A32="","",YEAR($A32+4-WEEKDAY($A32,2)))</f>
        <v/>
      </c>
    </row>
    <row r="33" customFormat="false" ht="15" hidden="false" customHeight="false" outlineLevel="0" collapsed="false">
      <c r="A33" s="33"/>
      <c r="H33" s="68" t="str">
        <f aca="false">IF($A33="","","S"&amp;INT(($A33-WEEKDAY($A33,2)+11-DATE(YEAR($A33+4-WEEKDAY($A33,2)),1,1))/7))</f>
        <v/>
      </c>
      <c r="I33" s="69" t="str">
        <f aca="false">IF($A33="","",DATE(YEAR($A33),MONTH($A33),1))</f>
        <v/>
      </c>
      <c r="J33" s="68" t="str">
        <f aca="false">IF($A33="","",YEAR($A33+4-WEEKDAY($A33,2)))</f>
        <v/>
      </c>
    </row>
    <row r="34" customFormat="false" ht="15" hidden="false" customHeight="false" outlineLevel="0" collapsed="false">
      <c r="A34" s="33"/>
      <c r="H34" s="68" t="str">
        <f aca="false">IF($A34="","","S"&amp;INT(($A34-WEEKDAY($A34,2)+11-DATE(YEAR($A34+4-WEEKDAY($A34,2)),1,1))/7))</f>
        <v/>
      </c>
      <c r="I34" s="69" t="str">
        <f aca="false">IF($A34="","",DATE(YEAR($A34),MONTH($A34),1))</f>
        <v/>
      </c>
      <c r="J34" s="68" t="str">
        <f aca="false">IF($A34="","",YEAR($A34+4-WEEKDAY($A34,2)))</f>
        <v/>
      </c>
    </row>
    <row r="35" customFormat="false" ht="15" hidden="false" customHeight="false" outlineLevel="0" collapsed="false">
      <c r="A35" s="33"/>
      <c r="H35" s="68" t="str">
        <f aca="false">IF($A35="","","S"&amp;INT(($A35-WEEKDAY($A35,2)+11-DATE(YEAR($A35+4-WEEKDAY($A35,2)),1,1))/7))</f>
        <v/>
      </c>
      <c r="I35" s="69" t="str">
        <f aca="false">IF($A35="","",DATE(YEAR($A35),MONTH($A35),1))</f>
        <v/>
      </c>
      <c r="J35" s="68" t="str">
        <f aca="false">IF($A35="","",YEAR($A35+4-WEEKDAY($A35,2)))</f>
        <v/>
      </c>
    </row>
    <row r="36" customFormat="false" ht="15" hidden="false" customHeight="false" outlineLevel="0" collapsed="false">
      <c r="A36" s="33"/>
      <c r="H36" s="68" t="str">
        <f aca="false">IF($A36="","","S"&amp;INT(($A36-WEEKDAY($A36,2)+11-DATE(YEAR($A36+4-WEEKDAY($A36,2)),1,1))/7))</f>
        <v/>
      </c>
      <c r="I36" s="69" t="str">
        <f aca="false">IF($A36="","",DATE(YEAR($A36),MONTH($A36),1))</f>
        <v/>
      </c>
      <c r="J36" s="68" t="str">
        <f aca="false">IF($A36="","",YEAR($A36+4-WEEKDAY($A36,2)))</f>
        <v/>
      </c>
    </row>
    <row r="37" customFormat="false" ht="15" hidden="false" customHeight="false" outlineLevel="0" collapsed="false">
      <c r="A37" s="33"/>
      <c r="H37" s="68" t="str">
        <f aca="false">IF($A37="","","S"&amp;INT(($A37-WEEKDAY($A37,2)+11-DATE(YEAR($A37+4-WEEKDAY($A37,2)),1,1))/7))</f>
        <v/>
      </c>
      <c r="I37" s="69" t="str">
        <f aca="false">IF($A37="","",DATE(YEAR($A37),MONTH($A37),1))</f>
        <v/>
      </c>
      <c r="J37" s="68" t="str">
        <f aca="false">IF($A37="","",YEAR($A37+4-WEEKDAY($A37,2)))</f>
        <v/>
      </c>
    </row>
    <row r="38" customFormat="false" ht="15" hidden="false" customHeight="false" outlineLevel="0" collapsed="false">
      <c r="A38" s="33"/>
      <c r="H38" s="68" t="str">
        <f aca="false">IF($A38="","","S"&amp;INT(($A38-WEEKDAY($A38,2)+11-DATE(YEAR($A38+4-WEEKDAY($A38,2)),1,1))/7))</f>
        <v/>
      </c>
      <c r="I38" s="69" t="str">
        <f aca="false">IF($A38="","",DATE(YEAR($A38),MONTH($A38),1))</f>
        <v/>
      </c>
      <c r="J38" s="68" t="str">
        <f aca="false">IF($A38="","",YEAR($A38+4-WEEKDAY($A38,2)))</f>
        <v/>
      </c>
    </row>
    <row r="39" customFormat="false" ht="15" hidden="false" customHeight="false" outlineLevel="0" collapsed="false">
      <c r="A39" s="33"/>
      <c r="H39" s="68" t="str">
        <f aca="false">IF($A39="","","S"&amp;INT(($A39-WEEKDAY($A39,2)+11-DATE(YEAR($A39+4-WEEKDAY($A39,2)),1,1))/7))</f>
        <v/>
      </c>
      <c r="I39" s="69" t="str">
        <f aca="false">IF($A39="","",DATE(YEAR($A39),MONTH($A39),1))</f>
        <v/>
      </c>
      <c r="J39" s="68" t="str">
        <f aca="false">IF($A39="","",YEAR($A39+4-WEEKDAY($A39,2)))</f>
        <v/>
      </c>
    </row>
    <row r="40" customFormat="false" ht="15" hidden="false" customHeight="false" outlineLevel="0" collapsed="false">
      <c r="A40" s="33"/>
      <c r="H40" s="68" t="str">
        <f aca="false">IF($A40="","","S"&amp;INT(($A40-WEEKDAY($A40,2)+11-DATE(YEAR($A40+4-WEEKDAY($A40,2)),1,1))/7))</f>
        <v/>
      </c>
      <c r="I40" s="69" t="str">
        <f aca="false">IF($A40="","",DATE(YEAR($A40),MONTH($A40),1))</f>
        <v/>
      </c>
      <c r="J40" s="68" t="str">
        <f aca="false">IF($A40="","",YEAR($A40+4-WEEKDAY($A40,2)))</f>
        <v/>
      </c>
    </row>
    <row r="41" customFormat="false" ht="15" hidden="false" customHeight="false" outlineLevel="0" collapsed="false">
      <c r="A41" s="33"/>
      <c r="H41" s="68" t="str">
        <f aca="false">IF($A41="","","S"&amp;INT(($A41-WEEKDAY($A41,2)+11-DATE(YEAR($A41+4-WEEKDAY($A41,2)),1,1))/7))</f>
        <v/>
      </c>
      <c r="I41" s="69" t="str">
        <f aca="false">IF($A41="","",DATE(YEAR($A41),MONTH($A41),1))</f>
        <v/>
      </c>
      <c r="J41" s="68" t="str">
        <f aca="false">IF($A41="","",YEAR($A41+4-WEEKDAY($A41,2)))</f>
        <v/>
      </c>
    </row>
    <row r="42" customFormat="false" ht="15" hidden="false" customHeight="false" outlineLevel="0" collapsed="false">
      <c r="A42" s="33"/>
      <c r="H42" s="68" t="str">
        <f aca="false">IF($A42="","","S"&amp;INT(($A42-WEEKDAY($A42,2)+11-DATE(YEAR($A42+4-WEEKDAY($A42,2)),1,1))/7))</f>
        <v/>
      </c>
      <c r="I42" s="69" t="str">
        <f aca="false">IF($A42="","",DATE(YEAR($A42),MONTH($A42),1))</f>
        <v/>
      </c>
      <c r="J42" s="68" t="str">
        <f aca="false">IF($A42="","",YEAR($A42+4-WEEKDAY($A42,2)))</f>
        <v/>
      </c>
    </row>
    <row r="43" customFormat="false" ht="15" hidden="false" customHeight="false" outlineLevel="0" collapsed="false">
      <c r="A43" s="33"/>
      <c r="H43" s="68" t="str">
        <f aca="false">IF($A43="","","S"&amp;INT(($A43-WEEKDAY($A43,2)+11-DATE(YEAR($A43+4-WEEKDAY($A43,2)),1,1))/7))</f>
        <v/>
      </c>
      <c r="I43" s="69" t="str">
        <f aca="false">IF($A43="","",DATE(YEAR($A43),MONTH($A43),1))</f>
        <v/>
      </c>
      <c r="J43" s="68" t="str">
        <f aca="false">IF($A43="","",YEAR($A43+4-WEEKDAY($A43,2)))</f>
        <v/>
      </c>
    </row>
    <row r="44" customFormat="false" ht="15" hidden="false" customHeight="false" outlineLevel="0" collapsed="false">
      <c r="A44" s="33"/>
      <c r="H44" s="68" t="str">
        <f aca="false">IF($A44="","","S"&amp;INT(($A44-WEEKDAY($A44,2)+11-DATE(YEAR($A44+4-WEEKDAY($A44,2)),1,1))/7))</f>
        <v/>
      </c>
      <c r="I44" s="69" t="str">
        <f aca="false">IF($A44="","",DATE(YEAR($A44),MONTH($A44),1))</f>
        <v/>
      </c>
      <c r="J44" s="68" t="str">
        <f aca="false">IF($A44="","",YEAR($A44+4-WEEKDAY($A44,2)))</f>
        <v/>
      </c>
    </row>
    <row r="45" customFormat="false" ht="15" hidden="false" customHeight="false" outlineLevel="0" collapsed="false">
      <c r="A45" s="33"/>
      <c r="H45" s="68" t="str">
        <f aca="false">IF($A45="","","S"&amp;INT(($A45-WEEKDAY($A45,2)+11-DATE(YEAR($A45+4-WEEKDAY($A45,2)),1,1))/7))</f>
        <v/>
      </c>
      <c r="I45" s="69" t="str">
        <f aca="false">IF($A45="","",DATE(YEAR($A45),MONTH($A45),1))</f>
        <v/>
      </c>
      <c r="J45" s="68" t="str">
        <f aca="false">IF($A45="","",YEAR($A45+4-WEEKDAY($A45,2)))</f>
        <v/>
      </c>
    </row>
    <row r="46" customFormat="false" ht="15" hidden="false" customHeight="false" outlineLevel="0" collapsed="false">
      <c r="A46" s="33"/>
      <c r="H46" s="68" t="str">
        <f aca="false">IF($A46="","","S"&amp;INT(($A46-WEEKDAY($A46,2)+11-DATE(YEAR($A46+4-WEEKDAY($A46,2)),1,1))/7))</f>
        <v/>
      </c>
      <c r="I46" s="69" t="str">
        <f aca="false">IF($A46="","",DATE(YEAR($A46),MONTH($A46),1))</f>
        <v/>
      </c>
      <c r="J46" s="68" t="str">
        <f aca="false">IF($A46="","",YEAR($A46+4-WEEKDAY($A46,2)))</f>
        <v/>
      </c>
    </row>
    <row r="47" customFormat="false" ht="15" hidden="false" customHeight="false" outlineLevel="0" collapsed="false">
      <c r="A47" s="33"/>
      <c r="H47" s="68" t="str">
        <f aca="false">IF($A47="","","S"&amp;INT(($A47-WEEKDAY($A47,2)+11-DATE(YEAR($A47+4-WEEKDAY($A47,2)),1,1))/7))</f>
        <v/>
      </c>
      <c r="I47" s="69" t="str">
        <f aca="false">IF($A47="","",DATE(YEAR($A47),MONTH($A47),1))</f>
        <v/>
      </c>
      <c r="J47" s="68" t="str">
        <f aca="false">IF($A47="","",YEAR($A47+4-WEEKDAY($A47,2)))</f>
        <v/>
      </c>
    </row>
    <row r="48" customFormat="false" ht="15" hidden="false" customHeight="false" outlineLevel="0" collapsed="false">
      <c r="A48" s="33"/>
      <c r="H48" s="68" t="str">
        <f aca="false">IF($A48="","","S"&amp;INT(($A48-WEEKDAY($A48,2)+11-DATE(YEAR($A48+4-WEEKDAY($A48,2)),1,1))/7))</f>
        <v/>
      </c>
      <c r="I48" s="69" t="str">
        <f aca="false">IF($A48="","",DATE(YEAR($A48),MONTH($A48),1))</f>
        <v/>
      </c>
      <c r="J48" s="68" t="str">
        <f aca="false">IF($A48="","",YEAR($A48+4-WEEKDAY($A48,2)))</f>
        <v/>
      </c>
    </row>
    <row r="49" customFormat="false" ht="15" hidden="false" customHeight="false" outlineLevel="0" collapsed="false">
      <c r="A49" s="33"/>
      <c r="H49" s="68" t="str">
        <f aca="false">IF($A49="","","S"&amp;INT(($A49-WEEKDAY($A49,2)+11-DATE(YEAR($A49+4-WEEKDAY($A49,2)),1,1))/7))</f>
        <v/>
      </c>
      <c r="I49" s="69" t="str">
        <f aca="false">IF($A49="","",DATE(YEAR($A49),MONTH($A49),1))</f>
        <v/>
      </c>
      <c r="J49" s="68" t="str">
        <f aca="false">IF($A49="","",YEAR($A49+4-WEEKDAY($A49,2)))</f>
        <v/>
      </c>
    </row>
    <row r="50" customFormat="false" ht="15" hidden="false" customHeight="false" outlineLevel="0" collapsed="false">
      <c r="A50" s="33"/>
      <c r="H50" s="68" t="str">
        <f aca="false">IF($A50="","","S"&amp;INT(($A50-WEEKDAY($A50,2)+11-DATE(YEAR($A50+4-WEEKDAY($A50,2)),1,1))/7))</f>
        <v/>
      </c>
      <c r="I50" s="69" t="str">
        <f aca="false">IF($A50="","",DATE(YEAR($A50),MONTH($A50),1))</f>
        <v/>
      </c>
      <c r="J50" s="68" t="str">
        <f aca="false">IF($A50="","",YEAR($A50+4-WEEKDAY($A50,2)))</f>
        <v/>
      </c>
    </row>
    <row r="51" customFormat="false" ht="15" hidden="false" customHeight="false" outlineLevel="0" collapsed="false">
      <c r="A51" s="33"/>
      <c r="H51" s="68" t="str">
        <f aca="false">IF($A51="","","S"&amp;INT(($A51-WEEKDAY($A51,2)+11-DATE(YEAR($A51+4-WEEKDAY($A51,2)),1,1))/7))</f>
        <v/>
      </c>
      <c r="I51" s="69" t="str">
        <f aca="false">IF($A51="","",DATE(YEAR($A51),MONTH($A51),1))</f>
        <v/>
      </c>
      <c r="J51" s="68" t="str">
        <f aca="false">IF($A51="","",YEAR($A51+4-WEEKDAY($A51,2)))</f>
        <v/>
      </c>
    </row>
    <row r="52" customFormat="false" ht="15" hidden="false" customHeight="false" outlineLevel="0" collapsed="false">
      <c r="A52" s="33"/>
      <c r="H52" s="68" t="str">
        <f aca="false">IF($A52="","","S"&amp;INT(($A52-WEEKDAY($A52,2)+11-DATE(YEAR($A52+4-WEEKDAY($A52,2)),1,1))/7))</f>
        <v/>
      </c>
      <c r="I52" s="69" t="str">
        <f aca="false">IF($A52="","",DATE(YEAR($A52),MONTH($A52),1))</f>
        <v/>
      </c>
      <c r="J52" s="68" t="str">
        <f aca="false">IF($A52="","",YEAR($A52+4-WEEKDAY($A52,2)))</f>
        <v/>
      </c>
    </row>
    <row r="53" customFormat="false" ht="15" hidden="false" customHeight="false" outlineLevel="0" collapsed="false">
      <c r="A53" s="33"/>
      <c r="H53" s="68" t="str">
        <f aca="false">IF($A53="","","S"&amp;INT(($A53-WEEKDAY($A53,2)+11-DATE(YEAR($A53+4-WEEKDAY($A53,2)),1,1))/7))</f>
        <v/>
      </c>
      <c r="I53" s="69" t="str">
        <f aca="false">IF($A53="","",DATE(YEAR($A53),MONTH($A53),1))</f>
        <v/>
      </c>
      <c r="J53" s="68" t="str">
        <f aca="false">IF($A53="","",YEAR($A53+4-WEEKDAY($A53,2)))</f>
        <v/>
      </c>
    </row>
    <row r="54" customFormat="false" ht="15" hidden="false" customHeight="false" outlineLevel="0" collapsed="false">
      <c r="A54" s="33"/>
      <c r="H54" s="68" t="str">
        <f aca="false">IF($A54="","","S"&amp;INT(($A54-WEEKDAY($A54,2)+11-DATE(YEAR($A54+4-WEEKDAY($A54,2)),1,1))/7))</f>
        <v/>
      </c>
      <c r="I54" s="69" t="str">
        <f aca="false">IF($A54="","",DATE(YEAR($A54),MONTH($A54),1))</f>
        <v/>
      </c>
      <c r="J54" s="68" t="str">
        <f aca="false">IF($A54="","",YEAR($A54+4-WEEKDAY($A54,2)))</f>
        <v/>
      </c>
    </row>
    <row r="55" customFormat="false" ht="15" hidden="false" customHeight="false" outlineLevel="0" collapsed="false">
      <c r="A55" s="33"/>
      <c r="H55" s="68" t="str">
        <f aca="false">IF($A55="","","S"&amp;INT(($A55-WEEKDAY($A55,2)+11-DATE(YEAR($A55+4-WEEKDAY($A55,2)),1,1))/7))</f>
        <v/>
      </c>
      <c r="I55" s="69" t="str">
        <f aca="false">IF($A55="","",DATE(YEAR($A55),MONTH($A55),1))</f>
        <v/>
      </c>
      <c r="J55" s="68" t="str">
        <f aca="false">IF($A55="","",YEAR($A55+4-WEEKDAY($A55,2)))</f>
        <v/>
      </c>
    </row>
    <row r="56" customFormat="false" ht="15" hidden="false" customHeight="false" outlineLevel="0" collapsed="false">
      <c r="A56" s="33"/>
      <c r="H56" s="68" t="str">
        <f aca="false">IF($A56="","","S"&amp;INT(($A56-WEEKDAY($A56,2)+11-DATE(YEAR($A56+4-WEEKDAY($A56,2)),1,1))/7))</f>
        <v/>
      </c>
      <c r="I56" s="69" t="str">
        <f aca="false">IF($A56="","",DATE(YEAR($A56),MONTH($A56),1))</f>
        <v/>
      </c>
      <c r="J56" s="68" t="str">
        <f aca="false">IF($A56="","",YEAR($A56+4-WEEKDAY($A56,2)))</f>
        <v/>
      </c>
    </row>
    <row r="57" customFormat="false" ht="15" hidden="false" customHeight="false" outlineLevel="0" collapsed="false">
      <c r="A57" s="33"/>
      <c r="H57" s="68" t="str">
        <f aca="false">IF($A57="","","S"&amp;INT(($A57-WEEKDAY($A57,2)+11-DATE(YEAR($A57+4-WEEKDAY($A57,2)),1,1))/7))</f>
        <v/>
      </c>
      <c r="I57" s="69" t="str">
        <f aca="false">IF($A57="","",DATE(YEAR($A57),MONTH($A57),1))</f>
        <v/>
      </c>
      <c r="J57" s="68" t="str">
        <f aca="false">IF($A57="","",YEAR($A57+4-WEEKDAY($A57,2)))</f>
        <v/>
      </c>
    </row>
    <row r="58" customFormat="false" ht="15" hidden="false" customHeight="false" outlineLevel="0" collapsed="false">
      <c r="A58" s="33"/>
      <c r="H58" s="68" t="str">
        <f aca="false">IF($A58="","","S"&amp;INT(($A58-WEEKDAY($A58,2)+11-DATE(YEAR($A58+4-WEEKDAY($A58,2)),1,1))/7))</f>
        <v/>
      </c>
      <c r="I58" s="69" t="str">
        <f aca="false">IF($A58="","",DATE(YEAR($A58),MONTH($A58),1))</f>
        <v/>
      </c>
      <c r="J58" s="68" t="str">
        <f aca="false">IF($A58="","",YEAR($A58+4-WEEKDAY($A58,2)))</f>
        <v/>
      </c>
    </row>
    <row r="59" customFormat="false" ht="15" hidden="false" customHeight="false" outlineLevel="0" collapsed="false">
      <c r="A59" s="33"/>
      <c r="H59" s="68" t="str">
        <f aca="false">IF($A59="","","S"&amp;INT(($A59-WEEKDAY($A59,2)+11-DATE(YEAR($A59+4-WEEKDAY($A59,2)),1,1))/7))</f>
        <v/>
      </c>
      <c r="I59" s="69" t="str">
        <f aca="false">IF($A59="","",DATE(YEAR($A59),MONTH($A59),1))</f>
        <v/>
      </c>
      <c r="J59" s="68" t="str">
        <f aca="false">IF($A59="","",YEAR($A59+4-WEEKDAY($A59,2)))</f>
        <v/>
      </c>
    </row>
    <row r="60" customFormat="false" ht="15" hidden="false" customHeight="false" outlineLevel="0" collapsed="false">
      <c r="A60" s="33"/>
      <c r="H60" s="68" t="str">
        <f aca="false">IF($A60="","","S"&amp;INT(($A60-WEEKDAY($A60,2)+11-DATE(YEAR($A60+4-WEEKDAY($A60,2)),1,1))/7))</f>
        <v/>
      </c>
      <c r="I60" s="69" t="str">
        <f aca="false">IF($A60="","",DATE(YEAR($A60),MONTH($A60),1))</f>
        <v/>
      </c>
      <c r="J60" s="68" t="str">
        <f aca="false">IF($A60="","",YEAR($A60+4-WEEKDAY($A60,2)))</f>
        <v/>
      </c>
    </row>
    <row r="61" customFormat="false" ht="15" hidden="false" customHeight="false" outlineLevel="0" collapsed="false">
      <c r="A61" s="33"/>
      <c r="H61" s="68" t="str">
        <f aca="false">IF($A61="","","S"&amp;INT(($A61-WEEKDAY($A61,2)+11-DATE(YEAR($A61+4-WEEKDAY($A61,2)),1,1))/7))</f>
        <v/>
      </c>
      <c r="I61" s="69" t="str">
        <f aca="false">IF($A61="","",DATE(YEAR($A61),MONTH($A61),1))</f>
        <v/>
      </c>
      <c r="J61" s="68" t="str">
        <f aca="false">IF($A61="","",YEAR($A61+4-WEEKDAY($A61,2)))</f>
        <v/>
      </c>
    </row>
    <row r="62" customFormat="false" ht="15" hidden="false" customHeight="false" outlineLevel="0" collapsed="false">
      <c r="A62" s="33"/>
      <c r="H62" s="68" t="str">
        <f aca="false">IF($A62="","","S"&amp;INT(($A62-WEEKDAY($A62,2)+11-DATE(YEAR($A62+4-WEEKDAY($A62,2)),1,1))/7))</f>
        <v/>
      </c>
      <c r="I62" s="69" t="str">
        <f aca="false">IF($A62="","",DATE(YEAR($A62),MONTH($A62),1))</f>
        <v/>
      </c>
      <c r="J62" s="68" t="str">
        <f aca="false">IF($A62="","",YEAR($A62+4-WEEKDAY($A62,2)))</f>
        <v/>
      </c>
    </row>
    <row r="63" customFormat="false" ht="15" hidden="false" customHeight="false" outlineLevel="0" collapsed="false">
      <c r="A63" s="33"/>
      <c r="H63" s="68" t="str">
        <f aca="false">IF($A63="","","S"&amp;INT(($A63-WEEKDAY($A63,2)+11-DATE(YEAR($A63+4-WEEKDAY($A63,2)),1,1))/7))</f>
        <v/>
      </c>
      <c r="I63" s="69" t="str">
        <f aca="false">IF($A63="","",DATE(YEAR($A63),MONTH($A63),1))</f>
        <v/>
      </c>
      <c r="J63" s="68" t="str">
        <f aca="false">IF($A63="","",YEAR($A63+4-WEEKDAY($A63,2)))</f>
        <v/>
      </c>
    </row>
    <row r="64" customFormat="false" ht="15" hidden="false" customHeight="false" outlineLevel="0" collapsed="false">
      <c r="A64" s="33"/>
      <c r="H64" s="68" t="str">
        <f aca="false">IF($A64="","","S"&amp;INT(($A64-WEEKDAY($A64,2)+11-DATE(YEAR($A64+4-WEEKDAY($A64,2)),1,1))/7))</f>
        <v/>
      </c>
      <c r="I64" s="69" t="str">
        <f aca="false">IF($A64="","",DATE(YEAR($A64),MONTH($A64),1))</f>
        <v/>
      </c>
      <c r="J64" s="68" t="str">
        <f aca="false">IF($A64="","",YEAR($A64+4-WEEKDAY($A64,2)))</f>
        <v/>
      </c>
    </row>
    <row r="65" customFormat="false" ht="15" hidden="false" customHeight="false" outlineLevel="0" collapsed="false">
      <c r="A65" s="33"/>
      <c r="H65" s="68" t="str">
        <f aca="false">IF($A65="","","S"&amp;INT(($A65-WEEKDAY($A65,2)+11-DATE(YEAR($A65+4-WEEKDAY($A65,2)),1,1))/7))</f>
        <v/>
      </c>
      <c r="I65" s="69" t="str">
        <f aca="false">IF($A65="","",DATE(YEAR($A65),MONTH($A65),1))</f>
        <v/>
      </c>
      <c r="J65" s="68" t="str">
        <f aca="false">IF($A65="","",YEAR($A65+4-WEEKDAY($A65,2)))</f>
        <v/>
      </c>
    </row>
    <row r="66" customFormat="false" ht="15" hidden="false" customHeight="false" outlineLevel="0" collapsed="false">
      <c r="A66" s="33"/>
      <c r="H66" s="68" t="str">
        <f aca="false">IF($A66="","","S"&amp;INT(($A66-WEEKDAY($A66,2)+11-DATE(YEAR($A66+4-WEEKDAY($A66,2)),1,1))/7))</f>
        <v/>
      </c>
      <c r="I66" s="69" t="str">
        <f aca="false">IF($A66="","",DATE(YEAR($A66),MONTH($A66),1))</f>
        <v/>
      </c>
      <c r="J66" s="68" t="str">
        <f aca="false">IF($A66="","",YEAR($A66+4-WEEKDAY($A66,2)))</f>
        <v/>
      </c>
    </row>
    <row r="67" customFormat="false" ht="15" hidden="false" customHeight="false" outlineLevel="0" collapsed="false">
      <c r="A67" s="33"/>
      <c r="H67" s="68" t="str">
        <f aca="false">IF($A67="","","S"&amp;INT(($A67-WEEKDAY($A67,2)+11-DATE(YEAR($A67+4-WEEKDAY($A67,2)),1,1))/7))</f>
        <v/>
      </c>
      <c r="I67" s="69" t="str">
        <f aca="false">IF($A67="","",DATE(YEAR($A67),MONTH($A67),1))</f>
        <v/>
      </c>
      <c r="J67" s="68" t="str">
        <f aca="false">IF($A67="","",YEAR($A67+4-WEEKDAY($A67,2)))</f>
        <v/>
      </c>
    </row>
    <row r="68" customFormat="false" ht="15" hidden="false" customHeight="false" outlineLevel="0" collapsed="false">
      <c r="A68" s="33"/>
      <c r="H68" s="68" t="str">
        <f aca="false">IF($A68="","","S"&amp;INT(($A68-WEEKDAY($A68,2)+11-DATE(YEAR($A68+4-WEEKDAY($A68,2)),1,1))/7))</f>
        <v/>
      </c>
      <c r="I68" s="69" t="str">
        <f aca="false">IF($A68="","",DATE(YEAR($A68),MONTH($A68),1))</f>
        <v/>
      </c>
      <c r="J68" s="68" t="str">
        <f aca="false">IF($A68="","",YEAR($A68+4-WEEKDAY($A68,2)))</f>
        <v/>
      </c>
    </row>
    <row r="69" customFormat="false" ht="15" hidden="false" customHeight="false" outlineLevel="0" collapsed="false">
      <c r="A69" s="33"/>
      <c r="H69" s="68" t="str">
        <f aca="false">IF($A69="","","S"&amp;INT(($A69-WEEKDAY($A69,2)+11-DATE(YEAR($A69+4-WEEKDAY($A69,2)),1,1))/7))</f>
        <v/>
      </c>
      <c r="I69" s="69" t="str">
        <f aca="false">IF($A69="","",DATE(YEAR($A69),MONTH($A69),1))</f>
        <v/>
      </c>
      <c r="J69" s="68" t="str">
        <f aca="false">IF($A69="","",YEAR($A69+4-WEEKDAY($A69,2)))</f>
        <v/>
      </c>
    </row>
    <row r="70" customFormat="false" ht="15" hidden="false" customHeight="false" outlineLevel="0" collapsed="false">
      <c r="A70" s="33"/>
      <c r="H70" s="68" t="str">
        <f aca="false">IF($A70="","","S"&amp;INT(($A70-WEEKDAY($A70,2)+11-DATE(YEAR($A70+4-WEEKDAY($A70,2)),1,1))/7))</f>
        <v/>
      </c>
      <c r="I70" s="69" t="str">
        <f aca="false">IF($A70="","",DATE(YEAR($A70),MONTH($A70),1))</f>
        <v/>
      </c>
      <c r="J70" s="68" t="str">
        <f aca="false">IF($A70="","",YEAR($A70+4-WEEKDAY($A70,2)))</f>
        <v/>
      </c>
    </row>
    <row r="71" customFormat="false" ht="15" hidden="false" customHeight="false" outlineLevel="0" collapsed="false">
      <c r="A71" s="33"/>
      <c r="H71" s="68" t="str">
        <f aca="false">IF($A71="","","S"&amp;INT(($A71-WEEKDAY($A71,2)+11-DATE(YEAR($A71+4-WEEKDAY($A71,2)),1,1))/7))</f>
        <v/>
      </c>
      <c r="I71" s="69" t="str">
        <f aca="false">IF($A71="","",DATE(YEAR($A71),MONTH($A71),1))</f>
        <v/>
      </c>
      <c r="J71" s="68" t="str">
        <f aca="false">IF($A71="","",YEAR($A71+4-WEEKDAY($A71,2)))</f>
        <v/>
      </c>
    </row>
    <row r="72" customFormat="false" ht="15" hidden="false" customHeight="false" outlineLevel="0" collapsed="false">
      <c r="A72" s="33"/>
      <c r="H72" s="68" t="str">
        <f aca="false">IF($A72="","","S"&amp;INT(($A72-WEEKDAY($A72,2)+11-DATE(YEAR($A72+4-WEEKDAY($A72,2)),1,1))/7))</f>
        <v/>
      </c>
      <c r="I72" s="69" t="str">
        <f aca="false">IF($A72="","",DATE(YEAR($A72),MONTH($A72),1))</f>
        <v/>
      </c>
      <c r="J72" s="68" t="str">
        <f aca="false">IF($A72="","",YEAR($A72+4-WEEKDAY($A72,2)))</f>
        <v/>
      </c>
    </row>
    <row r="73" customFormat="false" ht="15" hidden="false" customHeight="false" outlineLevel="0" collapsed="false">
      <c r="A73" s="33"/>
      <c r="H73" s="68" t="str">
        <f aca="false">IF($A73="","","S"&amp;INT(($A73-WEEKDAY($A73,2)+11-DATE(YEAR($A73+4-WEEKDAY($A73,2)),1,1))/7))</f>
        <v/>
      </c>
      <c r="I73" s="69" t="str">
        <f aca="false">IF($A73="","",DATE(YEAR($A73),MONTH($A73),1))</f>
        <v/>
      </c>
      <c r="J73" s="68" t="str">
        <f aca="false">IF($A73="","",YEAR($A73+4-WEEKDAY($A73,2)))</f>
        <v/>
      </c>
    </row>
    <row r="74" customFormat="false" ht="15" hidden="false" customHeight="false" outlineLevel="0" collapsed="false">
      <c r="A74" s="33"/>
      <c r="H74" s="68" t="str">
        <f aca="false">IF($A74="","","S"&amp;INT(($A74-WEEKDAY($A74,2)+11-DATE(YEAR($A74+4-WEEKDAY($A74,2)),1,1))/7))</f>
        <v/>
      </c>
      <c r="I74" s="69" t="str">
        <f aca="false">IF($A74="","",DATE(YEAR($A74),MONTH($A74),1))</f>
        <v/>
      </c>
      <c r="J74" s="68" t="str">
        <f aca="false">IF($A74="","",YEAR($A74+4-WEEKDAY($A74,2)))</f>
        <v/>
      </c>
    </row>
    <row r="75" customFormat="false" ht="15" hidden="false" customHeight="false" outlineLevel="0" collapsed="false">
      <c r="A75" s="33"/>
      <c r="H75" s="68" t="str">
        <f aca="false">IF($A75="","","S"&amp;INT(($A75-WEEKDAY($A75,2)+11-DATE(YEAR($A75+4-WEEKDAY($A75,2)),1,1))/7))</f>
        <v/>
      </c>
      <c r="I75" s="69" t="str">
        <f aca="false">IF($A75="","",DATE(YEAR($A75),MONTH($A75),1))</f>
        <v/>
      </c>
      <c r="J75" s="68" t="str">
        <f aca="false">IF($A75="","",YEAR($A75+4-WEEKDAY($A75,2)))</f>
        <v/>
      </c>
    </row>
    <row r="76" customFormat="false" ht="15" hidden="false" customHeight="false" outlineLevel="0" collapsed="false">
      <c r="A76" s="33"/>
      <c r="H76" s="68" t="str">
        <f aca="false">IF($A76="","","S"&amp;INT(($A76-WEEKDAY($A76,2)+11-DATE(YEAR($A76+4-WEEKDAY($A76,2)),1,1))/7))</f>
        <v/>
      </c>
      <c r="I76" s="69" t="str">
        <f aca="false">IF($A76="","",DATE(YEAR($A76),MONTH($A76),1))</f>
        <v/>
      </c>
      <c r="J76" s="68" t="str">
        <f aca="false">IF($A76="","",YEAR($A76+4-WEEKDAY($A76,2)))</f>
        <v/>
      </c>
    </row>
    <row r="77" customFormat="false" ht="15" hidden="false" customHeight="false" outlineLevel="0" collapsed="false">
      <c r="A77" s="33"/>
      <c r="H77" s="68" t="str">
        <f aca="false">IF($A77="","","S"&amp;INT(($A77-WEEKDAY($A77,2)+11-DATE(YEAR($A77+4-WEEKDAY($A77,2)),1,1))/7))</f>
        <v/>
      </c>
      <c r="I77" s="69" t="str">
        <f aca="false">IF($A77="","",DATE(YEAR($A77),MONTH($A77),1))</f>
        <v/>
      </c>
      <c r="J77" s="68" t="str">
        <f aca="false">IF($A77="","",YEAR($A77+4-WEEKDAY($A77,2)))</f>
        <v/>
      </c>
    </row>
    <row r="78" customFormat="false" ht="15" hidden="false" customHeight="false" outlineLevel="0" collapsed="false">
      <c r="A78" s="33"/>
      <c r="H78" s="68" t="str">
        <f aca="false">IF($A78="","","S"&amp;INT(($A78-WEEKDAY($A78,2)+11-DATE(YEAR($A78+4-WEEKDAY($A78,2)),1,1))/7))</f>
        <v/>
      </c>
      <c r="I78" s="69" t="str">
        <f aca="false">IF($A78="","",DATE(YEAR($A78),MONTH($A78),1))</f>
        <v/>
      </c>
      <c r="J78" s="68" t="str">
        <f aca="false">IF($A78="","",YEAR($A78+4-WEEKDAY($A78,2)))</f>
        <v/>
      </c>
    </row>
    <row r="79" customFormat="false" ht="15" hidden="false" customHeight="false" outlineLevel="0" collapsed="false">
      <c r="A79" s="33"/>
      <c r="H79" s="68" t="str">
        <f aca="false">IF($A79="","","S"&amp;INT(($A79-WEEKDAY($A79,2)+11-DATE(YEAR($A79+4-WEEKDAY($A79,2)),1,1))/7))</f>
        <v/>
      </c>
      <c r="I79" s="69" t="str">
        <f aca="false">IF($A79="","",DATE(YEAR($A79),MONTH($A79),1))</f>
        <v/>
      </c>
      <c r="J79" s="68" t="str">
        <f aca="false">IF($A79="","",YEAR($A79+4-WEEKDAY($A79,2)))</f>
        <v/>
      </c>
    </row>
    <row r="80" customFormat="false" ht="15" hidden="false" customHeight="false" outlineLevel="0" collapsed="false">
      <c r="A80" s="33"/>
      <c r="H80" s="68" t="str">
        <f aca="false">IF($A80="","","S"&amp;INT(($A80-WEEKDAY($A80,2)+11-DATE(YEAR($A80+4-WEEKDAY($A80,2)),1,1))/7))</f>
        <v/>
      </c>
      <c r="I80" s="69" t="str">
        <f aca="false">IF($A80="","",DATE(YEAR($A80),MONTH($A80),1))</f>
        <v/>
      </c>
      <c r="J80" s="68" t="str">
        <f aca="false">IF($A80="","",YEAR($A80+4-WEEKDAY($A80,2)))</f>
        <v/>
      </c>
    </row>
    <row r="81" customFormat="false" ht="15" hidden="false" customHeight="false" outlineLevel="0" collapsed="false">
      <c r="A81" s="33"/>
      <c r="H81" s="68" t="str">
        <f aca="false">IF($A81="","","S"&amp;INT(($A81-WEEKDAY($A81,2)+11-DATE(YEAR($A81+4-WEEKDAY($A81,2)),1,1))/7))</f>
        <v/>
      </c>
      <c r="I81" s="69" t="str">
        <f aca="false">IF($A81="","",DATE(YEAR($A81),MONTH($A81),1))</f>
        <v/>
      </c>
      <c r="J81" s="68" t="str">
        <f aca="false">IF($A81="","",YEAR($A81+4-WEEKDAY($A81,2)))</f>
        <v/>
      </c>
    </row>
    <row r="82" customFormat="false" ht="15" hidden="false" customHeight="false" outlineLevel="0" collapsed="false">
      <c r="A82" s="33"/>
      <c r="H82" s="68" t="str">
        <f aca="false">IF($A82="","","S"&amp;INT(($A82-WEEKDAY($A82,2)+11-DATE(YEAR($A82+4-WEEKDAY($A82,2)),1,1))/7))</f>
        <v/>
      </c>
      <c r="I82" s="69" t="str">
        <f aca="false">IF($A82="","",DATE(YEAR($A82),MONTH($A82),1))</f>
        <v/>
      </c>
      <c r="J82" s="68" t="str">
        <f aca="false">IF($A82="","",YEAR($A82+4-WEEKDAY($A82,2)))</f>
        <v/>
      </c>
    </row>
    <row r="83" customFormat="false" ht="15" hidden="false" customHeight="false" outlineLevel="0" collapsed="false">
      <c r="A83" s="33"/>
      <c r="H83" s="68" t="str">
        <f aca="false">IF($A83="","","S"&amp;INT(($A83-WEEKDAY($A83,2)+11-DATE(YEAR($A83+4-WEEKDAY($A83,2)),1,1))/7))</f>
        <v/>
      </c>
      <c r="I83" s="69" t="str">
        <f aca="false">IF($A83="","",DATE(YEAR($A83),MONTH($A83),1))</f>
        <v/>
      </c>
      <c r="J83" s="68" t="str">
        <f aca="false">IF($A83="","",YEAR($A83+4-WEEKDAY($A83,2)))</f>
        <v/>
      </c>
    </row>
    <row r="84" customFormat="false" ht="15" hidden="false" customHeight="false" outlineLevel="0" collapsed="false">
      <c r="A84" s="33"/>
      <c r="H84" s="68" t="str">
        <f aca="false">IF($A84="","","S"&amp;INT(($A84-WEEKDAY($A84,2)+11-DATE(YEAR($A84+4-WEEKDAY($A84,2)),1,1))/7))</f>
        <v/>
      </c>
      <c r="I84" s="69" t="str">
        <f aca="false">IF($A84="","",DATE(YEAR($A84),MONTH($A84),1))</f>
        <v/>
      </c>
      <c r="J84" s="68" t="str">
        <f aca="false">IF($A84="","",YEAR($A84+4-WEEKDAY($A84,2)))</f>
        <v/>
      </c>
    </row>
    <row r="85" customFormat="false" ht="15" hidden="false" customHeight="false" outlineLevel="0" collapsed="false">
      <c r="A85" s="33"/>
      <c r="H85" s="68" t="str">
        <f aca="false">IF($A85="","","S"&amp;INT(($A85-WEEKDAY($A85,2)+11-DATE(YEAR($A85+4-WEEKDAY($A85,2)),1,1))/7))</f>
        <v/>
      </c>
      <c r="I85" s="69" t="str">
        <f aca="false">IF($A85="","",DATE(YEAR($A85),MONTH($A85),1))</f>
        <v/>
      </c>
      <c r="J85" s="68" t="str">
        <f aca="false">IF($A85="","",YEAR($A85+4-WEEKDAY($A85,2)))</f>
        <v/>
      </c>
    </row>
    <row r="86" customFormat="false" ht="15" hidden="false" customHeight="false" outlineLevel="0" collapsed="false">
      <c r="A86" s="33"/>
      <c r="H86" s="68" t="str">
        <f aca="false">IF($A86="","","S"&amp;INT(($A86-WEEKDAY($A86,2)+11-DATE(YEAR($A86+4-WEEKDAY($A86,2)),1,1))/7))</f>
        <v/>
      </c>
      <c r="I86" s="69" t="str">
        <f aca="false">IF($A86="","",DATE(YEAR($A86),MONTH($A86),1))</f>
        <v/>
      </c>
      <c r="J86" s="68" t="str">
        <f aca="false">IF($A86="","",YEAR($A86+4-WEEKDAY($A86,2)))</f>
        <v/>
      </c>
    </row>
    <row r="87" customFormat="false" ht="15" hidden="false" customHeight="false" outlineLevel="0" collapsed="false">
      <c r="A87" s="33"/>
      <c r="H87" s="68" t="str">
        <f aca="false">IF($A87="","","S"&amp;INT(($A87-WEEKDAY($A87,2)+11-DATE(YEAR($A87+4-WEEKDAY($A87,2)),1,1))/7))</f>
        <v/>
      </c>
      <c r="I87" s="69" t="str">
        <f aca="false">IF($A87="","",DATE(YEAR($A87),MONTH($A87),1))</f>
        <v/>
      </c>
      <c r="J87" s="68" t="str">
        <f aca="false">IF($A87="","",YEAR($A87+4-WEEKDAY($A87,2)))</f>
        <v/>
      </c>
    </row>
    <row r="88" customFormat="false" ht="15" hidden="false" customHeight="false" outlineLevel="0" collapsed="false">
      <c r="A88" s="33"/>
      <c r="H88" s="68" t="str">
        <f aca="false">IF($A88="","","S"&amp;INT(($A88-WEEKDAY($A88,2)+11-DATE(YEAR($A88+4-WEEKDAY($A88,2)),1,1))/7))</f>
        <v/>
      </c>
      <c r="I88" s="69" t="str">
        <f aca="false">IF($A88="","",DATE(YEAR($A88),MONTH($A88),1))</f>
        <v/>
      </c>
      <c r="J88" s="68" t="str">
        <f aca="false">IF($A88="","",YEAR($A88+4-WEEKDAY($A88,2)))</f>
        <v/>
      </c>
    </row>
    <row r="89" customFormat="false" ht="15" hidden="false" customHeight="false" outlineLevel="0" collapsed="false">
      <c r="A89" s="33"/>
      <c r="H89" s="68" t="str">
        <f aca="false">IF($A89="","","S"&amp;INT(($A89-WEEKDAY($A89,2)+11-DATE(YEAR($A89+4-WEEKDAY($A89,2)),1,1))/7))</f>
        <v/>
      </c>
      <c r="I89" s="69" t="str">
        <f aca="false">IF($A89="","",DATE(YEAR($A89),MONTH($A89),1))</f>
        <v/>
      </c>
      <c r="J89" s="68" t="str">
        <f aca="false">IF($A89="","",YEAR($A89+4-WEEKDAY($A89,2)))</f>
        <v/>
      </c>
    </row>
    <row r="90" customFormat="false" ht="15" hidden="false" customHeight="false" outlineLevel="0" collapsed="false">
      <c r="A90" s="33"/>
      <c r="H90" s="68" t="str">
        <f aca="false">IF($A90="","","S"&amp;INT(($A90-WEEKDAY($A90,2)+11-DATE(YEAR($A90+4-WEEKDAY($A90,2)),1,1))/7))</f>
        <v/>
      </c>
      <c r="I90" s="69" t="str">
        <f aca="false">IF($A90="","",DATE(YEAR($A90),MONTH($A90),1))</f>
        <v/>
      </c>
      <c r="J90" s="68" t="str">
        <f aca="false">IF($A90="","",YEAR($A90+4-WEEKDAY($A90,2)))</f>
        <v/>
      </c>
    </row>
    <row r="91" customFormat="false" ht="15" hidden="false" customHeight="false" outlineLevel="0" collapsed="false">
      <c r="A91" s="33"/>
      <c r="H91" s="68" t="str">
        <f aca="false">IF($A91="","","S"&amp;INT(($A91-WEEKDAY($A91,2)+11-DATE(YEAR($A91+4-WEEKDAY($A91,2)),1,1))/7))</f>
        <v/>
      </c>
      <c r="I91" s="69" t="str">
        <f aca="false">IF($A91="","",DATE(YEAR($A91),MONTH($A91),1))</f>
        <v/>
      </c>
      <c r="J91" s="68" t="str">
        <f aca="false">IF($A91="","",YEAR($A91+4-WEEKDAY($A91,2)))</f>
        <v/>
      </c>
    </row>
    <row r="92" customFormat="false" ht="15" hidden="false" customHeight="false" outlineLevel="0" collapsed="false">
      <c r="A92" s="33"/>
      <c r="H92" s="68" t="str">
        <f aca="false">IF($A92="","","S"&amp;INT(($A92-WEEKDAY($A92,2)+11-DATE(YEAR($A92+4-WEEKDAY($A92,2)),1,1))/7))</f>
        <v/>
      </c>
      <c r="I92" s="69" t="str">
        <f aca="false">IF($A92="","",DATE(YEAR($A92),MONTH($A92),1))</f>
        <v/>
      </c>
      <c r="J92" s="68" t="str">
        <f aca="false">IF($A92="","",YEAR($A92+4-WEEKDAY($A92,2)))</f>
        <v/>
      </c>
    </row>
    <row r="93" customFormat="false" ht="15" hidden="false" customHeight="false" outlineLevel="0" collapsed="false">
      <c r="A93" s="33"/>
      <c r="H93" s="68" t="str">
        <f aca="false">IF($A93="","","S"&amp;INT(($A93-WEEKDAY($A93,2)+11-DATE(YEAR($A93+4-WEEKDAY($A93,2)),1,1))/7))</f>
        <v/>
      </c>
      <c r="I93" s="69" t="str">
        <f aca="false">IF($A93="","",DATE(YEAR($A93),MONTH($A93),1))</f>
        <v/>
      </c>
      <c r="J93" s="68" t="str">
        <f aca="false">IF($A93="","",YEAR($A93+4-WEEKDAY($A93,2)))</f>
        <v/>
      </c>
    </row>
    <row r="94" customFormat="false" ht="15" hidden="false" customHeight="false" outlineLevel="0" collapsed="false">
      <c r="A94" s="33"/>
      <c r="H94" s="68" t="str">
        <f aca="false">IF($A94="","","S"&amp;INT(($A94-WEEKDAY($A94,2)+11-DATE(YEAR($A94+4-WEEKDAY($A94,2)),1,1))/7))</f>
        <v/>
      </c>
      <c r="I94" s="69" t="str">
        <f aca="false">IF($A94="","",DATE(YEAR($A94),MONTH($A94),1))</f>
        <v/>
      </c>
      <c r="J94" s="68" t="str">
        <f aca="false">IF($A94="","",YEAR($A94+4-WEEKDAY($A94,2)))</f>
        <v/>
      </c>
    </row>
    <row r="95" customFormat="false" ht="15" hidden="false" customHeight="false" outlineLevel="0" collapsed="false">
      <c r="A95" s="33"/>
      <c r="H95" s="68" t="str">
        <f aca="false">IF($A95="","","S"&amp;INT(($A95-WEEKDAY($A95,2)+11-DATE(YEAR($A95+4-WEEKDAY($A95,2)),1,1))/7))</f>
        <v/>
      </c>
      <c r="I95" s="69" t="str">
        <f aca="false">IF($A95="","",DATE(YEAR($A95),MONTH($A95),1))</f>
        <v/>
      </c>
      <c r="J95" s="68" t="str">
        <f aca="false">IF($A95="","",YEAR($A95+4-WEEKDAY($A95,2)))</f>
        <v/>
      </c>
    </row>
    <row r="96" customFormat="false" ht="15" hidden="false" customHeight="false" outlineLevel="0" collapsed="false">
      <c r="A96" s="33"/>
      <c r="H96" s="68" t="str">
        <f aca="false">IF($A96="","","S"&amp;INT(($A96-WEEKDAY($A96,2)+11-DATE(YEAR($A96+4-WEEKDAY($A96,2)),1,1))/7))</f>
        <v/>
      </c>
      <c r="I96" s="69" t="str">
        <f aca="false">IF($A96="","",DATE(YEAR($A96),MONTH($A96),1))</f>
        <v/>
      </c>
      <c r="J96" s="68" t="str">
        <f aca="false">IF($A96="","",YEAR($A96+4-WEEKDAY($A96,2)))</f>
        <v/>
      </c>
    </row>
    <row r="97" customFormat="false" ht="15" hidden="false" customHeight="false" outlineLevel="0" collapsed="false">
      <c r="A97" s="33"/>
      <c r="H97" s="68" t="str">
        <f aca="false">IF($A97="","","S"&amp;INT(($A97-WEEKDAY($A97,2)+11-DATE(YEAR($A97+4-WEEKDAY($A97,2)),1,1))/7))</f>
        <v/>
      </c>
      <c r="I97" s="69" t="str">
        <f aca="false">IF($A97="","",DATE(YEAR($A97),MONTH($A97),1))</f>
        <v/>
      </c>
      <c r="J97" s="68" t="str">
        <f aca="false">IF($A97="","",YEAR($A97+4-WEEKDAY($A97,2)))</f>
        <v/>
      </c>
    </row>
    <row r="98" customFormat="false" ht="15" hidden="false" customHeight="false" outlineLevel="0" collapsed="false">
      <c r="A98" s="33"/>
      <c r="H98" s="68" t="str">
        <f aca="false">IF($A98="","","S"&amp;INT(($A98-WEEKDAY($A98,2)+11-DATE(YEAR($A98+4-WEEKDAY($A98,2)),1,1))/7))</f>
        <v/>
      </c>
      <c r="I98" s="69" t="str">
        <f aca="false">IF($A98="","",DATE(YEAR($A98),MONTH($A98),1))</f>
        <v/>
      </c>
      <c r="J98" s="68" t="str">
        <f aca="false">IF($A98="","",YEAR($A98+4-WEEKDAY($A98,2)))</f>
        <v/>
      </c>
    </row>
    <row r="99" customFormat="false" ht="15" hidden="false" customHeight="false" outlineLevel="0" collapsed="false">
      <c r="A99" s="33"/>
      <c r="H99" s="68" t="str">
        <f aca="false">IF($A99="","","S"&amp;INT(($A99-WEEKDAY($A99,2)+11-DATE(YEAR($A99+4-WEEKDAY($A99,2)),1,1))/7))</f>
        <v/>
      </c>
      <c r="I99" s="69" t="str">
        <f aca="false">IF($A99="","",DATE(YEAR($A99),MONTH($A99),1))</f>
        <v/>
      </c>
      <c r="J99" s="68" t="str">
        <f aca="false">IF($A99="","",YEAR($A99+4-WEEKDAY($A99,2)))</f>
        <v/>
      </c>
    </row>
    <row r="100" customFormat="false" ht="15" hidden="false" customHeight="false" outlineLevel="0" collapsed="false">
      <c r="A100" s="33"/>
      <c r="H100" s="68" t="str">
        <f aca="false">IF($A100="","","S"&amp;INT(($A100-WEEKDAY($A100,2)+11-DATE(YEAR($A100+4-WEEKDAY($A100,2)),1,1))/7))</f>
        <v/>
      </c>
      <c r="I100" s="69" t="str">
        <f aca="false">IF($A100="","",DATE(YEAR($A100),MONTH($A100),1))</f>
        <v/>
      </c>
      <c r="J100" s="68" t="str">
        <f aca="false">IF($A100="","",YEAR($A100+4-WEEKDAY($A100,2)))</f>
        <v/>
      </c>
    </row>
    <row r="101" customFormat="false" ht="15" hidden="false" customHeight="false" outlineLevel="0" collapsed="false">
      <c r="A101" s="33"/>
      <c r="H101" s="68" t="str">
        <f aca="false">IF($A101="","","S"&amp;INT(($A101-WEEKDAY($A101,2)+11-DATE(YEAR($A101+4-WEEKDAY($A101,2)),1,1))/7))</f>
        <v/>
      </c>
      <c r="I101" s="69" t="str">
        <f aca="false">IF($A101="","",DATE(YEAR($A101),MONTH($A101),1))</f>
        <v/>
      </c>
      <c r="J101" s="68" t="str">
        <f aca="false">IF($A101="","",YEAR($A101+4-WEEKDAY($A101,2)))</f>
        <v/>
      </c>
    </row>
    <row r="102" customFormat="false" ht="15" hidden="false" customHeight="false" outlineLevel="0" collapsed="false">
      <c r="A102" s="33"/>
      <c r="H102" s="68" t="str">
        <f aca="false">IF($A102="","","S"&amp;INT(($A102-WEEKDAY($A102,2)+11-DATE(YEAR($A102+4-WEEKDAY($A102,2)),1,1))/7))</f>
        <v/>
      </c>
      <c r="I102" s="69" t="str">
        <f aca="false">IF($A102="","",DATE(YEAR($A102),MONTH($A102),1))</f>
        <v/>
      </c>
      <c r="J102" s="68" t="str">
        <f aca="false">IF($A102="","",YEAR($A102+4-WEEKDAY($A102,2)))</f>
        <v/>
      </c>
    </row>
    <row r="103" customFormat="false" ht="15" hidden="false" customHeight="false" outlineLevel="0" collapsed="false">
      <c r="A103" s="33"/>
      <c r="H103" s="68" t="str">
        <f aca="false">IF($A103="","","S"&amp;INT(($A103-WEEKDAY($A103,2)+11-DATE(YEAR($A103+4-WEEKDAY($A103,2)),1,1))/7))</f>
        <v/>
      </c>
      <c r="I103" s="69" t="str">
        <f aca="false">IF($A103="","",DATE(YEAR($A103),MONTH($A103),1))</f>
        <v/>
      </c>
      <c r="J103" s="68" t="str">
        <f aca="false">IF($A103="","",YEAR($A103+4-WEEKDAY($A103,2)))</f>
        <v/>
      </c>
    </row>
    <row r="104" customFormat="false" ht="15" hidden="false" customHeight="false" outlineLevel="0" collapsed="false">
      <c r="A104" s="33"/>
      <c r="H104" s="68" t="str">
        <f aca="false">IF($A104="","","S"&amp;INT(($A104-WEEKDAY($A104,2)+11-DATE(YEAR($A104+4-WEEKDAY($A104,2)),1,1))/7))</f>
        <v/>
      </c>
      <c r="I104" s="69" t="str">
        <f aca="false">IF($A104="","",DATE(YEAR($A104),MONTH($A104),1))</f>
        <v/>
      </c>
      <c r="J104" s="68" t="str">
        <f aca="false">IF($A104="","",YEAR($A104+4-WEEKDAY($A104,2)))</f>
        <v/>
      </c>
    </row>
    <row r="105" customFormat="false" ht="15" hidden="false" customHeight="false" outlineLevel="0" collapsed="false">
      <c r="A105" s="33"/>
      <c r="H105" s="68" t="str">
        <f aca="false">IF($A105="","","S"&amp;INT(($A105-WEEKDAY($A105,2)+11-DATE(YEAR($A105+4-WEEKDAY($A105,2)),1,1))/7))</f>
        <v/>
      </c>
      <c r="I105" s="69" t="str">
        <f aca="false">IF($A105="","",DATE(YEAR($A105),MONTH($A105),1))</f>
        <v/>
      </c>
      <c r="J105" s="68" t="str">
        <f aca="false">IF($A105="","",YEAR($A105+4-WEEKDAY($A105,2)))</f>
        <v/>
      </c>
    </row>
    <row r="106" customFormat="false" ht="15" hidden="false" customHeight="false" outlineLevel="0" collapsed="false">
      <c r="A106" s="33"/>
      <c r="H106" s="68" t="str">
        <f aca="false">IF($A106="","","S"&amp;INT(($A106-WEEKDAY($A106,2)+11-DATE(YEAR($A106+4-WEEKDAY($A106,2)),1,1))/7))</f>
        <v/>
      </c>
      <c r="I106" s="69" t="str">
        <f aca="false">IF($A106="","",DATE(YEAR($A106),MONTH($A106),1))</f>
        <v/>
      </c>
      <c r="J106" s="68" t="str">
        <f aca="false">IF($A106="","",YEAR($A106+4-WEEKDAY($A106,2)))</f>
        <v/>
      </c>
    </row>
    <row r="107" customFormat="false" ht="15" hidden="false" customHeight="false" outlineLevel="0" collapsed="false">
      <c r="A107" s="33"/>
      <c r="H107" s="68" t="str">
        <f aca="false">IF($A107="","","S"&amp;INT(($A107-WEEKDAY($A107,2)+11-DATE(YEAR($A107+4-WEEKDAY($A107,2)),1,1))/7))</f>
        <v/>
      </c>
      <c r="I107" s="69" t="str">
        <f aca="false">IF($A107="","",DATE(YEAR($A107),MONTH($A107),1))</f>
        <v/>
      </c>
      <c r="J107" s="68" t="str">
        <f aca="false">IF($A107="","",YEAR($A107+4-WEEKDAY($A107,2)))</f>
        <v/>
      </c>
    </row>
    <row r="108" customFormat="false" ht="15" hidden="false" customHeight="false" outlineLevel="0" collapsed="false">
      <c r="A108" s="33"/>
      <c r="H108" s="68" t="str">
        <f aca="false">IF($A108="","","S"&amp;INT(($A108-WEEKDAY($A108,2)+11-DATE(YEAR($A108+4-WEEKDAY($A108,2)),1,1))/7))</f>
        <v/>
      </c>
      <c r="I108" s="69" t="str">
        <f aca="false">IF($A108="","",DATE(YEAR($A108),MONTH($A108),1))</f>
        <v/>
      </c>
      <c r="J108" s="68" t="str">
        <f aca="false">IF($A108="","",YEAR($A108+4-WEEKDAY($A108,2)))</f>
        <v/>
      </c>
    </row>
    <row r="109" customFormat="false" ht="15" hidden="false" customHeight="false" outlineLevel="0" collapsed="false">
      <c r="A109" s="33"/>
      <c r="H109" s="68" t="str">
        <f aca="false">IF($A109="","","S"&amp;INT(($A109-WEEKDAY($A109,2)+11-DATE(YEAR($A109+4-WEEKDAY($A109,2)),1,1))/7))</f>
        <v/>
      </c>
      <c r="I109" s="69" t="str">
        <f aca="false">IF($A109="","",DATE(YEAR($A109),MONTH($A109),1))</f>
        <v/>
      </c>
      <c r="J109" s="68" t="str">
        <f aca="false">IF($A109="","",YEAR($A109+4-WEEKDAY($A109,2)))</f>
        <v/>
      </c>
    </row>
    <row r="110" customFormat="false" ht="15" hidden="false" customHeight="false" outlineLevel="0" collapsed="false">
      <c r="A110" s="33"/>
      <c r="H110" s="68" t="str">
        <f aca="false">IF($A110="","","S"&amp;INT(($A110-WEEKDAY($A110,2)+11-DATE(YEAR($A110+4-WEEKDAY($A110,2)),1,1))/7))</f>
        <v/>
      </c>
      <c r="I110" s="69" t="str">
        <f aca="false">IF($A110="","",DATE(YEAR($A110),MONTH($A110),1))</f>
        <v/>
      </c>
      <c r="J110" s="68" t="str">
        <f aca="false">IF($A110="","",YEAR($A110+4-WEEKDAY($A110,2)))</f>
        <v/>
      </c>
    </row>
    <row r="111" customFormat="false" ht="15" hidden="false" customHeight="false" outlineLevel="0" collapsed="false">
      <c r="A111" s="33"/>
      <c r="H111" s="68" t="str">
        <f aca="false">IF($A111="","","S"&amp;INT(($A111-WEEKDAY($A111,2)+11-DATE(YEAR($A111+4-WEEKDAY($A111,2)),1,1))/7))</f>
        <v/>
      </c>
      <c r="I111" s="69" t="str">
        <f aca="false">IF($A111="","",DATE(YEAR($A111),MONTH($A111),1))</f>
        <v/>
      </c>
      <c r="J111" s="68" t="str">
        <f aca="false">IF($A111="","",YEAR($A111+4-WEEKDAY($A111,2)))</f>
        <v/>
      </c>
    </row>
    <row r="112" customFormat="false" ht="15" hidden="false" customHeight="false" outlineLevel="0" collapsed="false">
      <c r="A112" s="33"/>
      <c r="H112" s="68" t="str">
        <f aca="false">IF($A112="","","S"&amp;INT(($A112-WEEKDAY($A112,2)+11-DATE(YEAR($A112+4-WEEKDAY($A112,2)),1,1))/7))</f>
        <v/>
      </c>
      <c r="I112" s="69" t="str">
        <f aca="false">IF($A112="","",DATE(YEAR($A112),MONTH($A112),1))</f>
        <v/>
      </c>
      <c r="J112" s="68" t="str">
        <f aca="false">IF($A112="","",YEAR($A112+4-WEEKDAY($A112,2)))</f>
        <v/>
      </c>
    </row>
    <row r="113" customFormat="false" ht="15" hidden="false" customHeight="false" outlineLevel="0" collapsed="false">
      <c r="A113" s="33"/>
      <c r="H113" s="68" t="str">
        <f aca="false">IF($A113="","","S"&amp;INT(($A113-WEEKDAY($A113,2)+11-DATE(YEAR($A113+4-WEEKDAY($A113,2)),1,1))/7))</f>
        <v/>
      </c>
      <c r="I113" s="69" t="str">
        <f aca="false">IF($A113="","",DATE(YEAR($A113),MONTH($A113),1))</f>
        <v/>
      </c>
      <c r="J113" s="68" t="str">
        <f aca="false">IF($A113="","",YEAR($A113+4-WEEKDAY($A113,2)))</f>
        <v/>
      </c>
    </row>
    <row r="114" customFormat="false" ht="15" hidden="false" customHeight="false" outlineLevel="0" collapsed="false">
      <c r="A114" s="33"/>
      <c r="H114" s="68" t="str">
        <f aca="false">IF($A114="","","S"&amp;INT(($A114-WEEKDAY($A114,2)+11-DATE(YEAR($A114+4-WEEKDAY($A114,2)),1,1))/7))</f>
        <v/>
      </c>
      <c r="I114" s="69" t="str">
        <f aca="false">IF($A114="","",DATE(YEAR($A114),MONTH($A114),1))</f>
        <v/>
      </c>
      <c r="J114" s="68" t="str">
        <f aca="false">IF($A114="","",YEAR($A114+4-WEEKDAY($A114,2)))</f>
        <v/>
      </c>
    </row>
    <row r="115" customFormat="false" ht="15" hidden="false" customHeight="false" outlineLevel="0" collapsed="false">
      <c r="A115" s="33"/>
      <c r="H115" s="68" t="str">
        <f aca="false">IF($A115="","","S"&amp;INT(($A115-WEEKDAY($A115,2)+11-DATE(YEAR($A115+4-WEEKDAY($A115,2)),1,1))/7))</f>
        <v/>
      </c>
      <c r="I115" s="69" t="str">
        <f aca="false">IF($A115="","",DATE(YEAR($A115),MONTH($A115),1))</f>
        <v/>
      </c>
      <c r="J115" s="68" t="str">
        <f aca="false">IF($A115="","",YEAR($A115+4-WEEKDAY($A115,2)))</f>
        <v/>
      </c>
    </row>
    <row r="116" customFormat="false" ht="15" hidden="false" customHeight="false" outlineLevel="0" collapsed="false">
      <c r="A116" s="33"/>
      <c r="H116" s="68" t="str">
        <f aca="false">IF($A116="","","S"&amp;INT(($A116-WEEKDAY($A116,2)+11-DATE(YEAR($A116+4-WEEKDAY($A116,2)),1,1))/7))</f>
        <v/>
      </c>
      <c r="I116" s="69" t="str">
        <f aca="false">IF($A116="","",DATE(YEAR($A116),MONTH($A116),1))</f>
        <v/>
      </c>
      <c r="J116" s="68" t="str">
        <f aca="false">IF($A116="","",YEAR($A116+4-WEEKDAY($A116,2)))</f>
        <v/>
      </c>
    </row>
    <row r="117" customFormat="false" ht="15" hidden="false" customHeight="false" outlineLevel="0" collapsed="false">
      <c r="A117" s="33"/>
      <c r="H117" s="68" t="str">
        <f aca="false">IF($A117="","","S"&amp;INT(($A117-WEEKDAY($A117,2)+11-DATE(YEAR($A117+4-WEEKDAY($A117,2)),1,1))/7))</f>
        <v/>
      </c>
      <c r="I117" s="69" t="str">
        <f aca="false">IF($A117="","",DATE(YEAR($A117),MONTH($A117),1))</f>
        <v/>
      </c>
      <c r="J117" s="68" t="str">
        <f aca="false">IF($A117="","",YEAR($A117+4-WEEKDAY($A117,2)))</f>
        <v/>
      </c>
    </row>
    <row r="118" customFormat="false" ht="15" hidden="false" customHeight="false" outlineLevel="0" collapsed="false">
      <c r="A118" s="33"/>
      <c r="H118" s="68" t="str">
        <f aca="false">IF($A118="","","S"&amp;INT(($A118-WEEKDAY($A118,2)+11-DATE(YEAR($A118+4-WEEKDAY($A118,2)),1,1))/7))</f>
        <v/>
      </c>
      <c r="I118" s="69" t="str">
        <f aca="false">IF($A118="","",DATE(YEAR($A118),MONTH($A118),1))</f>
        <v/>
      </c>
      <c r="J118" s="68" t="str">
        <f aca="false">IF($A118="","",YEAR($A118+4-WEEKDAY($A118,2)))</f>
        <v/>
      </c>
    </row>
    <row r="119" customFormat="false" ht="15" hidden="false" customHeight="false" outlineLevel="0" collapsed="false">
      <c r="A119" s="33"/>
      <c r="H119" s="68" t="str">
        <f aca="false">IF($A119="","","S"&amp;INT(($A119-WEEKDAY($A119,2)+11-DATE(YEAR($A119+4-WEEKDAY($A119,2)),1,1))/7))</f>
        <v/>
      </c>
      <c r="I119" s="69" t="str">
        <f aca="false">IF($A119="","",DATE(YEAR($A119),MONTH($A119),1))</f>
        <v/>
      </c>
      <c r="J119" s="68" t="str">
        <f aca="false">IF($A119="","",YEAR($A119+4-WEEKDAY($A119,2)))</f>
        <v/>
      </c>
    </row>
    <row r="120" customFormat="false" ht="15" hidden="false" customHeight="false" outlineLevel="0" collapsed="false">
      <c r="A120" s="33"/>
      <c r="H120" s="68" t="str">
        <f aca="false">IF($A120="","","S"&amp;INT(($A120-WEEKDAY($A120,2)+11-DATE(YEAR($A120+4-WEEKDAY($A120,2)),1,1))/7))</f>
        <v/>
      </c>
      <c r="I120" s="69" t="str">
        <f aca="false">IF($A120="","",DATE(YEAR($A120),MONTH($A120),1))</f>
        <v/>
      </c>
      <c r="J120" s="68" t="str">
        <f aca="false">IF($A120="","",YEAR($A120+4-WEEKDAY($A120,2)))</f>
        <v/>
      </c>
    </row>
    <row r="121" customFormat="false" ht="15" hidden="false" customHeight="false" outlineLevel="0" collapsed="false">
      <c r="A121" s="33"/>
      <c r="H121" s="68" t="str">
        <f aca="false">IF($A121="","","S"&amp;INT(($A121-WEEKDAY($A121,2)+11-DATE(YEAR($A121+4-WEEKDAY($A121,2)),1,1))/7))</f>
        <v/>
      </c>
      <c r="I121" s="69" t="str">
        <f aca="false">IF($A121="","",DATE(YEAR($A121),MONTH($A121),1))</f>
        <v/>
      </c>
      <c r="J121" s="68" t="str">
        <f aca="false">IF($A121="","",YEAR($A121+4-WEEKDAY($A121,2)))</f>
        <v/>
      </c>
    </row>
    <row r="122" customFormat="false" ht="15" hidden="false" customHeight="false" outlineLevel="0" collapsed="false">
      <c r="A122" s="33"/>
      <c r="H122" s="68" t="str">
        <f aca="false">IF($A122="","","S"&amp;INT(($A122-WEEKDAY($A122,2)+11-DATE(YEAR($A122+4-WEEKDAY($A122,2)),1,1))/7))</f>
        <v/>
      </c>
      <c r="I122" s="69" t="str">
        <f aca="false">IF($A122="","",DATE(YEAR($A122),MONTH($A122),1))</f>
        <v/>
      </c>
      <c r="J122" s="68" t="str">
        <f aca="false">IF($A122="","",YEAR($A122+4-WEEKDAY($A122,2)))</f>
        <v/>
      </c>
    </row>
    <row r="123" customFormat="false" ht="15" hidden="false" customHeight="false" outlineLevel="0" collapsed="false">
      <c r="A123" s="33"/>
      <c r="H123" s="68" t="str">
        <f aca="false">IF($A123="","","S"&amp;INT(($A123-WEEKDAY($A123,2)+11-DATE(YEAR($A123+4-WEEKDAY($A123,2)),1,1))/7))</f>
        <v/>
      </c>
      <c r="I123" s="69" t="str">
        <f aca="false">IF($A123="","",DATE(YEAR($A123),MONTH($A123),1))</f>
        <v/>
      </c>
      <c r="J123" s="68" t="str">
        <f aca="false">IF($A123="","",YEAR($A123+4-WEEKDAY($A123,2)))</f>
        <v/>
      </c>
    </row>
    <row r="124" customFormat="false" ht="15" hidden="false" customHeight="false" outlineLevel="0" collapsed="false">
      <c r="A124" s="33"/>
      <c r="H124" s="68" t="str">
        <f aca="false">IF($A124="","","S"&amp;INT(($A124-WEEKDAY($A124,2)+11-DATE(YEAR($A124+4-WEEKDAY($A124,2)),1,1))/7))</f>
        <v/>
      </c>
      <c r="I124" s="69" t="str">
        <f aca="false">IF($A124="","",DATE(YEAR($A124),MONTH($A124),1))</f>
        <v/>
      </c>
      <c r="J124" s="68" t="str">
        <f aca="false">IF($A124="","",YEAR($A124+4-WEEKDAY($A124,2)))</f>
        <v/>
      </c>
    </row>
    <row r="125" customFormat="false" ht="15" hidden="false" customHeight="false" outlineLevel="0" collapsed="false">
      <c r="A125" s="33"/>
      <c r="H125" s="68" t="str">
        <f aca="false">IF($A125="","","S"&amp;INT(($A125-WEEKDAY($A125,2)+11-DATE(YEAR($A125+4-WEEKDAY($A125,2)),1,1))/7))</f>
        <v/>
      </c>
      <c r="I125" s="69" t="str">
        <f aca="false">IF($A125="","",DATE(YEAR($A125),MONTH($A125),1))</f>
        <v/>
      </c>
      <c r="J125" s="68" t="str">
        <f aca="false">IF($A125="","",YEAR($A125+4-WEEKDAY($A125,2)))</f>
        <v/>
      </c>
    </row>
    <row r="126" customFormat="false" ht="15" hidden="false" customHeight="false" outlineLevel="0" collapsed="false">
      <c r="A126" s="33"/>
      <c r="H126" s="68" t="str">
        <f aca="false">IF($A126="","","S"&amp;INT(($A126-WEEKDAY($A126,2)+11-DATE(YEAR($A126+4-WEEKDAY($A126,2)),1,1))/7))</f>
        <v/>
      </c>
      <c r="I126" s="69" t="str">
        <f aca="false">IF($A126="","",DATE(YEAR($A126),MONTH($A126),1))</f>
        <v/>
      </c>
      <c r="J126" s="68" t="str">
        <f aca="false">IF($A126="","",YEAR($A126+4-WEEKDAY($A126,2)))</f>
        <v/>
      </c>
    </row>
    <row r="127" customFormat="false" ht="15" hidden="false" customHeight="false" outlineLevel="0" collapsed="false">
      <c r="A127" s="33"/>
      <c r="H127" s="68" t="str">
        <f aca="false">IF($A127="","","S"&amp;INT(($A127-WEEKDAY($A127,2)+11-DATE(YEAR($A127+4-WEEKDAY($A127,2)),1,1))/7))</f>
        <v/>
      </c>
      <c r="I127" s="69" t="str">
        <f aca="false">IF($A127="","",DATE(YEAR($A127),MONTH($A127),1))</f>
        <v/>
      </c>
      <c r="J127" s="68" t="str">
        <f aca="false">IF($A127="","",YEAR($A127+4-WEEKDAY($A127,2)))</f>
        <v/>
      </c>
    </row>
    <row r="128" customFormat="false" ht="15" hidden="false" customHeight="false" outlineLevel="0" collapsed="false">
      <c r="A128" s="33"/>
      <c r="H128" s="68" t="str">
        <f aca="false">IF($A128="","","S"&amp;INT(($A128-WEEKDAY($A128,2)+11-DATE(YEAR($A128+4-WEEKDAY($A128,2)),1,1))/7))</f>
        <v/>
      </c>
      <c r="I128" s="69" t="str">
        <f aca="false">IF($A128="","",DATE(YEAR($A128),MONTH($A128),1))</f>
        <v/>
      </c>
      <c r="J128" s="68" t="str">
        <f aca="false">IF($A128="","",YEAR($A128+4-WEEKDAY($A128,2)))</f>
        <v/>
      </c>
    </row>
    <row r="129" customFormat="false" ht="15" hidden="false" customHeight="false" outlineLevel="0" collapsed="false">
      <c r="A129" s="33"/>
      <c r="H129" s="68" t="str">
        <f aca="false">IF($A129="","","S"&amp;INT(($A129-WEEKDAY($A129,2)+11-DATE(YEAR($A129+4-WEEKDAY($A129,2)),1,1))/7))</f>
        <v/>
      </c>
      <c r="I129" s="69" t="str">
        <f aca="false">IF($A129="","",DATE(YEAR($A129),MONTH($A129),1))</f>
        <v/>
      </c>
      <c r="J129" s="68" t="str">
        <f aca="false">IF($A129="","",YEAR($A129+4-WEEKDAY($A129,2)))</f>
        <v/>
      </c>
    </row>
    <row r="130" customFormat="false" ht="15" hidden="false" customHeight="false" outlineLevel="0" collapsed="false">
      <c r="A130" s="33"/>
      <c r="H130" s="68" t="str">
        <f aca="false">IF($A130="","","S"&amp;INT(($A130-WEEKDAY($A130,2)+11-DATE(YEAR($A130+4-WEEKDAY($A130,2)),1,1))/7))</f>
        <v/>
      </c>
      <c r="I130" s="69" t="str">
        <f aca="false">IF($A130="","",DATE(YEAR($A130),MONTH($A130),1))</f>
        <v/>
      </c>
      <c r="J130" s="68" t="str">
        <f aca="false">IF($A130="","",YEAR($A130+4-WEEKDAY($A130,2)))</f>
        <v/>
      </c>
    </row>
    <row r="131" customFormat="false" ht="15" hidden="false" customHeight="false" outlineLevel="0" collapsed="false">
      <c r="A131" s="33"/>
      <c r="H131" s="68" t="str">
        <f aca="false">IF($A131="","","S"&amp;INT(($A131-WEEKDAY($A131,2)+11-DATE(YEAR($A131+4-WEEKDAY($A131,2)),1,1))/7))</f>
        <v/>
      </c>
      <c r="I131" s="69" t="str">
        <f aca="false">IF($A131="","",DATE(YEAR($A131),MONTH($A131),1))</f>
        <v/>
      </c>
      <c r="J131" s="68" t="str">
        <f aca="false">IF($A131="","",YEAR($A131+4-WEEKDAY($A131,2)))</f>
        <v/>
      </c>
    </row>
    <row r="132" customFormat="false" ht="15" hidden="false" customHeight="false" outlineLevel="0" collapsed="false">
      <c r="A132" s="33"/>
      <c r="H132" s="68" t="str">
        <f aca="false">IF($A132="","","S"&amp;INT(($A132-WEEKDAY($A132,2)+11-DATE(YEAR($A132+4-WEEKDAY($A132,2)),1,1))/7))</f>
        <v/>
      </c>
      <c r="I132" s="69" t="str">
        <f aca="false">IF($A132="","",DATE(YEAR($A132),MONTH($A132),1))</f>
        <v/>
      </c>
      <c r="J132" s="68" t="str">
        <f aca="false">IF($A132="","",YEAR($A132+4-WEEKDAY($A132,2)))</f>
        <v/>
      </c>
    </row>
    <row r="133" customFormat="false" ht="15" hidden="false" customHeight="false" outlineLevel="0" collapsed="false">
      <c r="A133" s="33"/>
      <c r="H133" s="68" t="str">
        <f aca="false">IF($A133="","","S"&amp;INT(($A133-WEEKDAY($A133,2)+11-DATE(YEAR($A133+4-WEEKDAY($A133,2)),1,1))/7))</f>
        <v/>
      </c>
      <c r="I133" s="69" t="str">
        <f aca="false">IF($A133="","",DATE(YEAR($A133),MONTH($A133),1))</f>
        <v/>
      </c>
      <c r="J133" s="68" t="str">
        <f aca="false">IF($A133="","",YEAR($A133+4-WEEKDAY($A133,2)))</f>
        <v/>
      </c>
    </row>
    <row r="134" customFormat="false" ht="15" hidden="false" customHeight="false" outlineLevel="0" collapsed="false">
      <c r="A134" s="33"/>
      <c r="H134" s="68" t="str">
        <f aca="false">IF($A134="","","S"&amp;INT(($A134-WEEKDAY($A134,2)+11-DATE(YEAR($A134+4-WEEKDAY($A134,2)),1,1))/7))</f>
        <v/>
      </c>
      <c r="I134" s="69" t="str">
        <f aca="false">IF($A134="","",DATE(YEAR($A134),MONTH($A134),1))</f>
        <v/>
      </c>
      <c r="J134" s="68" t="str">
        <f aca="false">IF($A134="","",YEAR($A134+4-WEEKDAY($A134,2)))</f>
        <v/>
      </c>
    </row>
    <row r="135" customFormat="false" ht="15" hidden="false" customHeight="false" outlineLevel="0" collapsed="false">
      <c r="A135" s="33"/>
      <c r="H135" s="68" t="str">
        <f aca="false">IF($A135="","","S"&amp;INT(($A135-WEEKDAY($A135,2)+11-DATE(YEAR($A135+4-WEEKDAY($A135,2)),1,1))/7))</f>
        <v/>
      </c>
      <c r="I135" s="69" t="str">
        <f aca="false">IF($A135="","",DATE(YEAR($A135),MONTH($A135),1))</f>
        <v/>
      </c>
      <c r="J135" s="68" t="str">
        <f aca="false">IF($A135="","",YEAR($A135+4-WEEKDAY($A135,2)))</f>
        <v/>
      </c>
    </row>
    <row r="136" customFormat="false" ht="15" hidden="false" customHeight="false" outlineLevel="0" collapsed="false">
      <c r="A136" s="33"/>
      <c r="H136" s="68" t="str">
        <f aca="false">IF($A136="","","S"&amp;INT(($A136-WEEKDAY($A136,2)+11-DATE(YEAR($A136+4-WEEKDAY($A136,2)),1,1))/7))</f>
        <v/>
      </c>
      <c r="I136" s="69" t="str">
        <f aca="false">IF($A136="","",DATE(YEAR($A136),MONTH($A136),1))</f>
        <v/>
      </c>
      <c r="J136" s="68" t="str">
        <f aca="false">IF($A136="","",YEAR($A136+4-WEEKDAY($A136,2)))</f>
        <v/>
      </c>
    </row>
    <row r="137" customFormat="false" ht="15" hidden="false" customHeight="false" outlineLevel="0" collapsed="false">
      <c r="A137" s="33"/>
      <c r="H137" s="68" t="str">
        <f aca="false">IF($A137="","","S"&amp;INT(($A137-WEEKDAY($A137,2)+11-DATE(YEAR($A137+4-WEEKDAY($A137,2)),1,1))/7))</f>
        <v/>
      </c>
      <c r="I137" s="69" t="str">
        <f aca="false">IF($A137="","",DATE(YEAR($A137),MONTH($A137),1))</f>
        <v/>
      </c>
      <c r="J137" s="68" t="str">
        <f aca="false">IF($A137="","",YEAR($A137+4-WEEKDAY($A137,2)))</f>
        <v/>
      </c>
    </row>
    <row r="138" customFormat="false" ht="15" hidden="false" customHeight="false" outlineLevel="0" collapsed="false">
      <c r="A138" s="33"/>
      <c r="H138" s="68" t="str">
        <f aca="false">IF($A138="","","S"&amp;INT(($A138-WEEKDAY($A138,2)+11-DATE(YEAR($A138+4-WEEKDAY($A138,2)),1,1))/7))</f>
        <v/>
      </c>
      <c r="I138" s="69" t="str">
        <f aca="false">IF($A138="","",DATE(YEAR($A138),MONTH($A138),1))</f>
        <v/>
      </c>
      <c r="J138" s="68" t="str">
        <f aca="false">IF($A138="","",YEAR($A138+4-WEEKDAY($A138,2)))</f>
        <v/>
      </c>
    </row>
    <row r="139" customFormat="false" ht="15" hidden="false" customHeight="false" outlineLevel="0" collapsed="false">
      <c r="A139" s="33"/>
      <c r="H139" s="68" t="str">
        <f aca="false">IF($A139="","","S"&amp;INT(($A139-WEEKDAY($A139,2)+11-DATE(YEAR($A139+4-WEEKDAY($A139,2)),1,1))/7))</f>
        <v/>
      </c>
      <c r="I139" s="69" t="str">
        <f aca="false">IF($A139="","",DATE(YEAR($A139),MONTH($A139),1))</f>
        <v/>
      </c>
      <c r="J139" s="68" t="str">
        <f aca="false">IF($A139="","",YEAR($A139+4-WEEKDAY($A139,2)))</f>
        <v/>
      </c>
    </row>
    <row r="140" customFormat="false" ht="15" hidden="false" customHeight="false" outlineLevel="0" collapsed="false">
      <c r="A140" s="33"/>
      <c r="H140" s="68" t="str">
        <f aca="false">IF($A140="","","S"&amp;INT(($A140-WEEKDAY($A140,2)+11-DATE(YEAR($A140+4-WEEKDAY($A140,2)),1,1))/7))</f>
        <v/>
      </c>
      <c r="I140" s="69" t="str">
        <f aca="false">IF($A140="","",DATE(YEAR($A140),MONTH($A140),1))</f>
        <v/>
      </c>
      <c r="J140" s="68" t="str">
        <f aca="false">IF($A140="","",YEAR($A140+4-WEEKDAY($A140,2)))</f>
        <v/>
      </c>
    </row>
    <row r="141" customFormat="false" ht="15" hidden="false" customHeight="false" outlineLevel="0" collapsed="false">
      <c r="A141" s="33"/>
      <c r="H141" s="68" t="str">
        <f aca="false">IF($A141="","","S"&amp;INT(($A141-WEEKDAY($A141,2)+11-DATE(YEAR($A141+4-WEEKDAY($A141,2)),1,1))/7))</f>
        <v/>
      </c>
      <c r="I141" s="69" t="str">
        <f aca="false">IF($A141="","",DATE(YEAR($A141),MONTH($A141),1))</f>
        <v/>
      </c>
      <c r="J141" s="68" t="str">
        <f aca="false">IF($A141="","",YEAR($A141+4-WEEKDAY($A141,2)))</f>
        <v/>
      </c>
    </row>
    <row r="142" customFormat="false" ht="15" hidden="false" customHeight="false" outlineLevel="0" collapsed="false">
      <c r="A142" s="33"/>
      <c r="H142" s="68" t="str">
        <f aca="false">IF($A142="","","S"&amp;INT(($A142-WEEKDAY($A142,2)+11-DATE(YEAR($A142+4-WEEKDAY($A142,2)),1,1))/7))</f>
        <v/>
      </c>
      <c r="I142" s="69" t="str">
        <f aca="false">IF($A142="","",DATE(YEAR($A142),MONTH($A142),1))</f>
        <v/>
      </c>
      <c r="J142" s="68" t="str">
        <f aca="false">IF($A142="","",YEAR($A142+4-WEEKDAY($A142,2)))</f>
        <v/>
      </c>
    </row>
    <row r="143" customFormat="false" ht="15" hidden="false" customHeight="false" outlineLevel="0" collapsed="false">
      <c r="A143" s="33"/>
      <c r="H143" s="68" t="str">
        <f aca="false">IF($A143="","","S"&amp;INT(($A143-WEEKDAY($A143,2)+11-DATE(YEAR($A143+4-WEEKDAY($A143,2)),1,1))/7))</f>
        <v/>
      </c>
      <c r="I143" s="69" t="str">
        <f aca="false">IF($A143="","",DATE(YEAR($A143),MONTH($A143),1))</f>
        <v/>
      </c>
      <c r="J143" s="68" t="str">
        <f aca="false">IF($A143="","",YEAR($A143+4-WEEKDAY($A143,2)))</f>
        <v/>
      </c>
    </row>
    <row r="144" customFormat="false" ht="15" hidden="false" customHeight="false" outlineLevel="0" collapsed="false">
      <c r="A144" s="33"/>
      <c r="H144" s="68" t="str">
        <f aca="false">IF($A144="","","S"&amp;INT(($A144-WEEKDAY($A144,2)+11-DATE(YEAR($A144+4-WEEKDAY($A144,2)),1,1))/7))</f>
        <v/>
      </c>
      <c r="I144" s="69" t="str">
        <f aca="false">IF($A144="","",DATE(YEAR($A144),MONTH($A144),1))</f>
        <v/>
      </c>
      <c r="J144" s="68" t="str">
        <f aca="false">IF($A144="","",YEAR($A144+4-WEEKDAY($A144,2)))</f>
        <v/>
      </c>
    </row>
    <row r="145" customFormat="false" ht="15" hidden="false" customHeight="false" outlineLevel="0" collapsed="false">
      <c r="A145" s="33"/>
      <c r="H145" s="68" t="str">
        <f aca="false">IF($A145="","","S"&amp;INT(($A145-WEEKDAY($A145,2)+11-DATE(YEAR($A145+4-WEEKDAY($A145,2)),1,1))/7))</f>
        <v/>
      </c>
      <c r="I145" s="69" t="str">
        <f aca="false">IF($A145="","",DATE(YEAR($A145),MONTH($A145),1))</f>
        <v/>
      </c>
      <c r="J145" s="68" t="str">
        <f aca="false">IF($A145="","",YEAR($A145+4-WEEKDAY($A145,2)))</f>
        <v/>
      </c>
    </row>
    <row r="146" customFormat="false" ht="15" hidden="false" customHeight="false" outlineLevel="0" collapsed="false">
      <c r="A146" s="33"/>
      <c r="H146" s="68" t="str">
        <f aca="false">IF($A146="","","S"&amp;INT(($A146-WEEKDAY($A146,2)+11-DATE(YEAR($A146+4-WEEKDAY($A146,2)),1,1))/7))</f>
        <v/>
      </c>
      <c r="I146" s="69" t="str">
        <f aca="false">IF($A146="","",DATE(YEAR($A146),MONTH($A146),1))</f>
        <v/>
      </c>
      <c r="J146" s="68" t="str">
        <f aca="false">IF($A146="","",YEAR($A146+4-WEEKDAY($A146,2)))</f>
        <v/>
      </c>
    </row>
    <row r="147" customFormat="false" ht="15" hidden="false" customHeight="false" outlineLevel="0" collapsed="false">
      <c r="A147" s="33"/>
      <c r="H147" s="68" t="str">
        <f aca="false">IF($A147="","","S"&amp;INT(($A147-WEEKDAY($A147,2)+11-DATE(YEAR($A147+4-WEEKDAY($A147,2)),1,1))/7))</f>
        <v/>
      </c>
      <c r="I147" s="69" t="str">
        <f aca="false">IF($A147="","",DATE(YEAR($A147),MONTH($A147),1))</f>
        <v/>
      </c>
      <c r="J147" s="68" t="str">
        <f aca="false">IF($A147="","",YEAR($A147+4-WEEKDAY($A147,2)))</f>
        <v/>
      </c>
    </row>
    <row r="148" customFormat="false" ht="15" hidden="false" customHeight="false" outlineLevel="0" collapsed="false">
      <c r="A148" s="33"/>
      <c r="H148" s="68" t="str">
        <f aca="false">IF($A148="","","S"&amp;INT(($A148-WEEKDAY($A148,2)+11-DATE(YEAR($A148+4-WEEKDAY($A148,2)),1,1))/7))</f>
        <v/>
      </c>
      <c r="I148" s="69" t="str">
        <f aca="false">IF($A148="","",DATE(YEAR($A148),MONTH($A148),1))</f>
        <v/>
      </c>
      <c r="J148" s="68" t="str">
        <f aca="false">IF($A148="","",YEAR($A148+4-WEEKDAY($A148,2)))</f>
        <v/>
      </c>
    </row>
    <row r="149" customFormat="false" ht="15" hidden="false" customHeight="false" outlineLevel="0" collapsed="false">
      <c r="A149" s="33"/>
      <c r="H149" s="68" t="str">
        <f aca="false">IF($A149="","","S"&amp;INT(($A149-WEEKDAY($A149,2)+11-DATE(YEAR($A149+4-WEEKDAY($A149,2)),1,1))/7))</f>
        <v/>
      </c>
      <c r="I149" s="69" t="str">
        <f aca="false">IF($A149="","",DATE(YEAR($A149),MONTH($A149),1))</f>
        <v/>
      </c>
      <c r="J149" s="68" t="str">
        <f aca="false">IF($A149="","",YEAR($A149+4-WEEKDAY($A149,2)))</f>
        <v/>
      </c>
    </row>
    <row r="150" customFormat="false" ht="15" hidden="false" customHeight="false" outlineLevel="0" collapsed="false">
      <c r="A150" s="33"/>
      <c r="H150" s="68" t="str">
        <f aca="false">IF($A150="","","S"&amp;INT(($A150-WEEKDAY($A150,2)+11-DATE(YEAR($A150+4-WEEKDAY($A150,2)),1,1))/7))</f>
        <v/>
      </c>
      <c r="I150" s="69" t="str">
        <f aca="false">IF($A150="","",DATE(YEAR($A150),MONTH($A150),1))</f>
        <v/>
      </c>
      <c r="J150" s="68" t="str">
        <f aca="false">IF($A150="","",YEAR($A150+4-WEEKDAY($A150,2)))</f>
        <v/>
      </c>
    </row>
    <row r="151" customFormat="false" ht="15" hidden="false" customHeight="false" outlineLevel="0" collapsed="false">
      <c r="A151" s="33"/>
      <c r="H151" s="68" t="str">
        <f aca="false">IF($A151="","","S"&amp;INT(($A151-WEEKDAY($A151,2)+11-DATE(YEAR($A151+4-WEEKDAY($A151,2)),1,1))/7))</f>
        <v/>
      </c>
      <c r="I151" s="69" t="str">
        <f aca="false">IF($A151="","",DATE(YEAR($A151),MONTH($A151),1))</f>
        <v/>
      </c>
      <c r="J151" s="68" t="str">
        <f aca="false">IF($A151="","",YEAR($A151+4-WEEKDAY($A151,2)))</f>
        <v/>
      </c>
    </row>
    <row r="152" customFormat="false" ht="15" hidden="false" customHeight="false" outlineLevel="0" collapsed="false">
      <c r="A152" s="33"/>
      <c r="H152" s="68" t="str">
        <f aca="false">IF($A152="","","S"&amp;INT(($A152-WEEKDAY($A152,2)+11-DATE(YEAR($A152+4-WEEKDAY($A152,2)),1,1))/7))</f>
        <v/>
      </c>
      <c r="I152" s="69" t="str">
        <f aca="false">IF($A152="","",DATE(YEAR($A152),MONTH($A152),1))</f>
        <v/>
      </c>
      <c r="J152" s="68" t="str">
        <f aca="false">IF($A152="","",YEAR($A152+4-WEEKDAY($A152,2)))</f>
        <v/>
      </c>
    </row>
    <row r="153" customFormat="false" ht="15" hidden="false" customHeight="false" outlineLevel="0" collapsed="false">
      <c r="A153" s="33"/>
      <c r="H153" s="68" t="str">
        <f aca="false">IF($A153="","","S"&amp;INT(($A153-WEEKDAY($A153,2)+11-DATE(YEAR($A153+4-WEEKDAY($A153,2)),1,1))/7))</f>
        <v/>
      </c>
      <c r="I153" s="69" t="str">
        <f aca="false">IF($A153="","",DATE(YEAR($A153),MONTH($A153),1))</f>
        <v/>
      </c>
      <c r="J153" s="68" t="str">
        <f aca="false">IF($A153="","",YEAR($A153+4-WEEKDAY($A153,2)))</f>
        <v/>
      </c>
    </row>
    <row r="154" customFormat="false" ht="15" hidden="false" customHeight="false" outlineLevel="0" collapsed="false">
      <c r="A154" s="33"/>
      <c r="H154" s="68" t="str">
        <f aca="false">IF($A154="","","S"&amp;INT(($A154-WEEKDAY($A154,2)+11-DATE(YEAR($A154+4-WEEKDAY($A154,2)),1,1))/7))</f>
        <v/>
      </c>
      <c r="I154" s="69" t="str">
        <f aca="false">IF($A154="","",DATE(YEAR($A154),MONTH($A154),1))</f>
        <v/>
      </c>
      <c r="J154" s="68" t="str">
        <f aca="false">IF($A154="","",YEAR($A154+4-WEEKDAY($A154,2)))</f>
        <v/>
      </c>
    </row>
    <row r="155" customFormat="false" ht="15" hidden="false" customHeight="false" outlineLevel="0" collapsed="false">
      <c r="A155" s="33"/>
      <c r="H155" s="68" t="str">
        <f aca="false">IF($A155="","","S"&amp;INT(($A155-WEEKDAY($A155,2)+11-DATE(YEAR($A155+4-WEEKDAY($A155,2)),1,1))/7))</f>
        <v/>
      </c>
      <c r="I155" s="69" t="str">
        <f aca="false">IF($A155="","",DATE(YEAR($A155),MONTH($A155),1))</f>
        <v/>
      </c>
      <c r="J155" s="68" t="str">
        <f aca="false">IF($A155="","",YEAR($A155+4-WEEKDAY($A155,2)))</f>
        <v/>
      </c>
    </row>
    <row r="156" customFormat="false" ht="15" hidden="false" customHeight="false" outlineLevel="0" collapsed="false">
      <c r="A156" s="33"/>
      <c r="H156" s="68" t="str">
        <f aca="false">IF($A156="","","S"&amp;INT(($A156-WEEKDAY($A156,2)+11-DATE(YEAR($A156+4-WEEKDAY($A156,2)),1,1))/7))</f>
        <v/>
      </c>
      <c r="I156" s="69" t="str">
        <f aca="false">IF($A156="","",DATE(YEAR($A156),MONTH($A156),1))</f>
        <v/>
      </c>
      <c r="J156" s="68" t="str">
        <f aca="false">IF($A156="","",YEAR($A156+4-WEEKDAY($A156,2)))</f>
        <v/>
      </c>
    </row>
    <row r="157" customFormat="false" ht="15" hidden="false" customHeight="false" outlineLevel="0" collapsed="false">
      <c r="A157" s="33"/>
      <c r="H157" s="68" t="str">
        <f aca="false">IF($A157="","","S"&amp;INT(($A157-WEEKDAY($A157,2)+11-DATE(YEAR($A157+4-WEEKDAY($A157,2)),1,1))/7))</f>
        <v/>
      </c>
      <c r="I157" s="69" t="str">
        <f aca="false">IF($A157="","",DATE(YEAR($A157),MONTH($A157),1))</f>
        <v/>
      </c>
      <c r="J157" s="68" t="str">
        <f aca="false">IF($A157="","",YEAR($A157+4-WEEKDAY($A157,2)))</f>
        <v/>
      </c>
    </row>
    <row r="158" customFormat="false" ht="15" hidden="false" customHeight="false" outlineLevel="0" collapsed="false">
      <c r="A158" s="33"/>
      <c r="H158" s="68" t="str">
        <f aca="false">IF($A158="","","S"&amp;INT(($A158-WEEKDAY($A158,2)+11-DATE(YEAR($A158+4-WEEKDAY($A158,2)),1,1))/7))</f>
        <v/>
      </c>
      <c r="I158" s="69" t="str">
        <f aca="false">IF($A158="","",DATE(YEAR($A158),MONTH($A158),1))</f>
        <v/>
      </c>
      <c r="J158" s="68" t="str">
        <f aca="false">IF($A158="","",YEAR($A158+4-WEEKDAY($A158,2)))</f>
        <v/>
      </c>
    </row>
    <row r="159" customFormat="false" ht="15" hidden="false" customHeight="false" outlineLevel="0" collapsed="false">
      <c r="A159" s="33"/>
      <c r="H159" s="68" t="str">
        <f aca="false">IF($A159="","","S"&amp;INT(($A159-WEEKDAY($A159,2)+11-DATE(YEAR($A159+4-WEEKDAY($A159,2)),1,1))/7))</f>
        <v/>
      </c>
      <c r="I159" s="69" t="str">
        <f aca="false">IF($A159="","",DATE(YEAR($A159),MONTH($A159),1))</f>
        <v/>
      </c>
      <c r="J159" s="68" t="str">
        <f aca="false">IF($A159="","",YEAR($A159+4-WEEKDAY($A159,2)))</f>
        <v/>
      </c>
    </row>
    <row r="160" customFormat="false" ht="15" hidden="false" customHeight="false" outlineLevel="0" collapsed="false">
      <c r="A160" s="33"/>
      <c r="H160" s="68" t="str">
        <f aca="false">IF($A160="","","S"&amp;INT(($A160-WEEKDAY($A160,2)+11-DATE(YEAR($A160+4-WEEKDAY($A160,2)),1,1))/7))</f>
        <v/>
      </c>
      <c r="I160" s="69" t="str">
        <f aca="false">IF($A160="","",DATE(YEAR($A160),MONTH($A160),1))</f>
        <v/>
      </c>
      <c r="J160" s="68" t="str">
        <f aca="false">IF($A160="","",YEAR($A160+4-WEEKDAY($A160,2)))</f>
        <v/>
      </c>
    </row>
    <row r="161" customFormat="false" ht="15" hidden="false" customHeight="false" outlineLevel="0" collapsed="false">
      <c r="A161" s="33"/>
      <c r="H161" s="68" t="str">
        <f aca="false">IF($A161="","","S"&amp;INT(($A161-WEEKDAY($A161,2)+11-DATE(YEAR($A161+4-WEEKDAY($A161,2)),1,1))/7))</f>
        <v/>
      </c>
      <c r="I161" s="69" t="str">
        <f aca="false">IF($A161="","",DATE(YEAR($A161),MONTH($A161),1))</f>
        <v/>
      </c>
      <c r="J161" s="68" t="str">
        <f aca="false">IF($A161="","",YEAR($A161+4-WEEKDAY($A161,2)))</f>
        <v/>
      </c>
    </row>
    <row r="162" customFormat="false" ht="15" hidden="false" customHeight="false" outlineLevel="0" collapsed="false">
      <c r="A162" s="33"/>
      <c r="H162" s="68" t="str">
        <f aca="false">IF($A162="","","S"&amp;INT(($A162-WEEKDAY($A162,2)+11-DATE(YEAR($A162+4-WEEKDAY($A162,2)),1,1))/7))</f>
        <v/>
      </c>
      <c r="I162" s="69" t="str">
        <f aca="false">IF($A162="","",DATE(YEAR($A162),MONTH($A162),1))</f>
        <v/>
      </c>
      <c r="J162" s="68" t="str">
        <f aca="false">IF($A162="","",YEAR($A162+4-WEEKDAY($A162,2)))</f>
        <v/>
      </c>
    </row>
    <row r="163" customFormat="false" ht="15" hidden="false" customHeight="false" outlineLevel="0" collapsed="false">
      <c r="A163" s="33"/>
      <c r="H163" s="68" t="str">
        <f aca="false">IF($A163="","","S"&amp;INT(($A163-WEEKDAY($A163,2)+11-DATE(YEAR($A163+4-WEEKDAY($A163,2)),1,1))/7))</f>
        <v/>
      </c>
      <c r="I163" s="69" t="str">
        <f aca="false">IF($A163="","",DATE(YEAR($A163),MONTH($A163),1))</f>
        <v/>
      </c>
      <c r="J163" s="68" t="str">
        <f aca="false">IF($A163="","",YEAR($A163+4-WEEKDAY($A163,2)))</f>
        <v/>
      </c>
    </row>
    <row r="164" customFormat="false" ht="15" hidden="false" customHeight="false" outlineLevel="0" collapsed="false">
      <c r="A164" s="33"/>
      <c r="H164" s="68" t="str">
        <f aca="false">IF($A164="","","S"&amp;INT(($A164-WEEKDAY($A164,2)+11-DATE(YEAR($A164+4-WEEKDAY($A164,2)),1,1))/7))</f>
        <v/>
      </c>
      <c r="I164" s="69" t="str">
        <f aca="false">IF($A164="","",DATE(YEAR($A164),MONTH($A164),1))</f>
        <v/>
      </c>
      <c r="J164" s="68" t="str">
        <f aca="false">IF($A164="","",YEAR($A164+4-WEEKDAY($A164,2)))</f>
        <v/>
      </c>
    </row>
    <row r="165" customFormat="false" ht="15" hidden="false" customHeight="false" outlineLevel="0" collapsed="false">
      <c r="A165" s="33"/>
      <c r="H165" s="68" t="str">
        <f aca="false">IF($A165="","","S"&amp;INT(($A165-WEEKDAY($A165,2)+11-DATE(YEAR($A165+4-WEEKDAY($A165,2)),1,1))/7))</f>
        <v/>
      </c>
      <c r="I165" s="69" t="str">
        <f aca="false">IF($A165="","",DATE(YEAR($A165),MONTH($A165),1))</f>
        <v/>
      </c>
      <c r="J165" s="68" t="str">
        <f aca="false">IF($A165="","",YEAR($A165+4-WEEKDAY($A165,2)))</f>
        <v/>
      </c>
    </row>
    <row r="166" customFormat="false" ht="15" hidden="false" customHeight="false" outlineLevel="0" collapsed="false">
      <c r="A166" s="33"/>
      <c r="H166" s="68" t="str">
        <f aca="false">IF($A166="","","S"&amp;INT(($A166-WEEKDAY($A166,2)+11-DATE(YEAR($A166+4-WEEKDAY($A166,2)),1,1))/7))</f>
        <v/>
      </c>
      <c r="I166" s="69" t="str">
        <f aca="false">IF($A166="","",DATE(YEAR($A166),MONTH($A166),1))</f>
        <v/>
      </c>
      <c r="J166" s="68" t="str">
        <f aca="false">IF($A166="","",YEAR($A166+4-WEEKDAY($A166,2)))</f>
        <v/>
      </c>
    </row>
    <row r="167" customFormat="false" ht="15" hidden="false" customHeight="false" outlineLevel="0" collapsed="false">
      <c r="A167" s="33"/>
      <c r="H167" s="68" t="str">
        <f aca="false">IF($A167="","","S"&amp;INT(($A167-WEEKDAY($A167,2)+11-DATE(YEAR($A167+4-WEEKDAY($A167,2)),1,1))/7))</f>
        <v/>
      </c>
      <c r="I167" s="69" t="str">
        <f aca="false">IF($A167="","",DATE(YEAR($A167),MONTH($A167),1))</f>
        <v/>
      </c>
      <c r="J167" s="68" t="str">
        <f aca="false">IF($A167="","",YEAR($A167+4-WEEKDAY($A167,2)))</f>
        <v/>
      </c>
    </row>
    <row r="168" customFormat="false" ht="15" hidden="false" customHeight="false" outlineLevel="0" collapsed="false">
      <c r="A168" s="33"/>
      <c r="H168" s="68" t="str">
        <f aca="false">IF($A168="","","S"&amp;INT(($A168-WEEKDAY($A168,2)+11-DATE(YEAR($A168+4-WEEKDAY($A168,2)),1,1))/7))</f>
        <v/>
      </c>
      <c r="I168" s="69" t="str">
        <f aca="false">IF($A168="","",DATE(YEAR($A168),MONTH($A168),1))</f>
        <v/>
      </c>
      <c r="J168" s="68" t="str">
        <f aca="false">IF($A168="","",YEAR($A168+4-WEEKDAY($A168,2)))</f>
        <v/>
      </c>
    </row>
    <row r="169" customFormat="false" ht="15" hidden="false" customHeight="false" outlineLevel="0" collapsed="false">
      <c r="A169" s="33"/>
      <c r="H169" s="68" t="str">
        <f aca="false">IF($A169="","","S"&amp;INT(($A169-WEEKDAY($A169,2)+11-DATE(YEAR($A169+4-WEEKDAY($A169,2)),1,1))/7))</f>
        <v/>
      </c>
      <c r="I169" s="69" t="str">
        <f aca="false">IF($A169="","",DATE(YEAR($A169),MONTH($A169),1))</f>
        <v/>
      </c>
      <c r="J169" s="68" t="str">
        <f aca="false">IF($A169="","",YEAR($A169+4-WEEKDAY($A169,2)))</f>
        <v/>
      </c>
    </row>
    <row r="170" customFormat="false" ht="15" hidden="false" customHeight="false" outlineLevel="0" collapsed="false">
      <c r="A170" s="33"/>
      <c r="H170" s="68" t="str">
        <f aca="false">IF($A170="","","S"&amp;INT(($A170-WEEKDAY($A170,2)+11-DATE(YEAR($A170+4-WEEKDAY($A170,2)),1,1))/7))</f>
        <v/>
      </c>
      <c r="I170" s="69" t="str">
        <f aca="false">IF($A170="","",DATE(YEAR($A170),MONTH($A170),1))</f>
        <v/>
      </c>
      <c r="J170" s="68" t="str">
        <f aca="false">IF($A170="","",YEAR($A170+4-WEEKDAY($A170,2)))</f>
        <v/>
      </c>
    </row>
    <row r="171" customFormat="false" ht="15" hidden="false" customHeight="false" outlineLevel="0" collapsed="false">
      <c r="A171" s="33"/>
      <c r="H171" s="68" t="str">
        <f aca="false">IF($A171="","","S"&amp;INT(($A171-WEEKDAY($A171,2)+11-DATE(YEAR($A171+4-WEEKDAY($A171,2)),1,1))/7))</f>
        <v/>
      </c>
      <c r="I171" s="69" t="str">
        <f aca="false">IF($A171="","",DATE(YEAR($A171),MONTH($A171),1))</f>
        <v/>
      </c>
      <c r="J171" s="68" t="str">
        <f aca="false">IF($A171="","",YEAR($A171+4-WEEKDAY($A171,2)))</f>
        <v/>
      </c>
    </row>
    <row r="172" customFormat="false" ht="15" hidden="false" customHeight="false" outlineLevel="0" collapsed="false">
      <c r="A172" s="33"/>
      <c r="H172" s="68" t="str">
        <f aca="false">IF($A172="","","S"&amp;INT(($A172-WEEKDAY($A172,2)+11-DATE(YEAR($A172+4-WEEKDAY($A172,2)),1,1))/7))</f>
        <v/>
      </c>
      <c r="I172" s="69" t="str">
        <f aca="false">IF($A172="","",DATE(YEAR($A172),MONTH($A172),1))</f>
        <v/>
      </c>
      <c r="J172" s="68" t="str">
        <f aca="false">IF($A172="","",YEAR($A172+4-WEEKDAY($A172,2)))</f>
        <v/>
      </c>
    </row>
    <row r="173" customFormat="false" ht="15" hidden="false" customHeight="false" outlineLevel="0" collapsed="false">
      <c r="A173" s="33"/>
      <c r="H173" s="68" t="str">
        <f aca="false">IF($A173="","","S"&amp;INT(($A173-WEEKDAY($A173,2)+11-DATE(YEAR($A173+4-WEEKDAY($A173,2)),1,1))/7))</f>
        <v/>
      </c>
      <c r="I173" s="69" t="str">
        <f aca="false">IF($A173="","",DATE(YEAR($A173),MONTH($A173),1))</f>
        <v/>
      </c>
      <c r="J173" s="68" t="str">
        <f aca="false">IF($A173="","",YEAR($A173+4-WEEKDAY($A173,2)))</f>
        <v/>
      </c>
    </row>
    <row r="174" customFormat="false" ht="15" hidden="false" customHeight="false" outlineLevel="0" collapsed="false">
      <c r="A174" s="33"/>
      <c r="H174" s="68" t="str">
        <f aca="false">IF($A174="","","S"&amp;INT(($A174-WEEKDAY($A174,2)+11-DATE(YEAR($A174+4-WEEKDAY($A174,2)),1,1))/7))</f>
        <v/>
      </c>
      <c r="I174" s="69" t="str">
        <f aca="false">IF($A174="","",DATE(YEAR($A174),MONTH($A174),1))</f>
        <v/>
      </c>
      <c r="J174" s="68" t="str">
        <f aca="false">IF($A174="","",YEAR($A174+4-WEEKDAY($A174,2)))</f>
        <v/>
      </c>
    </row>
    <row r="175" customFormat="false" ht="15" hidden="false" customHeight="false" outlineLevel="0" collapsed="false">
      <c r="A175" s="33"/>
      <c r="H175" s="68" t="str">
        <f aca="false">IF($A175="","","S"&amp;INT(($A175-WEEKDAY($A175,2)+11-DATE(YEAR($A175+4-WEEKDAY($A175,2)),1,1))/7))</f>
        <v/>
      </c>
      <c r="I175" s="69" t="str">
        <f aca="false">IF($A175="","",DATE(YEAR($A175),MONTH($A175),1))</f>
        <v/>
      </c>
      <c r="J175" s="68" t="str">
        <f aca="false">IF($A175="","",YEAR($A175+4-WEEKDAY($A175,2)))</f>
        <v/>
      </c>
    </row>
    <row r="176" customFormat="false" ht="15" hidden="false" customHeight="false" outlineLevel="0" collapsed="false">
      <c r="A176" s="33"/>
      <c r="H176" s="68" t="str">
        <f aca="false">IF($A176="","","S"&amp;INT(($A176-WEEKDAY($A176,2)+11-DATE(YEAR($A176+4-WEEKDAY($A176,2)),1,1))/7))</f>
        <v/>
      </c>
      <c r="I176" s="69" t="str">
        <f aca="false">IF($A176="","",DATE(YEAR($A176),MONTH($A176),1))</f>
        <v/>
      </c>
      <c r="J176" s="68" t="str">
        <f aca="false">IF($A176="","",YEAR($A176+4-WEEKDAY($A176,2)))</f>
        <v/>
      </c>
    </row>
    <row r="177" customFormat="false" ht="15" hidden="false" customHeight="false" outlineLevel="0" collapsed="false">
      <c r="A177" s="33"/>
      <c r="H177" s="68" t="str">
        <f aca="false">IF($A177="","","S"&amp;INT(($A177-WEEKDAY($A177,2)+11-DATE(YEAR($A177+4-WEEKDAY($A177,2)),1,1))/7))</f>
        <v/>
      </c>
      <c r="I177" s="69" t="str">
        <f aca="false">IF($A177="","",DATE(YEAR($A177),MONTH($A177),1))</f>
        <v/>
      </c>
      <c r="J177" s="68" t="str">
        <f aca="false">IF($A177="","",YEAR($A177+4-WEEKDAY($A177,2)))</f>
        <v/>
      </c>
    </row>
    <row r="178" customFormat="false" ht="15" hidden="false" customHeight="false" outlineLevel="0" collapsed="false">
      <c r="A178" s="33"/>
      <c r="H178" s="68" t="str">
        <f aca="false">IF($A178="","","S"&amp;INT(($A178-WEEKDAY($A178,2)+11-DATE(YEAR($A178+4-WEEKDAY($A178,2)),1,1))/7))</f>
        <v/>
      </c>
      <c r="I178" s="69" t="str">
        <f aca="false">IF($A178="","",DATE(YEAR($A178),MONTH($A178),1))</f>
        <v/>
      </c>
      <c r="J178" s="68" t="str">
        <f aca="false">IF($A178="","",YEAR($A178+4-WEEKDAY($A178,2)))</f>
        <v/>
      </c>
    </row>
    <row r="179" customFormat="false" ht="15" hidden="false" customHeight="false" outlineLevel="0" collapsed="false">
      <c r="A179" s="33"/>
      <c r="H179" s="68" t="str">
        <f aca="false">IF($A179="","","S"&amp;INT(($A179-WEEKDAY($A179,2)+11-DATE(YEAR($A179+4-WEEKDAY($A179,2)),1,1))/7))</f>
        <v/>
      </c>
      <c r="I179" s="69" t="str">
        <f aca="false">IF($A179="","",DATE(YEAR($A179),MONTH($A179),1))</f>
        <v/>
      </c>
      <c r="J179" s="68" t="str">
        <f aca="false">IF($A179="","",YEAR($A179+4-WEEKDAY($A179,2)))</f>
        <v/>
      </c>
    </row>
    <row r="180" customFormat="false" ht="15" hidden="false" customHeight="false" outlineLevel="0" collapsed="false">
      <c r="A180" s="33"/>
      <c r="H180" s="68" t="str">
        <f aca="false">IF($A180="","","S"&amp;INT(($A180-WEEKDAY($A180,2)+11-DATE(YEAR($A180+4-WEEKDAY($A180,2)),1,1))/7))</f>
        <v/>
      </c>
      <c r="I180" s="69" t="str">
        <f aca="false">IF($A180="","",DATE(YEAR($A180),MONTH($A180),1))</f>
        <v/>
      </c>
      <c r="J180" s="68" t="str">
        <f aca="false">IF($A180="","",YEAR($A180+4-WEEKDAY($A180,2)))</f>
        <v/>
      </c>
    </row>
    <row r="181" customFormat="false" ht="15" hidden="false" customHeight="false" outlineLevel="0" collapsed="false">
      <c r="A181" s="33"/>
      <c r="H181" s="68" t="str">
        <f aca="false">IF($A181="","","S"&amp;INT(($A181-WEEKDAY($A181,2)+11-DATE(YEAR($A181+4-WEEKDAY($A181,2)),1,1))/7))</f>
        <v/>
      </c>
      <c r="I181" s="69" t="str">
        <f aca="false">IF($A181="","",DATE(YEAR($A181),MONTH($A181),1))</f>
        <v/>
      </c>
      <c r="J181" s="68" t="str">
        <f aca="false">IF($A181="","",YEAR($A181+4-WEEKDAY($A181,2)))</f>
        <v/>
      </c>
    </row>
    <row r="182" customFormat="false" ht="15" hidden="false" customHeight="false" outlineLevel="0" collapsed="false">
      <c r="A182" s="33"/>
      <c r="H182" s="68" t="str">
        <f aca="false">IF($A182="","","S"&amp;INT(($A182-WEEKDAY($A182,2)+11-DATE(YEAR($A182+4-WEEKDAY($A182,2)),1,1))/7))</f>
        <v/>
      </c>
      <c r="I182" s="69" t="str">
        <f aca="false">IF($A182="","",DATE(YEAR($A182),MONTH($A182),1))</f>
        <v/>
      </c>
      <c r="J182" s="68" t="str">
        <f aca="false">IF($A182="","",YEAR($A182+4-WEEKDAY($A182,2)))</f>
        <v/>
      </c>
    </row>
    <row r="183" customFormat="false" ht="15" hidden="false" customHeight="false" outlineLevel="0" collapsed="false">
      <c r="A183" s="33"/>
      <c r="H183" s="68" t="str">
        <f aca="false">IF($A183="","","S"&amp;INT(($A183-WEEKDAY($A183,2)+11-DATE(YEAR($A183+4-WEEKDAY($A183,2)),1,1))/7))</f>
        <v/>
      </c>
      <c r="I183" s="69" t="str">
        <f aca="false">IF($A183="","",DATE(YEAR($A183),MONTH($A183),1))</f>
        <v/>
      </c>
      <c r="J183" s="68" t="str">
        <f aca="false">IF($A183="","",YEAR($A183+4-WEEKDAY($A183,2)))</f>
        <v/>
      </c>
    </row>
    <row r="184" customFormat="false" ht="15" hidden="false" customHeight="false" outlineLevel="0" collapsed="false">
      <c r="A184" s="33"/>
      <c r="H184" s="68" t="str">
        <f aca="false">IF($A184="","","S"&amp;INT(($A184-WEEKDAY($A184,2)+11-DATE(YEAR($A184+4-WEEKDAY($A184,2)),1,1))/7))</f>
        <v/>
      </c>
      <c r="I184" s="69" t="str">
        <f aca="false">IF($A184="","",DATE(YEAR($A184),MONTH($A184),1))</f>
        <v/>
      </c>
      <c r="J184" s="68" t="str">
        <f aca="false">IF($A184="","",YEAR($A184+4-WEEKDAY($A184,2)))</f>
        <v/>
      </c>
    </row>
    <row r="185" customFormat="false" ht="15" hidden="false" customHeight="false" outlineLevel="0" collapsed="false">
      <c r="A185" s="33"/>
      <c r="H185" s="68" t="str">
        <f aca="false">IF($A185="","","S"&amp;INT(($A185-WEEKDAY($A185,2)+11-DATE(YEAR($A185+4-WEEKDAY($A185,2)),1,1))/7))</f>
        <v/>
      </c>
      <c r="I185" s="69" t="str">
        <f aca="false">IF($A185="","",DATE(YEAR($A185),MONTH($A185),1))</f>
        <v/>
      </c>
      <c r="J185" s="68" t="str">
        <f aca="false">IF($A185="","",YEAR($A185+4-WEEKDAY($A185,2)))</f>
        <v/>
      </c>
    </row>
    <row r="186" customFormat="false" ht="15" hidden="false" customHeight="false" outlineLevel="0" collapsed="false">
      <c r="A186" s="33"/>
      <c r="H186" s="68" t="str">
        <f aca="false">IF($A186="","","S"&amp;INT(($A186-WEEKDAY($A186,2)+11-DATE(YEAR($A186+4-WEEKDAY($A186,2)),1,1))/7))</f>
        <v/>
      </c>
      <c r="I186" s="69" t="str">
        <f aca="false">IF($A186="","",DATE(YEAR($A186),MONTH($A186),1))</f>
        <v/>
      </c>
      <c r="J186" s="68" t="str">
        <f aca="false">IF($A186="","",YEAR($A186+4-WEEKDAY($A186,2)))</f>
        <v/>
      </c>
    </row>
    <row r="187" customFormat="false" ht="15" hidden="false" customHeight="false" outlineLevel="0" collapsed="false">
      <c r="A187" s="33"/>
      <c r="H187" s="68" t="str">
        <f aca="false">IF($A187="","","S"&amp;INT(($A187-WEEKDAY($A187,2)+11-DATE(YEAR($A187+4-WEEKDAY($A187,2)),1,1))/7))</f>
        <v/>
      </c>
      <c r="I187" s="69" t="str">
        <f aca="false">IF($A187="","",DATE(YEAR($A187),MONTH($A187),1))</f>
        <v/>
      </c>
      <c r="J187" s="68" t="str">
        <f aca="false">IF($A187="","",YEAR($A187+4-WEEKDAY($A187,2)))</f>
        <v/>
      </c>
    </row>
    <row r="188" customFormat="false" ht="15" hidden="false" customHeight="false" outlineLevel="0" collapsed="false">
      <c r="A188" s="33"/>
      <c r="H188" s="68" t="str">
        <f aca="false">IF($A188="","","S"&amp;INT(($A188-WEEKDAY($A188,2)+11-DATE(YEAR($A188+4-WEEKDAY($A188,2)),1,1))/7))</f>
        <v/>
      </c>
      <c r="I188" s="69" t="str">
        <f aca="false">IF($A188="","",DATE(YEAR($A188),MONTH($A188),1))</f>
        <v/>
      </c>
      <c r="J188" s="68" t="str">
        <f aca="false">IF($A188="","",YEAR($A188+4-WEEKDAY($A188,2)))</f>
        <v/>
      </c>
    </row>
    <row r="189" customFormat="false" ht="15" hidden="false" customHeight="false" outlineLevel="0" collapsed="false">
      <c r="A189" s="33"/>
      <c r="H189" s="68" t="str">
        <f aca="false">IF($A189="","","S"&amp;INT(($A189-WEEKDAY($A189,2)+11-DATE(YEAR($A189+4-WEEKDAY($A189,2)),1,1))/7))</f>
        <v/>
      </c>
      <c r="I189" s="69" t="str">
        <f aca="false">IF($A189="","",DATE(YEAR($A189),MONTH($A189),1))</f>
        <v/>
      </c>
      <c r="J189" s="68" t="str">
        <f aca="false">IF($A189="","",YEAR($A189+4-WEEKDAY($A189,2)))</f>
        <v/>
      </c>
    </row>
    <row r="190" customFormat="false" ht="15" hidden="false" customHeight="false" outlineLevel="0" collapsed="false">
      <c r="A190" s="33"/>
      <c r="H190" s="68" t="str">
        <f aca="false">IF($A190="","","S"&amp;INT(($A190-WEEKDAY($A190,2)+11-DATE(YEAR($A190+4-WEEKDAY($A190,2)),1,1))/7))</f>
        <v/>
      </c>
      <c r="I190" s="69" t="str">
        <f aca="false">IF($A190="","",DATE(YEAR($A190),MONTH($A190),1))</f>
        <v/>
      </c>
      <c r="J190" s="68" t="str">
        <f aca="false">IF($A190="","",YEAR($A190+4-WEEKDAY($A190,2)))</f>
        <v/>
      </c>
    </row>
    <row r="191" customFormat="false" ht="15" hidden="false" customHeight="false" outlineLevel="0" collapsed="false">
      <c r="A191" s="33"/>
      <c r="H191" s="68" t="str">
        <f aca="false">IF($A191="","","S"&amp;INT(($A191-WEEKDAY($A191,2)+11-DATE(YEAR($A191+4-WEEKDAY($A191,2)),1,1))/7))</f>
        <v/>
      </c>
      <c r="I191" s="69" t="str">
        <f aca="false">IF($A191="","",DATE(YEAR($A191),MONTH($A191),1))</f>
        <v/>
      </c>
      <c r="J191" s="68" t="str">
        <f aca="false">IF($A191="","",YEAR($A191+4-WEEKDAY($A191,2)))</f>
        <v/>
      </c>
    </row>
    <row r="192" customFormat="false" ht="15" hidden="false" customHeight="false" outlineLevel="0" collapsed="false">
      <c r="A192" s="33"/>
      <c r="H192" s="68" t="str">
        <f aca="false">IF($A192="","","S"&amp;INT(($A192-WEEKDAY($A192,2)+11-DATE(YEAR($A192+4-WEEKDAY($A192,2)),1,1))/7))</f>
        <v/>
      </c>
      <c r="I192" s="69" t="str">
        <f aca="false">IF($A192="","",DATE(YEAR($A192),MONTH($A192),1))</f>
        <v/>
      </c>
      <c r="J192" s="68" t="str">
        <f aca="false">IF($A192="","",YEAR($A192+4-WEEKDAY($A192,2)))</f>
        <v/>
      </c>
    </row>
    <row r="193" customFormat="false" ht="15" hidden="false" customHeight="false" outlineLevel="0" collapsed="false">
      <c r="A193" s="33"/>
      <c r="H193" s="68" t="str">
        <f aca="false">IF($A193="","","S"&amp;INT(($A193-WEEKDAY($A193,2)+11-DATE(YEAR($A193+4-WEEKDAY($A193,2)),1,1))/7))</f>
        <v/>
      </c>
      <c r="I193" s="69" t="str">
        <f aca="false">IF($A193="","",DATE(YEAR($A193),MONTH($A193),1))</f>
        <v/>
      </c>
      <c r="J193" s="68" t="str">
        <f aca="false">IF($A193="","",YEAR($A193+4-WEEKDAY($A193,2)))</f>
        <v/>
      </c>
    </row>
    <row r="194" customFormat="false" ht="15" hidden="false" customHeight="false" outlineLevel="0" collapsed="false">
      <c r="A194" s="33"/>
      <c r="H194" s="68" t="str">
        <f aca="false">IF($A194="","","S"&amp;INT(($A194-WEEKDAY($A194,2)+11-DATE(YEAR($A194+4-WEEKDAY($A194,2)),1,1))/7))</f>
        <v/>
      </c>
      <c r="I194" s="69" t="str">
        <f aca="false">IF($A194="","",DATE(YEAR($A194),MONTH($A194),1))</f>
        <v/>
      </c>
      <c r="J194" s="68" t="str">
        <f aca="false">IF($A194="","",YEAR($A194+4-WEEKDAY($A194,2)))</f>
        <v/>
      </c>
    </row>
    <row r="195" customFormat="false" ht="15" hidden="false" customHeight="false" outlineLevel="0" collapsed="false">
      <c r="A195" s="33"/>
      <c r="H195" s="68" t="str">
        <f aca="false">IF($A195="","","S"&amp;INT(($A195-WEEKDAY($A195,2)+11-DATE(YEAR($A195+4-WEEKDAY($A195,2)),1,1))/7))</f>
        <v/>
      </c>
      <c r="I195" s="69" t="str">
        <f aca="false">IF($A195="","",DATE(YEAR($A195),MONTH($A195),1))</f>
        <v/>
      </c>
      <c r="J195" s="68" t="str">
        <f aca="false">IF($A195="","",YEAR($A195+4-WEEKDAY($A195,2)))</f>
        <v/>
      </c>
    </row>
    <row r="196" customFormat="false" ht="15" hidden="false" customHeight="false" outlineLevel="0" collapsed="false">
      <c r="A196" s="33"/>
      <c r="H196" s="68" t="str">
        <f aca="false">IF($A196="","","S"&amp;INT(($A196-WEEKDAY($A196,2)+11-DATE(YEAR($A196+4-WEEKDAY($A196,2)),1,1))/7))</f>
        <v/>
      </c>
      <c r="I196" s="69" t="str">
        <f aca="false">IF($A196="","",DATE(YEAR($A196),MONTH($A196),1))</f>
        <v/>
      </c>
      <c r="J196" s="68" t="str">
        <f aca="false">IF($A196="","",YEAR($A196+4-WEEKDAY($A196,2)))</f>
        <v/>
      </c>
    </row>
    <row r="197" customFormat="false" ht="15" hidden="false" customHeight="false" outlineLevel="0" collapsed="false">
      <c r="A197" s="33"/>
      <c r="H197" s="68" t="str">
        <f aca="false">IF($A197="","","S"&amp;INT(($A197-WEEKDAY($A197,2)+11-DATE(YEAR($A197+4-WEEKDAY($A197,2)),1,1))/7))</f>
        <v/>
      </c>
      <c r="I197" s="69" t="str">
        <f aca="false">IF($A197="","",DATE(YEAR($A197),MONTH($A197),1))</f>
        <v/>
      </c>
      <c r="J197" s="68" t="str">
        <f aca="false">IF($A197="","",YEAR($A197+4-WEEKDAY($A197,2)))</f>
        <v/>
      </c>
    </row>
    <row r="198" customFormat="false" ht="15" hidden="false" customHeight="false" outlineLevel="0" collapsed="false">
      <c r="A198" s="33"/>
      <c r="H198" s="68" t="str">
        <f aca="false">IF($A198="","","S"&amp;INT(($A198-WEEKDAY($A198,2)+11-DATE(YEAR($A198+4-WEEKDAY($A198,2)),1,1))/7))</f>
        <v/>
      </c>
      <c r="I198" s="69" t="str">
        <f aca="false">IF($A198="","",DATE(YEAR($A198),MONTH($A198),1))</f>
        <v/>
      </c>
      <c r="J198" s="68" t="str">
        <f aca="false">IF($A198="","",YEAR($A198+4-WEEKDAY($A198,2)))</f>
        <v/>
      </c>
    </row>
    <row r="199" customFormat="false" ht="15" hidden="false" customHeight="false" outlineLevel="0" collapsed="false">
      <c r="A199" s="33"/>
      <c r="H199" s="68" t="str">
        <f aca="false">IF($A199="","","S"&amp;INT(($A199-WEEKDAY($A199,2)+11-DATE(YEAR($A199+4-WEEKDAY($A199,2)),1,1))/7))</f>
        <v/>
      </c>
      <c r="I199" s="69" t="str">
        <f aca="false">IF($A199="","",DATE(YEAR($A199),MONTH($A199),1))</f>
        <v/>
      </c>
      <c r="J199" s="68" t="str">
        <f aca="false">IF($A199="","",YEAR($A199+4-WEEKDAY($A199,2)))</f>
        <v/>
      </c>
    </row>
    <row r="200" customFormat="false" ht="15" hidden="false" customHeight="false" outlineLevel="0" collapsed="false">
      <c r="A200" s="33"/>
      <c r="H200" s="68" t="str">
        <f aca="false">IF($A200="","","S"&amp;INT(($A200-WEEKDAY($A200,2)+11-DATE(YEAR($A200+4-WEEKDAY($A200,2)),1,1))/7))</f>
        <v/>
      </c>
      <c r="I200" s="69" t="str">
        <f aca="false">IF($A200="","",DATE(YEAR($A200),MONTH($A200),1))</f>
        <v/>
      </c>
      <c r="J200" s="68" t="str">
        <f aca="false">IF($A200="","",YEAR($A200+4-WEEKDAY($A200,2)))</f>
        <v/>
      </c>
    </row>
    <row r="201" customFormat="false" ht="15" hidden="false" customHeight="false" outlineLevel="0" collapsed="false">
      <c r="A201" s="33"/>
      <c r="H201" s="68" t="str">
        <f aca="false">IF($A201="","","S"&amp;INT(($A201-WEEKDAY($A201,2)+11-DATE(YEAR($A201+4-WEEKDAY($A201,2)),1,1))/7))</f>
        <v/>
      </c>
      <c r="I201" s="69" t="str">
        <f aca="false">IF($A201="","",DATE(YEAR($A201),MONTH($A201),1))</f>
        <v/>
      </c>
      <c r="J201" s="68" t="str">
        <f aca="false">IF($A201="","",YEAR($A201+4-WEEKDAY($A201,2)))</f>
        <v/>
      </c>
    </row>
    <row r="202" customFormat="false" ht="15" hidden="false" customHeight="false" outlineLevel="0" collapsed="false">
      <c r="A202" s="33"/>
      <c r="H202" s="68" t="str">
        <f aca="false">IF($A202="","","S"&amp;INT(($A202-WEEKDAY($A202,2)+11-DATE(YEAR($A202+4-WEEKDAY($A202,2)),1,1))/7))</f>
        <v/>
      </c>
      <c r="I202" s="69" t="str">
        <f aca="false">IF($A202="","",DATE(YEAR($A202),MONTH($A202),1))</f>
        <v/>
      </c>
      <c r="J202" s="68" t="str">
        <f aca="false">IF($A202="","",YEAR($A202+4-WEEKDAY($A202,2)))</f>
        <v/>
      </c>
    </row>
    <row r="203" customFormat="false" ht="15" hidden="false" customHeight="false" outlineLevel="0" collapsed="false">
      <c r="A203" s="33"/>
      <c r="H203" s="68" t="str">
        <f aca="false">IF($A203="","","S"&amp;INT(($A203-WEEKDAY($A203,2)+11-DATE(YEAR($A203+4-WEEKDAY($A203,2)),1,1))/7))</f>
        <v/>
      </c>
      <c r="I203" s="69" t="str">
        <f aca="false">IF($A203="","",DATE(YEAR($A203),MONTH($A203),1))</f>
        <v/>
      </c>
      <c r="J203" s="68" t="str">
        <f aca="false">IF($A203="","",YEAR($A203+4-WEEKDAY($A203,2)))</f>
        <v/>
      </c>
    </row>
    <row r="204" customFormat="false" ht="15" hidden="false" customHeight="false" outlineLevel="0" collapsed="false">
      <c r="A204" s="33"/>
      <c r="H204" s="68" t="str">
        <f aca="false">IF($A204="","","S"&amp;INT(($A204-WEEKDAY($A204,2)+11-DATE(YEAR($A204+4-WEEKDAY($A204,2)),1,1))/7))</f>
        <v/>
      </c>
      <c r="I204" s="69" t="str">
        <f aca="false">IF($A204="","",DATE(YEAR($A204),MONTH($A204),1))</f>
        <v/>
      </c>
      <c r="J204" s="68" t="str">
        <f aca="false">IF($A204="","",YEAR($A204+4-WEEKDAY($A204,2)))</f>
        <v/>
      </c>
    </row>
    <row r="205" customFormat="false" ht="15" hidden="false" customHeight="false" outlineLevel="0" collapsed="false">
      <c r="A205" s="33"/>
      <c r="H205" s="68" t="str">
        <f aca="false">IF($A205="","","S"&amp;INT(($A205-WEEKDAY($A205,2)+11-DATE(YEAR($A205+4-WEEKDAY($A205,2)),1,1))/7))</f>
        <v/>
      </c>
      <c r="I205" s="69" t="str">
        <f aca="false">IF($A205="","",DATE(YEAR($A205),MONTH($A205),1))</f>
        <v/>
      </c>
      <c r="J205" s="68" t="str">
        <f aca="false">IF($A205="","",YEAR($A205+4-WEEKDAY($A205,2)))</f>
        <v/>
      </c>
    </row>
    <row r="206" customFormat="false" ht="15" hidden="false" customHeight="false" outlineLevel="0" collapsed="false">
      <c r="A206" s="33"/>
      <c r="H206" s="68" t="str">
        <f aca="false">IF($A206="","","S"&amp;INT(($A206-WEEKDAY($A206,2)+11-DATE(YEAR($A206+4-WEEKDAY($A206,2)),1,1))/7))</f>
        <v/>
      </c>
      <c r="I206" s="69" t="str">
        <f aca="false">IF($A206="","",DATE(YEAR($A206),MONTH($A206),1))</f>
        <v/>
      </c>
      <c r="J206" s="68" t="str">
        <f aca="false">IF($A206="","",YEAR($A206+4-WEEKDAY($A206,2)))</f>
        <v/>
      </c>
    </row>
    <row r="207" customFormat="false" ht="15" hidden="false" customHeight="false" outlineLevel="0" collapsed="false">
      <c r="A207" s="33"/>
      <c r="H207" s="68" t="str">
        <f aca="false">IF($A207="","","S"&amp;INT(($A207-WEEKDAY($A207,2)+11-DATE(YEAR($A207+4-WEEKDAY($A207,2)),1,1))/7))</f>
        <v/>
      </c>
      <c r="I207" s="69" t="str">
        <f aca="false">IF($A207="","",DATE(YEAR($A207),MONTH($A207),1))</f>
        <v/>
      </c>
      <c r="J207" s="68" t="str">
        <f aca="false">IF($A207="","",YEAR($A207+4-WEEKDAY($A207,2)))</f>
        <v/>
      </c>
    </row>
    <row r="208" customFormat="false" ht="15" hidden="false" customHeight="false" outlineLevel="0" collapsed="false">
      <c r="A208" s="33"/>
      <c r="H208" s="68" t="str">
        <f aca="false">IF($A208="","","S"&amp;INT(($A208-WEEKDAY($A208,2)+11-DATE(YEAR($A208+4-WEEKDAY($A208,2)),1,1))/7))</f>
        <v/>
      </c>
      <c r="I208" s="69" t="str">
        <f aca="false">IF($A208="","",DATE(YEAR($A208),MONTH($A208),1))</f>
        <v/>
      </c>
      <c r="J208" s="68" t="str">
        <f aca="false">IF($A208="","",YEAR($A208+4-WEEKDAY($A208,2)))</f>
        <v/>
      </c>
    </row>
    <row r="209" customFormat="false" ht="15" hidden="false" customHeight="false" outlineLevel="0" collapsed="false">
      <c r="A209" s="33"/>
      <c r="H209" s="68" t="str">
        <f aca="false">IF($A209="","","S"&amp;INT(($A209-WEEKDAY($A209,2)+11-DATE(YEAR($A209+4-WEEKDAY($A209,2)),1,1))/7))</f>
        <v/>
      </c>
      <c r="I209" s="69" t="str">
        <f aca="false">IF($A209="","",DATE(YEAR($A209),MONTH($A209),1))</f>
        <v/>
      </c>
      <c r="J209" s="68" t="str">
        <f aca="false">IF($A209="","",YEAR($A209+4-WEEKDAY($A209,2)))</f>
        <v/>
      </c>
    </row>
    <row r="210" customFormat="false" ht="15" hidden="false" customHeight="false" outlineLevel="0" collapsed="false">
      <c r="A210" s="33"/>
      <c r="H210" s="68" t="str">
        <f aca="false">IF($A210="","","S"&amp;INT(($A210-WEEKDAY($A210,2)+11-DATE(YEAR($A210+4-WEEKDAY($A210,2)),1,1))/7))</f>
        <v/>
      </c>
      <c r="I210" s="69" t="str">
        <f aca="false">IF($A210="","",DATE(YEAR($A210),MONTH($A210),1))</f>
        <v/>
      </c>
      <c r="J210" s="68" t="str">
        <f aca="false">IF($A210="","",YEAR($A210+4-WEEKDAY($A210,2)))</f>
        <v/>
      </c>
    </row>
    <row r="211" customFormat="false" ht="15" hidden="false" customHeight="false" outlineLevel="0" collapsed="false">
      <c r="A211" s="33"/>
      <c r="H211" s="68" t="str">
        <f aca="false">IF($A211="","","S"&amp;INT(($A211-WEEKDAY($A211,2)+11-DATE(YEAR($A211+4-WEEKDAY($A211,2)),1,1))/7))</f>
        <v/>
      </c>
      <c r="I211" s="69" t="str">
        <f aca="false">IF($A211="","",DATE(YEAR($A211),MONTH($A211),1))</f>
        <v/>
      </c>
      <c r="J211" s="68" t="str">
        <f aca="false">IF($A211="","",YEAR($A211+4-WEEKDAY($A211,2)))</f>
        <v/>
      </c>
    </row>
    <row r="212" customFormat="false" ht="15" hidden="false" customHeight="false" outlineLevel="0" collapsed="false">
      <c r="A212" s="33"/>
      <c r="H212" s="68" t="str">
        <f aca="false">IF($A212="","","S"&amp;INT(($A212-WEEKDAY($A212,2)+11-DATE(YEAR($A212+4-WEEKDAY($A212,2)),1,1))/7))</f>
        <v/>
      </c>
      <c r="I212" s="69" t="str">
        <f aca="false">IF($A212="","",DATE(YEAR($A212),MONTH($A212),1))</f>
        <v/>
      </c>
      <c r="J212" s="68" t="str">
        <f aca="false">IF($A212="","",YEAR($A212+4-WEEKDAY($A212,2)))</f>
        <v/>
      </c>
    </row>
    <row r="213" customFormat="false" ht="15" hidden="false" customHeight="false" outlineLevel="0" collapsed="false">
      <c r="A213" s="33"/>
      <c r="H213" s="68" t="str">
        <f aca="false">IF($A213="","","S"&amp;INT(($A213-WEEKDAY($A213,2)+11-DATE(YEAR($A213+4-WEEKDAY($A213,2)),1,1))/7))</f>
        <v/>
      </c>
      <c r="I213" s="69" t="str">
        <f aca="false">IF($A213="","",DATE(YEAR($A213),MONTH($A213),1))</f>
        <v/>
      </c>
      <c r="J213" s="68" t="str">
        <f aca="false">IF($A213="","",YEAR($A213+4-WEEKDAY($A213,2)))</f>
        <v/>
      </c>
    </row>
    <row r="214" customFormat="false" ht="15" hidden="false" customHeight="false" outlineLevel="0" collapsed="false">
      <c r="A214" s="33"/>
      <c r="H214" s="68" t="str">
        <f aca="false">IF($A214="","","S"&amp;INT(($A214-WEEKDAY($A214,2)+11-DATE(YEAR($A214+4-WEEKDAY($A214,2)),1,1))/7))</f>
        <v/>
      </c>
      <c r="I214" s="69" t="str">
        <f aca="false">IF($A214="","",DATE(YEAR($A214),MONTH($A214),1))</f>
        <v/>
      </c>
      <c r="J214" s="68" t="str">
        <f aca="false">IF($A214="","",YEAR($A214+4-WEEKDAY($A214,2)))</f>
        <v/>
      </c>
    </row>
    <row r="215" customFormat="false" ht="15" hidden="false" customHeight="false" outlineLevel="0" collapsed="false">
      <c r="A215" s="33"/>
      <c r="H215" s="68" t="str">
        <f aca="false">IF($A215="","","S"&amp;INT(($A215-WEEKDAY($A215,2)+11-DATE(YEAR($A215+4-WEEKDAY($A215,2)),1,1))/7))</f>
        <v/>
      </c>
      <c r="I215" s="69" t="str">
        <f aca="false">IF($A215="","",DATE(YEAR($A215),MONTH($A215),1))</f>
        <v/>
      </c>
      <c r="J215" s="68" t="str">
        <f aca="false">IF($A215="","",YEAR($A215+4-WEEKDAY($A215,2)))</f>
        <v/>
      </c>
    </row>
    <row r="216" customFormat="false" ht="15" hidden="false" customHeight="false" outlineLevel="0" collapsed="false">
      <c r="A216" s="33"/>
      <c r="H216" s="68" t="str">
        <f aca="false">IF($A216="","","S"&amp;INT(($A216-WEEKDAY($A216,2)+11-DATE(YEAR($A216+4-WEEKDAY($A216,2)),1,1))/7))</f>
        <v/>
      </c>
      <c r="I216" s="69" t="str">
        <f aca="false">IF($A216="","",DATE(YEAR($A216),MONTH($A216),1))</f>
        <v/>
      </c>
      <c r="J216" s="68" t="str">
        <f aca="false">IF($A216="","",YEAR($A216+4-WEEKDAY($A216,2)))</f>
        <v/>
      </c>
    </row>
    <row r="217" customFormat="false" ht="15" hidden="false" customHeight="false" outlineLevel="0" collapsed="false">
      <c r="A217" s="33"/>
      <c r="H217" s="68" t="str">
        <f aca="false">IF($A217="","","S"&amp;INT(($A217-WEEKDAY($A217,2)+11-DATE(YEAR($A217+4-WEEKDAY($A217,2)),1,1))/7))</f>
        <v/>
      </c>
      <c r="I217" s="69" t="str">
        <f aca="false">IF($A217="","",DATE(YEAR($A217),MONTH($A217),1))</f>
        <v/>
      </c>
      <c r="J217" s="68" t="str">
        <f aca="false">IF($A217="","",YEAR($A217+4-WEEKDAY($A217,2)))</f>
        <v/>
      </c>
    </row>
    <row r="218" customFormat="false" ht="15" hidden="false" customHeight="false" outlineLevel="0" collapsed="false">
      <c r="A218" s="33"/>
      <c r="H218" s="68" t="str">
        <f aca="false">IF($A218="","","S"&amp;INT(($A218-WEEKDAY($A218,2)+11-DATE(YEAR($A218+4-WEEKDAY($A218,2)),1,1))/7))</f>
        <v/>
      </c>
      <c r="I218" s="69" t="str">
        <f aca="false">IF($A218="","",DATE(YEAR($A218),MONTH($A218),1))</f>
        <v/>
      </c>
      <c r="J218" s="68" t="str">
        <f aca="false">IF($A218="","",YEAR($A218+4-WEEKDAY($A218,2)))</f>
        <v/>
      </c>
    </row>
    <row r="219" customFormat="false" ht="15" hidden="false" customHeight="false" outlineLevel="0" collapsed="false">
      <c r="A219" s="33"/>
      <c r="H219" s="68" t="str">
        <f aca="false">IF($A219="","","S"&amp;INT(($A219-WEEKDAY($A219,2)+11-DATE(YEAR($A219+4-WEEKDAY($A219,2)),1,1))/7))</f>
        <v/>
      </c>
      <c r="I219" s="69" t="str">
        <f aca="false">IF($A219="","",DATE(YEAR($A219),MONTH($A219),1))</f>
        <v/>
      </c>
      <c r="J219" s="68" t="str">
        <f aca="false">IF($A219="","",YEAR($A219+4-WEEKDAY($A219,2)))</f>
        <v/>
      </c>
    </row>
    <row r="220" customFormat="false" ht="15" hidden="false" customHeight="false" outlineLevel="0" collapsed="false">
      <c r="A220" s="33"/>
      <c r="H220" s="68" t="str">
        <f aca="false">IF($A220="","","S"&amp;INT(($A220-WEEKDAY($A220,2)+11-DATE(YEAR($A220+4-WEEKDAY($A220,2)),1,1))/7))</f>
        <v/>
      </c>
      <c r="I220" s="69" t="str">
        <f aca="false">IF($A220="","",DATE(YEAR($A220),MONTH($A220),1))</f>
        <v/>
      </c>
      <c r="J220" s="68" t="str">
        <f aca="false">IF($A220="","",YEAR($A220+4-WEEKDAY($A220,2)))</f>
        <v/>
      </c>
    </row>
    <row r="221" customFormat="false" ht="15" hidden="false" customHeight="false" outlineLevel="0" collapsed="false">
      <c r="A221" s="33"/>
      <c r="H221" s="68" t="str">
        <f aca="false">IF($A221="","","S"&amp;INT(($A221-WEEKDAY($A221,2)+11-DATE(YEAR($A221+4-WEEKDAY($A221,2)),1,1))/7))</f>
        <v/>
      </c>
      <c r="I221" s="69" t="str">
        <f aca="false">IF($A221="","",DATE(YEAR($A221),MONTH($A221),1))</f>
        <v/>
      </c>
      <c r="J221" s="68" t="str">
        <f aca="false">IF($A221="","",YEAR($A221+4-WEEKDAY($A221,2)))</f>
        <v/>
      </c>
    </row>
    <row r="222" customFormat="false" ht="15" hidden="false" customHeight="false" outlineLevel="0" collapsed="false">
      <c r="A222" s="33"/>
      <c r="H222" s="68" t="str">
        <f aca="false">IF($A222="","","S"&amp;INT(($A222-WEEKDAY($A222,2)+11-DATE(YEAR($A222+4-WEEKDAY($A222,2)),1,1))/7))</f>
        <v/>
      </c>
      <c r="I222" s="69" t="str">
        <f aca="false">IF($A222="","",DATE(YEAR($A222),MONTH($A222),1))</f>
        <v/>
      </c>
      <c r="J222" s="68" t="str">
        <f aca="false">IF($A222="","",YEAR($A222+4-WEEKDAY($A222,2)))</f>
        <v/>
      </c>
    </row>
    <row r="223" customFormat="false" ht="15" hidden="false" customHeight="false" outlineLevel="0" collapsed="false">
      <c r="A223" s="33"/>
      <c r="H223" s="68" t="str">
        <f aca="false">IF($A223="","","S"&amp;INT(($A223-WEEKDAY($A223,2)+11-DATE(YEAR($A223+4-WEEKDAY($A223,2)),1,1))/7))</f>
        <v/>
      </c>
      <c r="I223" s="69" t="str">
        <f aca="false">IF($A223="","",DATE(YEAR($A223),MONTH($A223),1))</f>
        <v/>
      </c>
      <c r="J223" s="68" t="str">
        <f aca="false">IF($A223="","",YEAR($A223+4-WEEKDAY($A223,2)))</f>
        <v/>
      </c>
    </row>
    <row r="224" customFormat="false" ht="15" hidden="false" customHeight="false" outlineLevel="0" collapsed="false">
      <c r="A224" s="33"/>
      <c r="H224" s="68" t="str">
        <f aca="false">IF($A224="","","S"&amp;INT(($A224-WEEKDAY($A224,2)+11-DATE(YEAR($A224+4-WEEKDAY($A224,2)),1,1))/7))</f>
        <v/>
      </c>
      <c r="I224" s="69" t="str">
        <f aca="false">IF($A224="","",DATE(YEAR($A224),MONTH($A224),1))</f>
        <v/>
      </c>
      <c r="J224" s="68" t="str">
        <f aca="false">IF($A224="","",YEAR($A224+4-WEEKDAY($A224,2)))</f>
        <v/>
      </c>
    </row>
    <row r="225" customFormat="false" ht="15" hidden="false" customHeight="false" outlineLevel="0" collapsed="false">
      <c r="A225" s="33"/>
      <c r="H225" s="68" t="str">
        <f aca="false">IF($A225="","","S"&amp;INT(($A225-WEEKDAY($A225,2)+11-DATE(YEAR($A225+4-WEEKDAY($A225,2)),1,1))/7))</f>
        <v/>
      </c>
      <c r="I225" s="69" t="str">
        <f aca="false">IF($A225="","",DATE(YEAR($A225),MONTH($A225),1))</f>
        <v/>
      </c>
      <c r="J225" s="68" t="str">
        <f aca="false">IF($A225="","",YEAR($A225+4-WEEKDAY($A225,2)))</f>
        <v/>
      </c>
    </row>
    <row r="226" customFormat="false" ht="15" hidden="false" customHeight="false" outlineLevel="0" collapsed="false">
      <c r="A226" s="33"/>
      <c r="H226" s="68" t="str">
        <f aca="false">IF($A226="","","S"&amp;INT(($A226-WEEKDAY($A226,2)+11-DATE(YEAR($A226+4-WEEKDAY($A226,2)),1,1))/7))</f>
        <v/>
      </c>
      <c r="I226" s="69" t="str">
        <f aca="false">IF($A226="","",DATE(YEAR($A226),MONTH($A226),1))</f>
        <v/>
      </c>
      <c r="J226" s="68" t="str">
        <f aca="false">IF($A226="","",YEAR($A226+4-WEEKDAY($A226,2)))</f>
        <v/>
      </c>
    </row>
    <row r="227" customFormat="false" ht="15" hidden="false" customHeight="false" outlineLevel="0" collapsed="false">
      <c r="A227" s="33"/>
      <c r="H227" s="68" t="str">
        <f aca="false">IF($A227="","","S"&amp;INT(($A227-WEEKDAY($A227,2)+11-DATE(YEAR($A227+4-WEEKDAY($A227,2)),1,1))/7))</f>
        <v/>
      </c>
      <c r="I227" s="69" t="str">
        <f aca="false">IF($A227="","",DATE(YEAR($A227),MONTH($A227),1))</f>
        <v/>
      </c>
      <c r="J227" s="68" t="str">
        <f aca="false">IF($A227="","",YEAR($A227+4-WEEKDAY($A227,2)))</f>
        <v/>
      </c>
    </row>
    <row r="228" customFormat="false" ht="15" hidden="false" customHeight="false" outlineLevel="0" collapsed="false">
      <c r="A228" s="33"/>
      <c r="H228" s="68" t="str">
        <f aca="false">IF($A228="","","S"&amp;INT(($A228-WEEKDAY($A228,2)+11-DATE(YEAR($A228+4-WEEKDAY($A228,2)),1,1))/7))</f>
        <v/>
      </c>
      <c r="I228" s="69" t="str">
        <f aca="false">IF($A228="","",DATE(YEAR($A228),MONTH($A228),1))</f>
        <v/>
      </c>
      <c r="J228" s="68" t="str">
        <f aca="false">IF($A228="","",YEAR($A228+4-WEEKDAY($A228,2)))</f>
        <v/>
      </c>
    </row>
    <row r="229" customFormat="false" ht="15" hidden="false" customHeight="false" outlineLevel="0" collapsed="false">
      <c r="A229" s="33"/>
      <c r="H229" s="68" t="str">
        <f aca="false">IF($A229="","","S"&amp;INT(($A229-WEEKDAY($A229,2)+11-DATE(YEAR($A229+4-WEEKDAY($A229,2)),1,1))/7))</f>
        <v/>
      </c>
      <c r="I229" s="69" t="str">
        <f aca="false">IF($A229="","",DATE(YEAR($A229),MONTH($A229),1))</f>
        <v/>
      </c>
      <c r="J229" s="68" t="str">
        <f aca="false">IF($A229="","",YEAR($A229+4-WEEKDAY($A229,2)))</f>
        <v/>
      </c>
    </row>
    <row r="230" customFormat="false" ht="15" hidden="false" customHeight="false" outlineLevel="0" collapsed="false">
      <c r="A230" s="33"/>
      <c r="H230" s="68" t="str">
        <f aca="false">IF($A230="","","S"&amp;INT(($A230-WEEKDAY($A230,2)+11-DATE(YEAR($A230+4-WEEKDAY($A230,2)),1,1))/7))</f>
        <v/>
      </c>
      <c r="I230" s="69" t="str">
        <f aca="false">IF($A230="","",DATE(YEAR($A230),MONTH($A230),1))</f>
        <v/>
      </c>
      <c r="J230" s="68" t="str">
        <f aca="false">IF($A230="","",YEAR($A230+4-WEEKDAY($A230,2)))</f>
        <v/>
      </c>
    </row>
    <row r="231" customFormat="false" ht="15" hidden="false" customHeight="false" outlineLevel="0" collapsed="false">
      <c r="A231" s="33"/>
      <c r="H231" s="68" t="str">
        <f aca="false">IF($A231="","","S"&amp;INT(($A231-WEEKDAY($A231,2)+11-DATE(YEAR($A231+4-WEEKDAY($A231,2)),1,1))/7))</f>
        <v/>
      </c>
      <c r="I231" s="69" t="str">
        <f aca="false">IF($A231="","",DATE(YEAR($A231),MONTH($A231),1))</f>
        <v/>
      </c>
      <c r="J231" s="68" t="str">
        <f aca="false">IF($A231="","",YEAR($A231+4-WEEKDAY($A231,2)))</f>
        <v/>
      </c>
    </row>
    <row r="232" customFormat="false" ht="15" hidden="false" customHeight="false" outlineLevel="0" collapsed="false">
      <c r="A232" s="33"/>
      <c r="H232" s="68" t="str">
        <f aca="false">IF($A232="","","S"&amp;INT(($A232-WEEKDAY($A232,2)+11-DATE(YEAR($A232+4-WEEKDAY($A232,2)),1,1))/7))</f>
        <v/>
      </c>
      <c r="I232" s="69" t="str">
        <f aca="false">IF($A232="","",DATE(YEAR($A232),MONTH($A232),1))</f>
        <v/>
      </c>
      <c r="J232" s="68" t="str">
        <f aca="false">IF($A232="","",YEAR($A232+4-WEEKDAY($A232,2)))</f>
        <v/>
      </c>
    </row>
    <row r="233" customFormat="false" ht="15" hidden="false" customHeight="false" outlineLevel="0" collapsed="false">
      <c r="A233" s="33"/>
      <c r="H233" s="68" t="str">
        <f aca="false">IF($A233="","","S"&amp;INT(($A233-WEEKDAY($A233,2)+11-DATE(YEAR($A233+4-WEEKDAY($A233,2)),1,1))/7))</f>
        <v/>
      </c>
      <c r="I233" s="69" t="str">
        <f aca="false">IF($A233="","",DATE(YEAR($A233),MONTH($A233),1))</f>
        <v/>
      </c>
      <c r="J233" s="68" t="str">
        <f aca="false">IF($A233="","",YEAR($A233+4-WEEKDAY($A233,2)))</f>
        <v/>
      </c>
    </row>
    <row r="234" customFormat="false" ht="15" hidden="false" customHeight="false" outlineLevel="0" collapsed="false">
      <c r="A234" s="33"/>
      <c r="H234" s="68" t="str">
        <f aca="false">IF($A234="","","S"&amp;INT(($A234-WEEKDAY($A234,2)+11-DATE(YEAR($A234+4-WEEKDAY($A234,2)),1,1))/7))</f>
        <v/>
      </c>
      <c r="I234" s="69" t="str">
        <f aca="false">IF($A234="","",DATE(YEAR($A234),MONTH($A234),1))</f>
        <v/>
      </c>
      <c r="J234" s="68" t="str">
        <f aca="false">IF($A234="","",YEAR($A234+4-WEEKDAY($A234,2)))</f>
        <v/>
      </c>
    </row>
    <row r="235" customFormat="false" ht="15" hidden="false" customHeight="false" outlineLevel="0" collapsed="false">
      <c r="A235" s="33"/>
      <c r="H235" s="68" t="str">
        <f aca="false">IF($A235="","","S"&amp;INT(($A235-WEEKDAY($A235,2)+11-DATE(YEAR($A235+4-WEEKDAY($A235,2)),1,1))/7))</f>
        <v/>
      </c>
      <c r="I235" s="69" t="str">
        <f aca="false">IF($A235="","",DATE(YEAR($A235),MONTH($A235),1))</f>
        <v/>
      </c>
      <c r="J235" s="68" t="str">
        <f aca="false">IF($A235="","",YEAR($A235+4-WEEKDAY($A235,2)))</f>
        <v/>
      </c>
    </row>
    <row r="236" customFormat="false" ht="15" hidden="false" customHeight="false" outlineLevel="0" collapsed="false">
      <c r="A236" s="33"/>
      <c r="H236" s="68" t="str">
        <f aca="false">IF($A236="","","S"&amp;INT(($A236-WEEKDAY($A236,2)+11-DATE(YEAR($A236+4-WEEKDAY($A236,2)),1,1))/7))</f>
        <v/>
      </c>
      <c r="I236" s="69" t="str">
        <f aca="false">IF($A236="","",DATE(YEAR($A236),MONTH($A236),1))</f>
        <v/>
      </c>
      <c r="J236" s="68" t="str">
        <f aca="false">IF($A236="","",YEAR($A236+4-WEEKDAY($A236,2)))</f>
        <v/>
      </c>
    </row>
    <row r="237" customFormat="false" ht="15" hidden="false" customHeight="false" outlineLevel="0" collapsed="false">
      <c r="A237" s="33"/>
      <c r="H237" s="68" t="str">
        <f aca="false">IF($A237="","","S"&amp;INT(($A237-WEEKDAY($A237,2)+11-DATE(YEAR($A237+4-WEEKDAY($A237,2)),1,1))/7))</f>
        <v/>
      </c>
      <c r="I237" s="69" t="str">
        <f aca="false">IF($A237="","",DATE(YEAR($A237),MONTH($A237),1))</f>
        <v/>
      </c>
      <c r="J237" s="68" t="str">
        <f aca="false">IF($A237="","",YEAR($A237+4-WEEKDAY($A237,2)))</f>
        <v/>
      </c>
    </row>
    <row r="238" customFormat="false" ht="15" hidden="false" customHeight="false" outlineLevel="0" collapsed="false">
      <c r="A238" s="33"/>
      <c r="H238" s="68" t="str">
        <f aca="false">IF($A238="","","S"&amp;INT(($A238-WEEKDAY($A238,2)+11-DATE(YEAR($A238+4-WEEKDAY($A238,2)),1,1))/7))</f>
        <v/>
      </c>
      <c r="I238" s="69" t="str">
        <f aca="false">IF($A238="","",DATE(YEAR($A238),MONTH($A238),1))</f>
        <v/>
      </c>
      <c r="J238" s="68" t="str">
        <f aca="false">IF($A238="","",YEAR($A238+4-WEEKDAY($A238,2)))</f>
        <v/>
      </c>
    </row>
    <row r="239" customFormat="false" ht="15" hidden="false" customHeight="false" outlineLevel="0" collapsed="false">
      <c r="A239" s="33"/>
      <c r="H239" s="68" t="str">
        <f aca="false">IF($A239="","","S"&amp;INT(($A239-WEEKDAY($A239,2)+11-DATE(YEAR($A239+4-WEEKDAY($A239,2)),1,1))/7))</f>
        <v/>
      </c>
      <c r="I239" s="69" t="str">
        <f aca="false">IF($A239="","",DATE(YEAR($A239),MONTH($A239),1))</f>
        <v/>
      </c>
      <c r="J239" s="68" t="str">
        <f aca="false">IF($A239="","",YEAR($A239+4-WEEKDAY($A239,2)))</f>
        <v/>
      </c>
    </row>
    <row r="240" customFormat="false" ht="15" hidden="false" customHeight="false" outlineLevel="0" collapsed="false">
      <c r="A240" s="33"/>
      <c r="H240" s="68" t="str">
        <f aca="false">IF($A240="","","S"&amp;INT(($A240-WEEKDAY($A240,2)+11-DATE(YEAR($A240+4-WEEKDAY($A240,2)),1,1))/7))</f>
        <v/>
      </c>
      <c r="I240" s="69" t="str">
        <f aca="false">IF($A240="","",DATE(YEAR($A240),MONTH($A240),1))</f>
        <v/>
      </c>
      <c r="J240" s="68" t="str">
        <f aca="false">IF($A240="","",YEAR($A240+4-WEEKDAY($A240,2)))</f>
        <v/>
      </c>
    </row>
    <row r="241" customFormat="false" ht="15" hidden="false" customHeight="false" outlineLevel="0" collapsed="false">
      <c r="A241" s="33"/>
      <c r="H241" s="68" t="str">
        <f aca="false">IF($A241="","","S"&amp;INT(($A241-WEEKDAY($A241,2)+11-DATE(YEAR($A241+4-WEEKDAY($A241,2)),1,1))/7))</f>
        <v/>
      </c>
      <c r="I241" s="69" t="str">
        <f aca="false">IF($A241="","",DATE(YEAR($A241),MONTH($A241),1))</f>
        <v/>
      </c>
      <c r="J241" s="68" t="str">
        <f aca="false">IF($A241="","",YEAR($A241+4-WEEKDAY($A241,2)))</f>
        <v/>
      </c>
    </row>
    <row r="242" customFormat="false" ht="15" hidden="false" customHeight="false" outlineLevel="0" collapsed="false">
      <c r="A242" s="33"/>
      <c r="H242" s="68" t="str">
        <f aca="false">IF($A242="","","S"&amp;INT(($A242-WEEKDAY($A242,2)+11-DATE(YEAR($A242+4-WEEKDAY($A242,2)),1,1))/7))</f>
        <v/>
      </c>
      <c r="I242" s="69" t="str">
        <f aca="false">IF($A242="","",DATE(YEAR($A242),MONTH($A242),1))</f>
        <v/>
      </c>
      <c r="J242" s="68" t="str">
        <f aca="false">IF($A242="","",YEAR($A242+4-WEEKDAY($A242,2)))</f>
        <v/>
      </c>
    </row>
    <row r="243" customFormat="false" ht="15" hidden="false" customHeight="false" outlineLevel="0" collapsed="false">
      <c r="A243" s="33"/>
      <c r="H243" s="68" t="str">
        <f aca="false">IF($A243="","","S"&amp;INT(($A243-WEEKDAY($A243,2)+11-DATE(YEAR($A243+4-WEEKDAY($A243,2)),1,1))/7))</f>
        <v/>
      </c>
      <c r="I243" s="69" t="str">
        <f aca="false">IF($A243="","",DATE(YEAR($A243),MONTH($A243),1))</f>
        <v/>
      </c>
      <c r="J243" s="68" t="str">
        <f aca="false">IF($A243="","",YEAR($A243+4-WEEKDAY($A243,2)))</f>
        <v/>
      </c>
    </row>
    <row r="244" customFormat="false" ht="15" hidden="false" customHeight="false" outlineLevel="0" collapsed="false">
      <c r="A244" s="33"/>
      <c r="H244" s="68" t="str">
        <f aca="false">IF($A244="","","S"&amp;INT(($A244-WEEKDAY($A244,2)+11-DATE(YEAR($A244+4-WEEKDAY($A244,2)),1,1))/7))</f>
        <v/>
      </c>
      <c r="I244" s="69" t="str">
        <f aca="false">IF($A244="","",DATE(YEAR($A244),MONTH($A244),1))</f>
        <v/>
      </c>
      <c r="J244" s="68" t="str">
        <f aca="false">IF($A244="","",YEAR($A244+4-WEEKDAY($A244,2)))</f>
        <v/>
      </c>
    </row>
    <row r="245" customFormat="false" ht="15" hidden="false" customHeight="false" outlineLevel="0" collapsed="false">
      <c r="A245" s="33"/>
      <c r="H245" s="68" t="str">
        <f aca="false">IF($A245="","","S"&amp;INT(($A245-WEEKDAY($A245,2)+11-DATE(YEAR($A245+4-WEEKDAY($A245,2)),1,1))/7))</f>
        <v/>
      </c>
      <c r="I245" s="69" t="str">
        <f aca="false">IF($A245="","",DATE(YEAR($A245),MONTH($A245),1))</f>
        <v/>
      </c>
      <c r="J245" s="68" t="str">
        <f aca="false">IF($A245="","",YEAR($A245+4-WEEKDAY($A245,2)))</f>
        <v/>
      </c>
    </row>
    <row r="246" customFormat="false" ht="15" hidden="false" customHeight="false" outlineLevel="0" collapsed="false">
      <c r="A246" s="33"/>
      <c r="H246" s="68" t="str">
        <f aca="false">IF($A246="","","S"&amp;INT(($A246-WEEKDAY($A246,2)+11-DATE(YEAR($A246+4-WEEKDAY($A246,2)),1,1))/7))</f>
        <v/>
      </c>
      <c r="I246" s="69" t="str">
        <f aca="false">IF($A246="","",DATE(YEAR($A246),MONTH($A246),1))</f>
        <v/>
      </c>
      <c r="J246" s="68" t="str">
        <f aca="false">IF($A246="","",YEAR($A246+4-WEEKDAY($A246,2)))</f>
        <v/>
      </c>
    </row>
    <row r="247" customFormat="false" ht="15" hidden="false" customHeight="false" outlineLevel="0" collapsed="false">
      <c r="A247" s="33"/>
      <c r="H247" s="68" t="str">
        <f aca="false">IF($A247="","","S"&amp;INT(($A247-WEEKDAY($A247,2)+11-DATE(YEAR($A247+4-WEEKDAY($A247,2)),1,1))/7))</f>
        <v/>
      </c>
      <c r="I247" s="69" t="str">
        <f aca="false">IF($A247="","",DATE(YEAR($A247),MONTH($A247),1))</f>
        <v/>
      </c>
      <c r="J247" s="68" t="str">
        <f aca="false">IF($A247="","",YEAR($A247+4-WEEKDAY($A247,2)))</f>
        <v/>
      </c>
    </row>
    <row r="248" customFormat="false" ht="15" hidden="false" customHeight="false" outlineLevel="0" collapsed="false">
      <c r="A248" s="33"/>
      <c r="H248" s="68" t="str">
        <f aca="false">IF($A248="","","S"&amp;INT(($A248-WEEKDAY($A248,2)+11-DATE(YEAR($A248+4-WEEKDAY($A248,2)),1,1))/7))</f>
        <v/>
      </c>
      <c r="I248" s="69" t="str">
        <f aca="false">IF($A248="","",DATE(YEAR($A248),MONTH($A248),1))</f>
        <v/>
      </c>
      <c r="J248" s="68" t="str">
        <f aca="false">IF($A248="","",YEAR($A248+4-WEEKDAY($A248,2)))</f>
        <v/>
      </c>
    </row>
    <row r="249" customFormat="false" ht="15" hidden="false" customHeight="false" outlineLevel="0" collapsed="false">
      <c r="A249" s="33"/>
      <c r="H249" s="68" t="str">
        <f aca="false">IF($A249="","","S"&amp;INT(($A249-WEEKDAY($A249,2)+11-DATE(YEAR($A249+4-WEEKDAY($A249,2)),1,1))/7))</f>
        <v/>
      </c>
      <c r="I249" s="69" t="str">
        <f aca="false">IF($A249="","",DATE(YEAR($A249),MONTH($A249),1))</f>
        <v/>
      </c>
      <c r="J249" s="68" t="str">
        <f aca="false">IF($A249="","",YEAR($A249+4-WEEKDAY($A249,2)))</f>
        <v/>
      </c>
    </row>
    <row r="250" customFormat="false" ht="15" hidden="false" customHeight="false" outlineLevel="0" collapsed="false">
      <c r="A250" s="33"/>
      <c r="H250" s="68" t="str">
        <f aca="false">IF($A250="","","S"&amp;INT(($A250-WEEKDAY($A250,2)+11-DATE(YEAR($A250+4-WEEKDAY($A250,2)),1,1))/7))</f>
        <v/>
      </c>
      <c r="I250" s="69" t="str">
        <f aca="false">IF($A250="","",DATE(YEAR($A250),MONTH($A250),1))</f>
        <v/>
      </c>
      <c r="J250" s="68" t="str">
        <f aca="false">IF($A250="","",YEAR($A250+4-WEEKDAY($A250,2)))</f>
        <v/>
      </c>
    </row>
    <row r="251" customFormat="false" ht="15" hidden="false" customHeight="false" outlineLevel="0" collapsed="false">
      <c r="A251" s="33"/>
      <c r="H251" s="68" t="str">
        <f aca="false">IF($A251="","","S"&amp;INT(($A251-WEEKDAY($A251,2)+11-DATE(YEAR($A251+4-WEEKDAY($A251,2)),1,1))/7))</f>
        <v/>
      </c>
      <c r="I251" s="69" t="str">
        <f aca="false">IF($A251="","",DATE(YEAR($A251),MONTH($A251),1))</f>
        <v/>
      </c>
      <c r="J251" s="68" t="str">
        <f aca="false">IF($A251="","",YEAR($A251+4-WEEKDAY($A251,2)))</f>
        <v/>
      </c>
    </row>
    <row r="252" customFormat="false" ht="15" hidden="false" customHeight="false" outlineLevel="0" collapsed="false">
      <c r="A252" s="33"/>
      <c r="H252" s="68" t="str">
        <f aca="false">IF($A252="","","S"&amp;INT(($A252-WEEKDAY($A252,2)+11-DATE(YEAR($A252+4-WEEKDAY($A252,2)),1,1))/7))</f>
        <v/>
      </c>
      <c r="I252" s="69" t="str">
        <f aca="false">IF($A252="","",DATE(YEAR($A252),MONTH($A252),1))</f>
        <v/>
      </c>
      <c r="J252" s="68" t="str">
        <f aca="false">IF($A252="","",YEAR($A252+4-WEEKDAY($A252,2)))</f>
        <v/>
      </c>
    </row>
    <row r="253" customFormat="false" ht="15" hidden="false" customHeight="false" outlineLevel="0" collapsed="false">
      <c r="A253" s="33"/>
      <c r="H253" s="68" t="str">
        <f aca="false">IF($A253="","","S"&amp;INT(($A253-WEEKDAY($A253,2)+11-DATE(YEAR($A253+4-WEEKDAY($A253,2)),1,1))/7))</f>
        <v/>
      </c>
      <c r="I253" s="69" t="str">
        <f aca="false">IF($A253="","",DATE(YEAR($A253),MONTH($A253),1))</f>
        <v/>
      </c>
      <c r="J253" s="68" t="str">
        <f aca="false">IF($A253="","",YEAR($A253+4-WEEKDAY($A253,2)))</f>
        <v/>
      </c>
    </row>
    <row r="254" customFormat="false" ht="15" hidden="false" customHeight="false" outlineLevel="0" collapsed="false">
      <c r="A254" s="33"/>
      <c r="H254" s="68" t="str">
        <f aca="false">IF($A254="","","S"&amp;INT(($A254-WEEKDAY($A254,2)+11-DATE(YEAR($A254+4-WEEKDAY($A254,2)),1,1))/7))</f>
        <v/>
      </c>
      <c r="I254" s="69" t="str">
        <f aca="false">IF($A254="","",DATE(YEAR($A254),MONTH($A254),1))</f>
        <v/>
      </c>
      <c r="J254" s="68" t="str">
        <f aca="false">IF($A254="","",YEAR($A254+4-WEEKDAY($A254,2)))</f>
        <v/>
      </c>
    </row>
    <row r="255" customFormat="false" ht="15" hidden="false" customHeight="false" outlineLevel="0" collapsed="false">
      <c r="A255" s="33"/>
      <c r="H255" s="68" t="str">
        <f aca="false">IF($A255="","","S"&amp;INT(($A255-WEEKDAY($A255,2)+11-DATE(YEAR($A255+4-WEEKDAY($A255,2)),1,1))/7))</f>
        <v/>
      </c>
      <c r="I255" s="69" t="str">
        <f aca="false">IF($A255="","",DATE(YEAR($A255),MONTH($A255),1))</f>
        <v/>
      </c>
      <c r="J255" s="68" t="str">
        <f aca="false">IF($A255="","",YEAR($A255+4-WEEKDAY($A255,2)))</f>
        <v/>
      </c>
    </row>
    <row r="256" customFormat="false" ht="15" hidden="false" customHeight="false" outlineLevel="0" collapsed="false">
      <c r="A256" s="33"/>
      <c r="H256" s="68" t="str">
        <f aca="false">IF($A256="","","S"&amp;INT(($A256-WEEKDAY($A256,2)+11-DATE(YEAR($A256+4-WEEKDAY($A256,2)),1,1))/7))</f>
        <v/>
      </c>
      <c r="I256" s="69" t="str">
        <f aca="false">IF($A256="","",DATE(YEAR($A256),MONTH($A256),1))</f>
        <v/>
      </c>
      <c r="J256" s="68" t="str">
        <f aca="false">IF($A256="","",YEAR($A256+4-WEEKDAY($A256,2)))</f>
        <v/>
      </c>
    </row>
    <row r="257" customFormat="false" ht="15" hidden="false" customHeight="false" outlineLevel="0" collapsed="false">
      <c r="A257" s="33"/>
      <c r="H257" s="68" t="str">
        <f aca="false">IF($A257="","","S"&amp;INT(($A257-WEEKDAY($A257,2)+11-DATE(YEAR($A257+4-WEEKDAY($A257,2)),1,1))/7))</f>
        <v/>
      </c>
      <c r="I257" s="69" t="str">
        <f aca="false">IF($A257="","",DATE(YEAR($A257),MONTH($A257),1))</f>
        <v/>
      </c>
      <c r="J257" s="68" t="str">
        <f aca="false">IF($A257="","",YEAR($A257+4-WEEKDAY($A257,2)))</f>
        <v/>
      </c>
    </row>
    <row r="258" customFormat="false" ht="15" hidden="false" customHeight="false" outlineLevel="0" collapsed="false">
      <c r="A258" s="33"/>
      <c r="H258" s="68" t="str">
        <f aca="false">IF($A258="","","S"&amp;INT(($A258-WEEKDAY($A258,2)+11-DATE(YEAR($A258+4-WEEKDAY($A258,2)),1,1))/7))</f>
        <v/>
      </c>
      <c r="I258" s="69" t="str">
        <f aca="false">IF($A258="","",DATE(YEAR($A258),MONTH($A258),1))</f>
        <v/>
      </c>
      <c r="J258" s="68" t="str">
        <f aca="false">IF($A258="","",YEAR($A258+4-WEEKDAY($A258,2)))</f>
        <v/>
      </c>
    </row>
    <row r="259" customFormat="false" ht="15" hidden="false" customHeight="false" outlineLevel="0" collapsed="false">
      <c r="A259" s="33"/>
      <c r="H259" s="68" t="str">
        <f aca="false">IF($A259="","","S"&amp;INT(($A259-WEEKDAY($A259,2)+11-DATE(YEAR($A259+4-WEEKDAY($A259,2)),1,1))/7))</f>
        <v/>
      </c>
      <c r="I259" s="69" t="str">
        <f aca="false">IF($A259="","",DATE(YEAR($A259),MONTH($A259),1))</f>
        <v/>
      </c>
      <c r="J259" s="68" t="str">
        <f aca="false">IF($A259="","",YEAR($A259+4-WEEKDAY($A259,2)))</f>
        <v/>
      </c>
    </row>
    <row r="260" customFormat="false" ht="15" hidden="false" customHeight="false" outlineLevel="0" collapsed="false">
      <c r="A260" s="33"/>
      <c r="H260" s="68" t="str">
        <f aca="false">IF($A260="","","S"&amp;INT(($A260-WEEKDAY($A260,2)+11-DATE(YEAR($A260+4-WEEKDAY($A260,2)),1,1))/7))</f>
        <v/>
      </c>
      <c r="I260" s="69" t="str">
        <f aca="false">IF($A260="","",DATE(YEAR($A260),MONTH($A260),1))</f>
        <v/>
      </c>
      <c r="J260" s="68" t="str">
        <f aca="false">IF($A260="","",YEAR($A260+4-WEEKDAY($A260,2)))</f>
        <v/>
      </c>
    </row>
    <row r="261" customFormat="false" ht="15" hidden="false" customHeight="false" outlineLevel="0" collapsed="false">
      <c r="A261" s="33"/>
      <c r="H261" s="68" t="str">
        <f aca="false">IF($A261="","","S"&amp;INT(($A261-WEEKDAY($A261,2)+11-DATE(YEAR($A261+4-WEEKDAY($A261,2)),1,1))/7))</f>
        <v/>
      </c>
      <c r="I261" s="69" t="str">
        <f aca="false">IF($A261="","",DATE(YEAR($A261),MONTH($A261),1))</f>
        <v/>
      </c>
      <c r="J261" s="68" t="str">
        <f aca="false">IF($A261="","",YEAR($A261+4-WEEKDAY($A261,2)))</f>
        <v/>
      </c>
    </row>
    <row r="262" customFormat="false" ht="15" hidden="false" customHeight="false" outlineLevel="0" collapsed="false">
      <c r="A262" s="33"/>
      <c r="H262" s="68" t="str">
        <f aca="false">IF($A262="","","S"&amp;INT(($A262-WEEKDAY($A262,2)+11-DATE(YEAR($A262+4-WEEKDAY($A262,2)),1,1))/7))</f>
        <v/>
      </c>
      <c r="I262" s="69" t="str">
        <f aca="false">IF($A262="","",DATE(YEAR($A262),MONTH($A262),1))</f>
        <v/>
      </c>
      <c r="J262" s="68" t="str">
        <f aca="false">IF($A262="","",YEAR($A262+4-WEEKDAY($A262,2)))</f>
        <v/>
      </c>
    </row>
    <row r="263" customFormat="false" ht="15" hidden="false" customHeight="false" outlineLevel="0" collapsed="false">
      <c r="A263" s="33"/>
      <c r="H263" s="68" t="str">
        <f aca="false">IF($A263="","","S"&amp;INT(($A263-WEEKDAY($A263,2)+11-DATE(YEAR($A263+4-WEEKDAY($A263,2)),1,1))/7))</f>
        <v/>
      </c>
      <c r="I263" s="69" t="str">
        <f aca="false">IF($A263="","",DATE(YEAR($A263),MONTH($A263),1))</f>
        <v/>
      </c>
      <c r="J263" s="68" t="str">
        <f aca="false">IF($A263="","",YEAR($A263+4-WEEKDAY($A263,2)))</f>
        <v/>
      </c>
    </row>
    <row r="264" customFormat="false" ht="15" hidden="false" customHeight="false" outlineLevel="0" collapsed="false">
      <c r="A264" s="33"/>
      <c r="H264" s="68" t="str">
        <f aca="false">IF($A264="","","S"&amp;INT(($A264-WEEKDAY($A264,2)+11-DATE(YEAR($A264+4-WEEKDAY($A264,2)),1,1))/7))</f>
        <v/>
      </c>
      <c r="I264" s="69" t="str">
        <f aca="false">IF($A264="","",DATE(YEAR($A264),MONTH($A264),1))</f>
        <v/>
      </c>
      <c r="J264" s="68" t="str">
        <f aca="false">IF($A264="","",YEAR($A264+4-WEEKDAY($A264,2)))</f>
        <v/>
      </c>
    </row>
    <row r="265" customFormat="false" ht="15" hidden="false" customHeight="false" outlineLevel="0" collapsed="false">
      <c r="A265" s="33"/>
      <c r="H265" s="68" t="str">
        <f aca="false">IF($A265="","","S"&amp;INT(($A265-WEEKDAY($A265,2)+11-DATE(YEAR($A265+4-WEEKDAY($A265,2)),1,1))/7))</f>
        <v/>
      </c>
      <c r="I265" s="69" t="str">
        <f aca="false">IF($A265="","",DATE(YEAR($A265),MONTH($A265),1))</f>
        <v/>
      </c>
      <c r="J265" s="68" t="str">
        <f aca="false">IF($A265="","",YEAR($A265+4-WEEKDAY($A265,2)))</f>
        <v/>
      </c>
    </row>
    <row r="266" customFormat="false" ht="15" hidden="false" customHeight="false" outlineLevel="0" collapsed="false">
      <c r="A266" s="33"/>
      <c r="H266" s="68" t="str">
        <f aca="false">IF($A266="","","S"&amp;INT(($A266-WEEKDAY($A266,2)+11-DATE(YEAR($A266+4-WEEKDAY($A266,2)),1,1))/7))</f>
        <v/>
      </c>
      <c r="I266" s="69" t="str">
        <f aca="false">IF($A266="","",DATE(YEAR($A266),MONTH($A266),1))</f>
        <v/>
      </c>
      <c r="J266" s="68" t="str">
        <f aca="false">IF($A266="","",YEAR($A266+4-WEEKDAY($A266,2)))</f>
        <v/>
      </c>
    </row>
    <row r="267" customFormat="false" ht="15" hidden="false" customHeight="false" outlineLevel="0" collapsed="false">
      <c r="A267" s="33"/>
      <c r="H267" s="68" t="str">
        <f aca="false">IF($A267="","","S"&amp;INT(($A267-WEEKDAY($A267,2)+11-DATE(YEAR($A267+4-WEEKDAY($A267,2)),1,1))/7))</f>
        <v/>
      </c>
      <c r="I267" s="69" t="str">
        <f aca="false">IF($A267="","",DATE(YEAR($A267),MONTH($A267),1))</f>
        <v/>
      </c>
      <c r="J267" s="68" t="str">
        <f aca="false">IF($A267="","",YEAR($A267+4-WEEKDAY($A267,2)))</f>
        <v/>
      </c>
    </row>
    <row r="268" customFormat="false" ht="15" hidden="false" customHeight="false" outlineLevel="0" collapsed="false">
      <c r="A268" s="33"/>
      <c r="H268" s="68" t="str">
        <f aca="false">IF($A268="","","S"&amp;INT(($A268-WEEKDAY($A268,2)+11-DATE(YEAR($A268+4-WEEKDAY($A268,2)),1,1))/7))</f>
        <v/>
      </c>
      <c r="I268" s="69" t="str">
        <f aca="false">IF($A268="","",DATE(YEAR($A268),MONTH($A268),1))</f>
        <v/>
      </c>
      <c r="J268" s="68" t="str">
        <f aca="false">IF($A268="","",YEAR($A268+4-WEEKDAY($A268,2)))</f>
        <v/>
      </c>
    </row>
    <row r="269" customFormat="false" ht="15" hidden="false" customHeight="false" outlineLevel="0" collapsed="false">
      <c r="A269" s="33"/>
      <c r="H269" s="68" t="str">
        <f aca="false">IF($A269="","","S"&amp;INT(($A269-WEEKDAY($A269,2)+11-DATE(YEAR($A269+4-WEEKDAY($A269,2)),1,1))/7))</f>
        <v/>
      </c>
      <c r="I269" s="69" t="str">
        <f aca="false">IF($A269="","",DATE(YEAR($A269),MONTH($A269),1))</f>
        <v/>
      </c>
      <c r="J269" s="68" t="str">
        <f aca="false">IF($A269="","",YEAR($A269+4-WEEKDAY($A269,2)))</f>
        <v/>
      </c>
    </row>
    <row r="270" customFormat="false" ht="15" hidden="false" customHeight="false" outlineLevel="0" collapsed="false">
      <c r="A270" s="33"/>
      <c r="H270" s="68" t="str">
        <f aca="false">IF($A270="","","S"&amp;INT(($A270-WEEKDAY($A270,2)+11-DATE(YEAR($A270+4-WEEKDAY($A270,2)),1,1))/7))</f>
        <v/>
      </c>
      <c r="I270" s="69" t="str">
        <f aca="false">IF($A270="","",DATE(YEAR($A270),MONTH($A270),1))</f>
        <v/>
      </c>
      <c r="J270" s="68" t="str">
        <f aca="false">IF($A270="","",YEAR($A270+4-WEEKDAY($A270,2)))</f>
        <v/>
      </c>
    </row>
    <row r="271" customFormat="false" ht="15" hidden="false" customHeight="false" outlineLevel="0" collapsed="false">
      <c r="A271" s="33"/>
      <c r="H271" s="68" t="str">
        <f aca="false">IF($A271="","","S"&amp;INT(($A271-WEEKDAY($A271,2)+11-DATE(YEAR($A271+4-WEEKDAY($A271,2)),1,1))/7))</f>
        <v/>
      </c>
      <c r="I271" s="69" t="str">
        <f aca="false">IF($A271="","",DATE(YEAR($A271),MONTH($A271),1))</f>
        <v/>
      </c>
      <c r="J271" s="68" t="str">
        <f aca="false">IF($A271="","",YEAR($A271+4-WEEKDAY($A271,2)))</f>
        <v/>
      </c>
    </row>
    <row r="272" customFormat="false" ht="15" hidden="false" customHeight="false" outlineLevel="0" collapsed="false">
      <c r="A272" s="33"/>
      <c r="H272" s="68" t="str">
        <f aca="false">IF($A272="","","S"&amp;INT(($A272-WEEKDAY($A272,2)+11-DATE(YEAR($A272+4-WEEKDAY($A272,2)),1,1))/7))</f>
        <v/>
      </c>
      <c r="I272" s="69" t="str">
        <f aca="false">IF($A272="","",DATE(YEAR($A272),MONTH($A272),1))</f>
        <v/>
      </c>
      <c r="J272" s="68" t="str">
        <f aca="false">IF($A272="","",YEAR($A272+4-WEEKDAY($A272,2)))</f>
        <v/>
      </c>
    </row>
    <row r="273" customFormat="false" ht="15" hidden="false" customHeight="false" outlineLevel="0" collapsed="false">
      <c r="A273" s="33"/>
      <c r="H273" s="68" t="str">
        <f aca="false">IF($A273="","","S"&amp;INT(($A273-WEEKDAY($A273,2)+11-DATE(YEAR($A273+4-WEEKDAY($A273,2)),1,1))/7))</f>
        <v/>
      </c>
      <c r="I273" s="69" t="str">
        <f aca="false">IF($A273="","",DATE(YEAR($A273),MONTH($A273),1))</f>
        <v/>
      </c>
      <c r="J273" s="68" t="str">
        <f aca="false">IF($A273="","",YEAR($A273+4-WEEKDAY($A273,2)))</f>
        <v/>
      </c>
    </row>
    <row r="274" customFormat="false" ht="15" hidden="false" customHeight="false" outlineLevel="0" collapsed="false">
      <c r="A274" s="33"/>
      <c r="H274" s="68" t="str">
        <f aca="false">IF($A274="","","S"&amp;INT(($A274-WEEKDAY($A274,2)+11-DATE(YEAR($A274+4-WEEKDAY($A274,2)),1,1))/7))</f>
        <v/>
      </c>
      <c r="I274" s="69" t="str">
        <f aca="false">IF($A274="","",DATE(YEAR($A274),MONTH($A274),1))</f>
        <v/>
      </c>
      <c r="J274" s="68" t="str">
        <f aca="false">IF($A274="","",YEAR($A274+4-WEEKDAY($A274,2)))</f>
        <v/>
      </c>
    </row>
    <row r="275" customFormat="false" ht="15" hidden="false" customHeight="false" outlineLevel="0" collapsed="false">
      <c r="A275" s="33"/>
      <c r="H275" s="68" t="str">
        <f aca="false">IF($A275="","","S"&amp;INT(($A275-WEEKDAY($A275,2)+11-DATE(YEAR($A275+4-WEEKDAY($A275,2)),1,1))/7))</f>
        <v/>
      </c>
      <c r="I275" s="69" t="str">
        <f aca="false">IF($A275="","",DATE(YEAR($A275),MONTH($A275),1))</f>
        <v/>
      </c>
      <c r="J275" s="68" t="str">
        <f aca="false">IF($A275="","",YEAR($A275+4-WEEKDAY($A275,2)))</f>
        <v/>
      </c>
    </row>
    <row r="276" customFormat="false" ht="15" hidden="false" customHeight="false" outlineLevel="0" collapsed="false">
      <c r="A276" s="33"/>
      <c r="H276" s="68" t="str">
        <f aca="false">IF($A276="","","S"&amp;INT(($A276-WEEKDAY($A276,2)+11-DATE(YEAR($A276+4-WEEKDAY($A276,2)),1,1))/7))</f>
        <v/>
      </c>
      <c r="I276" s="69" t="str">
        <f aca="false">IF($A276="","",DATE(YEAR($A276),MONTH($A276),1))</f>
        <v/>
      </c>
      <c r="J276" s="68" t="str">
        <f aca="false">IF($A276="","",YEAR($A276+4-WEEKDAY($A276,2)))</f>
        <v/>
      </c>
    </row>
    <row r="277" customFormat="false" ht="15" hidden="false" customHeight="false" outlineLevel="0" collapsed="false">
      <c r="A277" s="33"/>
      <c r="H277" s="68" t="str">
        <f aca="false">IF($A277="","","S"&amp;INT(($A277-WEEKDAY($A277,2)+11-DATE(YEAR($A277+4-WEEKDAY($A277,2)),1,1))/7))</f>
        <v/>
      </c>
      <c r="I277" s="69" t="str">
        <f aca="false">IF($A277="","",DATE(YEAR($A277),MONTH($A277),1))</f>
        <v/>
      </c>
      <c r="J277" s="68" t="str">
        <f aca="false">IF($A277="","",YEAR($A277+4-WEEKDAY($A277,2)))</f>
        <v/>
      </c>
    </row>
    <row r="278" customFormat="false" ht="15" hidden="false" customHeight="false" outlineLevel="0" collapsed="false">
      <c r="A278" s="33"/>
      <c r="H278" s="68" t="str">
        <f aca="false">IF($A278="","","S"&amp;INT(($A278-WEEKDAY($A278,2)+11-DATE(YEAR($A278+4-WEEKDAY($A278,2)),1,1))/7))</f>
        <v/>
      </c>
      <c r="I278" s="69" t="str">
        <f aca="false">IF($A278="","",DATE(YEAR($A278),MONTH($A278),1))</f>
        <v/>
      </c>
      <c r="J278" s="68" t="str">
        <f aca="false">IF($A278="","",YEAR($A278+4-WEEKDAY($A278,2)))</f>
        <v/>
      </c>
    </row>
    <row r="279" customFormat="false" ht="15" hidden="false" customHeight="false" outlineLevel="0" collapsed="false">
      <c r="A279" s="33"/>
      <c r="H279" s="68" t="str">
        <f aca="false">IF($A279="","","S"&amp;INT(($A279-WEEKDAY($A279,2)+11-DATE(YEAR($A279+4-WEEKDAY($A279,2)),1,1))/7))</f>
        <v/>
      </c>
      <c r="I279" s="69" t="str">
        <f aca="false">IF($A279="","",DATE(YEAR($A279),MONTH($A279),1))</f>
        <v/>
      </c>
      <c r="J279" s="68" t="str">
        <f aca="false">IF($A279="","",YEAR($A279+4-WEEKDAY($A279,2)))</f>
        <v/>
      </c>
    </row>
    <row r="280" customFormat="false" ht="15" hidden="false" customHeight="false" outlineLevel="0" collapsed="false">
      <c r="A280" s="33"/>
      <c r="H280" s="68" t="str">
        <f aca="false">IF($A280="","","S"&amp;INT(($A280-WEEKDAY($A280,2)+11-DATE(YEAR($A280+4-WEEKDAY($A280,2)),1,1))/7))</f>
        <v/>
      </c>
      <c r="I280" s="69" t="str">
        <f aca="false">IF($A280="","",DATE(YEAR($A280),MONTH($A280),1))</f>
        <v/>
      </c>
      <c r="J280" s="68" t="str">
        <f aca="false">IF($A280="","",YEAR($A280+4-WEEKDAY($A280,2)))</f>
        <v/>
      </c>
    </row>
    <row r="281" customFormat="false" ht="15" hidden="false" customHeight="false" outlineLevel="0" collapsed="false">
      <c r="A281" s="33"/>
      <c r="H281" s="68" t="str">
        <f aca="false">IF($A281="","","S"&amp;INT(($A281-WEEKDAY($A281,2)+11-DATE(YEAR($A281+4-WEEKDAY($A281,2)),1,1))/7))</f>
        <v/>
      </c>
      <c r="I281" s="69" t="str">
        <f aca="false">IF($A281="","",DATE(YEAR($A281),MONTH($A281),1))</f>
        <v/>
      </c>
      <c r="J281" s="68" t="str">
        <f aca="false">IF($A281="","",YEAR($A281+4-WEEKDAY($A281,2)))</f>
        <v/>
      </c>
    </row>
    <row r="282" customFormat="false" ht="15" hidden="false" customHeight="false" outlineLevel="0" collapsed="false">
      <c r="A282" s="33"/>
      <c r="H282" s="68" t="str">
        <f aca="false">IF($A282="","","S"&amp;INT(($A282-WEEKDAY($A282,2)+11-DATE(YEAR($A282+4-WEEKDAY($A282,2)),1,1))/7))</f>
        <v/>
      </c>
      <c r="I282" s="69" t="str">
        <f aca="false">IF($A282="","",DATE(YEAR($A282),MONTH($A282),1))</f>
        <v/>
      </c>
      <c r="J282" s="68" t="str">
        <f aca="false">IF($A282="","",YEAR($A282+4-WEEKDAY($A282,2)))</f>
        <v/>
      </c>
    </row>
    <row r="283" customFormat="false" ht="15" hidden="false" customHeight="false" outlineLevel="0" collapsed="false">
      <c r="A283" s="33"/>
      <c r="H283" s="68" t="str">
        <f aca="false">IF($A283="","","S"&amp;INT(($A283-WEEKDAY($A283,2)+11-DATE(YEAR($A283+4-WEEKDAY($A283,2)),1,1))/7))</f>
        <v/>
      </c>
      <c r="I283" s="69" t="str">
        <f aca="false">IF($A283="","",DATE(YEAR($A283),MONTH($A283),1))</f>
        <v/>
      </c>
      <c r="J283" s="68" t="str">
        <f aca="false">IF($A283="","",YEAR($A283+4-WEEKDAY($A283,2)))</f>
        <v/>
      </c>
    </row>
    <row r="284" customFormat="false" ht="15" hidden="false" customHeight="false" outlineLevel="0" collapsed="false">
      <c r="A284" s="33"/>
      <c r="H284" s="68" t="str">
        <f aca="false">IF($A284="","","S"&amp;INT(($A284-WEEKDAY($A284,2)+11-DATE(YEAR($A284+4-WEEKDAY($A284,2)),1,1))/7))</f>
        <v/>
      </c>
      <c r="I284" s="69" t="str">
        <f aca="false">IF($A284="","",DATE(YEAR($A284),MONTH($A284),1))</f>
        <v/>
      </c>
      <c r="J284" s="68" t="str">
        <f aca="false">IF($A284="","",YEAR($A284+4-WEEKDAY($A284,2)))</f>
        <v/>
      </c>
    </row>
    <row r="285" customFormat="false" ht="15" hidden="false" customHeight="false" outlineLevel="0" collapsed="false">
      <c r="A285" s="33"/>
      <c r="H285" s="68" t="str">
        <f aca="false">IF($A285="","","S"&amp;INT(($A285-WEEKDAY($A285,2)+11-DATE(YEAR($A285+4-WEEKDAY($A285,2)),1,1))/7))</f>
        <v/>
      </c>
      <c r="I285" s="69" t="str">
        <f aca="false">IF($A285="","",DATE(YEAR($A285),MONTH($A285),1))</f>
        <v/>
      </c>
      <c r="J285" s="68" t="str">
        <f aca="false">IF($A285="","",YEAR($A285+4-WEEKDAY($A285,2)))</f>
        <v/>
      </c>
    </row>
    <row r="286" customFormat="false" ht="15" hidden="false" customHeight="false" outlineLevel="0" collapsed="false">
      <c r="A286" s="33"/>
      <c r="H286" s="68" t="str">
        <f aca="false">IF($A286="","","S"&amp;INT(($A286-WEEKDAY($A286,2)+11-DATE(YEAR($A286+4-WEEKDAY($A286,2)),1,1))/7))</f>
        <v/>
      </c>
      <c r="I286" s="69" t="str">
        <f aca="false">IF($A286="","",DATE(YEAR($A286),MONTH($A286),1))</f>
        <v/>
      </c>
      <c r="J286" s="68" t="str">
        <f aca="false">IF($A286="","",YEAR($A286+4-WEEKDAY($A286,2)))</f>
        <v/>
      </c>
    </row>
    <row r="287" customFormat="false" ht="15" hidden="false" customHeight="false" outlineLevel="0" collapsed="false">
      <c r="A287" s="33"/>
      <c r="H287" s="68" t="str">
        <f aca="false">IF($A287="","","S"&amp;INT(($A287-WEEKDAY($A287,2)+11-DATE(YEAR($A287+4-WEEKDAY($A287,2)),1,1))/7))</f>
        <v/>
      </c>
      <c r="I287" s="69" t="str">
        <f aca="false">IF($A287="","",DATE(YEAR($A287),MONTH($A287),1))</f>
        <v/>
      </c>
      <c r="J287" s="68" t="str">
        <f aca="false">IF($A287="","",YEAR($A287+4-WEEKDAY($A287,2)))</f>
        <v/>
      </c>
    </row>
    <row r="288" customFormat="false" ht="15" hidden="false" customHeight="false" outlineLevel="0" collapsed="false">
      <c r="A288" s="33"/>
      <c r="H288" s="68" t="str">
        <f aca="false">IF($A288="","","S"&amp;INT(($A288-WEEKDAY($A288,2)+11-DATE(YEAR($A288+4-WEEKDAY($A288,2)),1,1))/7))</f>
        <v/>
      </c>
      <c r="I288" s="69" t="str">
        <f aca="false">IF($A288="","",DATE(YEAR($A288),MONTH($A288),1))</f>
        <v/>
      </c>
      <c r="J288" s="68" t="str">
        <f aca="false">IF($A288="","",YEAR($A288+4-WEEKDAY($A288,2)))</f>
        <v/>
      </c>
    </row>
    <row r="289" customFormat="false" ht="15" hidden="false" customHeight="false" outlineLevel="0" collapsed="false">
      <c r="A289" s="33"/>
      <c r="H289" s="68" t="str">
        <f aca="false">IF($A289="","","S"&amp;INT(($A289-WEEKDAY($A289,2)+11-DATE(YEAR($A289+4-WEEKDAY($A289,2)),1,1))/7))</f>
        <v/>
      </c>
      <c r="I289" s="69" t="str">
        <f aca="false">IF($A289="","",DATE(YEAR($A289),MONTH($A289),1))</f>
        <v/>
      </c>
      <c r="J289" s="68" t="str">
        <f aca="false">IF($A289="","",YEAR($A289+4-WEEKDAY($A289,2)))</f>
        <v/>
      </c>
    </row>
    <row r="290" customFormat="false" ht="15" hidden="false" customHeight="false" outlineLevel="0" collapsed="false">
      <c r="A290" s="33"/>
      <c r="H290" s="68" t="str">
        <f aca="false">IF($A290="","","S"&amp;INT(($A290-WEEKDAY($A290,2)+11-DATE(YEAR($A290+4-WEEKDAY($A290,2)),1,1))/7))</f>
        <v/>
      </c>
      <c r="I290" s="69" t="str">
        <f aca="false">IF($A290="","",DATE(YEAR($A290),MONTH($A290),1))</f>
        <v/>
      </c>
      <c r="J290" s="68" t="str">
        <f aca="false">IF($A290="","",YEAR($A290+4-WEEKDAY($A290,2)))</f>
        <v/>
      </c>
    </row>
    <row r="291" customFormat="false" ht="15" hidden="false" customHeight="false" outlineLevel="0" collapsed="false">
      <c r="A291" s="33"/>
      <c r="H291" s="68" t="str">
        <f aca="false">IF($A291="","","S"&amp;INT(($A291-WEEKDAY($A291,2)+11-DATE(YEAR($A291+4-WEEKDAY($A291,2)),1,1))/7))</f>
        <v/>
      </c>
      <c r="I291" s="69" t="str">
        <f aca="false">IF($A291="","",DATE(YEAR($A291),MONTH($A291),1))</f>
        <v/>
      </c>
      <c r="J291" s="68" t="str">
        <f aca="false">IF($A291="","",YEAR($A291+4-WEEKDAY($A291,2)))</f>
        <v/>
      </c>
    </row>
    <row r="292" customFormat="false" ht="15" hidden="false" customHeight="false" outlineLevel="0" collapsed="false">
      <c r="A292" s="33"/>
      <c r="H292" s="68" t="str">
        <f aca="false">IF($A292="","","S"&amp;INT(($A292-WEEKDAY($A292,2)+11-DATE(YEAR($A292+4-WEEKDAY($A292,2)),1,1))/7))</f>
        <v/>
      </c>
      <c r="I292" s="69" t="str">
        <f aca="false">IF($A292="","",DATE(YEAR($A292),MONTH($A292),1))</f>
        <v/>
      </c>
      <c r="J292" s="68" t="str">
        <f aca="false">IF($A292="","",YEAR($A292+4-WEEKDAY($A292,2)))</f>
        <v/>
      </c>
    </row>
    <row r="293" customFormat="false" ht="15" hidden="false" customHeight="false" outlineLevel="0" collapsed="false">
      <c r="A293" s="33"/>
      <c r="H293" s="68" t="str">
        <f aca="false">IF($A293="","","S"&amp;INT(($A293-WEEKDAY($A293,2)+11-DATE(YEAR($A293+4-WEEKDAY($A293,2)),1,1))/7))</f>
        <v/>
      </c>
      <c r="I293" s="69" t="str">
        <f aca="false">IF($A293="","",DATE(YEAR($A293),MONTH($A293),1))</f>
        <v/>
      </c>
      <c r="J293" s="68" t="str">
        <f aca="false">IF($A293="","",YEAR($A293+4-WEEKDAY($A293,2)))</f>
        <v/>
      </c>
    </row>
    <row r="294" customFormat="false" ht="15" hidden="false" customHeight="false" outlineLevel="0" collapsed="false">
      <c r="A294" s="33"/>
      <c r="H294" s="68" t="str">
        <f aca="false">IF($A294="","","S"&amp;INT(($A294-WEEKDAY($A294,2)+11-DATE(YEAR($A294+4-WEEKDAY($A294,2)),1,1))/7))</f>
        <v/>
      </c>
      <c r="I294" s="69" t="str">
        <f aca="false">IF($A294="","",DATE(YEAR($A294),MONTH($A294),1))</f>
        <v/>
      </c>
      <c r="J294" s="68" t="str">
        <f aca="false">IF($A294="","",YEAR($A294+4-WEEKDAY($A294,2)))</f>
        <v/>
      </c>
    </row>
    <row r="295" customFormat="false" ht="15" hidden="false" customHeight="false" outlineLevel="0" collapsed="false">
      <c r="A295" s="33"/>
      <c r="H295" s="68" t="str">
        <f aca="false">IF($A295="","","S"&amp;INT(($A295-WEEKDAY($A295,2)+11-DATE(YEAR($A295+4-WEEKDAY($A295,2)),1,1))/7))</f>
        <v/>
      </c>
      <c r="I295" s="69" t="str">
        <f aca="false">IF($A295="","",DATE(YEAR($A295),MONTH($A295),1))</f>
        <v/>
      </c>
      <c r="J295" s="68" t="str">
        <f aca="false">IF($A295="","",YEAR($A295+4-WEEKDAY($A295,2)))</f>
        <v/>
      </c>
    </row>
    <row r="296" customFormat="false" ht="15" hidden="false" customHeight="false" outlineLevel="0" collapsed="false">
      <c r="A296" s="33"/>
      <c r="H296" s="68" t="str">
        <f aca="false">IF($A296="","","S"&amp;INT(($A296-WEEKDAY($A296,2)+11-DATE(YEAR($A296+4-WEEKDAY($A296,2)),1,1))/7))</f>
        <v/>
      </c>
      <c r="I296" s="69" t="str">
        <f aca="false">IF($A296="","",DATE(YEAR($A296),MONTH($A296),1))</f>
        <v/>
      </c>
      <c r="J296" s="68" t="str">
        <f aca="false">IF($A296="","",YEAR($A296+4-WEEKDAY($A296,2)))</f>
        <v/>
      </c>
    </row>
    <row r="297" customFormat="false" ht="15" hidden="false" customHeight="false" outlineLevel="0" collapsed="false">
      <c r="A297" s="33"/>
      <c r="H297" s="68" t="str">
        <f aca="false">IF($A297="","","S"&amp;INT(($A297-WEEKDAY($A297,2)+11-DATE(YEAR($A297+4-WEEKDAY($A297,2)),1,1))/7))</f>
        <v/>
      </c>
      <c r="I297" s="69" t="str">
        <f aca="false">IF($A297="","",DATE(YEAR($A297),MONTH($A297),1))</f>
        <v/>
      </c>
      <c r="J297" s="68" t="str">
        <f aca="false">IF($A297="","",YEAR($A297+4-WEEKDAY($A297,2)))</f>
        <v/>
      </c>
    </row>
    <row r="298" customFormat="false" ht="15" hidden="false" customHeight="false" outlineLevel="0" collapsed="false">
      <c r="A298" s="33"/>
      <c r="H298" s="68" t="str">
        <f aca="false">IF($A298="","","S"&amp;INT(($A298-WEEKDAY($A298,2)+11-DATE(YEAR($A298+4-WEEKDAY($A298,2)),1,1))/7))</f>
        <v/>
      </c>
      <c r="I298" s="69" t="str">
        <f aca="false">IF($A298="","",DATE(YEAR($A298),MONTH($A298),1))</f>
        <v/>
      </c>
      <c r="J298" s="68" t="str">
        <f aca="false">IF($A298="","",YEAR($A298+4-WEEKDAY($A298,2)))</f>
        <v/>
      </c>
    </row>
    <row r="299" customFormat="false" ht="15" hidden="false" customHeight="false" outlineLevel="0" collapsed="false">
      <c r="A299" s="33"/>
      <c r="H299" s="68" t="str">
        <f aca="false">IF($A299="","","S"&amp;INT(($A299-WEEKDAY($A299,2)+11-DATE(YEAR($A299+4-WEEKDAY($A299,2)),1,1))/7))</f>
        <v/>
      </c>
      <c r="I299" s="69" t="str">
        <f aca="false">IF($A299="","",DATE(YEAR($A299),MONTH($A299),1))</f>
        <v/>
      </c>
      <c r="J299" s="68" t="str">
        <f aca="false">IF($A299="","",YEAR($A299+4-WEEKDAY($A299,2)))</f>
        <v/>
      </c>
    </row>
    <row r="300" customFormat="false" ht="15" hidden="false" customHeight="false" outlineLevel="0" collapsed="false">
      <c r="A300" s="33"/>
      <c r="H300" s="68" t="str">
        <f aca="false">IF($A300="","","S"&amp;INT(($A300-WEEKDAY($A300,2)+11-DATE(YEAR($A300+4-WEEKDAY($A300,2)),1,1))/7))</f>
        <v/>
      </c>
      <c r="I300" s="69" t="str">
        <f aca="false">IF($A300="","",DATE(YEAR($A300),MONTH($A300),1))</f>
        <v/>
      </c>
      <c r="J300" s="68" t="str">
        <f aca="false">IF($A300="","",YEAR($A300+4-WEEKDAY($A300,2)))</f>
        <v/>
      </c>
    </row>
    <row r="301" customFormat="false" ht="15" hidden="false" customHeight="false" outlineLevel="0" collapsed="false">
      <c r="A301" s="33"/>
      <c r="H301" s="68" t="str">
        <f aca="false">IF($A301="","","S"&amp;INT(($A301-WEEKDAY($A301,2)+11-DATE(YEAR($A301+4-WEEKDAY($A301,2)),1,1))/7))</f>
        <v/>
      </c>
      <c r="I301" s="69" t="str">
        <f aca="false">IF($A301="","",DATE(YEAR($A301),MONTH($A301),1))</f>
        <v/>
      </c>
      <c r="J301" s="68" t="str">
        <f aca="false">IF($A301="","",YEAR($A301+4-WEEKDAY($A301,2)))</f>
        <v/>
      </c>
    </row>
    <row r="302" customFormat="false" ht="15" hidden="false" customHeight="false" outlineLevel="0" collapsed="false">
      <c r="A302" s="33"/>
      <c r="H302" s="68" t="str">
        <f aca="false">IF($A302="","","S"&amp;INT(($A302-WEEKDAY($A302,2)+11-DATE(YEAR($A302+4-WEEKDAY($A302,2)),1,1))/7))</f>
        <v/>
      </c>
      <c r="I302" s="69" t="str">
        <f aca="false">IF($A302="","",DATE(YEAR($A302),MONTH($A302),1))</f>
        <v/>
      </c>
      <c r="J302" s="68" t="str">
        <f aca="false">IF($A302="","",YEAR($A302+4-WEEKDAY($A302,2)))</f>
        <v/>
      </c>
    </row>
    <row r="303" customFormat="false" ht="15" hidden="false" customHeight="false" outlineLevel="0" collapsed="false">
      <c r="A303" s="33"/>
      <c r="H303" s="68" t="str">
        <f aca="false">IF($A303="","","S"&amp;INT(($A303-WEEKDAY($A303,2)+11-DATE(YEAR($A303+4-WEEKDAY($A303,2)),1,1))/7))</f>
        <v/>
      </c>
      <c r="I303" s="69" t="str">
        <f aca="false">IF($A303="","",DATE(YEAR($A303),MONTH($A303),1))</f>
        <v/>
      </c>
      <c r="J303" s="68" t="str">
        <f aca="false">IF($A303="","",YEAR($A303+4-WEEKDAY($A303,2)))</f>
        <v/>
      </c>
    </row>
    <row r="304" customFormat="false" ht="15" hidden="false" customHeight="false" outlineLevel="0" collapsed="false">
      <c r="A304" s="33"/>
      <c r="H304" s="68" t="str">
        <f aca="false">IF($A304="","","S"&amp;INT(($A304-WEEKDAY($A304,2)+11-DATE(YEAR($A304+4-WEEKDAY($A304,2)),1,1))/7))</f>
        <v/>
      </c>
      <c r="I304" s="69" t="str">
        <f aca="false">IF($A304="","",DATE(YEAR($A304),MONTH($A304),1))</f>
        <v/>
      </c>
      <c r="J304" s="68" t="str">
        <f aca="false">IF($A304="","",YEAR($A304+4-WEEKDAY($A304,2)))</f>
        <v/>
      </c>
    </row>
    <row r="305" customFormat="false" ht="15" hidden="false" customHeight="false" outlineLevel="0" collapsed="false">
      <c r="A305" s="33"/>
      <c r="H305" s="68" t="str">
        <f aca="false">IF($A305="","","S"&amp;INT(($A305-WEEKDAY($A305,2)+11-DATE(YEAR($A305+4-WEEKDAY($A305,2)),1,1))/7))</f>
        <v/>
      </c>
      <c r="I305" s="69" t="str">
        <f aca="false">IF($A305="","",DATE(YEAR($A305),MONTH($A305),1))</f>
        <v/>
      </c>
      <c r="J305" s="68" t="str">
        <f aca="false">IF($A305="","",YEAR($A305+4-WEEKDAY($A305,2)))</f>
        <v/>
      </c>
    </row>
    <row r="306" customFormat="false" ht="15" hidden="false" customHeight="false" outlineLevel="0" collapsed="false">
      <c r="A306" s="33"/>
      <c r="H306" s="68" t="str">
        <f aca="false">IF($A306="","","S"&amp;INT(($A306-WEEKDAY($A306,2)+11-DATE(YEAR($A306+4-WEEKDAY($A306,2)),1,1))/7))</f>
        <v/>
      </c>
      <c r="I306" s="69" t="str">
        <f aca="false">IF($A306="","",DATE(YEAR($A306),MONTH($A306),1))</f>
        <v/>
      </c>
      <c r="J306" s="68" t="str">
        <f aca="false">IF($A306="","",YEAR($A306+4-WEEKDAY($A306,2)))</f>
        <v/>
      </c>
    </row>
    <row r="307" customFormat="false" ht="15" hidden="false" customHeight="false" outlineLevel="0" collapsed="false">
      <c r="A307" s="33"/>
      <c r="H307" s="68" t="str">
        <f aca="false">IF($A307="","","S"&amp;INT(($A307-WEEKDAY($A307,2)+11-DATE(YEAR($A307+4-WEEKDAY($A307,2)),1,1))/7))</f>
        <v/>
      </c>
      <c r="I307" s="69" t="str">
        <f aca="false">IF($A307="","",DATE(YEAR($A307),MONTH($A307),1))</f>
        <v/>
      </c>
      <c r="J307" s="68" t="str">
        <f aca="false">IF($A307="","",YEAR($A307+4-WEEKDAY($A307,2)))</f>
        <v/>
      </c>
    </row>
    <row r="308" customFormat="false" ht="15" hidden="false" customHeight="false" outlineLevel="0" collapsed="false">
      <c r="A308" s="33"/>
      <c r="H308" s="68" t="str">
        <f aca="false">IF($A308="","","S"&amp;INT(($A308-WEEKDAY($A308,2)+11-DATE(YEAR($A308+4-WEEKDAY($A308,2)),1,1))/7))</f>
        <v/>
      </c>
      <c r="I308" s="69" t="str">
        <f aca="false">IF($A308="","",DATE(YEAR($A308),MONTH($A308),1))</f>
        <v/>
      </c>
      <c r="J308" s="68" t="str">
        <f aca="false">IF($A308="","",YEAR($A308+4-WEEKDAY($A308,2)))</f>
        <v/>
      </c>
    </row>
    <row r="309" customFormat="false" ht="15" hidden="false" customHeight="false" outlineLevel="0" collapsed="false">
      <c r="A309" s="33"/>
      <c r="H309" s="68" t="str">
        <f aca="false">IF($A309="","","S"&amp;INT(($A309-WEEKDAY($A309,2)+11-DATE(YEAR($A309+4-WEEKDAY($A309,2)),1,1))/7))</f>
        <v/>
      </c>
      <c r="I309" s="69" t="str">
        <f aca="false">IF($A309="","",DATE(YEAR($A309),MONTH($A309),1))</f>
        <v/>
      </c>
      <c r="J309" s="68" t="str">
        <f aca="false">IF($A309="","",YEAR($A309+4-WEEKDAY($A309,2)))</f>
        <v/>
      </c>
    </row>
    <row r="310" customFormat="false" ht="15" hidden="false" customHeight="false" outlineLevel="0" collapsed="false">
      <c r="A310" s="33"/>
      <c r="H310" s="68" t="str">
        <f aca="false">IF($A310="","","S"&amp;INT(($A310-WEEKDAY($A310,2)+11-DATE(YEAR($A310+4-WEEKDAY($A310,2)),1,1))/7))</f>
        <v/>
      </c>
      <c r="I310" s="69" t="str">
        <f aca="false">IF($A310="","",DATE(YEAR($A310),MONTH($A310),1))</f>
        <v/>
      </c>
      <c r="J310" s="68" t="str">
        <f aca="false">IF($A310="","",YEAR($A310+4-WEEKDAY($A310,2)))</f>
        <v/>
      </c>
    </row>
    <row r="311" customFormat="false" ht="15" hidden="false" customHeight="false" outlineLevel="0" collapsed="false">
      <c r="A311" s="33"/>
      <c r="H311" s="68" t="str">
        <f aca="false">IF($A311="","","S"&amp;INT(($A311-WEEKDAY($A311,2)+11-DATE(YEAR($A311+4-WEEKDAY($A311,2)),1,1))/7))</f>
        <v/>
      </c>
      <c r="I311" s="69" t="str">
        <f aca="false">IF($A311="","",DATE(YEAR($A311),MONTH($A311),1))</f>
        <v/>
      </c>
      <c r="J311" s="68" t="str">
        <f aca="false">IF($A311="","",YEAR($A311+4-WEEKDAY($A311,2)))</f>
        <v/>
      </c>
    </row>
    <row r="312" customFormat="false" ht="15" hidden="false" customHeight="false" outlineLevel="0" collapsed="false">
      <c r="A312" s="33"/>
      <c r="H312" s="68" t="str">
        <f aca="false">IF($A312="","","S"&amp;INT(($A312-WEEKDAY($A312,2)+11-DATE(YEAR($A312+4-WEEKDAY($A312,2)),1,1))/7))</f>
        <v/>
      </c>
      <c r="I312" s="69" t="str">
        <f aca="false">IF($A312="","",DATE(YEAR($A312),MONTH($A312),1))</f>
        <v/>
      </c>
      <c r="J312" s="68" t="str">
        <f aca="false">IF($A312="","",YEAR($A312+4-WEEKDAY($A312,2)))</f>
        <v/>
      </c>
    </row>
    <row r="313" customFormat="false" ht="15" hidden="false" customHeight="false" outlineLevel="0" collapsed="false">
      <c r="A313" s="33"/>
      <c r="H313" s="68" t="str">
        <f aca="false">IF($A313="","","S"&amp;INT(($A313-WEEKDAY($A313,2)+11-DATE(YEAR($A313+4-WEEKDAY($A313,2)),1,1))/7))</f>
        <v/>
      </c>
      <c r="I313" s="69" t="str">
        <f aca="false">IF($A313="","",DATE(YEAR($A313),MONTH($A313),1))</f>
        <v/>
      </c>
      <c r="J313" s="68" t="str">
        <f aca="false">IF($A313="","",YEAR($A313+4-WEEKDAY($A313,2)))</f>
        <v/>
      </c>
    </row>
    <row r="314" customFormat="false" ht="15" hidden="false" customHeight="false" outlineLevel="0" collapsed="false">
      <c r="A314" s="33"/>
      <c r="H314" s="68" t="str">
        <f aca="false">IF($A314="","","S"&amp;INT(($A314-WEEKDAY($A314,2)+11-DATE(YEAR($A314+4-WEEKDAY($A314,2)),1,1))/7))</f>
        <v/>
      </c>
      <c r="I314" s="69" t="str">
        <f aca="false">IF($A314="","",DATE(YEAR($A314),MONTH($A314),1))</f>
        <v/>
      </c>
      <c r="J314" s="68" t="str">
        <f aca="false">IF($A314="","",YEAR($A314+4-WEEKDAY($A314,2)))</f>
        <v/>
      </c>
    </row>
    <row r="315" customFormat="false" ht="15" hidden="false" customHeight="false" outlineLevel="0" collapsed="false">
      <c r="A315" s="33"/>
      <c r="H315" s="68" t="str">
        <f aca="false">IF($A315="","","S"&amp;INT(($A315-WEEKDAY($A315,2)+11-DATE(YEAR($A315+4-WEEKDAY($A315,2)),1,1))/7))</f>
        <v/>
      </c>
      <c r="I315" s="69" t="str">
        <f aca="false">IF($A315="","",DATE(YEAR($A315),MONTH($A315),1))</f>
        <v/>
      </c>
      <c r="J315" s="68" t="str">
        <f aca="false">IF($A315="","",YEAR($A315+4-WEEKDAY($A315,2)))</f>
        <v/>
      </c>
    </row>
    <row r="316" customFormat="false" ht="15" hidden="false" customHeight="false" outlineLevel="0" collapsed="false">
      <c r="A316" s="33"/>
      <c r="H316" s="68" t="str">
        <f aca="false">IF($A316="","","S"&amp;INT(($A316-WEEKDAY($A316,2)+11-DATE(YEAR($A316+4-WEEKDAY($A316,2)),1,1))/7))</f>
        <v/>
      </c>
      <c r="I316" s="69" t="str">
        <f aca="false">IF($A316="","",DATE(YEAR($A316),MONTH($A316),1))</f>
        <v/>
      </c>
      <c r="J316" s="68" t="str">
        <f aca="false">IF($A316="","",YEAR($A316+4-WEEKDAY($A316,2)))</f>
        <v/>
      </c>
    </row>
    <row r="317" customFormat="false" ht="15" hidden="false" customHeight="false" outlineLevel="0" collapsed="false">
      <c r="A317" s="33"/>
      <c r="H317" s="68" t="str">
        <f aca="false">IF($A317="","","S"&amp;INT(($A317-WEEKDAY($A317,2)+11-DATE(YEAR($A317+4-WEEKDAY($A317,2)),1,1))/7))</f>
        <v/>
      </c>
      <c r="I317" s="69" t="str">
        <f aca="false">IF($A317="","",DATE(YEAR($A317),MONTH($A317),1))</f>
        <v/>
      </c>
      <c r="J317" s="68" t="str">
        <f aca="false">IF($A317="","",YEAR($A317+4-WEEKDAY($A317,2)))</f>
        <v/>
      </c>
    </row>
    <row r="318" customFormat="false" ht="15" hidden="false" customHeight="false" outlineLevel="0" collapsed="false">
      <c r="A318" s="33"/>
      <c r="H318" s="68" t="str">
        <f aca="false">IF($A318="","","S"&amp;INT(($A318-WEEKDAY($A318,2)+11-DATE(YEAR($A318+4-WEEKDAY($A318,2)),1,1))/7))</f>
        <v/>
      </c>
      <c r="I318" s="69" t="str">
        <f aca="false">IF($A318="","",DATE(YEAR($A318),MONTH($A318),1))</f>
        <v/>
      </c>
      <c r="J318" s="68" t="str">
        <f aca="false">IF($A318="","",YEAR($A318+4-WEEKDAY($A318,2)))</f>
        <v/>
      </c>
    </row>
    <row r="319" customFormat="false" ht="15" hidden="false" customHeight="false" outlineLevel="0" collapsed="false">
      <c r="A319" s="33"/>
      <c r="H319" s="68" t="str">
        <f aca="false">IF($A319="","","S"&amp;INT(($A319-WEEKDAY($A319,2)+11-DATE(YEAR($A319+4-WEEKDAY($A319,2)),1,1))/7))</f>
        <v/>
      </c>
      <c r="I319" s="69" t="str">
        <f aca="false">IF($A319="","",DATE(YEAR($A319),MONTH($A319),1))</f>
        <v/>
      </c>
      <c r="J319" s="68" t="str">
        <f aca="false">IF($A319="","",YEAR($A319+4-WEEKDAY($A319,2)))</f>
        <v/>
      </c>
    </row>
    <row r="320" customFormat="false" ht="15" hidden="false" customHeight="false" outlineLevel="0" collapsed="false">
      <c r="A320" s="33"/>
      <c r="H320" s="68" t="str">
        <f aca="false">IF($A320="","","S"&amp;INT(($A320-WEEKDAY($A320,2)+11-DATE(YEAR($A320+4-WEEKDAY($A320,2)),1,1))/7))</f>
        <v/>
      </c>
      <c r="I320" s="69" t="str">
        <f aca="false">IF($A320="","",DATE(YEAR($A320),MONTH($A320),1))</f>
        <v/>
      </c>
      <c r="J320" s="68" t="str">
        <f aca="false">IF($A320="","",YEAR($A320+4-WEEKDAY($A320,2)))</f>
        <v/>
      </c>
    </row>
    <row r="321" customFormat="false" ht="15" hidden="false" customHeight="false" outlineLevel="0" collapsed="false">
      <c r="A321" s="33"/>
      <c r="H321" s="68" t="str">
        <f aca="false">IF($A321="","","S"&amp;INT(($A321-WEEKDAY($A321,2)+11-DATE(YEAR($A321+4-WEEKDAY($A321,2)),1,1))/7))</f>
        <v/>
      </c>
      <c r="I321" s="69" t="str">
        <f aca="false">IF($A321="","",DATE(YEAR($A321),MONTH($A321),1))</f>
        <v/>
      </c>
      <c r="J321" s="68" t="str">
        <f aca="false">IF($A321="","",YEAR($A321+4-WEEKDAY($A321,2)))</f>
        <v/>
      </c>
    </row>
    <row r="322" customFormat="false" ht="15" hidden="false" customHeight="false" outlineLevel="0" collapsed="false">
      <c r="A322" s="33"/>
      <c r="H322" s="68" t="str">
        <f aca="false">IF($A322="","","S"&amp;INT(($A322-WEEKDAY($A322,2)+11-DATE(YEAR($A322+4-WEEKDAY($A322,2)),1,1))/7))</f>
        <v/>
      </c>
      <c r="I322" s="69" t="str">
        <f aca="false">IF($A322="","",DATE(YEAR($A322),MONTH($A322),1))</f>
        <v/>
      </c>
      <c r="J322" s="68" t="str">
        <f aca="false">IF($A322="","",YEAR($A322+4-WEEKDAY($A322,2)))</f>
        <v/>
      </c>
    </row>
    <row r="323" customFormat="false" ht="15" hidden="false" customHeight="false" outlineLevel="0" collapsed="false">
      <c r="A323" s="33"/>
      <c r="H323" s="68" t="str">
        <f aca="false">IF($A323="","","S"&amp;INT(($A323-WEEKDAY($A323,2)+11-DATE(YEAR($A323+4-WEEKDAY($A323,2)),1,1))/7))</f>
        <v/>
      </c>
      <c r="I323" s="69" t="str">
        <f aca="false">IF($A323="","",DATE(YEAR($A323),MONTH($A323),1))</f>
        <v/>
      </c>
      <c r="J323" s="68" t="str">
        <f aca="false">IF($A323="","",YEAR($A323+4-WEEKDAY($A323,2)))</f>
        <v/>
      </c>
    </row>
    <row r="324" customFormat="false" ht="15" hidden="false" customHeight="false" outlineLevel="0" collapsed="false">
      <c r="A324" s="33"/>
      <c r="H324" s="68" t="str">
        <f aca="false">IF($A324="","","S"&amp;INT(($A324-WEEKDAY($A324,2)+11-DATE(YEAR($A324+4-WEEKDAY($A324,2)),1,1))/7))</f>
        <v/>
      </c>
      <c r="I324" s="69" t="str">
        <f aca="false">IF($A324="","",DATE(YEAR($A324),MONTH($A324),1))</f>
        <v/>
      </c>
      <c r="J324" s="68" t="str">
        <f aca="false">IF($A324="","",YEAR($A324+4-WEEKDAY($A324,2)))</f>
        <v/>
      </c>
    </row>
    <row r="325" customFormat="false" ht="15" hidden="false" customHeight="false" outlineLevel="0" collapsed="false">
      <c r="A325" s="33"/>
      <c r="H325" s="68" t="str">
        <f aca="false">IF($A325="","","S"&amp;INT(($A325-WEEKDAY($A325,2)+11-DATE(YEAR($A325+4-WEEKDAY($A325,2)),1,1))/7))</f>
        <v/>
      </c>
      <c r="I325" s="69" t="str">
        <f aca="false">IF($A325="","",DATE(YEAR($A325),MONTH($A325),1))</f>
        <v/>
      </c>
      <c r="J325" s="68" t="str">
        <f aca="false">IF($A325="","",YEAR($A325+4-WEEKDAY($A325,2)))</f>
        <v/>
      </c>
    </row>
    <row r="326" customFormat="false" ht="15" hidden="false" customHeight="false" outlineLevel="0" collapsed="false">
      <c r="A326" s="33"/>
      <c r="H326" s="68" t="str">
        <f aca="false">IF($A326="","","S"&amp;INT(($A326-WEEKDAY($A326,2)+11-DATE(YEAR($A326+4-WEEKDAY($A326,2)),1,1))/7))</f>
        <v/>
      </c>
      <c r="I326" s="69" t="str">
        <f aca="false">IF($A326="","",DATE(YEAR($A326),MONTH($A326),1))</f>
        <v/>
      </c>
      <c r="J326" s="68" t="str">
        <f aca="false">IF($A326="","",YEAR($A326+4-WEEKDAY($A326,2)))</f>
        <v/>
      </c>
    </row>
    <row r="327" customFormat="false" ht="15" hidden="false" customHeight="false" outlineLevel="0" collapsed="false">
      <c r="A327" s="33"/>
      <c r="H327" s="68" t="str">
        <f aca="false">IF($A327="","","S"&amp;INT(($A327-WEEKDAY($A327,2)+11-DATE(YEAR($A327+4-WEEKDAY($A327,2)),1,1))/7))</f>
        <v/>
      </c>
      <c r="I327" s="69" t="str">
        <f aca="false">IF($A327="","",DATE(YEAR($A327),MONTH($A327),1))</f>
        <v/>
      </c>
      <c r="J327" s="68" t="str">
        <f aca="false">IF($A327="","",YEAR($A327+4-WEEKDAY($A327,2)))</f>
        <v/>
      </c>
    </row>
    <row r="328" customFormat="false" ht="15" hidden="false" customHeight="false" outlineLevel="0" collapsed="false">
      <c r="A328" s="33"/>
      <c r="H328" s="68" t="str">
        <f aca="false">IF($A328="","","S"&amp;INT(($A328-WEEKDAY($A328,2)+11-DATE(YEAR($A328+4-WEEKDAY($A328,2)),1,1))/7))</f>
        <v/>
      </c>
      <c r="I328" s="69" t="str">
        <f aca="false">IF($A328="","",DATE(YEAR($A328),MONTH($A328),1))</f>
        <v/>
      </c>
      <c r="J328" s="68" t="str">
        <f aca="false">IF($A328="","",YEAR($A328+4-WEEKDAY($A328,2)))</f>
        <v/>
      </c>
    </row>
    <row r="329" customFormat="false" ht="15" hidden="false" customHeight="false" outlineLevel="0" collapsed="false">
      <c r="A329" s="33"/>
      <c r="H329" s="68" t="str">
        <f aca="false">IF($A329="","","S"&amp;INT(($A329-WEEKDAY($A329,2)+11-DATE(YEAR($A329+4-WEEKDAY($A329,2)),1,1))/7))</f>
        <v/>
      </c>
      <c r="I329" s="69" t="str">
        <f aca="false">IF($A329="","",DATE(YEAR($A329),MONTH($A329),1))</f>
        <v/>
      </c>
      <c r="J329" s="68" t="str">
        <f aca="false">IF($A329="","",YEAR($A329+4-WEEKDAY($A329,2)))</f>
        <v/>
      </c>
    </row>
    <row r="330" customFormat="false" ht="15" hidden="false" customHeight="false" outlineLevel="0" collapsed="false">
      <c r="A330" s="33"/>
      <c r="H330" s="68" t="str">
        <f aca="false">IF($A330="","","S"&amp;INT(($A330-WEEKDAY($A330,2)+11-DATE(YEAR($A330+4-WEEKDAY($A330,2)),1,1))/7))</f>
        <v/>
      </c>
      <c r="I330" s="69" t="str">
        <f aca="false">IF($A330="","",DATE(YEAR($A330),MONTH($A330),1))</f>
        <v/>
      </c>
      <c r="J330" s="68" t="str">
        <f aca="false">IF($A330="","",YEAR($A330+4-WEEKDAY($A330,2)))</f>
        <v/>
      </c>
    </row>
    <row r="331" customFormat="false" ht="15" hidden="false" customHeight="false" outlineLevel="0" collapsed="false">
      <c r="A331" s="33"/>
      <c r="H331" s="68" t="str">
        <f aca="false">IF($A331="","","S"&amp;INT(($A331-WEEKDAY($A331,2)+11-DATE(YEAR($A331+4-WEEKDAY($A331,2)),1,1))/7))</f>
        <v/>
      </c>
      <c r="I331" s="69" t="str">
        <f aca="false">IF($A331="","",DATE(YEAR($A331),MONTH($A331),1))</f>
        <v/>
      </c>
      <c r="J331" s="68" t="str">
        <f aca="false">IF($A331="","",YEAR($A331+4-WEEKDAY($A331,2)))</f>
        <v/>
      </c>
    </row>
    <row r="332" customFormat="false" ht="15" hidden="false" customHeight="false" outlineLevel="0" collapsed="false">
      <c r="A332" s="33"/>
      <c r="H332" s="68" t="str">
        <f aca="false">IF($A332="","","S"&amp;INT(($A332-WEEKDAY($A332,2)+11-DATE(YEAR($A332+4-WEEKDAY($A332,2)),1,1))/7))</f>
        <v/>
      </c>
      <c r="I332" s="69" t="str">
        <f aca="false">IF($A332="","",DATE(YEAR($A332),MONTH($A332),1))</f>
        <v/>
      </c>
      <c r="J332" s="68" t="str">
        <f aca="false">IF($A332="","",YEAR($A332+4-WEEKDAY($A332,2)))</f>
        <v/>
      </c>
    </row>
    <row r="333" customFormat="false" ht="15" hidden="false" customHeight="false" outlineLevel="0" collapsed="false">
      <c r="A333" s="33"/>
      <c r="H333" s="68" t="str">
        <f aca="false">IF($A333="","","S"&amp;INT(($A333-WEEKDAY($A333,2)+11-DATE(YEAR($A333+4-WEEKDAY($A333,2)),1,1))/7))</f>
        <v/>
      </c>
      <c r="I333" s="69" t="str">
        <f aca="false">IF($A333="","",DATE(YEAR($A333),MONTH($A333),1))</f>
        <v/>
      </c>
      <c r="J333" s="68" t="str">
        <f aca="false">IF($A333="","",YEAR($A333+4-WEEKDAY($A333,2)))</f>
        <v/>
      </c>
    </row>
    <row r="334" customFormat="false" ht="15" hidden="false" customHeight="false" outlineLevel="0" collapsed="false">
      <c r="A334" s="33"/>
      <c r="H334" s="68" t="str">
        <f aca="false">IF($A334="","","S"&amp;INT(($A334-WEEKDAY($A334,2)+11-DATE(YEAR($A334+4-WEEKDAY($A334,2)),1,1))/7))</f>
        <v/>
      </c>
      <c r="I334" s="69" t="str">
        <f aca="false">IF($A334="","",DATE(YEAR($A334),MONTH($A334),1))</f>
        <v/>
      </c>
      <c r="J334" s="68" t="str">
        <f aca="false">IF($A334="","",YEAR($A334+4-WEEKDAY($A334,2)))</f>
        <v/>
      </c>
    </row>
    <row r="335" customFormat="false" ht="15" hidden="false" customHeight="false" outlineLevel="0" collapsed="false">
      <c r="A335" s="33"/>
      <c r="H335" s="68" t="str">
        <f aca="false">IF($A335="","","S"&amp;INT(($A335-WEEKDAY($A335,2)+11-DATE(YEAR($A335+4-WEEKDAY($A335,2)),1,1))/7))</f>
        <v/>
      </c>
      <c r="I335" s="69" t="str">
        <f aca="false">IF($A335="","",DATE(YEAR($A335),MONTH($A335),1))</f>
        <v/>
      </c>
      <c r="J335" s="68" t="str">
        <f aca="false">IF($A335="","",YEAR($A335+4-WEEKDAY($A335,2)))</f>
        <v/>
      </c>
    </row>
    <row r="336" customFormat="false" ht="15" hidden="false" customHeight="false" outlineLevel="0" collapsed="false">
      <c r="A336" s="33"/>
      <c r="H336" s="68" t="str">
        <f aca="false">IF($A336="","","S"&amp;INT(($A336-WEEKDAY($A336,2)+11-DATE(YEAR($A336+4-WEEKDAY($A336,2)),1,1))/7))</f>
        <v/>
      </c>
      <c r="I336" s="69" t="str">
        <f aca="false">IF($A336="","",DATE(YEAR($A336),MONTH($A336),1))</f>
        <v/>
      </c>
      <c r="J336" s="68" t="str">
        <f aca="false">IF($A336="","",YEAR($A336+4-WEEKDAY($A336,2)))</f>
        <v/>
      </c>
    </row>
    <row r="337" customFormat="false" ht="15" hidden="false" customHeight="false" outlineLevel="0" collapsed="false">
      <c r="A337" s="33"/>
      <c r="H337" s="68" t="str">
        <f aca="false">IF($A337="","","S"&amp;INT(($A337-WEEKDAY($A337,2)+11-DATE(YEAR($A337+4-WEEKDAY($A337,2)),1,1))/7))</f>
        <v/>
      </c>
      <c r="I337" s="69" t="str">
        <f aca="false">IF($A337="","",DATE(YEAR($A337),MONTH($A337),1))</f>
        <v/>
      </c>
      <c r="J337" s="68" t="str">
        <f aca="false">IF($A337="","",YEAR($A337+4-WEEKDAY($A337,2)))</f>
        <v/>
      </c>
    </row>
    <row r="338" customFormat="false" ht="15" hidden="false" customHeight="false" outlineLevel="0" collapsed="false">
      <c r="A338" s="33"/>
      <c r="H338" s="68" t="str">
        <f aca="false">IF($A338="","","S"&amp;INT(($A338-WEEKDAY($A338,2)+11-DATE(YEAR($A338+4-WEEKDAY($A338,2)),1,1))/7))</f>
        <v/>
      </c>
      <c r="I338" s="69" t="str">
        <f aca="false">IF($A338="","",DATE(YEAR($A338),MONTH($A338),1))</f>
        <v/>
      </c>
      <c r="J338" s="68" t="str">
        <f aca="false">IF($A338="","",YEAR($A338+4-WEEKDAY($A338,2)))</f>
        <v/>
      </c>
    </row>
    <row r="339" customFormat="false" ht="15" hidden="false" customHeight="false" outlineLevel="0" collapsed="false">
      <c r="A339" s="33"/>
      <c r="H339" s="68" t="str">
        <f aca="false">IF($A339="","","S"&amp;INT(($A339-WEEKDAY($A339,2)+11-DATE(YEAR($A339+4-WEEKDAY($A339,2)),1,1))/7))</f>
        <v/>
      </c>
      <c r="I339" s="69" t="str">
        <f aca="false">IF($A339="","",DATE(YEAR($A339),MONTH($A339),1))</f>
        <v/>
      </c>
      <c r="J339" s="68" t="str">
        <f aca="false">IF($A339="","",YEAR($A339+4-WEEKDAY($A339,2)))</f>
        <v/>
      </c>
    </row>
    <row r="340" customFormat="false" ht="15" hidden="false" customHeight="false" outlineLevel="0" collapsed="false">
      <c r="A340" s="33"/>
      <c r="H340" s="68" t="str">
        <f aca="false">IF($A340="","","S"&amp;INT(($A340-WEEKDAY($A340,2)+11-DATE(YEAR($A340+4-WEEKDAY($A340,2)),1,1))/7))</f>
        <v/>
      </c>
      <c r="I340" s="69" t="str">
        <f aca="false">IF($A340="","",DATE(YEAR($A340),MONTH($A340),1))</f>
        <v/>
      </c>
      <c r="J340" s="68" t="str">
        <f aca="false">IF($A340="","",YEAR($A340+4-WEEKDAY($A340,2)))</f>
        <v/>
      </c>
    </row>
    <row r="341" customFormat="false" ht="15" hidden="false" customHeight="false" outlineLevel="0" collapsed="false">
      <c r="A341" s="33"/>
      <c r="H341" s="68" t="str">
        <f aca="false">IF($A341="","","S"&amp;INT(($A341-WEEKDAY($A341,2)+11-DATE(YEAR($A341+4-WEEKDAY($A341,2)),1,1))/7))</f>
        <v/>
      </c>
      <c r="I341" s="69" t="str">
        <f aca="false">IF($A341="","",DATE(YEAR($A341),MONTH($A341),1))</f>
        <v/>
      </c>
      <c r="J341" s="68" t="str">
        <f aca="false">IF($A341="","",YEAR($A341+4-WEEKDAY($A341,2)))</f>
        <v/>
      </c>
    </row>
    <row r="342" customFormat="false" ht="15" hidden="false" customHeight="false" outlineLevel="0" collapsed="false">
      <c r="A342" s="33"/>
      <c r="H342" s="68" t="str">
        <f aca="false">IF($A342="","","S"&amp;INT(($A342-WEEKDAY($A342,2)+11-DATE(YEAR($A342+4-WEEKDAY($A342,2)),1,1))/7))</f>
        <v/>
      </c>
      <c r="I342" s="69" t="str">
        <f aca="false">IF($A342="","",DATE(YEAR($A342),MONTH($A342),1))</f>
        <v/>
      </c>
      <c r="J342" s="68" t="str">
        <f aca="false">IF($A342="","",YEAR($A342+4-WEEKDAY($A342,2)))</f>
        <v/>
      </c>
    </row>
    <row r="343" customFormat="false" ht="15" hidden="false" customHeight="false" outlineLevel="0" collapsed="false">
      <c r="A343" s="33"/>
      <c r="H343" s="68" t="str">
        <f aca="false">IF($A343="","","S"&amp;INT(($A343-WEEKDAY($A343,2)+11-DATE(YEAR($A343+4-WEEKDAY($A343,2)),1,1))/7))</f>
        <v/>
      </c>
      <c r="I343" s="69" t="str">
        <f aca="false">IF($A343="","",DATE(YEAR($A343),MONTH($A343),1))</f>
        <v/>
      </c>
      <c r="J343" s="68" t="str">
        <f aca="false">IF($A343="","",YEAR($A343+4-WEEKDAY($A343,2)))</f>
        <v/>
      </c>
    </row>
    <row r="344" customFormat="false" ht="15" hidden="false" customHeight="false" outlineLevel="0" collapsed="false">
      <c r="A344" s="33"/>
      <c r="H344" s="68" t="str">
        <f aca="false">IF($A344="","","S"&amp;INT(($A344-WEEKDAY($A344,2)+11-DATE(YEAR($A344+4-WEEKDAY($A344,2)),1,1))/7))</f>
        <v/>
      </c>
      <c r="I344" s="69" t="str">
        <f aca="false">IF($A344="","",DATE(YEAR($A344),MONTH($A344),1))</f>
        <v/>
      </c>
      <c r="J344" s="68" t="str">
        <f aca="false">IF($A344="","",YEAR($A344+4-WEEKDAY($A344,2)))</f>
        <v/>
      </c>
    </row>
    <row r="345" customFormat="false" ht="15" hidden="false" customHeight="false" outlineLevel="0" collapsed="false">
      <c r="A345" s="33"/>
      <c r="H345" s="68" t="str">
        <f aca="false">IF($A345="","","S"&amp;INT(($A345-WEEKDAY($A345,2)+11-DATE(YEAR($A345+4-WEEKDAY($A345,2)),1,1))/7))</f>
        <v/>
      </c>
      <c r="I345" s="69" t="str">
        <f aca="false">IF($A345="","",DATE(YEAR($A345),MONTH($A345),1))</f>
        <v/>
      </c>
      <c r="J345" s="68" t="str">
        <f aca="false">IF($A345="","",YEAR($A345+4-WEEKDAY($A345,2)))</f>
        <v/>
      </c>
    </row>
    <row r="346" customFormat="false" ht="15" hidden="false" customHeight="false" outlineLevel="0" collapsed="false">
      <c r="A346" s="33"/>
      <c r="H346" s="68" t="str">
        <f aca="false">IF($A346="","","S"&amp;INT(($A346-WEEKDAY($A346,2)+11-DATE(YEAR($A346+4-WEEKDAY($A346,2)),1,1))/7))</f>
        <v/>
      </c>
      <c r="I346" s="69" t="str">
        <f aca="false">IF($A346="","",DATE(YEAR($A346),MONTH($A346),1))</f>
        <v/>
      </c>
      <c r="J346" s="68" t="str">
        <f aca="false">IF($A346="","",YEAR($A346+4-WEEKDAY($A346,2)))</f>
        <v/>
      </c>
    </row>
    <row r="347" customFormat="false" ht="15" hidden="false" customHeight="false" outlineLevel="0" collapsed="false">
      <c r="A347" s="33"/>
      <c r="H347" s="68" t="str">
        <f aca="false">IF($A347="","","S"&amp;INT(($A347-WEEKDAY($A347,2)+11-DATE(YEAR($A347+4-WEEKDAY($A347,2)),1,1))/7))</f>
        <v/>
      </c>
      <c r="I347" s="69" t="str">
        <f aca="false">IF($A347="","",DATE(YEAR($A347),MONTH($A347),1))</f>
        <v/>
      </c>
      <c r="J347" s="68" t="str">
        <f aca="false">IF($A347="","",YEAR($A347+4-WEEKDAY($A347,2)))</f>
        <v/>
      </c>
    </row>
    <row r="348" customFormat="false" ht="15" hidden="false" customHeight="false" outlineLevel="0" collapsed="false">
      <c r="A348" s="33"/>
      <c r="H348" s="68" t="str">
        <f aca="false">IF($A348="","","S"&amp;INT(($A348-WEEKDAY($A348,2)+11-DATE(YEAR($A348+4-WEEKDAY($A348,2)),1,1))/7))</f>
        <v/>
      </c>
      <c r="I348" s="69" t="str">
        <f aca="false">IF($A348="","",DATE(YEAR($A348),MONTH($A348),1))</f>
        <v/>
      </c>
      <c r="J348" s="68" t="str">
        <f aca="false">IF($A348="","",YEAR($A348+4-WEEKDAY($A348,2)))</f>
        <v/>
      </c>
    </row>
    <row r="349" customFormat="false" ht="15" hidden="false" customHeight="false" outlineLevel="0" collapsed="false">
      <c r="A349" s="33"/>
      <c r="H349" s="68" t="str">
        <f aca="false">IF($A349="","","S"&amp;INT(($A349-WEEKDAY($A349,2)+11-DATE(YEAR($A349+4-WEEKDAY($A349,2)),1,1))/7))</f>
        <v/>
      </c>
      <c r="I349" s="69" t="str">
        <f aca="false">IF($A349="","",DATE(YEAR($A349),MONTH($A349),1))</f>
        <v/>
      </c>
      <c r="J349" s="68" t="str">
        <f aca="false">IF($A349="","",YEAR($A349+4-WEEKDAY($A349,2)))</f>
        <v/>
      </c>
    </row>
    <row r="350" customFormat="false" ht="15" hidden="false" customHeight="false" outlineLevel="0" collapsed="false">
      <c r="A350" s="33"/>
      <c r="H350" s="68" t="str">
        <f aca="false">IF($A350="","","S"&amp;INT(($A350-WEEKDAY($A350,2)+11-DATE(YEAR($A350+4-WEEKDAY($A350,2)),1,1))/7))</f>
        <v/>
      </c>
      <c r="I350" s="69" t="str">
        <f aca="false">IF($A350="","",DATE(YEAR($A350),MONTH($A350),1))</f>
        <v/>
      </c>
      <c r="J350" s="68" t="str">
        <f aca="false">IF($A350="","",YEAR($A350+4-WEEKDAY($A350,2)))</f>
        <v/>
      </c>
    </row>
    <row r="351" customFormat="false" ht="15" hidden="false" customHeight="false" outlineLevel="0" collapsed="false">
      <c r="A351" s="33"/>
      <c r="H351" s="68" t="str">
        <f aca="false">IF($A351="","","S"&amp;INT(($A351-WEEKDAY($A351,2)+11-DATE(YEAR($A351+4-WEEKDAY($A351,2)),1,1))/7))</f>
        <v/>
      </c>
      <c r="I351" s="69" t="str">
        <f aca="false">IF($A351="","",DATE(YEAR($A351),MONTH($A351),1))</f>
        <v/>
      </c>
      <c r="J351" s="68" t="str">
        <f aca="false">IF($A351="","",YEAR($A351+4-WEEKDAY($A351,2)))</f>
        <v/>
      </c>
    </row>
    <row r="352" customFormat="false" ht="15" hidden="false" customHeight="false" outlineLevel="0" collapsed="false">
      <c r="A352" s="33"/>
      <c r="H352" s="68" t="str">
        <f aca="false">IF($A352="","","S"&amp;INT(($A352-WEEKDAY($A352,2)+11-DATE(YEAR($A352+4-WEEKDAY($A352,2)),1,1))/7))</f>
        <v/>
      </c>
      <c r="I352" s="69" t="str">
        <f aca="false">IF($A352="","",DATE(YEAR($A352),MONTH($A352),1))</f>
        <v/>
      </c>
      <c r="J352" s="68" t="str">
        <f aca="false">IF($A352="","",YEAR($A352+4-WEEKDAY($A352,2)))</f>
        <v/>
      </c>
    </row>
    <row r="353" customFormat="false" ht="15" hidden="false" customHeight="false" outlineLevel="0" collapsed="false">
      <c r="A353" s="33"/>
      <c r="H353" s="68" t="str">
        <f aca="false">IF($A353="","","S"&amp;INT(($A353-WEEKDAY($A353,2)+11-DATE(YEAR($A353+4-WEEKDAY($A353,2)),1,1))/7))</f>
        <v/>
      </c>
      <c r="I353" s="69" t="str">
        <f aca="false">IF($A353="","",DATE(YEAR($A353),MONTH($A353),1))</f>
        <v/>
      </c>
      <c r="J353" s="68" t="str">
        <f aca="false">IF($A353="","",YEAR($A353+4-WEEKDAY($A353,2)))</f>
        <v/>
      </c>
    </row>
    <row r="354" customFormat="false" ht="15" hidden="false" customHeight="false" outlineLevel="0" collapsed="false">
      <c r="A354" s="33"/>
      <c r="H354" s="68" t="str">
        <f aca="false">IF($A354="","","S"&amp;INT(($A354-WEEKDAY($A354,2)+11-DATE(YEAR($A354+4-WEEKDAY($A354,2)),1,1))/7))</f>
        <v/>
      </c>
      <c r="I354" s="69" t="str">
        <f aca="false">IF($A354="","",DATE(YEAR($A354),MONTH($A354),1))</f>
        <v/>
      </c>
      <c r="J354" s="68" t="str">
        <f aca="false">IF($A354="","",YEAR($A354+4-WEEKDAY($A354,2)))</f>
        <v/>
      </c>
    </row>
    <row r="355" customFormat="false" ht="15" hidden="false" customHeight="false" outlineLevel="0" collapsed="false">
      <c r="A355" s="33"/>
      <c r="H355" s="68" t="str">
        <f aca="false">IF($A355="","","S"&amp;INT(($A355-WEEKDAY($A355,2)+11-DATE(YEAR($A355+4-WEEKDAY($A355,2)),1,1))/7))</f>
        <v/>
      </c>
      <c r="I355" s="69" t="str">
        <f aca="false">IF($A355="","",DATE(YEAR($A355),MONTH($A355),1))</f>
        <v/>
      </c>
      <c r="J355" s="68" t="str">
        <f aca="false">IF($A355="","",YEAR($A355+4-WEEKDAY($A355,2)))</f>
        <v/>
      </c>
    </row>
    <row r="356" customFormat="false" ht="15" hidden="false" customHeight="false" outlineLevel="0" collapsed="false">
      <c r="A356" s="33"/>
      <c r="H356" s="68" t="str">
        <f aca="false">IF($A356="","","S"&amp;INT(($A356-WEEKDAY($A356,2)+11-DATE(YEAR($A356+4-WEEKDAY($A356,2)),1,1))/7))</f>
        <v/>
      </c>
      <c r="I356" s="69" t="str">
        <f aca="false">IF($A356="","",DATE(YEAR($A356),MONTH($A356),1))</f>
        <v/>
      </c>
      <c r="J356" s="68" t="str">
        <f aca="false">IF($A356="","",YEAR($A356+4-WEEKDAY($A356,2)))</f>
        <v/>
      </c>
    </row>
    <row r="357" customFormat="false" ht="15" hidden="false" customHeight="false" outlineLevel="0" collapsed="false">
      <c r="A357" s="33"/>
      <c r="H357" s="68" t="str">
        <f aca="false">IF($A357="","","S"&amp;INT(($A357-WEEKDAY($A357,2)+11-DATE(YEAR($A357+4-WEEKDAY($A357,2)),1,1))/7))</f>
        <v/>
      </c>
      <c r="I357" s="69" t="str">
        <f aca="false">IF($A357="","",DATE(YEAR($A357),MONTH($A357),1))</f>
        <v/>
      </c>
      <c r="J357" s="68" t="str">
        <f aca="false">IF($A357="","",YEAR($A357+4-WEEKDAY($A357,2)))</f>
        <v/>
      </c>
    </row>
    <row r="358" customFormat="false" ht="15" hidden="false" customHeight="false" outlineLevel="0" collapsed="false">
      <c r="A358" s="33"/>
      <c r="H358" s="68" t="str">
        <f aca="false">IF($A358="","","S"&amp;INT(($A358-WEEKDAY($A358,2)+11-DATE(YEAR($A358+4-WEEKDAY($A358,2)),1,1))/7))</f>
        <v/>
      </c>
      <c r="I358" s="69" t="str">
        <f aca="false">IF($A358="","",DATE(YEAR($A358),MONTH($A358),1))</f>
        <v/>
      </c>
      <c r="J358" s="68" t="str">
        <f aca="false">IF($A358="","",YEAR($A358+4-WEEKDAY($A358,2)))</f>
        <v/>
      </c>
    </row>
    <row r="359" customFormat="false" ht="15" hidden="false" customHeight="false" outlineLevel="0" collapsed="false">
      <c r="A359" s="33"/>
      <c r="H359" s="68" t="str">
        <f aca="false">IF($A359="","","S"&amp;INT(($A359-WEEKDAY($A359,2)+11-DATE(YEAR($A359+4-WEEKDAY($A359,2)),1,1))/7))</f>
        <v/>
      </c>
      <c r="I359" s="69" t="str">
        <f aca="false">IF($A359="","",DATE(YEAR($A359),MONTH($A359),1))</f>
        <v/>
      </c>
      <c r="J359" s="68" t="str">
        <f aca="false">IF($A359="","",YEAR($A359+4-WEEKDAY($A359,2)))</f>
        <v/>
      </c>
    </row>
    <row r="360" customFormat="false" ht="15" hidden="false" customHeight="false" outlineLevel="0" collapsed="false">
      <c r="A360" s="33"/>
      <c r="H360" s="68" t="str">
        <f aca="false">IF($A360="","","S"&amp;INT(($A360-WEEKDAY($A360,2)+11-DATE(YEAR($A360+4-WEEKDAY($A360,2)),1,1))/7))</f>
        <v/>
      </c>
      <c r="I360" s="69" t="str">
        <f aca="false">IF($A360="","",DATE(YEAR($A360),MONTH($A360),1))</f>
        <v/>
      </c>
      <c r="J360" s="68" t="str">
        <f aca="false">IF($A360="","",YEAR($A360+4-WEEKDAY($A360,2)))</f>
        <v/>
      </c>
    </row>
    <row r="361" customFormat="false" ht="15" hidden="false" customHeight="false" outlineLevel="0" collapsed="false">
      <c r="A361" s="33"/>
      <c r="H361" s="68" t="str">
        <f aca="false">IF($A361="","","S"&amp;INT(($A361-WEEKDAY($A361,2)+11-DATE(YEAR($A361+4-WEEKDAY($A361,2)),1,1))/7))</f>
        <v/>
      </c>
      <c r="I361" s="69" t="str">
        <f aca="false">IF($A361="","",DATE(YEAR($A361),MONTH($A361),1))</f>
        <v/>
      </c>
      <c r="J361" s="68" t="str">
        <f aca="false">IF($A361="","",YEAR($A361+4-WEEKDAY($A361,2)))</f>
        <v/>
      </c>
    </row>
    <row r="362" customFormat="false" ht="15" hidden="false" customHeight="false" outlineLevel="0" collapsed="false">
      <c r="A362" s="33"/>
      <c r="H362" s="68" t="str">
        <f aca="false">IF($A362="","","S"&amp;INT(($A362-WEEKDAY($A362,2)+11-DATE(YEAR($A362+4-WEEKDAY($A362,2)),1,1))/7))</f>
        <v/>
      </c>
      <c r="I362" s="69" t="str">
        <f aca="false">IF($A362="","",DATE(YEAR($A362),MONTH($A362),1))</f>
        <v/>
      </c>
      <c r="J362" s="68" t="str">
        <f aca="false">IF($A362="","",YEAR($A362+4-WEEKDAY($A362,2)))</f>
        <v/>
      </c>
    </row>
    <row r="363" customFormat="false" ht="15" hidden="false" customHeight="false" outlineLevel="0" collapsed="false">
      <c r="A363" s="33"/>
      <c r="H363" s="68" t="str">
        <f aca="false">IF($A363="","","S"&amp;INT(($A363-WEEKDAY($A363,2)+11-DATE(YEAR($A363+4-WEEKDAY($A363,2)),1,1))/7))</f>
        <v/>
      </c>
      <c r="I363" s="69" t="str">
        <f aca="false">IF($A363="","",DATE(YEAR($A363),MONTH($A363),1))</f>
        <v/>
      </c>
      <c r="J363" s="68" t="str">
        <f aca="false">IF($A363="","",YEAR($A363+4-WEEKDAY($A363,2)))</f>
        <v/>
      </c>
    </row>
    <row r="364" customFormat="false" ht="15" hidden="false" customHeight="false" outlineLevel="0" collapsed="false">
      <c r="A364" s="33"/>
      <c r="H364" s="68" t="str">
        <f aca="false">IF($A364="","","S"&amp;INT(($A364-WEEKDAY($A364,2)+11-DATE(YEAR($A364+4-WEEKDAY($A364,2)),1,1))/7))</f>
        <v/>
      </c>
      <c r="I364" s="69" t="str">
        <f aca="false">IF($A364="","",DATE(YEAR($A364),MONTH($A364),1))</f>
        <v/>
      </c>
      <c r="J364" s="68" t="str">
        <f aca="false">IF($A364="","",YEAR($A364+4-WEEKDAY($A364,2)))</f>
        <v/>
      </c>
    </row>
    <row r="365" customFormat="false" ht="15" hidden="false" customHeight="false" outlineLevel="0" collapsed="false">
      <c r="A365" s="33"/>
      <c r="H365" s="68" t="str">
        <f aca="false">IF($A365="","","S"&amp;INT(($A365-WEEKDAY($A365,2)+11-DATE(YEAR($A365+4-WEEKDAY($A365,2)),1,1))/7))</f>
        <v/>
      </c>
      <c r="I365" s="69" t="str">
        <f aca="false">IF($A365="","",DATE(YEAR($A365),MONTH($A365),1))</f>
        <v/>
      </c>
      <c r="J365" s="68" t="str">
        <f aca="false">IF($A365="","",YEAR($A365+4-WEEKDAY($A365,2)))</f>
        <v/>
      </c>
    </row>
    <row r="366" customFormat="false" ht="15" hidden="false" customHeight="false" outlineLevel="0" collapsed="false">
      <c r="A366" s="33"/>
      <c r="H366" s="68" t="str">
        <f aca="false">IF($A366="","","S"&amp;INT(($A366-WEEKDAY($A366,2)+11-DATE(YEAR($A366+4-WEEKDAY($A366,2)),1,1))/7))</f>
        <v/>
      </c>
      <c r="I366" s="69" t="str">
        <f aca="false">IF($A366="","",DATE(YEAR($A366),MONTH($A366),1))</f>
        <v/>
      </c>
      <c r="J366" s="68" t="str">
        <f aca="false">IF($A366="","",YEAR($A366+4-WEEKDAY($A366,2)))</f>
        <v/>
      </c>
    </row>
    <row r="367" customFormat="false" ht="15" hidden="false" customHeight="false" outlineLevel="0" collapsed="false">
      <c r="A367" s="33"/>
      <c r="H367" s="68" t="str">
        <f aca="false">IF($A367="","","S"&amp;INT(($A367-WEEKDAY($A367,2)+11-DATE(YEAR($A367+4-WEEKDAY($A367,2)),1,1))/7))</f>
        <v/>
      </c>
      <c r="I367" s="69" t="str">
        <f aca="false">IF($A367="","",DATE(YEAR($A367),MONTH($A367),1))</f>
        <v/>
      </c>
      <c r="J367" s="68" t="str">
        <f aca="false">IF($A367="","",YEAR($A367+4-WEEKDAY($A367,2)))</f>
        <v/>
      </c>
    </row>
    <row r="368" customFormat="false" ht="15" hidden="false" customHeight="false" outlineLevel="0" collapsed="false">
      <c r="A368" s="33"/>
      <c r="H368" s="68" t="str">
        <f aca="false">IF($A368="","","S"&amp;INT(($A368-WEEKDAY($A368,2)+11-DATE(YEAR($A368+4-WEEKDAY($A368,2)),1,1))/7))</f>
        <v/>
      </c>
      <c r="I368" s="69" t="str">
        <f aca="false">IF($A368="","",DATE(YEAR($A368),MONTH($A368),1))</f>
        <v/>
      </c>
      <c r="J368" s="68" t="str">
        <f aca="false">IF($A368="","",YEAR($A368+4-WEEKDAY($A368,2)))</f>
        <v/>
      </c>
    </row>
    <row r="369" customFormat="false" ht="15" hidden="false" customHeight="false" outlineLevel="0" collapsed="false">
      <c r="A369" s="33"/>
      <c r="H369" s="68" t="str">
        <f aca="false">IF($A369="","","S"&amp;INT(($A369-WEEKDAY($A369,2)+11-DATE(YEAR($A369+4-WEEKDAY($A369,2)),1,1))/7))</f>
        <v/>
      </c>
      <c r="I369" s="69" t="str">
        <f aca="false">IF($A369="","",DATE(YEAR($A369),MONTH($A369),1))</f>
        <v/>
      </c>
      <c r="J369" s="68" t="str">
        <f aca="false">IF($A369="","",YEAR($A369+4-WEEKDAY($A369,2)))</f>
        <v/>
      </c>
    </row>
    <row r="370" customFormat="false" ht="15" hidden="false" customHeight="false" outlineLevel="0" collapsed="false">
      <c r="A370" s="33"/>
      <c r="H370" s="68" t="str">
        <f aca="false">IF($A370="","","S"&amp;INT(($A370-WEEKDAY($A370,2)+11-DATE(YEAR($A370+4-WEEKDAY($A370,2)),1,1))/7))</f>
        <v/>
      </c>
      <c r="I370" s="69" t="str">
        <f aca="false">IF($A370="","",DATE(YEAR($A370),MONTH($A370),1))</f>
        <v/>
      </c>
      <c r="J370" s="68" t="str">
        <f aca="false">IF($A370="","",YEAR($A370+4-WEEKDAY($A370,2)))</f>
        <v/>
      </c>
    </row>
    <row r="371" customFormat="false" ht="15" hidden="false" customHeight="false" outlineLevel="0" collapsed="false">
      <c r="A371" s="33"/>
      <c r="H371" s="68" t="str">
        <f aca="false">IF($A371="","","S"&amp;INT(($A371-WEEKDAY($A371,2)+11-DATE(YEAR($A371+4-WEEKDAY($A371,2)),1,1))/7))</f>
        <v/>
      </c>
      <c r="I371" s="69" t="str">
        <f aca="false">IF($A371="","",DATE(YEAR($A371),MONTH($A371),1))</f>
        <v/>
      </c>
      <c r="J371" s="68" t="str">
        <f aca="false">IF($A371="","",YEAR($A371+4-WEEKDAY($A371,2)))</f>
        <v/>
      </c>
    </row>
    <row r="372" customFormat="false" ht="15" hidden="false" customHeight="false" outlineLevel="0" collapsed="false">
      <c r="A372" s="33"/>
      <c r="H372" s="68" t="str">
        <f aca="false">IF($A372="","","S"&amp;INT(($A372-WEEKDAY($A372,2)+11-DATE(YEAR($A372+4-WEEKDAY($A372,2)),1,1))/7))</f>
        <v/>
      </c>
      <c r="I372" s="69" t="str">
        <f aca="false">IF($A372="","",DATE(YEAR($A372),MONTH($A372),1))</f>
        <v/>
      </c>
      <c r="J372" s="68" t="str">
        <f aca="false">IF($A372="","",YEAR($A372+4-WEEKDAY($A372,2)))</f>
        <v/>
      </c>
    </row>
    <row r="373" customFormat="false" ht="15" hidden="false" customHeight="false" outlineLevel="0" collapsed="false">
      <c r="A373" s="33"/>
      <c r="H373" s="68" t="str">
        <f aca="false">IF($A373="","","S"&amp;INT(($A373-WEEKDAY($A373,2)+11-DATE(YEAR($A373+4-WEEKDAY($A373,2)),1,1))/7))</f>
        <v/>
      </c>
      <c r="I373" s="69" t="str">
        <f aca="false">IF($A373="","",DATE(YEAR($A373),MONTH($A373),1))</f>
        <v/>
      </c>
      <c r="J373" s="68" t="str">
        <f aca="false">IF($A373="","",YEAR($A373+4-WEEKDAY($A373,2)))</f>
        <v/>
      </c>
    </row>
    <row r="374" customFormat="false" ht="15" hidden="false" customHeight="false" outlineLevel="0" collapsed="false">
      <c r="A374" s="33"/>
      <c r="H374" s="68" t="str">
        <f aca="false">IF($A374="","","S"&amp;INT(($A374-WEEKDAY($A374,2)+11-DATE(YEAR($A374+4-WEEKDAY($A374,2)),1,1))/7))</f>
        <v/>
      </c>
      <c r="I374" s="69" t="str">
        <f aca="false">IF($A374="","",DATE(YEAR($A374),MONTH($A374),1))</f>
        <v/>
      </c>
      <c r="J374" s="68" t="str">
        <f aca="false">IF($A374="","",YEAR($A374+4-WEEKDAY($A374,2)))</f>
        <v/>
      </c>
    </row>
    <row r="375" customFormat="false" ht="15" hidden="false" customHeight="false" outlineLevel="0" collapsed="false">
      <c r="A375" s="33"/>
      <c r="H375" s="68" t="str">
        <f aca="false">IF($A375="","","S"&amp;INT(($A375-WEEKDAY($A375,2)+11-DATE(YEAR($A375+4-WEEKDAY($A375,2)),1,1))/7))</f>
        <v/>
      </c>
      <c r="I375" s="69" t="str">
        <f aca="false">IF($A375="","",DATE(YEAR($A375),MONTH($A375),1))</f>
        <v/>
      </c>
      <c r="J375" s="68" t="str">
        <f aca="false">IF($A375="","",YEAR($A375+4-WEEKDAY($A375,2)))</f>
        <v/>
      </c>
    </row>
    <row r="376" customFormat="false" ht="15" hidden="false" customHeight="false" outlineLevel="0" collapsed="false">
      <c r="A376" s="33"/>
      <c r="H376" s="68" t="str">
        <f aca="false">IF($A376="","","S"&amp;INT(($A376-WEEKDAY($A376,2)+11-DATE(YEAR($A376+4-WEEKDAY($A376,2)),1,1))/7))</f>
        <v/>
      </c>
      <c r="I376" s="69" t="str">
        <f aca="false">IF($A376="","",DATE(YEAR($A376),MONTH($A376),1))</f>
        <v/>
      </c>
      <c r="J376" s="68" t="str">
        <f aca="false">IF($A376="","",YEAR($A376+4-WEEKDAY($A376,2)))</f>
        <v/>
      </c>
    </row>
    <row r="377" customFormat="false" ht="15" hidden="false" customHeight="false" outlineLevel="0" collapsed="false">
      <c r="A377" s="33"/>
      <c r="H377" s="68" t="str">
        <f aca="false">IF($A377="","","S"&amp;INT(($A377-WEEKDAY($A377,2)+11-DATE(YEAR($A377+4-WEEKDAY($A377,2)),1,1))/7))</f>
        <v/>
      </c>
      <c r="I377" s="69" t="str">
        <f aca="false">IF($A377="","",DATE(YEAR($A377),MONTH($A377),1))</f>
        <v/>
      </c>
      <c r="J377" s="68" t="str">
        <f aca="false">IF($A377="","",YEAR($A377+4-WEEKDAY($A377,2)))</f>
        <v/>
      </c>
    </row>
    <row r="378" customFormat="false" ht="15" hidden="false" customHeight="false" outlineLevel="0" collapsed="false">
      <c r="A378" s="33"/>
      <c r="H378" s="68" t="str">
        <f aca="false">IF($A378="","","S"&amp;INT(($A378-WEEKDAY($A378,2)+11-DATE(YEAR($A378+4-WEEKDAY($A378,2)),1,1))/7))</f>
        <v/>
      </c>
      <c r="I378" s="69" t="str">
        <f aca="false">IF($A378="","",DATE(YEAR($A378),MONTH($A378),1))</f>
        <v/>
      </c>
      <c r="J378" s="68" t="str">
        <f aca="false">IF($A378="","",YEAR($A378+4-WEEKDAY($A378,2)))</f>
        <v/>
      </c>
    </row>
    <row r="379" customFormat="false" ht="15" hidden="false" customHeight="false" outlineLevel="0" collapsed="false">
      <c r="A379" s="33"/>
      <c r="H379" s="68" t="str">
        <f aca="false">IF($A379="","","S"&amp;INT(($A379-WEEKDAY($A379,2)+11-DATE(YEAR($A379+4-WEEKDAY($A379,2)),1,1))/7))</f>
        <v/>
      </c>
      <c r="I379" s="69" t="str">
        <f aca="false">IF($A379="","",DATE(YEAR($A379),MONTH($A379),1))</f>
        <v/>
      </c>
      <c r="J379" s="68" t="str">
        <f aca="false">IF($A379="","",YEAR($A379+4-WEEKDAY($A379,2)))</f>
        <v/>
      </c>
    </row>
    <row r="380" customFormat="false" ht="15" hidden="false" customHeight="false" outlineLevel="0" collapsed="false">
      <c r="A380" s="33"/>
      <c r="H380" s="68" t="str">
        <f aca="false">IF($A380="","","S"&amp;INT(($A380-WEEKDAY($A380,2)+11-DATE(YEAR($A380+4-WEEKDAY($A380,2)),1,1))/7))</f>
        <v/>
      </c>
      <c r="I380" s="69" t="str">
        <f aca="false">IF($A380="","",DATE(YEAR($A380),MONTH($A380),1))</f>
        <v/>
      </c>
      <c r="J380" s="68" t="str">
        <f aca="false">IF($A380="","",YEAR($A380+4-WEEKDAY($A380,2)))</f>
        <v/>
      </c>
    </row>
    <row r="381" customFormat="false" ht="15" hidden="false" customHeight="false" outlineLevel="0" collapsed="false">
      <c r="A381" s="33"/>
      <c r="H381" s="68" t="str">
        <f aca="false">IF($A381="","","S"&amp;INT(($A381-WEEKDAY($A381,2)+11-DATE(YEAR($A381+4-WEEKDAY($A381,2)),1,1))/7))</f>
        <v/>
      </c>
      <c r="I381" s="69" t="str">
        <f aca="false">IF($A381="","",DATE(YEAR($A381),MONTH($A381),1))</f>
        <v/>
      </c>
      <c r="J381" s="68" t="str">
        <f aca="false">IF($A381="","",YEAR($A381+4-WEEKDAY($A381,2)))</f>
        <v/>
      </c>
    </row>
    <row r="382" customFormat="false" ht="15" hidden="false" customHeight="false" outlineLevel="0" collapsed="false">
      <c r="A382" s="33"/>
      <c r="H382" s="68" t="str">
        <f aca="false">IF($A382="","","S"&amp;INT(($A382-WEEKDAY($A382,2)+11-DATE(YEAR($A382+4-WEEKDAY($A382,2)),1,1))/7))</f>
        <v/>
      </c>
      <c r="I382" s="69" t="str">
        <f aca="false">IF($A382="","",DATE(YEAR($A382),MONTH($A382),1))</f>
        <v/>
      </c>
      <c r="J382" s="68" t="str">
        <f aca="false">IF($A382="","",YEAR($A382+4-WEEKDAY($A382,2)))</f>
        <v/>
      </c>
    </row>
    <row r="383" customFormat="false" ht="15" hidden="false" customHeight="false" outlineLevel="0" collapsed="false">
      <c r="A383" s="33"/>
      <c r="H383" s="68" t="str">
        <f aca="false">IF($A383="","","S"&amp;INT(($A383-WEEKDAY($A383,2)+11-DATE(YEAR($A383+4-WEEKDAY($A383,2)),1,1))/7))</f>
        <v/>
      </c>
      <c r="I383" s="69" t="str">
        <f aca="false">IF($A383="","",DATE(YEAR($A383),MONTH($A383),1))</f>
        <v/>
      </c>
      <c r="J383" s="68" t="str">
        <f aca="false">IF($A383="","",YEAR($A383+4-WEEKDAY($A383,2)))</f>
        <v/>
      </c>
    </row>
    <row r="384" customFormat="false" ht="15" hidden="false" customHeight="false" outlineLevel="0" collapsed="false">
      <c r="A384" s="33"/>
      <c r="H384" s="68" t="str">
        <f aca="false">IF($A384="","","S"&amp;INT(($A384-WEEKDAY($A384,2)+11-DATE(YEAR($A384+4-WEEKDAY($A384,2)),1,1))/7))</f>
        <v/>
      </c>
      <c r="I384" s="69" t="str">
        <f aca="false">IF($A384="","",DATE(YEAR($A384),MONTH($A384),1))</f>
        <v/>
      </c>
      <c r="J384" s="68" t="str">
        <f aca="false">IF($A384="","",YEAR($A384+4-WEEKDAY($A384,2)))</f>
        <v/>
      </c>
    </row>
    <row r="385" customFormat="false" ht="15" hidden="false" customHeight="false" outlineLevel="0" collapsed="false">
      <c r="A385" s="33"/>
      <c r="H385" s="68" t="str">
        <f aca="false">IF($A385="","","S"&amp;INT(($A385-WEEKDAY($A385,2)+11-DATE(YEAR($A385+4-WEEKDAY($A385,2)),1,1))/7))</f>
        <v/>
      </c>
      <c r="I385" s="69" t="str">
        <f aca="false">IF($A385="","",DATE(YEAR($A385),MONTH($A385),1))</f>
        <v/>
      </c>
      <c r="J385" s="68" t="str">
        <f aca="false">IF($A385="","",YEAR($A385+4-WEEKDAY($A385,2)))</f>
        <v/>
      </c>
    </row>
    <row r="386" customFormat="false" ht="15" hidden="false" customHeight="false" outlineLevel="0" collapsed="false">
      <c r="A386" s="33"/>
      <c r="H386" s="68" t="str">
        <f aca="false">IF($A386="","","S"&amp;INT(($A386-WEEKDAY($A386,2)+11-DATE(YEAR($A386+4-WEEKDAY($A386,2)),1,1))/7))</f>
        <v/>
      </c>
      <c r="I386" s="69" t="str">
        <f aca="false">IF($A386="","",DATE(YEAR($A386),MONTH($A386),1))</f>
        <v/>
      </c>
      <c r="J386" s="68" t="str">
        <f aca="false">IF($A386="","",YEAR($A386+4-WEEKDAY($A386,2)))</f>
        <v/>
      </c>
    </row>
    <row r="387" customFormat="false" ht="15" hidden="false" customHeight="false" outlineLevel="0" collapsed="false">
      <c r="A387" s="33"/>
      <c r="H387" s="68" t="str">
        <f aca="false">IF($A387="","","S"&amp;INT(($A387-WEEKDAY($A387,2)+11-DATE(YEAR($A387+4-WEEKDAY($A387,2)),1,1))/7))</f>
        <v/>
      </c>
      <c r="I387" s="69" t="str">
        <f aca="false">IF($A387="","",DATE(YEAR($A387),MONTH($A387),1))</f>
        <v/>
      </c>
      <c r="J387" s="68" t="str">
        <f aca="false">IF($A387="","",YEAR($A387+4-WEEKDAY($A387,2)))</f>
        <v/>
      </c>
    </row>
    <row r="388" customFormat="false" ht="15" hidden="false" customHeight="false" outlineLevel="0" collapsed="false">
      <c r="A388" s="33"/>
      <c r="H388" s="68" t="str">
        <f aca="false">IF($A388="","","S"&amp;INT(($A388-WEEKDAY($A388,2)+11-DATE(YEAR($A388+4-WEEKDAY($A388,2)),1,1))/7))</f>
        <v/>
      </c>
      <c r="I388" s="69" t="str">
        <f aca="false">IF($A388="","",DATE(YEAR($A388),MONTH($A388),1))</f>
        <v/>
      </c>
      <c r="J388" s="68" t="str">
        <f aca="false">IF($A388="","",YEAR($A388+4-WEEKDAY($A388,2)))</f>
        <v/>
      </c>
    </row>
    <row r="389" customFormat="false" ht="15" hidden="false" customHeight="false" outlineLevel="0" collapsed="false">
      <c r="A389" s="33"/>
      <c r="H389" s="68" t="str">
        <f aca="false">IF($A389="","","S"&amp;INT(($A389-WEEKDAY($A389,2)+11-DATE(YEAR($A389+4-WEEKDAY($A389,2)),1,1))/7))</f>
        <v/>
      </c>
      <c r="I389" s="69" t="str">
        <f aca="false">IF($A389="","",DATE(YEAR($A389),MONTH($A389),1))</f>
        <v/>
      </c>
      <c r="J389" s="68" t="str">
        <f aca="false">IF($A389="","",YEAR($A389+4-WEEKDAY($A389,2)))</f>
        <v/>
      </c>
    </row>
    <row r="390" customFormat="false" ht="15" hidden="false" customHeight="false" outlineLevel="0" collapsed="false">
      <c r="A390" s="33"/>
      <c r="H390" s="68" t="str">
        <f aca="false">IF($A390="","","S"&amp;INT(($A390-WEEKDAY($A390,2)+11-DATE(YEAR($A390+4-WEEKDAY($A390,2)),1,1))/7))</f>
        <v/>
      </c>
      <c r="I390" s="69" t="str">
        <f aca="false">IF($A390="","",DATE(YEAR($A390),MONTH($A390),1))</f>
        <v/>
      </c>
      <c r="J390" s="68" t="str">
        <f aca="false">IF($A390="","",YEAR($A390+4-WEEKDAY($A390,2)))</f>
        <v/>
      </c>
    </row>
    <row r="391" customFormat="false" ht="15" hidden="false" customHeight="false" outlineLevel="0" collapsed="false">
      <c r="A391" s="33"/>
      <c r="H391" s="68" t="str">
        <f aca="false">IF($A391="","","S"&amp;INT(($A391-WEEKDAY($A391,2)+11-DATE(YEAR($A391+4-WEEKDAY($A391,2)),1,1))/7))</f>
        <v/>
      </c>
      <c r="I391" s="69" t="str">
        <f aca="false">IF($A391="","",DATE(YEAR($A391),MONTH($A391),1))</f>
        <v/>
      </c>
      <c r="J391" s="68" t="str">
        <f aca="false">IF($A391="","",YEAR($A391+4-WEEKDAY($A391,2)))</f>
        <v/>
      </c>
    </row>
    <row r="392" customFormat="false" ht="15" hidden="false" customHeight="false" outlineLevel="0" collapsed="false">
      <c r="A392" s="33"/>
      <c r="H392" s="68" t="str">
        <f aca="false">IF($A392="","","S"&amp;INT(($A392-WEEKDAY($A392,2)+11-DATE(YEAR($A392+4-WEEKDAY($A392,2)),1,1))/7))</f>
        <v/>
      </c>
      <c r="I392" s="69" t="str">
        <f aca="false">IF($A392="","",DATE(YEAR($A392),MONTH($A392),1))</f>
        <v/>
      </c>
      <c r="J392" s="68" t="str">
        <f aca="false">IF($A392="","",YEAR($A392+4-WEEKDAY($A392,2)))</f>
        <v/>
      </c>
    </row>
    <row r="393" customFormat="false" ht="15" hidden="false" customHeight="false" outlineLevel="0" collapsed="false">
      <c r="A393" s="33"/>
      <c r="H393" s="68" t="str">
        <f aca="false">IF($A393="","","S"&amp;INT(($A393-WEEKDAY($A393,2)+11-DATE(YEAR($A393+4-WEEKDAY($A393,2)),1,1))/7))</f>
        <v/>
      </c>
      <c r="I393" s="69" t="str">
        <f aca="false">IF($A393="","",DATE(YEAR($A393),MONTH($A393),1))</f>
        <v/>
      </c>
      <c r="J393" s="68" t="str">
        <f aca="false">IF($A393="","",YEAR($A393+4-WEEKDAY($A393,2)))</f>
        <v/>
      </c>
    </row>
    <row r="394" customFormat="false" ht="15" hidden="false" customHeight="false" outlineLevel="0" collapsed="false">
      <c r="A394" s="33"/>
      <c r="H394" s="68" t="str">
        <f aca="false">IF($A394="","","S"&amp;INT(($A394-WEEKDAY($A394,2)+11-DATE(YEAR($A394+4-WEEKDAY($A394,2)),1,1))/7))</f>
        <v/>
      </c>
      <c r="I394" s="69" t="str">
        <f aca="false">IF($A394="","",DATE(YEAR($A394),MONTH($A394),1))</f>
        <v/>
      </c>
      <c r="J394" s="68" t="str">
        <f aca="false">IF($A394="","",YEAR($A394+4-WEEKDAY($A394,2)))</f>
        <v/>
      </c>
    </row>
    <row r="395" customFormat="false" ht="15" hidden="false" customHeight="false" outlineLevel="0" collapsed="false">
      <c r="A395" s="33"/>
      <c r="H395" s="68" t="str">
        <f aca="false">IF($A395="","","S"&amp;INT(($A395-WEEKDAY($A395,2)+11-DATE(YEAR($A395+4-WEEKDAY($A395,2)),1,1))/7))</f>
        <v/>
      </c>
      <c r="I395" s="69" t="str">
        <f aca="false">IF($A395="","",DATE(YEAR($A395),MONTH($A395),1))</f>
        <v/>
      </c>
      <c r="J395" s="68" t="str">
        <f aca="false">IF($A395="","",YEAR($A395+4-WEEKDAY($A395,2)))</f>
        <v/>
      </c>
    </row>
    <row r="396" customFormat="false" ht="15" hidden="false" customHeight="false" outlineLevel="0" collapsed="false">
      <c r="A396" s="33"/>
      <c r="H396" s="68" t="str">
        <f aca="false">IF($A396="","","S"&amp;INT(($A396-WEEKDAY($A396,2)+11-DATE(YEAR($A396+4-WEEKDAY($A396,2)),1,1))/7))</f>
        <v/>
      </c>
      <c r="I396" s="69" t="str">
        <f aca="false">IF($A396="","",DATE(YEAR($A396),MONTH($A396),1))</f>
        <v/>
      </c>
      <c r="J396" s="68" t="str">
        <f aca="false">IF($A396="","",YEAR($A396+4-WEEKDAY($A396,2)))</f>
        <v/>
      </c>
    </row>
    <row r="397" customFormat="false" ht="15" hidden="false" customHeight="false" outlineLevel="0" collapsed="false">
      <c r="A397" s="33"/>
      <c r="H397" s="68" t="str">
        <f aca="false">IF($A397="","","S"&amp;INT(($A397-WEEKDAY($A397,2)+11-DATE(YEAR($A397+4-WEEKDAY($A397,2)),1,1))/7))</f>
        <v/>
      </c>
      <c r="I397" s="69" t="str">
        <f aca="false">IF($A397="","",DATE(YEAR($A397),MONTH($A397),1))</f>
        <v/>
      </c>
      <c r="J397" s="68" t="str">
        <f aca="false">IF($A397="","",YEAR($A397+4-WEEKDAY($A397,2)))</f>
        <v/>
      </c>
    </row>
    <row r="398" customFormat="false" ht="15" hidden="false" customHeight="false" outlineLevel="0" collapsed="false">
      <c r="A398" s="33"/>
      <c r="H398" s="68" t="str">
        <f aca="false">IF($A398="","","S"&amp;INT(($A398-WEEKDAY($A398,2)+11-DATE(YEAR($A398+4-WEEKDAY($A398,2)),1,1))/7))</f>
        <v/>
      </c>
      <c r="I398" s="69" t="str">
        <f aca="false">IF($A398="","",DATE(YEAR($A398),MONTH($A398),1))</f>
        <v/>
      </c>
      <c r="J398" s="68" t="str">
        <f aca="false">IF($A398="","",YEAR($A398+4-WEEKDAY($A398,2)))</f>
        <v/>
      </c>
    </row>
    <row r="399" customFormat="false" ht="15" hidden="false" customHeight="false" outlineLevel="0" collapsed="false">
      <c r="A399" s="33"/>
      <c r="H399" s="68" t="str">
        <f aca="false">IF($A399="","","S"&amp;INT(($A399-WEEKDAY($A399,2)+11-DATE(YEAR($A399+4-WEEKDAY($A399,2)),1,1))/7))</f>
        <v/>
      </c>
      <c r="I399" s="69" t="str">
        <f aca="false">IF($A399="","",DATE(YEAR($A399),MONTH($A399),1))</f>
        <v/>
      </c>
      <c r="J399" s="68" t="str">
        <f aca="false">IF($A399="","",YEAR($A399+4-WEEKDAY($A399,2)))</f>
        <v/>
      </c>
    </row>
    <row r="400" customFormat="false" ht="15" hidden="false" customHeight="false" outlineLevel="0" collapsed="false">
      <c r="A400" s="33"/>
      <c r="H400" s="68" t="str">
        <f aca="false">IF($A400="","","S"&amp;INT(($A400-WEEKDAY($A400,2)+11-DATE(YEAR($A400+4-WEEKDAY($A400,2)),1,1))/7))</f>
        <v/>
      </c>
      <c r="I400" s="69" t="str">
        <f aca="false">IF($A400="","",DATE(YEAR($A400),MONTH($A400),1))</f>
        <v/>
      </c>
      <c r="J400" s="68" t="str">
        <f aca="false">IF($A400="","",YEAR($A400+4-WEEKDAY($A400,2)))</f>
        <v/>
      </c>
    </row>
    <row r="401" customFormat="false" ht="15" hidden="false" customHeight="false" outlineLevel="0" collapsed="false">
      <c r="A401" s="33"/>
      <c r="H401" s="68" t="str">
        <f aca="false">IF($A401="","","S"&amp;INT(($A401-WEEKDAY($A401,2)+11-DATE(YEAR($A401+4-WEEKDAY($A401,2)),1,1))/7))</f>
        <v/>
      </c>
      <c r="I401" s="69" t="str">
        <f aca="false">IF($A401="","",DATE(YEAR($A401),MONTH($A401),1))</f>
        <v/>
      </c>
      <c r="J401" s="68" t="str">
        <f aca="false">IF($A401="","",YEAR($A401+4-WEEKDAY($A401,2)))</f>
        <v/>
      </c>
    </row>
    <row r="402" customFormat="false" ht="15" hidden="false" customHeight="false" outlineLevel="0" collapsed="false">
      <c r="A402" s="33"/>
      <c r="H402" s="68" t="str">
        <f aca="false">IF($A402="","","S"&amp;INT(($A402-WEEKDAY($A402,2)+11-DATE(YEAR($A402+4-WEEKDAY($A402,2)),1,1))/7))</f>
        <v/>
      </c>
      <c r="I402" s="69" t="str">
        <f aca="false">IF($A402="","",DATE(YEAR($A402),MONTH($A402),1))</f>
        <v/>
      </c>
      <c r="J402" s="68" t="str">
        <f aca="false">IF($A402="","",YEAR($A402+4-WEEKDAY($A402,2)))</f>
        <v/>
      </c>
    </row>
    <row r="403" customFormat="false" ht="15" hidden="false" customHeight="false" outlineLevel="0" collapsed="false">
      <c r="A403" s="33"/>
      <c r="H403" s="68" t="str">
        <f aca="false">IF($A403="","","S"&amp;INT(($A403-WEEKDAY($A403,2)+11-DATE(YEAR($A403+4-WEEKDAY($A403,2)),1,1))/7))</f>
        <v/>
      </c>
      <c r="I403" s="69" t="str">
        <f aca="false">IF($A403="","",DATE(YEAR($A403),MONTH($A403),1))</f>
        <v/>
      </c>
      <c r="J403" s="68" t="str">
        <f aca="false">IF($A403="","",YEAR($A403+4-WEEKDAY($A403,2)))</f>
        <v/>
      </c>
    </row>
    <row r="404" customFormat="false" ht="15" hidden="false" customHeight="false" outlineLevel="0" collapsed="false">
      <c r="A404" s="33"/>
      <c r="H404" s="68" t="str">
        <f aca="false">IF($A404="","","S"&amp;INT(($A404-WEEKDAY($A404,2)+11-DATE(YEAR($A404+4-WEEKDAY($A404,2)),1,1))/7))</f>
        <v/>
      </c>
      <c r="I404" s="69" t="str">
        <f aca="false">IF($A404="","",DATE(YEAR($A404),MONTH($A404),1))</f>
        <v/>
      </c>
      <c r="J404" s="68" t="str">
        <f aca="false">IF($A404="","",YEAR($A404+4-WEEKDAY($A404,2)))</f>
        <v/>
      </c>
    </row>
    <row r="405" customFormat="false" ht="15" hidden="false" customHeight="false" outlineLevel="0" collapsed="false">
      <c r="A405" s="33"/>
      <c r="H405" s="68" t="str">
        <f aca="false">IF($A405="","","S"&amp;INT(($A405-WEEKDAY($A405,2)+11-DATE(YEAR($A405+4-WEEKDAY($A405,2)),1,1))/7))</f>
        <v/>
      </c>
      <c r="I405" s="69" t="str">
        <f aca="false">IF($A405="","",DATE(YEAR($A405),MONTH($A405),1))</f>
        <v/>
      </c>
      <c r="J405" s="68" t="str">
        <f aca="false">IF($A405="","",YEAR($A405+4-WEEKDAY($A405,2)))</f>
        <v/>
      </c>
    </row>
    <row r="406" customFormat="false" ht="15" hidden="false" customHeight="false" outlineLevel="0" collapsed="false">
      <c r="A406" s="33"/>
      <c r="H406" s="68" t="str">
        <f aca="false">IF($A406="","","S"&amp;INT(($A406-WEEKDAY($A406,2)+11-DATE(YEAR($A406+4-WEEKDAY($A406,2)),1,1))/7))</f>
        <v/>
      </c>
      <c r="I406" s="69" t="str">
        <f aca="false">IF($A406="","",DATE(YEAR($A406),MONTH($A406),1))</f>
        <v/>
      </c>
      <c r="J406" s="68" t="str">
        <f aca="false">IF($A406="","",YEAR($A406+4-WEEKDAY($A406,2)))</f>
        <v/>
      </c>
    </row>
    <row r="407" customFormat="false" ht="15" hidden="false" customHeight="false" outlineLevel="0" collapsed="false">
      <c r="A407" s="33"/>
      <c r="H407" s="68" t="str">
        <f aca="false">IF($A407="","","S"&amp;INT(($A407-WEEKDAY($A407,2)+11-DATE(YEAR($A407+4-WEEKDAY($A407,2)),1,1))/7))</f>
        <v/>
      </c>
      <c r="I407" s="69" t="str">
        <f aca="false">IF($A407="","",DATE(YEAR($A407),MONTH($A407),1))</f>
        <v/>
      </c>
      <c r="J407" s="68" t="str">
        <f aca="false">IF($A407="","",YEAR($A407+4-WEEKDAY($A407,2)))</f>
        <v/>
      </c>
    </row>
    <row r="408" customFormat="false" ht="15" hidden="false" customHeight="false" outlineLevel="0" collapsed="false">
      <c r="A408" s="33"/>
      <c r="H408" s="68" t="str">
        <f aca="false">IF($A408="","","S"&amp;INT(($A408-WEEKDAY($A408,2)+11-DATE(YEAR($A408+4-WEEKDAY($A408,2)),1,1))/7))</f>
        <v/>
      </c>
      <c r="I408" s="69" t="str">
        <f aca="false">IF($A408="","",DATE(YEAR($A408),MONTH($A408),1))</f>
        <v/>
      </c>
      <c r="J408" s="68" t="str">
        <f aca="false">IF($A408="","",YEAR($A408+4-WEEKDAY($A408,2)))</f>
        <v/>
      </c>
    </row>
    <row r="409" customFormat="false" ht="15" hidden="false" customHeight="false" outlineLevel="0" collapsed="false">
      <c r="A409" s="33"/>
      <c r="H409" s="68" t="str">
        <f aca="false">IF($A409="","","S"&amp;INT(($A409-WEEKDAY($A409,2)+11-DATE(YEAR($A409+4-WEEKDAY($A409,2)),1,1))/7))</f>
        <v/>
      </c>
      <c r="I409" s="69" t="str">
        <f aca="false">IF($A409="","",DATE(YEAR($A409),MONTH($A409),1))</f>
        <v/>
      </c>
      <c r="J409" s="68" t="str">
        <f aca="false">IF($A409="","",YEAR($A409+4-WEEKDAY($A409,2)))</f>
        <v/>
      </c>
    </row>
    <row r="410" customFormat="false" ht="15" hidden="false" customHeight="false" outlineLevel="0" collapsed="false">
      <c r="A410" s="33"/>
      <c r="H410" s="68" t="str">
        <f aca="false">IF($A410="","","S"&amp;INT(($A410-WEEKDAY($A410,2)+11-DATE(YEAR($A410+4-WEEKDAY($A410,2)),1,1))/7))</f>
        <v/>
      </c>
      <c r="I410" s="69" t="str">
        <f aca="false">IF($A410="","",DATE(YEAR($A410),MONTH($A410),1))</f>
        <v/>
      </c>
      <c r="J410" s="68" t="str">
        <f aca="false">IF($A410="","",YEAR($A410+4-WEEKDAY($A410,2)))</f>
        <v/>
      </c>
    </row>
    <row r="411" customFormat="false" ht="15" hidden="false" customHeight="false" outlineLevel="0" collapsed="false">
      <c r="A411" s="33"/>
      <c r="H411" s="68" t="str">
        <f aca="false">IF($A411="","","S"&amp;INT(($A411-WEEKDAY($A411,2)+11-DATE(YEAR($A411+4-WEEKDAY($A411,2)),1,1))/7))</f>
        <v/>
      </c>
      <c r="I411" s="69" t="str">
        <f aca="false">IF($A411="","",DATE(YEAR($A411),MONTH($A411),1))</f>
        <v/>
      </c>
      <c r="J411" s="68" t="str">
        <f aca="false">IF($A411="","",YEAR($A411+4-WEEKDAY($A411,2)))</f>
        <v/>
      </c>
    </row>
    <row r="412" customFormat="false" ht="15" hidden="false" customHeight="false" outlineLevel="0" collapsed="false">
      <c r="A412" s="33"/>
      <c r="H412" s="68" t="str">
        <f aca="false">IF($A412="","","S"&amp;INT(($A412-WEEKDAY($A412,2)+11-DATE(YEAR($A412+4-WEEKDAY($A412,2)),1,1))/7))</f>
        <v/>
      </c>
      <c r="I412" s="69" t="str">
        <f aca="false">IF($A412="","",DATE(YEAR($A412),MONTH($A412),1))</f>
        <v/>
      </c>
      <c r="J412" s="68" t="str">
        <f aca="false">IF($A412="","",YEAR($A412+4-WEEKDAY($A412,2)))</f>
        <v/>
      </c>
    </row>
    <row r="413" customFormat="false" ht="15" hidden="false" customHeight="false" outlineLevel="0" collapsed="false">
      <c r="A413" s="33"/>
      <c r="H413" s="68" t="str">
        <f aca="false">IF($A413="","","S"&amp;INT(($A413-WEEKDAY($A413,2)+11-DATE(YEAR($A413+4-WEEKDAY($A413,2)),1,1))/7))</f>
        <v/>
      </c>
      <c r="I413" s="69" t="str">
        <f aca="false">IF($A413="","",DATE(YEAR($A413),MONTH($A413),1))</f>
        <v/>
      </c>
      <c r="J413" s="68" t="str">
        <f aca="false">IF($A413="","",YEAR($A413+4-WEEKDAY($A413,2)))</f>
        <v/>
      </c>
    </row>
    <row r="414" customFormat="false" ht="15" hidden="false" customHeight="false" outlineLevel="0" collapsed="false">
      <c r="A414" s="33"/>
      <c r="H414" s="68" t="str">
        <f aca="false">IF($A414="","","S"&amp;INT(($A414-WEEKDAY($A414,2)+11-DATE(YEAR($A414+4-WEEKDAY($A414,2)),1,1))/7))</f>
        <v/>
      </c>
      <c r="I414" s="69" t="str">
        <f aca="false">IF($A414="","",DATE(YEAR($A414),MONTH($A414),1))</f>
        <v/>
      </c>
      <c r="J414" s="68" t="str">
        <f aca="false">IF($A414="","",YEAR($A414+4-WEEKDAY($A414,2)))</f>
        <v/>
      </c>
    </row>
    <row r="415" customFormat="false" ht="15" hidden="false" customHeight="false" outlineLevel="0" collapsed="false">
      <c r="A415" s="33"/>
      <c r="H415" s="68" t="str">
        <f aca="false">IF($A415="","","S"&amp;INT(($A415-WEEKDAY($A415,2)+11-DATE(YEAR($A415+4-WEEKDAY($A415,2)),1,1))/7))</f>
        <v/>
      </c>
      <c r="I415" s="69" t="str">
        <f aca="false">IF($A415="","",DATE(YEAR($A415),MONTH($A415),1))</f>
        <v/>
      </c>
      <c r="J415" s="68" t="str">
        <f aca="false">IF($A415="","",YEAR($A415+4-WEEKDAY($A415,2)))</f>
        <v/>
      </c>
    </row>
    <row r="416" customFormat="false" ht="15" hidden="false" customHeight="false" outlineLevel="0" collapsed="false">
      <c r="A416" s="33"/>
      <c r="H416" s="68" t="str">
        <f aca="false">IF($A416="","","S"&amp;INT(($A416-WEEKDAY($A416,2)+11-DATE(YEAR($A416+4-WEEKDAY($A416,2)),1,1))/7))</f>
        <v/>
      </c>
      <c r="I416" s="69" t="str">
        <f aca="false">IF($A416="","",DATE(YEAR($A416),MONTH($A416),1))</f>
        <v/>
      </c>
      <c r="J416" s="68" t="str">
        <f aca="false">IF($A416="","",YEAR($A416+4-WEEKDAY($A416,2)))</f>
        <v/>
      </c>
    </row>
    <row r="417" customFormat="false" ht="15" hidden="false" customHeight="false" outlineLevel="0" collapsed="false">
      <c r="A417" s="33"/>
      <c r="H417" s="68" t="str">
        <f aca="false">IF($A417="","","S"&amp;INT(($A417-WEEKDAY($A417,2)+11-DATE(YEAR($A417+4-WEEKDAY($A417,2)),1,1))/7))</f>
        <v/>
      </c>
      <c r="I417" s="69" t="str">
        <f aca="false">IF($A417="","",DATE(YEAR($A417),MONTH($A417),1))</f>
        <v/>
      </c>
      <c r="J417" s="68" t="str">
        <f aca="false">IF($A417="","",YEAR($A417+4-WEEKDAY($A417,2)))</f>
        <v/>
      </c>
    </row>
    <row r="418" customFormat="false" ht="15" hidden="false" customHeight="false" outlineLevel="0" collapsed="false">
      <c r="A418" s="33"/>
      <c r="H418" s="68" t="str">
        <f aca="false">IF($A418="","","S"&amp;INT(($A418-WEEKDAY($A418,2)+11-DATE(YEAR($A418+4-WEEKDAY($A418,2)),1,1))/7))</f>
        <v/>
      </c>
      <c r="I418" s="69" t="str">
        <f aca="false">IF($A418="","",DATE(YEAR($A418),MONTH($A418),1))</f>
        <v/>
      </c>
      <c r="J418" s="68" t="str">
        <f aca="false">IF($A418="","",YEAR($A418+4-WEEKDAY($A418,2)))</f>
        <v/>
      </c>
    </row>
    <row r="419" customFormat="false" ht="15" hidden="false" customHeight="false" outlineLevel="0" collapsed="false">
      <c r="A419" s="33"/>
      <c r="H419" s="68" t="str">
        <f aca="false">IF($A419="","","S"&amp;INT(($A419-WEEKDAY($A419,2)+11-DATE(YEAR($A419+4-WEEKDAY($A419,2)),1,1))/7))</f>
        <v/>
      </c>
      <c r="I419" s="69" t="str">
        <f aca="false">IF($A419="","",DATE(YEAR($A419),MONTH($A419),1))</f>
        <v/>
      </c>
      <c r="J419" s="68" t="str">
        <f aca="false">IF($A419="","",YEAR($A419+4-WEEKDAY($A419,2)))</f>
        <v/>
      </c>
    </row>
    <row r="420" customFormat="false" ht="15" hidden="false" customHeight="false" outlineLevel="0" collapsed="false">
      <c r="A420" s="33"/>
      <c r="H420" s="68" t="str">
        <f aca="false">IF($A420="","","S"&amp;INT(($A420-WEEKDAY($A420,2)+11-DATE(YEAR($A420+4-WEEKDAY($A420,2)),1,1))/7))</f>
        <v/>
      </c>
      <c r="I420" s="69" t="str">
        <f aca="false">IF($A420="","",DATE(YEAR($A420),MONTH($A420),1))</f>
        <v/>
      </c>
      <c r="J420" s="68" t="str">
        <f aca="false">IF($A420="","",YEAR($A420+4-WEEKDAY($A420,2)))</f>
        <v/>
      </c>
    </row>
    <row r="421" customFormat="false" ht="15" hidden="false" customHeight="false" outlineLevel="0" collapsed="false">
      <c r="A421" s="33"/>
      <c r="H421" s="68" t="str">
        <f aca="false">IF($A421="","","S"&amp;INT(($A421-WEEKDAY($A421,2)+11-DATE(YEAR($A421+4-WEEKDAY($A421,2)),1,1))/7))</f>
        <v/>
      </c>
      <c r="I421" s="69" t="str">
        <f aca="false">IF($A421="","",DATE(YEAR($A421),MONTH($A421),1))</f>
        <v/>
      </c>
      <c r="J421" s="68" t="str">
        <f aca="false">IF($A421="","",YEAR($A421+4-WEEKDAY($A421,2)))</f>
        <v/>
      </c>
    </row>
    <row r="422" customFormat="false" ht="15" hidden="false" customHeight="false" outlineLevel="0" collapsed="false">
      <c r="A422" s="33"/>
      <c r="H422" s="68" t="str">
        <f aca="false">IF($A422="","","S"&amp;INT(($A422-WEEKDAY($A422,2)+11-DATE(YEAR($A422+4-WEEKDAY($A422,2)),1,1))/7))</f>
        <v/>
      </c>
      <c r="I422" s="69" t="str">
        <f aca="false">IF($A422="","",DATE(YEAR($A422),MONTH($A422),1))</f>
        <v/>
      </c>
      <c r="J422" s="68" t="str">
        <f aca="false">IF($A422="","",YEAR($A422+4-WEEKDAY($A422,2)))</f>
        <v/>
      </c>
    </row>
    <row r="423" customFormat="false" ht="15" hidden="false" customHeight="false" outlineLevel="0" collapsed="false">
      <c r="A423" s="33"/>
      <c r="H423" s="68" t="str">
        <f aca="false">IF($A423="","","S"&amp;INT(($A423-WEEKDAY($A423,2)+11-DATE(YEAR($A423+4-WEEKDAY($A423,2)),1,1))/7))</f>
        <v/>
      </c>
      <c r="I423" s="69" t="str">
        <f aca="false">IF($A423="","",DATE(YEAR($A423),MONTH($A423),1))</f>
        <v/>
      </c>
      <c r="J423" s="68" t="str">
        <f aca="false">IF($A423="","",YEAR($A423+4-WEEKDAY($A423,2)))</f>
        <v/>
      </c>
    </row>
    <row r="424" customFormat="false" ht="15" hidden="false" customHeight="false" outlineLevel="0" collapsed="false">
      <c r="A424" s="33"/>
      <c r="H424" s="68" t="str">
        <f aca="false">IF($A424="","","S"&amp;INT(($A424-WEEKDAY($A424,2)+11-DATE(YEAR($A424+4-WEEKDAY($A424,2)),1,1))/7))</f>
        <v/>
      </c>
      <c r="I424" s="69" t="str">
        <f aca="false">IF($A424="","",DATE(YEAR($A424),MONTH($A424),1))</f>
        <v/>
      </c>
      <c r="J424" s="68" t="str">
        <f aca="false">IF($A424="","",YEAR($A424+4-WEEKDAY($A424,2)))</f>
        <v/>
      </c>
    </row>
    <row r="425" customFormat="false" ht="15" hidden="false" customHeight="false" outlineLevel="0" collapsed="false">
      <c r="A425" s="33"/>
      <c r="H425" s="68" t="str">
        <f aca="false">IF($A425="","","S"&amp;INT(($A425-WEEKDAY($A425,2)+11-DATE(YEAR($A425+4-WEEKDAY($A425,2)),1,1))/7))</f>
        <v/>
      </c>
      <c r="I425" s="69" t="str">
        <f aca="false">IF($A425="","",DATE(YEAR($A425),MONTH($A425),1))</f>
        <v/>
      </c>
      <c r="J425" s="68" t="str">
        <f aca="false">IF($A425="","",YEAR($A425+4-WEEKDAY($A425,2)))</f>
        <v/>
      </c>
    </row>
    <row r="426" customFormat="false" ht="15" hidden="false" customHeight="false" outlineLevel="0" collapsed="false">
      <c r="A426" s="33"/>
      <c r="H426" s="68" t="str">
        <f aca="false">IF($A426="","","S"&amp;INT(($A426-WEEKDAY($A426,2)+11-DATE(YEAR($A426+4-WEEKDAY($A426,2)),1,1))/7))</f>
        <v/>
      </c>
      <c r="I426" s="69" t="str">
        <f aca="false">IF($A426="","",DATE(YEAR($A426),MONTH($A426),1))</f>
        <v/>
      </c>
      <c r="J426" s="68" t="str">
        <f aca="false">IF($A426="","",YEAR($A426+4-WEEKDAY($A426,2)))</f>
        <v/>
      </c>
    </row>
    <row r="427" customFormat="false" ht="15" hidden="false" customHeight="false" outlineLevel="0" collapsed="false">
      <c r="A427" s="33"/>
      <c r="H427" s="68" t="str">
        <f aca="false">IF($A427="","","S"&amp;INT(($A427-WEEKDAY($A427,2)+11-DATE(YEAR($A427+4-WEEKDAY($A427,2)),1,1))/7))</f>
        <v/>
      </c>
      <c r="I427" s="69" t="str">
        <f aca="false">IF($A427="","",DATE(YEAR($A427),MONTH($A427),1))</f>
        <v/>
      </c>
      <c r="J427" s="68" t="str">
        <f aca="false">IF($A427="","",YEAR($A427+4-WEEKDAY($A427,2)))</f>
        <v/>
      </c>
    </row>
    <row r="428" customFormat="false" ht="15" hidden="false" customHeight="false" outlineLevel="0" collapsed="false">
      <c r="A428" s="33"/>
      <c r="H428" s="68" t="str">
        <f aca="false">IF($A428="","","S"&amp;INT(($A428-WEEKDAY($A428,2)+11-DATE(YEAR($A428+4-WEEKDAY($A428,2)),1,1))/7))</f>
        <v/>
      </c>
      <c r="I428" s="69" t="str">
        <f aca="false">IF($A428="","",DATE(YEAR($A428),MONTH($A428),1))</f>
        <v/>
      </c>
      <c r="J428" s="68" t="str">
        <f aca="false">IF($A428="","",YEAR($A428+4-WEEKDAY($A428,2)))</f>
        <v/>
      </c>
    </row>
    <row r="429" customFormat="false" ht="15" hidden="false" customHeight="false" outlineLevel="0" collapsed="false">
      <c r="A429" s="33"/>
      <c r="H429" s="68" t="str">
        <f aca="false">IF($A429="","","S"&amp;INT(($A429-WEEKDAY($A429,2)+11-DATE(YEAR($A429+4-WEEKDAY($A429,2)),1,1))/7))</f>
        <v/>
      </c>
      <c r="I429" s="69" t="str">
        <f aca="false">IF($A429="","",DATE(YEAR($A429),MONTH($A429),1))</f>
        <v/>
      </c>
      <c r="J429" s="68" t="str">
        <f aca="false">IF($A429="","",YEAR($A429+4-WEEKDAY($A429,2)))</f>
        <v/>
      </c>
    </row>
    <row r="430" customFormat="false" ht="15" hidden="false" customHeight="false" outlineLevel="0" collapsed="false">
      <c r="A430" s="33"/>
      <c r="H430" s="68" t="str">
        <f aca="false">IF($A430="","","S"&amp;INT(($A430-WEEKDAY($A430,2)+11-DATE(YEAR($A430+4-WEEKDAY($A430,2)),1,1))/7))</f>
        <v/>
      </c>
      <c r="I430" s="69" t="str">
        <f aca="false">IF($A430="","",DATE(YEAR($A430),MONTH($A430),1))</f>
        <v/>
      </c>
      <c r="J430" s="68" t="str">
        <f aca="false">IF($A430="","",YEAR($A430+4-WEEKDAY($A430,2)))</f>
        <v/>
      </c>
    </row>
    <row r="431" customFormat="false" ht="15" hidden="false" customHeight="false" outlineLevel="0" collapsed="false">
      <c r="A431" s="33"/>
      <c r="H431" s="68" t="str">
        <f aca="false">IF($A431="","","S"&amp;INT(($A431-WEEKDAY($A431,2)+11-DATE(YEAR($A431+4-WEEKDAY($A431,2)),1,1))/7))</f>
        <v/>
      </c>
      <c r="I431" s="69" t="str">
        <f aca="false">IF($A431="","",DATE(YEAR($A431),MONTH($A431),1))</f>
        <v/>
      </c>
      <c r="J431" s="68" t="str">
        <f aca="false">IF($A431="","",YEAR($A431+4-WEEKDAY($A431,2)))</f>
        <v/>
      </c>
    </row>
    <row r="432" customFormat="false" ht="15" hidden="false" customHeight="false" outlineLevel="0" collapsed="false">
      <c r="A432" s="33"/>
      <c r="H432" s="68" t="str">
        <f aca="false">IF($A432="","","S"&amp;INT(($A432-WEEKDAY($A432,2)+11-DATE(YEAR($A432+4-WEEKDAY($A432,2)),1,1))/7))</f>
        <v/>
      </c>
      <c r="I432" s="69" t="str">
        <f aca="false">IF($A432="","",DATE(YEAR($A432),MONTH($A432),1))</f>
        <v/>
      </c>
      <c r="J432" s="68" t="str">
        <f aca="false">IF($A432="","",YEAR($A432+4-WEEKDAY($A432,2)))</f>
        <v/>
      </c>
    </row>
    <row r="433" customFormat="false" ht="15" hidden="false" customHeight="false" outlineLevel="0" collapsed="false">
      <c r="A433" s="33"/>
      <c r="H433" s="68" t="str">
        <f aca="false">IF($A433="","","S"&amp;INT(($A433-WEEKDAY($A433,2)+11-DATE(YEAR($A433+4-WEEKDAY($A433,2)),1,1))/7))</f>
        <v/>
      </c>
      <c r="I433" s="69" t="str">
        <f aca="false">IF($A433="","",DATE(YEAR($A433),MONTH($A433),1))</f>
        <v/>
      </c>
      <c r="J433" s="68" t="str">
        <f aca="false">IF($A433="","",YEAR($A433+4-WEEKDAY($A433,2)))</f>
        <v/>
      </c>
    </row>
    <row r="434" customFormat="false" ht="15" hidden="false" customHeight="false" outlineLevel="0" collapsed="false">
      <c r="A434" s="33"/>
      <c r="H434" s="68" t="str">
        <f aca="false">IF($A434="","","S"&amp;INT(($A434-WEEKDAY($A434,2)+11-DATE(YEAR($A434+4-WEEKDAY($A434,2)),1,1))/7))</f>
        <v/>
      </c>
      <c r="I434" s="69" t="str">
        <f aca="false">IF($A434="","",DATE(YEAR($A434),MONTH($A434),1))</f>
        <v/>
      </c>
      <c r="J434" s="68" t="str">
        <f aca="false">IF($A434="","",YEAR($A434+4-WEEKDAY($A434,2)))</f>
        <v/>
      </c>
    </row>
    <row r="435" customFormat="false" ht="15" hidden="false" customHeight="false" outlineLevel="0" collapsed="false">
      <c r="A435" s="33"/>
      <c r="H435" s="68" t="str">
        <f aca="false">IF($A435="","","S"&amp;INT(($A435-WEEKDAY($A435,2)+11-DATE(YEAR($A435+4-WEEKDAY($A435,2)),1,1))/7))</f>
        <v/>
      </c>
      <c r="I435" s="69" t="str">
        <f aca="false">IF($A435="","",DATE(YEAR($A435),MONTH($A435),1))</f>
        <v/>
      </c>
      <c r="J435" s="68" t="str">
        <f aca="false">IF($A435="","",YEAR($A435+4-WEEKDAY($A435,2)))</f>
        <v/>
      </c>
    </row>
    <row r="436" customFormat="false" ht="15" hidden="false" customHeight="false" outlineLevel="0" collapsed="false">
      <c r="A436" s="33"/>
      <c r="H436" s="68" t="str">
        <f aca="false">IF($A436="","","S"&amp;INT(($A436-WEEKDAY($A436,2)+11-DATE(YEAR($A436+4-WEEKDAY($A436,2)),1,1))/7))</f>
        <v/>
      </c>
      <c r="I436" s="69" t="str">
        <f aca="false">IF($A436="","",DATE(YEAR($A436),MONTH($A436),1))</f>
        <v/>
      </c>
      <c r="J436" s="68" t="str">
        <f aca="false">IF($A436="","",YEAR($A436+4-WEEKDAY($A436,2)))</f>
        <v/>
      </c>
    </row>
    <row r="437" customFormat="false" ht="15" hidden="false" customHeight="false" outlineLevel="0" collapsed="false">
      <c r="A437" s="33"/>
      <c r="H437" s="68" t="str">
        <f aca="false">IF($A437="","","S"&amp;INT(($A437-WEEKDAY($A437,2)+11-DATE(YEAR($A437+4-WEEKDAY($A437,2)),1,1))/7))</f>
        <v/>
      </c>
      <c r="I437" s="69" t="str">
        <f aca="false">IF($A437="","",DATE(YEAR($A437),MONTH($A437),1))</f>
        <v/>
      </c>
      <c r="J437" s="68" t="str">
        <f aca="false">IF($A437="","",YEAR($A437+4-WEEKDAY($A437,2)))</f>
        <v/>
      </c>
    </row>
    <row r="438" customFormat="false" ht="15" hidden="false" customHeight="false" outlineLevel="0" collapsed="false">
      <c r="A438" s="33"/>
      <c r="H438" s="68" t="str">
        <f aca="false">IF($A438="","","S"&amp;INT(($A438-WEEKDAY($A438,2)+11-DATE(YEAR($A438+4-WEEKDAY($A438,2)),1,1))/7))</f>
        <v/>
      </c>
      <c r="I438" s="69" t="str">
        <f aca="false">IF($A438="","",DATE(YEAR($A438),MONTH($A438),1))</f>
        <v/>
      </c>
      <c r="J438" s="68" t="str">
        <f aca="false">IF($A438="","",YEAR($A438+4-WEEKDAY($A438,2)))</f>
        <v/>
      </c>
    </row>
    <row r="439" customFormat="false" ht="15" hidden="false" customHeight="false" outlineLevel="0" collapsed="false">
      <c r="A439" s="33"/>
      <c r="H439" s="68" t="str">
        <f aca="false">IF($A439="","","S"&amp;INT(($A439-WEEKDAY($A439,2)+11-DATE(YEAR($A439+4-WEEKDAY($A439,2)),1,1))/7))</f>
        <v/>
      </c>
      <c r="I439" s="69" t="str">
        <f aca="false">IF($A439="","",DATE(YEAR($A439),MONTH($A439),1))</f>
        <v/>
      </c>
      <c r="J439" s="68" t="str">
        <f aca="false">IF($A439="","",YEAR($A439+4-WEEKDAY($A439,2)))</f>
        <v/>
      </c>
    </row>
    <row r="440" customFormat="false" ht="15" hidden="false" customHeight="false" outlineLevel="0" collapsed="false">
      <c r="A440" s="33"/>
      <c r="H440" s="68" t="str">
        <f aca="false">IF($A440="","","S"&amp;INT(($A440-WEEKDAY($A440,2)+11-DATE(YEAR($A440+4-WEEKDAY($A440,2)),1,1))/7))</f>
        <v/>
      </c>
      <c r="I440" s="69" t="str">
        <f aca="false">IF($A440="","",DATE(YEAR($A440),MONTH($A440),1))</f>
        <v/>
      </c>
      <c r="J440" s="68" t="str">
        <f aca="false">IF($A440="","",YEAR($A440+4-WEEKDAY($A440,2)))</f>
        <v/>
      </c>
    </row>
    <row r="441" customFormat="false" ht="15" hidden="false" customHeight="false" outlineLevel="0" collapsed="false">
      <c r="A441" s="33"/>
      <c r="H441" s="68" t="str">
        <f aca="false">IF($A441="","","S"&amp;INT(($A441-WEEKDAY($A441,2)+11-DATE(YEAR($A441+4-WEEKDAY($A441,2)),1,1))/7))</f>
        <v/>
      </c>
      <c r="I441" s="69" t="str">
        <f aca="false">IF($A441="","",DATE(YEAR($A441),MONTH($A441),1))</f>
        <v/>
      </c>
      <c r="J441" s="68" t="str">
        <f aca="false">IF($A441="","",YEAR($A441+4-WEEKDAY($A441,2)))</f>
        <v/>
      </c>
    </row>
    <row r="442" customFormat="false" ht="15" hidden="false" customHeight="false" outlineLevel="0" collapsed="false">
      <c r="A442" s="33"/>
      <c r="H442" s="68" t="str">
        <f aca="false">IF($A442="","","S"&amp;INT(($A442-WEEKDAY($A442,2)+11-DATE(YEAR($A442+4-WEEKDAY($A442,2)),1,1))/7))</f>
        <v/>
      </c>
      <c r="I442" s="69" t="str">
        <f aca="false">IF($A442="","",DATE(YEAR($A442),MONTH($A442),1))</f>
        <v/>
      </c>
      <c r="J442" s="68" t="str">
        <f aca="false">IF($A442="","",YEAR($A442+4-WEEKDAY($A442,2)))</f>
        <v/>
      </c>
    </row>
    <row r="443" customFormat="false" ht="15" hidden="false" customHeight="false" outlineLevel="0" collapsed="false">
      <c r="A443" s="33"/>
      <c r="H443" s="68" t="str">
        <f aca="false">IF($A443="","","S"&amp;INT(($A443-WEEKDAY($A443,2)+11-DATE(YEAR($A443+4-WEEKDAY($A443,2)),1,1))/7))</f>
        <v/>
      </c>
      <c r="I443" s="69" t="str">
        <f aca="false">IF($A443="","",DATE(YEAR($A443),MONTH($A443),1))</f>
        <v/>
      </c>
      <c r="J443" s="68" t="str">
        <f aca="false">IF($A443="","",YEAR($A443+4-WEEKDAY($A443,2)))</f>
        <v/>
      </c>
    </row>
    <row r="444" customFormat="false" ht="15" hidden="false" customHeight="false" outlineLevel="0" collapsed="false">
      <c r="A444" s="33"/>
      <c r="H444" s="68" t="str">
        <f aca="false">IF($A444="","","S"&amp;INT(($A444-WEEKDAY($A444,2)+11-DATE(YEAR($A444+4-WEEKDAY($A444,2)),1,1))/7))</f>
        <v/>
      </c>
      <c r="I444" s="69" t="str">
        <f aca="false">IF($A444="","",DATE(YEAR($A444),MONTH($A444),1))</f>
        <v/>
      </c>
      <c r="J444" s="68" t="str">
        <f aca="false">IF($A444="","",YEAR($A444+4-WEEKDAY($A444,2)))</f>
        <v/>
      </c>
    </row>
    <row r="445" customFormat="false" ht="15" hidden="false" customHeight="false" outlineLevel="0" collapsed="false">
      <c r="A445" s="33"/>
      <c r="H445" s="68" t="str">
        <f aca="false">IF($A445="","","S"&amp;INT(($A445-WEEKDAY($A445,2)+11-DATE(YEAR($A445+4-WEEKDAY($A445,2)),1,1))/7))</f>
        <v/>
      </c>
      <c r="I445" s="69" t="str">
        <f aca="false">IF($A445="","",DATE(YEAR($A445),MONTH($A445),1))</f>
        <v/>
      </c>
      <c r="J445" s="68" t="str">
        <f aca="false">IF($A445="","",YEAR($A445+4-WEEKDAY($A445,2)))</f>
        <v/>
      </c>
    </row>
    <row r="446" customFormat="false" ht="15" hidden="false" customHeight="false" outlineLevel="0" collapsed="false">
      <c r="A446" s="33"/>
      <c r="H446" s="68" t="str">
        <f aca="false">IF($A446="","","S"&amp;INT(($A446-WEEKDAY($A446,2)+11-DATE(YEAR($A446+4-WEEKDAY($A446,2)),1,1))/7))</f>
        <v/>
      </c>
      <c r="I446" s="69" t="str">
        <f aca="false">IF($A446="","",DATE(YEAR($A446),MONTH($A446),1))</f>
        <v/>
      </c>
      <c r="J446" s="68" t="str">
        <f aca="false">IF($A446="","",YEAR($A446+4-WEEKDAY($A446,2)))</f>
        <v/>
      </c>
    </row>
    <row r="447" customFormat="false" ht="15" hidden="false" customHeight="false" outlineLevel="0" collapsed="false">
      <c r="A447" s="33"/>
      <c r="H447" s="68" t="str">
        <f aca="false">IF($A447="","","S"&amp;INT(($A447-WEEKDAY($A447,2)+11-DATE(YEAR($A447+4-WEEKDAY($A447,2)),1,1))/7))</f>
        <v/>
      </c>
      <c r="I447" s="69" t="str">
        <f aca="false">IF($A447="","",DATE(YEAR($A447),MONTH($A447),1))</f>
        <v/>
      </c>
      <c r="J447" s="68" t="str">
        <f aca="false">IF($A447="","",YEAR($A447+4-WEEKDAY($A447,2)))</f>
        <v/>
      </c>
    </row>
    <row r="448" customFormat="false" ht="15" hidden="false" customHeight="false" outlineLevel="0" collapsed="false">
      <c r="A448" s="33"/>
      <c r="H448" s="68" t="str">
        <f aca="false">IF($A448="","","S"&amp;INT(($A448-WEEKDAY($A448,2)+11-DATE(YEAR($A448+4-WEEKDAY($A448,2)),1,1))/7))</f>
        <v/>
      </c>
      <c r="I448" s="69" t="str">
        <f aca="false">IF($A448="","",DATE(YEAR($A448),MONTH($A448),1))</f>
        <v/>
      </c>
      <c r="J448" s="68" t="str">
        <f aca="false">IF($A448="","",YEAR($A448+4-WEEKDAY($A448,2)))</f>
        <v/>
      </c>
    </row>
    <row r="449" customFormat="false" ht="15" hidden="false" customHeight="false" outlineLevel="0" collapsed="false">
      <c r="A449" s="33"/>
      <c r="H449" s="68" t="str">
        <f aca="false">IF($A449="","","S"&amp;INT(($A449-WEEKDAY($A449,2)+11-DATE(YEAR($A449+4-WEEKDAY($A449,2)),1,1))/7))</f>
        <v/>
      </c>
      <c r="I449" s="69" t="str">
        <f aca="false">IF($A449="","",DATE(YEAR($A449),MONTH($A449),1))</f>
        <v/>
      </c>
      <c r="J449" s="68" t="str">
        <f aca="false">IF($A449="","",YEAR($A449+4-WEEKDAY($A449,2)))</f>
        <v/>
      </c>
    </row>
    <row r="450" customFormat="false" ht="15" hidden="false" customHeight="false" outlineLevel="0" collapsed="false">
      <c r="A450" s="33"/>
      <c r="H450" s="68" t="str">
        <f aca="false">IF($A450="","","S"&amp;INT(($A450-WEEKDAY($A450,2)+11-DATE(YEAR($A450+4-WEEKDAY($A450,2)),1,1))/7))</f>
        <v/>
      </c>
      <c r="I450" s="69" t="str">
        <f aca="false">IF($A450="","",DATE(YEAR($A450),MONTH($A450),1))</f>
        <v/>
      </c>
      <c r="J450" s="68" t="str">
        <f aca="false">IF($A450="","",YEAR($A450+4-WEEKDAY($A450,2)))</f>
        <v/>
      </c>
    </row>
    <row r="451" customFormat="false" ht="15" hidden="false" customHeight="false" outlineLevel="0" collapsed="false">
      <c r="A451" s="33"/>
      <c r="H451" s="68" t="str">
        <f aca="false">IF($A451="","","S"&amp;INT(($A451-WEEKDAY($A451,2)+11-DATE(YEAR($A451+4-WEEKDAY($A451,2)),1,1))/7))</f>
        <v/>
      </c>
      <c r="I451" s="69" t="str">
        <f aca="false">IF($A451="","",DATE(YEAR($A451),MONTH($A451),1))</f>
        <v/>
      </c>
      <c r="J451" s="68" t="str">
        <f aca="false">IF($A451="","",YEAR($A451+4-WEEKDAY($A451,2)))</f>
        <v/>
      </c>
    </row>
    <row r="452" customFormat="false" ht="15" hidden="false" customHeight="false" outlineLevel="0" collapsed="false">
      <c r="A452" s="33"/>
      <c r="H452" s="68" t="str">
        <f aca="false">IF($A452="","","S"&amp;INT(($A452-WEEKDAY($A452,2)+11-DATE(YEAR($A452+4-WEEKDAY($A452,2)),1,1))/7))</f>
        <v/>
      </c>
      <c r="I452" s="69" t="str">
        <f aca="false">IF($A452="","",DATE(YEAR($A452),MONTH($A452),1))</f>
        <v/>
      </c>
      <c r="J452" s="68" t="str">
        <f aca="false">IF($A452="","",YEAR($A452+4-WEEKDAY($A452,2)))</f>
        <v/>
      </c>
    </row>
    <row r="453" customFormat="false" ht="15" hidden="false" customHeight="false" outlineLevel="0" collapsed="false">
      <c r="A453" s="33"/>
      <c r="H453" s="68" t="str">
        <f aca="false">IF($A453="","","S"&amp;INT(($A453-WEEKDAY($A453,2)+11-DATE(YEAR($A453+4-WEEKDAY($A453,2)),1,1))/7))</f>
        <v/>
      </c>
      <c r="I453" s="69" t="str">
        <f aca="false">IF($A453="","",DATE(YEAR($A453),MONTH($A453),1))</f>
        <v/>
      </c>
      <c r="J453" s="68" t="str">
        <f aca="false">IF($A453="","",YEAR($A453+4-WEEKDAY($A453,2)))</f>
        <v/>
      </c>
    </row>
    <row r="454" customFormat="false" ht="15" hidden="false" customHeight="false" outlineLevel="0" collapsed="false">
      <c r="A454" s="33"/>
      <c r="H454" s="68" t="str">
        <f aca="false">IF($A454="","","S"&amp;INT(($A454-WEEKDAY($A454,2)+11-DATE(YEAR($A454+4-WEEKDAY($A454,2)),1,1))/7))</f>
        <v/>
      </c>
      <c r="I454" s="69" t="str">
        <f aca="false">IF($A454="","",DATE(YEAR($A454),MONTH($A454),1))</f>
        <v/>
      </c>
      <c r="J454" s="68" t="str">
        <f aca="false">IF($A454="","",YEAR($A454+4-WEEKDAY($A454,2)))</f>
        <v/>
      </c>
    </row>
    <row r="455" customFormat="false" ht="15" hidden="false" customHeight="false" outlineLevel="0" collapsed="false">
      <c r="A455" s="33"/>
      <c r="H455" s="68" t="str">
        <f aca="false">IF($A455="","","S"&amp;INT(($A455-WEEKDAY($A455,2)+11-DATE(YEAR($A455+4-WEEKDAY($A455,2)),1,1))/7))</f>
        <v/>
      </c>
      <c r="I455" s="69" t="str">
        <f aca="false">IF($A455="","",DATE(YEAR($A455),MONTH($A455),1))</f>
        <v/>
      </c>
      <c r="J455" s="68" t="str">
        <f aca="false">IF($A455="","",YEAR($A455+4-WEEKDAY($A455,2)))</f>
        <v/>
      </c>
    </row>
    <row r="456" customFormat="false" ht="15" hidden="false" customHeight="false" outlineLevel="0" collapsed="false">
      <c r="A456" s="33"/>
      <c r="H456" s="68" t="str">
        <f aca="false">IF($A456="","","S"&amp;INT(($A456-WEEKDAY($A456,2)+11-DATE(YEAR($A456+4-WEEKDAY($A456,2)),1,1))/7))</f>
        <v/>
      </c>
      <c r="I456" s="69" t="str">
        <f aca="false">IF($A456="","",DATE(YEAR($A456),MONTH($A456),1))</f>
        <v/>
      </c>
      <c r="J456" s="68" t="str">
        <f aca="false">IF($A456="","",YEAR($A456+4-WEEKDAY($A456,2)))</f>
        <v/>
      </c>
    </row>
    <row r="457" customFormat="false" ht="15" hidden="false" customHeight="false" outlineLevel="0" collapsed="false">
      <c r="A457" s="33"/>
      <c r="H457" s="68" t="str">
        <f aca="false">IF($A457="","","S"&amp;INT(($A457-WEEKDAY($A457,2)+11-DATE(YEAR($A457+4-WEEKDAY($A457,2)),1,1))/7))</f>
        <v/>
      </c>
      <c r="I457" s="69" t="str">
        <f aca="false">IF($A457="","",DATE(YEAR($A457),MONTH($A457),1))</f>
        <v/>
      </c>
      <c r="J457" s="68" t="str">
        <f aca="false">IF($A457="","",YEAR($A457+4-WEEKDAY($A457,2)))</f>
        <v/>
      </c>
    </row>
    <row r="458" customFormat="false" ht="15" hidden="false" customHeight="false" outlineLevel="0" collapsed="false">
      <c r="A458" s="33"/>
      <c r="H458" s="68" t="str">
        <f aca="false">IF($A458="","","S"&amp;INT(($A458-WEEKDAY($A458,2)+11-DATE(YEAR($A458+4-WEEKDAY($A458,2)),1,1))/7))</f>
        <v/>
      </c>
      <c r="I458" s="69" t="str">
        <f aca="false">IF($A458="","",DATE(YEAR($A458),MONTH($A458),1))</f>
        <v/>
      </c>
      <c r="J458" s="68" t="str">
        <f aca="false">IF($A458="","",YEAR($A458+4-WEEKDAY($A458,2)))</f>
        <v/>
      </c>
    </row>
    <row r="459" customFormat="false" ht="15" hidden="false" customHeight="false" outlineLevel="0" collapsed="false">
      <c r="A459" s="33"/>
      <c r="H459" s="68" t="str">
        <f aca="false">IF($A459="","","S"&amp;INT(($A459-WEEKDAY($A459,2)+11-DATE(YEAR($A459+4-WEEKDAY($A459,2)),1,1))/7))</f>
        <v/>
      </c>
      <c r="I459" s="69" t="str">
        <f aca="false">IF($A459="","",DATE(YEAR($A459),MONTH($A459),1))</f>
        <v/>
      </c>
      <c r="J459" s="68" t="str">
        <f aca="false">IF($A459="","",YEAR($A459+4-WEEKDAY($A459,2)))</f>
        <v/>
      </c>
    </row>
    <row r="460" customFormat="false" ht="15" hidden="false" customHeight="false" outlineLevel="0" collapsed="false">
      <c r="A460" s="33"/>
      <c r="H460" s="68" t="str">
        <f aca="false">IF($A460="","","S"&amp;INT(($A460-WEEKDAY($A460,2)+11-DATE(YEAR($A460+4-WEEKDAY($A460,2)),1,1))/7))</f>
        <v/>
      </c>
      <c r="I460" s="69" t="str">
        <f aca="false">IF($A460="","",DATE(YEAR($A460),MONTH($A460),1))</f>
        <v/>
      </c>
      <c r="J460" s="68" t="str">
        <f aca="false">IF($A460="","",YEAR($A460+4-WEEKDAY($A460,2)))</f>
        <v/>
      </c>
    </row>
    <row r="461" customFormat="false" ht="15" hidden="false" customHeight="false" outlineLevel="0" collapsed="false">
      <c r="A461" s="33"/>
      <c r="H461" s="68" t="str">
        <f aca="false">IF($A461="","","S"&amp;INT(($A461-WEEKDAY($A461,2)+11-DATE(YEAR($A461+4-WEEKDAY($A461,2)),1,1))/7))</f>
        <v/>
      </c>
      <c r="I461" s="69" t="str">
        <f aca="false">IF($A461="","",DATE(YEAR($A461),MONTH($A461),1))</f>
        <v/>
      </c>
      <c r="J461" s="68" t="str">
        <f aca="false">IF($A461="","",YEAR($A461+4-WEEKDAY($A461,2)))</f>
        <v/>
      </c>
    </row>
    <row r="462" customFormat="false" ht="15" hidden="false" customHeight="false" outlineLevel="0" collapsed="false">
      <c r="A462" s="33"/>
      <c r="H462" s="68" t="str">
        <f aca="false">IF($A462="","","S"&amp;INT(($A462-WEEKDAY($A462,2)+11-DATE(YEAR($A462+4-WEEKDAY($A462,2)),1,1))/7))</f>
        <v/>
      </c>
      <c r="I462" s="69" t="str">
        <f aca="false">IF($A462="","",DATE(YEAR($A462),MONTH($A462),1))</f>
        <v/>
      </c>
      <c r="J462" s="68" t="str">
        <f aca="false">IF($A462="","",YEAR($A462+4-WEEKDAY($A462,2)))</f>
        <v/>
      </c>
    </row>
    <row r="463" customFormat="false" ht="15" hidden="false" customHeight="false" outlineLevel="0" collapsed="false">
      <c r="A463" s="33"/>
      <c r="H463" s="68" t="str">
        <f aca="false">IF($A463="","","S"&amp;INT(($A463-WEEKDAY($A463,2)+11-DATE(YEAR($A463+4-WEEKDAY($A463,2)),1,1))/7))</f>
        <v/>
      </c>
      <c r="I463" s="69" t="str">
        <f aca="false">IF($A463="","",DATE(YEAR($A463),MONTH($A463),1))</f>
        <v/>
      </c>
      <c r="J463" s="68" t="str">
        <f aca="false">IF($A463="","",YEAR($A463+4-WEEKDAY($A463,2)))</f>
        <v/>
      </c>
    </row>
    <row r="464" customFormat="false" ht="15" hidden="false" customHeight="false" outlineLevel="0" collapsed="false">
      <c r="A464" s="33"/>
      <c r="H464" s="68" t="str">
        <f aca="false">IF($A464="","","S"&amp;INT(($A464-WEEKDAY($A464,2)+11-DATE(YEAR($A464+4-WEEKDAY($A464,2)),1,1))/7))</f>
        <v/>
      </c>
      <c r="I464" s="69" t="str">
        <f aca="false">IF($A464="","",DATE(YEAR($A464),MONTH($A464),1))</f>
        <v/>
      </c>
      <c r="J464" s="68" t="str">
        <f aca="false">IF($A464="","",YEAR($A464+4-WEEKDAY($A464,2)))</f>
        <v/>
      </c>
    </row>
    <row r="465" customFormat="false" ht="15" hidden="false" customHeight="false" outlineLevel="0" collapsed="false">
      <c r="A465" s="33"/>
      <c r="H465" s="68" t="str">
        <f aca="false">IF($A465="","","S"&amp;INT(($A465-WEEKDAY($A465,2)+11-DATE(YEAR($A465+4-WEEKDAY($A465,2)),1,1))/7))</f>
        <v/>
      </c>
      <c r="I465" s="69" t="str">
        <f aca="false">IF($A465="","",DATE(YEAR($A465),MONTH($A465),1))</f>
        <v/>
      </c>
      <c r="J465" s="68" t="str">
        <f aca="false">IF($A465="","",YEAR($A465+4-WEEKDAY($A465,2)))</f>
        <v/>
      </c>
    </row>
    <row r="466" customFormat="false" ht="15" hidden="false" customHeight="false" outlineLevel="0" collapsed="false">
      <c r="A466" s="33"/>
      <c r="H466" s="68" t="str">
        <f aca="false">IF($A466="","","S"&amp;INT(($A466-WEEKDAY($A466,2)+11-DATE(YEAR($A466+4-WEEKDAY($A466,2)),1,1))/7))</f>
        <v/>
      </c>
      <c r="I466" s="69" t="str">
        <f aca="false">IF($A466="","",DATE(YEAR($A466),MONTH($A466),1))</f>
        <v/>
      </c>
      <c r="J466" s="68" t="str">
        <f aca="false">IF($A466="","",YEAR($A466+4-WEEKDAY($A466,2)))</f>
        <v/>
      </c>
    </row>
    <row r="467" customFormat="false" ht="15" hidden="false" customHeight="false" outlineLevel="0" collapsed="false">
      <c r="A467" s="33"/>
      <c r="H467" s="68" t="str">
        <f aca="false">IF($A467="","","S"&amp;INT(($A467-WEEKDAY($A467,2)+11-DATE(YEAR($A467+4-WEEKDAY($A467,2)),1,1))/7))</f>
        <v/>
      </c>
      <c r="I467" s="69" t="str">
        <f aca="false">IF($A467="","",DATE(YEAR($A467),MONTH($A467),1))</f>
        <v/>
      </c>
      <c r="J467" s="68" t="str">
        <f aca="false">IF($A467="","",YEAR($A467+4-WEEKDAY($A467,2)))</f>
        <v/>
      </c>
    </row>
    <row r="468" customFormat="false" ht="15" hidden="false" customHeight="false" outlineLevel="0" collapsed="false">
      <c r="A468" s="33"/>
      <c r="H468" s="68" t="str">
        <f aca="false">IF($A468="","","S"&amp;INT(($A468-WEEKDAY($A468,2)+11-DATE(YEAR($A468+4-WEEKDAY($A468,2)),1,1))/7))</f>
        <v/>
      </c>
      <c r="I468" s="69" t="str">
        <f aca="false">IF($A468="","",DATE(YEAR($A468),MONTH($A468),1))</f>
        <v/>
      </c>
      <c r="J468" s="68" t="str">
        <f aca="false">IF($A468="","",YEAR($A468+4-WEEKDAY($A468,2)))</f>
        <v/>
      </c>
    </row>
    <row r="469" customFormat="false" ht="15" hidden="false" customHeight="false" outlineLevel="0" collapsed="false">
      <c r="A469" s="33"/>
      <c r="H469" s="68" t="str">
        <f aca="false">IF($A469="","","S"&amp;INT(($A469-WEEKDAY($A469,2)+11-DATE(YEAR($A469+4-WEEKDAY($A469,2)),1,1))/7))</f>
        <v/>
      </c>
      <c r="I469" s="69" t="str">
        <f aca="false">IF($A469="","",DATE(YEAR($A469),MONTH($A469),1))</f>
        <v/>
      </c>
      <c r="J469" s="68" t="str">
        <f aca="false">IF($A469="","",YEAR($A469+4-WEEKDAY($A469,2)))</f>
        <v/>
      </c>
    </row>
    <row r="470" customFormat="false" ht="15" hidden="false" customHeight="false" outlineLevel="0" collapsed="false">
      <c r="A470" s="33"/>
      <c r="H470" s="68" t="str">
        <f aca="false">IF($A470="","","S"&amp;INT(($A470-WEEKDAY($A470,2)+11-DATE(YEAR($A470+4-WEEKDAY($A470,2)),1,1))/7))</f>
        <v/>
      </c>
      <c r="I470" s="69" t="str">
        <f aca="false">IF($A470="","",DATE(YEAR($A470),MONTH($A470),1))</f>
        <v/>
      </c>
      <c r="J470" s="68" t="str">
        <f aca="false">IF($A470="","",YEAR($A470+4-WEEKDAY($A470,2)))</f>
        <v/>
      </c>
    </row>
    <row r="471" customFormat="false" ht="15" hidden="false" customHeight="false" outlineLevel="0" collapsed="false">
      <c r="A471" s="33"/>
      <c r="H471" s="68" t="str">
        <f aca="false">IF($A471="","","S"&amp;INT(($A471-WEEKDAY($A471,2)+11-DATE(YEAR($A471+4-WEEKDAY($A471,2)),1,1))/7))</f>
        <v/>
      </c>
      <c r="I471" s="69" t="str">
        <f aca="false">IF($A471="","",DATE(YEAR($A471),MONTH($A471),1))</f>
        <v/>
      </c>
      <c r="J471" s="68" t="str">
        <f aca="false">IF($A471="","",YEAR($A471+4-WEEKDAY($A471,2)))</f>
        <v/>
      </c>
    </row>
    <row r="472" customFormat="false" ht="15" hidden="false" customHeight="false" outlineLevel="0" collapsed="false">
      <c r="A472" s="33"/>
      <c r="H472" s="68" t="str">
        <f aca="false">IF($A472="","","S"&amp;INT(($A472-WEEKDAY($A472,2)+11-DATE(YEAR($A472+4-WEEKDAY($A472,2)),1,1))/7))</f>
        <v/>
      </c>
      <c r="I472" s="69" t="str">
        <f aca="false">IF($A472="","",DATE(YEAR($A472),MONTH($A472),1))</f>
        <v/>
      </c>
      <c r="J472" s="68" t="str">
        <f aca="false">IF($A472="","",YEAR($A472+4-WEEKDAY($A472,2)))</f>
        <v/>
      </c>
    </row>
    <row r="473" customFormat="false" ht="15" hidden="false" customHeight="false" outlineLevel="0" collapsed="false">
      <c r="A473" s="33"/>
      <c r="H473" s="68" t="str">
        <f aca="false">IF($A473="","","S"&amp;INT(($A473-WEEKDAY($A473,2)+11-DATE(YEAR($A473+4-WEEKDAY($A473,2)),1,1))/7))</f>
        <v/>
      </c>
      <c r="I473" s="69" t="str">
        <f aca="false">IF($A473="","",DATE(YEAR($A473),MONTH($A473),1))</f>
        <v/>
      </c>
      <c r="J473" s="68" t="str">
        <f aca="false">IF($A473="","",YEAR($A473+4-WEEKDAY($A473,2)))</f>
        <v/>
      </c>
    </row>
    <row r="474" customFormat="false" ht="15" hidden="false" customHeight="false" outlineLevel="0" collapsed="false">
      <c r="A474" s="33"/>
      <c r="H474" s="68" t="str">
        <f aca="false">IF($A474="","","S"&amp;INT(($A474-WEEKDAY($A474,2)+11-DATE(YEAR($A474+4-WEEKDAY($A474,2)),1,1))/7))</f>
        <v/>
      </c>
      <c r="I474" s="69" t="str">
        <f aca="false">IF($A474="","",DATE(YEAR($A474),MONTH($A474),1))</f>
        <v/>
      </c>
      <c r="J474" s="68" t="str">
        <f aca="false">IF($A474="","",YEAR($A474+4-WEEKDAY($A474,2)))</f>
        <v/>
      </c>
    </row>
    <row r="475" customFormat="false" ht="15" hidden="false" customHeight="false" outlineLevel="0" collapsed="false">
      <c r="A475" s="33"/>
      <c r="H475" s="68" t="str">
        <f aca="false">IF($A475="","","S"&amp;INT(($A475-WEEKDAY($A475,2)+11-DATE(YEAR($A475+4-WEEKDAY($A475,2)),1,1))/7))</f>
        <v/>
      </c>
      <c r="I475" s="69" t="str">
        <f aca="false">IF($A475="","",DATE(YEAR($A475),MONTH($A475),1))</f>
        <v/>
      </c>
      <c r="J475" s="68" t="str">
        <f aca="false">IF($A475="","",YEAR($A475+4-WEEKDAY($A475,2)))</f>
        <v/>
      </c>
    </row>
    <row r="476" customFormat="false" ht="15" hidden="false" customHeight="false" outlineLevel="0" collapsed="false">
      <c r="A476" s="33"/>
      <c r="H476" s="68" t="str">
        <f aca="false">IF($A476="","","S"&amp;INT(($A476-WEEKDAY($A476,2)+11-DATE(YEAR($A476+4-WEEKDAY($A476,2)),1,1))/7))</f>
        <v/>
      </c>
      <c r="I476" s="69" t="str">
        <f aca="false">IF($A476="","",DATE(YEAR($A476),MONTH($A476),1))</f>
        <v/>
      </c>
      <c r="J476" s="68" t="str">
        <f aca="false">IF($A476="","",YEAR($A476+4-WEEKDAY($A476,2)))</f>
        <v/>
      </c>
    </row>
    <row r="477" customFormat="false" ht="15" hidden="false" customHeight="false" outlineLevel="0" collapsed="false">
      <c r="A477" s="33"/>
      <c r="H477" s="68" t="str">
        <f aca="false">IF($A477="","","S"&amp;INT(($A477-WEEKDAY($A477,2)+11-DATE(YEAR($A477+4-WEEKDAY($A477,2)),1,1))/7))</f>
        <v/>
      </c>
      <c r="I477" s="69" t="str">
        <f aca="false">IF($A477="","",DATE(YEAR($A477),MONTH($A477),1))</f>
        <v/>
      </c>
      <c r="J477" s="68" t="str">
        <f aca="false">IF($A477="","",YEAR($A477+4-WEEKDAY($A477,2)))</f>
        <v/>
      </c>
    </row>
    <row r="478" customFormat="false" ht="15" hidden="false" customHeight="false" outlineLevel="0" collapsed="false">
      <c r="A478" s="33"/>
      <c r="H478" s="68" t="str">
        <f aca="false">IF($A478="","","S"&amp;INT(($A478-WEEKDAY($A478,2)+11-DATE(YEAR($A478+4-WEEKDAY($A478,2)),1,1))/7))</f>
        <v/>
      </c>
      <c r="I478" s="69" t="str">
        <f aca="false">IF($A478="","",DATE(YEAR($A478),MONTH($A478),1))</f>
        <v/>
      </c>
      <c r="J478" s="68" t="str">
        <f aca="false">IF($A478="","",YEAR($A478+4-WEEKDAY($A478,2)))</f>
        <v/>
      </c>
    </row>
    <row r="479" customFormat="false" ht="15" hidden="false" customHeight="false" outlineLevel="0" collapsed="false">
      <c r="A479" s="33"/>
      <c r="H479" s="68" t="str">
        <f aca="false">IF($A479="","","S"&amp;INT(($A479-WEEKDAY($A479,2)+11-DATE(YEAR($A479+4-WEEKDAY($A479,2)),1,1))/7))</f>
        <v/>
      </c>
      <c r="I479" s="69" t="str">
        <f aca="false">IF($A479="","",DATE(YEAR($A479),MONTH($A479),1))</f>
        <v/>
      </c>
      <c r="J479" s="68" t="str">
        <f aca="false">IF($A479="","",YEAR($A479+4-WEEKDAY($A479,2)))</f>
        <v/>
      </c>
    </row>
    <row r="480" customFormat="false" ht="15" hidden="false" customHeight="false" outlineLevel="0" collapsed="false">
      <c r="A480" s="33"/>
      <c r="H480" s="68" t="str">
        <f aca="false">IF($A480="","","S"&amp;INT(($A480-WEEKDAY($A480,2)+11-DATE(YEAR($A480+4-WEEKDAY($A480,2)),1,1))/7))</f>
        <v/>
      </c>
      <c r="I480" s="69" t="str">
        <f aca="false">IF($A480="","",DATE(YEAR($A480),MONTH($A480),1))</f>
        <v/>
      </c>
      <c r="J480" s="68" t="str">
        <f aca="false">IF($A480="","",YEAR($A480+4-WEEKDAY($A480,2)))</f>
        <v/>
      </c>
    </row>
    <row r="481" customFormat="false" ht="15" hidden="false" customHeight="false" outlineLevel="0" collapsed="false">
      <c r="A481" s="33"/>
      <c r="H481" s="68" t="str">
        <f aca="false">IF($A481="","","S"&amp;INT(($A481-WEEKDAY($A481,2)+11-DATE(YEAR($A481+4-WEEKDAY($A481,2)),1,1))/7))</f>
        <v/>
      </c>
      <c r="I481" s="69" t="str">
        <f aca="false">IF($A481="","",DATE(YEAR($A481),MONTH($A481),1))</f>
        <v/>
      </c>
      <c r="J481" s="68" t="str">
        <f aca="false">IF($A481="","",YEAR($A481+4-WEEKDAY($A481,2)))</f>
        <v/>
      </c>
    </row>
    <row r="482" customFormat="false" ht="15" hidden="false" customHeight="false" outlineLevel="0" collapsed="false">
      <c r="A482" s="33"/>
      <c r="H482" s="68" t="str">
        <f aca="false">IF($A482="","","S"&amp;INT(($A482-WEEKDAY($A482,2)+11-DATE(YEAR($A482+4-WEEKDAY($A482,2)),1,1))/7))</f>
        <v/>
      </c>
      <c r="I482" s="69" t="str">
        <f aca="false">IF($A482="","",DATE(YEAR($A482),MONTH($A482),1))</f>
        <v/>
      </c>
      <c r="J482" s="68" t="str">
        <f aca="false">IF($A482="","",YEAR($A482+4-WEEKDAY($A482,2)))</f>
        <v/>
      </c>
    </row>
    <row r="483" customFormat="false" ht="15" hidden="false" customHeight="false" outlineLevel="0" collapsed="false">
      <c r="A483" s="33"/>
      <c r="H483" s="68" t="str">
        <f aca="false">IF($A483="","","S"&amp;INT(($A483-WEEKDAY($A483,2)+11-DATE(YEAR($A483+4-WEEKDAY($A483,2)),1,1))/7))</f>
        <v/>
      </c>
      <c r="I483" s="69" t="str">
        <f aca="false">IF($A483="","",DATE(YEAR($A483),MONTH($A483),1))</f>
        <v/>
      </c>
      <c r="J483" s="68" t="str">
        <f aca="false">IF($A483="","",YEAR($A483+4-WEEKDAY($A483,2)))</f>
        <v/>
      </c>
    </row>
    <row r="484" customFormat="false" ht="15" hidden="false" customHeight="false" outlineLevel="0" collapsed="false">
      <c r="A484" s="33"/>
      <c r="H484" s="68" t="str">
        <f aca="false">IF($A484="","","S"&amp;INT(($A484-WEEKDAY($A484,2)+11-DATE(YEAR($A484+4-WEEKDAY($A484,2)),1,1))/7))</f>
        <v/>
      </c>
      <c r="I484" s="69" t="str">
        <f aca="false">IF($A484="","",DATE(YEAR($A484),MONTH($A484),1))</f>
        <v/>
      </c>
      <c r="J484" s="68" t="str">
        <f aca="false">IF($A484="","",YEAR($A484+4-WEEKDAY($A484,2)))</f>
        <v/>
      </c>
    </row>
    <row r="485" customFormat="false" ht="15" hidden="false" customHeight="false" outlineLevel="0" collapsed="false">
      <c r="A485" s="33"/>
      <c r="H485" s="68" t="str">
        <f aca="false">IF($A485="","","S"&amp;INT(($A485-WEEKDAY($A485,2)+11-DATE(YEAR($A485+4-WEEKDAY($A485,2)),1,1))/7))</f>
        <v/>
      </c>
      <c r="I485" s="69" t="str">
        <f aca="false">IF($A485="","",DATE(YEAR($A485),MONTH($A485),1))</f>
        <v/>
      </c>
      <c r="J485" s="68" t="str">
        <f aca="false">IF($A485="","",YEAR($A485+4-WEEKDAY($A485,2)))</f>
        <v/>
      </c>
    </row>
    <row r="486" customFormat="false" ht="15" hidden="false" customHeight="false" outlineLevel="0" collapsed="false">
      <c r="A486" s="33"/>
      <c r="H486" s="68" t="str">
        <f aca="false">IF($A486="","","S"&amp;INT(($A486-WEEKDAY($A486,2)+11-DATE(YEAR($A486+4-WEEKDAY($A486,2)),1,1))/7))</f>
        <v/>
      </c>
      <c r="I486" s="69" t="str">
        <f aca="false">IF($A486="","",DATE(YEAR($A486),MONTH($A486),1))</f>
        <v/>
      </c>
      <c r="J486" s="68" t="str">
        <f aca="false">IF($A486="","",YEAR($A486+4-WEEKDAY($A486,2)))</f>
        <v/>
      </c>
    </row>
    <row r="487" customFormat="false" ht="15" hidden="false" customHeight="false" outlineLevel="0" collapsed="false">
      <c r="A487" s="33"/>
      <c r="H487" s="68" t="str">
        <f aca="false">IF($A487="","","S"&amp;INT(($A487-WEEKDAY($A487,2)+11-DATE(YEAR($A487+4-WEEKDAY($A487,2)),1,1))/7))</f>
        <v/>
      </c>
      <c r="I487" s="69" t="str">
        <f aca="false">IF($A487="","",DATE(YEAR($A487),MONTH($A487),1))</f>
        <v/>
      </c>
      <c r="J487" s="68" t="str">
        <f aca="false">IF($A487="","",YEAR($A487+4-WEEKDAY($A487,2)))</f>
        <v/>
      </c>
    </row>
    <row r="488" customFormat="false" ht="15" hidden="false" customHeight="false" outlineLevel="0" collapsed="false">
      <c r="A488" s="33"/>
      <c r="H488" s="68" t="str">
        <f aca="false">IF($A488="","","S"&amp;INT(($A488-WEEKDAY($A488,2)+11-DATE(YEAR($A488+4-WEEKDAY($A488,2)),1,1))/7))</f>
        <v/>
      </c>
      <c r="I488" s="69" t="str">
        <f aca="false">IF($A488="","",DATE(YEAR($A488),MONTH($A488),1))</f>
        <v/>
      </c>
      <c r="J488" s="68" t="str">
        <f aca="false">IF($A488="","",YEAR($A488+4-WEEKDAY($A488,2)))</f>
        <v/>
      </c>
    </row>
    <row r="489" customFormat="false" ht="15" hidden="false" customHeight="false" outlineLevel="0" collapsed="false">
      <c r="A489" s="33"/>
      <c r="H489" s="68" t="str">
        <f aca="false">IF($A489="","","S"&amp;INT(($A489-WEEKDAY($A489,2)+11-DATE(YEAR($A489+4-WEEKDAY($A489,2)),1,1))/7))</f>
        <v/>
      </c>
      <c r="I489" s="69" t="str">
        <f aca="false">IF($A489="","",DATE(YEAR($A489),MONTH($A489),1))</f>
        <v/>
      </c>
      <c r="J489" s="68" t="str">
        <f aca="false">IF($A489="","",YEAR($A489+4-WEEKDAY($A489,2)))</f>
        <v/>
      </c>
    </row>
    <row r="490" customFormat="false" ht="15" hidden="false" customHeight="false" outlineLevel="0" collapsed="false">
      <c r="A490" s="33"/>
      <c r="H490" s="68" t="str">
        <f aca="false">IF($A490="","","S"&amp;INT(($A490-WEEKDAY($A490,2)+11-DATE(YEAR($A490+4-WEEKDAY($A490,2)),1,1))/7))</f>
        <v/>
      </c>
      <c r="I490" s="69" t="str">
        <f aca="false">IF($A490="","",DATE(YEAR($A490),MONTH($A490),1))</f>
        <v/>
      </c>
      <c r="J490" s="68" t="str">
        <f aca="false">IF($A490="","",YEAR($A490+4-WEEKDAY($A490,2)))</f>
        <v/>
      </c>
    </row>
    <row r="491" customFormat="false" ht="15" hidden="false" customHeight="false" outlineLevel="0" collapsed="false">
      <c r="A491" s="33"/>
      <c r="H491" s="68" t="str">
        <f aca="false">IF($A491="","","S"&amp;INT(($A491-WEEKDAY($A491,2)+11-DATE(YEAR($A491+4-WEEKDAY($A491,2)),1,1))/7))</f>
        <v/>
      </c>
      <c r="I491" s="69" t="str">
        <f aca="false">IF($A491="","",DATE(YEAR($A491),MONTH($A491),1))</f>
        <v/>
      </c>
      <c r="J491" s="68" t="str">
        <f aca="false">IF($A491="","",YEAR($A491+4-WEEKDAY($A491,2)))</f>
        <v/>
      </c>
    </row>
    <row r="492" customFormat="false" ht="15" hidden="false" customHeight="false" outlineLevel="0" collapsed="false">
      <c r="A492" s="33"/>
      <c r="H492" s="68" t="str">
        <f aca="false">IF($A492="","","S"&amp;INT(($A492-WEEKDAY($A492,2)+11-DATE(YEAR($A492+4-WEEKDAY($A492,2)),1,1))/7))</f>
        <v/>
      </c>
      <c r="I492" s="69" t="str">
        <f aca="false">IF($A492="","",DATE(YEAR($A492),MONTH($A492),1))</f>
        <v/>
      </c>
      <c r="J492" s="68" t="str">
        <f aca="false">IF($A492="","",YEAR($A492+4-WEEKDAY($A492,2)))</f>
        <v/>
      </c>
    </row>
    <row r="493" customFormat="false" ht="15" hidden="false" customHeight="false" outlineLevel="0" collapsed="false">
      <c r="A493" s="33"/>
      <c r="H493" s="68" t="str">
        <f aca="false">IF($A493="","","S"&amp;INT(($A493-WEEKDAY($A493,2)+11-DATE(YEAR($A493+4-WEEKDAY($A493,2)),1,1))/7))</f>
        <v/>
      </c>
      <c r="I493" s="69" t="str">
        <f aca="false">IF($A493="","",DATE(YEAR($A493),MONTH($A493),1))</f>
        <v/>
      </c>
      <c r="J493" s="68" t="str">
        <f aca="false">IF($A493="","",YEAR($A493+4-WEEKDAY($A493,2)))</f>
        <v/>
      </c>
    </row>
    <row r="494" customFormat="false" ht="15" hidden="false" customHeight="false" outlineLevel="0" collapsed="false">
      <c r="A494" s="33"/>
      <c r="H494" s="68" t="str">
        <f aca="false">IF($A494="","","S"&amp;INT(($A494-WEEKDAY($A494,2)+11-DATE(YEAR($A494+4-WEEKDAY($A494,2)),1,1))/7))</f>
        <v/>
      </c>
      <c r="I494" s="69" t="str">
        <f aca="false">IF($A494="","",DATE(YEAR($A494),MONTH($A494),1))</f>
        <v/>
      </c>
      <c r="J494" s="68" t="str">
        <f aca="false">IF($A494="","",YEAR($A494+4-WEEKDAY($A494,2)))</f>
        <v/>
      </c>
    </row>
    <row r="495" customFormat="false" ht="15" hidden="false" customHeight="false" outlineLevel="0" collapsed="false">
      <c r="A495" s="33"/>
      <c r="H495" s="68" t="str">
        <f aca="false">IF($A495="","","S"&amp;INT(($A495-WEEKDAY($A495,2)+11-DATE(YEAR($A495+4-WEEKDAY($A495,2)),1,1))/7))</f>
        <v/>
      </c>
      <c r="I495" s="69" t="str">
        <f aca="false">IF($A495="","",DATE(YEAR($A495),MONTH($A495),1))</f>
        <v/>
      </c>
      <c r="J495" s="68" t="str">
        <f aca="false">IF($A495="","",YEAR($A495+4-WEEKDAY($A495,2)))</f>
        <v/>
      </c>
    </row>
    <row r="496" customFormat="false" ht="15" hidden="false" customHeight="false" outlineLevel="0" collapsed="false">
      <c r="A496" s="33"/>
      <c r="H496" s="68" t="str">
        <f aca="false">IF($A496="","","S"&amp;INT(($A496-WEEKDAY($A496,2)+11-DATE(YEAR($A496+4-WEEKDAY($A496,2)),1,1))/7))</f>
        <v/>
      </c>
      <c r="I496" s="69" t="str">
        <f aca="false">IF($A496="","",DATE(YEAR($A496),MONTH($A496),1))</f>
        <v/>
      </c>
      <c r="J496" s="68" t="str">
        <f aca="false">IF($A496="","",YEAR($A496+4-WEEKDAY($A496,2)))</f>
        <v/>
      </c>
    </row>
    <row r="497" customFormat="false" ht="15" hidden="false" customHeight="false" outlineLevel="0" collapsed="false">
      <c r="A497" s="33"/>
      <c r="H497" s="68" t="str">
        <f aca="false">IF($A497="","","S"&amp;INT(($A497-WEEKDAY($A497,2)+11-DATE(YEAR($A497+4-WEEKDAY($A497,2)),1,1))/7))</f>
        <v/>
      </c>
      <c r="I497" s="69" t="str">
        <f aca="false">IF($A497="","",DATE(YEAR($A497),MONTH($A497),1))</f>
        <v/>
      </c>
      <c r="J497" s="68" t="str">
        <f aca="false">IF($A497="","",YEAR($A497+4-WEEKDAY($A497,2)))</f>
        <v/>
      </c>
    </row>
    <row r="498" customFormat="false" ht="15" hidden="false" customHeight="false" outlineLevel="0" collapsed="false">
      <c r="A498" s="33"/>
      <c r="H498" s="68" t="str">
        <f aca="false">IF($A498="","","S"&amp;INT(($A498-WEEKDAY($A498,2)+11-DATE(YEAR($A498+4-WEEKDAY($A498,2)),1,1))/7))</f>
        <v/>
      </c>
      <c r="I498" s="69" t="str">
        <f aca="false">IF($A498="","",DATE(YEAR($A498),MONTH($A498),1))</f>
        <v/>
      </c>
      <c r="J498" s="68" t="str">
        <f aca="false">IF($A498="","",YEAR($A498+4-WEEKDAY($A498,2)))</f>
        <v/>
      </c>
    </row>
    <row r="499" customFormat="false" ht="15" hidden="false" customHeight="false" outlineLevel="0" collapsed="false">
      <c r="A499" s="33"/>
      <c r="H499" s="68" t="str">
        <f aca="false">IF($A499="","","S"&amp;INT(($A499-WEEKDAY($A499,2)+11-DATE(YEAR($A499+4-WEEKDAY($A499,2)),1,1))/7))</f>
        <v/>
      </c>
      <c r="I499" s="69" t="str">
        <f aca="false">IF($A499="","",DATE(YEAR($A499),MONTH($A499),1))</f>
        <v/>
      </c>
      <c r="J499" s="68" t="str">
        <f aca="false">IF($A499="","",YEAR($A499+4-WEEKDAY($A499,2)))</f>
        <v/>
      </c>
    </row>
    <row r="500" customFormat="false" ht="15" hidden="false" customHeight="false" outlineLevel="0" collapsed="false">
      <c r="A500" s="33"/>
      <c r="H500" s="68" t="str">
        <f aca="false">IF($A500="","","S"&amp;INT(($A500-WEEKDAY($A500,2)+11-DATE(YEAR($A500+4-WEEKDAY($A500,2)),1,1))/7))</f>
        <v/>
      </c>
      <c r="I500" s="69" t="str">
        <f aca="false">IF($A500="","",DATE(YEAR($A500),MONTH($A500),1))</f>
        <v/>
      </c>
      <c r="J500" s="68" t="str">
        <f aca="false">IF($A500="","",YEAR($A500+4-WEEKDAY($A500,2)))</f>
        <v/>
      </c>
    </row>
    <row r="501" customFormat="false" ht="15" hidden="false" customHeight="false" outlineLevel="0" collapsed="false">
      <c r="A501" s="33"/>
      <c r="H501" s="68" t="str">
        <f aca="false">IF($A501="","","S"&amp;INT(($A501-WEEKDAY($A501,2)+11-DATE(YEAR($A501+4-WEEKDAY($A501,2)),1,1))/7))</f>
        <v/>
      </c>
      <c r="I501" s="69" t="str">
        <f aca="false">IF($A501="","",DATE(YEAR($A501),MONTH($A501),1))</f>
        <v/>
      </c>
      <c r="J501" s="68" t="str">
        <f aca="false">IF($A501="","",YEAR($A501+4-WEEKDAY($A501,2)))</f>
        <v/>
      </c>
    </row>
    <row r="502" customFormat="false" ht="15" hidden="false" customHeight="false" outlineLevel="0" collapsed="false">
      <c r="A502" s="33"/>
      <c r="H502" s="68" t="str">
        <f aca="false">IF($A502="","","S"&amp;INT(($A502-WEEKDAY($A502,2)+11-DATE(YEAR($A502+4-WEEKDAY($A502,2)),1,1))/7))</f>
        <v/>
      </c>
      <c r="I502" s="69" t="str">
        <f aca="false">IF($A502="","",DATE(YEAR($A502),MONTH($A502),1))</f>
        <v/>
      </c>
      <c r="J502" s="68" t="str">
        <f aca="false">IF($A502="","",YEAR($A502+4-WEEKDAY($A502,2)))</f>
        <v/>
      </c>
    </row>
    <row r="503" customFormat="false" ht="15" hidden="false" customHeight="false" outlineLevel="0" collapsed="false">
      <c r="A503" s="33"/>
      <c r="H503" s="68" t="str">
        <f aca="false">IF($A503="","","S"&amp;INT(($A503-WEEKDAY($A503,2)+11-DATE(YEAR($A503+4-WEEKDAY($A503,2)),1,1))/7))</f>
        <v/>
      </c>
      <c r="I503" s="69" t="str">
        <f aca="false">IF($A503="","",DATE(YEAR($A503),MONTH($A503),1))</f>
        <v/>
      </c>
      <c r="J503" s="68" t="str">
        <f aca="false">IF($A503="","",YEAR($A503+4-WEEKDAY($A503,2)))</f>
        <v/>
      </c>
    </row>
    <row r="504" customFormat="false" ht="15" hidden="false" customHeight="false" outlineLevel="0" collapsed="false">
      <c r="A504" s="33"/>
      <c r="H504" s="68" t="str">
        <f aca="false">IF($A504="","","S"&amp;INT(($A504-WEEKDAY($A504,2)+11-DATE(YEAR($A504+4-WEEKDAY($A504,2)),1,1))/7))</f>
        <v/>
      </c>
      <c r="I504" s="69" t="str">
        <f aca="false">IF($A504="","",DATE(YEAR($A504),MONTH($A504),1))</f>
        <v/>
      </c>
      <c r="J504" s="68" t="str">
        <f aca="false">IF($A504="","",YEAR($A504+4-WEEKDAY($A504,2)))</f>
        <v/>
      </c>
    </row>
    <row r="505" customFormat="false" ht="15" hidden="false" customHeight="false" outlineLevel="0" collapsed="false">
      <c r="A505" s="33"/>
      <c r="H505" s="68" t="str">
        <f aca="false">IF($A505="","","S"&amp;INT(($A505-WEEKDAY($A505,2)+11-DATE(YEAR($A505+4-WEEKDAY($A505,2)),1,1))/7))</f>
        <v/>
      </c>
      <c r="I505" s="69" t="str">
        <f aca="false">IF($A505="","",DATE(YEAR($A505),MONTH($A505),1))</f>
        <v/>
      </c>
      <c r="J505" s="68" t="str">
        <f aca="false">IF($A505="","",YEAR($A505+4-WEEKDAY($A505,2)))</f>
        <v/>
      </c>
    </row>
    <row r="506" customFormat="false" ht="15" hidden="false" customHeight="false" outlineLevel="0" collapsed="false">
      <c r="A506" s="33"/>
      <c r="H506" s="68" t="str">
        <f aca="false">IF($A506="","","S"&amp;INT(($A506-WEEKDAY($A506,2)+11-DATE(YEAR($A506+4-WEEKDAY($A506,2)),1,1))/7))</f>
        <v/>
      </c>
      <c r="I506" s="69" t="str">
        <f aca="false">IF($A506="","",DATE(YEAR($A506),MONTH($A506),1))</f>
        <v/>
      </c>
      <c r="J506" s="68" t="str">
        <f aca="false">IF($A506="","",YEAR($A506+4-WEEKDAY($A506,2)))</f>
        <v/>
      </c>
    </row>
    <row r="507" customFormat="false" ht="15" hidden="false" customHeight="false" outlineLevel="0" collapsed="false">
      <c r="A507" s="33"/>
      <c r="H507" s="68" t="str">
        <f aca="false">IF($A507="","","S"&amp;INT(($A507-WEEKDAY($A507,2)+11-DATE(YEAR($A507+4-WEEKDAY($A507,2)),1,1))/7))</f>
        <v/>
      </c>
      <c r="I507" s="69" t="str">
        <f aca="false">IF($A507="","",DATE(YEAR($A507),MONTH($A507),1))</f>
        <v/>
      </c>
      <c r="J507" s="68" t="str">
        <f aca="false">IF($A507="","",YEAR($A507+4-WEEKDAY($A507,2)))</f>
        <v/>
      </c>
    </row>
    <row r="508" customFormat="false" ht="15" hidden="false" customHeight="false" outlineLevel="0" collapsed="false">
      <c r="A508" s="33"/>
      <c r="H508" s="68" t="str">
        <f aca="false">IF($A508="","","S"&amp;INT(($A508-WEEKDAY($A508,2)+11-DATE(YEAR($A508+4-WEEKDAY($A508,2)),1,1))/7))</f>
        <v/>
      </c>
      <c r="I508" s="69" t="str">
        <f aca="false">IF($A508="","",DATE(YEAR($A508),MONTH($A508),1))</f>
        <v/>
      </c>
      <c r="J508" s="68" t="str">
        <f aca="false">IF($A508="","",YEAR($A508+4-WEEKDAY($A508,2)))</f>
        <v/>
      </c>
    </row>
    <row r="509" customFormat="false" ht="15" hidden="false" customHeight="false" outlineLevel="0" collapsed="false">
      <c r="A509" s="33"/>
      <c r="H509" s="68" t="str">
        <f aca="false">IF($A509="","","S"&amp;INT(($A509-WEEKDAY($A509,2)+11-DATE(YEAR($A509+4-WEEKDAY($A509,2)),1,1))/7))</f>
        <v/>
      </c>
      <c r="I509" s="69" t="str">
        <f aca="false">IF($A509="","",DATE(YEAR($A509),MONTH($A509),1))</f>
        <v/>
      </c>
      <c r="J509" s="68" t="str">
        <f aca="false">IF($A509="","",YEAR($A509+4-WEEKDAY($A509,2)))</f>
        <v/>
      </c>
    </row>
    <row r="510" customFormat="false" ht="15" hidden="false" customHeight="false" outlineLevel="0" collapsed="false">
      <c r="A510" s="33"/>
      <c r="H510" s="68" t="str">
        <f aca="false">IF($A510="","","S"&amp;INT(($A510-WEEKDAY($A510,2)+11-DATE(YEAR($A510+4-WEEKDAY($A510,2)),1,1))/7))</f>
        <v/>
      </c>
      <c r="I510" s="69" t="str">
        <f aca="false">IF($A510="","",DATE(YEAR($A510),MONTH($A510),1))</f>
        <v/>
      </c>
      <c r="J510" s="68" t="str">
        <f aca="false">IF($A510="","",YEAR($A510+4-WEEKDAY($A510,2)))</f>
        <v/>
      </c>
    </row>
    <row r="511" customFormat="false" ht="15" hidden="false" customHeight="false" outlineLevel="0" collapsed="false">
      <c r="A511" s="33"/>
      <c r="H511" s="68" t="str">
        <f aca="false">IF($A511="","","S"&amp;INT(($A511-WEEKDAY($A511,2)+11-DATE(YEAR($A511+4-WEEKDAY($A511,2)),1,1))/7))</f>
        <v/>
      </c>
      <c r="I511" s="69" t="str">
        <f aca="false">IF($A511="","",DATE(YEAR($A511),MONTH($A511),1))</f>
        <v/>
      </c>
      <c r="J511" s="68" t="str">
        <f aca="false">IF($A511="","",YEAR($A511+4-WEEKDAY($A511,2)))</f>
        <v/>
      </c>
    </row>
    <row r="512" customFormat="false" ht="15" hidden="false" customHeight="false" outlineLevel="0" collapsed="false">
      <c r="A512" s="33"/>
      <c r="H512" s="68" t="str">
        <f aca="false">IF($A512="","","S"&amp;INT(($A512-WEEKDAY($A512,2)+11-DATE(YEAR($A512+4-WEEKDAY($A512,2)),1,1))/7))</f>
        <v/>
      </c>
      <c r="I512" s="69" t="str">
        <f aca="false">IF($A512="","",DATE(YEAR($A512),MONTH($A512),1))</f>
        <v/>
      </c>
      <c r="J512" s="68" t="str">
        <f aca="false">IF($A512="","",YEAR($A512+4-WEEKDAY($A512,2)))</f>
        <v/>
      </c>
    </row>
    <row r="513" customFormat="false" ht="15" hidden="false" customHeight="false" outlineLevel="0" collapsed="false">
      <c r="A513" s="33"/>
      <c r="H513" s="68" t="str">
        <f aca="false">IF($A513="","","S"&amp;INT(($A513-WEEKDAY($A513,2)+11-DATE(YEAR($A513+4-WEEKDAY($A513,2)),1,1))/7))</f>
        <v/>
      </c>
      <c r="I513" s="69" t="str">
        <f aca="false">IF($A513="","",DATE(YEAR($A513),MONTH($A513),1))</f>
        <v/>
      </c>
      <c r="J513" s="68" t="str">
        <f aca="false">IF($A513="","",YEAR($A513+4-WEEKDAY($A513,2)))</f>
        <v/>
      </c>
    </row>
    <row r="514" customFormat="false" ht="15" hidden="false" customHeight="false" outlineLevel="0" collapsed="false">
      <c r="A514" s="33"/>
      <c r="H514" s="68" t="str">
        <f aca="false">IF($A514="","","S"&amp;INT(($A514-WEEKDAY($A514,2)+11-DATE(YEAR($A514+4-WEEKDAY($A514,2)),1,1))/7))</f>
        <v/>
      </c>
      <c r="I514" s="69" t="str">
        <f aca="false">IF($A514="","",DATE(YEAR($A514),MONTH($A514),1))</f>
        <v/>
      </c>
      <c r="J514" s="68" t="str">
        <f aca="false">IF($A514="","",YEAR($A514+4-WEEKDAY($A514,2)))</f>
        <v/>
      </c>
    </row>
    <row r="515" customFormat="false" ht="15" hidden="false" customHeight="false" outlineLevel="0" collapsed="false">
      <c r="A515" s="33"/>
      <c r="H515" s="68" t="str">
        <f aca="false">IF($A515="","","S"&amp;INT(($A515-WEEKDAY($A515,2)+11-DATE(YEAR($A515+4-WEEKDAY($A515,2)),1,1))/7))</f>
        <v/>
      </c>
      <c r="I515" s="69" t="str">
        <f aca="false">IF($A515="","",DATE(YEAR($A515),MONTH($A515),1))</f>
        <v/>
      </c>
      <c r="J515" s="68" t="str">
        <f aca="false">IF($A515="","",YEAR($A515+4-WEEKDAY($A515,2)))</f>
        <v/>
      </c>
    </row>
    <row r="516" customFormat="false" ht="15" hidden="false" customHeight="false" outlineLevel="0" collapsed="false">
      <c r="A516" s="33"/>
      <c r="H516" s="68" t="str">
        <f aca="false">IF($A516="","","S"&amp;INT(($A516-WEEKDAY($A516,2)+11-DATE(YEAR($A516+4-WEEKDAY($A516,2)),1,1))/7))</f>
        <v/>
      </c>
      <c r="I516" s="69" t="str">
        <f aca="false">IF($A516="","",DATE(YEAR($A516),MONTH($A516),1))</f>
        <v/>
      </c>
      <c r="J516" s="68" t="str">
        <f aca="false">IF($A516="","",YEAR($A516+4-WEEKDAY($A516,2)))</f>
        <v/>
      </c>
    </row>
    <row r="517" customFormat="false" ht="15" hidden="false" customHeight="false" outlineLevel="0" collapsed="false">
      <c r="A517" s="33"/>
      <c r="H517" s="68" t="str">
        <f aca="false">IF($A517="","","S"&amp;INT(($A517-WEEKDAY($A517,2)+11-DATE(YEAR($A517+4-WEEKDAY($A517,2)),1,1))/7))</f>
        <v/>
      </c>
      <c r="I517" s="69" t="str">
        <f aca="false">IF($A517="","",DATE(YEAR($A517),MONTH($A517),1))</f>
        <v/>
      </c>
      <c r="J517" s="68" t="str">
        <f aca="false">IF($A517="","",YEAR($A517+4-WEEKDAY($A517,2)))</f>
        <v/>
      </c>
    </row>
    <row r="518" customFormat="false" ht="15" hidden="false" customHeight="false" outlineLevel="0" collapsed="false">
      <c r="A518" s="33"/>
      <c r="H518" s="68" t="str">
        <f aca="false">IF($A518="","","S"&amp;INT(($A518-WEEKDAY($A518,2)+11-DATE(YEAR($A518+4-WEEKDAY($A518,2)),1,1))/7))</f>
        <v/>
      </c>
      <c r="I518" s="69" t="str">
        <f aca="false">IF($A518="","",DATE(YEAR($A518),MONTH($A518),1))</f>
        <v/>
      </c>
      <c r="J518" s="68" t="str">
        <f aca="false">IF($A518="","",YEAR($A518+4-WEEKDAY($A518,2)))</f>
        <v/>
      </c>
    </row>
    <row r="519" customFormat="false" ht="15" hidden="false" customHeight="false" outlineLevel="0" collapsed="false">
      <c r="A519" s="33"/>
      <c r="H519" s="68" t="str">
        <f aca="false">IF($A519="","","S"&amp;INT(($A519-WEEKDAY($A519,2)+11-DATE(YEAR($A519+4-WEEKDAY($A519,2)),1,1))/7))</f>
        <v/>
      </c>
      <c r="I519" s="69" t="str">
        <f aca="false">IF($A519="","",DATE(YEAR($A519),MONTH($A519),1))</f>
        <v/>
      </c>
      <c r="J519" s="68" t="str">
        <f aca="false">IF($A519="","",YEAR($A519+4-WEEKDAY($A519,2)))</f>
        <v/>
      </c>
    </row>
    <row r="520" customFormat="false" ht="15" hidden="false" customHeight="false" outlineLevel="0" collapsed="false">
      <c r="A520" s="33"/>
      <c r="H520" s="68" t="str">
        <f aca="false">IF($A520="","","S"&amp;INT(($A520-WEEKDAY($A520,2)+11-DATE(YEAR($A520+4-WEEKDAY($A520,2)),1,1))/7))</f>
        <v/>
      </c>
      <c r="I520" s="69" t="str">
        <f aca="false">IF($A520="","",DATE(YEAR($A520),MONTH($A520),1))</f>
        <v/>
      </c>
      <c r="J520" s="68" t="str">
        <f aca="false">IF($A520="","",YEAR($A520+4-WEEKDAY($A520,2)))</f>
        <v/>
      </c>
    </row>
    <row r="521" customFormat="false" ht="15" hidden="false" customHeight="false" outlineLevel="0" collapsed="false">
      <c r="A521" s="33"/>
      <c r="H521" s="68" t="str">
        <f aca="false">IF($A521="","","S"&amp;INT(($A521-WEEKDAY($A521,2)+11-DATE(YEAR($A521+4-WEEKDAY($A521,2)),1,1))/7))</f>
        <v/>
      </c>
      <c r="I521" s="69" t="str">
        <f aca="false">IF($A521="","",DATE(YEAR($A521),MONTH($A521),1))</f>
        <v/>
      </c>
      <c r="J521" s="68" t="str">
        <f aca="false">IF($A521="","",YEAR($A521+4-WEEKDAY($A521,2)))</f>
        <v/>
      </c>
    </row>
    <row r="522" customFormat="false" ht="15" hidden="false" customHeight="false" outlineLevel="0" collapsed="false">
      <c r="A522" s="33"/>
      <c r="H522" s="68" t="str">
        <f aca="false">IF($A522="","","S"&amp;INT(($A522-WEEKDAY($A522,2)+11-DATE(YEAR($A522+4-WEEKDAY($A522,2)),1,1))/7))</f>
        <v/>
      </c>
      <c r="I522" s="69" t="str">
        <f aca="false">IF($A522="","",DATE(YEAR($A522),MONTH($A522),1))</f>
        <v/>
      </c>
      <c r="J522" s="68" t="str">
        <f aca="false">IF($A522="","",YEAR($A522+4-WEEKDAY($A522,2)))</f>
        <v/>
      </c>
    </row>
    <row r="523" customFormat="false" ht="15" hidden="false" customHeight="false" outlineLevel="0" collapsed="false">
      <c r="A523" s="33"/>
      <c r="H523" s="68" t="str">
        <f aca="false">IF($A523="","","S"&amp;INT(($A523-WEEKDAY($A523,2)+11-DATE(YEAR($A523+4-WEEKDAY($A523,2)),1,1))/7))</f>
        <v/>
      </c>
      <c r="I523" s="69" t="str">
        <f aca="false">IF($A523="","",DATE(YEAR($A523),MONTH($A523),1))</f>
        <v/>
      </c>
      <c r="J523" s="68" t="str">
        <f aca="false">IF($A523="","",YEAR($A523+4-WEEKDAY($A523,2)))</f>
        <v/>
      </c>
    </row>
    <row r="524" customFormat="false" ht="15" hidden="false" customHeight="false" outlineLevel="0" collapsed="false">
      <c r="A524" s="33"/>
      <c r="H524" s="68" t="str">
        <f aca="false">IF($A524="","","S"&amp;INT(($A524-WEEKDAY($A524,2)+11-DATE(YEAR($A524+4-WEEKDAY($A524,2)),1,1))/7))</f>
        <v/>
      </c>
      <c r="I524" s="69" t="str">
        <f aca="false">IF($A524="","",DATE(YEAR($A524),MONTH($A524),1))</f>
        <v/>
      </c>
      <c r="J524" s="68" t="str">
        <f aca="false">IF($A524="","",YEAR($A524+4-WEEKDAY($A524,2)))</f>
        <v/>
      </c>
    </row>
    <row r="525" customFormat="false" ht="15" hidden="false" customHeight="false" outlineLevel="0" collapsed="false">
      <c r="A525" s="33"/>
      <c r="H525" s="68" t="str">
        <f aca="false">IF($A525="","","S"&amp;INT(($A525-WEEKDAY($A525,2)+11-DATE(YEAR($A525+4-WEEKDAY($A525,2)),1,1))/7))</f>
        <v/>
      </c>
      <c r="I525" s="69" t="str">
        <f aca="false">IF($A525="","",DATE(YEAR($A525),MONTH($A525),1))</f>
        <v/>
      </c>
      <c r="J525" s="68" t="str">
        <f aca="false">IF($A525="","",YEAR($A525+4-WEEKDAY($A525,2)))</f>
        <v/>
      </c>
    </row>
    <row r="526" customFormat="false" ht="15" hidden="false" customHeight="false" outlineLevel="0" collapsed="false">
      <c r="A526" s="33"/>
      <c r="H526" s="68" t="str">
        <f aca="false">IF($A526="","","S"&amp;INT(($A526-WEEKDAY($A526,2)+11-DATE(YEAR($A526+4-WEEKDAY($A526,2)),1,1))/7))</f>
        <v/>
      </c>
      <c r="I526" s="69" t="str">
        <f aca="false">IF($A526="","",DATE(YEAR($A526),MONTH($A526),1))</f>
        <v/>
      </c>
      <c r="J526" s="68" t="str">
        <f aca="false">IF($A526="","",YEAR($A526+4-WEEKDAY($A526,2)))</f>
        <v/>
      </c>
    </row>
    <row r="527" customFormat="false" ht="15" hidden="false" customHeight="false" outlineLevel="0" collapsed="false">
      <c r="A527" s="33"/>
      <c r="H527" s="68" t="str">
        <f aca="false">IF($A527="","","S"&amp;INT(($A527-WEEKDAY($A527,2)+11-DATE(YEAR($A527+4-WEEKDAY($A527,2)),1,1))/7))</f>
        <v/>
      </c>
      <c r="I527" s="69" t="str">
        <f aca="false">IF($A527="","",DATE(YEAR($A527),MONTH($A527),1))</f>
        <v/>
      </c>
      <c r="J527" s="68" t="str">
        <f aca="false">IF($A527="","",YEAR($A527+4-WEEKDAY($A527,2)))</f>
        <v/>
      </c>
    </row>
    <row r="528" customFormat="false" ht="15" hidden="false" customHeight="false" outlineLevel="0" collapsed="false">
      <c r="A528" s="33"/>
      <c r="H528" s="68" t="str">
        <f aca="false">IF($A528="","","S"&amp;INT(($A528-WEEKDAY($A528,2)+11-DATE(YEAR($A528+4-WEEKDAY($A528,2)),1,1))/7))</f>
        <v/>
      </c>
      <c r="I528" s="69" t="str">
        <f aca="false">IF($A528="","",DATE(YEAR($A528),MONTH($A528),1))</f>
        <v/>
      </c>
      <c r="J528" s="68" t="str">
        <f aca="false">IF($A528="","",YEAR($A528+4-WEEKDAY($A528,2)))</f>
        <v/>
      </c>
    </row>
    <row r="529" customFormat="false" ht="15" hidden="false" customHeight="false" outlineLevel="0" collapsed="false">
      <c r="A529" s="33"/>
      <c r="H529" s="68" t="str">
        <f aca="false">IF($A529="","","S"&amp;INT(($A529-WEEKDAY($A529,2)+11-DATE(YEAR($A529+4-WEEKDAY($A529,2)),1,1))/7))</f>
        <v/>
      </c>
      <c r="I529" s="69" t="str">
        <f aca="false">IF($A529="","",DATE(YEAR($A529),MONTH($A529),1))</f>
        <v/>
      </c>
      <c r="J529" s="68" t="str">
        <f aca="false">IF($A529="","",YEAR($A529+4-WEEKDAY($A529,2)))</f>
        <v/>
      </c>
    </row>
    <row r="530" customFormat="false" ht="15" hidden="false" customHeight="false" outlineLevel="0" collapsed="false">
      <c r="A530" s="33"/>
      <c r="H530" s="68" t="str">
        <f aca="false">IF($A530="","","S"&amp;INT(($A530-WEEKDAY($A530,2)+11-DATE(YEAR($A530+4-WEEKDAY($A530,2)),1,1))/7))</f>
        <v/>
      </c>
      <c r="I530" s="69" t="str">
        <f aca="false">IF($A530="","",DATE(YEAR($A530),MONTH($A530),1))</f>
        <v/>
      </c>
      <c r="J530" s="68" t="str">
        <f aca="false">IF($A530="","",YEAR($A530+4-WEEKDAY($A530,2)))</f>
        <v/>
      </c>
    </row>
    <row r="531" customFormat="false" ht="15" hidden="false" customHeight="false" outlineLevel="0" collapsed="false">
      <c r="A531" s="33"/>
      <c r="H531" s="68" t="str">
        <f aca="false">IF($A531="","","S"&amp;INT(($A531-WEEKDAY($A531,2)+11-DATE(YEAR($A531+4-WEEKDAY($A531,2)),1,1))/7))</f>
        <v/>
      </c>
      <c r="I531" s="69" t="str">
        <f aca="false">IF($A531="","",DATE(YEAR($A531),MONTH($A531),1))</f>
        <v/>
      </c>
      <c r="J531" s="68" t="str">
        <f aca="false">IF($A531="","",YEAR($A531+4-WEEKDAY($A531,2)))</f>
        <v/>
      </c>
    </row>
    <row r="532" customFormat="false" ht="15" hidden="false" customHeight="false" outlineLevel="0" collapsed="false">
      <c r="A532" s="33"/>
      <c r="H532" s="68" t="str">
        <f aca="false">IF($A532="","","S"&amp;INT(($A532-WEEKDAY($A532,2)+11-DATE(YEAR($A532+4-WEEKDAY($A532,2)),1,1))/7))</f>
        <v/>
      </c>
      <c r="I532" s="69" t="str">
        <f aca="false">IF($A532="","",DATE(YEAR($A532),MONTH($A532),1))</f>
        <v/>
      </c>
      <c r="J532" s="68" t="str">
        <f aca="false">IF($A532="","",YEAR($A532+4-WEEKDAY($A532,2)))</f>
        <v/>
      </c>
    </row>
    <row r="533" customFormat="false" ht="15" hidden="false" customHeight="false" outlineLevel="0" collapsed="false">
      <c r="A533" s="33"/>
      <c r="H533" s="68" t="str">
        <f aca="false">IF($A533="","","S"&amp;INT(($A533-WEEKDAY($A533,2)+11-DATE(YEAR($A533+4-WEEKDAY($A533,2)),1,1))/7))</f>
        <v/>
      </c>
      <c r="I533" s="69" t="str">
        <f aca="false">IF($A533="","",DATE(YEAR($A533),MONTH($A533),1))</f>
        <v/>
      </c>
      <c r="J533" s="68" t="str">
        <f aca="false">IF($A533="","",YEAR($A533+4-WEEKDAY($A533,2)))</f>
        <v/>
      </c>
    </row>
    <row r="534" customFormat="false" ht="15" hidden="false" customHeight="false" outlineLevel="0" collapsed="false">
      <c r="A534" s="33"/>
      <c r="H534" s="68" t="str">
        <f aca="false">IF($A534="","","S"&amp;INT(($A534-WEEKDAY($A534,2)+11-DATE(YEAR($A534+4-WEEKDAY($A534,2)),1,1))/7))</f>
        <v/>
      </c>
      <c r="I534" s="69" t="str">
        <f aca="false">IF($A534="","",DATE(YEAR($A534),MONTH($A534),1))</f>
        <v/>
      </c>
      <c r="J534" s="68" t="str">
        <f aca="false">IF($A534="","",YEAR($A534+4-WEEKDAY($A534,2)))</f>
        <v/>
      </c>
    </row>
    <row r="535" customFormat="false" ht="15" hidden="false" customHeight="false" outlineLevel="0" collapsed="false">
      <c r="A535" s="33"/>
      <c r="H535" s="68" t="str">
        <f aca="false">IF($A535="","","S"&amp;INT(($A535-WEEKDAY($A535,2)+11-DATE(YEAR($A535+4-WEEKDAY($A535,2)),1,1))/7))</f>
        <v/>
      </c>
      <c r="I535" s="69" t="str">
        <f aca="false">IF($A535="","",DATE(YEAR($A535),MONTH($A535),1))</f>
        <v/>
      </c>
      <c r="J535" s="68" t="str">
        <f aca="false">IF($A535="","",YEAR($A535+4-WEEKDAY($A535,2)))</f>
        <v/>
      </c>
    </row>
    <row r="536" customFormat="false" ht="15" hidden="false" customHeight="false" outlineLevel="0" collapsed="false">
      <c r="A536" s="33"/>
      <c r="H536" s="68" t="str">
        <f aca="false">IF($A536="","","S"&amp;INT(($A536-WEEKDAY($A536,2)+11-DATE(YEAR($A536+4-WEEKDAY($A536,2)),1,1))/7))</f>
        <v/>
      </c>
      <c r="I536" s="69" t="str">
        <f aca="false">IF($A536="","",DATE(YEAR($A536),MONTH($A536),1))</f>
        <v/>
      </c>
      <c r="J536" s="68" t="str">
        <f aca="false">IF($A536="","",YEAR($A536+4-WEEKDAY($A536,2)))</f>
        <v/>
      </c>
    </row>
    <row r="537" customFormat="false" ht="15" hidden="false" customHeight="false" outlineLevel="0" collapsed="false">
      <c r="A537" s="33"/>
      <c r="H537" s="68" t="str">
        <f aca="false">IF($A537="","","S"&amp;INT(($A537-WEEKDAY($A537,2)+11-DATE(YEAR($A537+4-WEEKDAY($A537,2)),1,1))/7))</f>
        <v/>
      </c>
      <c r="I537" s="69" t="str">
        <f aca="false">IF($A537="","",DATE(YEAR($A537),MONTH($A537),1))</f>
        <v/>
      </c>
      <c r="J537" s="68" t="str">
        <f aca="false">IF($A537="","",YEAR($A537+4-WEEKDAY($A537,2)))</f>
        <v/>
      </c>
    </row>
    <row r="538" customFormat="false" ht="15" hidden="false" customHeight="false" outlineLevel="0" collapsed="false">
      <c r="A538" s="33"/>
      <c r="H538" s="68" t="str">
        <f aca="false">IF($A538="","","S"&amp;INT(($A538-WEEKDAY($A538,2)+11-DATE(YEAR($A538+4-WEEKDAY($A538,2)),1,1))/7))</f>
        <v/>
      </c>
      <c r="I538" s="69" t="str">
        <f aca="false">IF($A538="","",DATE(YEAR($A538),MONTH($A538),1))</f>
        <v/>
      </c>
      <c r="J538" s="68" t="str">
        <f aca="false">IF($A538="","",YEAR($A538+4-WEEKDAY($A538,2)))</f>
        <v/>
      </c>
    </row>
    <row r="539" customFormat="false" ht="15" hidden="false" customHeight="false" outlineLevel="0" collapsed="false">
      <c r="A539" s="33"/>
      <c r="H539" s="68" t="str">
        <f aca="false">IF($A539="","","S"&amp;INT(($A539-WEEKDAY($A539,2)+11-DATE(YEAR($A539+4-WEEKDAY($A539,2)),1,1))/7))</f>
        <v/>
      </c>
      <c r="I539" s="69" t="str">
        <f aca="false">IF($A539="","",DATE(YEAR($A539),MONTH($A539),1))</f>
        <v/>
      </c>
      <c r="J539" s="68" t="str">
        <f aca="false">IF($A539="","",YEAR($A539+4-WEEKDAY($A539,2)))</f>
        <v/>
      </c>
    </row>
    <row r="540" customFormat="false" ht="15" hidden="false" customHeight="false" outlineLevel="0" collapsed="false">
      <c r="A540" s="33"/>
      <c r="H540" s="68" t="str">
        <f aca="false">IF($A540="","","S"&amp;INT(($A540-WEEKDAY($A540,2)+11-DATE(YEAR($A540+4-WEEKDAY($A540,2)),1,1))/7))</f>
        <v/>
      </c>
      <c r="I540" s="69" t="str">
        <f aca="false">IF($A540="","",DATE(YEAR($A540),MONTH($A540),1))</f>
        <v/>
      </c>
      <c r="J540" s="68" t="str">
        <f aca="false">IF($A540="","",YEAR($A540+4-WEEKDAY($A540,2)))</f>
        <v/>
      </c>
    </row>
    <row r="541" customFormat="false" ht="15" hidden="false" customHeight="false" outlineLevel="0" collapsed="false">
      <c r="A541" s="33"/>
      <c r="H541" s="68" t="str">
        <f aca="false">IF($A541="","","S"&amp;INT(($A541-WEEKDAY($A541,2)+11-DATE(YEAR($A541+4-WEEKDAY($A541,2)),1,1))/7))</f>
        <v/>
      </c>
      <c r="I541" s="69" t="str">
        <f aca="false">IF($A541="","",DATE(YEAR($A541),MONTH($A541),1))</f>
        <v/>
      </c>
      <c r="J541" s="68" t="str">
        <f aca="false">IF($A541="","",YEAR($A541+4-WEEKDAY($A541,2)))</f>
        <v/>
      </c>
    </row>
    <row r="542" customFormat="false" ht="15" hidden="false" customHeight="false" outlineLevel="0" collapsed="false">
      <c r="A542" s="33"/>
      <c r="H542" s="68" t="str">
        <f aca="false">IF($A542="","","S"&amp;INT(($A542-WEEKDAY($A542,2)+11-DATE(YEAR($A542+4-WEEKDAY($A542,2)),1,1))/7))</f>
        <v/>
      </c>
      <c r="I542" s="69" t="str">
        <f aca="false">IF($A542="","",DATE(YEAR($A542),MONTH($A542),1))</f>
        <v/>
      </c>
      <c r="J542" s="68" t="str">
        <f aca="false">IF($A542="","",YEAR($A542+4-WEEKDAY($A542,2)))</f>
        <v/>
      </c>
    </row>
    <row r="543" customFormat="false" ht="15" hidden="false" customHeight="false" outlineLevel="0" collapsed="false">
      <c r="A543" s="33"/>
      <c r="H543" s="68" t="str">
        <f aca="false">IF($A543="","","S"&amp;INT(($A543-WEEKDAY($A543,2)+11-DATE(YEAR($A543+4-WEEKDAY($A543,2)),1,1))/7))</f>
        <v/>
      </c>
      <c r="I543" s="69" t="str">
        <f aca="false">IF($A543="","",DATE(YEAR($A543),MONTH($A543),1))</f>
        <v/>
      </c>
      <c r="J543" s="68" t="str">
        <f aca="false">IF($A543="","",YEAR($A543+4-WEEKDAY($A543,2)))</f>
        <v/>
      </c>
    </row>
    <row r="544" customFormat="false" ht="15" hidden="false" customHeight="false" outlineLevel="0" collapsed="false">
      <c r="A544" s="33"/>
      <c r="H544" s="68" t="str">
        <f aca="false">IF($A544="","","S"&amp;INT(($A544-WEEKDAY($A544,2)+11-DATE(YEAR($A544+4-WEEKDAY($A544,2)),1,1))/7))</f>
        <v/>
      </c>
      <c r="I544" s="69" t="str">
        <f aca="false">IF($A544="","",DATE(YEAR($A544),MONTH($A544),1))</f>
        <v/>
      </c>
      <c r="J544" s="68" t="str">
        <f aca="false">IF($A544="","",YEAR($A544+4-WEEKDAY($A544,2)))</f>
        <v/>
      </c>
    </row>
    <row r="545" customFormat="false" ht="15" hidden="false" customHeight="false" outlineLevel="0" collapsed="false">
      <c r="A545" s="33"/>
      <c r="H545" s="68" t="str">
        <f aca="false">IF($A545="","","S"&amp;INT(($A545-WEEKDAY($A545,2)+11-DATE(YEAR($A545+4-WEEKDAY($A545,2)),1,1))/7))</f>
        <v/>
      </c>
      <c r="I545" s="69" t="str">
        <f aca="false">IF($A545="","",DATE(YEAR($A545),MONTH($A545),1))</f>
        <v/>
      </c>
      <c r="J545" s="68" t="str">
        <f aca="false">IF($A545="","",YEAR($A545+4-WEEKDAY($A545,2)))</f>
        <v/>
      </c>
    </row>
    <row r="546" customFormat="false" ht="15" hidden="false" customHeight="false" outlineLevel="0" collapsed="false">
      <c r="A546" s="33"/>
      <c r="H546" s="68" t="str">
        <f aca="false">IF($A546="","","S"&amp;INT(($A546-WEEKDAY($A546,2)+11-DATE(YEAR($A546+4-WEEKDAY($A546,2)),1,1))/7))</f>
        <v/>
      </c>
      <c r="I546" s="69" t="str">
        <f aca="false">IF($A546="","",DATE(YEAR($A546),MONTH($A546),1))</f>
        <v/>
      </c>
      <c r="J546" s="68" t="str">
        <f aca="false">IF($A546="","",YEAR($A546+4-WEEKDAY($A546,2)))</f>
        <v/>
      </c>
    </row>
    <row r="547" customFormat="false" ht="15" hidden="false" customHeight="false" outlineLevel="0" collapsed="false">
      <c r="A547" s="33"/>
      <c r="H547" s="68" t="str">
        <f aca="false">IF($A547="","","S"&amp;INT(($A547-WEEKDAY($A547,2)+11-DATE(YEAR($A547+4-WEEKDAY($A547,2)),1,1))/7))</f>
        <v/>
      </c>
      <c r="I547" s="69" t="str">
        <f aca="false">IF($A547="","",DATE(YEAR($A547),MONTH($A547),1))</f>
        <v/>
      </c>
      <c r="J547" s="68" t="str">
        <f aca="false">IF($A547="","",YEAR($A547+4-WEEKDAY($A547,2)))</f>
        <v/>
      </c>
    </row>
    <row r="548" customFormat="false" ht="15" hidden="false" customHeight="false" outlineLevel="0" collapsed="false">
      <c r="A548" s="33"/>
      <c r="H548" s="68" t="str">
        <f aca="false">IF($A548="","","S"&amp;INT(($A548-WEEKDAY($A548,2)+11-DATE(YEAR($A548+4-WEEKDAY($A548,2)),1,1))/7))</f>
        <v/>
      </c>
      <c r="I548" s="69" t="str">
        <f aca="false">IF($A548="","",DATE(YEAR($A548),MONTH($A548),1))</f>
        <v/>
      </c>
      <c r="J548" s="68" t="str">
        <f aca="false">IF($A548="","",YEAR($A548+4-WEEKDAY($A548,2)))</f>
        <v/>
      </c>
    </row>
    <row r="549" customFormat="false" ht="15" hidden="false" customHeight="false" outlineLevel="0" collapsed="false">
      <c r="A549" s="33"/>
      <c r="H549" s="68" t="str">
        <f aca="false">IF($A549="","","S"&amp;INT(($A549-WEEKDAY($A549,2)+11-DATE(YEAR($A549+4-WEEKDAY($A549,2)),1,1))/7))</f>
        <v/>
      </c>
      <c r="I549" s="69" t="str">
        <f aca="false">IF($A549="","",DATE(YEAR($A549),MONTH($A549),1))</f>
        <v/>
      </c>
      <c r="J549" s="68" t="str">
        <f aca="false">IF($A549="","",YEAR($A549+4-WEEKDAY($A549,2)))</f>
        <v/>
      </c>
    </row>
    <row r="550" customFormat="false" ht="15" hidden="false" customHeight="false" outlineLevel="0" collapsed="false">
      <c r="A550" s="33"/>
      <c r="H550" s="68" t="str">
        <f aca="false">IF($A550="","","S"&amp;INT(($A550-WEEKDAY($A550,2)+11-DATE(YEAR($A550+4-WEEKDAY($A550,2)),1,1))/7))</f>
        <v/>
      </c>
      <c r="I550" s="69" t="str">
        <f aca="false">IF($A550="","",DATE(YEAR($A550),MONTH($A550),1))</f>
        <v/>
      </c>
      <c r="J550" s="68" t="str">
        <f aca="false">IF($A550="","",YEAR($A550+4-WEEKDAY($A550,2)))</f>
        <v/>
      </c>
    </row>
    <row r="551" customFormat="false" ht="15" hidden="false" customHeight="false" outlineLevel="0" collapsed="false">
      <c r="A551" s="33"/>
      <c r="H551" s="68" t="str">
        <f aca="false">IF($A551="","","S"&amp;INT(($A551-WEEKDAY($A551,2)+11-DATE(YEAR($A551+4-WEEKDAY($A551,2)),1,1))/7))</f>
        <v/>
      </c>
      <c r="I551" s="69" t="str">
        <f aca="false">IF($A551="","",DATE(YEAR($A551),MONTH($A551),1))</f>
        <v/>
      </c>
      <c r="J551" s="68" t="str">
        <f aca="false">IF($A551="","",YEAR($A551+4-WEEKDAY($A551,2)))</f>
        <v/>
      </c>
    </row>
    <row r="552" customFormat="false" ht="15" hidden="false" customHeight="false" outlineLevel="0" collapsed="false">
      <c r="A552" s="33"/>
      <c r="H552" s="68" t="str">
        <f aca="false">IF($A552="","","S"&amp;INT(($A552-WEEKDAY($A552,2)+11-DATE(YEAR($A552+4-WEEKDAY($A552,2)),1,1))/7))</f>
        <v/>
      </c>
      <c r="I552" s="69" t="str">
        <f aca="false">IF($A552="","",DATE(YEAR($A552),MONTH($A552),1))</f>
        <v/>
      </c>
      <c r="J552" s="68" t="str">
        <f aca="false">IF($A552="","",YEAR($A552+4-WEEKDAY($A552,2)))</f>
        <v/>
      </c>
    </row>
    <row r="553" customFormat="false" ht="15" hidden="false" customHeight="false" outlineLevel="0" collapsed="false">
      <c r="A553" s="33"/>
      <c r="H553" s="68" t="str">
        <f aca="false">IF($A553="","","S"&amp;INT(($A553-WEEKDAY($A553,2)+11-DATE(YEAR($A553+4-WEEKDAY($A553,2)),1,1))/7))</f>
        <v/>
      </c>
      <c r="I553" s="69" t="str">
        <f aca="false">IF($A553="","",DATE(YEAR($A553),MONTH($A553),1))</f>
        <v/>
      </c>
      <c r="J553" s="68" t="str">
        <f aca="false">IF($A553="","",YEAR($A553+4-WEEKDAY($A553,2)))</f>
        <v/>
      </c>
    </row>
    <row r="554" customFormat="false" ht="15" hidden="false" customHeight="false" outlineLevel="0" collapsed="false">
      <c r="A554" s="33"/>
      <c r="H554" s="68" t="str">
        <f aca="false">IF($A554="","","S"&amp;INT(($A554-WEEKDAY($A554,2)+11-DATE(YEAR($A554+4-WEEKDAY($A554,2)),1,1))/7))</f>
        <v/>
      </c>
      <c r="I554" s="69" t="str">
        <f aca="false">IF($A554="","",DATE(YEAR($A554),MONTH($A554),1))</f>
        <v/>
      </c>
      <c r="J554" s="68" t="str">
        <f aca="false">IF($A554="","",YEAR($A554+4-WEEKDAY($A554,2)))</f>
        <v/>
      </c>
    </row>
    <row r="555" customFormat="false" ht="15" hidden="false" customHeight="false" outlineLevel="0" collapsed="false">
      <c r="A555" s="33"/>
      <c r="H555" s="68" t="str">
        <f aca="false">IF($A555="","","S"&amp;INT(($A555-WEEKDAY($A555,2)+11-DATE(YEAR($A555+4-WEEKDAY($A555,2)),1,1))/7))</f>
        <v/>
      </c>
      <c r="I555" s="69" t="str">
        <f aca="false">IF($A555="","",DATE(YEAR($A555),MONTH($A555),1))</f>
        <v/>
      </c>
      <c r="J555" s="68" t="str">
        <f aca="false">IF($A555="","",YEAR($A555+4-WEEKDAY($A555,2)))</f>
        <v/>
      </c>
    </row>
    <row r="556" customFormat="false" ht="15" hidden="false" customHeight="false" outlineLevel="0" collapsed="false">
      <c r="A556" s="33"/>
      <c r="H556" s="68" t="str">
        <f aca="false">IF($A556="","","S"&amp;INT(($A556-WEEKDAY($A556,2)+11-DATE(YEAR($A556+4-WEEKDAY($A556,2)),1,1))/7))</f>
        <v/>
      </c>
      <c r="I556" s="69" t="str">
        <f aca="false">IF($A556="","",DATE(YEAR($A556),MONTH($A556),1))</f>
        <v/>
      </c>
      <c r="J556" s="68" t="str">
        <f aca="false">IF($A556="","",YEAR($A556+4-WEEKDAY($A556,2)))</f>
        <v/>
      </c>
    </row>
    <row r="557" customFormat="false" ht="15" hidden="false" customHeight="false" outlineLevel="0" collapsed="false">
      <c r="A557" s="33"/>
      <c r="H557" s="68" t="str">
        <f aca="false">IF($A557="","","S"&amp;INT(($A557-WEEKDAY($A557,2)+11-DATE(YEAR($A557+4-WEEKDAY($A557,2)),1,1))/7))</f>
        <v/>
      </c>
      <c r="I557" s="69" t="str">
        <f aca="false">IF($A557="","",DATE(YEAR($A557),MONTH($A557),1))</f>
        <v/>
      </c>
      <c r="J557" s="68" t="str">
        <f aca="false">IF($A557="","",YEAR($A557+4-WEEKDAY($A557,2)))</f>
        <v/>
      </c>
    </row>
    <row r="558" customFormat="false" ht="15" hidden="false" customHeight="false" outlineLevel="0" collapsed="false">
      <c r="A558" s="33"/>
      <c r="H558" s="68" t="str">
        <f aca="false">IF($A558="","","S"&amp;INT(($A558-WEEKDAY($A558,2)+11-DATE(YEAR($A558+4-WEEKDAY($A558,2)),1,1))/7))</f>
        <v/>
      </c>
      <c r="I558" s="69" t="str">
        <f aca="false">IF($A558="","",DATE(YEAR($A558),MONTH($A558),1))</f>
        <v/>
      </c>
      <c r="J558" s="68" t="str">
        <f aca="false">IF($A558="","",YEAR($A558+4-WEEKDAY($A558,2)))</f>
        <v/>
      </c>
    </row>
    <row r="559" customFormat="false" ht="15" hidden="false" customHeight="false" outlineLevel="0" collapsed="false">
      <c r="A559" s="33"/>
      <c r="H559" s="68" t="str">
        <f aca="false">IF($A559="","","S"&amp;INT(($A559-WEEKDAY($A559,2)+11-DATE(YEAR($A559+4-WEEKDAY($A559,2)),1,1))/7))</f>
        <v/>
      </c>
      <c r="I559" s="69" t="str">
        <f aca="false">IF($A559="","",DATE(YEAR($A559),MONTH($A559),1))</f>
        <v/>
      </c>
      <c r="J559" s="68" t="str">
        <f aca="false">IF($A559="","",YEAR($A559+4-WEEKDAY($A559,2)))</f>
        <v/>
      </c>
    </row>
    <row r="560" customFormat="false" ht="15" hidden="false" customHeight="false" outlineLevel="0" collapsed="false">
      <c r="A560" s="33"/>
      <c r="H560" s="68" t="str">
        <f aca="false">IF($A560="","","S"&amp;INT(($A560-WEEKDAY($A560,2)+11-DATE(YEAR($A560+4-WEEKDAY($A560,2)),1,1))/7))</f>
        <v/>
      </c>
      <c r="I560" s="69" t="str">
        <f aca="false">IF($A560="","",DATE(YEAR($A560),MONTH($A560),1))</f>
        <v/>
      </c>
      <c r="J560" s="68" t="str">
        <f aca="false">IF($A560="","",YEAR($A560+4-WEEKDAY($A560,2)))</f>
        <v/>
      </c>
    </row>
    <row r="561" customFormat="false" ht="15" hidden="false" customHeight="false" outlineLevel="0" collapsed="false">
      <c r="A561" s="33"/>
      <c r="H561" s="68" t="str">
        <f aca="false">IF($A561="","","S"&amp;INT(($A561-WEEKDAY($A561,2)+11-DATE(YEAR($A561+4-WEEKDAY($A561,2)),1,1))/7))</f>
        <v/>
      </c>
      <c r="I561" s="69" t="str">
        <f aca="false">IF($A561="","",DATE(YEAR($A561),MONTH($A561),1))</f>
        <v/>
      </c>
      <c r="J561" s="68" t="str">
        <f aca="false">IF($A561="","",YEAR($A561+4-WEEKDAY($A561,2)))</f>
        <v/>
      </c>
    </row>
    <row r="562" customFormat="false" ht="15" hidden="false" customHeight="false" outlineLevel="0" collapsed="false">
      <c r="A562" s="33"/>
      <c r="H562" s="68" t="str">
        <f aca="false">IF($A562="","","S"&amp;INT(($A562-WEEKDAY($A562,2)+11-DATE(YEAR($A562+4-WEEKDAY($A562,2)),1,1))/7))</f>
        <v/>
      </c>
      <c r="I562" s="69" t="str">
        <f aca="false">IF($A562="","",DATE(YEAR($A562),MONTH($A562),1))</f>
        <v/>
      </c>
      <c r="J562" s="68" t="str">
        <f aca="false">IF($A562="","",YEAR($A562+4-WEEKDAY($A562,2)))</f>
        <v/>
      </c>
    </row>
    <row r="563" customFormat="false" ht="15" hidden="false" customHeight="false" outlineLevel="0" collapsed="false">
      <c r="A563" s="33"/>
      <c r="H563" s="68" t="str">
        <f aca="false">IF($A563="","","S"&amp;INT(($A563-WEEKDAY($A563,2)+11-DATE(YEAR($A563+4-WEEKDAY($A563,2)),1,1))/7))</f>
        <v/>
      </c>
      <c r="I563" s="69" t="str">
        <f aca="false">IF($A563="","",DATE(YEAR($A563),MONTH($A563),1))</f>
        <v/>
      </c>
      <c r="J563" s="68" t="str">
        <f aca="false">IF($A563="","",YEAR($A563+4-WEEKDAY($A563,2)))</f>
        <v/>
      </c>
    </row>
    <row r="564" customFormat="false" ht="15" hidden="false" customHeight="false" outlineLevel="0" collapsed="false">
      <c r="A564" s="33"/>
      <c r="H564" s="68" t="str">
        <f aca="false">IF($A564="","","S"&amp;INT(($A564-WEEKDAY($A564,2)+11-DATE(YEAR($A564+4-WEEKDAY($A564,2)),1,1))/7))</f>
        <v/>
      </c>
      <c r="I564" s="69" t="str">
        <f aca="false">IF($A564="","",DATE(YEAR($A564),MONTH($A564),1))</f>
        <v/>
      </c>
      <c r="J564" s="68" t="str">
        <f aca="false">IF($A564="","",YEAR($A564+4-WEEKDAY($A564,2)))</f>
        <v/>
      </c>
    </row>
    <row r="565" customFormat="false" ht="15" hidden="false" customHeight="false" outlineLevel="0" collapsed="false">
      <c r="A565" s="33"/>
      <c r="H565" s="68" t="str">
        <f aca="false">IF($A565="","","S"&amp;INT(($A565-WEEKDAY($A565,2)+11-DATE(YEAR($A565+4-WEEKDAY($A565,2)),1,1))/7))</f>
        <v/>
      </c>
      <c r="I565" s="69" t="str">
        <f aca="false">IF($A565="","",DATE(YEAR($A565),MONTH($A565),1))</f>
        <v/>
      </c>
      <c r="J565" s="68" t="str">
        <f aca="false">IF($A565="","",YEAR($A565+4-WEEKDAY($A565,2)))</f>
        <v/>
      </c>
    </row>
    <row r="566" customFormat="false" ht="15" hidden="false" customHeight="false" outlineLevel="0" collapsed="false">
      <c r="A566" s="33"/>
      <c r="H566" s="68" t="str">
        <f aca="false">IF($A566="","","S"&amp;INT(($A566-WEEKDAY($A566,2)+11-DATE(YEAR($A566+4-WEEKDAY($A566,2)),1,1))/7))</f>
        <v/>
      </c>
      <c r="I566" s="69" t="str">
        <f aca="false">IF($A566="","",DATE(YEAR($A566),MONTH($A566),1))</f>
        <v/>
      </c>
      <c r="J566" s="68" t="str">
        <f aca="false">IF($A566="","",YEAR($A566+4-WEEKDAY($A566,2)))</f>
        <v/>
      </c>
    </row>
    <row r="567" customFormat="false" ht="15" hidden="false" customHeight="false" outlineLevel="0" collapsed="false">
      <c r="A567" s="33"/>
      <c r="H567" s="68" t="str">
        <f aca="false">IF($A567="","","S"&amp;INT(($A567-WEEKDAY($A567,2)+11-DATE(YEAR($A567+4-WEEKDAY($A567,2)),1,1))/7))</f>
        <v/>
      </c>
      <c r="I567" s="69" t="str">
        <f aca="false">IF($A567="","",DATE(YEAR($A567),MONTH($A567),1))</f>
        <v/>
      </c>
      <c r="J567" s="68" t="str">
        <f aca="false">IF($A567="","",YEAR($A567+4-WEEKDAY($A567,2)))</f>
        <v/>
      </c>
    </row>
    <row r="568" customFormat="false" ht="15" hidden="false" customHeight="false" outlineLevel="0" collapsed="false">
      <c r="A568" s="33"/>
      <c r="H568" s="68" t="str">
        <f aca="false">IF($A568="","","S"&amp;INT(($A568-WEEKDAY($A568,2)+11-DATE(YEAR($A568+4-WEEKDAY($A568,2)),1,1))/7))</f>
        <v/>
      </c>
      <c r="I568" s="69" t="str">
        <f aca="false">IF($A568="","",DATE(YEAR($A568),MONTH($A568),1))</f>
        <v/>
      </c>
      <c r="J568" s="68" t="str">
        <f aca="false">IF($A568="","",YEAR($A568+4-WEEKDAY($A568,2)))</f>
        <v/>
      </c>
    </row>
    <row r="569" customFormat="false" ht="15" hidden="false" customHeight="false" outlineLevel="0" collapsed="false">
      <c r="A569" s="33"/>
      <c r="H569" s="68" t="str">
        <f aca="false">IF($A569="","","S"&amp;INT(($A569-WEEKDAY($A569,2)+11-DATE(YEAR($A569+4-WEEKDAY($A569,2)),1,1))/7))</f>
        <v/>
      </c>
      <c r="I569" s="69" t="str">
        <f aca="false">IF($A569="","",DATE(YEAR($A569),MONTH($A569),1))</f>
        <v/>
      </c>
      <c r="J569" s="68" t="str">
        <f aca="false">IF($A569="","",YEAR($A569+4-WEEKDAY($A569,2)))</f>
        <v/>
      </c>
    </row>
    <row r="570" customFormat="false" ht="15" hidden="false" customHeight="false" outlineLevel="0" collapsed="false">
      <c r="A570" s="33"/>
      <c r="H570" s="68" t="str">
        <f aca="false">IF($A570="","","S"&amp;INT(($A570-WEEKDAY($A570,2)+11-DATE(YEAR($A570+4-WEEKDAY($A570,2)),1,1))/7))</f>
        <v/>
      </c>
      <c r="I570" s="69" t="str">
        <f aca="false">IF($A570="","",DATE(YEAR($A570),MONTH($A570),1))</f>
        <v/>
      </c>
      <c r="J570" s="68" t="str">
        <f aca="false">IF($A570="","",YEAR($A570+4-WEEKDAY($A570,2)))</f>
        <v/>
      </c>
    </row>
    <row r="571" customFormat="false" ht="15" hidden="false" customHeight="false" outlineLevel="0" collapsed="false">
      <c r="A571" s="33"/>
      <c r="H571" s="68" t="str">
        <f aca="false">IF($A571="","","S"&amp;INT(($A571-WEEKDAY($A571,2)+11-DATE(YEAR($A571+4-WEEKDAY($A571,2)),1,1))/7))</f>
        <v/>
      </c>
      <c r="I571" s="69" t="str">
        <f aca="false">IF($A571="","",DATE(YEAR($A571),MONTH($A571),1))</f>
        <v/>
      </c>
      <c r="J571" s="68" t="str">
        <f aca="false">IF($A571="","",YEAR($A571+4-WEEKDAY($A571,2)))</f>
        <v/>
      </c>
    </row>
    <row r="572" customFormat="false" ht="15" hidden="false" customHeight="false" outlineLevel="0" collapsed="false">
      <c r="A572" s="33"/>
      <c r="H572" s="68" t="str">
        <f aca="false">IF($A572="","","S"&amp;INT(($A572-WEEKDAY($A572,2)+11-DATE(YEAR($A572+4-WEEKDAY($A572,2)),1,1))/7))</f>
        <v/>
      </c>
      <c r="I572" s="69" t="str">
        <f aca="false">IF($A572="","",DATE(YEAR($A572),MONTH($A572),1))</f>
        <v/>
      </c>
      <c r="J572" s="68" t="str">
        <f aca="false">IF($A572="","",YEAR($A572+4-WEEKDAY($A572,2)))</f>
        <v/>
      </c>
    </row>
    <row r="573" customFormat="false" ht="15" hidden="false" customHeight="false" outlineLevel="0" collapsed="false">
      <c r="A573" s="33"/>
      <c r="H573" s="68" t="str">
        <f aca="false">IF($A573="","","S"&amp;INT(($A573-WEEKDAY($A573,2)+11-DATE(YEAR($A573+4-WEEKDAY($A573,2)),1,1))/7))</f>
        <v/>
      </c>
      <c r="I573" s="69" t="str">
        <f aca="false">IF($A573="","",DATE(YEAR($A573),MONTH($A573),1))</f>
        <v/>
      </c>
      <c r="J573" s="68" t="str">
        <f aca="false">IF($A573="","",YEAR($A573+4-WEEKDAY($A573,2)))</f>
        <v/>
      </c>
    </row>
    <row r="574" customFormat="false" ht="15" hidden="false" customHeight="false" outlineLevel="0" collapsed="false">
      <c r="A574" s="33"/>
      <c r="H574" s="68" t="str">
        <f aca="false">IF($A574="","","S"&amp;INT(($A574-WEEKDAY($A574,2)+11-DATE(YEAR($A574+4-WEEKDAY($A574,2)),1,1))/7))</f>
        <v/>
      </c>
      <c r="I574" s="69" t="str">
        <f aca="false">IF($A574="","",DATE(YEAR($A574),MONTH($A574),1))</f>
        <v/>
      </c>
      <c r="J574" s="68" t="str">
        <f aca="false">IF($A574="","",YEAR($A574+4-WEEKDAY($A574,2)))</f>
        <v/>
      </c>
    </row>
    <row r="575" customFormat="false" ht="15" hidden="false" customHeight="false" outlineLevel="0" collapsed="false">
      <c r="A575" s="33"/>
      <c r="H575" s="68" t="str">
        <f aca="false">IF($A575="","","S"&amp;INT(($A575-WEEKDAY($A575,2)+11-DATE(YEAR($A575+4-WEEKDAY($A575,2)),1,1))/7))</f>
        <v/>
      </c>
      <c r="I575" s="69" t="str">
        <f aca="false">IF($A575="","",DATE(YEAR($A575),MONTH($A575),1))</f>
        <v/>
      </c>
      <c r="J575" s="68" t="str">
        <f aca="false">IF($A575="","",YEAR($A575+4-WEEKDAY($A575,2)))</f>
        <v/>
      </c>
    </row>
    <row r="576" customFormat="false" ht="15" hidden="false" customHeight="false" outlineLevel="0" collapsed="false">
      <c r="A576" s="33"/>
      <c r="H576" s="68" t="str">
        <f aca="false">IF($A576="","","S"&amp;INT(($A576-WEEKDAY($A576,2)+11-DATE(YEAR($A576+4-WEEKDAY($A576,2)),1,1))/7))</f>
        <v/>
      </c>
      <c r="I576" s="69" t="str">
        <f aca="false">IF($A576="","",DATE(YEAR($A576),MONTH($A576),1))</f>
        <v/>
      </c>
      <c r="J576" s="68" t="str">
        <f aca="false">IF($A576="","",YEAR($A576+4-WEEKDAY($A576,2)))</f>
        <v/>
      </c>
    </row>
    <row r="577" customFormat="false" ht="15" hidden="false" customHeight="false" outlineLevel="0" collapsed="false">
      <c r="A577" s="33"/>
      <c r="H577" s="68" t="str">
        <f aca="false">IF($A577="","","S"&amp;INT(($A577-WEEKDAY($A577,2)+11-DATE(YEAR($A577+4-WEEKDAY($A577,2)),1,1))/7))</f>
        <v/>
      </c>
      <c r="I577" s="69" t="str">
        <f aca="false">IF($A577="","",DATE(YEAR($A577),MONTH($A577),1))</f>
        <v/>
      </c>
      <c r="J577" s="68" t="str">
        <f aca="false">IF($A577="","",YEAR($A577+4-WEEKDAY($A577,2)))</f>
        <v/>
      </c>
    </row>
    <row r="578" customFormat="false" ht="15" hidden="false" customHeight="false" outlineLevel="0" collapsed="false">
      <c r="A578" s="33"/>
      <c r="H578" s="68" t="str">
        <f aca="false">IF($A578="","","S"&amp;INT(($A578-WEEKDAY($A578,2)+11-DATE(YEAR($A578+4-WEEKDAY($A578,2)),1,1))/7))</f>
        <v/>
      </c>
      <c r="I578" s="69" t="str">
        <f aca="false">IF($A578="","",DATE(YEAR($A578),MONTH($A578),1))</f>
        <v/>
      </c>
      <c r="J578" s="68" t="str">
        <f aca="false">IF($A578="","",YEAR($A578+4-WEEKDAY($A578,2)))</f>
        <v/>
      </c>
    </row>
    <row r="579" customFormat="false" ht="15" hidden="false" customHeight="false" outlineLevel="0" collapsed="false">
      <c r="A579" s="33"/>
      <c r="H579" s="68" t="str">
        <f aca="false">IF($A579="","","S"&amp;INT(($A579-WEEKDAY($A579,2)+11-DATE(YEAR($A579+4-WEEKDAY($A579,2)),1,1))/7))</f>
        <v/>
      </c>
      <c r="I579" s="69" t="str">
        <f aca="false">IF($A579="","",DATE(YEAR($A579),MONTH($A579),1))</f>
        <v/>
      </c>
      <c r="J579" s="68" t="str">
        <f aca="false">IF($A579="","",YEAR($A579+4-WEEKDAY($A579,2)))</f>
        <v/>
      </c>
    </row>
    <row r="580" customFormat="false" ht="15" hidden="false" customHeight="false" outlineLevel="0" collapsed="false">
      <c r="A580" s="33"/>
      <c r="H580" s="68" t="str">
        <f aca="false">IF($A580="","","S"&amp;INT(($A580-WEEKDAY($A580,2)+11-DATE(YEAR($A580+4-WEEKDAY($A580,2)),1,1))/7))</f>
        <v/>
      </c>
      <c r="I580" s="69" t="str">
        <f aca="false">IF($A580="","",DATE(YEAR($A580),MONTH($A580),1))</f>
        <v/>
      </c>
      <c r="J580" s="68" t="str">
        <f aca="false">IF($A580="","",YEAR($A580+4-WEEKDAY($A580,2)))</f>
        <v/>
      </c>
    </row>
    <row r="581" customFormat="false" ht="15" hidden="false" customHeight="false" outlineLevel="0" collapsed="false">
      <c r="A581" s="33"/>
      <c r="H581" s="68" t="str">
        <f aca="false">IF($A581="","","S"&amp;INT(($A581-WEEKDAY($A581,2)+11-DATE(YEAR($A581+4-WEEKDAY($A581,2)),1,1))/7))</f>
        <v/>
      </c>
      <c r="I581" s="69" t="str">
        <f aca="false">IF($A581="","",DATE(YEAR($A581),MONTH($A581),1))</f>
        <v/>
      </c>
      <c r="J581" s="68" t="str">
        <f aca="false">IF($A581="","",YEAR($A581+4-WEEKDAY($A581,2)))</f>
        <v/>
      </c>
    </row>
    <row r="582" customFormat="false" ht="15" hidden="false" customHeight="false" outlineLevel="0" collapsed="false">
      <c r="A582" s="33"/>
      <c r="H582" s="68" t="str">
        <f aca="false">IF($A582="","","S"&amp;INT(($A582-WEEKDAY($A582,2)+11-DATE(YEAR($A582+4-WEEKDAY($A582,2)),1,1))/7))</f>
        <v/>
      </c>
      <c r="I582" s="69" t="str">
        <f aca="false">IF($A582="","",DATE(YEAR($A582),MONTH($A582),1))</f>
        <v/>
      </c>
      <c r="J582" s="68" t="str">
        <f aca="false">IF($A582="","",YEAR($A582+4-WEEKDAY($A582,2)))</f>
        <v/>
      </c>
    </row>
    <row r="583" customFormat="false" ht="15" hidden="false" customHeight="false" outlineLevel="0" collapsed="false">
      <c r="A583" s="33"/>
      <c r="H583" s="68" t="str">
        <f aca="false">IF($A583="","","S"&amp;INT(($A583-WEEKDAY($A583,2)+11-DATE(YEAR($A583+4-WEEKDAY($A583,2)),1,1))/7))</f>
        <v/>
      </c>
      <c r="I583" s="69" t="str">
        <f aca="false">IF($A583="","",DATE(YEAR($A583),MONTH($A583),1))</f>
        <v/>
      </c>
      <c r="J583" s="68" t="str">
        <f aca="false">IF($A583="","",YEAR($A583+4-WEEKDAY($A583,2)))</f>
        <v/>
      </c>
    </row>
    <row r="584" customFormat="false" ht="15" hidden="false" customHeight="false" outlineLevel="0" collapsed="false">
      <c r="A584" s="33"/>
      <c r="H584" s="68" t="str">
        <f aca="false">IF($A584="","","S"&amp;INT(($A584-WEEKDAY($A584,2)+11-DATE(YEAR($A584+4-WEEKDAY($A584,2)),1,1))/7))</f>
        <v/>
      </c>
      <c r="I584" s="69" t="str">
        <f aca="false">IF($A584="","",DATE(YEAR($A584),MONTH($A584),1))</f>
        <v/>
      </c>
      <c r="J584" s="68" t="str">
        <f aca="false">IF($A584="","",YEAR($A584+4-WEEKDAY($A584,2)))</f>
        <v/>
      </c>
    </row>
    <row r="585" customFormat="false" ht="15" hidden="false" customHeight="false" outlineLevel="0" collapsed="false">
      <c r="A585" s="33"/>
      <c r="H585" s="68" t="str">
        <f aca="false">IF($A585="","","S"&amp;INT(($A585-WEEKDAY($A585,2)+11-DATE(YEAR($A585+4-WEEKDAY($A585,2)),1,1))/7))</f>
        <v/>
      </c>
      <c r="I585" s="69" t="str">
        <f aca="false">IF($A585="","",DATE(YEAR($A585),MONTH($A585),1))</f>
        <v/>
      </c>
      <c r="J585" s="68" t="str">
        <f aca="false">IF($A585="","",YEAR($A585+4-WEEKDAY($A585,2)))</f>
        <v/>
      </c>
    </row>
    <row r="586" customFormat="false" ht="15" hidden="false" customHeight="false" outlineLevel="0" collapsed="false">
      <c r="A586" s="33"/>
      <c r="H586" s="68" t="str">
        <f aca="false">IF($A586="","","S"&amp;INT(($A586-WEEKDAY($A586,2)+11-DATE(YEAR($A586+4-WEEKDAY($A586,2)),1,1))/7))</f>
        <v/>
      </c>
      <c r="I586" s="69" t="str">
        <f aca="false">IF($A586="","",DATE(YEAR($A586),MONTH($A586),1))</f>
        <v/>
      </c>
      <c r="J586" s="68" t="str">
        <f aca="false">IF($A586="","",YEAR($A586+4-WEEKDAY($A586,2)))</f>
        <v/>
      </c>
    </row>
    <row r="587" customFormat="false" ht="15" hidden="false" customHeight="false" outlineLevel="0" collapsed="false">
      <c r="A587" s="33"/>
      <c r="H587" s="68" t="str">
        <f aca="false">IF($A587="","","S"&amp;INT(($A587-WEEKDAY($A587,2)+11-DATE(YEAR($A587+4-WEEKDAY($A587,2)),1,1))/7))</f>
        <v/>
      </c>
      <c r="I587" s="69" t="str">
        <f aca="false">IF($A587="","",DATE(YEAR($A587),MONTH($A587),1))</f>
        <v/>
      </c>
      <c r="J587" s="68" t="str">
        <f aca="false">IF($A587="","",YEAR($A587+4-WEEKDAY($A587,2)))</f>
        <v/>
      </c>
    </row>
    <row r="588" customFormat="false" ht="15" hidden="false" customHeight="false" outlineLevel="0" collapsed="false">
      <c r="A588" s="33"/>
      <c r="H588" s="68" t="str">
        <f aca="false">IF($A588="","","S"&amp;INT(($A588-WEEKDAY($A588,2)+11-DATE(YEAR($A588+4-WEEKDAY($A588,2)),1,1))/7))</f>
        <v/>
      </c>
      <c r="I588" s="69" t="str">
        <f aca="false">IF($A588="","",DATE(YEAR($A588),MONTH($A588),1))</f>
        <v/>
      </c>
      <c r="J588" s="68" t="str">
        <f aca="false">IF($A588="","",YEAR($A588+4-WEEKDAY($A588,2)))</f>
        <v/>
      </c>
    </row>
    <row r="589" customFormat="false" ht="15" hidden="false" customHeight="false" outlineLevel="0" collapsed="false">
      <c r="A589" s="33"/>
      <c r="H589" s="68" t="str">
        <f aca="false">IF($A589="","","S"&amp;INT(($A589-WEEKDAY($A589,2)+11-DATE(YEAR($A589+4-WEEKDAY($A589,2)),1,1))/7))</f>
        <v/>
      </c>
      <c r="I589" s="69" t="str">
        <f aca="false">IF($A589="","",DATE(YEAR($A589),MONTH($A589),1))</f>
        <v/>
      </c>
      <c r="J589" s="68" t="str">
        <f aca="false">IF($A589="","",YEAR($A589+4-WEEKDAY($A589,2)))</f>
        <v/>
      </c>
    </row>
    <row r="590" customFormat="false" ht="15" hidden="false" customHeight="false" outlineLevel="0" collapsed="false">
      <c r="A590" s="33"/>
      <c r="H590" s="68" t="str">
        <f aca="false">IF($A590="","","S"&amp;INT(($A590-WEEKDAY($A590,2)+11-DATE(YEAR($A590+4-WEEKDAY($A590,2)),1,1))/7))</f>
        <v/>
      </c>
      <c r="I590" s="69" t="str">
        <f aca="false">IF($A590="","",DATE(YEAR($A590),MONTH($A590),1))</f>
        <v/>
      </c>
      <c r="J590" s="68" t="str">
        <f aca="false">IF($A590="","",YEAR($A590+4-WEEKDAY($A590,2)))</f>
        <v/>
      </c>
    </row>
    <row r="591" customFormat="false" ht="15" hidden="false" customHeight="false" outlineLevel="0" collapsed="false">
      <c r="A591" s="33"/>
      <c r="H591" s="68" t="str">
        <f aca="false">IF($A591="","","S"&amp;INT(($A591-WEEKDAY($A591,2)+11-DATE(YEAR($A591+4-WEEKDAY($A591,2)),1,1))/7))</f>
        <v/>
      </c>
      <c r="I591" s="69" t="str">
        <f aca="false">IF($A591="","",DATE(YEAR($A591),MONTH($A591),1))</f>
        <v/>
      </c>
      <c r="J591" s="68" t="str">
        <f aca="false">IF($A591="","",YEAR($A591+4-WEEKDAY($A591,2)))</f>
        <v/>
      </c>
    </row>
    <row r="592" customFormat="false" ht="15" hidden="false" customHeight="false" outlineLevel="0" collapsed="false">
      <c r="A592" s="33"/>
      <c r="H592" s="68" t="str">
        <f aca="false">IF($A592="","","S"&amp;INT(($A592-WEEKDAY($A592,2)+11-DATE(YEAR($A592+4-WEEKDAY($A592,2)),1,1))/7))</f>
        <v/>
      </c>
      <c r="I592" s="69" t="str">
        <f aca="false">IF($A592="","",DATE(YEAR($A592),MONTH($A592),1))</f>
        <v/>
      </c>
      <c r="J592" s="68" t="str">
        <f aca="false">IF($A592="","",YEAR($A592+4-WEEKDAY($A592,2)))</f>
        <v/>
      </c>
    </row>
    <row r="593" customFormat="false" ht="15" hidden="false" customHeight="false" outlineLevel="0" collapsed="false">
      <c r="A593" s="33"/>
      <c r="H593" s="68" t="str">
        <f aca="false">IF($A593="","","S"&amp;INT(($A593-WEEKDAY($A593,2)+11-DATE(YEAR($A593+4-WEEKDAY($A593,2)),1,1))/7))</f>
        <v/>
      </c>
      <c r="I593" s="69" t="str">
        <f aca="false">IF($A593="","",DATE(YEAR($A593),MONTH($A593),1))</f>
        <v/>
      </c>
      <c r="J593" s="68" t="str">
        <f aca="false">IF($A593="","",YEAR($A593+4-WEEKDAY($A593,2)))</f>
        <v/>
      </c>
    </row>
    <row r="594" customFormat="false" ht="15" hidden="false" customHeight="false" outlineLevel="0" collapsed="false">
      <c r="A594" s="33"/>
      <c r="H594" s="68" t="str">
        <f aca="false">IF($A594="","","S"&amp;INT(($A594-WEEKDAY($A594,2)+11-DATE(YEAR($A594+4-WEEKDAY($A594,2)),1,1))/7))</f>
        <v/>
      </c>
      <c r="I594" s="69" t="str">
        <f aca="false">IF($A594="","",DATE(YEAR($A594),MONTH($A594),1))</f>
        <v/>
      </c>
      <c r="J594" s="68" t="str">
        <f aca="false">IF($A594="","",YEAR($A594+4-WEEKDAY($A594,2)))</f>
        <v/>
      </c>
    </row>
    <row r="595" customFormat="false" ht="15" hidden="false" customHeight="false" outlineLevel="0" collapsed="false">
      <c r="A595" s="33"/>
      <c r="H595" s="68" t="str">
        <f aca="false">IF($A595="","","S"&amp;INT(($A595-WEEKDAY($A595,2)+11-DATE(YEAR($A595+4-WEEKDAY($A595,2)),1,1))/7))</f>
        <v/>
      </c>
      <c r="I595" s="69" t="str">
        <f aca="false">IF($A595="","",DATE(YEAR($A595),MONTH($A595),1))</f>
        <v/>
      </c>
      <c r="J595" s="68" t="str">
        <f aca="false">IF($A595="","",YEAR($A595+4-WEEKDAY($A595,2)))</f>
        <v/>
      </c>
    </row>
    <row r="596" customFormat="false" ht="15" hidden="false" customHeight="false" outlineLevel="0" collapsed="false">
      <c r="A596" s="33"/>
      <c r="H596" s="68" t="str">
        <f aca="false">IF($A596="","","S"&amp;INT(($A596-WEEKDAY($A596,2)+11-DATE(YEAR($A596+4-WEEKDAY($A596,2)),1,1))/7))</f>
        <v/>
      </c>
      <c r="I596" s="69" t="str">
        <f aca="false">IF($A596="","",DATE(YEAR($A596),MONTH($A596),1))</f>
        <v/>
      </c>
      <c r="J596" s="68" t="str">
        <f aca="false">IF($A596="","",YEAR($A596+4-WEEKDAY($A596,2)))</f>
        <v/>
      </c>
    </row>
    <row r="597" customFormat="false" ht="15" hidden="false" customHeight="false" outlineLevel="0" collapsed="false">
      <c r="A597" s="33"/>
      <c r="H597" s="68" t="str">
        <f aca="false">IF($A597="","","S"&amp;INT(($A597-WEEKDAY($A597,2)+11-DATE(YEAR($A597+4-WEEKDAY($A597,2)),1,1))/7))</f>
        <v/>
      </c>
      <c r="I597" s="69" t="str">
        <f aca="false">IF($A597="","",DATE(YEAR($A597),MONTH($A597),1))</f>
        <v/>
      </c>
      <c r="J597" s="68" t="str">
        <f aca="false">IF($A597="","",YEAR($A597+4-WEEKDAY($A597,2)))</f>
        <v/>
      </c>
    </row>
    <row r="598" customFormat="false" ht="15" hidden="false" customHeight="false" outlineLevel="0" collapsed="false">
      <c r="A598" s="33"/>
      <c r="H598" s="68" t="str">
        <f aca="false">IF($A598="","","S"&amp;INT(($A598-WEEKDAY($A598,2)+11-DATE(YEAR($A598+4-WEEKDAY($A598,2)),1,1))/7))</f>
        <v/>
      </c>
      <c r="I598" s="69" t="str">
        <f aca="false">IF($A598="","",DATE(YEAR($A598),MONTH($A598),1))</f>
        <v/>
      </c>
      <c r="J598" s="68" t="str">
        <f aca="false">IF($A598="","",YEAR($A598+4-WEEKDAY($A598,2)))</f>
        <v/>
      </c>
    </row>
    <row r="599" customFormat="false" ht="15" hidden="false" customHeight="false" outlineLevel="0" collapsed="false">
      <c r="A599" s="33"/>
      <c r="H599" s="68" t="str">
        <f aca="false">IF($A599="","","S"&amp;INT(($A599-WEEKDAY($A599,2)+11-DATE(YEAR($A599+4-WEEKDAY($A599,2)),1,1))/7))</f>
        <v/>
      </c>
      <c r="I599" s="69" t="str">
        <f aca="false">IF($A599="","",DATE(YEAR($A599),MONTH($A599),1))</f>
        <v/>
      </c>
      <c r="J599" s="68" t="str">
        <f aca="false">IF($A599="","",YEAR($A599+4-WEEKDAY($A599,2)))</f>
        <v/>
      </c>
    </row>
    <row r="600" customFormat="false" ht="15" hidden="false" customHeight="false" outlineLevel="0" collapsed="false">
      <c r="A600" s="33"/>
      <c r="H600" s="68" t="str">
        <f aca="false">IF($A600="","","S"&amp;INT(($A600-WEEKDAY($A600,2)+11-DATE(YEAR($A600+4-WEEKDAY($A600,2)),1,1))/7))</f>
        <v/>
      </c>
      <c r="I600" s="69" t="str">
        <f aca="false">IF($A600="","",DATE(YEAR($A600),MONTH($A600),1))</f>
        <v/>
      </c>
      <c r="J600" s="68" t="str">
        <f aca="false">IF($A600="","",YEAR($A600+4-WEEKDAY($A600,2)))</f>
        <v/>
      </c>
    </row>
    <row r="601" customFormat="false" ht="15" hidden="false" customHeight="false" outlineLevel="0" collapsed="false">
      <c r="A601" s="33"/>
      <c r="H601" s="68" t="str">
        <f aca="false">IF($A601="","","S"&amp;INT(($A601-WEEKDAY($A601,2)+11-DATE(YEAR($A601+4-WEEKDAY($A601,2)),1,1))/7))</f>
        <v/>
      </c>
      <c r="I601" s="69" t="str">
        <f aca="false">IF($A601="","",DATE(YEAR($A601),MONTH($A601),1))</f>
        <v/>
      </c>
      <c r="J601" s="68" t="str">
        <f aca="false">IF($A601="","",YEAR($A601+4-WEEKDAY($A601,2)))</f>
        <v/>
      </c>
    </row>
    <row r="602" customFormat="false" ht="15" hidden="false" customHeight="false" outlineLevel="0" collapsed="false">
      <c r="A602" s="33"/>
      <c r="H602" s="68" t="str">
        <f aca="false">IF($A602="","","S"&amp;INT(($A602-WEEKDAY($A602,2)+11-DATE(YEAR($A602+4-WEEKDAY($A602,2)),1,1))/7))</f>
        <v/>
      </c>
      <c r="I602" s="69" t="str">
        <f aca="false">IF($A602="","",DATE(YEAR($A602),MONTH($A602),1))</f>
        <v/>
      </c>
      <c r="J602" s="68" t="str">
        <f aca="false">IF($A602="","",YEAR($A602+4-WEEKDAY($A602,2)))</f>
        <v/>
      </c>
    </row>
    <row r="603" customFormat="false" ht="15" hidden="false" customHeight="false" outlineLevel="0" collapsed="false">
      <c r="A603" s="33"/>
      <c r="H603" s="68" t="str">
        <f aca="false">IF($A603="","","S"&amp;INT(($A603-WEEKDAY($A603,2)+11-DATE(YEAR($A603+4-WEEKDAY($A603,2)),1,1))/7))</f>
        <v/>
      </c>
      <c r="I603" s="69" t="str">
        <f aca="false">IF($A603="","",DATE(YEAR($A603),MONTH($A603),1))</f>
        <v/>
      </c>
      <c r="J603" s="68" t="str">
        <f aca="false">IF($A603="","",YEAR($A603+4-WEEKDAY($A603,2)))</f>
        <v/>
      </c>
    </row>
    <row r="604" customFormat="false" ht="15" hidden="false" customHeight="false" outlineLevel="0" collapsed="false">
      <c r="A604" s="33"/>
      <c r="H604" s="68" t="str">
        <f aca="false">IF($A604="","","S"&amp;INT(($A604-WEEKDAY($A604,2)+11-DATE(YEAR($A604+4-WEEKDAY($A604,2)),1,1))/7))</f>
        <v/>
      </c>
      <c r="I604" s="69" t="str">
        <f aca="false">IF($A604="","",DATE(YEAR($A604),MONTH($A604),1))</f>
        <v/>
      </c>
      <c r="J604" s="68" t="str">
        <f aca="false">IF($A604="","",YEAR($A604+4-WEEKDAY($A604,2)))</f>
        <v/>
      </c>
    </row>
    <row r="605" customFormat="false" ht="15" hidden="false" customHeight="false" outlineLevel="0" collapsed="false">
      <c r="A605" s="33"/>
      <c r="H605" s="68" t="str">
        <f aca="false">IF($A605="","","S"&amp;INT(($A605-WEEKDAY($A605,2)+11-DATE(YEAR($A605+4-WEEKDAY($A605,2)),1,1))/7))</f>
        <v/>
      </c>
      <c r="I605" s="69" t="str">
        <f aca="false">IF($A605="","",DATE(YEAR($A605),MONTH($A605),1))</f>
        <v/>
      </c>
      <c r="J605" s="68" t="str">
        <f aca="false">IF($A605="","",YEAR($A605+4-WEEKDAY($A605,2)))</f>
        <v/>
      </c>
    </row>
  </sheetData>
  <mergeCells count="3">
    <mergeCell ref="A1:G1"/>
    <mergeCell ref="A3:J3"/>
    <mergeCell ref="A4:J4"/>
  </mergeCells>
  <conditionalFormatting sqref="A6:G605">
    <cfRule type="expression" priority="2" aboveAverage="0" equalAverage="0" bottom="0" percent="0" rank="0" text="" dxfId="7">
      <formula>$A6&lt;&gt;""</formula>
    </cfRule>
  </conditionalFormatting>
  <conditionalFormatting sqref="A6:A605">
    <cfRule type="expression" priority="3" aboveAverage="0" equalAverage="0" bottom="0" percent="0" rank="0" text="" dxfId="8">
      <formula>$A6&lt;&gt;""</formula>
    </cfRule>
  </conditionalFormatting>
  <conditionalFormatting sqref="B6:B605">
    <cfRule type="expression" priority="4" aboveAverage="0" equalAverage="0" bottom="0" percent="0" rank="0" text="" dxfId="8">
      <formula>$A6&lt;&gt;""</formula>
    </cfRule>
    <cfRule type="expression" priority="5" aboveAverage="0" equalAverage="0" bottom="0" percent="0" rank="0" text="" dxfId="4">
      <formula>$B6="Erro operacional"</formula>
    </cfRule>
    <cfRule type="expression" priority="6" aboveAverage="0" equalAverage="0" bottom="0" percent="0" rank="0" text="" dxfId="9">
      <formula>$B6="Falta"</formula>
    </cfRule>
    <cfRule type="expression" priority="7" aboveAverage="0" equalAverage="0" bottom="0" percent="0" rank="0" text="" dxfId="10">
      <formula>$B6="Atestado"</formula>
    </cfRule>
  </conditionalFormatting>
  <conditionalFormatting sqref="C6:C605">
    <cfRule type="expression" priority="8" aboveAverage="0" equalAverage="0" bottom="0" percent="0" rank="0" text="" dxfId="8">
      <formula>$A6&lt;&gt;""</formula>
    </cfRule>
  </conditionalFormatting>
  <conditionalFormatting sqref="D6:D605">
    <cfRule type="expression" priority="9" aboveAverage="0" equalAverage="0" bottom="0" percent="0" rank="0" text="" dxfId="8">
      <formula>$A6&lt;&gt;""</formula>
    </cfRule>
  </conditionalFormatting>
  <conditionalFormatting sqref="E6:E605">
    <cfRule type="expression" priority="10" aboveAverage="0" equalAverage="0" bottom="0" percent="0" rank="0" text="" dxfId="8">
      <formula>$A6&lt;&gt;""</formula>
    </cfRule>
  </conditionalFormatting>
  <conditionalFormatting sqref="F6:F605">
    <cfRule type="expression" priority="11" aboveAverage="0" equalAverage="0" bottom="0" percent="0" rank="0" text="" dxfId="8">
      <formula>$A6&lt;&gt;""</formula>
    </cfRule>
  </conditionalFormatting>
  <conditionalFormatting sqref="G6:G605">
    <cfRule type="expression" priority="12" aboveAverage="0" equalAverage="0" bottom="0" percent="0" rank="0" text="" dxfId="8">
      <formula>$A6&lt;&gt;""</formula>
    </cfRule>
  </conditionalFormatting>
  <dataValidations count="4">
    <dataValidation allowBlank="true" errorStyle="stop" operator="between" showDropDown="false" showErrorMessage="false" showInputMessage="false" sqref="B6:B605" type="list">
      <formula1>"Erro operacional,Falta,Atestado"</formula1>
      <formula2>0</formula2>
    </dataValidation>
    <dataValidation allowBlank="true" errorStyle="stop" operator="between" showDropDown="false" showErrorMessage="false" showInputMessage="false" sqref="C6:C605" type="list">
      <formula1>"A,B,C"</formula1>
      <formula2>0</formula2>
    </dataValidation>
    <dataValidation allowBlank="true" errorStyle="stop" operator="between" showDropDown="false" showErrorMessage="false" showInputMessage="false" sqref="D6:D605" type="list">
      <formula1>CONFIG!$A$12:$A$40</formula1>
      <formula2>0</formula2>
    </dataValidation>
    <dataValidation allowBlank="true" errorStyle="stop" operator="greaterThanOrEqual" showDropDown="false" showErrorMessage="false" showInputMessage="false" sqref="E6:E6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7" min="6" style="0" width="26"/>
    <col collapsed="false" customWidth="true" hidden="false" outlineLevel="0" max="8" min="8" style="0" width="16"/>
  </cols>
  <sheetData>
    <row r="1" customFormat="false" ht="45.75" hidden="false" customHeight="true" outlineLevel="0" collapsed="false">
      <c r="A1" s="1" t="s">
        <v>159</v>
      </c>
      <c r="B1" s="1"/>
      <c r="C1" s="1"/>
      <c r="D1" s="1"/>
      <c r="E1" s="1"/>
      <c r="F1" s="1"/>
      <c r="G1" s="1"/>
      <c r="H1" s="1"/>
    </row>
    <row r="2" customFormat="false" ht="4.5" hidden="false" customHeight="true" outlineLevel="0" collapsed="false">
      <c r="A2" s="3"/>
      <c r="B2" s="3"/>
      <c r="C2" s="3"/>
      <c r="D2" s="3"/>
      <c r="E2" s="4"/>
      <c r="F2" s="4"/>
      <c r="G2" s="4"/>
      <c r="H2" s="4"/>
    </row>
    <row r="3" customFormat="false" ht="30" hidden="false" customHeight="true" outlineLevel="0" collapsed="false">
      <c r="A3" s="11" t="s">
        <v>160</v>
      </c>
      <c r="B3" s="11"/>
      <c r="C3" s="11"/>
      <c r="D3" s="11"/>
      <c r="E3" s="11"/>
      <c r="F3" s="11"/>
      <c r="G3" s="11"/>
      <c r="H3" s="11"/>
    </row>
    <row r="5" customFormat="false" ht="15" hidden="false" customHeight="false" outlineLevel="0" collapsed="false">
      <c r="A5" s="25" t="s">
        <v>161</v>
      </c>
      <c r="B5" s="25" t="s">
        <v>162</v>
      </c>
      <c r="C5" s="25" t="s">
        <v>163</v>
      </c>
      <c r="D5" s="25" t="s">
        <v>164</v>
      </c>
      <c r="E5" s="25" t="s">
        <v>165</v>
      </c>
      <c r="F5" s="25" t="s">
        <v>166</v>
      </c>
      <c r="G5" s="25" t="s">
        <v>167</v>
      </c>
      <c r="H5" s="25" t="s">
        <v>168</v>
      </c>
    </row>
  </sheetData>
  <mergeCells count="2">
    <mergeCell ref="A1:H1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45.75" hidden="false" customHeight="true" outlineLevel="0" collapsed="false">
      <c r="A1" s="1" t="s">
        <v>169</v>
      </c>
      <c r="B1" s="1"/>
      <c r="C1" s="1"/>
      <c r="D1" s="1"/>
      <c r="E1" s="1"/>
    </row>
    <row r="2" customFormat="false" ht="4.5" hidden="false" customHeight="true" outlineLevel="0" collapsed="false">
      <c r="A2" s="3"/>
      <c r="B2" s="3"/>
      <c r="C2" s="4"/>
      <c r="D2" s="4"/>
      <c r="E2" s="4"/>
    </row>
    <row r="3" customFormat="false" ht="15" hidden="false" customHeight="false" outlineLevel="0" collapsed="false">
      <c r="A3" s="24" t="s">
        <v>170</v>
      </c>
    </row>
    <row r="4" customFormat="false" ht="15" hidden="false" customHeight="false" outlineLevel="0" collapsed="false">
      <c r="A4" s="70" t="s">
        <v>171</v>
      </c>
      <c r="B4" s="70" t="s">
        <v>172</v>
      </c>
      <c r="C4" s="70" t="s">
        <v>173</v>
      </c>
    </row>
    <row r="5" customFormat="false" ht="15" hidden="false" customHeight="false" outlineLevel="0" collapsed="false">
      <c r="A5" s="71" t="s">
        <v>174</v>
      </c>
      <c r="B5" s="72" t="s">
        <v>175</v>
      </c>
      <c r="C5" s="72" t="s">
        <v>176</v>
      </c>
    </row>
    <row r="6" customFormat="false" ht="15" hidden="false" customHeight="false" outlineLevel="0" collapsed="false">
      <c r="A6" s="71" t="s">
        <v>177</v>
      </c>
      <c r="B6" s="72" t="s">
        <v>175</v>
      </c>
      <c r="C6" s="72" t="s">
        <v>178</v>
      </c>
    </row>
    <row r="7" customFormat="false" ht="15" hidden="false" customHeight="false" outlineLevel="0" collapsed="false">
      <c r="A7" s="71" t="s">
        <v>179</v>
      </c>
      <c r="B7" s="72" t="s">
        <v>175</v>
      </c>
      <c r="C7" s="72" t="s">
        <v>180</v>
      </c>
    </row>
    <row r="8" customFormat="false" ht="15" hidden="false" customHeight="false" outlineLevel="0" collapsed="false">
      <c r="A8" s="71" t="s">
        <v>181</v>
      </c>
      <c r="B8" s="72" t="s">
        <v>175</v>
      </c>
      <c r="C8" s="72" t="s">
        <v>182</v>
      </c>
    </row>
    <row r="9" customFormat="false" ht="15" hidden="false" customHeight="false" outlineLevel="0" collapsed="false">
      <c r="A9" s="71" t="s">
        <v>183</v>
      </c>
      <c r="B9" s="72" t="s">
        <v>184</v>
      </c>
      <c r="C9" s="72" t="s">
        <v>185</v>
      </c>
    </row>
    <row r="11" customFormat="false" ht="15" hidden="false" customHeight="false" outlineLevel="0" collapsed="false">
      <c r="A11" s="24" t="s">
        <v>186</v>
      </c>
      <c r="C11" s="24" t="s">
        <v>187</v>
      </c>
    </row>
    <row r="12" customFormat="false" ht="15" hidden="false" customHeight="false" outlineLevel="0" collapsed="false">
      <c r="A12" s="72" t="s">
        <v>188</v>
      </c>
      <c r="C12" s="71" t="s">
        <v>189</v>
      </c>
      <c r="D12" s="72" t="n">
        <v>7</v>
      </c>
    </row>
    <row r="13" customFormat="false" ht="15" hidden="false" customHeight="false" outlineLevel="0" collapsed="false">
      <c r="A13" s="72" t="s">
        <v>190</v>
      </c>
      <c r="C13" s="71" t="s">
        <v>191</v>
      </c>
      <c r="D13" s="72" t="n">
        <v>2</v>
      </c>
    </row>
    <row r="14" customFormat="false" ht="15" hidden="false" customHeight="false" outlineLevel="0" collapsed="false">
      <c r="A14" s="72" t="s">
        <v>192</v>
      </c>
      <c r="C14" s="71" t="s">
        <v>193</v>
      </c>
      <c r="D14" s="72"/>
    </row>
    <row r="15" customFormat="false" ht="15" hidden="false" customHeight="false" outlineLevel="0" collapsed="false">
      <c r="A15" s="72" t="s">
        <v>194</v>
      </c>
      <c r="C15" s="71" t="s">
        <v>195</v>
      </c>
      <c r="D15" s="72"/>
    </row>
    <row r="16" customFormat="false" ht="15" hidden="false" customHeight="false" outlineLevel="0" collapsed="false">
      <c r="A16" s="72" t="s">
        <v>196</v>
      </c>
      <c r="C16" s="71" t="s">
        <v>197</v>
      </c>
      <c r="D16" s="72"/>
    </row>
    <row r="17" customFormat="false" ht="15" hidden="false" customHeight="false" outlineLevel="0" collapsed="false">
      <c r="A17" s="72" t="s">
        <v>198</v>
      </c>
    </row>
    <row r="18" customFormat="false" ht="15" hidden="false" customHeight="false" outlineLevel="0" collapsed="false">
      <c r="A18" s="72" t="s">
        <v>199</v>
      </c>
    </row>
    <row r="19" customFormat="false" ht="15" hidden="false" customHeight="false" outlineLevel="0" collapsed="false">
      <c r="A19" s="72" t="s">
        <v>200</v>
      </c>
    </row>
    <row r="20" customFormat="false" ht="15" hidden="false" customHeight="false" outlineLevel="0" collapsed="false">
      <c r="A20" s="72" t="s">
        <v>201</v>
      </c>
    </row>
    <row r="21" customFormat="false" ht="15" hidden="false" customHeight="false" outlineLevel="0" collapsed="false">
      <c r="A21" s="72" t="s">
        <v>202</v>
      </c>
    </row>
    <row r="22" customFormat="false" ht="15" hidden="false" customHeight="false" outlineLevel="0" collapsed="false">
      <c r="A22" s="72" t="s">
        <v>203</v>
      </c>
    </row>
    <row r="23" customFormat="false" ht="15" hidden="false" customHeight="false" outlineLevel="0" collapsed="false">
      <c r="A23" s="72" t="s">
        <v>204</v>
      </c>
    </row>
    <row r="41" customFormat="false" ht="15" hidden="false" customHeight="false" outlineLevel="0" collapsed="false">
      <c r="A41" s="62" t="s">
        <v>205</v>
      </c>
    </row>
    <row r="42" customFormat="false" ht="15" hidden="false" customHeight="false" outlineLevel="0" collapsed="false">
      <c r="A42" s="62" t="s">
        <v>206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.51"/>
    <col collapsed="false" customWidth="true" hidden="false" outlineLevel="0" max="3" min="3" style="0" width="10.51"/>
    <col collapsed="false" customWidth="true" hidden="false" outlineLevel="0" max="6" min="4" style="0" width="12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9.51"/>
    <col collapsed="false" customWidth="true" hidden="false" outlineLevel="0" max="16" min="13" style="0" width="12"/>
    <col collapsed="false" customWidth="true" hidden="false" outlineLevel="0" max="17" min="17" style="0" width="11.5"/>
    <col collapsed="false" customWidth="true" hidden="false" outlineLevel="0" max="18" min="18" style="0" width="17"/>
    <col collapsed="false" customWidth="true" hidden="false" outlineLevel="0" max="19" min="19" style="0" width="12.5"/>
    <col collapsed="false" customWidth="true" hidden="false" outlineLevel="0" max="22" min="20" style="0" width="3.5"/>
    <col collapsed="false" customWidth="true" hidden="true" outlineLevel="0" max="24" min="24" style="0" width="4"/>
  </cols>
  <sheetData>
    <row r="1" customFormat="false" ht="45.75" hidden="false" customHeight="true" outlineLevel="0" collapsed="false">
      <c r="A1" s="1" t="s">
        <v>207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"/>
      <c r="U1" s="2"/>
      <c r="V1" s="2"/>
      <c r="X1" s="73" t="n">
        <v>46204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X2" s="74" t="s">
        <v>208</v>
      </c>
    </row>
    <row r="3" customFormat="false" ht="15" hidden="false" customHeight="false" outlineLevel="0" collapsed="false">
      <c r="A3" s="5" t="str">
        <f aca="false">IF((COUNTIF($S$22:$S$150,"Aprovada")+COUNTIF($S$22:$S$150,"Entregue")+COUNTIF($S$22:$S$150,"Pendente")+COUNTIF($S$22:$S$150,"Atrasada")+COUNTIF($S$22:$S$150,"Reprovada"))=0,"",IF(COUNTIF($S$22:$S$150,"Aprovada")=(COUNTIF($S$22:$S$150,"Aprovada")+COUNTIF($S$22:$S$150,"Entregue")+COUNTIF($S$22:$S$150,"Pendente")+COUNTIF($S$22:$S$150,"Atrasada")+COUNTIF($S$22:$S$150,"Reprovada")),"MÊS CONCLUÍDO — todas as atividades aprovadas","EM ANDAMENTO — "&amp;COUNTIF($S$22:$S$150,"Aprovada")&amp;" de "&amp;(COUNTIF($S$22:$S$150,"Aprovada")+COUNTIF($S$22:$S$150,"Entregue")+COUNTIF($S$22:$S$150,"Pendente")+COUNTIF($S$22:$S$150,"Atrasada")+COUNTIF($S$22:$S$150,"Reprovada"))&amp;" atividades aprovadas · "&amp;COUNTIF($S$22:$S$150,"Atrasada")&amp;" em atraso"))</f>
        <v>EM ANDAMENTO — 0 de 39 atividades aprovadas · 34 em atraso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5" customFormat="false" ht="18" hidden="false" customHeight="true" outlineLevel="0" collapsed="false">
      <c r="B5" s="70" t="s">
        <v>209</v>
      </c>
      <c r="C5" s="70"/>
      <c r="D5" s="70" t="s">
        <v>210</v>
      </c>
      <c r="E5" s="70"/>
      <c r="F5" s="70" t="s">
        <v>211</v>
      </c>
      <c r="G5" s="70"/>
      <c r="H5" s="70" t="s">
        <v>3</v>
      </c>
      <c r="I5" s="70"/>
      <c r="J5" s="70" t="s">
        <v>6</v>
      </c>
      <c r="K5" s="70"/>
      <c r="L5" s="75" t="s">
        <v>9</v>
      </c>
      <c r="M5" s="75"/>
      <c r="N5" s="70" t="s">
        <v>212</v>
      </c>
      <c r="O5" s="70"/>
    </row>
    <row r="6" customFormat="false" ht="15" hidden="false" customHeight="true" outlineLevel="0" collapsed="false">
      <c r="B6" s="76" t="str">
        <f aca="false">IF(MONTH($X$1-WEEKDAY($X$1)+1+0)=MONTH($X$1),$X$1-WEEKDAY($X$1)+1+0,"")</f>
        <v/>
      </c>
      <c r="C6" s="76"/>
      <c r="D6" s="76" t="str">
        <f aca="false">IF(MONTH($X$1-WEEKDAY($X$1)+1+1)=MONTH($X$1),$X$1-WEEKDAY($X$1)+1+1,"")</f>
        <v/>
      </c>
      <c r="E6" s="76"/>
      <c r="F6" s="76" t="str">
        <f aca="false">IF(MONTH($X$1-WEEKDAY($X$1)+1+2)=MONTH($X$1),$X$1-WEEKDAY($X$1)+1+2,"")</f>
        <v/>
      </c>
      <c r="G6" s="76"/>
      <c r="H6" s="76" t="n">
        <f aca="false">IF(MONTH($X$1-WEEKDAY($X$1)+1+3)=MONTH($X$1),$X$1-WEEKDAY($X$1)+1+3,"")</f>
        <v>46204</v>
      </c>
      <c r="I6" s="76"/>
      <c r="J6" s="76" t="n">
        <f aca="false">IF(MONTH($X$1-WEEKDAY($X$1)+1+4)=MONTH($X$1),$X$1-WEEKDAY($X$1)+1+4,"")</f>
        <v>46205</v>
      </c>
      <c r="K6" s="76"/>
      <c r="L6" s="76" t="n">
        <f aca="false">IF(MONTH($X$1-WEEKDAY($X$1)+1+5)=MONTH($X$1),$X$1-WEEKDAY($X$1)+1+5,"")</f>
        <v>46206</v>
      </c>
      <c r="M6" s="76"/>
      <c r="N6" s="76" t="n">
        <f aca="false">IF(MONTH($X$1-WEEKDAY($X$1)+1+6)=MONTH($X$1),$X$1-WEEKDAY($X$1)+1+6,"")</f>
        <v>46207</v>
      </c>
      <c r="O6" s="76"/>
    </row>
    <row r="7" customFormat="false" ht="25.5" hidden="false" customHeight="true" outlineLevel="0" collapsed="false">
      <c r="B7" s="77" t="str">
        <f aca="false">IF(B6="","",TRIM(IF(COUNTIFS($C$22:$C$150,B6,$D$22:$D$150,"*Vistoria*",$Q$22:$Q$150,"&lt;&gt;Cancelada")&gt;0,"Vistoria ","")&amp;IF(COUNTIFS($C$22:$C$150,B6,$D$22:$D$150,"*Relatório*",$Q$22:$Q$150,"&lt;&gt;Cancelada")&gt;0,"Relatório ","")&amp;IF(COUNTIFS($C$22:$C$150,B6,$D$22:$D$150,"*Reunião*",$Q$22:$Q$150,"&lt;&gt;Cancelada")&gt;0,"REUNIÃO ","")&amp;IF(COUNTIFS($C$22:$C$150,B6,$D$22:$D$150,"*Férias*",$Q$22:$Q$150,"&lt;&gt;Cancelada")&gt;0,"Férias ","")&amp;IF(COUNTIFS($C$22:$C$150,B6,$D$22:$D$150,"*Mudança*",$Q$22:$Q$150,"&lt;&gt;Cancelada")&gt;0,"M.Função ","")&amp;IF(COUNTIFS($C$22:$C$150,B6,$D$22:$D$150,"*Treinamento*",$Q$22:$Q$150,"&lt;&gt;Cancelada")&gt;0,"Trein. ","")))</f>
        <v/>
      </c>
      <c r="C7" s="77"/>
      <c r="D7" s="77" t="str">
        <f aca="false">IF(D6="","",TRIM(IF(COUNTIFS($C$22:$C$150,D6,$D$22:$D$150,"*Vistoria*",$Q$22:$Q$150,"&lt;&gt;Cancelada")&gt;0,"Vistoria ","")&amp;IF(COUNTIFS($C$22:$C$150,D6,$D$22:$D$150,"*Relatório*",$Q$22:$Q$150,"&lt;&gt;Cancelada")&gt;0,"Relatório ","")&amp;IF(COUNTIFS($C$22:$C$150,D6,$D$22:$D$150,"*Reunião*",$Q$22:$Q$150,"&lt;&gt;Cancelada")&gt;0,"REUNIÃO ","")&amp;IF(COUNTIFS($C$22:$C$150,D6,$D$22:$D$150,"*Férias*",$Q$22:$Q$150,"&lt;&gt;Cancelada")&gt;0,"Férias ","")&amp;IF(COUNTIFS($C$22:$C$150,D6,$D$22:$D$150,"*Mudança*",$Q$22:$Q$150,"&lt;&gt;Cancelada")&gt;0,"M.Função ","")&amp;IF(COUNTIFS($C$22:$C$150,D6,$D$22:$D$150,"*Treinamento*",$Q$22:$Q$150,"&lt;&gt;Cancelada")&gt;0,"Trein. ","")))</f>
        <v/>
      </c>
      <c r="E7" s="77"/>
      <c r="F7" s="77" t="str">
        <f aca="false">IF(F6="","",TRIM(IF(COUNTIFS($C$22:$C$150,F6,$D$22:$D$150,"*Vistoria*",$Q$22:$Q$150,"&lt;&gt;Cancelada")&gt;0,"Vistoria ","")&amp;IF(COUNTIFS($C$22:$C$150,F6,$D$22:$D$150,"*Relatório*",$Q$22:$Q$150,"&lt;&gt;Cancelada")&gt;0,"Relatório ","")&amp;IF(COUNTIFS($C$22:$C$150,F6,$D$22:$D$150,"*Reunião*",$Q$22:$Q$150,"&lt;&gt;Cancelada")&gt;0,"REUNIÃO ","")&amp;IF(COUNTIFS($C$22:$C$150,F6,$D$22:$D$150,"*Férias*",$Q$22:$Q$150,"&lt;&gt;Cancelada")&gt;0,"Férias ","")&amp;IF(COUNTIFS($C$22:$C$150,F6,$D$22:$D$150,"*Mudança*",$Q$22:$Q$150,"&lt;&gt;Cancelada")&gt;0,"M.Função ","")&amp;IF(COUNTIFS($C$22:$C$150,F6,$D$22:$D$150,"*Treinamento*",$Q$22:$Q$150,"&lt;&gt;Cancelada")&gt;0,"Trein. ","")))</f>
        <v/>
      </c>
      <c r="G7" s="77"/>
      <c r="H7" s="77" t="str">
        <f aca="false">IF(H6="","",TRIM(IF(COUNTIFS($C$22:$C$150,H6,$D$22:$D$150,"*Vistoria*",$Q$22:$Q$150,"&lt;&gt;Cancelada")&gt;0,"Vistoria ","")&amp;IF(COUNTIFS($C$22:$C$150,H6,$D$22:$D$150,"*Relatório*",$Q$22:$Q$150,"&lt;&gt;Cancelada")&gt;0,"Relatório ","")&amp;IF(COUNTIFS($C$22:$C$150,H6,$D$22:$D$150,"*Reunião*",$Q$22:$Q$150,"&lt;&gt;Cancelada")&gt;0,"REUNIÃO ","")&amp;IF(COUNTIFS($C$22:$C$150,H6,$D$22:$D$150,"*Férias*",$Q$22:$Q$150,"&lt;&gt;Cancelada")&gt;0,"Férias ","")&amp;IF(COUNTIFS($C$22:$C$150,H6,$D$22:$D$150,"*Mudança*",$Q$22:$Q$150,"&lt;&gt;Cancelada")&gt;0,"M.Função ","")&amp;IF(COUNTIFS($C$22:$C$150,H6,$D$22:$D$150,"*Treinamento*",$Q$22:$Q$150,"&lt;&gt;Cancelada")&gt;0,"Trein. ","")))</f>
        <v>Vistoria</v>
      </c>
      <c r="I7" s="77"/>
      <c r="J7" s="77" t="str">
        <f aca="false">IF(J6="","",TRIM(IF(COUNTIFS($C$22:$C$150,J6,$D$22:$D$150,"*Vistoria*",$Q$22:$Q$150,"&lt;&gt;Cancelada")&gt;0,"Vistoria ","")&amp;IF(COUNTIFS($C$22:$C$150,J6,$D$22:$D$150,"*Relatório*",$Q$22:$Q$150,"&lt;&gt;Cancelada")&gt;0,"Relatório ","")&amp;IF(COUNTIFS($C$22:$C$150,J6,$D$22:$D$150,"*Reunião*",$Q$22:$Q$150,"&lt;&gt;Cancelada")&gt;0,"REUNIÃO ","")&amp;IF(COUNTIFS($C$22:$C$150,J6,$D$22:$D$150,"*Férias*",$Q$22:$Q$150,"&lt;&gt;Cancelada")&gt;0,"Férias ","")&amp;IF(COUNTIFS($C$22:$C$150,J6,$D$22:$D$150,"*Mudança*",$Q$22:$Q$150,"&lt;&gt;Cancelada")&gt;0,"M.Função ","")&amp;IF(COUNTIFS($C$22:$C$150,J6,$D$22:$D$150,"*Treinamento*",$Q$22:$Q$150,"&lt;&gt;Cancelada")&gt;0,"Trein. ","")))</f>
        <v>Relatório</v>
      </c>
      <c r="K7" s="77"/>
      <c r="L7" s="77" t="str">
        <f aca="false">IF(L6="","",TRIM(IF(COUNTIFS($C$22:$C$150,L6,$D$22:$D$150,"*Vistoria*",$Q$22:$Q$150,"&lt;&gt;Cancelada")&gt;0,"Vistoria ","")&amp;IF(COUNTIFS($C$22:$C$150,L6,$D$22:$D$150,"*Relatório*",$Q$22:$Q$150,"&lt;&gt;Cancelada")&gt;0,"Relatório ","")&amp;IF(COUNTIFS($C$22:$C$150,L6,$D$22:$D$150,"*Reunião*",$Q$22:$Q$150,"&lt;&gt;Cancelada")&gt;0,"REUNIÃO ","")&amp;IF(COUNTIFS($C$22:$C$150,L6,$D$22:$D$150,"*Férias*",$Q$22:$Q$150,"&lt;&gt;Cancelada")&gt;0,"Férias ","")&amp;IF(COUNTIFS($C$22:$C$150,L6,$D$22:$D$150,"*Mudança*",$Q$22:$Q$150,"&lt;&gt;Cancelada")&gt;0,"M.Função ","")&amp;IF(COUNTIFS($C$22:$C$150,L6,$D$22:$D$150,"*Treinamento*",$Q$22:$Q$150,"&lt;&gt;Cancelada")&gt;0,"Trein. ","")))</f>
        <v>REUNIÃO</v>
      </c>
      <c r="M7" s="77"/>
      <c r="N7" s="77" t="str">
        <f aca="false">IF(N6="","",TRIM(IF(COUNTIFS($C$22:$C$150,N6,$D$22:$D$150,"*Vistoria*",$Q$22:$Q$150,"&lt;&gt;Cancelada")&gt;0,"Vistoria ","")&amp;IF(COUNTIFS($C$22:$C$150,N6,$D$22:$D$150,"*Relatório*",$Q$22:$Q$150,"&lt;&gt;Cancelada")&gt;0,"Relatório ","")&amp;IF(COUNTIFS($C$22:$C$150,N6,$D$22:$D$150,"*Reunião*",$Q$22:$Q$150,"&lt;&gt;Cancelada")&gt;0,"REUNIÃO ","")&amp;IF(COUNTIFS($C$22:$C$150,N6,$D$22:$D$150,"*Férias*",$Q$22:$Q$150,"&lt;&gt;Cancelada")&gt;0,"Férias ","")&amp;IF(COUNTIFS($C$22:$C$150,N6,$D$22:$D$150,"*Mudança*",$Q$22:$Q$150,"&lt;&gt;Cancelada")&gt;0,"M.Função ","")&amp;IF(COUNTIFS($C$22:$C$150,N6,$D$22:$D$150,"*Treinamento*",$Q$22:$Q$150,"&lt;&gt;Cancelada")&gt;0,"Trein. ","")))</f>
        <v/>
      </c>
      <c r="O7" s="77"/>
    </row>
    <row r="8" customFormat="false" ht="15" hidden="false" customHeight="true" outlineLevel="0" collapsed="false">
      <c r="B8" s="76" t="n">
        <f aca="false">IF(MONTH($X$1-WEEKDAY($X$1)+1+7)=MONTH($X$1),$X$1-WEEKDAY($X$1)+1+7,"")</f>
        <v>46208</v>
      </c>
      <c r="C8" s="76"/>
      <c r="D8" s="76" t="n">
        <f aca="false">IF(MONTH($X$1-WEEKDAY($X$1)+1+8)=MONTH($X$1),$X$1-WEEKDAY($X$1)+1+8,"")</f>
        <v>46209</v>
      </c>
      <c r="E8" s="76"/>
      <c r="F8" s="76" t="n">
        <f aca="false">IF(MONTH($X$1-WEEKDAY($X$1)+1+9)=MONTH($X$1),$X$1-WEEKDAY($X$1)+1+9,"")</f>
        <v>46210</v>
      </c>
      <c r="G8" s="76"/>
      <c r="H8" s="76" t="n">
        <f aca="false">IF(MONTH($X$1-WEEKDAY($X$1)+1+10)=MONTH($X$1),$X$1-WEEKDAY($X$1)+1+10,"")</f>
        <v>46211</v>
      </c>
      <c r="I8" s="76"/>
      <c r="J8" s="76" t="n">
        <f aca="false">IF(MONTH($X$1-WEEKDAY($X$1)+1+11)=MONTH($X$1),$X$1-WEEKDAY($X$1)+1+11,"")</f>
        <v>46212</v>
      </c>
      <c r="K8" s="76"/>
      <c r="L8" s="76" t="n">
        <f aca="false">IF(MONTH($X$1-WEEKDAY($X$1)+1+12)=MONTH($X$1),$X$1-WEEKDAY($X$1)+1+12,"")</f>
        <v>46213</v>
      </c>
      <c r="M8" s="76"/>
      <c r="N8" s="76" t="n">
        <f aca="false">IF(MONTH($X$1-WEEKDAY($X$1)+1+13)=MONTH($X$1),$X$1-WEEKDAY($X$1)+1+13,"")</f>
        <v>46214</v>
      </c>
      <c r="O8" s="76"/>
    </row>
    <row r="9" customFormat="false" ht="25.5" hidden="false" customHeight="true" outlineLevel="0" collapsed="false">
      <c r="B9" s="77" t="str">
        <f aca="false">IF(B8="","",TRIM(IF(COUNTIFS($C$22:$C$150,B8,$D$22:$D$150,"*Vistoria*",$Q$22:$Q$150,"&lt;&gt;Cancelada")&gt;0,"Vistoria ","")&amp;IF(COUNTIFS($C$22:$C$150,B8,$D$22:$D$150,"*Relatório*",$Q$22:$Q$150,"&lt;&gt;Cancelada")&gt;0,"Relatório ","")&amp;IF(COUNTIFS($C$22:$C$150,B8,$D$22:$D$150,"*Reunião*",$Q$22:$Q$150,"&lt;&gt;Cancelada")&gt;0,"REUNIÃO ","")&amp;IF(COUNTIFS($C$22:$C$150,B8,$D$22:$D$150,"*Férias*",$Q$22:$Q$150,"&lt;&gt;Cancelada")&gt;0,"Férias ","")&amp;IF(COUNTIFS($C$22:$C$150,B8,$D$22:$D$150,"*Mudança*",$Q$22:$Q$150,"&lt;&gt;Cancelada")&gt;0,"M.Função ","")&amp;IF(COUNTIFS($C$22:$C$150,B8,$D$22:$D$150,"*Treinamento*",$Q$22:$Q$150,"&lt;&gt;Cancelada")&gt;0,"Trein. ","")))</f>
        <v/>
      </c>
      <c r="C9" s="77"/>
      <c r="D9" s="77" t="str">
        <f aca="false">IF(D8="","",TRIM(IF(COUNTIFS($C$22:$C$150,D8,$D$22:$D$150,"*Vistoria*",$Q$22:$Q$150,"&lt;&gt;Cancelada")&gt;0,"Vistoria ","")&amp;IF(COUNTIFS($C$22:$C$150,D8,$D$22:$D$150,"*Relatório*",$Q$22:$Q$150,"&lt;&gt;Cancelada")&gt;0,"Relatório ","")&amp;IF(COUNTIFS($C$22:$C$150,D8,$D$22:$D$150,"*Reunião*",$Q$22:$Q$150,"&lt;&gt;Cancelada")&gt;0,"REUNIÃO ","")&amp;IF(COUNTIFS($C$22:$C$150,D8,$D$22:$D$150,"*Férias*",$Q$22:$Q$150,"&lt;&gt;Cancelada")&gt;0,"Férias ","")&amp;IF(COUNTIFS($C$22:$C$150,D8,$D$22:$D$150,"*Mudança*",$Q$22:$Q$150,"&lt;&gt;Cancelada")&gt;0,"M.Função ","")&amp;IF(COUNTIFS($C$22:$C$150,D8,$D$22:$D$150,"*Treinamento*",$Q$22:$Q$150,"&lt;&gt;Cancelada")&gt;0,"Trein. ","")))</f>
        <v>Férias</v>
      </c>
      <c r="E9" s="77"/>
      <c r="F9" s="77" t="str">
        <f aca="false">IF(F8="","",TRIM(IF(COUNTIFS($C$22:$C$150,F8,$D$22:$D$150,"*Vistoria*",$Q$22:$Q$150,"&lt;&gt;Cancelada")&gt;0,"Vistoria ","")&amp;IF(COUNTIFS($C$22:$C$150,F8,$D$22:$D$150,"*Relatório*",$Q$22:$Q$150,"&lt;&gt;Cancelada")&gt;0,"Relatório ","")&amp;IF(COUNTIFS($C$22:$C$150,F8,$D$22:$D$150,"*Reunião*",$Q$22:$Q$150,"&lt;&gt;Cancelada")&gt;0,"REUNIÃO ","")&amp;IF(COUNTIFS($C$22:$C$150,F8,$D$22:$D$150,"*Férias*",$Q$22:$Q$150,"&lt;&gt;Cancelada")&gt;0,"Férias ","")&amp;IF(COUNTIFS($C$22:$C$150,F8,$D$22:$D$150,"*Mudança*",$Q$22:$Q$150,"&lt;&gt;Cancelada")&gt;0,"M.Função ","")&amp;IF(COUNTIFS($C$22:$C$150,F8,$D$22:$D$150,"*Treinamento*",$Q$22:$Q$150,"&lt;&gt;Cancelada")&gt;0,"Trein. ","")))</f>
        <v/>
      </c>
      <c r="G9" s="77"/>
      <c r="H9" s="77" t="str">
        <f aca="false">IF(H8="","",TRIM(IF(COUNTIFS($C$22:$C$150,H8,$D$22:$D$150,"*Vistoria*",$Q$22:$Q$150,"&lt;&gt;Cancelada")&gt;0,"Vistoria ","")&amp;IF(COUNTIFS($C$22:$C$150,H8,$D$22:$D$150,"*Relatório*",$Q$22:$Q$150,"&lt;&gt;Cancelada")&gt;0,"Relatório ","")&amp;IF(COUNTIFS($C$22:$C$150,H8,$D$22:$D$150,"*Reunião*",$Q$22:$Q$150,"&lt;&gt;Cancelada")&gt;0,"REUNIÃO ","")&amp;IF(COUNTIFS($C$22:$C$150,H8,$D$22:$D$150,"*Férias*",$Q$22:$Q$150,"&lt;&gt;Cancelada")&gt;0,"Férias ","")&amp;IF(COUNTIFS($C$22:$C$150,H8,$D$22:$D$150,"*Mudança*",$Q$22:$Q$150,"&lt;&gt;Cancelada")&gt;0,"M.Função ","")&amp;IF(COUNTIFS($C$22:$C$150,H8,$D$22:$D$150,"*Treinamento*",$Q$22:$Q$150,"&lt;&gt;Cancelada")&gt;0,"Trein. ","")))</f>
        <v>Vistoria</v>
      </c>
      <c r="I9" s="77"/>
      <c r="J9" s="77" t="str">
        <f aca="false">IF(J8="","",TRIM(IF(COUNTIFS($C$22:$C$150,J8,$D$22:$D$150,"*Vistoria*",$Q$22:$Q$150,"&lt;&gt;Cancelada")&gt;0,"Vistoria ","")&amp;IF(COUNTIFS($C$22:$C$150,J8,$D$22:$D$150,"*Relatório*",$Q$22:$Q$150,"&lt;&gt;Cancelada")&gt;0,"Relatório ","")&amp;IF(COUNTIFS($C$22:$C$150,J8,$D$22:$D$150,"*Reunião*",$Q$22:$Q$150,"&lt;&gt;Cancelada")&gt;0,"REUNIÃO ","")&amp;IF(COUNTIFS($C$22:$C$150,J8,$D$22:$D$150,"*Férias*",$Q$22:$Q$150,"&lt;&gt;Cancelada")&gt;0,"Férias ","")&amp;IF(COUNTIFS($C$22:$C$150,J8,$D$22:$D$150,"*Mudança*",$Q$22:$Q$150,"&lt;&gt;Cancelada")&gt;0,"M.Função ","")&amp;IF(COUNTIFS($C$22:$C$150,J8,$D$22:$D$150,"*Treinamento*",$Q$22:$Q$150,"&lt;&gt;Cancelada")&gt;0,"Trein. ","")))</f>
        <v>Relatório</v>
      </c>
      <c r="K9" s="77"/>
      <c r="L9" s="77" t="str">
        <f aca="false">IF(L8="","",TRIM(IF(COUNTIFS($C$22:$C$150,L8,$D$22:$D$150,"*Vistoria*",$Q$22:$Q$150,"&lt;&gt;Cancelada")&gt;0,"Vistoria ","")&amp;IF(COUNTIFS($C$22:$C$150,L8,$D$22:$D$150,"*Relatório*",$Q$22:$Q$150,"&lt;&gt;Cancelada")&gt;0,"Relatório ","")&amp;IF(COUNTIFS($C$22:$C$150,L8,$D$22:$D$150,"*Reunião*",$Q$22:$Q$150,"&lt;&gt;Cancelada")&gt;0,"REUNIÃO ","")&amp;IF(COUNTIFS($C$22:$C$150,L8,$D$22:$D$150,"*Férias*",$Q$22:$Q$150,"&lt;&gt;Cancelada")&gt;0,"Férias ","")&amp;IF(COUNTIFS($C$22:$C$150,L8,$D$22:$D$150,"*Mudança*",$Q$22:$Q$150,"&lt;&gt;Cancelada")&gt;0,"M.Função ","")&amp;IF(COUNTIFS($C$22:$C$150,L8,$D$22:$D$150,"*Treinamento*",$Q$22:$Q$150,"&lt;&gt;Cancelada")&gt;0,"Trein. ","")))</f>
        <v>REUNIÃO</v>
      </c>
      <c r="M9" s="77"/>
      <c r="N9" s="77" t="str">
        <f aca="false">IF(N8="","",TRIM(IF(COUNTIFS($C$22:$C$150,N8,$D$22:$D$150,"*Vistoria*",$Q$22:$Q$150,"&lt;&gt;Cancelada")&gt;0,"Vistoria ","")&amp;IF(COUNTIFS($C$22:$C$150,N8,$D$22:$D$150,"*Relatório*",$Q$22:$Q$150,"&lt;&gt;Cancelada")&gt;0,"Relatório ","")&amp;IF(COUNTIFS($C$22:$C$150,N8,$D$22:$D$150,"*Reunião*",$Q$22:$Q$150,"&lt;&gt;Cancelada")&gt;0,"REUNIÃO ","")&amp;IF(COUNTIFS($C$22:$C$150,N8,$D$22:$D$150,"*Férias*",$Q$22:$Q$150,"&lt;&gt;Cancelada")&gt;0,"Férias ","")&amp;IF(COUNTIFS($C$22:$C$150,N8,$D$22:$D$150,"*Mudança*",$Q$22:$Q$150,"&lt;&gt;Cancelada")&gt;0,"M.Função ","")&amp;IF(COUNTIFS($C$22:$C$150,N8,$D$22:$D$150,"*Treinamento*",$Q$22:$Q$150,"&lt;&gt;Cancelada")&gt;0,"Trein. ","")))</f>
        <v/>
      </c>
      <c r="O9" s="77"/>
    </row>
    <row r="10" customFormat="false" ht="15" hidden="false" customHeight="true" outlineLevel="0" collapsed="false">
      <c r="B10" s="76" t="n">
        <f aca="false">IF(MONTH($X$1-WEEKDAY($X$1)+1+14)=MONTH($X$1),$X$1-WEEKDAY($X$1)+1+14,"")</f>
        <v>46215</v>
      </c>
      <c r="C10" s="76"/>
      <c r="D10" s="76" t="n">
        <f aca="false">IF(MONTH($X$1-WEEKDAY($X$1)+1+15)=MONTH($X$1),$X$1-WEEKDAY($X$1)+1+15,"")</f>
        <v>46216</v>
      </c>
      <c r="E10" s="76"/>
      <c r="F10" s="76" t="n">
        <f aca="false">IF(MONTH($X$1-WEEKDAY($X$1)+1+16)=MONTH($X$1),$X$1-WEEKDAY($X$1)+1+16,"")</f>
        <v>46217</v>
      </c>
      <c r="G10" s="76"/>
      <c r="H10" s="76" t="n">
        <f aca="false">IF(MONTH($X$1-WEEKDAY($X$1)+1+17)=MONTH($X$1),$X$1-WEEKDAY($X$1)+1+17,"")</f>
        <v>46218</v>
      </c>
      <c r="I10" s="76"/>
      <c r="J10" s="76" t="n">
        <f aca="false">IF(MONTH($X$1-WEEKDAY($X$1)+1+18)=MONTH($X$1),$X$1-WEEKDAY($X$1)+1+18,"")</f>
        <v>46219</v>
      </c>
      <c r="K10" s="76"/>
      <c r="L10" s="76" t="n">
        <f aca="false">IF(MONTH($X$1-WEEKDAY($X$1)+1+19)=MONTH($X$1),$X$1-WEEKDAY($X$1)+1+19,"")</f>
        <v>46220</v>
      </c>
      <c r="M10" s="76"/>
      <c r="N10" s="76" t="n">
        <f aca="false">IF(MONTH($X$1-WEEKDAY($X$1)+1+20)=MONTH($X$1),$X$1-WEEKDAY($X$1)+1+20,"")</f>
        <v>46221</v>
      </c>
      <c r="O10" s="76"/>
    </row>
    <row r="11" customFormat="false" ht="25.5" hidden="false" customHeight="true" outlineLevel="0" collapsed="false">
      <c r="B11" s="77" t="str">
        <f aca="false">IF(B10="","",TRIM(IF(COUNTIFS($C$22:$C$150,B10,$D$22:$D$150,"*Vistoria*",$Q$22:$Q$150,"&lt;&gt;Cancelada")&gt;0,"Vistoria ","")&amp;IF(COUNTIFS($C$22:$C$150,B10,$D$22:$D$150,"*Relatório*",$Q$22:$Q$150,"&lt;&gt;Cancelada")&gt;0,"Relatório ","")&amp;IF(COUNTIFS($C$22:$C$150,B10,$D$22:$D$150,"*Reunião*",$Q$22:$Q$150,"&lt;&gt;Cancelada")&gt;0,"REUNIÃO ","")&amp;IF(COUNTIFS($C$22:$C$150,B10,$D$22:$D$150,"*Férias*",$Q$22:$Q$150,"&lt;&gt;Cancelada")&gt;0,"Férias ","")&amp;IF(COUNTIFS($C$22:$C$150,B10,$D$22:$D$150,"*Mudança*",$Q$22:$Q$150,"&lt;&gt;Cancelada")&gt;0,"M.Função ","")&amp;IF(COUNTIFS($C$22:$C$150,B10,$D$22:$D$150,"*Treinamento*",$Q$22:$Q$150,"&lt;&gt;Cancelada")&gt;0,"Trein. ","")))</f>
        <v/>
      </c>
      <c r="C11" s="77"/>
      <c r="D11" s="77" t="str">
        <f aca="false">IF(D10="","",TRIM(IF(COUNTIFS($C$22:$C$150,D10,$D$22:$D$150,"*Vistoria*",$Q$22:$Q$150,"&lt;&gt;Cancelada")&gt;0,"Vistoria ","")&amp;IF(COUNTIFS($C$22:$C$150,D10,$D$22:$D$150,"*Relatório*",$Q$22:$Q$150,"&lt;&gt;Cancelada")&gt;0,"Relatório ","")&amp;IF(COUNTIFS($C$22:$C$150,D10,$D$22:$D$150,"*Reunião*",$Q$22:$Q$150,"&lt;&gt;Cancelada")&gt;0,"REUNIÃO ","")&amp;IF(COUNTIFS($C$22:$C$150,D10,$D$22:$D$150,"*Férias*",$Q$22:$Q$150,"&lt;&gt;Cancelada")&gt;0,"Férias ","")&amp;IF(COUNTIFS($C$22:$C$150,D10,$D$22:$D$150,"*Mudança*",$Q$22:$Q$150,"&lt;&gt;Cancelada")&gt;0,"M.Função ","")&amp;IF(COUNTIFS($C$22:$C$150,D10,$D$22:$D$150,"*Treinamento*",$Q$22:$Q$150,"&lt;&gt;Cancelada")&gt;0,"Trein. ","")))</f>
        <v/>
      </c>
      <c r="E11" s="77"/>
      <c r="F11" s="77" t="str">
        <f aca="false">IF(F10="","",TRIM(IF(COUNTIFS($C$22:$C$150,F10,$D$22:$D$150,"*Vistoria*",$Q$22:$Q$150,"&lt;&gt;Cancelada")&gt;0,"Vistoria ","")&amp;IF(COUNTIFS($C$22:$C$150,F10,$D$22:$D$150,"*Relatório*",$Q$22:$Q$150,"&lt;&gt;Cancelada")&gt;0,"Relatório ","")&amp;IF(COUNTIFS($C$22:$C$150,F10,$D$22:$D$150,"*Reunião*",$Q$22:$Q$150,"&lt;&gt;Cancelada")&gt;0,"REUNIÃO ","")&amp;IF(COUNTIFS($C$22:$C$150,F10,$D$22:$D$150,"*Férias*",$Q$22:$Q$150,"&lt;&gt;Cancelada")&gt;0,"Férias ","")&amp;IF(COUNTIFS($C$22:$C$150,F10,$D$22:$D$150,"*Mudança*",$Q$22:$Q$150,"&lt;&gt;Cancelada")&gt;0,"M.Função ","")&amp;IF(COUNTIFS($C$22:$C$150,F10,$D$22:$D$150,"*Treinamento*",$Q$22:$Q$150,"&lt;&gt;Cancelada")&gt;0,"Trein. ","")))</f>
        <v/>
      </c>
      <c r="G11" s="77"/>
      <c r="H11" s="77" t="str">
        <f aca="false">IF(H10="","",TRIM(IF(COUNTIFS($C$22:$C$150,H10,$D$22:$D$150,"*Vistoria*",$Q$22:$Q$150,"&lt;&gt;Cancelada")&gt;0,"Vistoria ","")&amp;IF(COUNTIFS($C$22:$C$150,H10,$D$22:$D$150,"*Relatório*",$Q$22:$Q$150,"&lt;&gt;Cancelada")&gt;0,"Relatório ","")&amp;IF(COUNTIFS($C$22:$C$150,H10,$D$22:$D$150,"*Reunião*",$Q$22:$Q$150,"&lt;&gt;Cancelada")&gt;0,"REUNIÃO ","")&amp;IF(COUNTIFS($C$22:$C$150,H10,$D$22:$D$150,"*Férias*",$Q$22:$Q$150,"&lt;&gt;Cancelada")&gt;0,"Férias ","")&amp;IF(COUNTIFS($C$22:$C$150,H10,$D$22:$D$150,"*Mudança*",$Q$22:$Q$150,"&lt;&gt;Cancelada")&gt;0,"M.Função ","")&amp;IF(COUNTIFS($C$22:$C$150,H10,$D$22:$D$150,"*Treinamento*",$Q$22:$Q$150,"&lt;&gt;Cancelada")&gt;0,"Trein. ","")))</f>
        <v>Vistoria</v>
      </c>
      <c r="I11" s="77"/>
      <c r="J11" s="77" t="str">
        <f aca="false">IF(J10="","",TRIM(IF(COUNTIFS($C$22:$C$150,J10,$D$22:$D$150,"*Vistoria*",$Q$22:$Q$150,"&lt;&gt;Cancelada")&gt;0,"Vistoria ","")&amp;IF(COUNTIFS($C$22:$C$150,J10,$D$22:$D$150,"*Relatório*",$Q$22:$Q$150,"&lt;&gt;Cancelada")&gt;0,"Relatório ","")&amp;IF(COUNTIFS($C$22:$C$150,J10,$D$22:$D$150,"*Reunião*",$Q$22:$Q$150,"&lt;&gt;Cancelada")&gt;0,"REUNIÃO ","")&amp;IF(COUNTIFS($C$22:$C$150,J10,$D$22:$D$150,"*Férias*",$Q$22:$Q$150,"&lt;&gt;Cancelada")&gt;0,"Férias ","")&amp;IF(COUNTIFS($C$22:$C$150,J10,$D$22:$D$150,"*Mudança*",$Q$22:$Q$150,"&lt;&gt;Cancelada")&gt;0,"M.Função ","")&amp;IF(COUNTIFS($C$22:$C$150,J10,$D$22:$D$150,"*Treinamento*",$Q$22:$Q$150,"&lt;&gt;Cancelada")&gt;0,"Trein. ","")))</f>
        <v>Relatório</v>
      </c>
      <c r="K11" s="77"/>
      <c r="L11" s="77" t="str">
        <f aca="false">IF(L10="","",TRIM(IF(COUNTIFS($C$22:$C$150,L10,$D$22:$D$150,"*Vistoria*",$Q$22:$Q$150,"&lt;&gt;Cancelada")&gt;0,"Vistoria ","")&amp;IF(COUNTIFS($C$22:$C$150,L10,$D$22:$D$150,"*Relatório*",$Q$22:$Q$150,"&lt;&gt;Cancelada")&gt;0,"Relatório ","")&amp;IF(COUNTIFS($C$22:$C$150,L10,$D$22:$D$150,"*Reunião*",$Q$22:$Q$150,"&lt;&gt;Cancelada")&gt;0,"REUNIÃO ","")&amp;IF(COUNTIFS($C$22:$C$150,L10,$D$22:$D$150,"*Férias*",$Q$22:$Q$150,"&lt;&gt;Cancelada")&gt;0,"Férias ","")&amp;IF(COUNTIFS($C$22:$C$150,L10,$D$22:$D$150,"*Mudança*",$Q$22:$Q$150,"&lt;&gt;Cancelada")&gt;0,"M.Função ","")&amp;IF(COUNTIFS($C$22:$C$150,L10,$D$22:$D$150,"*Treinamento*",$Q$22:$Q$150,"&lt;&gt;Cancelada")&gt;0,"Trein. ","")))</f>
        <v>REUNIÃO</v>
      </c>
      <c r="M11" s="77"/>
      <c r="N11" s="77" t="str">
        <f aca="false">IF(N10="","",TRIM(IF(COUNTIFS($C$22:$C$150,N10,$D$22:$D$150,"*Vistoria*",$Q$22:$Q$150,"&lt;&gt;Cancelada")&gt;0,"Vistoria ","")&amp;IF(COUNTIFS($C$22:$C$150,N10,$D$22:$D$150,"*Relatório*",$Q$22:$Q$150,"&lt;&gt;Cancelada")&gt;0,"Relatório ","")&amp;IF(COUNTIFS($C$22:$C$150,N10,$D$22:$D$150,"*Reunião*",$Q$22:$Q$150,"&lt;&gt;Cancelada")&gt;0,"REUNIÃO ","")&amp;IF(COUNTIFS($C$22:$C$150,N10,$D$22:$D$150,"*Férias*",$Q$22:$Q$150,"&lt;&gt;Cancelada")&gt;0,"Férias ","")&amp;IF(COUNTIFS($C$22:$C$150,N10,$D$22:$D$150,"*Mudança*",$Q$22:$Q$150,"&lt;&gt;Cancelada")&gt;0,"M.Função ","")&amp;IF(COUNTIFS($C$22:$C$150,N10,$D$22:$D$150,"*Treinamento*",$Q$22:$Q$150,"&lt;&gt;Cancelada")&gt;0,"Trein. ","")))</f>
        <v/>
      </c>
      <c r="O11" s="77"/>
    </row>
    <row r="12" customFormat="false" ht="15" hidden="false" customHeight="true" outlineLevel="0" collapsed="false">
      <c r="B12" s="76" t="n">
        <f aca="false">IF(MONTH($X$1-WEEKDAY($X$1)+1+21)=MONTH($X$1),$X$1-WEEKDAY($X$1)+1+21,"")</f>
        <v>46222</v>
      </c>
      <c r="C12" s="76"/>
      <c r="D12" s="76" t="n">
        <f aca="false">IF(MONTH($X$1-WEEKDAY($X$1)+1+22)=MONTH($X$1),$X$1-WEEKDAY($X$1)+1+22,"")</f>
        <v>46223</v>
      </c>
      <c r="E12" s="76"/>
      <c r="F12" s="76" t="n">
        <f aca="false">IF(MONTH($X$1-WEEKDAY($X$1)+1+23)=MONTH($X$1),$X$1-WEEKDAY($X$1)+1+23,"")</f>
        <v>46224</v>
      </c>
      <c r="G12" s="76"/>
      <c r="H12" s="76" t="n">
        <f aca="false">IF(MONTH($X$1-WEEKDAY($X$1)+1+24)=MONTH($X$1),$X$1-WEEKDAY($X$1)+1+24,"")</f>
        <v>46225</v>
      </c>
      <c r="I12" s="76"/>
      <c r="J12" s="76" t="n">
        <f aca="false">IF(MONTH($X$1-WEEKDAY($X$1)+1+25)=MONTH($X$1),$X$1-WEEKDAY($X$1)+1+25,"")</f>
        <v>46226</v>
      </c>
      <c r="K12" s="76"/>
      <c r="L12" s="76" t="n">
        <f aca="false">IF(MONTH($X$1-WEEKDAY($X$1)+1+26)=MONTH($X$1),$X$1-WEEKDAY($X$1)+1+26,"")</f>
        <v>46227</v>
      </c>
      <c r="M12" s="76"/>
      <c r="N12" s="76" t="n">
        <f aca="false">IF(MONTH($X$1-WEEKDAY($X$1)+1+27)=MONTH($X$1),$X$1-WEEKDAY($X$1)+1+27,"")</f>
        <v>46228</v>
      </c>
      <c r="O12" s="76"/>
    </row>
    <row r="13" customFormat="false" ht="25.5" hidden="false" customHeight="true" outlineLevel="0" collapsed="false">
      <c r="B13" s="77" t="str">
        <f aca="false">IF(B12="","",TRIM(IF(COUNTIFS($C$22:$C$150,B12,$D$22:$D$150,"*Vistoria*",$Q$22:$Q$150,"&lt;&gt;Cancelada")&gt;0,"Vistoria ","")&amp;IF(COUNTIFS($C$22:$C$150,B12,$D$22:$D$150,"*Relatório*",$Q$22:$Q$150,"&lt;&gt;Cancelada")&gt;0,"Relatório ","")&amp;IF(COUNTIFS($C$22:$C$150,B12,$D$22:$D$150,"*Reunião*",$Q$22:$Q$150,"&lt;&gt;Cancelada")&gt;0,"REUNIÃO ","")&amp;IF(COUNTIFS($C$22:$C$150,B12,$D$22:$D$150,"*Férias*",$Q$22:$Q$150,"&lt;&gt;Cancelada")&gt;0,"Férias ","")&amp;IF(COUNTIFS($C$22:$C$150,B12,$D$22:$D$150,"*Mudança*",$Q$22:$Q$150,"&lt;&gt;Cancelada")&gt;0,"M.Função ","")&amp;IF(COUNTIFS($C$22:$C$150,B12,$D$22:$D$150,"*Treinamento*",$Q$22:$Q$150,"&lt;&gt;Cancelada")&gt;0,"Trein. ","")))</f>
        <v/>
      </c>
      <c r="C13" s="77"/>
      <c r="D13" s="77" t="str">
        <f aca="false">IF(D12="","",TRIM(IF(COUNTIFS($C$22:$C$150,D12,$D$22:$D$150,"*Vistoria*",$Q$22:$Q$150,"&lt;&gt;Cancelada")&gt;0,"Vistoria ","")&amp;IF(COUNTIFS($C$22:$C$150,D12,$D$22:$D$150,"*Relatório*",$Q$22:$Q$150,"&lt;&gt;Cancelada")&gt;0,"Relatório ","")&amp;IF(COUNTIFS($C$22:$C$150,D12,$D$22:$D$150,"*Reunião*",$Q$22:$Q$150,"&lt;&gt;Cancelada")&gt;0,"REUNIÃO ","")&amp;IF(COUNTIFS($C$22:$C$150,D12,$D$22:$D$150,"*Férias*",$Q$22:$Q$150,"&lt;&gt;Cancelada")&gt;0,"Férias ","")&amp;IF(COUNTIFS($C$22:$C$150,D12,$D$22:$D$150,"*Mudança*",$Q$22:$Q$150,"&lt;&gt;Cancelada")&gt;0,"M.Função ","")&amp;IF(COUNTIFS($C$22:$C$150,D12,$D$22:$D$150,"*Treinamento*",$Q$22:$Q$150,"&lt;&gt;Cancelada")&gt;0,"Trein. ","")))</f>
        <v/>
      </c>
      <c r="E13" s="77"/>
      <c r="F13" s="77" t="str">
        <f aca="false">IF(F12="","",TRIM(IF(COUNTIFS($C$22:$C$150,F12,$D$22:$D$150,"*Vistoria*",$Q$22:$Q$150,"&lt;&gt;Cancelada")&gt;0,"Vistoria ","")&amp;IF(COUNTIFS($C$22:$C$150,F12,$D$22:$D$150,"*Relatório*",$Q$22:$Q$150,"&lt;&gt;Cancelada")&gt;0,"Relatório ","")&amp;IF(COUNTIFS($C$22:$C$150,F12,$D$22:$D$150,"*Reunião*",$Q$22:$Q$150,"&lt;&gt;Cancelada")&gt;0,"REUNIÃO ","")&amp;IF(COUNTIFS($C$22:$C$150,F12,$D$22:$D$150,"*Férias*",$Q$22:$Q$150,"&lt;&gt;Cancelada")&gt;0,"Férias ","")&amp;IF(COUNTIFS($C$22:$C$150,F12,$D$22:$D$150,"*Mudança*",$Q$22:$Q$150,"&lt;&gt;Cancelada")&gt;0,"M.Função ","")&amp;IF(COUNTIFS($C$22:$C$150,F12,$D$22:$D$150,"*Treinamento*",$Q$22:$Q$150,"&lt;&gt;Cancelada")&gt;0,"Trein. ","")))</f>
        <v/>
      </c>
      <c r="G13" s="77"/>
      <c r="H13" s="77" t="str">
        <f aca="false">IF(H12="","",TRIM(IF(COUNTIFS($C$22:$C$150,H12,$D$22:$D$150,"*Vistoria*",$Q$22:$Q$150,"&lt;&gt;Cancelada")&gt;0,"Vistoria ","")&amp;IF(COUNTIFS($C$22:$C$150,H12,$D$22:$D$150,"*Relatório*",$Q$22:$Q$150,"&lt;&gt;Cancelada")&gt;0,"Relatório ","")&amp;IF(COUNTIFS($C$22:$C$150,H12,$D$22:$D$150,"*Reunião*",$Q$22:$Q$150,"&lt;&gt;Cancelada")&gt;0,"REUNIÃO ","")&amp;IF(COUNTIFS($C$22:$C$150,H12,$D$22:$D$150,"*Férias*",$Q$22:$Q$150,"&lt;&gt;Cancelada")&gt;0,"Férias ","")&amp;IF(COUNTIFS($C$22:$C$150,H12,$D$22:$D$150,"*Mudança*",$Q$22:$Q$150,"&lt;&gt;Cancelada")&gt;0,"M.Função ","")&amp;IF(COUNTIFS($C$22:$C$150,H12,$D$22:$D$150,"*Treinamento*",$Q$22:$Q$150,"&lt;&gt;Cancelada")&gt;0,"Trein. ","")))</f>
        <v>Vistoria</v>
      </c>
      <c r="I13" s="77"/>
      <c r="J13" s="77" t="str">
        <f aca="false">IF(J12="","",TRIM(IF(COUNTIFS($C$22:$C$150,J12,$D$22:$D$150,"*Vistoria*",$Q$22:$Q$150,"&lt;&gt;Cancelada")&gt;0,"Vistoria ","")&amp;IF(COUNTIFS($C$22:$C$150,J12,$D$22:$D$150,"*Relatório*",$Q$22:$Q$150,"&lt;&gt;Cancelada")&gt;0,"Relatório ","")&amp;IF(COUNTIFS($C$22:$C$150,J12,$D$22:$D$150,"*Reunião*",$Q$22:$Q$150,"&lt;&gt;Cancelada")&gt;0,"REUNIÃO ","")&amp;IF(COUNTIFS($C$22:$C$150,J12,$D$22:$D$150,"*Férias*",$Q$22:$Q$150,"&lt;&gt;Cancelada")&gt;0,"Férias ","")&amp;IF(COUNTIFS($C$22:$C$150,J12,$D$22:$D$150,"*Mudança*",$Q$22:$Q$150,"&lt;&gt;Cancelada")&gt;0,"M.Função ","")&amp;IF(COUNTIFS($C$22:$C$150,J12,$D$22:$D$150,"*Treinamento*",$Q$22:$Q$150,"&lt;&gt;Cancelada")&gt;0,"Trein. ","")))</f>
        <v>Relatório</v>
      </c>
      <c r="K13" s="77"/>
      <c r="L13" s="77" t="str">
        <f aca="false">IF(L12="","",TRIM(IF(COUNTIFS($C$22:$C$150,L12,$D$22:$D$150,"*Vistoria*",$Q$22:$Q$150,"&lt;&gt;Cancelada")&gt;0,"Vistoria ","")&amp;IF(COUNTIFS($C$22:$C$150,L12,$D$22:$D$150,"*Relatório*",$Q$22:$Q$150,"&lt;&gt;Cancelada")&gt;0,"Relatório ","")&amp;IF(COUNTIFS($C$22:$C$150,L12,$D$22:$D$150,"*Reunião*",$Q$22:$Q$150,"&lt;&gt;Cancelada")&gt;0,"REUNIÃO ","")&amp;IF(COUNTIFS($C$22:$C$150,L12,$D$22:$D$150,"*Férias*",$Q$22:$Q$150,"&lt;&gt;Cancelada")&gt;0,"Férias ","")&amp;IF(COUNTIFS($C$22:$C$150,L12,$D$22:$D$150,"*Mudança*",$Q$22:$Q$150,"&lt;&gt;Cancelada")&gt;0,"M.Função ","")&amp;IF(COUNTIFS($C$22:$C$150,L12,$D$22:$D$150,"*Treinamento*",$Q$22:$Q$150,"&lt;&gt;Cancelada")&gt;0,"Trein. ","")))</f>
        <v>REUNIÃO</v>
      </c>
      <c r="M13" s="77"/>
      <c r="N13" s="77" t="str">
        <f aca="false">IF(N12="","",TRIM(IF(COUNTIFS($C$22:$C$150,N12,$D$22:$D$150,"*Vistoria*",$Q$22:$Q$150,"&lt;&gt;Cancelada")&gt;0,"Vistoria ","")&amp;IF(COUNTIFS($C$22:$C$150,N12,$D$22:$D$150,"*Relatório*",$Q$22:$Q$150,"&lt;&gt;Cancelada")&gt;0,"Relatório ","")&amp;IF(COUNTIFS($C$22:$C$150,N12,$D$22:$D$150,"*Reunião*",$Q$22:$Q$150,"&lt;&gt;Cancelada")&gt;0,"REUNIÃO ","")&amp;IF(COUNTIFS($C$22:$C$150,N12,$D$22:$D$150,"*Férias*",$Q$22:$Q$150,"&lt;&gt;Cancelada")&gt;0,"Férias ","")&amp;IF(COUNTIFS($C$22:$C$150,N12,$D$22:$D$150,"*Mudança*",$Q$22:$Q$150,"&lt;&gt;Cancelada")&gt;0,"M.Função ","")&amp;IF(COUNTIFS($C$22:$C$150,N12,$D$22:$D$150,"*Treinamento*",$Q$22:$Q$150,"&lt;&gt;Cancelada")&gt;0,"Trein. ","")))</f>
        <v/>
      </c>
      <c r="O13" s="77"/>
    </row>
    <row r="14" customFormat="false" ht="15" hidden="false" customHeight="true" outlineLevel="0" collapsed="false">
      <c r="B14" s="76" t="n">
        <f aca="false">IF(MONTH($X$1-WEEKDAY($X$1)+1+28)=MONTH($X$1),$X$1-WEEKDAY($X$1)+1+28,"")</f>
        <v>46229</v>
      </c>
      <c r="C14" s="76"/>
      <c r="D14" s="76" t="n">
        <f aca="false">IF(MONTH($X$1-WEEKDAY($X$1)+1+29)=MONTH($X$1),$X$1-WEEKDAY($X$1)+1+29,"")</f>
        <v>46230</v>
      </c>
      <c r="E14" s="76"/>
      <c r="F14" s="76" t="n">
        <f aca="false">IF(MONTH($X$1-WEEKDAY($X$1)+1+30)=MONTH($X$1),$X$1-WEEKDAY($X$1)+1+30,"")</f>
        <v>46231</v>
      </c>
      <c r="G14" s="76"/>
      <c r="H14" s="76" t="n">
        <f aca="false">IF(MONTH($X$1-WEEKDAY($X$1)+1+31)=MONTH($X$1),$X$1-WEEKDAY($X$1)+1+31,"")</f>
        <v>46232</v>
      </c>
      <c r="I14" s="76"/>
      <c r="J14" s="76" t="n">
        <f aca="false">IF(MONTH($X$1-WEEKDAY($X$1)+1+32)=MONTH($X$1),$X$1-WEEKDAY($X$1)+1+32,"")</f>
        <v>46233</v>
      </c>
      <c r="K14" s="76"/>
      <c r="L14" s="76" t="n">
        <f aca="false">IF(MONTH($X$1-WEEKDAY($X$1)+1+33)=MONTH($X$1),$X$1-WEEKDAY($X$1)+1+33,"")</f>
        <v>46234</v>
      </c>
      <c r="M14" s="76"/>
      <c r="N14" s="76" t="str">
        <f aca="false">IF(MONTH($X$1-WEEKDAY($X$1)+1+34)=MONTH($X$1),$X$1-WEEKDAY($X$1)+1+34,"")</f>
        <v/>
      </c>
      <c r="O14" s="76"/>
    </row>
    <row r="15" customFormat="false" ht="25.5" hidden="false" customHeight="true" outlineLevel="0" collapsed="false">
      <c r="B15" s="77" t="str">
        <f aca="false">IF(B14="","",TRIM(IF(COUNTIFS($C$22:$C$150,B14,$D$22:$D$150,"*Vistoria*",$Q$22:$Q$150,"&lt;&gt;Cancelada")&gt;0,"Vistoria ","")&amp;IF(COUNTIFS($C$22:$C$150,B14,$D$22:$D$150,"*Relatório*",$Q$22:$Q$150,"&lt;&gt;Cancelada")&gt;0,"Relatório ","")&amp;IF(COUNTIFS($C$22:$C$150,B14,$D$22:$D$150,"*Reunião*",$Q$22:$Q$150,"&lt;&gt;Cancelada")&gt;0,"REUNIÃO ","")&amp;IF(COUNTIFS($C$22:$C$150,B14,$D$22:$D$150,"*Férias*",$Q$22:$Q$150,"&lt;&gt;Cancelada")&gt;0,"Férias ","")&amp;IF(COUNTIFS($C$22:$C$150,B14,$D$22:$D$150,"*Mudança*",$Q$22:$Q$150,"&lt;&gt;Cancelada")&gt;0,"M.Função ","")&amp;IF(COUNTIFS($C$22:$C$150,B14,$D$22:$D$150,"*Treinamento*",$Q$22:$Q$150,"&lt;&gt;Cancelada")&gt;0,"Trein. ","")))</f>
        <v/>
      </c>
      <c r="C15" s="77"/>
      <c r="D15" s="77" t="str">
        <f aca="false">IF(D14="","",TRIM(IF(COUNTIFS($C$22:$C$150,D14,$D$22:$D$150,"*Vistoria*",$Q$22:$Q$150,"&lt;&gt;Cancelada")&gt;0,"Vistoria ","")&amp;IF(COUNTIFS($C$22:$C$150,D14,$D$22:$D$150,"*Relatório*",$Q$22:$Q$150,"&lt;&gt;Cancelada")&gt;0,"Relatório ","")&amp;IF(COUNTIFS($C$22:$C$150,D14,$D$22:$D$150,"*Reunião*",$Q$22:$Q$150,"&lt;&gt;Cancelada")&gt;0,"REUNIÃO ","")&amp;IF(COUNTIFS($C$22:$C$150,D14,$D$22:$D$150,"*Férias*",$Q$22:$Q$150,"&lt;&gt;Cancelada")&gt;0,"Férias ","")&amp;IF(COUNTIFS($C$22:$C$150,D14,$D$22:$D$150,"*Mudança*",$Q$22:$Q$150,"&lt;&gt;Cancelada")&gt;0,"M.Função ","")&amp;IF(COUNTIFS($C$22:$C$150,D14,$D$22:$D$150,"*Treinamento*",$Q$22:$Q$150,"&lt;&gt;Cancelada")&gt;0,"Trein. ","")))</f>
        <v/>
      </c>
      <c r="E15" s="77"/>
      <c r="F15" s="77" t="str">
        <f aca="false">IF(F14="","",TRIM(IF(COUNTIFS($C$22:$C$150,F14,$D$22:$D$150,"*Vistoria*",$Q$22:$Q$150,"&lt;&gt;Cancelada")&gt;0,"Vistoria ","")&amp;IF(COUNTIFS($C$22:$C$150,F14,$D$22:$D$150,"*Relatório*",$Q$22:$Q$150,"&lt;&gt;Cancelada")&gt;0,"Relatório ","")&amp;IF(COUNTIFS($C$22:$C$150,F14,$D$22:$D$150,"*Reunião*",$Q$22:$Q$150,"&lt;&gt;Cancelada")&gt;0,"REUNIÃO ","")&amp;IF(COUNTIFS($C$22:$C$150,F14,$D$22:$D$150,"*Férias*",$Q$22:$Q$150,"&lt;&gt;Cancelada")&gt;0,"Férias ","")&amp;IF(COUNTIFS($C$22:$C$150,F14,$D$22:$D$150,"*Mudança*",$Q$22:$Q$150,"&lt;&gt;Cancelada")&gt;0,"M.Função ","")&amp;IF(COUNTIFS($C$22:$C$150,F14,$D$22:$D$150,"*Treinamento*",$Q$22:$Q$150,"&lt;&gt;Cancelada")&gt;0,"Trein. ","")))</f>
        <v/>
      </c>
      <c r="G15" s="77"/>
      <c r="H15" s="77" t="str">
        <f aca="false">IF(H14="","",TRIM(IF(COUNTIFS($C$22:$C$150,H14,$D$22:$D$150,"*Vistoria*",$Q$22:$Q$150,"&lt;&gt;Cancelada")&gt;0,"Vistoria ","")&amp;IF(COUNTIFS($C$22:$C$150,H14,$D$22:$D$150,"*Relatório*",$Q$22:$Q$150,"&lt;&gt;Cancelada")&gt;0,"Relatório ","")&amp;IF(COUNTIFS($C$22:$C$150,H14,$D$22:$D$150,"*Reunião*",$Q$22:$Q$150,"&lt;&gt;Cancelada")&gt;0,"REUNIÃO ","")&amp;IF(COUNTIFS($C$22:$C$150,H14,$D$22:$D$150,"*Férias*",$Q$22:$Q$150,"&lt;&gt;Cancelada")&gt;0,"Férias ","")&amp;IF(COUNTIFS($C$22:$C$150,H14,$D$22:$D$150,"*Mudança*",$Q$22:$Q$150,"&lt;&gt;Cancelada")&gt;0,"M.Função ","")&amp;IF(COUNTIFS($C$22:$C$150,H14,$D$22:$D$150,"*Treinamento*",$Q$22:$Q$150,"&lt;&gt;Cancelada")&gt;0,"Trein. ","")))</f>
        <v>Vistoria</v>
      </c>
      <c r="I15" s="77"/>
      <c r="J15" s="77" t="str">
        <f aca="false">IF(J14="","",TRIM(IF(COUNTIFS($C$22:$C$150,J14,$D$22:$D$150,"*Vistoria*",$Q$22:$Q$150,"&lt;&gt;Cancelada")&gt;0,"Vistoria ","")&amp;IF(COUNTIFS($C$22:$C$150,J14,$D$22:$D$150,"*Relatório*",$Q$22:$Q$150,"&lt;&gt;Cancelada")&gt;0,"Relatório ","")&amp;IF(COUNTIFS($C$22:$C$150,J14,$D$22:$D$150,"*Reunião*",$Q$22:$Q$150,"&lt;&gt;Cancelada")&gt;0,"REUNIÃO ","")&amp;IF(COUNTIFS($C$22:$C$150,J14,$D$22:$D$150,"*Férias*",$Q$22:$Q$150,"&lt;&gt;Cancelada")&gt;0,"Férias ","")&amp;IF(COUNTIFS($C$22:$C$150,J14,$D$22:$D$150,"*Mudança*",$Q$22:$Q$150,"&lt;&gt;Cancelada")&gt;0,"M.Função ","")&amp;IF(COUNTIFS($C$22:$C$150,J14,$D$22:$D$150,"*Treinamento*",$Q$22:$Q$150,"&lt;&gt;Cancelada")&gt;0,"Trein. ","")))</f>
        <v>Relatório</v>
      </c>
      <c r="K15" s="77"/>
      <c r="L15" s="77" t="str">
        <f aca="false">IF(L14="","",TRIM(IF(COUNTIFS($C$22:$C$150,L14,$D$22:$D$150,"*Vistoria*",$Q$22:$Q$150,"&lt;&gt;Cancelada")&gt;0,"Vistoria ","")&amp;IF(COUNTIFS($C$22:$C$150,L14,$D$22:$D$150,"*Relatório*",$Q$22:$Q$150,"&lt;&gt;Cancelada")&gt;0,"Relatório ","")&amp;IF(COUNTIFS($C$22:$C$150,L14,$D$22:$D$150,"*Reunião*",$Q$22:$Q$150,"&lt;&gt;Cancelada")&gt;0,"REUNIÃO ","")&amp;IF(COUNTIFS($C$22:$C$150,L14,$D$22:$D$150,"*Férias*",$Q$22:$Q$150,"&lt;&gt;Cancelada")&gt;0,"Férias ","")&amp;IF(COUNTIFS($C$22:$C$150,L14,$D$22:$D$150,"*Mudança*",$Q$22:$Q$150,"&lt;&gt;Cancelada")&gt;0,"M.Função ","")&amp;IF(COUNTIFS($C$22:$C$150,L14,$D$22:$D$150,"*Treinamento*",$Q$22:$Q$150,"&lt;&gt;Cancelada")&gt;0,"Trein. ","")))</f>
        <v>REUNIÃO M.Função</v>
      </c>
      <c r="M15" s="77"/>
      <c r="N15" s="77" t="str">
        <f aca="false">IF(N14="","",TRIM(IF(COUNTIFS($C$22:$C$150,N14,$D$22:$D$150,"*Vistoria*",$Q$22:$Q$150,"&lt;&gt;Cancelada")&gt;0,"Vistoria ","")&amp;IF(COUNTIFS($C$22:$C$150,N14,$D$22:$D$150,"*Relatório*",$Q$22:$Q$150,"&lt;&gt;Cancelada")&gt;0,"Relatório ","")&amp;IF(COUNTIFS($C$22:$C$150,N14,$D$22:$D$150,"*Reunião*",$Q$22:$Q$150,"&lt;&gt;Cancelada")&gt;0,"REUNIÃO ","")&amp;IF(COUNTIFS($C$22:$C$150,N14,$D$22:$D$150,"*Férias*",$Q$22:$Q$150,"&lt;&gt;Cancelada")&gt;0,"Férias ","")&amp;IF(COUNTIFS($C$22:$C$150,N14,$D$22:$D$150,"*Mudança*",$Q$22:$Q$150,"&lt;&gt;Cancelada")&gt;0,"M.Função ","")&amp;IF(COUNTIFS($C$22:$C$150,N14,$D$22:$D$150,"*Treinamento*",$Q$22:$Q$150,"&lt;&gt;Cancelada")&gt;0,"Trein. ","")))</f>
        <v/>
      </c>
      <c r="O15" s="77"/>
    </row>
    <row r="16" customFormat="false" ht="15" hidden="false" customHeight="true" outlineLevel="0" collapsed="false">
      <c r="B16" s="76" t="str">
        <f aca="false">IF(MONTH($X$1-WEEKDAY($X$1)+1+35)=MONTH($X$1),$X$1-WEEKDAY($X$1)+1+35,"")</f>
        <v/>
      </c>
      <c r="C16" s="76"/>
      <c r="D16" s="76" t="str">
        <f aca="false">IF(MONTH($X$1-WEEKDAY($X$1)+1+36)=MONTH($X$1),$X$1-WEEKDAY($X$1)+1+36,"")</f>
        <v/>
      </c>
      <c r="E16" s="76"/>
      <c r="F16" s="76" t="str">
        <f aca="false">IF(MONTH($X$1-WEEKDAY($X$1)+1+37)=MONTH($X$1),$X$1-WEEKDAY($X$1)+1+37,"")</f>
        <v/>
      </c>
      <c r="G16" s="76"/>
      <c r="H16" s="76" t="str">
        <f aca="false">IF(MONTH($X$1-WEEKDAY($X$1)+1+38)=MONTH($X$1),$X$1-WEEKDAY($X$1)+1+38,"")</f>
        <v/>
      </c>
      <c r="I16" s="76"/>
      <c r="J16" s="76" t="str">
        <f aca="false">IF(MONTH($X$1-WEEKDAY($X$1)+1+39)=MONTH($X$1),$X$1-WEEKDAY($X$1)+1+39,"")</f>
        <v/>
      </c>
      <c r="K16" s="76"/>
      <c r="L16" s="76" t="str">
        <f aca="false">IF(MONTH($X$1-WEEKDAY($X$1)+1+40)=MONTH($X$1),$X$1-WEEKDAY($X$1)+1+40,"")</f>
        <v/>
      </c>
      <c r="M16" s="76"/>
      <c r="N16" s="76" t="str">
        <f aca="false">IF(MONTH($X$1-WEEKDAY($X$1)+1+41)=MONTH($X$1),$X$1-WEEKDAY($X$1)+1+41,"")</f>
        <v/>
      </c>
      <c r="O16" s="76"/>
    </row>
    <row r="17" customFormat="false" ht="25.5" hidden="false" customHeight="true" outlineLevel="0" collapsed="false">
      <c r="B17" s="77" t="str">
        <f aca="false">IF(B16="","",TRIM(IF(COUNTIFS($C$22:$C$150,B16,$D$22:$D$150,"*Vistoria*",$Q$22:$Q$150,"&lt;&gt;Cancelada")&gt;0,"Vistoria ","")&amp;IF(COUNTIFS($C$22:$C$150,B16,$D$22:$D$150,"*Relatório*",$Q$22:$Q$150,"&lt;&gt;Cancelada")&gt;0,"Relatório ","")&amp;IF(COUNTIFS($C$22:$C$150,B16,$D$22:$D$150,"*Reunião*",$Q$22:$Q$150,"&lt;&gt;Cancelada")&gt;0,"REUNIÃO ","")&amp;IF(COUNTIFS($C$22:$C$150,B16,$D$22:$D$150,"*Férias*",$Q$22:$Q$150,"&lt;&gt;Cancelada")&gt;0,"Férias ","")&amp;IF(COUNTIFS($C$22:$C$150,B16,$D$22:$D$150,"*Mudança*",$Q$22:$Q$150,"&lt;&gt;Cancelada")&gt;0,"M.Função ","")&amp;IF(COUNTIFS($C$22:$C$150,B16,$D$22:$D$150,"*Treinamento*",$Q$22:$Q$150,"&lt;&gt;Cancelada")&gt;0,"Trein. ","")))</f>
        <v/>
      </c>
      <c r="C17" s="77"/>
      <c r="D17" s="77" t="str">
        <f aca="false">IF(D16="","",TRIM(IF(COUNTIFS($C$22:$C$150,D16,$D$22:$D$150,"*Vistoria*",$Q$22:$Q$150,"&lt;&gt;Cancelada")&gt;0,"Vistoria ","")&amp;IF(COUNTIFS($C$22:$C$150,D16,$D$22:$D$150,"*Relatório*",$Q$22:$Q$150,"&lt;&gt;Cancelada")&gt;0,"Relatório ","")&amp;IF(COUNTIFS($C$22:$C$150,D16,$D$22:$D$150,"*Reunião*",$Q$22:$Q$150,"&lt;&gt;Cancelada")&gt;0,"REUNIÃO ","")&amp;IF(COUNTIFS($C$22:$C$150,D16,$D$22:$D$150,"*Férias*",$Q$22:$Q$150,"&lt;&gt;Cancelada")&gt;0,"Férias ","")&amp;IF(COUNTIFS($C$22:$C$150,D16,$D$22:$D$150,"*Mudança*",$Q$22:$Q$150,"&lt;&gt;Cancelada")&gt;0,"M.Função ","")&amp;IF(COUNTIFS($C$22:$C$150,D16,$D$22:$D$150,"*Treinamento*",$Q$22:$Q$150,"&lt;&gt;Cancelada")&gt;0,"Trein. ","")))</f>
        <v/>
      </c>
      <c r="E17" s="77"/>
      <c r="F17" s="77" t="str">
        <f aca="false">IF(F16="","",TRIM(IF(COUNTIFS($C$22:$C$150,F16,$D$22:$D$150,"*Vistoria*",$Q$22:$Q$150,"&lt;&gt;Cancelada")&gt;0,"Vistoria ","")&amp;IF(COUNTIFS($C$22:$C$150,F16,$D$22:$D$150,"*Relatório*",$Q$22:$Q$150,"&lt;&gt;Cancelada")&gt;0,"Relatório ","")&amp;IF(COUNTIFS($C$22:$C$150,F16,$D$22:$D$150,"*Reunião*",$Q$22:$Q$150,"&lt;&gt;Cancelada")&gt;0,"REUNIÃO ","")&amp;IF(COUNTIFS($C$22:$C$150,F16,$D$22:$D$150,"*Férias*",$Q$22:$Q$150,"&lt;&gt;Cancelada")&gt;0,"Férias ","")&amp;IF(COUNTIFS($C$22:$C$150,F16,$D$22:$D$150,"*Mudança*",$Q$22:$Q$150,"&lt;&gt;Cancelada")&gt;0,"M.Função ","")&amp;IF(COUNTIFS($C$22:$C$150,F16,$D$22:$D$150,"*Treinamento*",$Q$22:$Q$150,"&lt;&gt;Cancelada")&gt;0,"Trein. ","")))</f>
        <v/>
      </c>
      <c r="G17" s="77"/>
      <c r="H17" s="77" t="str">
        <f aca="false">IF(H16="","",TRIM(IF(COUNTIFS($C$22:$C$150,H16,$D$22:$D$150,"*Vistoria*",$Q$22:$Q$150,"&lt;&gt;Cancelada")&gt;0,"Vistoria ","")&amp;IF(COUNTIFS($C$22:$C$150,H16,$D$22:$D$150,"*Relatório*",$Q$22:$Q$150,"&lt;&gt;Cancelada")&gt;0,"Relatório ","")&amp;IF(COUNTIFS($C$22:$C$150,H16,$D$22:$D$150,"*Reunião*",$Q$22:$Q$150,"&lt;&gt;Cancelada")&gt;0,"REUNIÃO ","")&amp;IF(COUNTIFS($C$22:$C$150,H16,$D$22:$D$150,"*Férias*",$Q$22:$Q$150,"&lt;&gt;Cancelada")&gt;0,"Férias ","")&amp;IF(COUNTIFS($C$22:$C$150,H16,$D$22:$D$150,"*Mudança*",$Q$22:$Q$150,"&lt;&gt;Cancelada")&gt;0,"M.Função ","")&amp;IF(COUNTIFS($C$22:$C$150,H16,$D$22:$D$150,"*Treinamento*",$Q$22:$Q$150,"&lt;&gt;Cancelada")&gt;0,"Trein. ","")))</f>
        <v/>
      </c>
      <c r="I17" s="77"/>
      <c r="J17" s="77" t="str">
        <f aca="false">IF(J16="","",TRIM(IF(COUNTIFS($C$22:$C$150,J16,$D$22:$D$150,"*Vistoria*",$Q$22:$Q$150,"&lt;&gt;Cancelada")&gt;0,"Vistoria ","")&amp;IF(COUNTIFS($C$22:$C$150,J16,$D$22:$D$150,"*Relatório*",$Q$22:$Q$150,"&lt;&gt;Cancelada")&gt;0,"Relatório ","")&amp;IF(COUNTIFS($C$22:$C$150,J16,$D$22:$D$150,"*Reunião*",$Q$22:$Q$150,"&lt;&gt;Cancelada")&gt;0,"REUNIÃO ","")&amp;IF(COUNTIFS($C$22:$C$150,J16,$D$22:$D$150,"*Férias*",$Q$22:$Q$150,"&lt;&gt;Cancelada")&gt;0,"Férias ","")&amp;IF(COUNTIFS($C$22:$C$150,J16,$D$22:$D$150,"*Mudança*",$Q$22:$Q$150,"&lt;&gt;Cancelada")&gt;0,"M.Função ","")&amp;IF(COUNTIFS($C$22:$C$150,J16,$D$22:$D$150,"*Treinamento*",$Q$22:$Q$150,"&lt;&gt;Cancelada")&gt;0,"Trein. ","")))</f>
        <v/>
      </c>
      <c r="K17" s="77"/>
      <c r="L17" s="77" t="str">
        <f aca="false">IF(L16="","",TRIM(IF(COUNTIFS($C$22:$C$150,L16,$D$22:$D$150,"*Vistoria*",$Q$22:$Q$150,"&lt;&gt;Cancelada")&gt;0,"Vistoria ","")&amp;IF(COUNTIFS($C$22:$C$150,L16,$D$22:$D$150,"*Relatório*",$Q$22:$Q$150,"&lt;&gt;Cancelada")&gt;0,"Relatório ","")&amp;IF(COUNTIFS($C$22:$C$150,L16,$D$22:$D$150,"*Reunião*",$Q$22:$Q$150,"&lt;&gt;Cancelada")&gt;0,"REUNIÃO ","")&amp;IF(COUNTIFS($C$22:$C$150,L16,$D$22:$D$150,"*Férias*",$Q$22:$Q$150,"&lt;&gt;Cancelada")&gt;0,"Férias ","")&amp;IF(COUNTIFS($C$22:$C$150,L16,$D$22:$D$150,"*Mudança*",$Q$22:$Q$150,"&lt;&gt;Cancelada")&gt;0,"M.Função ","")&amp;IF(COUNTIFS($C$22:$C$150,L16,$D$22:$D$150,"*Treinamento*",$Q$22:$Q$150,"&lt;&gt;Cancelada")&gt;0,"Trein. ","")))</f>
        <v/>
      </c>
      <c r="M17" s="77"/>
      <c r="N17" s="77" t="str">
        <f aca="false">IF(N16="","",TRIM(IF(COUNTIFS($C$22:$C$150,N16,$D$22:$D$150,"*Vistoria*",$Q$22:$Q$150,"&lt;&gt;Cancelada")&gt;0,"Vistoria ","")&amp;IF(COUNTIFS($C$22:$C$150,N16,$D$22:$D$150,"*Relatório*",$Q$22:$Q$150,"&lt;&gt;Cancelada")&gt;0,"Relatório ","")&amp;IF(COUNTIFS($C$22:$C$150,N16,$D$22:$D$150,"*Reunião*",$Q$22:$Q$150,"&lt;&gt;Cancelada")&gt;0,"REUNIÃO ","")&amp;IF(COUNTIFS($C$22:$C$150,N16,$D$22:$D$150,"*Férias*",$Q$22:$Q$150,"&lt;&gt;Cancelada")&gt;0,"Férias ","")&amp;IF(COUNTIFS($C$22:$C$150,N16,$D$22:$D$150,"*Mudança*",$Q$22:$Q$150,"&lt;&gt;Cancelada")&gt;0,"M.Função ","")&amp;IF(COUNTIFS($C$22:$C$150,N16,$D$22:$D$150,"*Treinamento*",$Q$22:$Q$150,"&lt;&gt;Cancelada")&gt;0,"Trein. ","")))</f>
        <v/>
      </c>
      <c r="O17" s="77"/>
    </row>
    <row r="18" customFormat="false" ht="15" hidden="false" customHeight="true" outlineLevel="0" collapsed="false">
      <c r="B18" s="46" t="s">
        <v>213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</row>
    <row r="20" customFormat="false" ht="15" hidden="false" customHeight="true" outlineLevel="0" collapsed="false">
      <c r="A20" s="78" t="s">
        <v>214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</row>
    <row r="21" customFormat="false" ht="24" hidden="false" customHeight="true" outlineLevel="0" collapsed="false">
      <c r="A21" s="79" t="s">
        <v>215</v>
      </c>
      <c r="B21" s="79" t="s">
        <v>157</v>
      </c>
      <c r="C21" s="79" t="s">
        <v>216</v>
      </c>
      <c r="D21" s="79" t="s">
        <v>217</v>
      </c>
      <c r="E21" s="79"/>
      <c r="F21" s="79"/>
      <c r="G21" s="79" t="s">
        <v>58</v>
      </c>
      <c r="H21" s="79" t="s">
        <v>218</v>
      </c>
      <c r="I21" s="79"/>
      <c r="J21" s="79" t="s">
        <v>219</v>
      </c>
      <c r="K21" s="79" t="s">
        <v>61</v>
      </c>
      <c r="L21" s="79" t="s">
        <v>220</v>
      </c>
      <c r="M21" s="79" t="s">
        <v>221</v>
      </c>
      <c r="N21" s="79"/>
      <c r="O21" s="79"/>
      <c r="P21" s="79" t="s">
        <v>222</v>
      </c>
      <c r="Q21" s="79" t="s">
        <v>223</v>
      </c>
      <c r="R21" s="79" t="s">
        <v>224</v>
      </c>
      <c r="S21" s="79" t="s">
        <v>225</v>
      </c>
      <c r="T21" s="79" t="s">
        <v>226</v>
      </c>
      <c r="U21" s="79" t="s">
        <v>227</v>
      </c>
      <c r="V21" s="79" t="s">
        <v>228</v>
      </c>
    </row>
    <row r="22" customFormat="false" ht="15" hidden="false" customHeight="false" outlineLevel="0" collapsed="false">
      <c r="A22" s="80" t="str">
        <f aca="false">IF($C22="","",$X$2&amp;"-S"&amp;INT(($C22-WEEKDAY($C22,2)+11-DATE(YEAR($C22+4-WEEKDAY($C22,2)),1,1))/7)&amp;"-FER-A")</f>
        <v>JUL-S28-FER-A</v>
      </c>
      <c r="B22" s="81" t="str">
        <f aca="false">IF($C22="","","S"&amp;INT(($C22-WEEKDAY($C22,2)+11-DATE(YEAR($C22+4-WEEKDAY($C22,2)),1,1))/7))</f>
        <v>S28</v>
      </c>
      <c r="C22" s="82" t="n">
        <f aca="false">$X$1+MOD(8-WEEKDAY($X$1,2),7)</f>
        <v>46209</v>
      </c>
      <c r="D22" s="9" t="str">
        <f aca="false">IF($C22="","","Programação de Férias (mensal)")</f>
        <v>Programação de Férias (mensal)</v>
      </c>
      <c r="E22" s="9"/>
      <c r="F22" s="9"/>
      <c r="G22" s="81" t="str">
        <f aca="false">IF($C22="","","A")</f>
        <v>A</v>
      </c>
      <c r="H22" s="81" t="str">
        <f aca="false">IF($C22="","",IF($G22="A",CONFIG!$B$5,IF($G22="B",CONFIG!$B$6,IF($G22="C",CONFIG!$B$7,"Gerência + coordenadores"))))</f>
        <v>(preencha o nome)</v>
      </c>
      <c r="I22" s="81"/>
      <c r="J22" s="81" t="str">
        <f aca="false">IF($C22="","","—")</f>
        <v>—</v>
      </c>
      <c r="K22" s="83" t="str">
        <f aca="false">IF($C22="","","—")</f>
        <v>—</v>
      </c>
      <c r="L22" s="83" t="str">
        <f aca="false">IF($C22="","","—")</f>
        <v>—</v>
      </c>
      <c r="M22" s="84"/>
      <c r="N22" s="84"/>
      <c r="O22" s="84"/>
      <c r="P22" s="85"/>
      <c r="Q22" s="86"/>
      <c r="R22" s="87"/>
      <c r="S22" s="81" t="str">
        <f aca="true">IF($C22="","",IF($Q22="Cancelada","Cancelada",IF($Q22="Reprovado","Reprovada",IF($Q22="Aprovado","Aprovada",IF($M22&lt;&gt;"","Entregue",IF(TODAY()&gt;$C22,"Atrasada","Pendente"))))))</f>
        <v>Atrasada</v>
      </c>
      <c r="T22" s="88"/>
      <c r="U22" s="88"/>
      <c r="V22" s="88"/>
    </row>
    <row r="23" customFormat="false" ht="15" hidden="false" customHeight="false" outlineLevel="0" collapsed="false">
      <c r="A23" s="89" t="str">
        <f aca="false">IF($C23="","",$X$2&amp;"-S"&amp;INT(($C23-WEEKDAY($C23,2)+11-DATE(YEAR($C23+4-WEEKDAY($C23,2)),1,1))/7)&amp;"-FER-B")</f>
        <v>JUL-S28-FER-B</v>
      </c>
      <c r="B23" s="60" t="str">
        <f aca="false">IF($C23="","","S"&amp;INT(($C23-WEEKDAY($C23,2)+11-DATE(YEAR($C23+4-WEEKDAY($C23,2)),1,1))/7))</f>
        <v>S28</v>
      </c>
      <c r="C23" s="82" t="n">
        <f aca="false">$X$1+MOD(8-WEEKDAY($X$1,2),7)</f>
        <v>46209</v>
      </c>
      <c r="D23" s="56" t="str">
        <f aca="false">IF($C23="","","Programação de Férias (mensal)")</f>
        <v>Programação de Férias (mensal)</v>
      </c>
      <c r="E23" s="56"/>
      <c r="F23" s="56"/>
      <c r="G23" s="60" t="str">
        <f aca="false">IF($C23="","","B")</f>
        <v>B</v>
      </c>
      <c r="H23" s="60" t="str">
        <f aca="false">IF($C23="","",IF($G23="A",CONFIG!$B$5,IF($G23="B",CONFIG!$B$6,IF($G23="C",CONFIG!$B$7,"Gerência + coordenadores"))))</f>
        <v>(preencha o nome)</v>
      </c>
      <c r="I23" s="60"/>
      <c r="J23" s="81" t="str">
        <f aca="false">IF($C23="","","—")</f>
        <v>—</v>
      </c>
      <c r="K23" s="83" t="str">
        <f aca="false">IF($C23="","","—")</f>
        <v>—</v>
      </c>
      <c r="L23" s="83" t="str">
        <f aca="false">IF($C23="","","—")</f>
        <v>—</v>
      </c>
      <c r="M23" s="84"/>
      <c r="N23" s="84"/>
      <c r="O23" s="84"/>
      <c r="P23" s="90"/>
      <c r="Q23" s="86"/>
      <c r="R23" s="87"/>
      <c r="S23" s="60" t="str">
        <f aca="true">IF($C23="","",IF($Q23="Cancelada","Cancelada",IF($Q23="Reprovado","Reprovada",IF($Q23="Aprovado","Aprovada",IF($M23&lt;&gt;"","Entregue",IF(TODAY()&gt;$C23,"Atrasada","Pendente"))))))</f>
        <v>Atrasada</v>
      </c>
      <c r="T23" s="88"/>
      <c r="U23" s="88"/>
      <c r="V23" s="88"/>
    </row>
    <row r="24" customFormat="false" ht="15" hidden="false" customHeight="false" outlineLevel="0" collapsed="false">
      <c r="A24" s="80" t="str">
        <f aca="false">IF($C24="","",$X$2&amp;"-S"&amp;INT(($C24-WEEKDAY($C24,2)+11-DATE(YEAR($C24+4-WEEKDAY($C24,2)),1,1))/7)&amp;"-FER-C")</f>
        <v>JUL-S28-FER-C</v>
      </c>
      <c r="B24" s="81" t="str">
        <f aca="false">IF($C24="","","S"&amp;INT(($C24-WEEKDAY($C24,2)+11-DATE(YEAR($C24+4-WEEKDAY($C24,2)),1,1))/7))</f>
        <v>S28</v>
      </c>
      <c r="C24" s="82" t="n">
        <f aca="false">$X$1+MOD(8-WEEKDAY($X$1,2),7)</f>
        <v>46209</v>
      </c>
      <c r="D24" s="9" t="str">
        <f aca="false">IF($C24="","","Programação de Férias (mensal)")</f>
        <v>Programação de Férias (mensal)</v>
      </c>
      <c r="E24" s="9"/>
      <c r="F24" s="9"/>
      <c r="G24" s="81" t="str">
        <f aca="false">IF($C24="","","C")</f>
        <v>C</v>
      </c>
      <c r="H24" s="81" t="str">
        <f aca="false">IF($C24="","",IF($G24="A",CONFIG!$B$5,IF($G24="B",CONFIG!$B$6,IF($G24="C",CONFIG!$B$7,"Gerência + coordenadores"))))</f>
        <v>(preencha o nome)</v>
      </c>
      <c r="I24" s="81"/>
      <c r="J24" s="81" t="str">
        <f aca="false">IF($C24="","","—")</f>
        <v>—</v>
      </c>
      <c r="K24" s="83" t="str">
        <f aca="false">IF($C24="","","—")</f>
        <v>—</v>
      </c>
      <c r="L24" s="83" t="str">
        <f aca="false">IF($C24="","","—")</f>
        <v>—</v>
      </c>
      <c r="M24" s="84"/>
      <c r="N24" s="84"/>
      <c r="O24" s="84"/>
      <c r="P24" s="85"/>
      <c r="Q24" s="86"/>
      <c r="R24" s="87"/>
      <c r="S24" s="81" t="str">
        <f aca="true">IF($C24="","",IF($Q24="Cancelada","Cancelada",IF($Q24="Reprovado","Reprovada",IF($Q24="Aprovado","Aprovada",IF($M24&lt;&gt;"","Entregue",IF(TODAY()&gt;$C24,"Atrasada","Pendente"))))))</f>
        <v>Atrasada</v>
      </c>
      <c r="T24" s="88"/>
      <c r="U24" s="88"/>
      <c r="V24" s="88"/>
    </row>
    <row r="25" customFormat="false" ht="22.35" hidden="false" customHeight="false" outlineLevel="0" collapsed="false">
      <c r="A25" s="89" t="str">
        <f aca="false">IF($C25="","",$X$2&amp;"-S"&amp;INT(($C25-WEEKDAY($C25,2)+11-DATE(YEAR($C25+4-WEEKDAY($C25,2)),1,1))/7)&amp;"-VIS-A")</f>
        <v>JUL-S27-VIS-A</v>
      </c>
      <c r="B25" s="60" t="str">
        <f aca="false">IF($C25="","","S"&amp;INT(($C25-WEEKDAY($C25,2)+11-DATE(YEAR($C25+4-WEEKDAY($C25,2)),1,1))/7))</f>
        <v>S27</v>
      </c>
      <c r="C25" s="82" t="n">
        <f aca="false">IF(MONTH(($X$1-WEEKDAY($X$1,3)+0)+2)=MONTH($X$1),($X$1-WEEKDAY($X$1,3)+0)+2,"")</f>
        <v>46204</v>
      </c>
      <c r="D25" s="56" t="str">
        <f aca="false">IF($C25="","","Vistoria Setorial (checklist no setor definido pelo gerente)")</f>
        <v>Vistoria Setorial (checklist no setor definido pelo gerente)</v>
      </c>
      <c r="E25" s="56"/>
      <c r="F25" s="56"/>
      <c r="G25" s="60" t="str">
        <f aca="false">IF($C25="","","A")</f>
        <v>A</v>
      </c>
      <c r="H25" s="60" t="str">
        <f aca="false">IF($C25="","",IF($G25="A",CONFIG!$B$5,IF($G25="B",CONFIG!$B$6,IF($G25="C",CONFIG!$B$7,"Gerência + coordenadores"))))</f>
        <v>(preencha o nome)</v>
      </c>
      <c r="I25" s="60"/>
      <c r="J25" s="86"/>
      <c r="K25" s="83" t="str">
        <f aca="false">IF($C25="","","—")</f>
        <v>—</v>
      </c>
      <c r="L25" s="83" t="str">
        <f aca="false">IF($C25="","","—")</f>
        <v>—</v>
      </c>
      <c r="M25" s="84"/>
      <c r="N25" s="84"/>
      <c r="O25" s="84"/>
      <c r="P25" s="90"/>
      <c r="Q25" s="86"/>
      <c r="R25" s="87"/>
      <c r="S25" s="60" t="str">
        <f aca="true">IF($C25="","",IF($Q25="Cancelada","Cancelada",IF($Q25="Reprovado","Reprovada",IF($Q25="Aprovado","Aprovada",IF($M25&lt;&gt;"","Entregue",IF(TODAY()&gt;$C25,"Atrasada","Pendente"))))))</f>
        <v>Atrasada</v>
      </c>
      <c r="T25" s="88"/>
      <c r="U25" s="88"/>
      <c r="V25" s="88"/>
    </row>
    <row r="26" customFormat="false" ht="22.35" hidden="false" customHeight="false" outlineLevel="0" collapsed="false">
      <c r="A26" s="80" t="str">
        <f aca="false">IF($C26="","",$X$2&amp;"-S"&amp;INT(($C26-WEEKDAY($C26,2)+11-DATE(YEAR($C26+4-WEEKDAY($C26,2)),1,1))/7)&amp;"-VIS-B")</f>
        <v>JUL-S27-VIS-B</v>
      </c>
      <c r="B26" s="81" t="str">
        <f aca="false">IF($C26="","","S"&amp;INT(($C26-WEEKDAY($C26,2)+11-DATE(YEAR($C26+4-WEEKDAY($C26,2)),1,1))/7))</f>
        <v>S27</v>
      </c>
      <c r="C26" s="82" t="n">
        <f aca="false">IF(MONTH(($X$1-WEEKDAY($X$1,3)+0)+2)=MONTH($X$1),($X$1-WEEKDAY($X$1,3)+0)+2,"")</f>
        <v>46204</v>
      </c>
      <c r="D26" s="9" t="str">
        <f aca="false">IF($C26="","","Vistoria Setorial (checklist no setor definido pelo gerente)")</f>
        <v>Vistoria Setorial (checklist no setor definido pelo gerente)</v>
      </c>
      <c r="E26" s="9"/>
      <c r="F26" s="9"/>
      <c r="G26" s="81" t="str">
        <f aca="false">IF($C26="","","B")</f>
        <v>B</v>
      </c>
      <c r="H26" s="81" t="str">
        <f aca="false">IF($C26="","",IF($G26="A",CONFIG!$B$5,IF($G26="B",CONFIG!$B$6,IF($G26="C",CONFIG!$B$7,"Gerência + coordenadores"))))</f>
        <v>(preencha o nome)</v>
      </c>
      <c r="I26" s="81"/>
      <c r="J26" s="86"/>
      <c r="K26" s="83" t="str">
        <f aca="false">IF($C26="","","—")</f>
        <v>—</v>
      </c>
      <c r="L26" s="83" t="str">
        <f aca="false">IF($C26="","","—")</f>
        <v>—</v>
      </c>
      <c r="M26" s="84"/>
      <c r="N26" s="84"/>
      <c r="O26" s="84"/>
      <c r="P26" s="85"/>
      <c r="Q26" s="86"/>
      <c r="R26" s="87"/>
      <c r="S26" s="81" t="str">
        <f aca="true">IF($C26="","",IF($Q26="Cancelada","Cancelada",IF($Q26="Reprovado","Reprovada",IF($Q26="Aprovado","Aprovada",IF($M26&lt;&gt;"","Entregue",IF(TODAY()&gt;$C26,"Atrasada","Pendente"))))))</f>
        <v>Atrasada</v>
      </c>
      <c r="T26" s="88"/>
      <c r="U26" s="88"/>
      <c r="V26" s="88"/>
    </row>
    <row r="27" customFormat="false" ht="22.35" hidden="false" customHeight="false" outlineLevel="0" collapsed="false">
      <c r="A27" s="89" t="str">
        <f aca="false">IF($C27="","",$X$2&amp;"-S"&amp;INT(($C27-WEEKDAY($C27,2)+11-DATE(YEAR($C27+4-WEEKDAY($C27,2)),1,1))/7)&amp;"-VIS-C")</f>
        <v>JUL-S27-VIS-C</v>
      </c>
      <c r="B27" s="60" t="str">
        <f aca="false">IF($C27="","","S"&amp;INT(($C27-WEEKDAY($C27,2)+11-DATE(YEAR($C27+4-WEEKDAY($C27,2)),1,1))/7))</f>
        <v>S27</v>
      </c>
      <c r="C27" s="82" t="n">
        <f aca="false">IF(MONTH(($X$1-WEEKDAY($X$1,3)+0)+2)=MONTH($X$1),($X$1-WEEKDAY($X$1,3)+0)+2,"")</f>
        <v>46204</v>
      </c>
      <c r="D27" s="56" t="str">
        <f aca="false">IF($C27="","","Vistoria Setorial (checklist no setor definido pelo gerente)")</f>
        <v>Vistoria Setorial (checklist no setor definido pelo gerente)</v>
      </c>
      <c r="E27" s="56"/>
      <c r="F27" s="56"/>
      <c r="G27" s="60" t="str">
        <f aca="false">IF($C27="","","C")</f>
        <v>C</v>
      </c>
      <c r="H27" s="60" t="str">
        <f aca="false">IF($C27="","",IF($G27="A",CONFIG!$B$5,IF($G27="B",CONFIG!$B$6,IF($G27="C",CONFIG!$B$7,"Gerência + coordenadores"))))</f>
        <v>(preencha o nome)</v>
      </c>
      <c r="I27" s="60"/>
      <c r="J27" s="86"/>
      <c r="K27" s="83" t="str">
        <f aca="false">IF($C27="","","—")</f>
        <v>—</v>
      </c>
      <c r="L27" s="83" t="str">
        <f aca="false">IF($C27="","","—")</f>
        <v>—</v>
      </c>
      <c r="M27" s="84"/>
      <c r="N27" s="84"/>
      <c r="O27" s="84"/>
      <c r="P27" s="90"/>
      <c r="Q27" s="86"/>
      <c r="R27" s="87"/>
      <c r="S27" s="60" t="str">
        <f aca="true">IF($C27="","",IF($Q27="Cancelada","Cancelada",IF($Q27="Reprovado","Reprovada",IF($Q27="Aprovado","Aprovada",IF($M27&lt;&gt;"","Entregue",IF(TODAY()&gt;$C27,"Atrasada","Pendente"))))))</f>
        <v>Atrasada</v>
      </c>
      <c r="T27" s="88"/>
      <c r="U27" s="88"/>
      <c r="V27" s="88"/>
    </row>
    <row r="28" customFormat="false" ht="22.35" hidden="false" customHeight="false" outlineLevel="0" collapsed="false">
      <c r="A28" s="80" t="str">
        <f aca="false">IF($C28="","",$X$2&amp;"-S"&amp;INT(($C28-WEEKDAY($C28,2)+11-DATE(YEAR($C28+4-WEEKDAY($C28,2)),1,1))/7)&amp;"-RSC-A")</f>
        <v>JUL-S27-RSC-A</v>
      </c>
      <c r="B28" s="81" t="str">
        <f aca="false">IF($C28="","","S"&amp;INT(($C28-WEEKDAY($C28,2)+11-DATE(YEAR($C28+4-WEEKDAY($C28,2)),1,1))/7))</f>
        <v>S27</v>
      </c>
      <c r="C28" s="82" t="n">
        <f aca="false">IF(MONTH(($X$1-WEEKDAY($X$1,3)+0)+3)=MONTH($X$1),($X$1-WEEKDAY($X$1,3)+0)+3,"")</f>
        <v>46205</v>
      </c>
      <c r="D28" s="9" t="str">
        <f aca="false">IF($C28="","","Relatório Semanal Consolidado (erros + metas + faltas + supervisores)")</f>
        <v>Relatório Semanal Consolidado (erros + metas + faltas + supervisores)</v>
      </c>
      <c r="E28" s="9"/>
      <c r="F28" s="9"/>
      <c r="G28" s="81" t="str">
        <f aca="false">IF($C28="","","A")</f>
        <v>A</v>
      </c>
      <c r="H28" s="81" t="str">
        <f aca="false">IF($C28="","",IF($G28="A",CONFIG!$B$5,IF($G28="B",CONFIG!$B$6,IF($G28="C",CONFIG!$B$7,"Gerência + coordenadores"))))</f>
        <v>(preencha o nome)</v>
      </c>
      <c r="I28" s="81"/>
      <c r="J28" s="81" t="str">
        <f aca="false">IF($C28="","","—")</f>
        <v>—</v>
      </c>
      <c r="K28" s="91" t="n">
        <f aca="false">IF($C28="","",SUMIFS(OCORRÊNCIAS!$E$6:$E$605,OCORRÊNCIAS!$B$6:$B$605,"Falta",OCORRÊNCIAS!$C$6:$C$605,$G28,OCORRÊNCIAS!$H$6:$H$605,$B28,OCORRÊNCIAS!$J$6:$J$605,YEAR($C28+4-WEEKDAY($C28,2))))</f>
        <v>0</v>
      </c>
      <c r="L28" s="91" t="n">
        <f aca="false">IF($C28="","",SUMIFS(OCORRÊNCIAS!$E$6:$E$605,OCORRÊNCIAS!$B$6:$B$605,"Atestado",OCORRÊNCIAS!$C$6:$C$605,$G28,OCORRÊNCIAS!$H$6:$H$605,$B28,OCORRÊNCIAS!$J$6:$J$605,YEAR($C28+4-WEEKDAY($C28,2))))</f>
        <v>0</v>
      </c>
      <c r="M28" s="84"/>
      <c r="N28" s="84"/>
      <c r="O28" s="84"/>
      <c r="P28" s="85"/>
      <c r="Q28" s="86"/>
      <c r="R28" s="87"/>
      <c r="S28" s="81" t="str">
        <f aca="true">IF($C28="","",IF($Q28="Cancelada","Cancelada",IF($Q28="Reprovado","Reprovada",IF($Q28="Aprovado","Aprovada",IF($M28&lt;&gt;"","Entregue",IF(TODAY()&gt;$C28,"Atrasada","Pendente"))))))</f>
        <v>Atrasada</v>
      </c>
      <c r="T28" s="88"/>
      <c r="U28" s="88"/>
      <c r="V28" s="88"/>
    </row>
    <row r="29" customFormat="false" ht="22.35" hidden="false" customHeight="false" outlineLevel="0" collapsed="false">
      <c r="A29" s="89" t="str">
        <f aca="false">IF($C29="","",$X$2&amp;"-S"&amp;INT(($C29-WEEKDAY($C29,2)+11-DATE(YEAR($C29+4-WEEKDAY($C29,2)),1,1))/7)&amp;"-RSC-B")</f>
        <v>JUL-S27-RSC-B</v>
      </c>
      <c r="B29" s="60" t="str">
        <f aca="false">IF($C29="","","S"&amp;INT(($C29-WEEKDAY($C29,2)+11-DATE(YEAR($C29+4-WEEKDAY($C29,2)),1,1))/7))</f>
        <v>S27</v>
      </c>
      <c r="C29" s="82" t="n">
        <f aca="false">IF(MONTH(($X$1-WEEKDAY($X$1,3)+0)+3)=MONTH($X$1),($X$1-WEEKDAY($X$1,3)+0)+3,"")</f>
        <v>46205</v>
      </c>
      <c r="D29" s="56" t="str">
        <f aca="false">IF($C29="","","Relatório Semanal Consolidado (erros + metas + faltas + supervisores)")</f>
        <v>Relatório Semanal Consolidado (erros + metas + faltas + supervisores)</v>
      </c>
      <c r="E29" s="56"/>
      <c r="F29" s="56"/>
      <c r="G29" s="60" t="str">
        <f aca="false">IF($C29="","","B")</f>
        <v>B</v>
      </c>
      <c r="H29" s="60" t="str">
        <f aca="false">IF($C29="","",IF($G29="A",CONFIG!$B$5,IF($G29="B",CONFIG!$B$6,IF($G29="C",CONFIG!$B$7,"Gerência + coordenadores"))))</f>
        <v>(preencha o nome)</v>
      </c>
      <c r="I29" s="60"/>
      <c r="J29" s="81" t="str">
        <f aca="false">IF($C29="","","—")</f>
        <v>—</v>
      </c>
      <c r="K29" s="91" t="n">
        <f aca="false">IF($C29="","",SUMIFS(OCORRÊNCIAS!$E$6:$E$605,OCORRÊNCIAS!$B$6:$B$605,"Falta",OCORRÊNCIAS!$C$6:$C$605,$G29,OCORRÊNCIAS!$H$6:$H$605,$B29,OCORRÊNCIAS!$J$6:$J$605,YEAR($C29+4-WEEKDAY($C29,2))))</f>
        <v>0</v>
      </c>
      <c r="L29" s="91" t="n">
        <f aca="false">IF($C29="","",SUMIFS(OCORRÊNCIAS!$E$6:$E$605,OCORRÊNCIAS!$B$6:$B$605,"Atestado",OCORRÊNCIAS!$C$6:$C$605,$G29,OCORRÊNCIAS!$H$6:$H$605,$B29,OCORRÊNCIAS!$J$6:$J$605,YEAR($C29+4-WEEKDAY($C29,2))))</f>
        <v>0</v>
      </c>
      <c r="M29" s="84"/>
      <c r="N29" s="84"/>
      <c r="O29" s="84"/>
      <c r="P29" s="90"/>
      <c r="Q29" s="86"/>
      <c r="R29" s="87"/>
      <c r="S29" s="60" t="str">
        <f aca="true">IF($C29="","",IF($Q29="Cancelada","Cancelada",IF($Q29="Reprovado","Reprovada",IF($Q29="Aprovado","Aprovada",IF($M29&lt;&gt;"","Entregue",IF(TODAY()&gt;$C29,"Atrasada","Pendente"))))))</f>
        <v>Atrasada</v>
      </c>
      <c r="T29" s="88"/>
      <c r="U29" s="88"/>
      <c r="V29" s="88"/>
    </row>
    <row r="30" customFormat="false" ht="22.35" hidden="false" customHeight="false" outlineLevel="0" collapsed="false">
      <c r="A30" s="80" t="str">
        <f aca="false">IF($C30="","",$X$2&amp;"-S"&amp;INT(($C30-WEEKDAY($C30,2)+11-DATE(YEAR($C30+4-WEEKDAY($C30,2)),1,1))/7)&amp;"-RSC-C")</f>
        <v>JUL-S27-RSC-C</v>
      </c>
      <c r="B30" s="81" t="str">
        <f aca="false">IF($C30="","","S"&amp;INT(($C30-WEEKDAY($C30,2)+11-DATE(YEAR($C30+4-WEEKDAY($C30,2)),1,1))/7))</f>
        <v>S27</v>
      </c>
      <c r="C30" s="82" t="n">
        <f aca="false">IF(MONTH(($X$1-WEEKDAY($X$1,3)+0)+3)=MONTH($X$1),($X$1-WEEKDAY($X$1,3)+0)+3,"")</f>
        <v>46205</v>
      </c>
      <c r="D30" s="9" t="str">
        <f aca="false">IF($C30="","","Relatório Semanal Consolidado (erros + metas + faltas + supervisores)")</f>
        <v>Relatório Semanal Consolidado (erros + metas + faltas + supervisores)</v>
      </c>
      <c r="E30" s="9"/>
      <c r="F30" s="9"/>
      <c r="G30" s="81" t="str">
        <f aca="false">IF($C30="","","C")</f>
        <v>C</v>
      </c>
      <c r="H30" s="81" t="str">
        <f aca="false">IF($C30="","",IF($G30="A",CONFIG!$B$5,IF($G30="B",CONFIG!$B$6,IF($G30="C",CONFIG!$B$7,"Gerência + coordenadores"))))</f>
        <v>(preencha o nome)</v>
      </c>
      <c r="I30" s="81"/>
      <c r="J30" s="81" t="str">
        <f aca="false">IF($C30="","","—")</f>
        <v>—</v>
      </c>
      <c r="K30" s="91" t="n">
        <f aca="false">IF($C30="","",SUMIFS(OCORRÊNCIAS!$E$6:$E$605,OCORRÊNCIAS!$B$6:$B$605,"Falta",OCORRÊNCIAS!$C$6:$C$605,$G30,OCORRÊNCIAS!$H$6:$H$605,$B30,OCORRÊNCIAS!$J$6:$J$605,YEAR($C30+4-WEEKDAY($C30,2))))</f>
        <v>0</v>
      </c>
      <c r="L30" s="91" t="n">
        <f aca="false">IF($C30="","",SUMIFS(OCORRÊNCIAS!$E$6:$E$605,OCORRÊNCIAS!$B$6:$B$605,"Atestado",OCORRÊNCIAS!$C$6:$C$605,$G30,OCORRÊNCIAS!$H$6:$H$605,$B30,OCORRÊNCIAS!$J$6:$J$605,YEAR($C30+4-WEEKDAY($C30,2))))</f>
        <v>0</v>
      </c>
      <c r="M30" s="84"/>
      <c r="N30" s="84"/>
      <c r="O30" s="84"/>
      <c r="P30" s="85"/>
      <c r="Q30" s="86"/>
      <c r="R30" s="87"/>
      <c r="S30" s="81" t="str">
        <f aca="true">IF($C30="","",IF($Q30="Cancelada","Cancelada",IF($Q30="Reprovado","Reprovada",IF($Q30="Aprovado","Aprovada",IF($M30&lt;&gt;"","Entregue",IF(TODAY()&gt;$C30,"Atrasada","Pendente"))))))</f>
        <v>Atrasada</v>
      </c>
      <c r="T30" s="88"/>
      <c r="U30" s="88"/>
      <c r="V30" s="88"/>
    </row>
    <row r="31" customFormat="false" ht="22.35" hidden="false" customHeight="false" outlineLevel="0" collapsed="false">
      <c r="A31" s="89" t="str">
        <f aca="false">IF($C31="","",$X$2&amp;"-S"&amp;INT(($C31-WEEKDAY($C31,2)+11-DATE(YEAR($C31+4-WEEKDAY($C31,2)),1,1))/7)&amp;"-REU-T")</f>
        <v>JUL-S27-REU-T</v>
      </c>
      <c r="B31" s="60" t="str">
        <f aca="false">IF($C31="","","S"&amp;INT(($C31-WEEKDAY($C31,2)+11-DATE(YEAR($C31+4-WEEKDAY($C31,2)),1,1))/7))</f>
        <v>S27</v>
      </c>
      <c r="C31" s="82" t="n">
        <f aca="false">IF(MONTH(($X$1-WEEKDAY($X$1,3)+0)+4)=MONTH($X$1),($X$1-WEEKDAY($X$1,3)+0)+4,"")</f>
        <v>46206</v>
      </c>
      <c r="D31" s="56" t="str">
        <f aca="false">IF($C31="","","Reunião Semanal com a Gerência")</f>
        <v>Reunião Semanal com a Gerência</v>
      </c>
      <c r="E31" s="56"/>
      <c r="F31" s="56"/>
      <c r="G31" s="60" t="str">
        <f aca="false">IF($C31="","","Todos")</f>
        <v>Todos</v>
      </c>
      <c r="H31" s="60" t="str">
        <f aca="false">IF($C31="","",IF($G31="A",CONFIG!$B$5,IF($G31="B",CONFIG!$B$6,IF($G31="C",CONFIG!$B$7,"Gerência + coordenadores"))))</f>
        <v>Gerência + coordenadores</v>
      </c>
      <c r="I31" s="60"/>
      <c r="J31" s="81" t="str">
        <f aca="false">IF($C31="","","—")</f>
        <v>—</v>
      </c>
      <c r="K31" s="83" t="str">
        <f aca="false">IF($C31="","","—")</f>
        <v>—</v>
      </c>
      <c r="L31" s="83" t="str">
        <f aca="false">IF($C31="","","—")</f>
        <v>—</v>
      </c>
      <c r="M31" s="84"/>
      <c r="N31" s="84"/>
      <c r="O31" s="84"/>
      <c r="P31" s="90"/>
      <c r="Q31" s="86"/>
      <c r="R31" s="87"/>
      <c r="S31" s="60" t="str">
        <f aca="true">IF($C31="","",IF($Q31="Cancelada","Cancelada",IF($Q31="Reprovado","Reprovada",IF($Q31="Aprovado","Aprovada",IF($M31&lt;&gt;"","Entregue",IF(TODAY()&gt;$C31,"Atrasada","Pendente"))))))</f>
        <v>Atrasada</v>
      </c>
      <c r="T31" s="88"/>
      <c r="U31" s="88"/>
      <c r="V31" s="88"/>
    </row>
    <row r="32" customFormat="false" ht="22.35" hidden="false" customHeight="false" outlineLevel="0" collapsed="false">
      <c r="A32" s="80" t="str">
        <f aca="false">IF($C32="","",$X$2&amp;"-S"&amp;INT(($C32-WEEKDAY($C32,2)+11-DATE(YEAR($C32+4-WEEKDAY($C32,2)),1,1))/7)&amp;"-VIS-A")</f>
        <v>JUL-S28-VIS-A</v>
      </c>
      <c r="B32" s="81" t="str">
        <f aca="false">IF($C32="","","S"&amp;INT(($C32-WEEKDAY($C32,2)+11-DATE(YEAR($C32+4-WEEKDAY($C32,2)),1,1))/7))</f>
        <v>S28</v>
      </c>
      <c r="C32" s="82" t="n">
        <f aca="false">IF(MONTH(($X$1-WEEKDAY($X$1,3)+7)+2)=MONTH($X$1),($X$1-WEEKDAY($X$1,3)+7)+2,"")</f>
        <v>46211</v>
      </c>
      <c r="D32" s="9" t="str">
        <f aca="false">IF($C32="","","Vistoria Setorial (checklist no setor definido pelo gerente)")</f>
        <v>Vistoria Setorial (checklist no setor definido pelo gerente)</v>
      </c>
      <c r="E32" s="9"/>
      <c r="F32" s="9"/>
      <c r="G32" s="81" t="str">
        <f aca="false">IF($C32="","","A")</f>
        <v>A</v>
      </c>
      <c r="H32" s="81" t="str">
        <f aca="false">IF($C32="","",IF($G32="A",CONFIG!$B$5,IF($G32="B",CONFIG!$B$6,IF($G32="C",CONFIG!$B$7,"Gerência + coordenadores"))))</f>
        <v>(preencha o nome)</v>
      </c>
      <c r="I32" s="81"/>
      <c r="J32" s="86"/>
      <c r="K32" s="83" t="str">
        <f aca="false">IF($C32="","","—")</f>
        <v>—</v>
      </c>
      <c r="L32" s="83" t="str">
        <f aca="false">IF($C32="","","—")</f>
        <v>—</v>
      </c>
      <c r="M32" s="84"/>
      <c r="N32" s="84"/>
      <c r="O32" s="84"/>
      <c r="P32" s="85"/>
      <c r="Q32" s="86"/>
      <c r="R32" s="87"/>
      <c r="S32" s="81" t="str">
        <f aca="true">IF($C32="","",IF($Q32="Cancelada","Cancelada",IF($Q32="Reprovado","Reprovada",IF($Q32="Aprovado","Aprovada",IF($M32&lt;&gt;"","Entregue",IF(TODAY()&gt;$C32,"Atrasada","Pendente"))))))</f>
        <v>Atrasada</v>
      </c>
      <c r="T32" s="88"/>
      <c r="U32" s="88"/>
      <c r="V32" s="88"/>
    </row>
    <row r="33" customFormat="false" ht="22.35" hidden="false" customHeight="false" outlineLevel="0" collapsed="false">
      <c r="A33" s="89" t="str">
        <f aca="false">IF($C33="","",$X$2&amp;"-S"&amp;INT(($C33-WEEKDAY($C33,2)+11-DATE(YEAR($C33+4-WEEKDAY($C33,2)),1,1))/7)&amp;"-VIS-B")</f>
        <v>JUL-S28-VIS-B</v>
      </c>
      <c r="B33" s="60" t="str">
        <f aca="false">IF($C33="","","S"&amp;INT(($C33-WEEKDAY($C33,2)+11-DATE(YEAR($C33+4-WEEKDAY($C33,2)),1,1))/7))</f>
        <v>S28</v>
      </c>
      <c r="C33" s="82" t="n">
        <f aca="false">IF(MONTH(($X$1-WEEKDAY($X$1,3)+7)+2)=MONTH($X$1),($X$1-WEEKDAY($X$1,3)+7)+2,"")</f>
        <v>46211</v>
      </c>
      <c r="D33" s="56" t="str">
        <f aca="false">IF($C33="","","Vistoria Setorial (checklist no setor definido pelo gerente)")</f>
        <v>Vistoria Setorial (checklist no setor definido pelo gerente)</v>
      </c>
      <c r="E33" s="56"/>
      <c r="F33" s="56"/>
      <c r="G33" s="60" t="str">
        <f aca="false">IF($C33="","","B")</f>
        <v>B</v>
      </c>
      <c r="H33" s="60" t="str">
        <f aca="false">IF($C33="","",IF($G33="A",CONFIG!$B$5,IF($G33="B",CONFIG!$B$6,IF($G33="C",CONFIG!$B$7,"Gerência + coordenadores"))))</f>
        <v>(preencha o nome)</v>
      </c>
      <c r="I33" s="60"/>
      <c r="J33" s="86"/>
      <c r="K33" s="83" t="str">
        <f aca="false">IF($C33="","","—")</f>
        <v>—</v>
      </c>
      <c r="L33" s="83" t="str">
        <f aca="false">IF($C33="","","—")</f>
        <v>—</v>
      </c>
      <c r="M33" s="84"/>
      <c r="N33" s="84"/>
      <c r="O33" s="84"/>
      <c r="P33" s="90"/>
      <c r="Q33" s="86"/>
      <c r="R33" s="87"/>
      <c r="S33" s="60" t="str">
        <f aca="true">IF($C33="","",IF($Q33="Cancelada","Cancelada",IF($Q33="Reprovado","Reprovada",IF($Q33="Aprovado","Aprovada",IF($M33&lt;&gt;"","Entregue",IF(TODAY()&gt;$C33,"Atrasada","Pendente"))))))</f>
        <v>Atrasada</v>
      </c>
      <c r="T33" s="88"/>
      <c r="U33" s="88"/>
      <c r="V33" s="88"/>
    </row>
    <row r="34" customFormat="false" ht="22.35" hidden="false" customHeight="false" outlineLevel="0" collapsed="false">
      <c r="A34" s="80" t="str">
        <f aca="false">IF($C34="","",$X$2&amp;"-S"&amp;INT(($C34-WEEKDAY($C34,2)+11-DATE(YEAR($C34+4-WEEKDAY($C34,2)),1,1))/7)&amp;"-VIS-C")</f>
        <v>JUL-S28-VIS-C</v>
      </c>
      <c r="B34" s="81" t="str">
        <f aca="false">IF($C34="","","S"&amp;INT(($C34-WEEKDAY($C34,2)+11-DATE(YEAR($C34+4-WEEKDAY($C34,2)),1,1))/7))</f>
        <v>S28</v>
      </c>
      <c r="C34" s="82" t="n">
        <f aca="false">IF(MONTH(($X$1-WEEKDAY($X$1,3)+7)+2)=MONTH($X$1),($X$1-WEEKDAY($X$1,3)+7)+2,"")</f>
        <v>46211</v>
      </c>
      <c r="D34" s="9" t="str">
        <f aca="false">IF($C34="","","Vistoria Setorial (checklist no setor definido pelo gerente)")</f>
        <v>Vistoria Setorial (checklist no setor definido pelo gerente)</v>
      </c>
      <c r="E34" s="9"/>
      <c r="F34" s="9"/>
      <c r="G34" s="81" t="str">
        <f aca="false">IF($C34="","","C")</f>
        <v>C</v>
      </c>
      <c r="H34" s="81" t="str">
        <f aca="false">IF($C34="","",IF($G34="A",CONFIG!$B$5,IF($G34="B",CONFIG!$B$6,IF($G34="C",CONFIG!$B$7,"Gerência + coordenadores"))))</f>
        <v>(preencha o nome)</v>
      </c>
      <c r="I34" s="81"/>
      <c r="J34" s="86"/>
      <c r="K34" s="83" t="str">
        <f aca="false">IF($C34="","","—")</f>
        <v>—</v>
      </c>
      <c r="L34" s="83" t="str">
        <f aca="false">IF($C34="","","—")</f>
        <v>—</v>
      </c>
      <c r="M34" s="84"/>
      <c r="N34" s="84"/>
      <c r="O34" s="84"/>
      <c r="P34" s="85"/>
      <c r="Q34" s="86"/>
      <c r="R34" s="87"/>
      <c r="S34" s="81" t="str">
        <f aca="true">IF($C34="","",IF($Q34="Cancelada","Cancelada",IF($Q34="Reprovado","Reprovada",IF($Q34="Aprovado","Aprovada",IF($M34&lt;&gt;"","Entregue",IF(TODAY()&gt;$C34,"Atrasada","Pendente"))))))</f>
        <v>Atrasada</v>
      </c>
      <c r="T34" s="88"/>
      <c r="U34" s="88"/>
      <c r="V34" s="88"/>
    </row>
    <row r="35" customFormat="false" ht="22.35" hidden="false" customHeight="false" outlineLevel="0" collapsed="false">
      <c r="A35" s="89" t="str">
        <f aca="false">IF($C35="","",$X$2&amp;"-S"&amp;INT(($C35-WEEKDAY($C35,2)+11-DATE(YEAR($C35+4-WEEKDAY($C35,2)),1,1))/7)&amp;"-RSC-A")</f>
        <v>JUL-S28-RSC-A</v>
      </c>
      <c r="B35" s="60" t="str">
        <f aca="false">IF($C35="","","S"&amp;INT(($C35-WEEKDAY($C35,2)+11-DATE(YEAR($C35+4-WEEKDAY($C35,2)),1,1))/7))</f>
        <v>S28</v>
      </c>
      <c r="C35" s="82" t="n">
        <f aca="false">IF(MONTH(($X$1-WEEKDAY($X$1,3)+7)+3)=MONTH($X$1),($X$1-WEEKDAY($X$1,3)+7)+3,"")</f>
        <v>46212</v>
      </c>
      <c r="D35" s="56" t="str">
        <f aca="false">IF($C35="","","Relatório Semanal Consolidado (erros + metas + faltas + supervisores)")</f>
        <v>Relatório Semanal Consolidado (erros + metas + faltas + supervisores)</v>
      </c>
      <c r="E35" s="56"/>
      <c r="F35" s="56"/>
      <c r="G35" s="60" t="str">
        <f aca="false">IF($C35="","","A")</f>
        <v>A</v>
      </c>
      <c r="H35" s="60" t="str">
        <f aca="false">IF($C35="","",IF($G35="A",CONFIG!$B$5,IF($G35="B",CONFIG!$B$6,IF($G35="C",CONFIG!$B$7,"Gerência + coordenadores"))))</f>
        <v>(preencha o nome)</v>
      </c>
      <c r="I35" s="60"/>
      <c r="J35" s="81" t="str">
        <f aca="false">IF($C35="","","—")</f>
        <v>—</v>
      </c>
      <c r="K35" s="91" t="n">
        <f aca="false">IF($C35="","",SUMIFS(OCORRÊNCIAS!$E$6:$E$605,OCORRÊNCIAS!$B$6:$B$605,"Falta",OCORRÊNCIAS!$C$6:$C$605,$G35,OCORRÊNCIAS!$H$6:$H$605,$B35,OCORRÊNCIAS!$J$6:$J$605,YEAR($C35+4-WEEKDAY($C35,2))))</f>
        <v>0</v>
      </c>
      <c r="L35" s="91" t="n">
        <f aca="false">IF($C35="","",SUMIFS(OCORRÊNCIAS!$E$6:$E$605,OCORRÊNCIAS!$B$6:$B$605,"Atestado",OCORRÊNCIAS!$C$6:$C$605,$G35,OCORRÊNCIAS!$H$6:$H$605,$B35,OCORRÊNCIAS!$J$6:$J$605,YEAR($C35+4-WEEKDAY($C35,2))))</f>
        <v>0</v>
      </c>
      <c r="M35" s="84"/>
      <c r="N35" s="84"/>
      <c r="O35" s="84"/>
      <c r="P35" s="90"/>
      <c r="Q35" s="86"/>
      <c r="R35" s="87"/>
      <c r="S35" s="60" t="str">
        <f aca="true">IF($C35="","",IF($Q35="Cancelada","Cancelada",IF($Q35="Reprovado","Reprovada",IF($Q35="Aprovado","Aprovada",IF($M35&lt;&gt;"","Entregue",IF(TODAY()&gt;$C35,"Atrasada","Pendente"))))))</f>
        <v>Atrasada</v>
      </c>
      <c r="T35" s="88"/>
      <c r="U35" s="88"/>
      <c r="V35" s="88"/>
    </row>
    <row r="36" customFormat="false" ht="22.35" hidden="false" customHeight="false" outlineLevel="0" collapsed="false">
      <c r="A36" s="80" t="str">
        <f aca="false">IF($C36="","",$X$2&amp;"-S"&amp;INT(($C36-WEEKDAY($C36,2)+11-DATE(YEAR($C36+4-WEEKDAY($C36,2)),1,1))/7)&amp;"-RSC-B")</f>
        <v>JUL-S28-RSC-B</v>
      </c>
      <c r="B36" s="81" t="str">
        <f aca="false">IF($C36="","","S"&amp;INT(($C36-WEEKDAY($C36,2)+11-DATE(YEAR($C36+4-WEEKDAY($C36,2)),1,1))/7))</f>
        <v>S28</v>
      </c>
      <c r="C36" s="82" t="n">
        <f aca="false">IF(MONTH(($X$1-WEEKDAY($X$1,3)+7)+3)=MONTH($X$1),($X$1-WEEKDAY($X$1,3)+7)+3,"")</f>
        <v>46212</v>
      </c>
      <c r="D36" s="9" t="str">
        <f aca="false">IF($C36="","","Relatório Semanal Consolidado (erros + metas + faltas + supervisores)")</f>
        <v>Relatório Semanal Consolidado (erros + metas + faltas + supervisores)</v>
      </c>
      <c r="E36" s="9"/>
      <c r="F36" s="9"/>
      <c r="G36" s="81" t="str">
        <f aca="false">IF($C36="","","B")</f>
        <v>B</v>
      </c>
      <c r="H36" s="81" t="str">
        <f aca="false">IF($C36="","",IF($G36="A",CONFIG!$B$5,IF($G36="B",CONFIG!$B$6,IF($G36="C",CONFIG!$B$7,"Gerência + coordenadores"))))</f>
        <v>(preencha o nome)</v>
      </c>
      <c r="I36" s="81"/>
      <c r="J36" s="81" t="str">
        <f aca="false">IF($C36="","","—")</f>
        <v>—</v>
      </c>
      <c r="K36" s="91" t="n">
        <f aca="false">IF($C36="","",SUMIFS(OCORRÊNCIAS!$E$6:$E$605,OCORRÊNCIAS!$B$6:$B$605,"Falta",OCORRÊNCIAS!$C$6:$C$605,$G36,OCORRÊNCIAS!$H$6:$H$605,$B36,OCORRÊNCIAS!$J$6:$J$605,YEAR($C36+4-WEEKDAY($C36,2))))</f>
        <v>0</v>
      </c>
      <c r="L36" s="91" t="n">
        <f aca="false">IF($C36="","",SUMIFS(OCORRÊNCIAS!$E$6:$E$605,OCORRÊNCIAS!$B$6:$B$605,"Atestado",OCORRÊNCIAS!$C$6:$C$605,$G36,OCORRÊNCIAS!$H$6:$H$605,$B36,OCORRÊNCIAS!$J$6:$J$605,YEAR($C36+4-WEEKDAY($C36,2))))</f>
        <v>0</v>
      </c>
      <c r="M36" s="84"/>
      <c r="N36" s="84"/>
      <c r="O36" s="84"/>
      <c r="P36" s="85"/>
      <c r="Q36" s="86"/>
      <c r="R36" s="87"/>
      <c r="S36" s="81" t="str">
        <f aca="true">IF($C36="","",IF($Q36="Cancelada","Cancelada",IF($Q36="Reprovado","Reprovada",IF($Q36="Aprovado","Aprovada",IF($M36&lt;&gt;"","Entregue",IF(TODAY()&gt;$C36,"Atrasada","Pendente"))))))</f>
        <v>Atrasada</v>
      </c>
      <c r="T36" s="88"/>
      <c r="U36" s="88"/>
      <c r="V36" s="88"/>
    </row>
    <row r="37" customFormat="false" ht="22.35" hidden="false" customHeight="false" outlineLevel="0" collapsed="false">
      <c r="A37" s="89" t="str">
        <f aca="false">IF($C37="","",$X$2&amp;"-S"&amp;INT(($C37-WEEKDAY($C37,2)+11-DATE(YEAR($C37+4-WEEKDAY($C37,2)),1,1))/7)&amp;"-RSC-C")</f>
        <v>JUL-S28-RSC-C</v>
      </c>
      <c r="B37" s="60" t="str">
        <f aca="false">IF($C37="","","S"&amp;INT(($C37-WEEKDAY($C37,2)+11-DATE(YEAR($C37+4-WEEKDAY($C37,2)),1,1))/7))</f>
        <v>S28</v>
      </c>
      <c r="C37" s="82" t="n">
        <f aca="false">IF(MONTH(($X$1-WEEKDAY($X$1,3)+7)+3)=MONTH($X$1),($X$1-WEEKDAY($X$1,3)+7)+3,"")</f>
        <v>46212</v>
      </c>
      <c r="D37" s="56" t="str">
        <f aca="false">IF($C37="","","Relatório Semanal Consolidado (erros + metas + faltas + supervisores)")</f>
        <v>Relatório Semanal Consolidado (erros + metas + faltas + supervisores)</v>
      </c>
      <c r="E37" s="56"/>
      <c r="F37" s="56"/>
      <c r="G37" s="60" t="str">
        <f aca="false">IF($C37="","","C")</f>
        <v>C</v>
      </c>
      <c r="H37" s="60" t="str">
        <f aca="false">IF($C37="","",IF($G37="A",CONFIG!$B$5,IF($G37="B",CONFIG!$B$6,IF($G37="C",CONFIG!$B$7,"Gerência + coordenadores"))))</f>
        <v>(preencha o nome)</v>
      </c>
      <c r="I37" s="60"/>
      <c r="J37" s="81" t="str">
        <f aca="false">IF($C37="","","—")</f>
        <v>—</v>
      </c>
      <c r="K37" s="91" t="n">
        <f aca="false">IF($C37="","",SUMIFS(OCORRÊNCIAS!$E$6:$E$605,OCORRÊNCIAS!$B$6:$B$605,"Falta",OCORRÊNCIAS!$C$6:$C$605,$G37,OCORRÊNCIAS!$H$6:$H$605,$B37,OCORRÊNCIAS!$J$6:$J$605,YEAR($C37+4-WEEKDAY($C37,2))))</f>
        <v>0</v>
      </c>
      <c r="L37" s="91" t="n">
        <f aca="false">IF($C37="","",SUMIFS(OCORRÊNCIAS!$E$6:$E$605,OCORRÊNCIAS!$B$6:$B$605,"Atestado",OCORRÊNCIAS!$C$6:$C$605,$G37,OCORRÊNCIAS!$H$6:$H$605,$B37,OCORRÊNCIAS!$J$6:$J$605,YEAR($C37+4-WEEKDAY($C37,2))))</f>
        <v>0</v>
      </c>
      <c r="M37" s="84"/>
      <c r="N37" s="84"/>
      <c r="O37" s="84"/>
      <c r="P37" s="90"/>
      <c r="Q37" s="86"/>
      <c r="R37" s="87"/>
      <c r="S37" s="60" t="str">
        <f aca="true">IF($C37="","",IF($Q37="Cancelada","Cancelada",IF($Q37="Reprovado","Reprovada",IF($Q37="Aprovado","Aprovada",IF($M37&lt;&gt;"","Entregue",IF(TODAY()&gt;$C37,"Atrasada","Pendente"))))))</f>
        <v>Atrasada</v>
      </c>
      <c r="T37" s="88"/>
      <c r="U37" s="88"/>
      <c r="V37" s="88"/>
    </row>
    <row r="38" customFormat="false" ht="22.35" hidden="false" customHeight="false" outlineLevel="0" collapsed="false">
      <c r="A38" s="80" t="str">
        <f aca="false">IF($C38="","",$X$2&amp;"-S"&amp;INT(($C38-WEEKDAY($C38,2)+11-DATE(YEAR($C38+4-WEEKDAY($C38,2)),1,1))/7)&amp;"-REU-T")</f>
        <v>JUL-S28-REU-T</v>
      </c>
      <c r="B38" s="81" t="str">
        <f aca="false">IF($C38="","","S"&amp;INT(($C38-WEEKDAY($C38,2)+11-DATE(YEAR($C38+4-WEEKDAY($C38,2)),1,1))/7))</f>
        <v>S28</v>
      </c>
      <c r="C38" s="82" t="n">
        <f aca="false">IF(MONTH(($X$1-WEEKDAY($X$1,3)+7)+4)=MONTH($X$1),($X$1-WEEKDAY($X$1,3)+7)+4,"")</f>
        <v>46213</v>
      </c>
      <c r="D38" s="9" t="str">
        <f aca="false">IF($C38="","","Reunião Semanal com a Gerência")</f>
        <v>Reunião Semanal com a Gerência</v>
      </c>
      <c r="E38" s="9"/>
      <c r="F38" s="9"/>
      <c r="G38" s="81" t="str">
        <f aca="false">IF($C38="","","Todos")</f>
        <v>Todos</v>
      </c>
      <c r="H38" s="81" t="str">
        <f aca="false">IF($C38="","",IF($G38="A",CONFIG!$B$5,IF($G38="B",CONFIG!$B$6,IF($G38="C",CONFIG!$B$7,"Gerência + coordenadores"))))</f>
        <v>Gerência + coordenadores</v>
      </c>
      <c r="I38" s="81"/>
      <c r="J38" s="81" t="str">
        <f aca="false">IF($C38="","","—")</f>
        <v>—</v>
      </c>
      <c r="K38" s="83" t="str">
        <f aca="false">IF($C38="","","—")</f>
        <v>—</v>
      </c>
      <c r="L38" s="83" t="str">
        <f aca="false">IF($C38="","","—")</f>
        <v>—</v>
      </c>
      <c r="M38" s="84"/>
      <c r="N38" s="84"/>
      <c r="O38" s="84"/>
      <c r="P38" s="85"/>
      <c r="Q38" s="86"/>
      <c r="R38" s="87"/>
      <c r="S38" s="81" t="str">
        <f aca="true">IF($C38="","",IF($Q38="Cancelada","Cancelada",IF($Q38="Reprovado","Reprovada",IF($Q38="Aprovado","Aprovada",IF($M38&lt;&gt;"","Entregue",IF(TODAY()&gt;$C38,"Atrasada","Pendente"))))))</f>
        <v>Atrasada</v>
      </c>
      <c r="T38" s="88"/>
      <c r="U38" s="88"/>
      <c r="V38" s="88"/>
    </row>
    <row r="39" customFormat="false" ht="22.35" hidden="false" customHeight="false" outlineLevel="0" collapsed="false">
      <c r="A39" s="89" t="str">
        <f aca="false">IF($C39="","",$X$2&amp;"-S"&amp;INT(($C39-WEEKDAY($C39,2)+11-DATE(YEAR($C39+4-WEEKDAY($C39,2)),1,1))/7)&amp;"-VIS-A")</f>
        <v>JUL-S29-VIS-A</v>
      </c>
      <c r="B39" s="60" t="str">
        <f aca="false">IF($C39="","","S"&amp;INT(($C39-WEEKDAY($C39,2)+11-DATE(YEAR($C39+4-WEEKDAY($C39,2)),1,1))/7))</f>
        <v>S29</v>
      </c>
      <c r="C39" s="82" t="n">
        <f aca="false">IF(MONTH(($X$1-WEEKDAY($X$1,3)+14)+2)=MONTH($X$1),($X$1-WEEKDAY($X$1,3)+14)+2,"")</f>
        <v>46218</v>
      </c>
      <c r="D39" s="56" t="str">
        <f aca="false">IF($C39="","","Vistoria Setorial (checklist no setor definido pelo gerente)")</f>
        <v>Vistoria Setorial (checklist no setor definido pelo gerente)</v>
      </c>
      <c r="E39" s="56"/>
      <c r="F39" s="56"/>
      <c r="G39" s="60" t="str">
        <f aca="false">IF($C39="","","A")</f>
        <v>A</v>
      </c>
      <c r="H39" s="60" t="str">
        <f aca="false">IF($C39="","",IF($G39="A",CONFIG!$B$5,IF($G39="B",CONFIG!$B$6,IF($G39="C",CONFIG!$B$7,"Gerência + coordenadores"))))</f>
        <v>(preencha o nome)</v>
      </c>
      <c r="I39" s="60"/>
      <c r="J39" s="86"/>
      <c r="K39" s="83" t="str">
        <f aca="false">IF($C39="","","—")</f>
        <v>—</v>
      </c>
      <c r="L39" s="83" t="str">
        <f aca="false">IF($C39="","","—")</f>
        <v>—</v>
      </c>
      <c r="M39" s="84"/>
      <c r="N39" s="84"/>
      <c r="O39" s="84"/>
      <c r="P39" s="90"/>
      <c r="Q39" s="86"/>
      <c r="R39" s="87"/>
      <c r="S39" s="60" t="str">
        <f aca="true">IF($C39="","",IF($Q39="Cancelada","Cancelada",IF($Q39="Reprovado","Reprovada",IF($Q39="Aprovado","Aprovada",IF($M39&lt;&gt;"","Entregue",IF(TODAY()&gt;$C39,"Atrasada","Pendente"))))))</f>
        <v>Atrasada</v>
      </c>
      <c r="T39" s="88"/>
      <c r="U39" s="88"/>
      <c r="V39" s="88"/>
    </row>
    <row r="40" customFormat="false" ht="22.35" hidden="false" customHeight="false" outlineLevel="0" collapsed="false">
      <c r="A40" s="80" t="str">
        <f aca="false">IF($C40="","",$X$2&amp;"-S"&amp;INT(($C40-WEEKDAY($C40,2)+11-DATE(YEAR($C40+4-WEEKDAY($C40,2)),1,1))/7)&amp;"-VIS-B")</f>
        <v>JUL-S29-VIS-B</v>
      </c>
      <c r="B40" s="81" t="str">
        <f aca="false">IF($C40="","","S"&amp;INT(($C40-WEEKDAY($C40,2)+11-DATE(YEAR($C40+4-WEEKDAY($C40,2)),1,1))/7))</f>
        <v>S29</v>
      </c>
      <c r="C40" s="82" t="n">
        <f aca="false">IF(MONTH(($X$1-WEEKDAY($X$1,3)+14)+2)=MONTH($X$1),($X$1-WEEKDAY($X$1,3)+14)+2,"")</f>
        <v>46218</v>
      </c>
      <c r="D40" s="9" t="str">
        <f aca="false">IF($C40="","","Vistoria Setorial (checklist no setor definido pelo gerente)")</f>
        <v>Vistoria Setorial (checklist no setor definido pelo gerente)</v>
      </c>
      <c r="E40" s="9"/>
      <c r="F40" s="9"/>
      <c r="G40" s="81" t="str">
        <f aca="false">IF($C40="","","B")</f>
        <v>B</v>
      </c>
      <c r="H40" s="81" t="str">
        <f aca="false">IF($C40="","",IF($G40="A",CONFIG!$B$5,IF($G40="B",CONFIG!$B$6,IF($G40="C",CONFIG!$B$7,"Gerência + coordenadores"))))</f>
        <v>(preencha o nome)</v>
      </c>
      <c r="I40" s="81"/>
      <c r="J40" s="86"/>
      <c r="K40" s="83" t="str">
        <f aca="false">IF($C40="","","—")</f>
        <v>—</v>
      </c>
      <c r="L40" s="83" t="str">
        <f aca="false">IF($C40="","","—")</f>
        <v>—</v>
      </c>
      <c r="M40" s="84"/>
      <c r="N40" s="84"/>
      <c r="O40" s="84"/>
      <c r="P40" s="85"/>
      <c r="Q40" s="86"/>
      <c r="R40" s="87"/>
      <c r="S40" s="81" t="str">
        <f aca="true">IF($C40="","",IF($Q40="Cancelada","Cancelada",IF($Q40="Reprovado","Reprovada",IF($Q40="Aprovado","Aprovada",IF($M40&lt;&gt;"","Entregue",IF(TODAY()&gt;$C40,"Atrasada","Pendente"))))))</f>
        <v>Atrasada</v>
      </c>
      <c r="T40" s="88"/>
      <c r="U40" s="88"/>
      <c r="V40" s="88"/>
    </row>
    <row r="41" customFormat="false" ht="22.35" hidden="false" customHeight="false" outlineLevel="0" collapsed="false">
      <c r="A41" s="89" t="str">
        <f aca="false">IF($C41="","",$X$2&amp;"-S"&amp;INT(($C41-WEEKDAY($C41,2)+11-DATE(YEAR($C41+4-WEEKDAY($C41,2)),1,1))/7)&amp;"-VIS-C")</f>
        <v>JUL-S29-VIS-C</v>
      </c>
      <c r="B41" s="60" t="str">
        <f aca="false">IF($C41="","","S"&amp;INT(($C41-WEEKDAY($C41,2)+11-DATE(YEAR($C41+4-WEEKDAY($C41,2)),1,1))/7))</f>
        <v>S29</v>
      </c>
      <c r="C41" s="82" t="n">
        <f aca="false">IF(MONTH(($X$1-WEEKDAY($X$1,3)+14)+2)=MONTH($X$1),($X$1-WEEKDAY($X$1,3)+14)+2,"")</f>
        <v>46218</v>
      </c>
      <c r="D41" s="56" t="str">
        <f aca="false">IF($C41="","","Vistoria Setorial (checklist no setor definido pelo gerente)")</f>
        <v>Vistoria Setorial (checklist no setor definido pelo gerente)</v>
      </c>
      <c r="E41" s="56"/>
      <c r="F41" s="56"/>
      <c r="G41" s="60" t="str">
        <f aca="false">IF($C41="","","C")</f>
        <v>C</v>
      </c>
      <c r="H41" s="60" t="str">
        <f aca="false">IF($C41="","",IF($G41="A",CONFIG!$B$5,IF($G41="B",CONFIG!$B$6,IF($G41="C",CONFIG!$B$7,"Gerência + coordenadores"))))</f>
        <v>(preencha o nome)</v>
      </c>
      <c r="I41" s="60"/>
      <c r="J41" s="86"/>
      <c r="K41" s="83" t="str">
        <f aca="false">IF($C41="","","—")</f>
        <v>—</v>
      </c>
      <c r="L41" s="83" t="str">
        <f aca="false">IF($C41="","","—")</f>
        <v>—</v>
      </c>
      <c r="M41" s="84"/>
      <c r="N41" s="84"/>
      <c r="O41" s="84"/>
      <c r="P41" s="90"/>
      <c r="Q41" s="86"/>
      <c r="R41" s="87"/>
      <c r="S41" s="60" t="str">
        <f aca="true">IF($C41="","",IF($Q41="Cancelada","Cancelada",IF($Q41="Reprovado","Reprovada",IF($Q41="Aprovado","Aprovada",IF($M41&lt;&gt;"","Entregue",IF(TODAY()&gt;$C41,"Atrasada","Pendente"))))))</f>
        <v>Atrasada</v>
      </c>
      <c r="T41" s="88"/>
      <c r="U41" s="88"/>
      <c r="V41" s="88"/>
    </row>
    <row r="42" customFormat="false" ht="22.35" hidden="false" customHeight="false" outlineLevel="0" collapsed="false">
      <c r="A42" s="80" t="str">
        <f aca="false">IF($C42="","",$X$2&amp;"-S"&amp;INT(($C42-WEEKDAY($C42,2)+11-DATE(YEAR($C42+4-WEEKDAY($C42,2)),1,1))/7)&amp;"-RSC-A")</f>
        <v>JUL-S29-RSC-A</v>
      </c>
      <c r="B42" s="81" t="str">
        <f aca="false">IF($C42="","","S"&amp;INT(($C42-WEEKDAY($C42,2)+11-DATE(YEAR($C42+4-WEEKDAY($C42,2)),1,1))/7))</f>
        <v>S29</v>
      </c>
      <c r="C42" s="82" t="n">
        <f aca="false">IF(MONTH(($X$1-WEEKDAY($X$1,3)+14)+3)=MONTH($X$1),($X$1-WEEKDAY($X$1,3)+14)+3,"")</f>
        <v>46219</v>
      </c>
      <c r="D42" s="9" t="str">
        <f aca="false">IF($C42="","","Relatório Semanal Consolidado (erros + metas + faltas + supervisores)")</f>
        <v>Relatório Semanal Consolidado (erros + metas + faltas + supervisores)</v>
      </c>
      <c r="E42" s="9"/>
      <c r="F42" s="9"/>
      <c r="G42" s="81" t="str">
        <f aca="false">IF($C42="","","A")</f>
        <v>A</v>
      </c>
      <c r="H42" s="81" t="str">
        <f aca="false">IF($C42="","",IF($G42="A",CONFIG!$B$5,IF($G42="B",CONFIG!$B$6,IF($G42="C",CONFIG!$B$7,"Gerência + coordenadores"))))</f>
        <v>(preencha o nome)</v>
      </c>
      <c r="I42" s="81"/>
      <c r="J42" s="81" t="str">
        <f aca="false">IF($C42="","","—")</f>
        <v>—</v>
      </c>
      <c r="K42" s="91" t="n">
        <f aca="false">IF($C42="","",SUMIFS(OCORRÊNCIAS!$E$6:$E$605,OCORRÊNCIAS!$B$6:$B$605,"Falta",OCORRÊNCIAS!$C$6:$C$605,$G42,OCORRÊNCIAS!$H$6:$H$605,$B42,OCORRÊNCIAS!$J$6:$J$605,YEAR($C42+4-WEEKDAY($C42,2))))</f>
        <v>0</v>
      </c>
      <c r="L42" s="91" t="n">
        <f aca="false">IF($C42="","",SUMIFS(OCORRÊNCIAS!$E$6:$E$605,OCORRÊNCIAS!$B$6:$B$605,"Atestado",OCORRÊNCIAS!$C$6:$C$605,$G42,OCORRÊNCIAS!$H$6:$H$605,$B42,OCORRÊNCIAS!$J$6:$J$605,YEAR($C42+4-WEEKDAY($C42,2))))</f>
        <v>0</v>
      </c>
      <c r="M42" s="84"/>
      <c r="N42" s="84"/>
      <c r="O42" s="84"/>
      <c r="P42" s="85"/>
      <c r="Q42" s="86"/>
      <c r="R42" s="87"/>
      <c r="S42" s="81" t="str">
        <f aca="true">IF($C42="","",IF($Q42="Cancelada","Cancelada",IF($Q42="Reprovado","Reprovada",IF($Q42="Aprovado","Aprovada",IF($M42&lt;&gt;"","Entregue",IF(TODAY()&gt;$C42,"Atrasada","Pendente"))))))</f>
        <v>Atrasada</v>
      </c>
      <c r="T42" s="88"/>
      <c r="U42" s="88"/>
      <c r="V42" s="88"/>
    </row>
    <row r="43" customFormat="false" ht="22.35" hidden="false" customHeight="false" outlineLevel="0" collapsed="false">
      <c r="A43" s="89" t="str">
        <f aca="false">IF($C43="","",$X$2&amp;"-S"&amp;INT(($C43-WEEKDAY($C43,2)+11-DATE(YEAR($C43+4-WEEKDAY($C43,2)),1,1))/7)&amp;"-RSC-B")</f>
        <v>JUL-S29-RSC-B</v>
      </c>
      <c r="B43" s="60" t="str">
        <f aca="false">IF($C43="","","S"&amp;INT(($C43-WEEKDAY($C43,2)+11-DATE(YEAR($C43+4-WEEKDAY($C43,2)),1,1))/7))</f>
        <v>S29</v>
      </c>
      <c r="C43" s="82" t="n">
        <f aca="false">IF(MONTH(($X$1-WEEKDAY($X$1,3)+14)+3)=MONTH($X$1),($X$1-WEEKDAY($X$1,3)+14)+3,"")</f>
        <v>46219</v>
      </c>
      <c r="D43" s="56" t="str">
        <f aca="false">IF($C43="","","Relatório Semanal Consolidado (erros + metas + faltas + supervisores)")</f>
        <v>Relatório Semanal Consolidado (erros + metas + faltas + supervisores)</v>
      </c>
      <c r="E43" s="56"/>
      <c r="F43" s="56"/>
      <c r="G43" s="60" t="str">
        <f aca="false">IF($C43="","","B")</f>
        <v>B</v>
      </c>
      <c r="H43" s="60" t="str">
        <f aca="false">IF($C43="","",IF($G43="A",CONFIG!$B$5,IF($G43="B",CONFIG!$B$6,IF($G43="C",CONFIG!$B$7,"Gerência + coordenadores"))))</f>
        <v>(preencha o nome)</v>
      </c>
      <c r="I43" s="60"/>
      <c r="J43" s="81" t="str">
        <f aca="false">IF($C43="","","—")</f>
        <v>—</v>
      </c>
      <c r="K43" s="91" t="n">
        <f aca="false">IF($C43="","",SUMIFS(OCORRÊNCIAS!$E$6:$E$605,OCORRÊNCIAS!$B$6:$B$605,"Falta",OCORRÊNCIAS!$C$6:$C$605,$G43,OCORRÊNCIAS!$H$6:$H$605,$B43,OCORRÊNCIAS!$J$6:$J$605,YEAR($C43+4-WEEKDAY($C43,2))))</f>
        <v>0</v>
      </c>
      <c r="L43" s="91" t="n">
        <f aca="false">IF($C43="","",SUMIFS(OCORRÊNCIAS!$E$6:$E$605,OCORRÊNCIAS!$B$6:$B$605,"Atestado",OCORRÊNCIAS!$C$6:$C$605,$G43,OCORRÊNCIAS!$H$6:$H$605,$B43,OCORRÊNCIAS!$J$6:$J$605,YEAR($C43+4-WEEKDAY($C43,2))))</f>
        <v>0</v>
      </c>
      <c r="M43" s="84"/>
      <c r="N43" s="84"/>
      <c r="O43" s="84"/>
      <c r="P43" s="90"/>
      <c r="Q43" s="86"/>
      <c r="R43" s="87"/>
      <c r="S43" s="60" t="str">
        <f aca="true">IF($C43="","",IF($Q43="Cancelada","Cancelada",IF($Q43="Reprovado","Reprovada",IF($Q43="Aprovado","Aprovada",IF($M43&lt;&gt;"","Entregue",IF(TODAY()&gt;$C43,"Atrasada","Pendente"))))))</f>
        <v>Atrasada</v>
      </c>
      <c r="T43" s="88"/>
      <c r="U43" s="88"/>
      <c r="V43" s="88"/>
    </row>
    <row r="44" customFormat="false" ht="22.35" hidden="false" customHeight="false" outlineLevel="0" collapsed="false">
      <c r="A44" s="80" t="str">
        <f aca="false">IF($C44="","",$X$2&amp;"-S"&amp;INT(($C44-WEEKDAY($C44,2)+11-DATE(YEAR($C44+4-WEEKDAY($C44,2)),1,1))/7)&amp;"-RSC-C")</f>
        <v>JUL-S29-RSC-C</v>
      </c>
      <c r="B44" s="81" t="str">
        <f aca="false">IF($C44="","","S"&amp;INT(($C44-WEEKDAY($C44,2)+11-DATE(YEAR($C44+4-WEEKDAY($C44,2)),1,1))/7))</f>
        <v>S29</v>
      </c>
      <c r="C44" s="82" t="n">
        <f aca="false">IF(MONTH(($X$1-WEEKDAY($X$1,3)+14)+3)=MONTH($X$1),($X$1-WEEKDAY($X$1,3)+14)+3,"")</f>
        <v>46219</v>
      </c>
      <c r="D44" s="9" t="str">
        <f aca="false">IF($C44="","","Relatório Semanal Consolidado (erros + metas + faltas + supervisores)")</f>
        <v>Relatório Semanal Consolidado (erros + metas + faltas + supervisores)</v>
      </c>
      <c r="E44" s="9"/>
      <c r="F44" s="9"/>
      <c r="G44" s="81" t="str">
        <f aca="false">IF($C44="","","C")</f>
        <v>C</v>
      </c>
      <c r="H44" s="81" t="str">
        <f aca="false">IF($C44="","",IF($G44="A",CONFIG!$B$5,IF($G44="B",CONFIG!$B$6,IF($G44="C",CONFIG!$B$7,"Gerência + coordenadores"))))</f>
        <v>(preencha o nome)</v>
      </c>
      <c r="I44" s="81"/>
      <c r="J44" s="81" t="str">
        <f aca="false">IF($C44="","","—")</f>
        <v>—</v>
      </c>
      <c r="K44" s="91" t="n">
        <f aca="false">IF($C44="","",SUMIFS(OCORRÊNCIAS!$E$6:$E$605,OCORRÊNCIAS!$B$6:$B$605,"Falta",OCORRÊNCIAS!$C$6:$C$605,$G44,OCORRÊNCIAS!$H$6:$H$605,$B44,OCORRÊNCIAS!$J$6:$J$605,YEAR($C44+4-WEEKDAY($C44,2))))</f>
        <v>0</v>
      </c>
      <c r="L44" s="91" t="n">
        <f aca="false">IF($C44="","",SUMIFS(OCORRÊNCIAS!$E$6:$E$605,OCORRÊNCIAS!$B$6:$B$605,"Atestado",OCORRÊNCIAS!$C$6:$C$605,$G44,OCORRÊNCIAS!$H$6:$H$605,$B44,OCORRÊNCIAS!$J$6:$J$605,YEAR($C44+4-WEEKDAY($C44,2))))</f>
        <v>0</v>
      </c>
      <c r="M44" s="84"/>
      <c r="N44" s="84"/>
      <c r="O44" s="84"/>
      <c r="P44" s="85"/>
      <c r="Q44" s="86"/>
      <c r="R44" s="87"/>
      <c r="S44" s="81" t="str">
        <f aca="true">IF($C44="","",IF($Q44="Cancelada","Cancelada",IF($Q44="Reprovado","Reprovada",IF($Q44="Aprovado","Aprovada",IF($M44&lt;&gt;"","Entregue",IF(TODAY()&gt;$C44,"Atrasada","Pendente"))))))</f>
        <v>Atrasada</v>
      </c>
      <c r="T44" s="88"/>
      <c r="U44" s="88"/>
      <c r="V44" s="88"/>
    </row>
    <row r="45" customFormat="false" ht="22.35" hidden="false" customHeight="false" outlineLevel="0" collapsed="false">
      <c r="A45" s="89" t="str">
        <f aca="false">IF($C45="","",$X$2&amp;"-S"&amp;INT(($C45-WEEKDAY($C45,2)+11-DATE(YEAR($C45+4-WEEKDAY($C45,2)),1,1))/7)&amp;"-REU-T")</f>
        <v>JUL-S29-REU-T</v>
      </c>
      <c r="B45" s="60" t="str">
        <f aca="false">IF($C45="","","S"&amp;INT(($C45-WEEKDAY($C45,2)+11-DATE(YEAR($C45+4-WEEKDAY($C45,2)),1,1))/7))</f>
        <v>S29</v>
      </c>
      <c r="C45" s="82" t="n">
        <f aca="false">IF(MONTH(($X$1-WEEKDAY($X$1,3)+14)+4)=MONTH($X$1),($X$1-WEEKDAY($X$1,3)+14)+4,"")</f>
        <v>46220</v>
      </c>
      <c r="D45" s="56" t="str">
        <f aca="false">IF($C45="","","Reunião Semanal com a Gerência")</f>
        <v>Reunião Semanal com a Gerência</v>
      </c>
      <c r="E45" s="56"/>
      <c r="F45" s="56"/>
      <c r="G45" s="60" t="str">
        <f aca="false">IF($C45="","","Todos")</f>
        <v>Todos</v>
      </c>
      <c r="H45" s="60" t="str">
        <f aca="false">IF($C45="","",IF($G45="A",CONFIG!$B$5,IF($G45="B",CONFIG!$B$6,IF($G45="C",CONFIG!$B$7,"Gerência + coordenadores"))))</f>
        <v>Gerência + coordenadores</v>
      </c>
      <c r="I45" s="60"/>
      <c r="J45" s="81" t="str">
        <f aca="false">IF($C45="","","—")</f>
        <v>—</v>
      </c>
      <c r="K45" s="83" t="str">
        <f aca="false">IF($C45="","","—")</f>
        <v>—</v>
      </c>
      <c r="L45" s="83" t="str">
        <f aca="false">IF($C45="","","—")</f>
        <v>—</v>
      </c>
      <c r="M45" s="84"/>
      <c r="N45" s="84"/>
      <c r="O45" s="84"/>
      <c r="P45" s="90"/>
      <c r="Q45" s="86"/>
      <c r="R45" s="87"/>
      <c r="S45" s="60" t="str">
        <f aca="true">IF($C45="","",IF($Q45="Cancelada","Cancelada",IF($Q45="Reprovado","Reprovada",IF($Q45="Aprovado","Aprovada",IF($M45&lt;&gt;"","Entregue",IF(TODAY()&gt;$C45,"Atrasada","Pendente"))))))</f>
        <v>Atrasada</v>
      </c>
      <c r="T45" s="88"/>
      <c r="U45" s="88"/>
      <c r="V45" s="88"/>
    </row>
    <row r="46" customFormat="false" ht="22.35" hidden="false" customHeight="false" outlineLevel="0" collapsed="false">
      <c r="A46" s="80" t="str">
        <f aca="false">IF($C46="","",$X$2&amp;"-S"&amp;INT(($C46-WEEKDAY($C46,2)+11-DATE(YEAR($C46+4-WEEKDAY($C46,2)),1,1))/7)&amp;"-VIS-A")</f>
        <v>JUL-S30-VIS-A</v>
      </c>
      <c r="B46" s="81" t="str">
        <f aca="false">IF($C46="","","S"&amp;INT(($C46-WEEKDAY($C46,2)+11-DATE(YEAR($C46+4-WEEKDAY($C46,2)),1,1))/7))</f>
        <v>S30</v>
      </c>
      <c r="C46" s="82" t="n">
        <f aca="false">IF(MONTH(($X$1-WEEKDAY($X$1,3)+21)+2)=MONTH($X$1),($X$1-WEEKDAY($X$1,3)+21)+2,"")</f>
        <v>46225</v>
      </c>
      <c r="D46" s="9" t="str">
        <f aca="false">IF($C46="","","Vistoria Setorial (checklist no setor definido pelo gerente)")</f>
        <v>Vistoria Setorial (checklist no setor definido pelo gerente)</v>
      </c>
      <c r="E46" s="9"/>
      <c r="F46" s="9"/>
      <c r="G46" s="81" t="str">
        <f aca="false">IF($C46="","","A")</f>
        <v>A</v>
      </c>
      <c r="H46" s="81" t="str">
        <f aca="false">IF($C46="","",IF($G46="A",CONFIG!$B$5,IF($G46="B",CONFIG!$B$6,IF($G46="C",CONFIG!$B$7,"Gerência + coordenadores"))))</f>
        <v>(preencha o nome)</v>
      </c>
      <c r="I46" s="81"/>
      <c r="J46" s="86"/>
      <c r="K46" s="83" t="str">
        <f aca="false">IF($C46="","","—")</f>
        <v>—</v>
      </c>
      <c r="L46" s="83" t="str">
        <f aca="false">IF($C46="","","—")</f>
        <v>—</v>
      </c>
      <c r="M46" s="84"/>
      <c r="N46" s="84"/>
      <c r="O46" s="84"/>
      <c r="P46" s="85"/>
      <c r="Q46" s="86"/>
      <c r="R46" s="87"/>
      <c r="S46" s="81" t="str">
        <f aca="true">IF($C46="","",IF($Q46="Cancelada","Cancelada",IF($Q46="Reprovado","Reprovada",IF($Q46="Aprovado","Aprovada",IF($M46&lt;&gt;"","Entregue",IF(TODAY()&gt;$C46,"Atrasada","Pendente"))))))</f>
        <v>Atrasada</v>
      </c>
      <c r="T46" s="88"/>
      <c r="U46" s="88"/>
      <c r="V46" s="88"/>
    </row>
    <row r="47" customFormat="false" ht="22.35" hidden="false" customHeight="false" outlineLevel="0" collapsed="false">
      <c r="A47" s="89" t="str">
        <f aca="false">IF($C47="","",$X$2&amp;"-S"&amp;INT(($C47-WEEKDAY($C47,2)+11-DATE(YEAR($C47+4-WEEKDAY($C47,2)),1,1))/7)&amp;"-VIS-B")</f>
        <v>JUL-S30-VIS-B</v>
      </c>
      <c r="B47" s="60" t="str">
        <f aca="false">IF($C47="","","S"&amp;INT(($C47-WEEKDAY($C47,2)+11-DATE(YEAR($C47+4-WEEKDAY($C47,2)),1,1))/7))</f>
        <v>S30</v>
      </c>
      <c r="C47" s="82" t="n">
        <f aca="false">IF(MONTH(($X$1-WEEKDAY($X$1,3)+21)+2)=MONTH($X$1),($X$1-WEEKDAY($X$1,3)+21)+2,"")</f>
        <v>46225</v>
      </c>
      <c r="D47" s="56" t="str">
        <f aca="false">IF($C47="","","Vistoria Setorial (checklist no setor definido pelo gerente)")</f>
        <v>Vistoria Setorial (checklist no setor definido pelo gerente)</v>
      </c>
      <c r="E47" s="56"/>
      <c r="F47" s="56"/>
      <c r="G47" s="60" t="str">
        <f aca="false">IF($C47="","","B")</f>
        <v>B</v>
      </c>
      <c r="H47" s="60" t="str">
        <f aca="false">IF($C47="","",IF($G47="A",CONFIG!$B$5,IF($G47="B",CONFIG!$B$6,IF($G47="C",CONFIG!$B$7,"Gerência + coordenadores"))))</f>
        <v>(preencha o nome)</v>
      </c>
      <c r="I47" s="60"/>
      <c r="J47" s="86"/>
      <c r="K47" s="83" t="str">
        <f aca="false">IF($C47="","","—")</f>
        <v>—</v>
      </c>
      <c r="L47" s="83" t="str">
        <f aca="false">IF($C47="","","—")</f>
        <v>—</v>
      </c>
      <c r="M47" s="84"/>
      <c r="N47" s="84"/>
      <c r="O47" s="84"/>
      <c r="P47" s="90"/>
      <c r="Q47" s="86"/>
      <c r="R47" s="87"/>
      <c r="S47" s="60" t="str">
        <f aca="true">IF($C47="","",IF($Q47="Cancelada","Cancelada",IF($Q47="Reprovado","Reprovada",IF($Q47="Aprovado","Aprovada",IF($M47&lt;&gt;"","Entregue",IF(TODAY()&gt;$C47,"Atrasada","Pendente"))))))</f>
        <v>Atrasada</v>
      </c>
      <c r="T47" s="88"/>
      <c r="U47" s="88"/>
      <c r="V47" s="88"/>
    </row>
    <row r="48" customFormat="false" ht="22.35" hidden="false" customHeight="false" outlineLevel="0" collapsed="false">
      <c r="A48" s="80" t="str">
        <f aca="false">IF($C48="","",$X$2&amp;"-S"&amp;INT(($C48-WEEKDAY($C48,2)+11-DATE(YEAR($C48+4-WEEKDAY($C48,2)),1,1))/7)&amp;"-VIS-C")</f>
        <v>JUL-S30-VIS-C</v>
      </c>
      <c r="B48" s="81" t="str">
        <f aca="false">IF($C48="","","S"&amp;INT(($C48-WEEKDAY($C48,2)+11-DATE(YEAR($C48+4-WEEKDAY($C48,2)),1,1))/7))</f>
        <v>S30</v>
      </c>
      <c r="C48" s="82" t="n">
        <f aca="false">IF(MONTH(($X$1-WEEKDAY($X$1,3)+21)+2)=MONTH($X$1),($X$1-WEEKDAY($X$1,3)+21)+2,"")</f>
        <v>46225</v>
      </c>
      <c r="D48" s="9" t="str">
        <f aca="false">IF($C48="","","Vistoria Setorial (checklist no setor definido pelo gerente)")</f>
        <v>Vistoria Setorial (checklist no setor definido pelo gerente)</v>
      </c>
      <c r="E48" s="9"/>
      <c r="F48" s="9"/>
      <c r="G48" s="81" t="str">
        <f aca="false">IF($C48="","","C")</f>
        <v>C</v>
      </c>
      <c r="H48" s="81" t="str">
        <f aca="false">IF($C48="","",IF($G48="A",CONFIG!$B$5,IF($G48="B",CONFIG!$B$6,IF($G48="C",CONFIG!$B$7,"Gerência + coordenadores"))))</f>
        <v>(preencha o nome)</v>
      </c>
      <c r="I48" s="81"/>
      <c r="J48" s="86"/>
      <c r="K48" s="83" t="str">
        <f aca="false">IF($C48="","","—")</f>
        <v>—</v>
      </c>
      <c r="L48" s="83" t="str">
        <f aca="false">IF($C48="","","—")</f>
        <v>—</v>
      </c>
      <c r="M48" s="84"/>
      <c r="N48" s="84"/>
      <c r="O48" s="84"/>
      <c r="P48" s="85"/>
      <c r="Q48" s="86"/>
      <c r="R48" s="87"/>
      <c r="S48" s="81" t="str">
        <f aca="true">IF($C48="","",IF($Q48="Cancelada","Cancelada",IF($Q48="Reprovado","Reprovada",IF($Q48="Aprovado","Aprovada",IF($M48&lt;&gt;"","Entregue",IF(TODAY()&gt;$C48,"Atrasada","Pendente"))))))</f>
        <v>Atrasada</v>
      </c>
      <c r="T48" s="88"/>
      <c r="U48" s="88"/>
      <c r="V48" s="88"/>
    </row>
    <row r="49" customFormat="false" ht="22.35" hidden="false" customHeight="false" outlineLevel="0" collapsed="false">
      <c r="A49" s="89" t="str">
        <f aca="false">IF($C49="","",$X$2&amp;"-S"&amp;INT(($C49-WEEKDAY($C49,2)+11-DATE(YEAR($C49+4-WEEKDAY($C49,2)),1,1))/7)&amp;"-RSC-A")</f>
        <v>JUL-S30-RSC-A</v>
      </c>
      <c r="B49" s="60" t="str">
        <f aca="false">IF($C49="","","S"&amp;INT(($C49-WEEKDAY($C49,2)+11-DATE(YEAR($C49+4-WEEKDAY($C49,2)),1,1))/7))</f>
        <v>S30</v>
      </c>
      <c r="C49" s="82" t="n">
        <f aca="false">IF(MONTH(($X$1-WEEKDAY($X$1,3)+21)+3)=MONTH($X$1),($X$1-WEEKDAY($X$1,3)+21)+3,"")</f>
        <v>46226</v>
      </c>
      <c r="D49" s="56" t="str">
        <f aca="false">IF($C49="","","Relatório Semanal Consolidado (erros + metas + faltas + supervisores)")</f>
        <v>Relatório Semanal Consolidado (erros + metas + faltas + supervisores)</v>
      </c>
      <c r="E49" s="56"/>
      <c r="F49" s="56"/>
      <c r="G49" s="60" t="str">
        <f aca="false">IF($C49="","","A")</f>
        <v>A</v>
      </c>
      <c r="H49" s="60" t="str">
        <f aca="false">IF($C49="","",IF($G49="A",CONFIG!$B$5,IF($G49="B",CONFIG!$B$6,IF($G49="C",CONFIG!$B$7,"Gerência + coordenadores"))))</f>
        <v>(preencha o nome)</v>
      </c>
      <c r="I49" s="60"/>
      <c r="J49" s="81" t="str">
        <f aca="false">IF($C49="","","—")</f>
        <v>—</v>
      </c>
      <c r="K49" s="91" t="n">
        <f aca="false">IF($C49="","",SUMIFS(OCORRÊNCIAS!$E$6:$E$605,OCORRÊNCIAS!$B$6:$B$605,"Falta",OCORRÊNCIAS!$C$6:$C$605,$G49,OCORRÊNCIAS!$H$6:$H$605,$B49,OCORRÊNCIAS!$J$6:$J$605,YEAR($C49+4-WEEKDAY($C49,2))))</f>
        <v>0</v>
      </c>
      <c r="L49" s="91" t="n">
        <f aca="false">IF($C49="","",SUMIFS(OCORRÊNCIAS!$E$6:$E$605,OCORRÊNCIAS!$B$6:$B$605,"Atestado",OCORRÊNCIAS!$C$6:$C$605,$G49,OCORRÊNCIAS!$H$6:$H$605,$B49,OCORRÊNCIAS!$J$6:$J$605,YEAR($C49+4-WEEKDAY($C49,2))))</f>
        <v>0</v>
      </c>
      <c r="M49" s="84"/>
      <c r="N49" s="84"/>
      <c r="O49" s="84"/>
      <c r="P49" s="90"/>
      <c r="Q49" s="86"/>
      <c r="R49" s="87"/>
      <c r="S49" s="60" t="str">
        <f aca="true">IF($C49="","",IF($Q49="Cancelada","Cancelada",IF($Q49="Reprovado","Reprovada",IF($Q49="Aprovado","Aprovada",IF($M49&lt;&gt;"","Entregue",IF(TODAY()&gt;$C49,"Atrasada","Pendente"))))))</f>
        <v>Atrasada</v>
      </c>
      <c r="T49" s="88"/>
      <c r="U49" s="88"/>
      <c r="V49" s="88"/>
    </row>
    <row r="50" customFormat="false" ht="22.35" hidden="false" customHeight="false" outlineLevel="0" collapsed="false">
      <c r="A50" s="80" t="str">
        <f aca="false">IF($C50="","",$X$2&amp;"-S"&amp;INT(($C50-WEEKDAY($C50,2)+11-DATE(YEAR($C50+4-WEEKDAY($C50,2)),1,1))/7)&amp;"-RSC-B")</f>
        <v>JUL-S30-RSC-B</v>
      </c>
      <c r="B50" s="81" t="str">
        <f aca="false">IF($C50="","","S"&amp;INT(($C50-WEEKDAY($C50,2)+11-DATE(YEAR($C50+4-WEEKDAY($C50,2)),1,1))/7))</f>
        <v>S30</v>
      </c>
      <c r="C50" s="82" t="n">
        <f aca="false">IF(MONTH(($X$1-WEEKDAY($X$1,3)+21)+3)=MONTH($X$1),($X$1-WEEKDAY($X$1,3)+21)+3,"")</f>
        <v>46226</v>
      </c>
      <c r="D50" s="9" t="str">
        <f aca="false">IF($C50="","","Relatório Semanal Consolidado (erros + metas + faltas + supervisores)")</f>
        <v>Relatório Semanal Consolidado (erros + metas + faltas + supervisores)</v>
      </c>
      <c r="E50" s="9"/>
      <c r="F50" s="9"/>
      <c r="G50" s="81" t="str">
        <f aca="false">IF($C50="","","B")</f>
        <v>B</v>
      </c>
      <c r="H50" s="81" t="str">
        <f aca="false">IF($C50="","",IF($G50="A",CONFIG!$B$5,IF($G50="B",CONFIG!$B$6,IF($G50="C",CONFIG!$B$7,"Gerência + coordenadores"))))</f>
        <v>(preencha o nome)</v>
      </c>
      <c r="I50" s="81"/>
      <c r="J50" s="81" t="str">
        <f aca="false">IF($C50="","","—")</f>
        <v>—</v>
      </c>
      <c r="K50" s="91" t="n">
        <f aca="false">IF($C50="","",SUMIFS(OCORRÊNCIAS!$E$6:$E$605,OCORRÊNCIAS!$B$6:$B$605,"Falta",OCORRÊNCIAS!$C$6:$C$605,$G50,OCORRÊNCIAS!$H$6:$H$605,$B50,OCORRÊNCIAS!$J$6:$J$605,YEAR($C50+4-WEEKDAY($C50,2))))</f>
        <v>0</v>
      </c>
      <c r="L50" s="91" t="n">
        <f aca="false">IF($C50="","",SUMIFS(OCORRÊNCIAS!$E$6:$E$605,OCORRÊNCIAS!$B$6:$B$605,"Atestado",OCORRÊNCIAS!$C$6:$C$605,$G50,OCORRÊNCIAS!$H$6:$H$605,$B50,OCORRÊNCIAS!$J$6:$J$605,YEAR($C50+4-WEEKDAY($C50,2))))</f>
        <v>0</v>
      </c>
      <c r="M50" s="84"/>
      <c r="N50" s="84"/>
      <c r="O50" s="84"/>
      <c r="P50" s="85"/>
      <c r="Q50" s="86"/>
      <c r="R50" s="87"/>
      <c r="S50" s="81" t="str">
        <f aca="true">IF($C50="","",IF($Q50="Cancelada","Cancelada",IF($Q50="Reprovado","Reprovada",IF($Q50="Aprovado","Aprovada",IF($M50&lt;&gt;"","Entregue",IF(TODAY()&gt;$C50,"Atrasada","Pendente"))))))</f>
        <v>Atrasada</v>
      </c>
      <c r="T50" s="88"/>
      <c r="U50" s="88"/>
      <c r="V50" s="88"/>
    </row>
    <row r="51" customFormat="false" ht="22.35" hidden="false" customHeight="false" outlineLevel="0" collapsed="false">
      <c r="A51" s="89" t="str">
        <f aca="false">IF($C51="","",$X$2&amp;"-S"&amp;INT(($C51-WEEKDAY($C51,2)+11-DATE(YEAR($C51+4-WEEKDAY($C51,2)),1,1))/7)&amp;"-RSC-C")</f>
        <v>JUL-S30-RSC-C</v>
      </c>
      <c r="B51" s="60" t="str">
        <f aca="false">IF($C51="","","S"&amp;INT(($C51-WEEKDAY($C51,2)+11-DATE(YEAR($C51+4-WEEKDAY($C51,2)),1,1))/7))</f>
        <v>S30</v>
      </c>
      <c r="C51" s="82" t="n">
        <f aca="false">IF(MONTH(($X$1-WEEKDAY($X$1,3)+21)+3)=MONTH($X$1),($X$1-WEEKDAY($X$1,3)+21)+3,"")</f>
        <v>46226</v>
      </c>
      <c r="D51" s="56" t="str">
        <f aca="false">IF($C51="","","Relatório Semanal Consolidado (erros + metas + faltas + supervisores)")</f>
        <v>Relatório Semanal Consolidado (erros + metas + faltas + supervisores)</v>
      </c>
      <c r="E51" s="56"/>
      <c r="F51" s="56"/>
      <c r="G51" s="60" t="str">
        <f aca="false">IF($C51="","","C")</f>
        <v>C</v>
      </c>
      <c r="H51" s="60" t="str">
        <f aca="false">IF($C51="","",IF($G51="A",CONFIG!$B$5,IF($G51="B",CONFIG!$B$6,IF($G51="C",CONFIG!$B$7,"Gerência + coordenadores"))))</f>
        <v>(preencha o nome)</v>
      </c>
      <c r="I51" s="60"/>
      <c r="J51" s="81" t="str">
        <f aca="false">IF($C51="","","—")</f>
        <v>—</v>
      </c>
      <c r="K51" s="91" t="n">
        <f aca="false">IF($C51="","",SUMIFS(OCORRÊNCIAS!$E$6:$E$605,OCORRÊNCIAS!$B$6:$B$605,"Falta",OCORRÊNCIAS!$C$6:$C$605,$G51,OCORRÊNCIAS!$H$6:$H$605,$B51,OCORRÊNCIAS!$J$6:$J$605,YEAR($C51+4-WEEKDAY($C51,2))))</f>
        <v>0</v>
      </c>
      <c r="L51" s="91" t="n">
        <f aca="false">IF($C51="","",SUMIFS(OCORRÊNCIAS!$E$6:$E$605,OCORRÊNCIAS!$B$6:$B$605,"Atestado",OCORRÊNCIAS!$C$6:$C$605,$G51,OCORRÊNCIAS!$H$6:$H$605,$B51,OCORRÊNCIAS!$J$6:$J$605,YEAR($C51+4-WEEKDAY($C51,2))))</f>
        <v>0</v>
      </c>
      <c r="M51" s="84"/>
      <c r="N51" s="84"/>
      <c r="O51" s="84"/>
      <c r="P51" s="90"/>
      <c r="Q51" s="86"/>
      <c r="R51" s="87"/>
      <c r="S51" s="60" t="str">
        <f aca="true">IF($C51="","",IF($Q51="Cancelada","Cancelada",IF($Q51="Reprovado","Reprovada",IF($Q51="Aprovado","Aprovada",IF($M51&lt;&gt;"","Entregue",IF(TODAY()&gt;$C51,"Atrasada","Pendente"))))))</f>
        <v>Atrasada</v>
      </c>
      <c r="T51" s="88"/>
      <c r="U51" s="88"/>
      <c r="V51" s="88"/>
    </row>
    <row r="52" customFormat="false" ht="22.35" hidden="false" customHeight="false" outlineLevel="0" collapsed="false">
      <c r="A52" s="80" t="str">
        <f aca="false">IF($C52="","",$X$2&amp;"-S"&amp;INT(($C52-WEEKDAY($C52,2)+11-DATE(YEAR($C52+4-WEEKDAY($C52,2)),1,1))/7)&amp;"-REU-T")</f>
        <v>JUL-S30-REU-T</v>
      </c>
      <c r="B52" s="81" t="str">
        <f aca="false">IF($C52="","","S"&amp;INT(($C52-WEEKDAY($C52,2)+11-DATE(YEAR($C52+4-WEEKDAY($C52,2)),1,1))/7))</f>
        <v>S30</v>
      </c>
      <c r="C52" s="82" t="n">
        <f aca="false">IF(MONTH(($X$1-WEEKDAY($X$1,3)+21)+4)=MONTH($X$1),($X$1-WEEKDAY($X$1,3)+21)+4,"")</f>
        <v>46227</v>
      </c>
      <c r="D52" s="9" t="str">
        <f aca="false">IF($C52="","","Reunião Semanal com a Gerência")</f>
        <v>Reunião Semanal com a Gerência</v>
      </c>
      <c r="E52" s="9"/>
      <c r="F52" s="9"/>
      <c r="G52" s="81" t="str">
        <f aca="false">IF($C52="","","Todos")</f>
        <v>Todos</v>
      </c>
      <c r="H52" s="81" t="str">
        <f aca="false">IF($C52="","",IF($G52="A",CONFIG!$B$5,IF($G52="B",CONFIG!$B$6,IF($G52="C",CONFIG!$B$7,"Gerência + coordenadores"))))</f>
        <v>Gerência + coordenadores</v>
      </c>
      <c r="I52" s="81"/>
      <c r="J52" s="81" t="str">
        <f aca="false">IF($C52="","","—")</f>
        <v>—</v>
      </c>
      <c r="K52" s="83" t="str">
        <f aca="false">IF($C52="","","—")</f>
        <v>—</v>
      </c>
      <c r="L52" s="83" t="str">
        <f aca="false">IF($C52="","","—")</f>
        <v>—</v>
      </c>
      <c r="M52" s="84"/>
      <c r="N52" s="84"/>
      <c r="O52" s="84"/>
      <c r="P52" s="85"/>
      <c r="Q52" s="86"/>
      <c r="R52" s="87"/>
      <c r="S52" s="81" t="str">
        <f aca="true">IF($C52="","",IF($Q52="Cancelada","Cancelada",IF($Q52="Reprovado","Reprovada",IF($Q52="Aprovado","Aprovada",IF($M52&lt;&gt;"","Entregue",IF(TODAY()&gt;$C52,"Atrasada","Pendente"))))))</f>
        <v>Atrasada</v>
      </c>
      <c r="T52" s="88"/>
      <c r="U52" s="88"/>
      <c r="V52" s="88"/>
    </row>
    <row r="53" customFormat="false" ht="22.35" hidden="false" customHeight="false" outlineLevel="0" collapsed="false">
      <c r="A53" s="89" t="str">
        <f aca="false">IF($C53="","",$X$2&amp;"-S"&amp;INT(($C53-WEEKDAY($C53,2)+11-DATE(YEAR($C53+4-WEEKDAY($C53,2)),1,1))/7)&amp;"-VIS-A")</f>
        <v>JUL-S31-VIS-A</v>
      </c>
      <c r="B53" s="60" t="str">
        <f aca="false">IF($C53="","","S"&amp;INT(($C53-WEEKDAY($C53,2)+11-DATE(YEAR($C53+4-WEEKDAY($C53,2)),1,1))/7))</f>
        <v>S31</v>
      </c>
      <c r="C53" s="82" t="n">
        <f aca="false">IF(MONTH(($X$1-WEEKDAY($X$1,3)+28)+2)=MONTH($X$1),($X$1-WEEKDAY($X$1,3)+28)+2,"")</f>
        <v>46232</v>
      </c>
      <c r="D53" s="56" t="str">
        <f aca="false">IF($C53="","","Vistoria Setorial (checklist no setor definido pelo gerente)")</f>
        <v>Vistoria Setorial (checklist no setor definido pelo gerente)</v>
      </c>
      <c r="E53" s="56"/>
      <c r="F53" s="56"/>
      <c r="G53" s="60" t="str">
        <f aca="false">IF($C53="","","A")</f>
        <v>A</v>
      </c>
      <c r="H53" s="60" t="str">
        <f aca="false">IF($C53="","",IF($G53="A",CONFIG!$B$5,IF($G53="B",CONFIG!$B$6,IF($G53="C",CONFIG!$B$7,"Gerência + coordenadores"))))</f>
        <v>(preencha o nome)</v>
      </c>
      <c r="I53" s="60"/>
      <c r="J53" s="86"/>
      <c r="K53" s="83" t="str">
        <f aca="false">IF($C53="","","—")</f>
        <v>—</v>
      </c>
      <c r="L53" s="83" t="str">
        <f aca="false">IF($C53="","","—")</f>
        <v>—</v>
      </c>
      <c r="M53" s="84"/>
      <c r="N53" s="84"/>
      <c r="O53" s="84"/>
      <c r="P53" s="90"/>
      <c r="Q53" s="86"/>
      <c r="R53" s="87"/>
      <c r="S53" s="60" t="str">
        <f aca="true">IF($C53="","",IF($Q53="Cancelada","Cancelada",IF($Q53="Reprovado","Reprovada",IF($Q53="Aprovado","Aprovada",IF($M53&lt;&gt;"","Entregue",IF(TODAY()&gt;$C53,"Atrasada","Pendente"))))))</f>
        <v>Atrasada</v>
      </c>
      <c r="T53" s="88"/>
      <c r="U53" s="88"/>
      <c r="V53" s="88"/>
    </row>
    <row r="54" customFormat="false" ht="22.35" hidden="false" customHeight="false" outlineLevel="0" collapsed="false">
      <c r="A54" s="80" t="str">
        <f aca="false">IF($C54="","",$X$2&amp;"-S"&amp;INT(($C54-WEEKDAY($C54,2)+11-DATE(YEAR($C54+4-WEEKDAY($C54,2)),1,1))/7)&amp;"-VIS-B")</f>
        <v>JUL-S31-VIS-B</v>
      </c>
      <c r="B54" s="81" t="str">
        <f aca="false">IF($C54="","","S"&amp;INT(($C54-WEEKDAY($C54,2)+11-DATE(YEAR($C54+4-WEEKDAY($C54,2)),1,1))/7))</f>
        <v>S31</v>
      </c>
      <c r="C54" s="82" t="n">
        <f aca="false">IF(MONTH(($X$1-WEEKDAY($X$1,3)+28)+2)=MONTH($X$1),($X$1-WEEKDAY($X$1,3)+28)+2,"")</f>
        <v>46232</v>
      </c>
      <c r="D54" s="9" t="str">
        <f aca="false">IF($C54="","","Vistoria Setorial (checklist no setor definido pelo gerente)")</f>
        <v>Vistoria Setorial (checklist no setor definido pelo gerente)</v>
      </c>
      <c r="E54" s="9"/>
      <c r="F54" s="9"/>
      <c r="G54" s="81" t="str">
        <f aca="false">IF($C54="","","B")</f>
        <v>B</v>
      </c>
      <c r="H54" s="81" t="str">
        <f aca="false">IF($C54="","",IF($G54="A",CONFIG!$B$5,IF($G54="B",CONFIG!$B$6,IF($G54="C",CONFIG!$B$7,"Gerência + coordenadores"))))</f>
        <v>(preencha o nome)</v>
      </c>
      <c r="I54" s="81"/>
      <c r="J54" s="86"/>
      <c r="K54" s="83" t="str">
        <f aca="false">IF($C54="","","—")</f>
        <v>—</v>
      </c>
      <c r="L54" s="83" t="str">
        <f aca="false">IF($C54="","","—")</f>
        <v>—</v>
      </c>
      <c r="M54" s="84"/>
      <c r="N54" s="84"/>
      <c r="O54" s="84"/>
      <c r="P54" s="85"/>
      <c r="Q54" s="86"/>
      <c r="R54" s="87"/>
      <c r="S54" s="81" t="str">
        <f aca="true">IF($C54="","",IF($Q54="Cancelada","Cancelada",IF($Q54="Reprovado","Reprovada",IF($Q54="Aprovado","Aprovada",IF($M54&lt;&gt;"","Entregue",IF(TODAY()&gt;$C54,"Atrasada","Pendente"))))))</f>
        <v>Atrasada</v>
      </c>
      <c r="T54" s="88"/>
      <c r="U54" s="88"/>
      <c r="V54" s="88"/>
    </row>
    <row r="55" customFormat="false" ht="22.35" hidden="false" customHeight="false" outlineLevel="0" collapsed="false">
      <c r="A55" s="89" t="str">
        <f aca="false">IF($C55="","",$X$2&amp;"-S"&amp;INT(($C55-WEEKDAY($C55,2)+11-DATE(YEAR($C55+4-WEEKDAY($C55,2)),1,1))/7)&amp;"-VIS-C")</f>
        <v>JUL-S31-VIS-C</v>
      </c>
      <c r="B55" s="60" t="str">
        <f aca="false">IF($C55="","","S"&amp;INT(($C55-WEEKDAY($C55,2)+11-DATE(YEAR($C55+4-WEEKDAY($C55,2)),1,1))/7))</f>
        <v>S31</v>
      </c>
      <c r="C55" s="82" t="n">
        <f aca="false">IF(MONTH(($X$1-WEEKDAY($X$1,3)+28)+2)=MONTH($X$1),($X$1-WEEKDAY($X$1,3)+28)+2,"")</f>
        <v>46232</v>
      </c>
      <c r="D55" s="56" t="str">
        <f aca="false">IF($C55="","","Vistoria Setorial (checklist no setor definido pelo gerente)")</f>
        <v>Vistoria Setorial (checklist no setor definido pelo gerente)</v>
      </c>
      <c r="E55" s="56"/>
      <c r="F55" s="56"/>
      <c r="G55" s="60" t="str">
        <f aca="false">IF($C55="","","C")</f>
        <v>C</v>
      </c>
      <c r="H55" s="60" t="str">
        <f aca="false">IF($C55="","",IF($G55="A",CONFIG!$B$5,IF($G55="B",CONFIG!$B$6,IF($G55="C",CONFIG!$B$7,"Gerência + coordenadores"))))</f>
        <v>(preencha o nome)</v>
      </c>
      <c r="I55" s="60"/>
      <c r="J55" s="86"/>
      <c r="K55" s="83" t="str">
        <f aca="false">IF($C55="","","—")</f>
        <v>—</v>
      </c>
      <c r="L55" s="83" t="str">
        <f aca="false">IF($C55="","","—")</f>
        <v>—</v>
      </c>
      <c r="M55" s="84"/>
      <c r="N55" s="84"/>
      <c r="O55" s="84"/>
      <c r="P55" s="90"/>
      <c r="Q55" s="86"/>
      <c r="R55" s="87"/>
      <c r="S55" s="60" t="str">
        <f aca="true">IF($C55="","",IF($Q55="Cancelada","Cancelada",IF($Q55="Reprovado","Reprovada",IF($Q55="Aprovado","Aprovada",IF($M55&lt;&gt;"","Entregue",IF(TODAY()&gt;$C55,"Atrasada","Pendente"))))))</f>
        <v>Atrasada</v>
      </c>
      <c r="T55" s="88"/>
      <c r="U55" s="88"/>
      <c r="V55" s="88"/>
    </row>
    <row r="56" customFormat="false" ht="22.35" hidden="false" customHeight="false" outlineLevel="0" collapsed="false">
      <c r="A56" s="80" t="str">
        <f aca="false">IF($C56="","",$X$2&amp;"-S"&amp;INT(($C56-WEEKDAY($C56,2)+11-DATE(YEAR($C56+4-WEEKDAY($C56,2)),1,1))/7)&amp;"-RSC-A")</f>
        <v>JUL-S31-RSC-A</v>
      </c>
      <c r="B56" s="81" t="str">
        <f aca="false">IF($C56="","","S"&amp;INT(($C56-WEEKDAY($C56,2)+11-DATE(YEAR($C56+4-WEEKDAY($C56,2)),1,1))/7))</f>
        <v>S31</v>
      </c>
      <c r="C56" s="82" t="n">
        <f aca="false">IF(MONTH(($X$1-WEEKDAY($X$1,3)+28)+3)=MONTH($X$1),($X$1-WEEKDAY($X$1,3)+28)+3,"")</f>
        <v>46233</v>
      </c>
      <c r="D56" s="9" t="str">
        <f aca="false">IF($C56="","","Relatório Semanal Consolidado (erros + metas + faltas + supervisores)")</f>
        <v>Relatório Semanal Consolidado (erros + metas + faltas + supervisores)</v>
      </c>
      <c r="E56" s="9"/>
      <c r="F56" s="9"/>
      <c r="G56" s="81" t="str">
        <f aca="false">IF($C56="","","A")</f>
        <v>A</v>
      </c>
      <c r="H56" s="81" t="str">
        <f aca="false">IF($C56="","",IF($G56="A",CONFIG!$B$5,IF($G56="B",CONFIG!$B$6,IF($G56="C",CONFIG!$B$7,"Gerência + coordenadores"))))</f>
        <v>(preencha o nome)</v>
      </c>
      <c r="I56" s="81"/>
      <c r="J56" s="81" t="str">
        <f aca="false">IF($C56="","","—")</f>
        <v>—</v>
      </c>
      <c r="K56" s="91" t="n">
        <f aca="false">IF($C56="","",SUMIFS(OCORRÊNCIAS!$E$6:$E$605,OCORRÊNCIAS!$B$6:$B$605,"Falta",OCORRÊNCIAS!$C$6:$C$605,$G56,OCORRÊNCIAS!$H$6:$H$605,$B56,OCORRÊNCIAS!$J$6:$J$605,YEAR($C56+4-WEEKDAY($C56,2))))</f>
        <v>0</v>
      </c>
      <c r="L56" s="91" t="n">
        <f aca="false">IF($C56="","",SUMIFS(OCORRÊNCIAS!$E$6:$E$605,OCORRÊNCIAS!$B$6:$B$605,"Atestado",OCORRÊNCIAS!$C$6:$C$605,$G56,OCORRÊNCIAS!$H$6:$H$605,$B56,OCORRÊNCIAS!$J$6:$J$605,YEAR($C56+4-WEEKDAY($C56,2))))</f>
        <v>0</v>
      </c>
      <c r="M56" s="84"/>
      <c r="N56" s="84"/>
      <c r="O56" s="84"/>
      <c r="P56" s="85"/>
      <c r="Q56" s="86"/>
      <c r="R56" s="87"/>
      <c r="S56" s="81" t="str">
        <f aca="true">IF($C56="","",IF($Q56="Cancelada","Cancelada",IF($Q56="Reprovado","Reprovada",IF($Q56="Aprovado","Aprovada",IF($M56&lt;&gt;"","Entregue",IF(TODAY()&gt;$C56,"Atrasada","Pendente"))))))</f>
        <v>Pendente</v>
      </c>
      <c r="T56" s="88"/>
      <c r="U56" s="88"/>
      <c r="V56" s="88"/>
    </row>
    <row r="57" customFormat="false" ht="22.35" hidden="false" customHeight="false" outlineLevel="0" collapsed="false">
      <c r="A57" s="89" t="str">
        <f aca="false">IF($C57="","",$X$2&amp;"-S"&amp;INT(($C57-WEEKDAY($C57,2)+11-DATE(YEAR($C57+4-WEEKDAY($C57,2)),1,1))/7)&amp;"-RSC-B")</f>
        <v>JUL-S31-RSC-B</v>
      </c>
      <c r="B57" s="60" t="str">
        <f aca="false">IF($C57="","","S"&amp;INT(($C57-WEEKDAY($C57,2)+11-DATE(YEAR($C57+4-WEEKDAY($C57,2)),1,1))/7))</f>
        <v>S31</v>
      </c>
      <c r="C57" s="82" t="n">
        <f aca="false">IF(MONTH(($X$1-WEEKDAY($X$1,3)+28)+3)=MONTH($X$1),($X$1-WEEKDAY($X$1,3)+28)+3,"")</f>
        <v>46233</v>
      </c>
      <c r="D57" s="56" t="str">
        <f aca="false">IF($C57="","","Relatório Semanal Consolidado (erros + metas + faltas + supervisores)")</f>
        <v>Relatório Semanal Consolidado (erros + metas + faltas + supervisores)</v>
      </c>
      <c r="E57" s="56"/>
      <c r="F57" s="56"/>
      <c r="G57" s="60" t="str">
        <f aca="false">IF($C57="","","B")</f>
        <v>B</v>
      </c>
      <c r="H57" s="60" t="str">
        <f aca="false">IF($C57="","",IF($G57="A",CONFIG!$B$5,IF($G57="B",CONFIG!$B$6,IF($G57="C",CONFIG!$B$7,"Gerência + coordenadores"))))</f>
        <v>(preencha o nome)</v>
      </c>
      <c r="I57" s="60"/>
      <c r="J57" s="81" t="str">
        <f aca="false">IF($C57="","","—")</f>
        <v>—</v>
      </c>
      <c r="K57" s="91" t="n">
        <f aca="false">IF($C57="","",SUMIFS(OCORRÊNCIAS!$E$6:$E$605,OCORRÊNCIAS!$B$6:$B$605,"Falta",OCORRÊNCIAS!$C$6:$C$605,$G57,OCORRÊNCIAS!$H$6:$H$605,$B57,OCORRÊNCIAS!$J$6:$J$605,YEAR($C57+4-WEEKDAY($C57,2))))</f>
        <v>0</v>
      </c>
      <c r="L57" s="91" t="n">
        <f aca="false">IF($C57="","",SUMIFS(OCORRÊNCIAS!$E$6:$E$605,OCORRÊNCIAS!$B$6:$B$605,"Atestado",OCORRÊNCIAS!$C$6:$C$605,$G57,OCORRÊNCIAS!$H$6:$H$605,$B57,OCORRÊNCIAS!$J$6:$J$605,YEAR($C57+4-WEEKDAY($C57,2))))</f>
        <v>0</v>
      </c>
      <c r="M57" s="84"/>
      <c r="N57" s="84"/>
      <c r="O57" s="84"/>
      <c r="P57" s="90"/>
      <c r="Q57" s="86"/>
      <c r="R57" s="87"/>
      <c r="S57" s="60" t="str">
        <f aca="true">IF($C57="","",IF($Q57="Cancelada","Cancelada",IF($Q57="Reprovado","Reprovada",IF($Q57="Aprovado","Aprovada",IF($M57&lt;&gt;"","Entregue",IF(TODAY()&gt;$C57,"Atrasada","Pendente"))))))</f>
        <v>Pendente</v>
      </c>
      <c r="T57" s="88"/>
      <c r="U57" s="88"/>
      <c r="V57" s="88"/>
    </row>
    <row r="58" customFormat="false" ht="22.35" hidden="false" customHeight="false" outlineLevel="0" collapsed="false">
      <c r="A58" s="80" t="str">
        <f aca="false">IF($C58="","",$X$2&amp;"-S"&amp;INT(($C58-WEEKDAY($C58,2)+11-DATE(YEAR($C58+4-WEEKDAY($C58,2)),1,1))/7)&amp;"-RSC-C")</f>
        <v>JUL-S31-RSC-C</v>
      </c>
      <c r="B58" s="81" t="str">
        <f aca="false">IF($C58="","","S"&amp;INT(($C58-WEEKDAY($C58,2)+11-DATE(YEAR($C58+4-WEEKDAY($C58,2)),1,1))/7))</f>
        <v>S31</v>
      </c>
      <c r="C58" s="82" t="n">
        <f aca="false">IF(MONTH(($X$1-WEEKDAY($X$1,3)+28)+3)=MONTH($X$1),($X$1-WEEKDAY($X$1,3)+28)+3,"")</f>
        <v>46233</v>
      </c>
      <c r="D58" s="9" t="str">
        <f aca="false">IF($C58="","","Relatório Semanal Consolidado (erros + metas + faltas + supervisores)")</f>
        <v>Relatório Semanal Consolidado (erros + metas + faltas + supervisores)</v>
      </c>
      <c r="E58" s="9"/>
      <c r="F58" s="9"/>
      <c r="G58" s="81" t="str">
        <f aca="false">IF($C58="","","C")</f>
        <v>C</v>
      </c>
      <c r="H58" s="81" t="str">
        <f aca="false">IF($C58="","",IF($G58="A",CONFIG!$B$5,IF($G58="B",CONFIG!$B$6,IF($G58="C",CONFIG!$B$7,"Gerência + coordenadores"))))</f>
        <v>(preencha o nome)</v>
      </c>
      <c r="I58" s="81"/>
      <c r="J58" s="81" t="str">
        <f aca="false">IF($C58="","","—")</f>
        <v>—</v>
      </c>
      <c r="K58" s="91" t="n">
        <f aca="false">IF($C58="","",SUMIFS(OCORRÊNCIAS!$E$6:$E$605,OCORRÊNCIAS!$B$6:$B$605,"Falta",OCORRÊNCIAS!$C$6:$C$605,$G58,OCORRÊNCIAS!$H$6:$H$605,$B58,OCORRÊNCIAS!$J$6:$J$605,YEAR($C58+4-WEEKDAY($C58,2))))</f>
        <v>0</v>
      </c>
      <c r="L58" s="91" t="n">
        <f aca="false">IF($C58="","",SUMIFS(OCORRÊNCIAS!$E$6:$E$605,OCORRÊNCIAS!$B$6:$B$605,"Atestado",OCORRÊNCIAS!$C$6:$C$605,$G58,OCORRÊNCIAS!$H$6:$H$605,$B58,OCORRÊNCIAS!$J$6:$J$605,YEAR($C58+4-WEEKDAY($C58,2))))</f>
        <v>0</v>
      </c>
      <c r="M58" s="84"/>
      <c r="N58" s="84"/>
      <c r="O58" s="84"/>
      <c r="P58" s="85"/>
      <c r="Q58" s="86"/>
      <c r="R58" s="87"/>
      <c r="S58" s="81" t="str">
        <f aca="true">IF($C58="","",IF($Q58="Cancelada","Cancelada",IF($Q58="Reprovado","Reprovada",IF($Q58="Aprovado","Aprovada",IF($M58&lt;&gt;"","Entregue",IF(TODAY()&gt;$C58,"Atrasada","Pendente"))))))</f>
        <v>Pendente</v>
      </c>
      <c r="T58" s="88"/>
      <c r="U58" s="88"/>
      <c r="V58" s="88"/>
    </row>
    <row r="59" customFormat="false" ht="22.35" hidden="false" customHeight="false" outlineLevel="0" collapsed="false">
      <c r="A59" s="89" t="str">
        <f aca="false">IF($C59="","",$X$2&amp;"-S"&amp;INT(($C59-WEEKDAY($C59,2)+11-DATE(YEAR($C59+4-WEEKDAY($C59,2)),1,1))/7)&amp;"-REU-T")</f>
        <v>JUL-S31-REU-T</v>
      </c>
      <c r="B59" s="60" t="str">
        <f aca="false">IF($C59="","","S"&amp;INT(($C59-WEEKDAY($C59,2)+11-DATE(YEAR($C59+4-WEEKDAY($C59,2)),1,1))/7))</f>
        <v>S31</v>
      </c>
      <c r="C59" s="82" t="n">
        <f aca="false">IF(MONTH(($X$1-WEEKDAY($X$1,3)+28)+4)=MONTH($X$1),($X$1-WEEKDAY($X$1,3)+28)+4,"")</f>
        <v>46234</v>
      </c>
      <c r="D59" s="56" t="str">
        <f aca="false">IF($C59="","","Reunião Semanal com a Gerência")</f>
        <v>Reunião Semanal com a Gerência</v>
      </c>
      <c r="E59" s="56"/>
      <c r="F59" s="56"/>
      <c r="G59" s="60" t="str">
        <f aca="false">IF($C59="","","Todos")</f>
        <v>Todos</v>
      </c>
      <c r="H59" s="60" t="str">
        <f aca="false">IF($C59="","",IF($G59="A",CONFIG!$B$5,IF($G59="B",CONFIG!$B$6,IF($G59="C",CONFIG!$B$7,"Gerência + coordenadores"))))</f>
        <v>Gerência + coordenadores</v>
      </c>
      <c r="I59" s="60"/>
      <c r="J59" s="81" t="str">
        <f aca="false">IF($C59="","","—")</f>
        <v>—</v>
      </c>
      <c r="K59" s="83" t="str">
        <f aca="false">IF($C59="","","—")</f>
        <v>—</v>
      </c>
      <c r="L59" s="83" t="str">
        <f aca="false">IF($C59="","","—")</f>
        <v>—</v>
      </c>
      <c r="M59" s="84"/>
      <c r="N59" s="84"/>
      <c r="O59" s="84"/>
      <c r="P59" s="90"/>
      <c r="Q59" s="86"/>
      <c r="R59" s="87"/>
      <c r="S59" s="60" t="str">
        <f aca="true">IF($C59="","",IF($Q59="Cancelada","Cancelada",IF($Q59="Reprovado","Reprovada",IF($Q59="Aprovado","Aprovada",IF($M59&lt;&gt;"","Entregue",IF(TODAY()&gt;$C59,"Atrasada","Pendente"))))))</f>
        <v>Pendente</v>
      </c>
      <c r="T59" s="88"/>
      <c r="U59" s="88"/>
      <c r="V59" s="88"/>
    </row>
    <row r="60" customFormat="false" ht="15" hidden="false" customHeight="false" outlineLevel="0" collapsed="false">
      <c r="A60" s="80" t="str">
        <f aca="false">IF($C60="","",$X$2&amp;"-S"&amp;INT(($C60-WEEKDAY($C60,2)+11-DATE(YEAR($C60+4-WEEKDAY($C60,2)),1,1))/7)&amp;"-VIS-A")</f>
        <v/>
      </c>
      <c r="B60" s="81" t="str">
        <f aca="false">IF($C60="","","S"&amp;INT(($C60-WEEKDAY($C60,2)+11-DATE(YEAR($C60+4-WEEKDAY($C60,2)),1,1))/7))</f>
        <v/>
      </c>
      <c r="C60" s="82" t="str">
        <f aca="false">IF(MONTH(($X$1-WEEKDAY($X$1,3)+35)+2)=MONTH($X$1),($X$1-WEEKDAY($X$1,3)+35)+2,"")</f>
        <v/>
      </c>
      <c r="D60" s="9" t="str">
        <f aca="false">IF($C60="","","Vistoria Setorial (checklist no setor definido pelo gerente)")</f>
        <v/>
      </c>
      <c r="E60" s="9"/>
      <c r="F60" s="9"/>
      <c r="G60" s="81" t="str">
        <f aca="false">IF($C60="","","A")</f>
        <v/>
      </c>
      <c r="H60" s="81" t="str">
        <f aca="false">IF($C60="","",IF($G60="A",CONFIG!$B$5,IF($G60="B",CONFIG!$B$6,IF($G60="C",CONFIG!$B$7,"Gerência + coordenadores"))))</f>
        <v/>
      </c>
      <c r="I60" s="81"/>
      <c r="J60" s="86"/>
      <c r="K60" s="83" t="str">
        <f aca="false">IF($C60="","","—")</f>
        <v/>
      </c>
      <c r="L60" s="83" t="str">
        <f aca="false">IF($C60="","","—")</f>
        <v/>
      </c>
      <c r="M60" s="84"/>
      <c r="N60" s="84"/>
      <c r="O60" s="84"/>
      <c r="P60" s="85"/>
      <c r="Q60" s="86"/>
      <c r="R60" s="87"/>
      <c r="S60" s="81" t="str">
        <f aca="true">IF($C60="","",IF($Q60="Cancelada","Cancelada",IF($Q60="Reprovado","Reprovada",IF($Q60="Aprovado","Aprovada",IF($M60&lt;&gt;"","Entregue",IF(TODAY()&gt;$C60,"Atrasada","Pendente"))))))</f>
        <v/>
      </c>
      <c r="T60" s="88"/>
      <c r="U60" s="88"/>
      <c r="V60" s="88"/>
    </row>
    <row r="61" customFormat="false" ht="15" hidden="false" customHeight="false" outlineLevel="0" collapsed="false">
      <c r="A61" s="89" t="str">
        <f aca="false">IF($C61="","",$X$2&amp;"-S"&amp;INT(($C61-WEEKDAY($C61,2)+11-DATE(YEAR($C61+4-WEEKDAY($C61,2)),1,1))/7)&amp;"-VIS-B")</f>
        <v/>
      </c>
      <c r="B61" s="60" t="str">
        <f aca="false">IF($C61="","","S"&amp;INT(($C61-WEEKDAY($C61,2)+11-DATE(YEAR($C61+4-WEEKDAY($C61,2)),1,1))/7))</f>
        <v/>
      </c>
      <c r="C61" s="82" t="str">
        <f aca="false">IF(MONTH(($X$1-WEEKDAY($X$1,3)+35)+2)=MONTH($X$1),($X$1-WEEKDAY($X$1,3)+35)+2,"")</f>
        <v/>
      </c>
      <c r="D61" s="56" t="str">
        <f aca="false">IF($C61="","","Vistoria Setorial (checklist no setor definido pelo gerente)")</f>
        <v/>
      </c>
      <c r="E61" s="56"/>
      <c r="F61" s="56"/>
      <c r="G61" s="60" t="str">
        <f aca="false">IF($C61="","","B")</f>
        <v/>
      </c>
      <c r="H61" s="60" t="str">
        <f aca="false">IF($C61="","",IF($G61="A",CONFIG!$B$5,IF($G61="B",CONFIG!$B$6,IF($G61="C",CONFIG!$B$7,"Gerência + coordenadores"))))</f>
        <v/>
      </c>
      <c r="I61" s="60"/>
      <c r="J61" s="86"/>
      <c r="K61" s="83" t="str">
        <f aca="false">IF($C61="","","—")</f>
        <v/>
      </c>
      <c r="L61" s="83" t="str">
        <f aca="false">IF($C61="","","—")</f>
        <v/>
      </c>
      <c r="M61" s="84"/>
      <c r="N61" s="84"/>
      <c r="O61" s="84"/>
      <c r="P61" s="90"/>
      <c r="Q61" s="86"/>
      <c r="R61" s="87"/>
      <c r="S61" s="60" t="str">
        <f aca="true">IF($C61="","",IF($Q61="Cancelada","Cancelada",IF($Q61="Reprovado","Reprovada",IF($Q61="Aprovado","Aprovada",IF($M61&lt;&gt;"","Entregue",IF(TODAY()&gt;$C61,"Atrasada","Pendente"))))))</f>
        <v/>
      </c>
      <c r="T61" s="88"/>
      <c r="U61" s="88"/>
      <c r="V61" s="88"/>
    </row>
    <row r="62" customFormat="false" ht="15" hidden="false" customHeight="false" outlineLevel="0" collapsed="false">
      <c r="A62" s="80" t="str">
        <f aca="false">IF($C62="","",$X$2&amp;"-S"&amp;INT(($C62-WEEKDAY($C62,2)+11-DATE(YEAR($C62+4-WEEKDAY($C62,2)),1,1))/7)&amp;"-VIS-C")</f>
        <v/>
      </c>
      <c r="B62" s="81" t="str">
        <f aca="false">IF($C62="","","S"&amp;INT(($C62-WEEKDAY($C62,2)+11-DATE(YEAR($C62+4-WEEKDAY($C62,2)),1,1))/7))</f>
        <v/>
      </c>
      <c r="C62" s="82" t="str">
        <f aca="false">IF(MONTH(($X$1-WEEKDAY($X$1,3)+35)+2)=MONTH($X$1),($X$1-WEEKDAY($X$1,3)+35)+2,"")</f>
        <v/>
      </c>
      <c r="D62" s="9" t="str">
        <f aca="false">IF($C62="","","Vistoria Setorial (checklist no setor definido pelo gerente)")</f>
        <v/>
      </c>
      <c r="E62" s="9"/>
      <c r="F62" s="9"/>
      <c r="G62" s="81" t="str">
        <f aca="false">IF($C62="","","C")</f>
        <v/>
      </c>
      <c r="H62" s="81" t="str">
        <f aca="false">IF($C62="","",IF($G62="A",CONFIG!$B$5,IF($G62="B",CONFIG!$B$6,IF($G62="C",CONFIG!$B$7,"Gerência + coordenadores"))))</f>
        <v/>
      </c>
      <c r="I62" s="81"/>
      <c r="J62" s="86"/>
      <c r="K62" s="83" t="str">
        <f aca="false">IF($C62="","","—")</f>
        <v/>
      </c>
      <c r="L62" s="83" t="str">
        <f aca="false">IF($C62="","","—")</f>
        <v/>
      </c>
      <c r="M62" s="84"/>
      <c r="N62" s="84"/>
      <c r="O62" s="84"/>
      <c r="P62" s="85"/>
      <c r="Q62" s="86"/>
      <c r="R62" s="87"/>
      <c r="S62" s="81" t="str">
        <f aca="true">IF($C62="","",IF($Q62="Cancelada","Cancelada",IF($Q62="Reprovado","Reprovada",IF($Q62="Aprovado","Aprovada",IF($M62&lt;&gt;"","Entregue",IF(TODAY()&gt;$C62,"Atrasada","Pendente"))))))</f>
        <v/>
      </c>
      <c r="T62" s="88"/>
      <c r="U62" s="88"/>
      <c r="V62" s="88"/>
    </row>
    <row r="63" customFormat="false" ht="15" hidden="false" customHeight="false" outlineLevel="0" collapsed="false">
      <c r="A63" s="89" t="str">
        <f aca="false">IF($C63="","",$X$2&amp;"-S"&amp;INT(($C63-WEEKDAY($C63,2)+11-DATE(YEAR($C63+4-WEEKDAY($C63,2)),1,1))/7)&amp;"-RSC-A")</f>
        <v/>
      </c>
      <c r="B63" s="60" t="str">
        <f aca="false">IF($C63="","","S"&amp;INT(($C63-WEEKDAY($C63,2)+11-DATE(YEAR($C63+4-WEEKDAY($C63,2)),1,1))/7))</f>
        <v/>
      </c>
      <c r="C63" s="82" t="str">
        <f aca="false">IF(MONTH(($X$1-WEEKDAY($X$1,3)+35)+3)=MONTH($X$1),($X$1-WEEKDAY($X$1,3)+35)+3,"")</f>
        <v/>
      </c>
      <c r="D63" s="56" t="str">
        <f aca="false">IF($C63="","","Relatório Semanal Consolidado (erros + metas + faltas + supervisores)")</f>
        <v/>
      </c>
      <c r="E63" s="56"/>
      <c r="F63" s="56"/>
      <c r="G63" s="60" t="str">
        <f aca="false">IF($C63="","","A")</f>
        <v/>
      </c>
      <c r="H63" s="60" t="str">
        <f aca="false">IF($C63="","",IF($G63="A",CONFIG!$B$5,IF($G63="B",CONFIG!$B$6,IF($G63="C",CONFIG!$B$7,"Gerência + coordenadores"))))</f>
        <v/>
      </c>
      <c r="I63" s="60"/>
      <c r="J63" s="81" t="str">
        <f aca="false">IF($C63="","","—")</f>
        <v/>
      </c>
      <c r="K63" s="91" t="str">
        <f aca="false">IF($C63="","",SUMIFS(OCORRÊNCIAS!$E$6:$E$605,OCORRÊNCIAS!$B$6:$B$605,"Falta",OCORRÊNCIAS!$C$6:$C$605,$G63,OCORRÊNCIAS!$H$6:$H$605,$B63,OCORRÊNCIAS!$J$6:$J$605,YEAR($C63+4-WEEKDAY($C63,2))))</f>
        <v/>
      </c>
      <c r="L63" s="91" t="str">
        <f aca="false">IF($C63="","",SUMIFS(OCORRÊNCIAS!$E$6:$E$605,OCORRÊNCIAS!$B$6:$B$605,"Atestado",OCORRÊNCIAS!$C$6:$C$605,$G63,OCORRÊNCIAS!$H$6:$H$605,$B63,OCORRÊNCIAS!$J$6:$J$605,YEAR($C63+4-WEEKDAY($C63,2))))</f>
        <v/>
      </c>
      <c r="M63" s="84"/>
      <c r="N63" s="84"/>
      <c r="O63" s="84"/>
      <c r="P63" s="90"/>
      <c r="Q63" s="86"/>
      <c r="R63" s="87"/>
      <c r="S63" s="60" t="str">
        <f aca="true">IF($C63="","",IF($Q63="Cancelada","Cancelada",IF($Q63="Reprovado","Reprovada",IF($Q63="Aprovado","Aprovada",IF($M63&lt;&gt;"","Entregue",IF(TODAY()&gt;$C63,"Atrasada","Pendente"))))))</f>
        <v/>
      </c>
      <c r="T63" s="88"/>
      <c r="U63" s="88"/>
      <c r="V63" s="88"/>
    </row>
    <row r="64" customFormat="false" ht="15" hidden="false" customHeight="false" outlineLevel="0" collapsed="false">
      <c r="A64" s="80" t="str">
        <f aca="false">IF($C64="","",$X$2&amp;"-S"&amp;INT(($C64-WEEKDAY($C64,2)+11-DATE(YEAR($C64+4-WEEKDAY($C64,2)),1,1))/7)&amp;"-RSC-B")</f>
        <v/>
      </c>
      <c r="B64" s="81" t="str">
        <f aca="false">IF($C64="","","S"&amp;INT(($C64-WEEKDAY($C64,2)+11-DATE(YEAR($C64+4-WEEKDAY($C64,2)),1,1))/7))</f>
        <v/>
      </c>
      <c r="C64" s="82" t="str">
        <f aca="false">IF(MONTH(($X$1-WEEKDAY($X$1,3)+35)+3)=MONTH($X$1),($X$1-WEEKDAY($X$1,3)+35)+3,"")</f>
        <v/>
      </c>
      <c r="D64" s="9" t="str">
        <f aca="false">IF($C64="","","Relatório Semanal Consolidado (erros + metas + faltas + supervisores)")</f>
        <v/>
      </c>
      <c r="E64" s="9"/>
      <c r="F64" s="9"/>
      <c r="G64" s="81" t="str">
        <f aca="false">IF($C64="","","B")</f>
        <v/>
      </c>
      <c r="H64" s="81" t="str">
        <f aca="false">IF($C64="","",IF($G64="A",CONFIG!$B$5,IF($G64="B",CONFIG!$B$6,IF($G64="C",CONFIG!$B$7,"Gerência + coordenadores"))))</f>
        <v/>
      </c>
      <c r="I64" s="81"/>
      <c r="J64" s="81" t="str">
        <f aca="false">IF($C64="","","—")</f>
        <v/>
      </c>
      <c r="K64" s="91" t="str">
        <f aca="false">IF($C64="","",SUMIFS(OCORRÊNCIAS!$E$6:$E$605,OCORRÊNCIAS!$B$6:$B$605,"Falta",OCORRÊNCIAS!$C$6:$C$605,$G64,OCORRÊNCIAS!$H$6:$H$605,$B64,OCORRÊNCIAS!$J$6:$J$605,YEAR($C64+4-WEEKDAY($C64,2))))</f>
        <v/>
      </c>
      <c r="L64" s="91" t="str">
        <f aca="false">IF($C64="","",SUMIFS(OCORRÊNCIAS!$E$6:$E$605,OCORRÊNCIAS!$B$6:$B$605,"Atestado",OCORRÊNCIAS!$C$6:$C$605,$G64,OCORRÊNCIAS!$H$6:$H$605,$B64,OCORRÊNCIAS!$J$6:$J$605,YEAR($C64+4-WEEKDAY($C64,2))))</f>
        <v/>
      </c>
      <c r="M64" s="84"/>
      <c r="N64" s="84"/>
      <c r="O64" s="84"/>
      <c r="P64" s="85"/>
      <c r="Q64" s="86"/>
      <c r="R64" s="87"/>
      <c r="S64" s="81" t="str">
        <f aca="true">IF($C64="","",IF($Q64="Cancelada","Cancelada",IF($Q64="Reprovado","Reprovada",IF($Q64="Aprovado","Aprovada",IF($M64&lt;&gt;"","Entregue",IF(TODAY()&gt;$C64,"Atrasada","Pendente"))))))</f>
        <v/>
      </c>
      <c r="T64" s="88"/>
      <c r="U64" s="88"/>
      <c r="V64" s="88"/>
    </row>
    <row r="65" customFormat="false" ht="15" hidden="false" customHeight="false" outlineLevel="0" collapsed="false">
      <c r="A65" s="89" t="str">
        <f aca="false">IF($C65="","",$X$2&amp;"-S"&amp;INT(($C65-WEEKDAY($C65,2)+11-DATE(YEAR($C65+4-WEEKDAY($C65,2)),1,1))/7)&amp;"-RSC-C")</f>
        <v/>
      </c>
      <c r="B65" s="60" t="str">
        <f aca="false">IF($C65="","","S"&amp;INT(($C65-WEEKDAY($C65,2)+11-DATE(YEAR($C65+4-WEEKDAY($C65,2)),1,1))/7))</f>
        <v/>
      </c>
      <c r="C65" s="82" t="str">
        <f aca="false">IF(MONTH(($X$1-WEEKDAY($X$1,3)+35)+3)=MONTH($X$1),($X$1-WEEKDAY($X$1,3)+35)+3,"")</f>
        <v/>
      </c>
      <c r="D65" s="56" t="str">
        <f aca="false">IF($C65="","","Relatório Semanal Consolidado (erros + metas + faltas + supervisores)")</f>
        <v/>
      </c>
      <c r="E65" s="56"/>
      <c r="F65" s="56"/>
      <c r="G65" s="60" t="str">
        <f aca="false">IF($C65="","","C")</f>
        <v/>
      </c>
      <c r="H65" s="60" t="str">
        <f aca="false">IF($C65="","",IF($G65="A",CONFIG!$B$5,IF($G65="B",CONFIG!$B$6,IF($G65="C",CONFIG!$B$7,"Gerência + coordenadores"))))</f>
        <v/>
      </c>
      <c r="I65" s="60"/>
      <c r="J65" s="81" t="str">
        <f aca="false">IF($C65="","","—")</f>
        <v/>
      </c>
      <c r="K65" s="91" t="str">
        <f aca="false">IF($C65="","",SUMIFS(OCORRÊNCIAS!$E$6:$E$605,OCORRÊNCIAS!$B$6:$B$605,"Falta",OCORRÊNCIAS!$C$6:$C$605,$G65,OCORRÊNCIAS!$H$6:$H$605,$B65,OCORRÊNCIAS!$J$6:$J$605,YEAR($C65+4-WEEKDAY($C65,2))))</f>
        <v/>
      </c>
      <c r="L65" s="91" t="str">
        <f aca="false">IF($C65="","",SUMIFS(OCORRÊNCIAS!$E$6:$E$605,OCORRÊNCIAS!$B$6:$B$605,"Atestado",OCORRÊNCIAS!$C$6:$C$605,$G65,OCORRÊNCIAS!$H$6:$H$605,$B65,OCORRÊNCIAS!$J$6:$J$605,YEAR($C65+4-WEEKDAY($C65,2))))</f>
        <v/>
      </c>
      <c r="M65" s="84"/>
      <c r="N65" s="84"/>
      <c r="O65" s="84"/>
      <c r="P65" s="90"/>
      <c r="Q65" s="86"/>
      <c r="R65" s="87"/>
      <c r="S65" s="60" t="str">
        <f aca="true">IF($C65="","",IF($Q65="Cancelada","Cancelada",IF($Q65="Reprovado","Reprovada",IF($Q65="Aprovado","Aprovada",IF($M65&lt;&gt;"","Entregue",IF(TODAY()&gt;$C65,"Atrasada","Pendente"))))))</f>
        <v/>
      </c>
      <c r="T65" s="88"/>
      <c r="U65" s="88"/>
      <c r="V65" s="88"/>
    </row>
    <row r="66" customFormat="false" ht="15" hidden="false" customHeight="false" outlineLevel="0" collapsed="false">
      <c r="A66" s="80" t="str">
        <f aca="false">IF($C66="","",$X$2&amp;"-S"&amp;INT(($C66-WEEKDAY($C66,2)+11-DATE(YEAR($C66+4-WEEKDAY($C66,2)),1,1))/7)&amp;"-REU-T")</f>
        <v/>
      </c>
      <c r="B66" s="81" t="str">
        <f aca="false">IF($C66="","","S"&amp;INT(($C66-WEEKDAY($C66,2)+11-DATE(YEAR($C66+4-WEEKDAY($C66,2)),1,1))/7))</f>
        <v/>
      </c>
      <c r="C66" s="82" t="str">
        <f aca="false">IF(MONTH(($X$1-WEEKDAY($X$1,3)+35)+4)=MONTH($X$1),($X$1-WEEKDAY($X$1,3)+35)+4,"")</f>
        <v/>
      </c>
      <c r="D66" s="9" t="str">
        <f aca="false">IF($C66="","","Reunião Semanal com a Gerência")</f>
        <v/>
      </c>
      <c r="E66" s="9"/>
      <c r="F66" s="9"/>
      <c r="G66" s="81" t="str">
        <f aca="false">IF($C66="","","Todos")</f>
        <v/>
      </c>
      <c r="H66" s="81" t="str">
        <f aca="false">IF($C66="","",IF($G66="A",CONFIG!$B$5,IF($G66="B",CONFIG!$B$6,IF($G66="C",CONFIG!$B$7,"Gerência + coordenadores"))))</f>
        <v/>
      </c>
      <c r="I66" s="81"/>
      <c r="J66" s="81" t="str">
        <f aca="false">IF($C66="","","—")</f>
        <v/>
      </c>
      <c r="K66" s="83" t="str">
        <f aca="false">IF($C66="","","—")</f>
        <v/>
      </c>
      <c r="L66" s="83" t="str">
        <f aca="false">IF($C66="","","—")</f>
        <v/>
      </c>
      <c r="M66" s="84"/>
      <c r="N66" s="84"/>
      <c r="O66" s="84"/>
      <c r="P66" s="85"/>
      <c r="Q66" s="86"/>
      <c r="R66" s="87"/>
      <c r="S66" s="81" t="str">
        <f aca="true">IF($C66="","",IF($Q66="Cancelada","Cancelada",IF($Q66="Reprovado","Reprovada",IF($Q66="Aprovado","Aprovada",IF($M66&lt;&gt;"","Entregue",IF(TODAY()&gt;$C66,"Atrasada","Pendente"))))))</f>
        <v/>
      </c>
      <c r="T66" s="88"/>
      <c r="U66" s="88"/>
      <c r="V66" s="88"/>
    </row>
    <row r="67" customFormat="false" ht="22.35" hidden="false" customHeight="false" outlineLevel="0" collapsed="false">
      <c r="A67" s="89" t="str">
        <f aca="false">IF($C67="","",$X$2&amp;"-S"&amp;INT(($C67-WEEKDAY($C67,2)+11-DATE(YEAR($C67+4-WEEKDAY($C67,2)),1,1))/7)&amp;"-MDF-T")</f>
        <v>JUL-S31-MDF-T</v>
      </c>
      <c r="B67" s="60" t="str">
        <f aca="false">IF($C67="","","S"&amp;INT(($C67-WEEKDAY($C67,2)+11-DATE(YEAR($C67+4-WEEKDAY($C67,2)),1,1))/7))</f>
        <v>S31</v>
      </c>
      <c r="C67" s="82" t="n">
        <f aca="false">EOMONTH($X$1,0)-MOD(WEEKDAY(EOMONTH($X$1,0),2)-5,7)</f>
        <v>46234</v>
      </c>
      <c r="D67" s="56" t="str">
        <f aca="false">IF($C67="","","Mudança de Função — reunião mensal")</f>
        <v>Mudança de Função — reunião mensal</v>
      </c>
      <c r="E67" s="56"/>
      <c r="F67" s="56"/>
      <c r="G67" s="60" t="str">
        <f aca="false">IF($C67="","","Todos")</f>
        <v>Todos</v>
      </c>
      <c r="H67" s="60" t="str">
        <f aca="false">IF($C67="","",IF($G67="A",CONFIG!$B$5,IF($G67="B",CONFIG!$B$6,IF($G67="C",CONFIG!$B$7,"Gerência + coordenadores"))))</f>
        <v>Gerência + coordenadores</v>
      </c>
      <c r="I67" s="60"/>
      <c r="J67" s="81" t="str">
        <f aca="false">IF($C67="","","—")</f>
        <v>—</v>
      </c>
      <c r="K67" s="83" t="str">
        <f aca="false">IF($C67="","","—")</f>
        <v>—</v>
      </c>
      <c r="L67" s="83" t="str">
        <f aca="false">IF($C67="","","—")</f>
        <v>—</v>
      </c>
      <c r="M67" s="84"/>
      <c r="N67" s="84"/>
      <c r="O67" s="84"/>
      <c r="P67" s="90"/>
      <c r="Q67" s="86"/>
      <c r="R67" s="87"/>
      <c r="S67" s="60" t="str">
        <f aca="true">IF($C67="","",IF($Q67="Cancelada","Cancelada",IF($Q67="Reprovado","Reprovada",IF($Q67="Aprovado","Aprovada",IF($M67&lt;&gt;"","Entregue",IF(TODAY()&gt;$C67,"Atrasada","Pendente"))))))</f>
        <v>Pendente</v>
      </c>
      <c r="T67" s="88"/>
      <c r="U67" s="88"/>
      <c r="V67" s="88"/>
    </row>
    <row r="69" customFormat="false" ht="15" hidden="false" customHeight="true" outlineLevel="0" collapsed="false">
      <c r="A69" s="92" t="s">
        <v>229</v>
      </c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customFormat="false" ht="22.35" hidden="false" customHeight="true" outlineLevel="0" collapsed="false">
      <c r="A70" s="80" t="str">
        <f aca="false">$X$2&amp;"-TRE-1"</f>
        <v>JUL-TRE-1</v>
      </c>
      <c r="B70" s="31" t="str">
        <f aca="false">IF($C70="","","S"&amp;INT(($C70-WEEKDAY($C70,2)+11-DATE(YEAR($C70+4-WEEKDAY($C70,2)),1,1))/7))</f>
        <v/>
      </c>
      <c r="C70" s="82"/>
      <c r="D70" s="87" t="s">
        <v>230</v>
      </c>
      <c r="E70" s="87"/>
      <c r="F70" s="87"/>
      <c r="G70" s="31" t="s">
        <v>231</v>
      </c>
      <c r="H70" s="81" t="s">
        <v>232</v>
      </c>
      <c r="I70" s="81"/>
      <c r="J70" s="31" t="s">
        <v>233</v>
      </c>
      <c r="K70" s="83" t="s">
        <v>233</v>
      </c>
      <c r="L70" s="83" t="s">
        <v>233</v>
      </c>
      <c r="M70" s="84"/>
      <c r="N70" s="84"/>
      <c r="O70" s="84"/>
      <c r="P70" s="85"/>
      <c r="Q70" s="86"/>
      <c r="R70" s="87"/>
      <c r="S70" s="81" t="str">
        <f aca="true">IF($C70="","Não agendado",IF($Q70="Cancelada","Cancelada",IF($Q70="Reprovado","Reprovada",IF($Q70="Aprovado","Aprovada",IF($M70&lt;&gt;"","Entregue",IF(TODAY()&gt;$C70,"Atrasada","Pendente"))))))</f>
        <v>Não agendado</v>
      </c>
      <c r="T70" s="88"/>
      <c r="U70" s="88"/>
      <c r="V70" s="88"/>
    </row>
    <row r="71" customFormat="false" ht="22.35" hidden="false" customHeight="true" outlineLevel="0" collapsed="false">
      <c r="A71" s="80" t="str">
        <f aca="false">$X$2&amp;"-TRE-2"</f>
        <v>JUL-TRE-2</v>
      </c>
      <c r="B71" s="31" t="str">
        <f aca="false">IF($C71="","","S"&amp;INT(($C71-WEEKDAY($C71,2)+11-DATE(YEAR($C71+4-WEEKDAY($C71,2)),1,1))/7))</f>
        <v/>
      </c>
      <c r="C71" s="82"/>
      <c r="D71" s="87" t="s">
        <v>230</v>
      </c>
      <c r="E71" s="87"/>
      <c r="F71" s="87"/>
      <c r="G71" s="31" t="s">
        <v>231</v>
      </c>
      <c r="H71" s="81" t="s">
        <v>232</v>
      </c>
      <c r="I71" s="81"/>
      <c r="J71" s="31" t="s">
        <v>233</v>
      </c>
      <c r="K71" s="83" t="s">
        <v>233</v>
      </c>
      <c r="L71" s="83" t="s">
        <v>233</v>
      </c>
      <c r="M71" s="84"/>
      <c r="N71" s="84"/>
      <c r="O71" s="84"/>
      <c r="P71" s="85"/>
      <c r="Q71" s="86"/>
      <c r="R71" s="87"/>
      <c r="S71" s="81" t="str">
        <f aca="true">IF($C71="","Não agendado",IF($Q71="Cancelada","Cancelada",IF($Q71="Reprovado","Reprovada",IF($Q71="Aprovado","Aprovada",IF($M71&lt;&gt;"","Entregue",IF(TODAY()&gt;$C71,"Atrasada","Pendente"))))))</f>
        <v>Não agendado</v>
      </c>
      <c r="T71" s="88"/>
      <c r="U71" s="88"/>
      <c r="V71" s="88"/>
    </row>
    <row r="72" customFormat="false" ht="22.35" hidden="false" customHeight="true" outlineLevel="0" collapsed="false">
      <c r="A72" s="80" t="str">
        <f aca="false">$X$2&amp;"-TRE-3"</f>
        <v>JUL-TRE-3</v>
      </c>
      <c r="B72" s="31" t="str">
        <f aca="false">IF($C72="","","S"&amp;INT(($C72-WEEKDAY($C72,2)+11-DATE(YEAR($C72+4-WEEKDAY($C72,2)),1,1))/7))</f>
        <v/>
      </c>
      <c r="C72" s="82"/>
      <c r="D72" s="87" t="s">
        <v>230</v>
      </c>
      <c r="E72" s="87"/>
      <c r="F72" s="87"/>
      <c r="G72" s="31" t="s">
        <v>231</v>
      </c>
      <c r="H72" s="81" t="s">
        <v>232</v>
      </c>
      <c r="I72" s="81"/>
      <c r="J72" s="31" t="s">
        <v>233</v>
      </c>
      <c r="K72" s="83" t="s">
        <v>233</v>
      </c>
      <c r="L72" s="83" t="s">
        <v>233</v>
      </c>
      <c r="M72" s="84"/>
      <c r="N72" s="84"/>
      <c r="O72" s="84"/>
      <c r="P72" s="85"/>
      <c r="Q72" s="86"/>
      <c r="R72" s="87"/>
      <c r="S72" s="81" t="str">
        <f aca="true">IF($C72="","Não agendado",IF($Q72="Cancelada","Cancelada",IF($Q72="Reprovado","Reprovada",IF($Q72="Aprovado","Aprovada",IF($M72&lt;&gt;"","Entregue",IF(TODAY()&gt;$C72,"Atrasada","Pendente"))))))</f>
        <v>Não agendado</v>
      </c>
      <c r="T72" s="88"/>
      <c r="U72" s="88"/>
      <c r="V72" s="88"/>
    </row>
    <row r="73" customFormat="false" ht="22.35" hidden="false" customHeight="true" outlineLevel="0" collapsed="false">
      <c r="A73" s="80" t="str">
        <f aca="false">$X$2&amp;"-TRE-4"</f>
        <v>JUL-TRE-4</v>
      </c>
      <c r="B73" s="31" t="str">
        <f aca="false">IF($C73="","","S"&amp;INT(($C73-WEEKDAY($C73,2)+11-DATE(YEAR($C73+4-WEEKDAY($C73,2)),1,1))/7))</f>
        <v/>
      </c>
      <c r="C73" s="82"/>
      <c r="D73" s="87" t="s">
        <v>230</v>
      </c>
      <c r="E73" s="87"/>
      <c r="F73" s="87"/>
      <c r="G73" s="31" t="s">
        <v>231</v>
      </c>
      <c r="H73" s="81" t="s">
        <v>232</v>
      </c>
      <c r="I73" s="81"/>
      <c r="J73" s="31" t="s">
        <v>233</v>
      </c>
      <c r="K73" s="83" t="s">
        <v>233</v>
      </c>
      <c r="L73" s="83" t="s">
        <v>233</v>
      </c>
      <c r="M73" s="84"/>
      <c r="N73" s="84"/>
      <c r="O73" s="84"/>
      <c r="P73" s="85"/>
      <c r="Q73" s="86"/>
      <c r="R73" s="87"/>
      <c r="S73" s="81" t="str">
        <f aca="true">IF($C73="","Não agendado",IF($Q73="Cancelada","Cancelada",IF($Q73="Reprovado","Reprovada",IF($Q73="Aprovado","Aprovada",IF($M73&lt;&gt;"","Entregue",IF(TODAY()&gt;$C73,"Atrasada","Pendente"))))))</f>
        <v>Não agendado</v>
      </c>
      <c r="T73" s="88"/>
      <c r="U73" s="88"/>
      <c r="V73" s="88"/>
    </row>
    <row r="74" customFormat="false" ht="22.35" hidden="false" customHeight="true" outlineLevel="0" collapsed="false">
      <c r="A74" s="80" t="str">
        <f aca="false">$X$2&amp;"-TRE-5"</f>
        <v>JUL-TRE-5</v>
      </c>
      <c r="B74" s="31" t="str">
        <f aca="false">IF($C74="","","S"&amp;INT(($C74-WEEKDAY($C74,2)+11-DATE(YEAR($C74+4-WEEKDAY($C74,2)),1,1))/7))</f>
        <v/>
      </c>
      <c r="C74" s="82"/>
      <c r="D74" s="87" t="s">
        <v>230</v>
      </c>
      <c r="E74" s="87"/>
      <c r="F74" s="87"/>
      <c r="G74" s="31" t="s">
        <v>231</v>
      </c>
      <c r="H74" s="81" t="s">
        <v>232</v>
      </c>
      <c r="I74" s="81"/>
      <c r="J74" s="31" t="s">
        <v>233</v>
      </c>
      <c r="K74" s="83" t="s">
        <v>233</v>
      </c>
      <c r="L74" s="83" t="s">
        <v>233</v>
      </c>
      <c r="M74" s="84"/>
      <c r="N74" s="84"/>
      <c r="O74" s="84"/>
      <c r="P74" s="85"/>
      <c r="Q74" s="86"/>
      <c r="R74" s="87"/>
      <c r="S74" s="81" t="str">
        <f aca="true">IF($C74="","Não agendado",IF($Q74="Cancelada","Cancelada",IF($Q74="Reprovado","Reprovada",IF($Q74="Aprovado","Aprovada",IF($M74&lt;&gt;"","Entregue",IF(TODAY()&gt;$C74,"Atrasada","Pendente"))))))</f>
        <v>Não agendado</v>
      </c>
      <c r="T74" s="88"/>
      <c r="U74" s="88"/>
      <c r="V74" s="88"/>
    </row>
    <row r="75" customFormat="false" ht="22.35" hidden="false" customHeight="true" outlineLevel="0" collapsed="false">
      <c r="A75" s="80" t="str">
        <f aca="false">$X$2&amp;"-TRE-6"</f>
        <v>JUL-TRE-6</v>
      </c>
      <c r="B75" s="31" t="str">
        <f aca="false">IF($C75="","","S"&amp;INT(($C75-WEEKDAY($C75,2)+11-DATE(YEAR($C75+4-WEEKDAY($C75,2)),1,1))/7))</f>
        <v/>
      </c>
      <c r="C75" s="82"/>
      <c r="D75" s="87" t="s">
        <v>230</v>
      </c>
      <c r="E75" s="87"/>
      <c r="F75" s="87"/>
      <c r="G75" s="31" t="s">
        <v>231</v>
      </c>
      <c r="H75" s="81" t="s">
        <v>232</v>
      </c>
      <c r="I75" s="81"/>
      <c r="J75" s="31" t="s">
        <v>233</v>
      </c>
      <c r="K75" s="83" t="s">
        <v>233</v>
      </c>
      <c r="L75" s="83" t="s">
        <v>233</v>
      </c>
      <c r="M75" s="84"/>
      <c r="N75" s="84"/>
      <c r="O75" s="84"/>
      <c r="P75" s="85"/>
      <c r="Q75" s="86"/>
      <c r="R75" s="87"/>
      <c r="S75" s="81" t="str">
        <f aca="true">IF($C75="","Não agendado",IF($Q75="Cancelada","Cancelada",IF($Q75="Reprovado","Reprovada",IF($Q75="Aprovado","Aprovada",IF($M75&lt;&gt;"","Entregue",IF(TODAY()&gt;$C75,"Atrasada","Pendente"))))))</f>
        <v>Não agendado</v>
      </c>
      <c r="T75" s="88"/>
      <c r="U75" s="88"/>
      <c r="V75" s="88"/>
    </row>
    <row r="77" customFormat="false" ht="15" hidden="false" customHeight="true" outlineLevel="0" collapsed="false">
      <c r="A77" s="46" t="s">
        <v>234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</row>
  </sheetData>
  <mergeCells count="256">
    <mergeCell ref="A1:S1"/>
    <mergeCell ref="A3:O3"/>
    <mergeCell ref="B5:C5"/>
    <mergeCell ref="D5:E5"/>
    <mergeCell ref="F5:G5"/>
    <mergeCell ref="H5:I5"/>
    <mergeCell ref="J5:K5"/>
    <mergeCell ref="L5:M5"/>
    <mergeCell ref="N5:O5"/>
    <mergeCell ref="B6:C6"/>
    <mergeCell ref="D6:E6"/>
    <mergeCell ref="F6:G6"/>
    <mergeCell ref="H6:I6"/>
    <mergeCell ref="J6:K6"/>
    <mergeCell ref="L6:M6"/>
    <mergeCell ref="N6:O6"/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O18"/>
    <mergeCell ref="A20:V20"/>
    <mergeCell ref="D21:F21"/>
    <mergeCell ref="H21:I21"/>
    <mergeCell ref="M21:O21"/>
    <mergeCell ref="D22:F22"/>
    <mergeCell ref="H22:I22"/>
    <mergeCell ref="M22:O22"/>
    <mergeCell ref="D23:F23"/>
    <mergeCell ref="H23:I23"/>
    <mergeCell ref="M23:O23"/>
    <mergeCell ref="D24:F24"/>
    <mergeCell ref="H24:I24"/>
    <mergeCell ref="M24:O24"/>
    <mergeCell ref="D25:F25"/>
    <mergeCell ref="H25:I25"/>
    <mergeCell ref="M25:O25"/>
    <mergeCell ref="D26:F26"/>
    <mergeCell ref="H26:I26"/>
    <mergeCell ref="M26:O26"/>
    <mergeCell ref="D27:F27"/>
    <mergeCell ref="H27:I27"/>
    <mergeCell ref="M27:O27"/>
    <mergeCell ref="D28:F28"/>
    <mergeCell ref="H28:I28"/>
    <mergeCell ref="M28:O28"/>
    <mergeCell ref="D29:F29"/>
    <mergeCell ref="H29:I29"/>
    <mergeCell ref="M29:O29"/>
    <mergeCell ref="D30:F30"/>
    <mergeCell ref="H30:I30"/>
    <mergeCell ref="M30:O30"/>
    <mergeCell ref="D31:F31"/>
    <mergeCell ref="H31:I31"/>
    <mergeCell ref="M31:O31"/>
    <mergeCell ref="D32:F32"/>
    <mergeCell ref="H32:I32"/>
    <mergeCell ref="M32:O32"/>
    <mergeCell ref="D33:F33"/>
    <mergeCell ref="H33:I33"/>
    <mergeCell ref="M33:O33"/>
    <mergeCell ref="D34:F34"/>
    <mergeCell ref="H34:I34"/>
    <mergeCell ref="M34:O34"/>
    <mergeCell ref="D35:F35"/>
    <mergeCell ref="H35:I35"/>
    <mergeCell ref="M35:O35"/>
    <mergeCell ref="D36:F36"/>
    <mergeCell ref="H36:I36"/>
    <mergeCell ref="M36:O36"/>
    <mergeCell ref="D37:F37"/>
    <mergeCell ref="H37:I37"/>
    <mergeCell ref="M37:O37"/>
    <mergeCell ref="D38:F38"/>
    <mergeCell ref="H38:I38"/>
    <mergeCell ref="M38:O38"/>
    <mergeCell ref="D39:F39"/>
    <mergeCell ref="H39:I39"/>
    <mergeCell ref="M39:O39"/>
    <mergeCell ref="D40:F40"/>
    <mergeCell ref="H40:I40"/>
    <mergeCell ref="M40:O40"/>
    <mergeCell ref="D41:F41"/>
    <mergeCell ref="H41:I41"/>
    <mergeCell ref="M41:O41"/>
    <mergeCell ref="D42:F42"/>
    <mergeCell ref="H42:I42"/>
    <mergeCell ref="M42:O42"/>
    <mergeCell ref="D43:F43"/>
    <mergeCell ref="H43:I43"/>
    <mergeCell ref="M43:O43"/>
    <mergeCell ref="D44:F44"/>
    <mergeCell ref="H44:I44"/>
    <mergeCell ref="M44:O44"/>
    <mergeCell ref="D45:F45"/>
    <mergeCell ref="H45:I45"/>
    <mergeCell ref="M45:O45"/>
    <mergeCell ref="D46:F46"/>
    <mergeCell ref="H46:I46"/>
    <mergeCell ref="M46:O46"/>
    <mergeCell ref="D47:F47"/>
    <mergeCell ref="H47:I47"/>
    <mergeCell ref="M47:O47"/>
    <mergeCell ref="D48:F48"/>
    <mergeCell ref="H48:I48"/>
    <mergeCell ref="M48:O48"/>
    <mergeCell ref="D49:F49"/>
    <mergeCell ref="H49:I49"/>
    <mergeCell ref="M49:O49"/>
    <mergeCell ref="D50:F50"/>
    <mergeCell ref="H50:I50"/>
    <mergeCell ref="M50:O50"/>
    <mergeCell ref="D51:F51"/>
    <mergeCell ref="H51:I51"/>
    <mergeCell ref="M51:O51"/>
    <mergeCell ref="D52:F52"/>
    <mergeCell ref="H52:I52"/>
    <mergeCell ref="M52:O52"/>
    <mergeCell ref="D53:F53"/>
    <mergeCell ref="H53:I53"/>
    <mergeCell ref="M53:O53"/>
    <mergeCell ref="D54:F54"/>
    <mergeCell ref="H54:I54"/>
    <mergeCell ref="M54:O54"/>
    <mergeCell ref="D55:F55"/>
    <mergeCell ref="H55:I55"/>
    <mergeCell ref="M55:O55"/>
    <mergeCell ref="D56:F56"/>
    <mergeCell ref="H56:I56"/>
    <mergeCell ref="M56:O56"/>
    <mergeCell ref="D57:F57"/>
    <mergeCell ref="H57:I57"/>
    <mergeCell ref="M57:O57"/>
    <mergeCell ref="D58:F58"/>
    <mergeCell ref="H58:I58"/>
    <mergeCell ref="M58:O58"/>
    <mergeCell ref="D59:F59"/>
    <mergeCell ref="H59:I59"/>
    <mergeCell ref="M59:O59"/>
    <mergeCell ref="D60:F60"/>
    <mergeCell ref="H60:I60"/>
    <mergeCell ref="M60:O60"/>
    <mergeCell ref="D61:F61"/>
    <mergeCell ref="H61:I61"/>
    <mergeCell ref="M61:O61"/>
    <mergeCell ref="D62:F62"/>
    <mergeCell ref="H62:I62"/>
    <mergeCell ref="M62:O62"/>
    <mergeCell ref="D63:F63"/>
    <mergeCell ref="H63:I63"/>
    <mergeCell ref="M63:O63"/>
    <mergeCell ref="D64:F64"/>
    <mergeCell ref="H64:I64"/>
    <mergeCell ref="M64:O64"/>
    <mergeCell ref="D65:F65"/>
    <mergeCell ref="H65:I65"/>
    <mergeCell ref="M65:O65"/>
    <mergeCell ref="D66:F66"/>
    <mergeCell ref="H66:I66"/>
    <mergeCell ref="M66:O66"/>
    <mergeCell ref="D67:F67"/>
    <mergeCell ref="H67:I67"/>
    <mergeCell ref="M67:O67"/>
    <mergeCell ref="A69:V69"/>
    <mergeCell ref="D70:F70"/>
    <mergeCell ref="H70:I70"/>
    <mergeCell ref="M70:O70"/>
    <mergeCell ref="D71:F71"/>
    <mergeCell ref="H71:I71"/>
    <mergeCell ref="M71:O71"/>
    <mergeCell ref="D72:F72"/>
    <mergeCell ref="H72:I72"/>
    <mergeCell ref="M72:O72"/>
    <mergeCell ref="D73:F73"/>
    <mergeCell ref="H73:I73"/>
    <mergeCell ref="M73:O73"/>
    <mergeCell ref="D74:F74"/>
    <mergeCell ref="H74:I74"/>
    <mergeCell ref="M74:O74"/>
    <mergeCell ref="D75:F75"/>
    <mergeCell ref="H75:I75"/>
    <mergeCell ref="M75:O75"/>
    <mergeCell ref="A77:V77"/>
  </mergeCells>
  <conditionalFormatting sqref="A3">
    <cfRule type="expression" priority="2" aboveAverage="0" equalAverage="0" bottom="0" percent="0" rank="0" text="" dxfId="11">
      <formula>LEFT($A$3,3)="MÊS"</formula>
    </cfRule>
  </conditionalFormatting>
  <conditionalFormatting sqref="B6:C7">
    <cfRule type="expression" priority="3" aboveAverage="0" equalAverage="0" bottom="0" percent="0" rank="0" text="" dxfId="12">
      <formula>AND(B6&lt;&gt;"",B6=TODAY())</formula>
    </cfRule>
    <cfRule type="expression" priority="4" aboveAverage="0" equalAverage="0" bottom="0" percent="0" rank="0" text="" dxfId="13">
      <formula>AND(B6&lt;&gt;"",COUNTIFS($C$22:$C$150,B6,$S$22:$S$150,"Atrasada")&gt;0)</formula>
    </cfRule>
    <cfRule type="expression" priority="5" aboveAverage="0" equalAverage="0" bottom="0" percent="0" rank="0" text="" dxfId="14">
      <formula>AND(B6&lt;&gt;"",COUNTIFS($C$22:$C$150,B6,$Q$22:$Q$150,"&lt;&gt;Cancelada")&gt;0)</formula>
    </cfRule>
  </conditionalFormatting>
  <conditionalFormatting sqref="D6:E7">
    <cfRule type="expression" priority="6" aboveAverage="0" equalAverage="0" bottom="0" percent="0" rank="0" text="" dxfId="12">
      <formula>AND(D6&lt;&gt;"",D6=TODAY())</formula>
    </cfRule>
    <cfRule type="expression" priority="7" aboveAverage="0" equalAverage="0" bottom="0" percent="0" rank="0" text="" dxfId="13">
      <formula>AND(D6&lt;&gt;"",COUNTIFS($C$22:$C$150,D6,$S$22:$S$150,"Atrasada")&gt;0)</formula>
    </cfRule>
    <cfRule type="expression" priority="8" aboveAverage="0" equalAverage="0" bottom="0" percent="0" rank="0" text="" dxfId="14">
      <formula>AND(D6&lt;&gt;"",COUNTIFS($C$22:$C$150,D6,$Q$22:$Q$150,"&lt;&gt;Cancelada")&gt;0)</formula>
    </cfRule>
  </conditionalFormatting>
  <conditionalFormatting sqref="F6:G7">
    <cfRule type="expression" priority="9" aboveAverage="0" equalAverage="0" bottom="0" percent="0" rank="0" text="" dxfId="12">
      <formula>AND(F6&lt;&gt;"",F6=TODAY())</formula>
    </cfRule>
    <cfRule type="expression" priority="10" aboveAverage="0" equalAverage="0" bottom="0" percent="0" rank="0" text="" dxfId="13">
      <formula>AND(F6&lt;&gt;"",COUNTIFS($C$22:$C$150,F6,$S$22:$S$150,"Atrasada")&gt;0)</formula>
    </cfRule>
    <cfRule type="expression" priority="11" aboveAverage="0" equalAverage="0" bottom="0" percent="0" rank="0" text="" dxfId="14">
      <formula>AND(F6&lt;&gt;"",COUNTIFS($C$22:$C$150,F6,$Q$22:$Q$150,"&lt;&gt;Cancelada")&gt;0)</formula>
    </cfRule>
  </conditionalFormatting>
  <conditionalFormatting sqref="H6:I7">
    <cfRule type="expression" priority="12" aboveAverage="0" equalAverage="0" bottom="0" percent="0" rank="0" text="" dxfId="12">
      <formula>AND(H6&lt;&gt;"",H6=TODAY())</formula>
    </cfRule>
    <cfRule type="expression" priority="13" aboveAverage="0" equalAverage="0" bottom="0" percent="0" rank="0" text="" dxfId="13">
      <formula>AND(H6&lt;&gt;"",COUNTIFS($C$22:$C$150,H6,$S$22:$S$150,"Atrasada")&gt;0)</formula>
    </cfRule>
    <cfRule type="expression" priority="14" aboveAverage="0" equalAverage="0" bottom="0" percent="0" rank="0" text="" dxfId="14">
      <formula>AND(H6&lt;&gt;"",COUNTIFS($C$22:$C$150,H6,$Q$22:$Q$150,"&lt;&gt;Cancelada")&gt;0)</formula>
    </cfRule>
  </conditionalFormatting>
  <conditionalFormatting sqref="J6:K7">
    <cfRule type="expression" priority="15" aboveAverage="0" equalAverage="0" bottom="0" percent="0" rank="0" text="" dxfId="12">
      <formula>AND(J6&lt;&gt;"",J6=TODAY())</formula>
    </cfRule>
    <cfRule type="expression" priority="16" aboveAverage="0" equalAverage="0" bottom="0" percent="0" rank="0" text="" dxfId="13">
      <formula>AND(J6&lt;&gt;"",COUNTIFS($C$22:$C$150,J6,$S$22:$S$150,"Atrasada")&gt;0)</formula>
    </cfRule>
    <cfRule type="expression" priority="17" aboveAverage="0" equalAverage="0" bottom="0" percent="0" rank="0" text="" dxfId="14">
      <formula>AND(J6&lt;&gt;"",COUNTIFS($C$22:$C$150,J6,$Q$22:$Q$150,"&lt;&gt;Cancelada")&gt;0)</formula>
    </cfRule>
  </conditionalFormatting>
  <conditionalFormatting sqref="L6:M7">
    <cfRule type="expression" priority="18" aboveAverage="0" equalAverage="0" bottom="0" percent="0" rank="0" text="" dxfId="12">
      <formula>AND(L6&lt;&gt;"",L6=TODAY())</formula>
    </cfRule>
    <cfRule type="expression" priority="19" aboveAverage="0" equalAverage="0" bottom="0" percent="0" rank="0" text="" dxfId="13">
      <formula>AND(L6&lt;&gt;"",COUNTIFS($C$22:$C$150,L6,$S$22:$S$150,"Atrasada")&gt;0)</formula>
    </cfRule>
    <cfRule type="expression" priority="20" aboveAverage="0" equalAverage="0" bottom="0" percent="0" rank="0" text="" dxfId="14">
      <formula>AND(L6&lt;&gt;"",COUNTIFS($C$22:$C$150,L6,$Q$22:$Q$150,"&lt;&gt;Cancelada")&gt;0)</formula>
    </cfRule>
  </conditionalFormatting>
  <conditionalFormatting sqref="N6:O7">
    <cfRule type="expression" priority="21" aboveAverage="0" equalAverage="0" bottom="0" percent="0" rank="0" text="" dxfId="12">
      <formula>AND(N6&lt;&gt;"",N6=TODAY())</formula>
    </cfRule>
    <cfRule type="expression" priority="22" aboveAverage="0" equalAverage="0" bottom="0" percent="0" rank="0" text="" dxfId="13">
      <formula>AND(N6&lt;&gt;"",COUNTIFS($C$22:$C$150,N6,$S$22:$S$150,"Atrasada")&gt;0)</formula>
    </cfRule>
    <cfRule type="expression" priority="23" aboveAverage="0" equalAverage="0" bottom="0" percent="0" rank="0" text="" dxfId="14">
      <formula>AND(N6&lt;&gt;"",COUNTIFS($C$22:$C$150,N6,$Q$22:$Q$150,"&lt;&gt;Cancelada")&gt;0)</formula>
    </cfRule>
  </conditionalFormatting>
  <conditionalFormatting sqref="B8:C9">
    <cfRule type="expression" priority="24" aboveAverage="0" equalAverage="0" bottom="0" percent="0" rank="0" text="" dxfId="12">
      <formula>AND(B8&lt;&gt;"",B8=TODAY())</formula>
    </cfRule>
    <cfRule type="expression" priority="25" aboveAverage="0" equalAverage="0" bottom="0" percent="0" rank="0" text="" dxfId="13">
      <formula>AND(B8&lt;&gt;"",COUNTIFS($C$22:$C$150,B8,$S$22:$S$150,"Atrasada")&gt;0)</formula>
    </cfRule>
    <cfRule type="expression" priority="26" aboveAverage="0" equalAverage="0" bottom="0" percent="0" rank="0" text="" dxfId="14">
      <formula>AND(B8&lt;&gt;"",COUNTIFS($C$22:$C$150,B8,$Q$22:$Q$150,"&lt;&gt;Cancelada")&gt;0)</formula>
    </cfRule>
  </conditionalFormatting>
  <conditionalFormatting sqref="D8:E9">
    <cfRule type="expression" priority="27" aboveAverage="0" equalAverage="0" bottom="0" percent="0" rank="0" text="" dxfId="12">
      <formula>AND(D8&lt;&gt;"",D8=TODAY())</formula>
    </cfRule>
    <cfRule type="expression" priority="28" aboveAverage="0" equalAverage="0" bottom="0" percent="0" rank="0" text="" dxfId="13">
      <formula>AND(D8&lt;&gt;"",COUNTIFS($C$22:$C$150,D8,$S$22:$S$150,"Atrasada")&gt;0)</formula>
    </cfRule>
    <cfRule type="expression" priority="29" aboveAverage="0" equalAverage="0" bottom="0" percent="0" rank="0" text="" dxfId="14">
      <formula>AND(D8&lt;&gt;"",COUNTIFS($C$22:$C$150,D8,$Q$22:$Q$150,"&lt;&gt;Cancelada")&gt;0)</formula>
    </cfRule>
  </conditionalFormatting>
  <conditionalFormatting sqref="F8:G9">
    <cfRule type="expression" priority="30" aboveAverage="0" equalAverage="0" bottom="0" percent="0" rank="0" text="" dxfId="12">
      <formula>AND(F8&lt;&gt;"",F8=TODAY())</formula>
    </cfRule>
    <cfRule type="expression" priority="31" aboveAverage="0" equalAverage="0" bottom="0" percent="0" rank="0" text="" dxfId="13">
      <formula>AND(F8&lt;&gt;"",COUNTIFS($C$22:$C$150,F8,$S$22:$S$150,"Atrasada")&gt;0)</formula>
    </cfRule>
    <cfRule type="expression" priority="32" aboveAverage="0" equalAverage="0" bottom="0" percent="0" rank="0" text="" dxfId="14">
      <formula>AND(F8&lt;&gt;"",COUNTIFS($C$22:$C$150,F8,$Q$22:$Q$150,"&lt;&gt;Cancelada")&gt;0)</formula>
    </cfRule>
  </conditionalFormatting>
  <conditionalFormatting sqref="H8:I9">
    <cfRule type="expression" priority="33" aboveAverage="0" equalAverage="0" bottom="0" percent="0" rank="0" text="" dxfId="12">
      <formula>AND(H8&lt;&gt;"",H8=TODAY())</formula>
    </cfRule>
    <cfRule type="expression" priority="34" aboveAverage="0" equalAverage="0" bottom="0" percent="0" rank="0" text="" dxfId="13">
      <formula>AND(H8&lt;&gt;"",COUNTIFS($C$22:$C$150,H8,$S$22:$S$150,"Atrasada")&gt;0)</formula>
    </cfRule>
    <cfRule type="expression" priority="35" aboveAverage="0" equalAverage="0" bottom="0" percent="0" rank="0" text="" dxfId="14">
      <formula>AND(H8&lt;&gt;"",COUNTIFS($C$22:$C$150,H8,$Q$22:$Q$150,"&lt;&gt;Cancelada")&gt;0)</formula>
    </cfRule>
  </conditionalFormatting>
  <conditionalFormatting sqref="J8:K9">
    <cfRule type="expression" priority="36" aboveAverage="0" equalAverage="0" bottom="0" percent="0" rank="0" text="" dxfId="12">
      <formula>AND(J8&lt;&gt;"",J8=TODAY())</formula>
    </cfRule>
    <cfRule type="expression" priority="37" aboveAverage="0" equalAverage="0" bottom="0" percent="0" rank="0" text="" dxfId="13">
      <formula>AND(J8&lt;&gt;"",COUNTIFS($C$22:$C$150,J8,$S$22:$S$150,"Atrasada")&gt;0)</formula>
    </cfRule>
    <cfRule type="expression" priority="38" aboveAverage="0" equalAverage="0" bottom="0" percent="0" rank="0" text="" dxfId="14">
      <formula>AND(J8&lt;&gt;"",COUNTIFS($C$22:$C$150,J8,$Q$22:$Q$150,"&lt;&gt;Cancelada")&gt;0)</formula>
    </cfRule>
  </conditionalFormatting>
  <conditionalFormatting sqref="L8:M9">
    <cfRule type="expression" priority="39" aboveAverage="0" equalAverage="0" bottom="0" percent="0" rank="0" text="" dxfId="12">
      <formula>AND(L8&lt;&gt;"",L8=TODAY())</formula>
    </cfRule>
    <cfRule type="expression" priority="40" aboveAverage="0" equalAverage="0" bottom="0" percent="0" rank="0" text="" dxfId="13">
      <formula>AND(L8&lt;&gt;"",COUNTIFS($C$22:$C$150,L8,$S$22:$S$150,"Atrasada")&gt;0)</formula>
    </cfRule>
    <cfRule type="expression" priority="41" aboveAverage="0" equalAverage="0" bottom="0" percent="0" rank="0" text="" dxfId="14">
      <formula>AND(L8&lt;&gt;"",COUNTIFS($C$22:$C$150,L8,$Q$22:$Q$150,"&lt;&gt;Cancelada")&gt;0)</formula>
    </cfRule>
  </conditionalFormatting>
  <conditionalFormatting sqref="N8:O9">
    <cfRule type="expression" priority="42" aboveAverage="0" equalAverage="0" bottom="0" percent="0" rank="0" text="" dxfId="12">
      <formula>AND(N8&lt;&gt;"",N8=TODAY())</formula>
    </cfRule>
    <cfRule type="expression" priority="43" aboveAverage="0" equalAverage="0" bottom="0" percent="0" rank="0" text="" dxfId="13">
      <formula>AND(N8&lt;&gt;"",COUNTIFS($C$22:$C$150,N8,$S$22:$S$150,"Atrasada")&gt;0)</formula>
    </cfRule>
    <cfRule type="expression" priority="44" aboveAverage="0" equalAverage="0" bottom="0" percent="0" rank="0" text="" dxfId="14">
      <formula>AND(N8&lt;&gt;"",COUNTIFS($C$22:$C$150,N8,$Q$22:$Q$150,"&lt;&gt;Cancelada")&gt;0)</formula>
    </cfRule>
  </conditionalFormatting>
  <conditionalFormatting sqref="B10:C11">
    <cfRule type="expression" priority="45" aboveAverage="0" equalAverage="0" bottom="0" percent="0" rank="0" text="" dxfId="12">
      <formula>AND(B10&lt;&gt;"",B10=TODAY())</formula>
    </cfRule>
    <cfRule type="expression" priority="46" aboveAverage="0" equalAverage="0" bottom="0" percent="0" rank="0" text="" dxfId="13">
      <formula>AND(B10&lt;&gt;"",COUNTIFS($C$22:$C$150,B10,$S$22:$S$150,"Atrasada")&gt;0)</formula>
    </cfRule>
    <cfRule type="expression" priority="47" aboveAverage="0" equalAverage="0" bottom="0" percent="0" rank="0" text="" dxfId="14">
      <formula>AND(B10&lt;&gt;"",COUNTIFS($C$22:$C$150,B10,$Q$22:$Q$150,"&lt;&gt;Cancelada")&gt;0)</formula>
    </cfRule>
  </conditionalFormatting>
  <conditionalFormatting sqref="D10:E11">
    <cfRule type="expression" priority="48" aboveAverage="0" equalAverage="0" bottom="0" percent="0" rank="0" text="" dxfId="12">
      <formula>AND(D10&lt;&gt;"",D10=TODAY())</formula>
    </cfRule>
    <cfRule type="expression" priority="49" aboveAverage="0" equalAverage="0" bottom="0" percent="0" rank="0" text="" dxfId="13">
      <formula>AND(D10&lt;&gt;"",COUNTIFS($C$22:$C$150,D10,$S$22:$S$150,"Atrasada")&gt;0)</formula>
    </cfRule>
    <cfRule type="expression" priority="50" aboveAverage="0" equalAverage="0" bottom="0" percent="0" rank="0" text="" dxfId="14">
      <formula>AND(D10&lt;&gt;"",COUNTIFS($C$22:$C$150,D10,$Q$22:$Q$150,"&lt;&gt;Cancelada")&gt;0)</formula>
    </cfRule>
  </conditionalFormatting>
  <conditionalFormatting sqref="F10:G11">
    <cfRule type="expression" priority="51" aboveAverage="0" equalAverage="0" bottom="0" percent="0" rank="0" text="" dxfId="12">
      <formula>AND(F10&lt;&gt;"",F10=TODAY())</formula>
    </cfRule>
    <cfRule type="expression" priority="52" aboveAverage="0" equalAverage="0" bottom="0" percent="0" rank="0" text="" dxfId="13">
      <formula>AND(F10&lt;&gt;"",COUNTIFS($C$22:$C$150,F10,$S$22:$S$150,"Atrasada")&gt;0)</formula>
    </cfRule>
    <cfRule type="expression" priority="53" aboveAverage="0" equalAverage="0" bottom="0" percent="0" rank="0" text="" dxfId="14">
      <formula>AND(F10&lt;&gt;"",COUNTIFS($C$22:$C$150,F10,$Q$22:$Q$150,"&lt;&gt;Cancelada")&gt;0)</formula>
    </cfRule>
  </conditionalFormatting>
  <conditionalFormatting sqref="H10:I11">
    <cfRule type="expression" priority="54" aboveAverage="0" equalAverage="0" bottom="0" percent="0" rank="0" text="" dxfId="12">
      <formula>AND(H10&lt;&gt;"",H10=TODAY())</formula>
    </cfRule>
    <cfRule type="expression" priority="55" aboveAverage="0" equalAverage="0" bottom="0" percent="0" rank="0" text="" dxfId="13">
      <formula>AND(H10&lt;&gt;"",COUNTIFS($C$22:$C$150,H10,$S$22:$S$150,"Atrasada")&gt;0)</formula>
    </cfRule>
    <cfRule type="expression" priority="56" aboveAverage="0" equalAverage="0" bottom="0" percent="0" rank="0" text="" dxfId="14">
      <formula>AND(H10&lt;&gt;"",COUNTIFS($C$22:$C$150,H10,$Q$22:$Q$150,"&lt;&gt;Cancelada")&gt;0)</formula>
    </cfRule>
  </conditionalFormatting>
  <conditionalFormatting sqref="J10:K11">
    <cfRule type="expression" priority="57" aboveAverage="0" equalAverage="0" bottom="0" percent="0" rank="0" text="" dxfId="12">
      <formula>AND(J10&lt;&gt;"",J10=TODAY())</formula>
    </cfRule>
    <cfRule type="expression" priority="58" aboveAverage="0" equalAverage="0" bottom="0" percent="0" rank="0" text="" dxfId="13">
      <formula>AND(J10&lt;&gt;"",COUNTIFS($C$22:$C$150,J10,$S$22:$S$150,"Atrasada")&gt;0)</formula>
    </cfRule>
    <cfRule type="expression" priority="59" aboveAverage="0" equalAverage="0" bottom="0" percent="0" rank="0" text="" dxfId="14">
      <formula>AND(J10&lt;&gt;"",COUNTIFS($C$22:$C$150,J10,$Q$22:$Q$150,"&lt;&gt;Cancelada")&gt;0)</formula>
    </cfRule>
  </conditionalFormatting>
  <conditionalFormatting sqref="L10:M11">
    <cfRule type="expression" priority="60" aboveAverage="0" equalAverage="0" bottom="0" percent="0" rank="0" text="" dxfId="12">
      <formula>AND(L10&lt;&gt;"",L10=TODAY())</formula>
    </cfRule>
    <cfRule type="expression" priority="61" aboveAverage="0" equalAverage="0" bottom="0" percent="0" rank="0" text="" dxfId="13">
      <formula>AND(L10&lt;&gt;"",COUNTIFS($C$22:$C$150,L10,$S$22:$S$150,"Atrasada")&gt;0)</formula>
    </cfRule>
    <cfRule type="expression" priority="62" aboveAverage="0" equalAverage="0" bottom="0" percent="0" rank="0" text="" dxfId="14">
      <formula>AND(L10&lt;&gt;"",COUNTIFS($C$22:$C$150,L10,$Q$22:$Q$150,"&lt;&gt;Cancelada")&gt;0)</formula>
    </cfRule>
  </conditionalFormatting>
  <conditionalFormatting sqref="N10:O11">
    <cfRule type="expression" priority="63" aboveAverage="0" equalAverage="0" bottom="0" percent="0" rank="0" text="" dxfId="12">
      <formula>AND(N10&lt;&gt;"",N10=TODAY())</formula>
    </cfRule>
    <cfRule type="expression" priority="64" aboveAverage="0" equalAverage="0" bottom="0" percent="0" rank="0" text="" dxfId="13">
      <formula>AND(N10&lt;&gt;"",COUNTIFS($C$22:$C$150,N10,$S$22:$S$150,"Atrasada")&gt;0)</formula>
    </cfRule>
    <cfRule type="expression" priority="65" aboveAverage="0" equalAverage="0" bottom="0" percent="0" rank="0" text="" dxfId="14">
      <formula>AND(N10&lt;&gt;"",COUNTIFS($C$22:$C$150,N10,$Q$22:$Q$150,"&lt;&gt;Cancelada")&gt;0)</formula>
    </cfRule>
  </conditionalFormatting>
  <conditionalFormatting sqref="B12:C13">
    <cfRule type="expression" priority="66" aboveAverage="0" equalAverage="0" bottom="0" percent="0" rank="0" text="" dxfId="12">
      <formula>AND(B12&lt;&gt;"",B12=TODAY())</formula>
    </cfRule>
    <cfRule type="expression" priority="67" aboveAverage="0" equalAverage="0" bottom="0" percent="0" rank="0" text="" dxfId="13">
      <formula>AND(B12&lt;&gt;"",COUNTIFS($C$22:$C$150,B12,$S$22:$S$150,"Atrasada")&gt;0)</formula>
    </cfRule>
    <cfRule type="expression" priority="68" aboveAverage="0" equalAverage="0" bottom="0" percent="0" rank="0" text="" dxfId="14">
      <formula>AND(B12&lt;&gt;"",COUNTIFS($C$22:$C$150,B12,$Q$22:$Q$150,"&lt;&gt;Cancelada")&gt;0)</formula>
    </cfRule>
  </conditionalFormatting>
  <conditionalFormatting sqref="D12:E13">
    <cfRule type="expression" priority="69" aboveAverage="0" equalAverage="0" bottom="0" percent="0" rank="0" text="" dxfId="12">
      <formula>AND(D12&lt;&gt;"",D12=TODAY())</formula>
    </cfRule>
    <cfRule type="expression" priority="70" aboveAverage="0" equalAverage="0" bottom="0" percent="0" rank="0" text="" dxfId="13">
      <formula>AND(D12&lt;&gt;"",COUNTIFS($C$22:$C$150,D12,$S$22:$S$150,"Atrasada")&gt;0)</formula>
    </cfRule>
    <cfRule type="expression" priority="71" aboveAverage="0" equalAverage="0" bottom="0" percent="0" rank="0" text="" dxfId="14">
      <formula>AND(D12&lt;&gt;"",COUNTIFS($C$22:$C$150,D12,$Q$22:$Q$150,"&lt;&gt;Cancelada")&gt;0)</formula>
    </cfRule>
  </conditionalFormatting>
  <conditionalFormatting sqref="F12:G13">
    <cfRule type="expression" priority="72" aboveAverage="0" equalAverage="0" bottom="0" percent="0" rank="0" text="" dxfId="12">
      <formula>AND(F12&lt;&gt;"",F12=TODAY())</formula>
    </cfRule>
    <cfRule type="expression" priority="73" aboveAverage="0" equalAverage="0" bottom="0" percent="0" rank="0" text="" dxfId="13">
      <formula>AND(F12&lt;&gt;"",COUNTIFS($C$22:$C$150,F12,$S$22:$S$150,"Atrasada")&gt;0)</formula>
    </cfRule>
    <cfRule type="expression" priority="74" aboveAverage="0" equalAverage="0" bottom="0" percent="0" rank="0" text="" dxfId="14">
      <formula>AND(F12&lt;&gt;"",COUNTIFS($C$22:$C$150,F12,$Q$22:$Q$150,"&lt;&gt;Cancelada")&gt;0)</formula>
    </cfRule>
  </conditionalFormatting>
  <conditionalFormatting sqref="H12:I13">
    <cfRule type="expression" priority="75" aboveAverage="0" equalAverage="0" bottom="0" percent="0" rank="0" text="" dxfId="12">
      <formula>AND(H12&lt;&gt;"",H12=TODAY())</formula>
    </cfRule>
    <cfRule type="expression" priority="76" aboveAverage="0" equalAverage="0" bottom="0" percent="0" rank="0" text="" dxfId="13">
      <formula>AND(H12&lt;&gt;"",COUNTIFS($C$22:$C$150,H12,$S$22:$S$150,"Atrasada")&gt;0)</formula>
    </cfRule>
    <cfRule type="expression" priority="77" aboveAverage="0" equalAverage="0" bottom="0" percent="0" rank="0" text="" dxfId="14">
      <formula>AND(H12&lt;&gt;"",COUNTIFS($C$22:$C$150,H12,$Q$22:$Q$150,"&lt;&gt;Cancelada")&gt;0)</formula>
    </cfRule>
  </conditionalFormatting>
  <conditionalFormatting sqref="J12:K13">
    <cfRule type="expression" priority="78" aboveAverage="0" equalAverage="0" bottom="0" percent="0" rank="0" text="" dxfId="12">
      <formula>AND(J12&lt;&gt;"",J12=TODAY())</formula>
    </cfRule>
    <cfRule type="expression" priority="79" aboveAverage="0" equalAverage="0" bottom="0" percent="0" rank="0" text="" dxfId="13">
      <formula>AND(J12&lt;&gt;"",COUNTIFS($C$22:$C$150,J12,$S$22:$S$150,"Atrasada")&gt;0)</formula>
    </cfRule>
    <cfRule type="expression" priority="80" aboveAverage="0" equalAverage="0" bottom="0" percent="0" rank="0" text="" dxfId="14">
      <formula>AND(J12&lt;&gt;"",COUNTIFS($C$22:$C$150,J12,$Q$22:$Q$150,"&lt;&gt;Cancelada")&gt;0)</formula>
    </cfRule>
  </conditionalFormatting>
  <conditionalFormatting sqref="L12:M13">
    <cfRule type="expression" priority="81" aboveAverage="0" equalAverage="0" bottom="0" percent="0" rank="0" text="" dxfId="12">
      <formula>AND(L12&lt;&gt;"",L12=TODAY())</formula>
    </cfRule>
    <cfRule type="expression" priority="82" aboveAverage="0" equalAverage="0" bottom="0" percent="0" rank="0" text="" dxfId="13">
      <formula>AND(L12&lt;&gt;"",COUNTIFS($C$22:$C$150,L12,$S$22:$S$150,"Atrasada")&gt;0)</formula>
    </cfRule>
    <cfRule type="expression" priority="83" aboveAverage="0" equalAverage="0" bottom="0" percent="0" rank="0" text="" dxfId="14">
      <formula>AND(L12&lt;&gt;"",COUNTIFS($C$22:$C$150,L12,$Q$22:$Q$150,"&lt;&gt;Cancelada")&gt;0)</formula>
    </cfRule>
  </conditionalFormatting>
  <conditionalFormatting sqref="N12:O13">
    <cfRule type="expression" priority="84" aboveAverage="0" equalAverage="0" bottom="0" percent="0" rank="0" text="" dxfId="12">
      <formula>AND(N12&lt;&gt;"",N12=TODAY())</formula>
    </cfRule>
    <cfRule type="expression" priority="85" aboveAverage="0" equalAverage="0" bottom="0" percent="0" rank="0" text="" dxfId="13">
      <formula>AND(N12&lt;&gt;"",COUNTIFS($C$22:$C$150,N12,$S$22:$S$150,"Atrasada")&gt;0)</formula>
    </cfRule>
    <cfRule type="expression" priority="86" aboveAverage="0" equalAverage="0" bottom="0" percent="0" rank="0" text="" dxfId="14">
      <formula>AND(N12&lt;&gt;"",COUNTIFS($C$22:$C$150,N12,$Q$22:$Q$150,"&lt;&gt;Cancelada")&gt;0)</formula>
    </cfRule>
  </conditionalFormatting>
  <conditionalFormatting sqref="B14:C15">
    <cfRule type="expression" priority="87" aboveAverage="0" equalAverage="0" bottom="0" percent="0" rank="0" text="" dxfId="12">
      <formula>AND(B14&lt;&gt;"",B14=TODAY())</formula>
    </cfRule>
    <cfRule type="expression" priority="88" aboveAverage="0" equalAverage="0" bottom="0" percent="0" rank="0" text="" dxfId="13">
      <formula>AND(B14&lt;&gt;"",COUNTIFS($C$22:$C$150,B14,$S$22:$S$150,"Atrasada")&gt;0)</formula>
    </cfRule>
    <cfRule type="expression" priority="89" aboveAverage="0" equalAverage="0" bottom="0" percent="0" rank="0" text="" dxfId="14">
      <formula>AND(B14&lt;&gt;"",COUNTIFS($C$22:$C$150,B14,$Q$22:$Q$150,"&lt;&gt;Cancelada")&gt;0)</formula>
    </cfRule>
  </conditionalFormatting>
  <conditionalFormatting sqref="D14:E15">
    <cfRule type="expression" priority="90" aboveAverage="0" equalAverage="0" bottom="0" percent="0" rank="0" text="" dxfId="12">
      <formula>AND(D14&lt;&gt;"",D14=TODAY())</formula>
    </cfRule>
    <cfRule type="expression" priority="91" aboveAverage="0" equalAverage="0" bottom="0" percent="0" rank="0" text="" dxfId="13">
      <formula>AND(D14&lt;&gt;"",COUNTIFS($C$22:$C$150,D14,$S$22:$S$150,"Atrasada")&gt;0)</formula>
    </cfRule>
    <cfRule type="expression" priority="92" aboveAverage="0" equalAverage="0" bottom="0" percent="0" rank="0" text="" dxfId="14">
      <formula>AND(D14&lt;&gt;"",COUNTIFS($C$22:$C$150,D14,$Q$22:$Q$150,"&lt;&gt;Cancelada")&gt;0)</formula>
    </cfRule>
  </conditionalFormatting>
  <conditionalFormatting sqref="F14:G15">
    <cfRule type="expression" priority="93" aboveAverage="0" equalAverage="0" bottom="0" percent="0" rank="0" text="" dxfId="12">
      <formula>AND(F14&lt;&gt;"",F14=TODAY())</formula>
    </cfRule>
    <cfRule type="expression" priority="94" aboveAverage="0" equalAverage="0" bottom="0" percent="0" rank="0" text="" dxfId="13">
      <formula>AND(F14&lt;&gt;"",COUNTIFS($C$22:$C$150,F14,$S$22:$S$150,"Atrasada")&gt;0)</formula>
    </cfRule>
    <cfRule type="expression" priority="95" aboveAverage="0" equalAverage="0" bottom="0" percent="0" rank="0" text="" dxfId="14">
      <formula>AND(F14&lt;&gt;"",COUNTIFS($C$22:$C$150,F14,$Q$22:$Q$150,"&lt;&gt;Cancelada")&gt;0)</formula>
    </cfRule>
  </conditionalFormatting>
  <conditionalFormatting sqref="H14:I15">
    <cfRule type="expression" priority="96" aboveAverage="0" equalAverage="0" bottom="0" percent="0" rank="0" text="" dxfId="12">
      <formula>AND(H14&lt;&gt;"",H14=TODAY())</formula>
    </cfRule>
    <cfRule type="expression" priority="97" aboveAverage="0" equalAverage="0" bottom="0" percent="0" rank="0" text="" dxfId="13">
      <formula>AND(H14&lt;&gt;"",COUNTIFS($C$22:$C$150,H14,$S$22:$S$150,"Atrasada")&gt;0)</formula>
    </cfRule>
    <cfRule type="expression" priority="98" aboveAverage="0" equalAverage="0" bottom="0" percent="0" rank="0" text="" dxfId="14">
      <formula>AND(H14&lt;&gt;"",COUNTIFS($C$22:$C$150,H14,$Q$22:$Q$150,"&lt;&gt;Cancelada")&gt;0)</formula>
    </cfRule>
  </conditionalFormatting>
  <conditionalFormatting sqref="J14:K15">
    <cfRule type="expression" priority="99" aboveAverage="0" equalAverage="0" bottom="0" percent="0" rank="0" text="" dxfId="12">
      <formula>AND(J14&lt;&gt;"",J14=TODAY())</formula>
    </cfRule>
    <cfRule type="expression" priority="100" aboveAverage="0" equalAverage="0" bottom="0" percent="0" rank="0" text="" dxfId="13">
      <formula>AND(J14&lt;&gt;"",COUNTIFS($C$22:$C$150,J14,$S$22:$S$150,"Atrasada")&gt;0)</formula>
    </cfRule>
    <cfRule type="expression" priority="101" aboveAverage="0" equalAverage="0" bottom="0" percent="0" rank="0" text="" dxfId="14">
      <formula>AND(J14&lt;&gt;"",COUNTIFS($C$22:$C$150,J14,$Q$22:$Q$150,"&lt;&gt;Cancelada")&gt;0)</formula>
    </cfRule>
  </conditionalFormatting>
  <conditionalFormatting sqref="L14:M15">
    <cfRule type="expression" priority="102" aboveAverage="0" equalAverage="0" bottom="0" percent="0" rank="0" text="" dxfId="12">
      <formula>AND(L14&lt;&gt;"",L14=TODAY())</formula>
    </cfRule>
    <cfRule type="expression" priority="103" aboveAverage="0" equalAverage="0" bottom="0" percent="0" rank="0" text="" dxfId="13">
      <formula>AND(L14&lt;&gt;"",COUNTIFS($C$22:$C$150,L14,$S$22:$S$150,"Atrasada")&gt;0)</formula>
    </cfRule>
    <cfRule type="expression" priority="104" aboveAverage="0" equalAverage="0" bottom="0" percent="0" rank="0" text="" dxfId="14">
      <formula>AND(L14&lt;&gt;"",COUNTIFS($C$22:$C$150,L14,$Q$22:$Q$150,"&lt;&gt;Cancelada")&gt;0)</formula>
    </cfRule>
  </conditionalFormatting>
  <conditionalFormatting sqref="N14:O15">
    <cfRule type="expression" priority="105" aboveAverage="0" equalAverage="0" bottom="0" percent="0" rank="0" text="" dxfId="12">
      <formula>AND(N14&lt;&gt;"",N14=TODAY())</formula>
    </cfRule>
    <cfRule type="expression" priority="106" aboveAverage="0" equalAverage="0" bottom="0" percent="0" rank="0" text="" dxfId="13">
      <formula>AND(N14&lt;&gt;"",COUNTIFS($C$22:$C$150,N14,$S$22:$S$150,"Atrasada")&gt;0)</formula>
    </cfRule>
    <cfRule type="expression" priority="107" aboveAverage="0" equalAverage="0" bottom="0" percent="0" rank="0" text="" dxfId="14">
      <formula>AND(N14&lt;&gt;"",COUNTIFS($C$22:$C$150,N14,$Q$22:$Q$150,"&lt;&gt;Cancelada")&gt;0)</formula>
    </cfRule>
  </conditionalFormatting>
  <conditionalFormatting sqref="B16:C17">
    <cfRule type="expression" priority="108" aboveAverage="0" equalAverage="0" bottom="0" percent="0" rank="0" text="" dxfId="12">
      <formula>AND(B16&lt;&gt;"",B16=TODAY())</formula>
    </cfRule>
    <cfRule type="expression" priority="109" aboveAverage="0" equalAverage="0" bottom="0" percent="0" rank="0" text="" dxfId="13">
      <formula>AND(B16&lt;&gt;"",COUNTIFS($C$22:$C$150,B16,$S$22:$S$150,"Atrasada")&gt;0)</formula>
    </cfRule>
    <cfRule type="expression" priority="110" aboveAverage="0" equalAverage="0" bottom="0" percent="0" rank="0" text="" dxfId="14">
      <formula>AND(B16&lt;&gt;"",COUNTIFS($C$22:$C$150,B16,$Q$22:$Q$150,"&lt;&gt;Cancelada")&gt;0)</formula>
    </cfRule>
  </conditionalFormatting>
  <conditionalFormatting sqref="D16:E17">
    <cfRule type="expression" priority="111" aboveAverage="0" equalAverage="0" bottom="0" percent="0" rank="0" text="" dxfId="12">
      <formula>AND(D16&lt;&gt;"",D16=TODAY())</formula>
    </cfRule>
    <cfRule type="expression" priority="112" aboveAverage="0" equalAverage="0" bottom="0" percent="0" rank="0" text="" dxfId="13">
      <formula>AND(D16&lt;&gt;"",COUNTIFS($C$22:$C$150,D16,$S$22:$S$150,"Atrasada")&gt;0)</formula>
    </cfRule>
    <cfRule type="expression" priority="113" aboveAverage="0" equalAverage="0" bottom="0" percent="0" rank="0" text="" dxfId="14">
      <formula>AND(D16&lt;&gt;"",COUNTIFS($C$22:$C$150,D16,$Q$22:$Q$150,"&lt;&gt;Cancelada")&gt;0)</formula>
    </cfRule>
  </conditionalFormatting>
  <conditionalFormatting sqref="F16:G17">
    <cfRule type="expression" priority="114" aboveAverage="0" equalAverage="0" bottom="0" percent="0" rank="0" text="" dxfId="12">
      <formula>AND(F16&lt;&gt;"",F16=TODAY())</formula>
    </cfRule>
    <cfRule type="expression" priority="115" aboveAverage="0" equalAverage="0" bottom="0" percent="0" rank="0" text="" dxfId="13">
      <formula>AND(F16&lt;&gt;"",COUNTIFS($C$22:$C$150,F16,$S$22:$S$150,"Atrasada")&gt;0)</formula>
    </cfRule>
    <cfRule type="expression" priority="116" aboveAverage="0" equalAverage="0" bottom="0" percent="0" rank="0" text="" dxfId="14">
      <formula>AND(F16&lt;&gt;"",COUNTIFS($C$22:$C$150,F16,$Q$22:$Q$150,"&lt;&gt;Cancelada")&gt;0)</formula>
    </cfRule>
  </conditionalFormatting>
  <conditionalFormatting sqref="H16:I17">
    <cfRule type="expression" priority="117" aboveAverage="0" equalAverage="0" bottom="0" percent="0" rank="0" text="" dxfId="12">
      <formula>AND(H16&lt;&gt;"",H16=TODAY())</formula>
    </cfRule>
    <cfRule type="expression" priority="118" aboveAverage="0" equalAverage="0" bottom="0" percent="0" rank="0" text="" dxfId="13">
      <formula>AND(H16&lt;&gt;"",COUNTIFS($C$22:$C$150,H16,$S$22:$S$150,"Atrasada")&gt;0)</formula>
    </cfRule>
    <cfRule type="expression" priority="119" aboveAverage="0" equalAverage="0" bottom="0" percent="0" rank="0" text="" dxfId="14">
      <formula>AND(H16&lt;&gt;"",COUNTIFS($C$22:$C$150,H16,$Q$22:$Q$150,"&lt;&gt;Cancelada")&gt;0)</formula>
    </cfRule>
  </conditionalFormatting>
  <conditionalFormatting sqref="J16:K17">
    <cfRule type="expression" priority="120" aboveAverage="0" equalAverage="0" bottom="0" percent="0" rank="0" text="" dxfId="12">
      <formula>AND(J16&lt;&gt;"",J16=TODAY())</formula>
    </cfRule>
    <cfRule type="expression" priority="121" aboveAverage="0" equalAverage="0" bottom="0" percent="0" rank="0" text="" dxfId="13">
      <formula>AND(J16&lt;&gt;"",COUNTIFS($C$22:$C$150,J16,$S$22:$S$150,"Atrasada")&gt;0)</formula>
    </cfRule>
    <cfRule type="expression" priority="122" aboveAverage="0" equalAverage="0" bottom="0" percent="0" rank="0" text="" dxfId="14">
      <formula>AND(J16&lt;&gt;"",COUNTIFS($C$22:$C$150,J16,$Q$22:$Q$150,"&lt;&gt;Cancelada")&gt;0)</formula>
    </cfRule>
  </conditionalFormatting>
  <conditionalFormatting sqref="L16:M17">
    <cfRule type="expression" priority="123" aboveAverage="0" equalAverage="0" bottom="0" percent="0" rank="0" text="" dxfId="12">
      <formula>AND(L16&lt;&gt;"",L16=TODAY())</formula>
    </cfRule>
    <cfRule type="expression" priority="124" aboveAverage="0" equalAverage="0" bottom="0" percent="0" rank="0" text="" dxfId="13">
      <formula>AND(L16&lt;&gt;"",COUNTIFS($C$22:$C$150,L16,$S$22:$S$150,"Atrasada")&gt;0)</formula>
    </cfRule>
    <cfRule type="expression" priority="125" aboveAverage="0" equalAverage="0" bottom="0" percent="0" rank="0" text="" dxfId="14">
      <formula>AND(L16&lt;&gt;"",COUNTIFS($C$22:$C$150,L16,$Q$22:$Q$150,"&lt;&gt;Cancelada")&gt;0)</formula>
    </cfRule>
  </conditionalFormatting>
  <conditionalFormatting sqref="N16:O17">
    <cfRule type="expression" priority="126" aboveAverage="0" equalAverage="0" bottom="0" percent="0" rank="0" text="" dxfId="12">
      <formula>AND(N16&lt;&gt;"",N16=TODAY())</formula>
    </cfRule>
    <cfRule type="expression" priority="127" aboveAverage="0" equalAverage="0" bottom="0" percent="0" rank="0" text="" dxfId="13">
      <formula>AND(N16&lt;&gt;"",COUNTIFS($C$22:$C$150,N16,$S$22:$S$150,"Atrasada")&gt;0)</formula>
    </cfRule>
    <cfRule type="expression" priority="128" aboveAverage="0" equalAverage="0" bottom="0" percent="0" rank="0" text="" dxfId="14">
      <formula>AND(N16&lt;&gt;"",COUNTIFS($C$22:$C$150,N16,$Q$22:$Q$150,"&lt;&gt;Cancelada")&gt;0)</formula>
    </cfRule>
  </conditionalFormatting>
  <conditionalFormatting sqref="A22:I67">
    <cfRule type="expression" priority="129" aboveAverage="0" equalAverage="0" bottom="0" percent="0" rank="0" text="" dxfId="15">
      <formula>ISNUMBER(SEARCH("-REU-",$A22))</formula>
    </cfRule>
  </conditionalFormatting>
  <conditionalFormatting sqref="S22:S150">
    <cfRule type="expression" priority="130" aboveAverage="0" equalAverage="0" bottom="0" percent="0" rank="0" text="" dxfId="16">
      <formula>$S22="Aprovada"</formula>
    </cfRule>
    <cfRule type="expression" priority="131" aboveAverage="0" equalAverage="0" bottom="0" percent="0" rank="0" text="" dxfId="17">
      <formula>$S22="Entregue"</formula>
    </cfRule>
    <cfRule type="expression" priority="132" aboveAverage="0" equalAverage="0" bottom="0" percent="0" rank="0" text="" dxfId="18">
      <formula>$S22="Atrasada"</formula>
    </cfRule>
    <cfRule type="expression" priority="133" aboveAverage="0" equalAverage="0" bottom="0" percent="0" rank="0" text="" dxfId="19">
      <formula>$S22="Reprovada"</formula>
    </cfRule>
    <cfRule type="expression" priority="134" aboveAverage="0" equalAverage="0" bottom="0" percent="0" rank="0" text="" dxfId="20">
      <formula>$S22="Pendente"</formula>
    </cfRule>
    <cfRule type="expression" priority="135" aboveAverage="0" equalAverage="0" bottom="0" percent="0" rank="0" text="" dxfId="21">
      <formula>$S22="Cancelada"</formula>
    </cfRule>
  </conditionalFormatting>
  <dataValidations count="2">
    <dataValidation allowBlank="true" errorStyle="stop" operator="between" showDropDown="false" showErrorMessage="false" showInputMessage="false" sqref="Q22:Q150" type="list">
      <formula1>"Aprovado,Reprovado,Cancelada"</formula1>
      <formula2>0</formula2>
    </dataValidation>
    <dataValidation allowBlank="true" errorStyle="stop" operator="between" showDropDown="false" showErrorMessage="false" showInputMessage="false" sqref="J22:J67" type="list">
      <formula1>CONFIG!$A$12:$A$40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.51"/>
    <col collapsed="false" customWidth="true" hidden="false" outlineLevel="0" max="3" min="3" style="0" width="10.51"/>
    <col collapsed="false" customWidth="true" hidden="false" outlineLevel="0" max="6" min="4" style="0" width="12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9.51"/>
    <col collapsed="false" customWidth="true" hidden="false" outlineLevel="0" max="16" min="13" style="0" width="12"/>
    <col collapsed="false" customWidth="true" hidden="false" outlineLevel="0" max="17" min="17" style="0" width="11.5"/>
    <col collapsed="false" customWidth="true" hidden="false" outlineLevel="0" max="18" min="18" style="0" width="17"/>
    <col collapsed="false" customWidth="true" hidden="false" outlineLevel="0" max="19" min="19" style="0" width="12.5"/>
    <col collapsed="false" customWidth="true" hidden="false" outlineLevel="0" max="22" min="20" style="0" width="3.5"/>
    <col collapsed="false" customWidth="true" hidden="true" outlineLevel="0" max="24" min="24" style="0" width="4"/>
  </cols>
  <sheetData>
    <row r="1" customFormat="false" ht="45.75" hidden="false" customHeight="true" outlineLevel="0" collapsed="false">
      <c r="A1" s="1" t="s">
        <v>235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"/>
      <c r="U1" s="2"/>
      <c r="V1" s="2"/>
      <c r="X1" s="73" t="n">
        <v>46235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X2" s="74" t="s">
        <v>236</v>
      </c>
    </row>
    <row r="3" customFormat="false" ht="15" hidden="false" customHeight="false" outlineLevel="0" collapsed="false">
      <c r="A3" s="5" t="str">
        <f aca="false">IF((COUNTIF($S$22:$S$150,"Aprovada")+COUNTIF($S$22:$S$150,"Entregue")+COUNTIF($S$22:$S$150,"Pendente")+COUNTIF($S$22:$S$150,"Atrasada")+COUNTIF($S$22:$S$150,"Reprovada"))=0,"",IF(COUNTIF($S$22:$S$150,"Aprovada")=(COUNTIF($S$22:$S$150,"Aprovada")+COUNTIF($S$22:$S$150,"Entregue")+COUNTIF($S$22:$S$150,"Pendente")+COUNTIF($S$22:$S$150,"Atrasada")+COUNTIF($S$22:$S$150,"Reprovada")),"MÊS CONCLUÍDO — todas as atividades aprovadas","EM ANDAMENTO — "&amp;COUNTIF($S$22:$S$150,"Aprovada")&amp;" de "&amp;(COUNTIF($S$22:$S$150,"Aprovada")+COUNTIF($S$22:$S$150,"Entregue")+COUNTIF($S$22:$S$150,"Pendente")+COUNTIF($S$22:$S$150,"Atrasada")+COUNTIF($S$22:$S$150,"Reprovada"))&amp;" atividades aprovadas · "&amp;COUNTIF($S$22:$S$150,"Atrasada")&amp;" em atraso"))</f>
        <v>EM ANDAMENTO — 0 de 32 atividades aprovadas · 0 em atraso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5" customFormat="false" ht="18" hidden="false" customHeight="true" outlineLevel="0" collapsed="false">
      <c r="B5" s="70" t="s">
        <v>209</v>
      </c>
      <c r="C5" s="70"/>
      <c r="D5" s="70" t="s">
        <v>210</v>
      </c>
      <c r="E5" s="70"/>
      <c r="F5" s="70" t="s">
        <v>211</v>
      </c>
      <c r="G5" s="70"/>
      <c r="H5" s="70" t="s">
        <v>3</v>
      </c>
      <c r="I5" s="70"/>
      <c r="J5" s="70" t="s">
        <v>6</v>
      </c>
      <c r="K5" s="70"/>
      <c r="L5" s="75" t="s">
        <v>9</v>
      </c>
      <c r="M5" s="75"/>
      <c r="N5" s="70" t="s">
        <v>212</v>
      </c>
      <c r="O5" s="70"/>
    </row>
    <row r="6" customFormat="false" ht="15" hidden="false" customHeight="true" outlineLevel="0" collapsed="false">
      <c r="B6" s="76" t="str">
        <f aca="false">IF(MONTH($X$1-WEEKDAY($X$1)+1+0)=MONTH($X$1),$X$1-WEEKDAY($X$1)+1+0,"")</f>
        <v/>
      </c>
      <c r="C6" s="76"/>
      <c r="D6" s="76" t="str">
        <f aca="false">IF(MONTH($X$1-WEEKDAY($X$1)+1+1)=MONTH($X$1),$X$1-WEEKDAY($X$1)+1+1,"")</f>
        <v/>
      </c>
      <c r="E6" s="76"/>
      <c r="F6" s="76" t="str">
        <f aca="false">IF(MONTH($X$1-WEEKDAY($X$1)+1+2)=MONTH($X$1),$X$1-WEEKDAY($X$1)+1+2,"")</f>
        <v/>
      </c>
      <c r="G6" s="76"/>
      <c r="H6" s="76" t="str">
        <f aca="false">IF(MONTH($X$1-WEEKDAY($X$1)+1+3)=MONTH($X$1),$X$1-WEEKDAY($X$1)+1+3,"")</f>
        <v/>
      </c>
      <c r="I6" s="76"/>
      <c r="J6" s="76" t="str">
        <f aca="false">IF(MONTH($X$1-WEEKDAY($X$1)+1+4)=MONTH($X$1),$X$1-WEEKDAY($X$1)+1+4,"")</f>
        <v/>
      </c>
      <c r="K6" s="76"/>
      <c r="L6" s="76" t="str">
        <f aca="false">IF(MONTH($X$1-WEEKDAY($X$1)+1+5)=MONTH($X$1),$X$1-WEEKDAY($X$1)+1+5,"")</f>
        <v/>
      </c>
      <c r="M6" s="76"/>
      <c r="N6" s="76" t="n">
        <f aca="false">IF(MONTH($X$1-WEEKDAY($X$1)+1+6)=MONTH($X$1),$X$1-WEEKDAY($X$1)+1+6,"")</f>
        <v>46235</v>
      </c>
      <c r="O6" s="76"/>
    </row>
    <row r="7" customFormat="false" ht="25.5" hidden="false" customHeight="true" outlineLevel="0" collapsed="false">
      <c r="B7" s="77" t="str">
        <f aca="false">IF(B6="","",TRIM(IF(COUNTIFS($C$22:$C$150,B6,$D$22:$D$150,"*Vistoria*",$Q$22:$Q$150,"&lt;&gt;Cancelada")&gt;0,"Vistoria ","")&amp;IF(COUNTIFS($C$22:$C$150,B6,$D$22:$D$150,"*Relatório*",$Q$22:$Q$150,"&lt;&gt;Cancelada")&gt;0,"Relatório ","")&amp;IF(COUNTIFS($C$22:$C$150,B6,$D$22:$D$150,"*Reunião*",$Q$22:$Q$150,"&lt;&gt;Cancelada")&gt;0,"REUNIÃO ","")&amp;IF(COUNTIFS($C$22:$C$150,B6,$D$22:$D$150,"*Férias*",$Q$22:$Q$150,"&lt;&gt;Cancelada")&gt;0,"Férias ","")&amp;IF(COUNTIFS($C$22:$C$150,B6,$D$22:$D$150,"*Mudança*",$Q$22:$Q$150,"&lt;&gt;Cancelada")&gt;0,"M.Função ","")&amp;IF(COUNTIFS($C$22:$C$150,B6,$D$22:$D$150,"*Treinamento*",$Q$22:$Q$150,"&lt;&gt;Cancelada")&gt;0,"Trein. ","")))</f>
        <v/>
      </c>
      <c r="C7" s="77"/>
      <c r="D7" s="77" t="str">
        <f aca="false">IF(D6="","",TRIM(IF(COUNTIFS($C$22:$C$150,D6,$D$22:$D$150,"*Vistoria*",$Q$22:$Q$150,"&lt;&gt;Cancelada")&gt;0,"Vistoria ","")&amp;IF(COUNTIFS($C$22:$C$150,D6,$D$22:$D$150,"*Relatório*",$Q$22:$Q$150,"&lt;&gt;Cancelada")&gt;0,"Relatório ","")&amp;IF(COUNTIFS($C$22:$C$150,D6,$D$22:$D$150,"*Reunião*",$Q$22:$Q$150,"&lt;&gt;Cancelada")&gt;0,"REUNIÃO ","")&amp;IF(COUNTIFS($C$22:$C$150,D6,$D$22:$D$150,"*Férias*",$Q$22:$Q$150,"&lt;&gt;Cancelada")&gt;0,"Férias ","")&amp;IF(COUNTIFS($C$22:$C$150,D6,$D$22:$D$150,"*Mudança*",$Q$22:$Q$150,"&lt;&gt;Cancelada")&gt;0,"M.Função ","")&amp;IF(COUNTIFS($C$22:$C$150,D6,$D$22:$D$150,"*Treinamento*",$Q$22:$Q$150,"&lt;&gt;Cancelada")&gt;0,"Trein. ","")))</f>
        <v/>
      </c>
      <c r="E7" s="77"/>
      <c r="F7" s="77" t="str">
        <f aca="false">IF(F6="","",TRIM(IF(COUNTIFS($C$22:$C$150,F6,$D$22:$D$150,"*Vistoria*",$Q$22:$Q$150,"&lt;&gt;Cancelada")&gt;0,"Vistoria ","")&amp;IF(COUNTIFS($C$22:$C$150,F6,$D$22:$D$150,"*Relatório*",$Q$22:$Q$150,"&lt;&gt;Cancelada")&gt;0,"Relatório ","")&amp;IF(COUNTIFS($C$22:$C$150,F6,$D$22:$D$150,"*Reunião*",$Q$22:$Q$150,"&lt;&gt;Cancelada")&gt;0,"REUNIÃO ","")&amp;IF(COUNTIFS($C$22:$C$150,F6,$D$22:$D$150,"*Férias*",$Q$22:$Q$150,"&lt;&gt;Cancelada")&gt;0,"Férias ","")&amp;IF(COUNTIFS($C$22:$C$150,F6,$D$22:$D$150,"*Mudança*",$Q$22:$Q$150,"&lt;&gt;Cancelada")&gt;0,"M.Função ","")&amp;IF(COUNTIFS($C$22:$C$150,F6,$D$22:$D$150,"*Treinamento*",$Q$22:$Q$150,"&lt;&gt;Cancelada")&gt;0,"Trein. ","")))</f>
        <v/>
      </c>
      <c r="G7" s="77"/>
      <c r="H7" s="77" t="str">
        <f aca="false">IF(H6="","",TRIM(IF(COUNTIFS($C$22:$C$150,H6,$D$22:$D$150,"*Vistoria*",$Q$22:$Q$150,"&lt;&gt;Cancelada")&gt;0,"Vistoria ","")&amp;IF(COUNTIFS($C$22:$C$150,H6,$D$22:$D$150,"*Relatório*",$Q$22:$Q$150,"&lt;&gt;Cancelada")&gt;0,"Relatório ","")&amp;IF(COUNTIFS($C$22:$C$150,H6,$D$22:$D$150,"*Reunião*",$Q$22:$Q$150,"&lt;&gt;Cancelada")&gt;0,"REUNIÃO ","")&amp;IF(COUNTIFS($C$22:$C$150,H6,$D$22:$D$150,"*Férias*",$Q$22:$Q$150,"&lt;&gt;Cancelada")&gt;0,"Férias ","")&amp;IF(COUNTIFS($C$22:$C$150,H6,$D$22:$D$150,"*Mudança*",$Q$22:$Q$150,"&lt;&gt;Cancelada")&gt;0,"M.Função ","")&amp;IF(COUNTIFS($C$22:$C$150,H6,$D$22:$D$150,"*Treinamento*",$Q$22:$Q$150,"&lt;&gt;Cancelada")&gt;0,"Trein. ","")))</f>
        <v/>
      </c>
      <c r="I7" s="77"/>
      <c r="J7" s="77" t="str">
        <f aca="false">IF(J6="","",TRIM(IF(COUNTIFS($C$22:$C$150,J6,$D$22:$D$150,"*Vistoria*",$Q$22:$Q$150,"&lt;&gt;Cancelada")&gt;0,"Vistoria ","")&amp;IF(COUNTIFS($C$22:$C$150,J6,$D$22:$D$150,"*Relatório*",$Q$22:$Q$150,"&lt;&gt;Cancelada")&gt;0,"Relatório ","")&amp;IF(COUNTIFS($C$22:$C$150,J6,$D$22:$D$150,"*Reunião*",$Q$22:$Q$150,"&lt;&gt;Cancelada")&gt;0,"REUNIÃO ","")&amp;IF(COUNTIFS($C$22:$C$150,J6,$D$22:$D$150,"*Férias*",$Q$22:$Q$150,"&lt;&gt;Cancelada")&gt;0,"Férias ","")&amp;IF(COUNTIFS($C$22:$C$150,J6,$D$22:$D$150,"*Mudança*",$Q$22:$Q$150,"&lt;&gt;Cancelada")&gt;0,"M.Função ","")&amp;IF(COUNTIFS($C$22:$C$150,J6,$D$22:$D$150,"*Treinamento*",$Q$22:$Q$150,"&lt;&gt;Cancelada")&gt;0,"Trein. ","")))</f>
        <v/>
      </c>
      <c r="K7" s="77"/>
      <c r="L7" s="77" t="str">
        <f aca="false">IF(L6="","",TRIM(IF(COUNTIFS($C$22:$C$150,L6,$D$22:$D$150,"*Vistoria*",$Q$22:$Q$150,"&lt;&gt;Cancelada")&gt;0,"Vistoria ","")&amp;IF(COUNTIFS($C$22:$C$150,L6,$D$22:$D$150,"*Relatório*",$Q$22:$Q$150,"&lt;&gt;Cancelada")&gt;0,"Relatório ","")&amp;IF(COUNTIFS($C$22:$C$150,L6,$D$22:$D$150,"*Reunião*",$Q$22:$Q$150,"&lt;&gt;Cancelada")&gt;0,"REUNIÃO ","")&amp;IF(COUNTIFS($C$22:$C$150,L6,$D$22:$D$150,"*Férias*",$Q$22:$Q$150,"&lt;&gt;Cancelada")&gt;0,"Férias ","")&amp;IF(COUNTIFS($C$22:$C$150,L6,$D$22:$D$150,"*Mudança*",$Q$22:$Q$150,"&lt;&gt;Cancelada")&gt;0,"M.Função ","")&amp;IF(COUNTIFS($C$22:$C$150,L6,$D$22:$D$150,"*Treinamento*",$Q$22:$Q$150,"&lt;&gt;Cancelada")&gt;0,"Trein. ","")))</f>
        <v/>
      </c>
      <c r="M7" s="77"/>
      <c r="N7" s="77" t="str">
        <f aca="false">IF(N6="","",TRIM(IF(COUNTIFS($C$22:$C$150,N6,$D$22:$D$150,"*Vistoria*",$Q$22:$Q$150,"&lt;&gt;Cancelada")&gt;0,"Vistoria ","")&amp;IF(COUNTIFS($C$22:$C$150,N6,$D$22:$D$150,"*Relatório*",$Q$22:$Q$150,"&lt;&gt;Cancelada")&gt;0,"Relatório ","")&amp;IF(COUNTIFS($C$22:$C$150,N6,$D$22:$D$150,"*Reunião*",$Q$22:$Q$150,"&lt;&gt;Cancelada")&gt;0,"REUNIÃO ","")&amp;IF(COUNTIFS($C$22:$C$150,N6,$D$22:$D$150,"*Férias*",$Q$22:$Q$150,"&lt;&gt;Cancelada")&gt;0,"Férias ","")&amp;IF(COUNTIFS($C$22:$C$150,N6,$D$22:$D$150,"*Mudança*",$Q$22:$Q$150,"&lt;&gt;Cancelada")&gt;0,"M.Função ","")&amp;IF(COUNTIFS($C$22:$C$150,N6,$D$22:$D$150,"*Treinamento*",$Q$22:$Q$150,"&lt;&gt;Cancelada")&gt;0,"Trein. ","")))</f>
        <v/>
      </c>
      <c r="O7" s="77"/>
    </row>
    <row r="8" customFormat="false" ht="15" hidden="false" customHeight="true" outlineLevel="0" collapsed="false">
      <c r="B8" s="76" t="n">
        <f aca="false">IF(MONTH($X$1-WEEKDAY($X$1)+1+7)=MONTH($X$1),$X$1-WEEKDAY($X$1)+1+7,"")</f>
        <v>46236</v>
      </c>
      <c r="C8" s="76"/>
      <c r="D8" s="76" t="n">
        <f aca="false">IF(MONTH($X$1-WEEKDAY($X$1)+1+8)=MONTH($X$1),$X$1-WEEKDAY($X$1)+1+8,"")</f>
        <v>46237</v>
      </c>
      <c r="E8" s="76"/>
      <c r="F8" s="76" t="n">
        <f aca="false">IF(MONTH($X$1-WEEKDAY($X$1)+1+9)=MONTH($X$1),$X$1-WEEKDAY($X$1)+1+9,"")</f>
        <v>46238</v>
      </c>
      <c r="G8" s="76"/>
      <c r="H8" s="76" t="n">
        <f aca="false">IF(MONTH($X$1-WEEKDAY($X$1)+1+10)=MONTH($X$1),$X$1-WEEKDAY($X$1)+1+10,"")</f>
        <v>46239</v>
      </c>
      <c r="I8" s="76"/>
      <c r="J8" s="76" t="n">
        <f aca="false">IF(MONTH($X$1-WEEKDAY($X$1)+1+11)=MONTH($X$1),$X$1-WEEKDAY($X$1)+1+11,"")</f>
        <v>46240</v>
      </c>
      <c r="K8" s="76"/>
      <c r="L8" s="76" t="n">
        <f aca="false">IF(MONTH($X$1-WEEKDAY($X$1)+1+12)=MONTH($X$1),$X$1-WEEKDAY($X$1)+1+12,"")</f>
        <v>46241</v>
      </c>
      <c r="M8" s="76"/>
      <c r="N8" s="76" t="n">
        <f aca="false">IF(MONTH($X$1-WEEKDAY($X$1)+1+13)=MONTH($X$1),$X$1-WEEKDAY($X$1)+1+13,"")</f>
        <v>46242</v>
      </c>
      <c r="O8" s="76"/>
    </row>
    <row r="9" customFormat="false" ht="25.5" hidden="false" customHeight="true" outlineLevel="0" collapsed="false">
      <c r="B9" s="77" t="str">
        <f aca="false">IF(B8="","",TRIM(IF(COUNTIFS($C$22:$C$150,B8,$D$22:$D$150,"*Vistoria*",$Q$22:$Q$150,"&lt;&gt;Cancelada")&gt;0,"Vistoria ","")&amp;IF(COUNTIFS($C$22:$C$150,B8,$D$22:$D$150,"*Relatório*",$Q$22:$Q$150,"&lt;&gt;Cancelada")&gt;0,"Relatório ","")&amp;IF(COUNTIFS($C$22:$C$150,B8,$D$22:$D$150,"*Reunião*",$Q$22:$Q$150,"&lt;&gt;Cancelada")&gt;0,"REUNIÃO ","")&amp;IF(COUNTIFS($C$22:$C$150,B8,$D$22:$D$150,"*Férias*",$Q$22:$Q$150,"&lt;&gt;Cancelada")&gt;0,"Férias ","")&amp;IF(COUNTIFS($C$22:$C$150,B8,$D$22:$D$150,"*Mudança*",$Q$22:$Q$150,"&lt;&gt;Cancelada")&gt;0,"M.Função ","")&amp;IF(COUNTIFS($C$22:$C$150,B8,$D$22:$D$150,"*Treinamento*",$Q$22:$Q$150,"&lt;&gt;Cancelada")&gt;0,"Trein. ","")))</f>
        <v/>
      </c>
      <c r="C9" s="77"/>
      <c r="D9" s="77" t="str">
        <f aca="false">IF(D8="","",TRIM(IF(COUNTIFS($C$22:$C$150,D8,$D$22:$D$150,"*Vistoria*",$Q$22:$Q$150,"&lt;&gt;Cancelada")&gt;0,"Vistoria ","")&amp;IF(COUNTIFS($C$22:$C$150,D8,$D$22:$D$150,"*Relatório*",$Q$22:$Q$150,"&lt;&gt;Cancelada")&gt;0,"Relatório ","")&amp;IF(COUNTIFS($C$22:$C$150,D8,$D$22:$D$150,"*Reunião*",$Q$22:$Q$150,"&lt;&gt;Cancelada")&gt;0,"REUNIÃO ","")&amp;IF(COUNTIFS($C$22:$C$150,D8,$D$22:$D$150,"*Férias*",$Q$22:$Q$150,"&lt;&gt;Cancelada")&gt;0,"Férias ","")&amp;IF(COUNTIFS($C$22:$C$150,D8,$D$22:$D$150,"*Mudança*",$Q$22:$Q$150,"&lt;&gt;Cancelada")&gt;0,"M.Função ","")&amp;IF(COUNTIFS($C$22:$C$150,D8,$D$22:$D$150,"*Treinamento*",$Q$22:$Q$150,"&lt;&gt;Cancelada")&gt;0,"Trein. ","")))</f>
        <v>Férias</v>
      </c>
      <c r="E9" s="77"/>
      <c r="F9" s="77" t="str">
        <f aca="false">IF(F8="","",TRIM(IF(COUNTIFS($C$22:$C$150,F8,$D$22:$D$150,"*Vistoria*",$Q$22:$Q$150,"&lt;&gt;Cancelada")&gt;0,"Vistoria ","")&amp;IF(COUNTIFS($C$22:$C$150,F8,$D$22:$D$150,"*Relatório*",$Q$22:$Q$150,"&lt;&gt;Cancelada")&gt;0,"Relatório ","")&amp;IF(COUNTIFS($C$22:$C$150,F8,$D$22:$D$150,"*Reunião*",$Q$22:$Q$150,"&lt;&gt;Cancelada")&gt;0,"REUNIÃO ","")&amp;IF(COUNTIFS($C$22:$C$150,F8,$D$22:$D$150,"*Férias*",$Q$22:$Q$150,"&lt;&gt;Cancelada")&gt;0,"Férias ","")&amp;IF(COUNTIFS($C$22:$C$150,F8,$D$22:$D$150,"*Mudança*",$Q$22:$Q$150,"&lt;&gt;Cancelada")&gt;0,"M.Função ","")&amp;IF(COUNTIFS($C$22:$C$150,F8,$D$22:$D$150,"*Treinamento*",$Q$22:$Q$150,"&lt;&gt;Cancelada")&gt;0,"Trein. ","")))</f>
        <v/>
      </c>
      <c r="G9" s="77"/>
      <c r="H9" s="77" t="str">
        <f aca="false">IF(H8="","",TRIM(IF(COUNTIFS($C$22:$C$150,H8,$D$22:$D$150,"*Vistoria*",$Q$22:$Q$150,"&lt;&gt;Cancelada")&gt;0,"Vistoria ","")&amp;IF(COUNTIFS($C$22:$C$150,H8,$D$22:$D$150,"*Relatório*",$Q$22:$Q$150,"&lt;&gt;Cancelada")&gt;0,"Relatório ","")&amp;IF(COUNTIFS($C$22:$C$150,H8,$D$22:$D$150,"*Reunião*",$Q$22:$Q$150,"&lt;&gt;Cancelada")&gt;0,"REUNIÃO ","")&amp;IF(COUNTIFS($C$22:$C$150,H8,$D$22:$D$150,"*Férias*",$Q$22:$Q$150,"&lt;&gt;Cancelada")&gt;0,"Férias ","")&amp;IF(COUNTIFS($C$22:$C$150,H8,$D$22:$D$150,"*Mudança*",$Q$22:$Q$150,"&lt;&gt;Cancelada")&gt;0,"M.Função ","")&amp;IF(COUNTIFS($C$22:$C$150,H8,$D$22:$D$150,"*Treinamento*",$Q$22:$Q$150,"&lt;&gt;Cancelada")&gt;0,"Trein. ","")))</f>
        <v>Vistoria</v>
      </c>
      <c r="I9" s="77"/>
      <c r="J9" s="77" t="str">
        <f aca="false">IF(J8="","",TRIM(IF(COUNTIFS($C$22:$C$150,J8,$D$22:$D$150,"*Vistoria*",$Q$22:$Q$150,"&lt;&gt;Cancelada")&gt;0,"Vistoria ","")&amp;IF(COUNTIFS($C$22:$C$150,J8,$D$22:$D$150,"*Relatório*",$Q$22:$Q$150,"&lt;&gt;Cancelada")&gt;0,"Relatório ","")&amp;IF(COUNTIFS($C$22:$C$150,J8,$D$22:$D$150,"*Reunião*",$Q$22:$Q$150,"&lt;&gt;Cancelada")&gt;0,"REUNIÃO ","")&amp;IF(COUNTIFS($C$22:$C$150,J8,$D$22:$D$150,"*Férias*",$Q$22:$Q$150,"&lt;&gt;Cancelada")&gt;0,"Férias ","")&amp;IF(COUNTIFS($C$22:$C$150,J8,$D$22:$D$150,"*Mudança*",$Q$22:$Q$150,"&lt;&gt;Cancelada")&gt;0,"M.Função ","")&amp;IF(COUNTIFS($C$22:$C$150,J8,$D$22:$D$150,"*Treinamento*",$Q$22:$Q$150,"&lt;&gt;Cancelada")&gt;0,"Trein. ","")))</f>
        <v>Relatório</v>
      </c>
      <c r="K9" s="77"/>
      <c r="L9" s="77" t="str">
        <f aca="false">IF(L8="","",TRIM(IF(COUNTIFS($C$22:$C$150,L8,$D$22:$D$150,"*Vistoria*",$Q$22:$Q$150,"&lt;&gt;Cancelada")&gt;0,"Vistoria ","")&amp;IF(COUNTIFS($C$22:$C$150,L8,$D$22:$D$150,"*Relatório*",$Q$22:$Q$150,"&lt;&gt;Cancelada")&gt;0,"Relatório ","")&amp;IF(COUNTIFS($C$22:$C$150,L8,$D$22:$D$150,"*Reunião*",$Q$22:$Q$150,"&lt;&gt;Cancelada")&gt;0,"REUNIÃO ","")&amp;IF(COUNTIFS($C$22:$C$150,L8,$D$22:$D$150,"*Férias*",$Q$22:$Q$150,"&lt;&gt;Cancelada")&gt;0,"Férias ","")&amp;IF(COUNTIFS($C$22:$C$150,L8,$D$22:$D$150,"*Mudança*",$Q$22:$Q$150,"&lt;&gt;Cancelada")&gt;0,"M.Função ","")&amp;IF(COUNTIFS($C$22:$C$150,L8,$D$22:$D$150,"*Treinamento*",$Q$22:$Q$150,"&lt;&gt;Cancelada")&gt;0,"Trein. ","")))</f>
        <v>REUNIÃO</v>
      </c>
      <c r="M9" s="77"/>
      <c r="N9" s="77" t="str">
        <f aca="false">IF(N8="","",TRIM(IF(COUNTIFS($C$22:$C$150,N8,$D$22:$D$150,"*Vistoria*",$Q$22:$Q$150,"&lt;&gt;Cancelada")&gt;0,"Vistoria ","")&amp;IF(COUNTIFS($C$22:$C$150,N8,$D$22:$D$150,"*Relatório*",$Q$22:$Q$150,"&lt;&gt;Cancelada")&gt;0,"Relatório ","")&amp;IF(COUNTIFS($C$22:$C$150,N8,$D$22:$D$150,"*Reunião*",$Q$22:$Q$150,"&lt;&gt;Cancelada")&gt;0,"REUNIÃO ","")&amp;IF(COUNTIFS($C$22:$C$150,N8,$D$22:$D$150,"*Férias*",$Q$22:$Q$150,"&lt;&gt;Cancelada")&gt;0,"Férias ","")&amp;IF(COUNTIFS($C$22:$C$150,N8,$D$22:$D$150,"*Mudança*",$Q$22:$Q$150,"&lt;&gt;Cancelada")&gt;0,"M.Função ","")&amp;IF(COUNTIFS($C$22:$C$150,N8,$D$22:$D$150,"*Treinamento*",$Q$22:$Q$150,"&lt;&gt;Cancelada")&gt;0,"Trein. ","")))</f>
        <v/>
      </c>
      <c r="O9" s="77"/>
    </row>
    <row r="10" customFormat="false" ht="15" hidden="false" customHeight="true" outlineLevel="0" collapsed="false">
      <c r="B10" s="76" t="n">
        <f aca="false">IF(MONTH($X$1-WEEKDAY($X$1)+1+14)=MONTH($X$1),$X$1-WEEKDAY($X$1)+1+14,"")</f>
        <v>46243</v>
      </c>
      <c r="C10" s="76"/>
      <c r="D10" s="76" t="n">
        <f aca="false">IF(MONTH($X$1-WEEKDAY($X$1)+1+15)=MONTH($X$1),$X$1-WEEKDAY($X$1)+1+15,"")</f>
        <v>46244</v>
      </c>
      <c r="E10" s="76"/>
      <c r="F10" s="76" t="n">
        <f aca="false">IF(MONTH($X$1-WEEKDAY($X$1)+1+16)=MONTH($X$1),$X$1-WEEKDAY($X$1)+1+16,"")</f>
        <v>46245</v>
      </c>
      <c r="G10" s="76"/>
      <c r="H10" s="76" t="n">
        <f aca="false">IF(MONTH($X$1-WEEKDAY($X$1)+1+17)=MONTH($X$1),$X$1-WEEKDAY($X$1)+1+17,"")</f>
        <v>46246</v>
      </c>
      <c r="I10" s="76"/>
      <c r="J10" s="76" t="n">
        <f aca="false">IF(MONTH($X$1-WEEKDAY($X$1)+1+18)=MONTH($X$1),$X$1-WEEKDAY($X$1)+1+18,"")</f>
        <v>46247</v>
      </c>
      <c r="K10" s="76"/>
      <c r="L10" s="76" t="n">
        <f aca="false">IF(MONTH($X$1-WEEKDAY($X$1)+1+19)=MONTH($X$1),$X$1-WEEKDAY($X$1)+1+19,"")</f>
        <v>46248</v>
      </c>
      <c r="M10" s="76"/>
      <c r="N10" s="76" t="n">
        <f aca="false">IF(MONTH($X$1-WEEKDAY($X$1)+1+20)=MONTH($X$1),$X$1-WEEKDAY($X$1)+1+20,"")</f>
        <v>46249</v>
      </c>
      <c r="O10" s="76"/>
    </row>
    <row r="11" customFormat="false" ht="25.5" hidden="false" customHeight="true" outlineLevel="0" collapsed="false">
      <c r="B11" s="77" t="str">
        <f aca="false">IF(B10="","",TRIM(IF(COUNTIFS($C$22:$C$150,B10,$D$22:$D$150,"*Vistoria*",$Q$22:$Q$150,"&lt;&gt;Cancelada")&gt;0,"Vistoria ","")&amp;IF(COUNTIFS($C$22:$C$150,B10,$D$22:$D$150,"*Relatório*",$Q$22:$Q$150,"&lt;&gt;Cancelada")&gt;0,"Relatório ","")&amp;IF(COUNTIFS($C$22:$C$150,B10,$D$22:$D$150,"*Reunião*",$Q$22:$Q$150,"&lt;&gt;Cancelada")&gt;0,"REUNIÃO ","")&amp;IF(COUNTIFS($C$22:$C$150,B10,$D$22:$D$150,"*Férias*",$Q$22:$Q$150,"&lt;&gt;Cancelada")&gt;0,"Férias ","")&amp;IF(COUNTIFS($C$22:$C$150,B10,$D$22:$D$150,"*Mudança*",$Q$22:$Q$150,"&lt;&gt;Cancelada")&gt;0,"M.Função ","")&amp;IF(COUNTIFS($C$22:$C$150,B10,$D$22:$D$150,"*Treinamento*",$Q$22:$Q$150,"&lt;&gt;Cancelada")&gt;0,"Trein. ","")))</f>
        <v/>
      </c>
      <c r="C11" s="77"/>
      <c r="D11" s="77" t="str">
        <f aca="false">IF(D10="","",TRIM(IF(COUNTIFS($C$22:$C$150,D10,$D$22:$D$150,"*Vistoria*",$Q$22:$Q$150,"&lt;&gt;Cancelada")&gt;0,"Vistoria ","")&amp;IF(COUNTIFS($C$22:$C$150,D10,$D$22:$D$150,"*Relatório*",$Q$22:$Q$150,"&lt;&gt;Cancelada")&gt;0,"Relatório ","")&amp;IF(COUNTIFS($C$22:$C$150,D10,$D$22:$D$150,"*Reunião*",$Q$22:$Q$150,"&lt;&gt;Cancelada")&gt;0,"REUNIÃO ","")&amp;IF(COUNTIFS($C$22:$C$150,D10,$D$22:$D$150,"*Férias*",$Q$22:$Q$150,"&lt;&gt;Cancelada")&gt;0,"Férias ","")&amp;IF(COUNTIFS($C$22:$C$150,D10,$D$22:$D$150,"*Mudança*",$Q$22:$Q$150,"&lt;&gt;Cancelada")&gt;0,"M.Função ","")&amp;IF(COUNTIFS($C$22:$C$150,D10,$D$22:$D$150,"*Treinamento*",$Q$22:$Q$150,"&lt;&gt;Cancelada")&gt;0,"Trein. ","")))</f>
        <v/>
      </c>
      <c r="E11" s="77"/>
      <c r="F11" s="77" t="str">
        <f aca="false">IF(F10="","",TRIM(IF(COUNTIFS($C$22:$C$150,F10,$D$22:$D$150,"*Vistoria*",$Q$22:$Q$150,"&lt;&gt;Cancelada")&gt;0,"Vistoria ","")&amp;IF(COUNTIFS($C$22:$C$150,F10,$D$22:$D$150,"*Relatório*",$Q$22:$Q$150,"&lt;&gt;Cancelada")&gt;0,"Relatório ","")&amp;IF(COUNTIFS($C$22:$C$150,F10,$D$22:$D$150,"*Reunião*",$Q$22:$Q$150,"&lt;&gt;Cancelada")&gt;0,"REUNIÃO ","")&amp;IF(COUNTIFS($C$22:$C$150,F10,$D$22:$D$150,"*Férias*",$Q$22:$Q$150,"&lt;&gt;Cancelada")&gt;0,"Férias ","")&amp;IF(COUNTIFS($C$22:$C$150,F10,$D$22:$D$150,"*Mudança*",$Q$22:$Q$150,"&lt;&gt;Cancelada")&gt;0,"M.Função ","")&amp;IF(COUNTIFS($C$22:$C$150,F10,$D$22:$D$150,"*Treinamento*",$Q$22:$Q$150,"&lt;&gt;Cancelada")&gt;0,"Trein. ","")))</f>
        <v/>
      </c>
      <c r="G11" s="77"/>
      <c r="H11" s="77" t="str">
        <f aca="false">IF(H10="","",TRIM(IF(COUNTIFS($C$22:$C$150,H10,$D$22:$D$150,"*Vistoria*",$Q$22:$Q$150,"&lt;&gt;Cancelada")&gt;0,"Vistoria ","")&amp;IF(COUNTIFS($C$22:$C$150,H10,$D$22:$D$150,"*Relatório*",$Q$22:$Q$150,"&lt;&gt;Cancelada")&gt;0,"Relatório ","")&amp;IF(COUNTIFS($C$22:$C$150,H10,$D$22:$D$150,"*Reunião*",$Q$22:$Q$150,"&lt;&gt;Cancelada")&gt;0,"REUNIÃO ","")&amp;IF(COUNTIFS($C$22:$C$150,H10,$D$22:$D$150,"*Férias*",$Q$22:$Q$150,"&lt;&gt;Cancelada")&gt;0,"Férias ","")&amp;IF(COUNTIFS($C$22:$C$150,H10,$D$22:$D$150,"*Mudança*",$Q$22:$Q$150,"&lt;&gt;Cancelada")&gt;0,"M.Função ","")&amp;IF(COUNTIFS($C$22:$C$150,H10,$D$22:$D$150,"*Treinamento*",$Q$22:$Q$150,"&lt;&gt;Cancelada")&gt;0,"Trein. ","")))</f>
        <v>Vistoria</v>
      </c>
      <c r="I11" s="77"/>
      <c r="J11" s="77" t="str">
        <f aca="false">IF(J10="","",TRIM(IF(COUNTIFS($C$22:$C$150,J10,$D$22:$D$150,"*Vistoria*",$Q$22:$Q$150,"&lt;&gt;Cancelada")&gt;0,"Vistoria ","")&amp;IF(COUNTIFS($C$22:$C$150,J10,$D$22:$D$150,"*Relatório*",$Q$22:$Q$150,"&lt;&gt;Cancelada")&gt;0,"Relatório ","")&amp;IF(COUNTIFS($C$22:$C$150,J10,$D$22:$D$150,"*Reunião*",$Q$22:$Q$150,"&lt;&gt;Cancelada")&gt;0,"REUNIÃO ","")&amp;IF(COUNTIFS($C$22:$C$150,J10,$D$22:$D$150,"*Férias*",$Q$22:$Q$150,"&lt;&gt;Cancelada")&gt;0,"Férias ","")&amp;IF(COUNTIFS($C$22:$C$150,J10,$D$22:$D$150,"*Mudança*",$Q$22:$Q$150,"&lt;&gt;Cancelada")&gt;0,"M.Função ","")&amp;IF(COUNTIFS($C$22:$C$150,J10,$D$22:$D$150,"*Treinamento*",$Q$22:$Q$150,"&lt;&gt;Cancelada")&gt;0,"Trein. ","")))</f>
        <v>Relatório</v>
      </c>
      <c r="K11" s="77"/>
      <c r="L11" s="77" t="str">
        <f aca="false">IF(L10="","",TRIM(IF(COUNTIFS($C$22:$C$150,L10,$D$22:$D$150,"*Vistoria*",$Q$22:$Q$150,"&lt;&gt;Cancelada")&gt;0,"Vistoria ","")&amp;IF(COUNTIFS($C$22:$C$150,L10,$D$22:$D$150,"*Relatório*",$Q$22:$Q$150,"&lt;&gt;Cancelada")&gt;0,"Relatório ","")&amp;IF(COUNTIFS($C$22:$C$150,L10,$D$22:$D$150,"*Reunião*",$Q$22:$Q$150,"&lt;&gt;Cancelada")&gt;0,"REUNIÃO ","")&amp;IF(COUNTIFS($C$22:$C$150,L10,$D$22:$D$150,"*Férias*",$Q$22:$Q$150,"&lt;&gt;Cancelada")&gt;0,"Férias ","")&amp;IF(COUNTIFS($C$22:$C$150,L10,$D$22:$D$150,"*Mudança*",$Q$22:$Q$150,"&lt;&gt;Cancelada")&gt;0,"M.Função ","")&amp;IF(COUNTIFS($C$22:$C$150,L10,$D$22:$D$150,"*Treinamento*",$Q$22:$Q$150,"&lt;&gt;Cancelada")&gt;0,"Trein. ","")))</f>
        <v>REUNIÃO</v>
      </c>
      <c r="M11" s="77"/>
      <c r="N11" s="77" t="str">
        <f aca="false">IF(N10="","",TRIM(IF(COUNTIFS($C$22:$C$150,N10,$D$22:$D$150,"*Vistoria*",$Q$22:$Q$150,"&lt;&gt;Cancelada")&gt;0,"Vistoria ","")&amp;IF(COUNTIFS($C$22:$C$150,N10,$D$22:$D$150,"*Relatório*",$Q$22:$Q$150,"&lt;&gt;Cancelada")&gt;0,"Relatório ","")&amp;IF(COUNTIFS($C$22:$C$150,N10,$D$22:$D$150,"*Reunião*",$Q$22:$Q$150,"&lt;&gt;Cancelada")&gt;0,"REUNIÃO ","")&amp;IF(COUNTIFS($C$22:$C$150,N10,$D$22:$D$150,"*Férias*",$Q$22:$Q$150,"&lt;&gt;Cancelada")&gt;0,"Férias ","")&amp;IF(COUNTIFS($C$22:$C$150,N10,$D$22:$D$150,"*Mudança*",$Q$22:$Q$150,"&lt;&gt;Cancelada")&gt;0,"M.Função ","")&amp;IF(COUNTIFS($C$22:$C$150,N10,$D$22:$D$150,"*Treinamento*",$Q$22:$Q$150,"&lt;&gt;Cancelada")&gt;0,"Trein. ","")))</f>
        <v/>
      </c>
      <c r="O11" s="77"/>
    </row>
    <row r="12" customFormat="false" ht="15" hidden="false" customHeight="true" outlineLevel="0" collapsed="false">
      <c r="B12" s="76" t="n">
        <f aca="false">IF(MONTH($X$1-WEEKDAY($X$1)+1+21)=MONTH($X$1),$X$1-WEEKDAY($X$1)+1+21,"")</f>
        <v>46250</v>
      </c>
      <c r="C12" s="76"/>
      <c r="D12" s="76" t="n">
        <f aca="false">IF(MONTH($X$1-WEEKDAY($X$1)+1+22)=MONTH($X$1),$X$1-WEEKDAY($X$1)+1+22,"")</f>
        <v>46251</v>
      </c>
      <c r="E12" s="76"/>
      <c r="F12" s="76" t="n">
        <f aca="false">IF(MONTH($X$1-WEEKDAY($X$1)+1+23)=MONTH($X$1),$X$1-WEEKDAY($X$1)+1+23,"")</f>
        <v>46252</v>
      </c>
      <c r="G12" s="76"/>
      <c r="H12" s="76" t="n">
        <f aca="false">IF(MONTH($X$1-WEEKDAY($X$1)+1+24)=MONTH($X$1),$X$1-WEEKDAY($X$1)+1+24,"")</f>
        <v>46253</v>
      </c>
      <c r="I12" s="76"/>
      <c r="J12" s="76" t="n">
        <f aca="false">IF(MONTH($X$1-WEEKDAY($X$1)+1+25)=MONTH($X$1),$X$1-WEEKDAY($X$1)+1+25,"")</f>
        <v>46254</v>
      </c>
      <c r="K12" s="76"/>
      <c r="L12" s="76" t="n">
        <f aca="false">IF(MONTH($X$1-WEEKDAY($X$1)+1+26)=MONTH($X$1),$X$1-WEEKDAY($X$1)+1+26,"")</f>
        <v>46255</v>
      </c>
      <c r="M12" s="76"/>
      <c r="N12" s="76" t="n">
        <f aca="false">IF(MONTH($X$1-WEEKDAY($X$1)+1+27)=MONTH($X$1),$X$1-WEEKDAY($X$1)+1+27,"")</f>
        <v>46256</v>
      </c>
      <c r="O12" s="76"/>
    </row>
    <row r="13" customFormat="false" ht="25.5" hidden="false" customHeight="true" outlineLevel="0" collapsed="false">
      <c r="B13" s="77" t="str">
        <f aca="false">IF(B12="","",TRIM(IF(COUNTIFS($C$22:$C$150,B12,$D$22:$D$150,"*Vistoria*",$Q$22:$Q$150,"&lt;&gt;Cancelada")&gt;0,"Vistoria ","")&amp;IF(COUNTIFS($C$22:$C$150,B12,$D$22:$D$150,"*Relatório*",$Q$22:$Q$150,"&lt;&gt;Cancelada")&gt;0,"Relatório ","")&amp;IF(COUNTIFS($C$22:$C$150,B12,$D$22:$D$150,"*Reunião*",$Q$22:$Q$150,"&lt;&gt;Cancelada")&gt;0,"REUNIÃO ","")&amp;IF(COUNTIFS($C$22:$C$150,B12,$D$22:$D$150,"*Férias*",$Q$22:$Q$150,"&lt;&gt;Cancelada")&gt;0,"Férias ","")&amp;IF(COUNTIFS($C$22:$C$150,B12,$D$22:$D$150,"*Mudança*",$Q$22:$Q$150,"&lt;&gt;Cancelada")&gt;0,"M.Função ","")&amp;IF(COUNTIFS($C$22:$C$150,B12,$D$22:$D$150,"*Treinamento*",$Q$22:$Q$150,"&lt;&gt;Cancelada")&gt;0,"Trein. ","")))</f>
        <v/>
      </c>
      <c r="C13" s="77"/>
      <c r="D13" s="77" t="str">
        <f aca="false">IF(D12="","",TRIM(IF(COUNTIFS($C$22:$C$150,D12,$D$22:$D$150,"*Vistoria*",$Q$22:$Q$150,"&lt;&gt;Cancelada")&gt;0,"Vistoria ","")&amp;IF(COUNTIFS($C$22:$C$150,D12,$D$22:$D$150,"*Relatório*",$Q$22:$Q$150,"&lt;&gt;Cancelada")&gt;0,"Relatório ","")&amp;IF(COUNTIFS($C$22:$C$150,D12,$D$22:$D$150,"*Reunião*",$Q$22:$Q$150,"&lt;&gt;Cancelada")&gt;0,"REUNIÃO ","")&amp;IF(COUNTIFS($C$22:$C$150,D12,$D$22:$D$150,"*Férias*",$Q$22:$Q$150,"&lt;&gt;Cancelada")&gt;0,"Férias ","")&amp;IF(COUNTIFS($C$22:$C$150,D12,$D$22:$D$150,"*Mudança*",$Q$22:$Q$150,"&lt;&gt;Cancelada")&gt;0,"M.Função ","")&amp;IF(COUNTIFS($C$22:$C$150,D12,$D$22:$D$150,"*Treinamento*",$Q$22:$Q$150,"&lt;&gt;Cancelada")&gt;0,"Trein. ","")))</f>
        <v/>
      </c>
      <c r="E13" s="77"/>
      <c r="F13" s="77" t="str">
        <f aca="false">IF(F12="","",TRIM(IF(COUNTIFS($C$22:$C$150,F12,$D$22:$D$150,"*Vistoria*",$Q$22:$Q$150,"&lt;&gt;Cancelada")&gt;0,"Vistoria ","")&amp;IF(COUNTIFS($C$22:$C$150,F12,$D$22:$D$150,"*Relatório*",$Q$22:$Q$150,"&lt;&gt;Cancelada")&gt;0,"Relatório ","")&amp;IF(COUNTIFS($C$22:$C$150,F12,$D$22:$D$150,"*Reunião*",$Q$22:$Q$150,"&lt;&gt;Cancelada")&gt;0,"REUNIÃO ","")&amp;IF(COUNTIFS($C$22:$C$150,F12,$D$22:$D$150,"*Férias*",$Q$22:$Q$150,"&lt;&gt;Cancelada")&gt;0,"Férias ","")&amp;IF(COUNTIFS($C$22:$C$150,F12,$D$22:$D$150,"*Mudança*",$Q$22:$Q$150,"&lt;&gt;Cancelada")&gt;0,"M.Função ","")&amp;IF(COUNTIFS($C$22:$C$150,F12,$D$22:$D$150,"*Treinamento*",$Q$22:$Q$150,"&lt;&gt;Cancelada")&gt;0,"Trein. ","")))</f>
        <v/>
      </c>
      <c r="G13" s="77"/>
      <c r="H13" s="77" t="str">
        <f aca="false">IF(H12="","",TRIM(IF(COUNTIFS($C$22:$C$150,H12,$D$22:$D$150,"*Vistoria*",$Q$22:$Q$150,"&lt;&gt;Cancelada")&gt;0,"Vistoria ","")&amp;IF(COUNTIFS($C$22:$C$150,H12,$D$22:$D$150,"*Relatório*",$Q$22:$Q$150,"&lt;&gt;Cancelada")&gt;0,"Relatório ","")&amp;IF(COUNTIFS($C$22:$C$150,H12,$D$22:$D$150,"*Reunião*",$Q$22:$Q$150,"&lt;&gt;Cancelada")&gt;0,"REUNIÃO ","")&amp;IF(COUNTIFS($C$22:$C$150,H12,$D$22:$D$150,"*Férias*",$Q$22:$Q$150,"&lt;&gt;Cancelada")&gt;0,"Férias ","")&amp;IF(COUNTIFS($C$22:$C$150,H12,$D$22:$D$150,"*Mudança*",$Q$22:$Q$150,"&lt;&gt;Cancelada")&gt;0,"M.Função ","")&amp;IF(COUNTIFS($C$22:$C$150,H12,$D$22:$D$150,"*Treinamento*",$Q$22:$Q$150,"&lt;&gt;Cancelada")&gt;0,"Trein. ","")))</f>
        <v>Vistoria</v>
      </c>
      <c r="I13" s="77"/>
      <c r="J13" s="77" t="str">
        <f aca="false">IF(J12="","",TRIM(IF(COUNTIFS($C$22:$C$150,J12,$D$22:$D$150,"*Vistoria*",$Q$22:$Q$150,"&lt;&gt;Cancelada")&gt;0,"Vistoria ","")&amp;IF(COUNTIFS($C$22:$C$150,J12,$D$22:$D$150,"*Relatório*",$Q$22:$Q$150,"&lt;&gt;Cancelada")&gt;0,"Relatório ","")&amp;IF(COUNTIFS($C$22:$C$150,J12,$D$22:$D$150,"*Reunião*",$Q$22:$Q$150,"&lt;&gt;Cancelada")&gt;0,"REUNIÃO ","")&amp;IF(COUNTIFS($C$22:$C$150,J12,$D$22:$D$150,"*Férias*",$Q$22:$Q$150,"&lt;&gt;Cancelada")&gt;0,"Férias ","")&amp;IF(COUNTIFS($C$22:$C$150,J12,$D$22:$D$150,"*Mudança*",$Q$22:$Q$150,"&lt;&gt;Cancelada")&gt;0,"M.Função ","")&amp;IF(COUNTIFS($C$22:$C$150,J12,$D$22:$D$150,"*Treinamento*",$Q$22:$Q$150,"&lt;&gt;Cancelada")&gt;0,"Trein. ","")))</f>
        <v>Relatório</v>
      </c>
      <c r="K13" s="77"/>
      <c r="L13" s="77" t="str">
        <f aca="false">IF(L12="","",TRIM(IF(COUNTIFS($C$22:$C$150,L12,$D$22:$D$150,"*Vistoria*",$Q$22:$Q$150,"&lt;&gt;Cancelada")&gt;0,"Vistoria ","")&amp;IF(COUNTIFS($C$22:$C$150,L12,$D$22:$D$150,"*Relatório*",$Q$22:$Q$150,"&lt;&gt;Cancelada")&gt;0,"Relatório ","")&amp;IF(COUNTIFS($C$22:$C$150,L12,$D$22:$D$150,"*Reunião*",$Q$22:$Q$150,"&lt;&gt;Cancelada")&gt;0,"REUNIÃO ","")&amp;IF(COUNTIFS($C$22:$C$150,L12,$D$22:$D$150,"*Férias*",$Q$22:$Q$150,"&lt;&gt;Cancelada")&gt;0,"Férias ","")&amp;IF(COUNTIFS($C$22:$C$150,L12,$D$22:$D$150,"*Mudança*",$Q$22:$Q$150,"&lt;&gt;Cancelada")&gt;0,"M.Função ","")&amp;IF(COUNTIFS($C$22:$C$150,L12,$D$22:$D$150,"*Treinamento*",$Q$22:$Q$150,"&lt;&gt;Cancelada")&gt;0,"Trein. ","")))</f>
        <v>REUNIÃO</v>
      </c>
      <c r="M13" s="77"/>
      <c r="N13" s="77" t="str">
        <f aca="false">IF(N12="","",TRIM(IF(COUNTIFS($C$22:$C$150,N12,$D$22:$D$150,"*Vistoria*",$Q$22:$Q$150,"&lt;&gt;Cancelada")&gt;0,"Vistoria ","")&amp;IF(COUNTIFS($C$22:$C$150,N12,$D$22:$D$150,"*Relatório*",$Q$22:$Q$150,"&lt;&gt;Cancelada")&gt;0,"Relatório ","")&amp;IF(COUNTIFS($C$22:$C$150,N12,$D$22:$D$150,"*Reunião*",$Q$22:$Q$150,"&lt;&gt;Cancelada")&gt;0,"REUNIÃO ","")&amp;IF(COUNTIFS($C$22:$C$150,N12,$D$22:$D$150,"*Férias*",$Q$22:$Q$150,"&lt;&gt;Cancelada")&gt;0,"Férias ","")&amp;IF(COUNTIFS($C$22:$C$150,N12,$D$22:$D$150,"*Mudança*",$Q$22:$Q$150,"&lt;&gt;Cancelada")&gt;0,"M.Função ","")&amp;IF(COUNTIFS($C$22:$C$150,N12,$D$22:$D$150,"*Treinamento*",$Q$22:$Q$150,"&lt;&gt;Cancelada")&gt;0,"Trein. ","")))</f>
        <v/>
      </c>
      <c r="O13" s="77"/>
    </row>
    <row r="14" customFormat="false" ht="15" hidden="false" customHeight="true" outlineLevel="0" collapsed="false">
      <c r="B14" s="76" t="n">
        <f aca="false">IF(MONTH($X$1-WEEKDAY($X$1)+1+28)=MONTH($X$1),$X$1-WEEKDAY($X$1)+1+28,"")</f>
        <v>46257</v>
      </c>
      <c r="C14" s="76"/>
      <c r="D14" s="76" t="n">
        <f aca="false">IF(MONTH($X$1-WEEKDAY($X$1)+1+29)=MONTH($X$1),$X$1-WEEKDAY($X$1)+1+29,"")</f>
        <v>46258</v>
      </c>
      <c r="E14" s="76"/>
      <c r="F14" s="76" t="n">
        <f aca="false">IF(MONTH($X$1-WEEKDAY($X$1)+1+30)=MONTH($X$1),$X$1-WEEKDAY($X$1)+1+30,"")</f>
        <v>46259</v>
      </c>
      <c r="G14" s="76"/>
      <c r="H14" s="76" t="n">
        <f aca="false">IF(MONTH($X$1-WEEKDAY($X$1)+1+31)=MONTH($X$1),$X$1-WEEKDAY($X$1)+1+31,"")</f>
        <v>46260</v>
      </c>
      <c r="I14" s="76"/>
      <c r="J14" s="76" t="n">
        <f aca="false">IF(MONTH($X$1-WEEKDAY($X$1)+1+32)=MONTH($X$1),$X$1-WEEKDAY($X$1)+1+32,"")</f>
        <v>46261</v>
      </c>
      <c r="K14" s="76"/>
      <c r="L14" s="76" t="n">
        <f aca="false">IF(MONTH($X$1-WEEKDAY($X$1)+1+33)=MONTH($X$1),$X$1-WEEKDAY($X$1)+1+33,"")</f>
        <v>46262</v>
      </c>
      <c r="M14" s="76"/>
      <c r="N14" s="76" t="n">
        <f aca="false">IF(MONTH($X$1-WEEKDAY($X$1)+1+34)=MONTH($X$1),$X$1-WEEKDAY($X$1)+1+34,"")</f>
        <v>46263</v>
      </c>
      <c r="O14" s="76"/>
    </row>
    <row r="15" customFormat="false" ht="25.5" hidden="false" customHeight="true" outlineLevel="0" collapsed="false">
      <c r="B15" s="77" t="str">
        <f aca="false">IF(B14="","",TRIM(IF(COUNTIFS($C$22:$C$150,B14,$D$22:$D$150,"*Vistoria*",$Q$22:$Q$150,"&lt;&gt;Cancelada")&gt;0,"Vistoria ","")&amp;IF(COUNTIFS($C$22:$C$150,B14,$D$22:$D$150,"*Relatório*",$Q$22:$Q$150,"&lt;&gt;Cancelada")&gt;0,"Relatório ","")&amp;IF(COUNTIFS($C$22:$C$150,B14,$D$22:$D$150,"*Reunião*",$Q$22:$Q$150,"&lt;&gt;Cancelada")&gt;0,"REUNIÃO ","")&amp;IF(COUNTIFS($C$22:$C$150,B14,$D$22:$D$150,"*Férias*",$Q$22:$Q$150,"&lt;&gt;Cancelada")&gt;0,"Férias ","")&amp;IF(COUNTIFS($C$22:$C$150,B14,$D$22:$D$150,"*Mudança*",$Q$22:$Q$150,"&lt;&gt;Cancelada")&gt;0,"M.Função ","")&amp;IF(COUNTIFS($C$22:$C$150,B14,$D$22:$D$150,"*Treinamento*",$Q$22:$Q$150,"&lt;&gt;Cancelada")&gt;0,"Trein. ","")))</f>
        <v/>
      </c>
      <c r="C15" s="77"/>
      <c r="D15" s="77" t="str">
        <f aca="false">IF(D14="","",TRIM(IF(COUNTIFS($C$22:$C$150,D14,$D$22:$D$150,"*Vistoria*",$Q$22:$Q$150,"&lt;&gt;Cancelada")&gt;0,"Vistoria ","")&amp;IF(COUNTIFS($C$22:$C$150,D14,$D$22:$D$150,"*Relatório*",$Q$22:$Q$150,"&lt;&gt;Cancelada")&gt;0,"Relatório ","")&amp;IF(COUNTIFS($C$22:$C$150,D14,$D$22:$D$150,"*Reunião*",$Q$22:$Q$150,"&lt;&gt;Cancelada")&gt;0,"REUNIÃO ","")&amp;IF(COUNTIFS($C$22:$C$150,D14,$D$22:$D$150,"*Férias*",$Q$22:$Q$150,"&lt;&gt;Cancelada")&gt;0,"Férias ","")&amp;IF(COUNTIFS($C$22:$C$150,D14,$D$22:$D$150,"*Mudança*",$Q$22:$Q$150,"&lt;&gt;Cancelada")&gt;0,"M.Função ","")&amp;IF(COUNTIFS($C$22:$C$150,D14,$D$22:$D$150,"*Treinamento*",$Q$22:$Q$150,"&lt;&gt;Cancelada")&gt;0,"Trein. ","")))</f>
        <v/>
      </c>
      <c r="E15" s="77"/>
      <c r="F15" s="77" t="str">
        <f aca="false">IF(F14="","",TRIM(IF(COUNTIFS($C$22:$C$150,F14,$D$22:$D$150,"*Vistoria*",$Q$22:$Q$150,"&lt;&gt;Cancelada")&gt;0,"Vistoria ","")&amp;IF(COUNTIFS($C$22:$C$150,F14,$D$22:$D$150,"*Relatório*",$Q$22:$Q$150,"&lt;&gt;Cancelada")&gt;0,"Relatório ","")&amp;IF(COUNTIFS($C$22:$C$150,F14,$D$22:$D$150,"*Reunião*",$Q$22:$Q$150,"&lt;&gt;Cancelada")&gt;0,"REUNIÃO ","")&amp;IF(COUNTIFS($C$22:$C$150,F14,$D$22:$D$150,"*Férias*",$Q$22:$Q$150,"&lt;&gt;Cancelada")&gt;0,"Férias ","")&amp;IF(COUNTIFS($C$22:$C$150,F14,$D$22:$D$150,"*Mudança*",$Q$22:$Q$150,"&lt;&gt;Cancelada")&gt;0,"M.Função ","")&amp;IF(COUNTIFS($C$22:$C$150,F14,$D$22:$D$150,"*Treinamento*",$Q$22:$Q$150,"&lt;&gt;Cancelada")&gt;0,"Trein. ","")))</f>
        <v/>
      </c>
      <c r="G15" s="77"/>
      <c r="H15" s="77" t="str">
        <f aca="false">IF(H14="","",TRIM(IF(COUNTIFS($C$22:$C$150,H14,$D$22:$D$150,"*Vistoria*",$Q$22:$Q$150,"&lt;&gt;Cancelada")&gt;0,"Vistoria ","")&amp;IF(COUNTIFS($C$22:$C$150,H14,$D$22:$D$150,"*Relatório*",$Q$22:$Q$150,"&lt;&gt;Cancelada")&gt;0,"Relatório ","")&amp;IF(COUNTIFS($C$22:$C$150,H14,$D$22:$D$150,"*Reunião*",$Q$22:$Q$150,"&lt;&gt;Cancelada")&gt;0,"REUNIÃO ","")&amp;IF(COUNTIFS($C$22:$C$150,H14,$D$22:$D$150,"*Férias*",$Q$22:$Q$150,"&lt;&gt;Cancelada")&gt;0,"Férias ","")&amp;IF(COUNTIFS($C$22:$C$150,H14,$D$22:$D$150,"*Mudança*",$Q$22:$Q$150,"&lt;&gt;Cancelada")&gt;0,"M.Função ","")&amp;IF(COUNTIFS($C$22:$C$150,H14,$D$22:$D$150,"*Treinamento*",$Q$22:$Q$150,"&lt;&gt;Cancelada")&gt;0,"Trein. ","")))</f>
        <v>Vistoria</v>
      </c>
      <c r="I15" s="77"/>
      <c r="J15" s="77" t="str">
        <f aca="false">IF(J14="","",TRIM(IF(COUNTIFS($C$22:$C$150,J14,$D$22:$D$150,"*Vistoria*",$Q$22:$Q$150,"&lt;&gt;Cancelada")&gt;0,"Vistoria ","")&amp;IF(COUNTIFS($C$22:$C$150,J14,$D$22:$D$150,"*Relatório*",$Q$22:$Q$150,"&lt;&gt;Cancelada")&gt;0,"Relatório ","")&amp;IF(COUNTIFS($C$22:$C$150,J14,$D$22:$D$150,"*Reunião*",$Q$22:$Q$150,"&lt;&gt;Cancelada")&gt;0,"REUNIÃO ","")&amp;IF(COUNTIFS($C$22:$C$150,J14,$D$22:$D$150,"*Férias*",$Q$22:$Q$150,"&lt;&gt;Cancelada")&gt;0,"Férias ","")&amp;IF(COUNTIFS($C$22:$C$150,J14,$D$22:$D$150,"*Mudança*",$Q$22:$Q$150,"&lt;&gt;Cancelada")&gt;0,"M.Função ","")&amp;IF(COUNTIFS($C$22:$C$150,J14,$D$22:$D$150,"*Treinamento*",$Q$22:$Q$150,"&lt;&gt;Cancelada")&gt;0,"Trein. ","")))</f>
        <v>Relatório</v>
      </c>
      <c r="K15" s="77"/>
      <c r="L15" s="77" t="str">
        <f aca="false">IF(L14="","",TRIM(IF(COUNTIFS($C$22:$C$150,L14,$D$22:$D$150,"*Vistoria*",$Q$22:$Q$150,"&lt;&gt;Cancelada")&gt;0,"Vistoria ","")&amp;IF(COUNTIFS($C$22:$C$150,L14,$D$22:$D$150,"*Relatório*",$Q$22:$Q$150,"&lt;&gt;Cancelada")&gt;0,"Relatório ","")&amp;IF(COUNTIFS($C$22:$C$150,L14,$D$22:$D$150,"*Reunião*",$Q$22:$Q$150,"&lt;&gt;Cancelada")&gt;0,"REUNIÃO ","")&amp;IF(COUNTIFS($C$22:$C$150,L14,$D$22:$D$150,"*Férias*",$Q$22:$Q$150,"&lt;&gt;Cancelada")&gt;0,"Férias ","")&amp;IF(COUNTIFS($C$22:$C$150,L14,$D$22:$D$150,"*Mudança*",$Q$22:$Q$150,"&lt;&gt;Cancelada")&gt;0,"M.Função ","")&amp;IF(COUNTIFS($C$22:$C$150,L14,$D$22:$D$150,"*Treinamento*",$Q$22:$Q$150,"&lt;&gt;Cancelada")&gt;0,"Trein. ","")))</f>
        <v>REUNIÃO M.Função</v>
      </c>
      <c r="M15" s="77"/>
      <c r="N15" s="77" t="str">
        <f aca="false">IF(N14="","",TRIM(IF(COUNTIFS($C$22:$C$150,N14,$D$22:$D$150,"*Vistoria*",$Q$22:$Q$150,"&lt;&gt;Cancelada")&gt;0,"Vistoria ","")&amp;IF(COUNTIFS($C$22:$C$150,N14,$D$22:$D$150,"*Relatório*",$Q$22:$Q$150,"&lt;&gt;Cancelada")&gt;0,"Relatório ","")&amp;IF(COUNTIFS($C$22:$C$150,N14,$D$22:$D$150,"*Reunião*",$Q$22:$Q$150,"&lt;&gt;Cancelada")&gt;0,"REUNIÃO ","")&amp;IF(COUNTIFS($C$22:$C$150,N14,$D$22:$D$150,"*Férias*",$Q$22:$Q$150,"&lt;&gt;Cancelada")&gt;0,"Férias ","")&amp;IF(COUNTIFS($C$22:$C$150,N14,$D$22:$D$150,"*Mudança*",$Q$22:$Q$150,"&lt;&gt;Cancelada")&gt;0,"M.Função ","")&amp;IF(COUNTIFS($C$22:$C$150,N14,$D$22:$D$150,"*Treinamento*",$Q$22:$Q$150,"&lt;&gt;Cancelada")&gt;0,"Trein. ","")))</f>
        <v/>
      </c>
      <c r="O15" s="77"/>
    </row>
    <row r="16" customFormat="false" ht="15" hidden="false" customHeight="true" outlineLevel="0" collapsed="false">
      <c r="B16" s="76" t="n">
        <f aca="false">IF(MONTH($X$1-WEEKDAY($X$1)+1+35)=MONTH($X$1),$X$1-WEEKDAY($X$1)+1+35,"")</f>
        <v>46264</v>
      </c>
      <c r="C16" s="76"/>
      <c r="D16" s="76" t="n">
        <f aca="false">IF(MONTH($X$1-WEEKDAY($X$1)+1+36)=MONTH($X$1),$X$1-WEEKDAY($X$1)+1+36,"")</f>
        <v>46265</v>
      </c>
      <c r="E16" s="76"/>
      <c r="F16" s="76" t="str">
        <f aca="false">IF(MONTH($X$1-WEEKDAY($X$1)+1+37)=MONTH($X$1),$X$1-WEEKDAY($X$1)+1+37,"")</f>
        <v/>
      </c>
      <c r="G16" s="76"/>
      <c r="H16" s="76" t="str">
        <f aca="false">IF(MONTH($X$1-WEEKDAY($X$1)+1+38)=MONTH($X$1),$X$1-WEEKDAY($X$1)+1+38,"")</f>
        <v/>
      </c>
      <c r="I16" s="76"/>
      <c r="J16" s="76" t="str">
        <f aca="false">IF(MONTH($X$1-WEEKDAY($X$1)+1+39)=MONTH($X$1),$X$1-WEEKDAY($X$1)+1+39,"")</f>
        <v/>
      </c>
      <c r="K16" s="76"/>
      <c r="L16" s="76" t="str">
        <f aca="false">IF(MONTH($X$1-WEEKDAY($X$1)+1+40)=MONTH($X$1),$X$1-WEEKDAY($X$1)+1+40,"")</f>
        <v/>
      </c>
      <c r="M16" s="76"/>
      <c r="N16" s="76" t="str">
        <f aca="false">IF(MONTH($X$1-WEEKDAY($X$1)+1+41)=MONTH($X$1),$X$1-WEEKDAY($X$1)+1+41,"")</f>
        <v/>
      </c>
      <c r="O16" s="76"/>
    </row>
    <row r="17" customFormat="false" ht="25.5" hidden="false" customHeight="true" outlineLevel="0" collapsed="false">
      <c r="B17" s="77" t="str">
        <f aca="false">IF(B16="","",TRIM(IF(COUNTIFS($C$22:$C$150,B16,$D$22:$D$150,"*Vistoria*",$Q$22:$Q$150,"&lt;&gt;Cancelada")&gt;0,"Vistoria ","")&amp;IF(COUNTIFS($C$22:$C$150,B16,$D$22:$D$150,"*Relatório*",$Q$22:$Q$150,"&lt;&gt;Cancelada")&gt;0,"Relatório ","")&amp;IF(COUNTIFS($C$22:$C$150,B16,$D$22:$D$150,"*Reunião*",$Q$22:$Q$150,"&lt;&gt;Cancelada")&gt;0,"REUNIÃO ","")&amp;IF(COUNTIFS($C$22:$C$150,B16,$D$22:$D$150,"*Férias*",$Q$22:$Q$150,"&lt;&gt;Cancelada")&gt;0,"Férias ","")&amp;IF(COUNTIFS($C$22:$C$150,B16,$D$22:$D$150,"*Mudança*",$Q$22:$Q$150,"&lt;&gt;Cancelada")&gt;0,"M.Função ","")&amp;IF(COUNTIFS($C$22:$C$150,B16,$D$22:$D$150,"*Treinamento*",$Q$22:$Q$150,"&lt;&gt;Cancelada")&gt;0,"Trein. ","")))</f>
        <v/>
      </c>
      <c r="C17" s="77"/>
      <c r="D17" s="77" t="str">
        <f aca="false">IF(D16="","",TRIM(IF(COUNTIFS($C$22:$C$150,D16,$D$22:$D$150,"*Vistoria*",$Q$22:$Q$150,"&lt;&gt;Cancelada")&gt;0,"Vistoria ","")&amp;IF(COUNTIFS($C$22:$C$150,D16,$D$22:$D$150,"*Relatório*",$Q$22:$Q$150,"&lt;&gt;Cancelada")&gt;0,"Relatório ","")&amp;IF(COUNTIFS($C$22:$C$150,D16,$D$22:$D$150,"*Reunião*",$Q$22:$Q$150,"&lt;&gt;Cancelada")&gt;0,"REUNIÃO ","")&amp;IF(COUNTIFS($C$22:$C$150,D16,$D$22:$D$150,"*Férias*",$Q$22:$Q$150,"&lt;&gt;Cancelada")&gt;0,"Férias ","")&amp;IF(COUNTIFS($C$22:$C$150,D16,$D$22:$D$150,"*Mudança*",$Q$22:$Q$150,"&lt;&gt;Cancelada")&gt;0,"M.Função ","")&amp;IF(COUNTIFS($C$22:$C$150,D16,$D$22:$D$150,"*Treinamento*",$Q$22:$Q$150,"&lt;&gt;Cancelada")&gt;0,"Trein. ","")))</f>
        <v/>
      </c>
      <c r="E17" s="77"/>
      <c r="F17" s="77" t="str">
        <f aca="false">IF(F16="","",TRIM(IF(COUNTIFS($C$22:$C$150,F16,$D$22:$D$150,"*Vistoria*",$Q$22:$Q$150,"&lt;&gt;Cancelada")&gt;0,"Vistoria ","")&amp;IF(COUNTIFS($C$22:$C$150,F16,$D$22:$D$150,"*Relatório*",$Q$22:$Q$150,"&lt;&gt;Cancelada")&gt;0,"Relatório ","")&amp;IF(COUNTIFS($C$22:$C$150,F16,$D$22:$D$150,"*Reunião*",$Q$22:$Q$150,"&lt;&gt;Cancelada")&gt;0,"REUNIÃO ","")&amp;IF(COUNTIFS($C$22:$C$150,F16,$D$22:$D$150,"*Férias*",$Q$22:$Q$150,"&lt;&gt;Cancelada")&gt;0,"Férias ","")&amp;IF(COUNTIFS($C$22:$C$150,F16,$D$22:$D$150,"*Mudança*",$Q$22:$Q$150,"&lt;&gt;Cancelada")&gt;0,"M.Função ","")&amp;IF(COUNTIFS($C$22:$C$150,F16,$D$22:$D$150,"*Treinamento*",$Q$22:$Q$150,"&lt;&gt;Cancelada")&gt;0,"Trein. ","")))</f>
        <v/>
      </c>
      <c r="G17" s="77"/>
      <c r="H17" s="77" t="str">
        <f aca="false">IF(H16="","",TRIM(IF(COUNTIFS($C$22:$C$150,H16,$D$22:$D$150,"*Vistoria*",$Q$22:$Q$150,"&lt;&gt;Cancelada")&gt;0,"Vistoria ","")&amp;IF(COUNTIFS($C$22:$C$150,H16,$D$22:$D$150,"*Relatório*",$Q$22:$Q$150,"&lt;&gt;Cancelada")&gt;0,"Relatório ","")&amp;IF(COUNTIFS($C$22:$C$150,H16,$D$22:$D$150,"*Reunião*",$Q$22:$Q$150,"&lt;&gt;Cancelada")&gt;0,"REUNIÃO ","")&amp;IF(COUNTIFS($C$22:$C$150,H16,$D$22:$D$150,"*Férias*",$Q$22:$Q$150,"&lt;&gt;Cancelada")&gt;0,"Férias ","")&amp;IF(COUNTIFS($C$22:$C$150,H16,$D$22:$D$150,"*Mudança*",$Q$22:$Q$150,"&lt;&gt;Cancelada")&gt;0,"M.Função ","")&amp;IF(COUNTIFS($C$22:$C$150,H16,$D$22:$D$150,"*Treinamento*",$Q$22:$Q$150,"&lt;&gt;Cancelada")&gt;0,"Trein. ","")))</f>
        <v/>
      </c>
      <c r="I17" s="77"/>
      <c r="J17" s="77" t="str">
        <f aca="false">IF(J16="","",TRIM(IF(COUNTIFS($C$22:$C$150,J16,$D$22:$D$150,"*Vistoria*",$Q$22:$Q$150,"&lt;&gt;Cancelada")&gt;0,"Vistoria ","")&amp;IF(COUNTIFS($C$22:$C$150,J16,$D$22:$D$150,"*Relatório*",$Q$22:$Q$150,"&lt;&gt;Cancelada")&gt;0,"Relatório ","")&amp;IF(COUNTIFS($C$22:$C$150,J16,$D$22:$D$150,"*Reunião*",$Q$22:$Q$150,"&lt;&gt;Cancelada")&gt;0,"REUNIÃO ","")&amp;IF(COUNTIFS($C$22:$C$150,J16,$D$22:$D$150,"*Férias*",$Q$22:$Q$150,"&lt;&gt;Cancelada")&gt;0,"Férias ","")&amp;IF(COUNTIFS($C$22:$C$150,J16,$D$22:$D$150,"*Mudança*",$Q$22:$Q$150,"&lt;&gt;Cancelada")&gt;0,"M.Função ","")&amp;IF(COUNTIFS($C$22:$C$150,J16,$D$22:$D$150,"*Treinamento*",$Q$22:$Q$150,"&lt;&gt;Cancelada")&gt;0,"Trein. ","")))</f>
        <v/>
      </c>
      <c r="K17" s="77"/>
      <c r="L17" s="77" t="str">
        <f aca="false">IF(L16="","",TRIM(IF(COUNTIFS($C$22:$C$150,L16,$D$22:$D$150,"*Vistoria*",$Q$22:$Q$150,"&lt;&gt;Cancelada")&gt;0,"Vistoria ","")&amp;IF(COUNTIFS($C$22:$C$150,L16,$D$22:$D$150,"*Relatório*",$Q$22:$Q$150,"&lt;&gt;Cancelada")&gt;0,"Relatório ","")&amp;IF(COUNTIFS($C$22:$C$150,L16,$D$22:$D$150,"*Reunião*",$Q$22:$Q$150,"&lt;&gt;Cancelada")&gt;0,"REUNIÃO ","")&amp;IF(COUNTIFS($C$22:$C$150,L16,$D$22:$D$150,"*Férias*",$Q$22:$Q$150,"&lt;&gt;Cancelada")&gt;0,"Férias ","")&amp;IF(COUNTIFS($C$22:$C$150,L16,$D$22:$D$150,"*Mudança*",$Q$22:$Q$150,"&lt;&gt;Cancelada")&gt;0,"M.Função ","")&amp;IF(COUNTIFS($C$22:$C$150,L16,$D$22:$D$150,"*Treinamento*",$Q$22:$Q$150,"&lt;&gt;Cancelada")&gt;0,"Trein. ","")))</f>
        <v/>
      </c>
      <c r="M17" s="77"/>
      <c r="N17" s="77" t="str">
        <f aca="false">IF(N16="","",TRIM(IF(COUNTIFS($C$22:$C$150,N16,$D$22:$D$150,"*Vistoria*",$Q$22:$Q$150,"&lt;&gt;Cancelada")&gt;0,"Vistoria ","")&amp;IF(COUNTIFS($C$22:$C$150,N16,$D$22:$D$150,"*Relatório*",$Q$22:$Q$150,"&lt;&gt;Cancelada")&gt;0,"Relatório ","")&amp;IF(COUNTIFS($C$22:$C$150,N16,$D$22:$D$150,"*Reunião*",$Q$22:$Q$150,"&lt;&gt;Cancelada")&gt;0,"REUNIÃO ","")&amp;IF(COUNTIFS($C$22:$C$150,N16,$D$22:$D$150,"*Férias*",$Q$22:$Q$150,"&lt;&gt;Cancelada")&gt;0,"Férias ","")&amp;IF(COUNTIFS($C$22:$C$150,N16,$D$22:$D$150,"*Mudança*",$Q$22:$Q$150,"&lt;&gt;Cancelada")&gt;0,"M.Função ","")&amp;IF(COUNTIFS($C$22:$C$150,N16,$D$22:$D$150,"*Treinamento*",$Q$22:$Q$150,"&lt;&gt;Cancelada")&gt;0,"Trein. ","")))</f>
        <v/>
      </c>
      <c r="O17" s="77"/>
    </row>
    <row r="18" customFormat="false" ht="15" hidden="false" customHeight="true" outlineLevel="0" collapsed="false">
      <c r="B18" s="46" t="s">
        <v>213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</row>
    <row r="20" customFormat="false" ht="15" hidden="false" customHeight="true" outlineLevel="0" collapsed="false">
      <c r="A20" s="78" t="s">
        <v>214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</row>
    <row r="21" customFormat="false" ht="24" hidden="false" customHeight="true" outlineLevel="0" collapsed="false">
      <c r="A21" s="79" t="s">
        <v>215</v>
      </c>
      <c r="B21" s="79" t="s">
        <v>157</v>
      </c>
      <c r="C21" s="79" t="s">
        <v>216</v>
      </c>
      <c r="D21" s="79" t="s">
        <v>217</v>
      </c>
      <c r="E21" s="79"/>
      <c r="F21" s="79"/>
      <c r="G21" s="79" t="s">
        <v>58</v>
      </c>
      <c r="H21" s="79" t="s">
        <v>218</v>
      </c>
      <c r="I21" s="79"/>
      <c r="J21" s="79" t="s">
        <v>219</v>
      </c>
      <c r="K21" s="79" t="s">
        <v>61</v>
      </c>
      <c r="L21" s="79" t="s">
        <v>220</v>
      </c>
      <c r="M21" s="79" t="s">
        <v>221</v>
      </c>
      <c r="N21" s="79"/>
      <c r="O21" s="79"/>
      <c r="P21" s="79" t="s">
        <v>222</v>
      </c>
      <c r="Q21" s="79" t="s">
        <v>223</v>
      </c>
      <c r="R21" s="79" t="s">
        <v>224</v>
      </c>
      <c r="S21" s="79" t="s">
        <v>225</v>
      </c>
      <c r="T21" s="79" t="s">
        <v>226</v>
      </c>
      <c r="U21" s="79" t="s">
        <v>227</v>
      </c>
      <c r="V21" s="79" t="s">
        <v>228</v>
      </c>
    </row>
    <row r="22" customFormat="false" ht="15" hidden="false" customHeight="false" outlineLevel="0" collapsed="false">
      <c r="A22" s="80" t="str">
        <f aca="false">IF($C22="","",$X$2&amp;"-S"&amp;INT(($C22-WEEKDAY($C22,2)+11-DATE(YEAR($C22+4-WEEKDAY($C22,2)),1,1))/7)&amp;"-FER-A")</f>
        <v>AGO-S32-FER-A</v>
      </c>
      <c r="B22" s="81" t="str">
        <f aca="false">IF($C22="","","S"&amp;INT(($C22-WEEKDAY($C22,2)+11-DATE(YEAR($C22+4-WEEKDAY($C22,2)),1,1))/7))</f>
        <v>S32</v>
      </c>
      <c r="C22" s="82" t="n">
        <f aca="false">$X$1+MOD(8-WEEKDAY($X$1,2),7)</f>
        <v>46237</v>
      </c>
      <c r="D22" s="9" t="str">
        <f aca="false">IF($C22="","","Programação de Férias (mensal)")</f>
        <v>Programação de Férias (mensal)</v>
      </c>
      <c r="E22" s="9"/>
      <c r="F22" s="9"/>
      <c r="G22" s="81" t="str">
        <f aca="false">IF($C22="","","A")</f>
        <v>A</v>
      </c>
      <c r="H22" s="81" t="str">
        <f aca="false">IF($C22="","",IF($G22="A",CONFIG!$B$5,IF($G22="B",CONFIG!$B$6,IF($G22="C",CONFIG!$B$7,"Gerência + coordenadores"))))</f>
        <v>(preencha o nome)</v>
      </c>
      <c r="I22" s="81"/>
      <c r="J22" s="81" t="str">
        <f aca="false">IF($C22="","","—")</f>
        <v>—</v>
      </c>
      <c r="K22" s="83" t="str">
        <f aca="false">IF($C22="","","—")</f>
        <v>—</v>
      </c>
      <c r="L22" s="83" t="str">
        <f aca="false">IF($C22="","","—")</f>
        <v>—</v>
      </c>
      <c r="M22" s="84"/>
      <c r="N22" s="84"/>
      <c r="O22" s="84"/>
      <c r="P22" s="85"/>
      <c r="Q22" s="86"/>
      <c r="R22" s="87"/>
      <c r="S22" s="81" t="str">
        <f aca="true">IF($C22="","",IF($Q22="Cancelada","Cancelada",IF($Q22="Reprovado","Reprovada",IF($Q22="Aprovado","Aprovada",IF($M22&lt;&gt;"","Entregue",IF(TODAY()&gt;$C22,"Atrasada","Pendente"))))))</f>
        <v>Pendente</v>
      </c>
      <c r="T22" s="88"/>
      <c r="U22" s="88"/>
      <c r="V22" s="88"/>
    </row>
    <row r="23" customFormat="false" ht="15" hidden="false" customHeight="false" outlineLevel="0" collapsed="false">
      <c r="A23" s="89" t="str">
        <f aca="false">IF($C23="","",$X$2&amp;"-S"&amp;INT(($C23-WEEKDAY($C23,2)+11-DATE(YEAR($C23+4-WEEKDAY($C23,2)),1,1))/7)&amp;"-FER-B")</f>
        <v>AGO-S32-FER-B</v>
      </c>
      <c r="B23" s="60" t="str">
        <f aca="false">IF($C23="","","S"&amp;INT(($C23-WEEKDAY($C23,2)+11-DATE(YEAR($C23+4-WEEKDAY($C23,2)),1,1))/7))</f>
        <v>S32</v>
      </c>
      <c r="C23" s="82" t="n">
        <f aca="false">$X$1+MOD(8-WEEKDAY($X$1,2),7)</f>
        <v>46237</v>
      </c>
      <c r="D23" s="56" t="str">
        <f aca="false">IF($C23="","","Programação de Férias (mensal)")</f>
        <v>Programação de Férias (mensal)</v>
      </c>
      <c r="E23" s="56"/>
      <c r="F23" s="56"/>
      <c r="G23" s="60" t="str">
        <f aca="false">IF($C23="","","B")</f>
        <v>B</v>
      </c>
      <c r="H23" s="60" t="str">
        <f aca="false">IF($C23="","",IF($G23="A",CONFIG!$B$5,IF($G23="B",CONFIG!$B$6,IF($G23="C",CONFIG!$B$7,"Gerência + coordenadores"))))</f>
        <v>(preencha o nome)</v>
      </c>
      <c r="I23" s="60"/>
      <c r="J23" s="81" t="str">
        <f aca="false">IF($C23="","","—")</f>
        <v>—</v>
      </c>
      <c r="K23" s="83" t="str">
        <f aca="false">IF($C23="","","—")</f>
        <v>—</v>
      </c>
      <c r="L23" s="83" t="str">
        <f aca="false">IF($C23="","","—")</f>
        <v>—</v>
      </c>
      <c r="M23" s="84"/>
      <c r="N23" s="84"/>
      <c r="O23" s="84"/>
      <c r="P23" s="90"/>
      <c r="Q23" s="86"/>
      <c r="R23" s="87"/>
      <c r="S23" s="60" t="str">
        <f aca="true">IF($C23="","",IF($Q23="Cancelada","Cancelada",IF($Q23="Reprovado","Reprovada",IF($Q23="Aprovado","Aprovada",IF($M23&lt;&gt;"","Entregue",IF(TODAY()&gt;$C23,"Atrasada","Pendente"))))))</f>
        <v>Pendente</v>
      </c>
      <c r="T23" s="88"/>
      <c r="U23" s="88"/>
      <c r="V23" s="88"/>
    </row>
    <row r="24" customFormat="false" ht="15" hidden="false" customHeight="false" outlineLevel="0" collapsed="false">
      <c r="A24" s="80" t="str">
        <f aca="false">IF($C24="","",$X$2&amp;"-S"&amp;INT(($C24-WEEKDAY($C24,2)+11-DATE(YEAR($C24+4-WEEKDAY($C24,2)),1,1))/7)&amp;"-FER-C")</f>
        <v>AGO-S32-FER-C</v>
      </c>
      <c r="B24" s="81" t="str">
        <f aca="false">IF($C24="","","S"&amp;INT(($C24-WEEKDAY($C24,2)+11-DATE(YEAR($C24+4-WEEKDAY($C24,2)),1,1))/7))</f>
        <v>S32</v>
      </c>
      <c r="C24" s="82" t="n">
        <f aca="false">$X$1+MOD(8-WEEKDAY($X$1,2),7)</f>
        <v>46237</v>
      </c>
      <c r="D24" s="9" t="str">
        <f aca="false">IF($C24="","","Programação de Férias (mensal)")</f>
        <v>Programação de Férias (mensal)</v>
      </c>
      <c r="E24" s="9"/>
      <c r="F24" s="9"/>
      <c r="G24" s="81" t="str">
        <f aca="false">IF($C24="","","C")</f>
        <v>C</v>
      </c>
      <c r="H24" s="81" t="str">
        <f aca="false">IF($C24="","",IF($G24="A",CONFIG!$B$5,IF($G24="B",CONFIG!$B$6,IF($G24="C",CONFIG!$B$7,"Gerência + coordenadores"))))</f>
        <v>(preencha o nome)</v>
      </c>
      <c r="I24" s="81"/>
      <c r="J24" s="81" t="str">
        <f aca="false">IF($C24="","","—")</f>
        <v>—</v>
      </c>
      <c r="K24" s="83" t="str">
        <f aca="false">IF($C24="","","—")</f>
        <v>—</v>
      </c>
      <c r="L24" s="83" t="str">
        <f aca="false">IF($C24="","","—")</f>
        <v>—</v>
      </c>
      <c r="M24" s="84"/>
      <c r="N24" s="84"/>
      <c r="O24" s="84"/>
      <c r="P24" s="85"/>
      <c r="Q24" s="86"/>
      <c r="R24" s="87"/>
      <c r="S24" s="81" t="str">
        <f aca="true">IF($C24="","",IF($Q24="Cancelada","Cancelada",IF($Q24="Reprovado","Reprovada",IF($Q24="Aprovado","Aprovada",IF($M24&lt;&gt;"","Entregue",IF(TODAY()&gt;$C24,"Atrasada","Pendente"))))))</f>
        <v>Pendente</v>
      </c>
      <c r="T24" s="88"/>
      <c r="U24" s="88"/>
      <c r="V24" s="88"/>
    </row>
    <row r="25" customFormat="false" ht="15" hidden="false" customHeight="false" outlineLevel="0" collapsed="false">
      <c r="A25" s="89" t="str">
        <f aca="false">IF($C25="","",$X$2&amp;"-S"&amp;INT(($C25-WEEKDAY($C25,2)+11-DATE(YEAR($C25+4-WEEKDAY($C25,2)),1,1))/7)&amp;"-VIS-A")</f>
        <v/>
      </c>
      <c r="B25" s="60" t="str">
        <f aca="false">IF($C25="","","S"&amp;INT(($C25-WEEKDAY($C25,2)+11-DATE(YEAR($C25+4-WEEKDAY($C25,2)),1,1))/7))</f>
        <v/>
      </c>
      <c r="C25" s="82" t="str">
        <f aca="false">IF(MONTH(($X$1-WEEKDAY($X$1,3)+0)+2)=MONTH($X$1),($X$1-WEEKDAY($X$1,3)+0)+2,"")</f>
        <v/>
      </c>
      <c r="D25" s="56" t="str">
        <f aca="false">IF($C25="","","Vistoria Setorial (checklist no setor definido pelo gerente)")</f>
        <v/>
      </c>
      <c r="E25" s="56"/>
      <c r="F25" s="56"/>
      <c r="G25" s="60" t="str">
        <f aca="false">IF($C25="","","A")</f>
        <v/>
      </c>
      <c r="H25" s="60" t="str">
        <f aca="false">IF($C25="","",IF($G25="A",CONFIG!$B$5,IF($G25="B",CONFIG!$B$6,IF($G25="C",CONFIG!$B$7,"Gerência + coordenadores"))))</f>
        <v/>
      </c>
      <c r="I25" s="60"/>
      <c r="J25" s="86"/>
      <c r="K25" s="83" t="str">
        <f aca="false">IF($C25="","","—")</f>
        <v/>
      </c>
      <c r="L25" s="83" t="str">
        <f aca="false">IF($C25="","","—")</f>
        <v/>
      </c>
      <c r="M25" s="84"/>
      <c r="N25" s="84"/>
      <c r="O25" s="84"/>
      <c r="P25" s="90"/>
      <c r="Q25" s="86"/>
      <c r="R25" s="87"/>
      <c r="S25" s="60" t="str">
        <f aca="true">IF($C25="","",IF($Q25="Cancelada","Cancelada",IF($Q25="Reprovado","Reprovada",IF($Q25="Aprovado","Aprovada",IF($M25&lt;&gt;"","Entregue",IF(TODAY()&gt;$C25,"Atrasada","Pendente"))))))</f>
        <v/>
      </c>
      <c r="T25" s="88"/>
      <c r="U25" s="88"/>
      <c r="V25" s="88"/>
    </row>
    <row r="26" customFormat="false" ht="15" hidden="false" customHeight="false" outlineLevel="0" collapsed="false">
      <c r="A26" s="80" t="str">
        <f aca="false">IF($C26="","",$X$2&amp;"-S"&amp;INT(($C26-WEEKDAY($C26,2)+11-DATE(YEAR($C26+4-WEEKDAY($C26,2)),1,1))/7)&amp;"-VIS-B")</f>
        <v/>
      </c>
      <c r="B26" s="81" t="str">
        <f aca="false">IF($C26="","","S"&amp;INT(($C26-WEEKDAY($C26,2)+11-DATE(YEAR($C26+4-WEEKDAY($C26,2)),1,1))/7))</f>
        <v/>
      </c>
      <c r="C26" s="82" t="str">
        <f aca="false">IF(MONTH(($X$1-WEEKDAY($X$1,3)+0)+2)=MONTH($X$1),($X$1-WEEKDAY($X$1,3)+0)+2,"")</f>
        <v/>
      </c>
      <c r="D26" s="9" t="str">
        <f aca="false">IF($C26="","","Vistoria Setorial (checklist no setor definido pelo gerente)")</f>
        <v/>
      </c>
      <c r="E26" s="9"/>
      <c r="F26" s="9"/>
      <c r="G26" s="81" t="str">
        <f aca="false">IF($C26="","","B")</f>
        <v/>
      </c>
      <c r="H26" s="81" t="str">
        <f aca="false">IF($C26="","",IF($G26="A",CONFIG!$B$5,IF($G26="B",CONFIG!$B$6,IF($G26="C",CONFIG!$B$7,"Gerência + coordenadores"))))</f>
        <v/>
      </c>
      <c r="I26" s="81"/>
      <c r="J26" s="86"/>
      <c r="K26" s="83" t="str">
        <f aca="false">IF($C26="","","—")</f>
        <v/>
      </c>
      <c r="L26" s="83" t="str">
        <f aca="false">IF($C26="","","—")</f>
        <v/>
      </c>
      <c r="M26" s="84"/>
      <c r="N26" s="84"/>
      <c r="O26" s="84"/>
      <c r="P26" s="85"/>
      <c r="Q26" s="86"/>
      <c r="R26" s="87"/>
      <c r="S26" s="81" t="str">
        <f aca="true">IF($C26="","",IF($Q26="Cancelada","Cancelada",IF($Q26="Reprovado","Reprovada",IF($Q26="Aprovado","Aprovada",IF($M26&lt;&gt;"","Entregue",IF(TODAY()&gt;$C26,"Atrasada","Pendente"))))))</f>
        <v/>
      </c>
      <c r="T26" s="88"/>
      <c r="U26" s="88"/>
      <c r="V26" s="88"/>
    </row>
    <row r="27" customFormat="false" ht="15" hidden="false" customHeight="false" outlineLevel="0" collapsed="false">
      <c r="A27" s="89" t="str">
        <f aca="false">IF($C27="","",$X$2&amp;"-S"&amp;INT(($C27-WEEKDAY($C27,2)+11-DATE(YEAR($C27+4-WEEKDAY($C27,2)),1,1))/7)&amp;"-VIS-C")</f>
        <v/>
      </c>
      <c r="B27" s="60" t="str">
        <f aca="false">IF($C27="","","S"&amp;INT(($C27-WEEKDAY($C27,2)+11-DATE(YEAR($C27+4-WEEKDAY($C27,2)),1,1))/7))</f>
        <v/>
      </c>
      <c r="C27" s="82" t="str">
        <f aca="false">IF(MONTH(($X$1-WEEKDAY($X$1,3)+0)+2)=MONTH($X$1),($X$1-WEEKDAY($X$1,3)+0)+2,"")</f>
        <v/>
      </c>
      <c r="D27" s="56" t="str">
        <f aca="false">IF($C27="","","Vistoria Setorial (checklist no setor definido pelo gerente)")</f>
        <v/>
      </c>
      <c r="E27" s="56"/>
      <c r="F27" s="56"/>
      <c r="G27" s="60" t="str">
        <f aca="false">IF($C27="","","C")</f>
        <v/>
      </c>
      <c r="H27" s="60" t="str">
        <f aca="false">IF($C27="","",IF($G27="A",CONFIG!$B$5,IF($G27="B",CONFIG!$B$6,IF($G27="C",CONFIG!$B$7,"Gerência + coordenadores"))))</f>
        <v/>
      </c>
      <c r="I27" s="60"/>
      <c r="J27" s="86"/>
      <c r="K27" s="83" t="str">
        <f aca="false">IF($C27="","","—")</f>
        <v/>
      </c>
      <c r="L27" s="83" t="str">
        <f aca="false">IF($C27="","","—")</f>
        <v/>
      </c>
      <c r="M27" s="84"/>
      <c r="N27" s="84"/>
      <c r="O27" s="84"/>
      <c r="P27" s="90"/>
      <c r="Q27" s="86"/>
      <c r="R27" s="87"/>
      <c r="S27" s="60" t="str">
        <f aca="true">IF($C27="","",IF($Q27="Cancelada","Cancelada",IF($Q27="Reprovado","Reprovada",IF($Q27="Aprovado","Aprovada",IF($M27&lt;&gt;"","Entregue",IF(TODAY()&gt;$C27,"Atrasada","Pendente"))))))</f>
        <v/>
      </c>
      <c r="T27" s="88"/>
      <c r="U27" s="88"/>
      <c r="V27" s="88"/>
    </row>
    <row r="28" customFormat="false" ht="15" hidden="false" customHeight="false" outlineLevel="0" collapsed="false">
      <c r="A28" s="80" t="str">
        <f aca="false">IF($C28="","",$X$2&amp;"-S"&amp;INT(($C28-WEEKDAY($C28,2)+11-DATE(YEAR($C28+4-WEEKDAY($C28,2)),1,1))/7)&amp;"-RSC-A")</f>
        <v/>
      </c>
      <c r="B28" s="81" t="str">
        <f aca="false">IF($C28="","","S"&amp;INT(($C28-WEEKDAY($C28,2)+11-DATE(YEAR($C28+4-WEEKDAY($C28,2)),1,1))/7))</f>
        <v/>
      </c>
      <c r="C28" s="82" t="str">
        <f aca="false">IF(MONTH(($X$1-WEEKDAY($X$1,3)+0)+3)=MONTH($X$1),($X$1-WEEKDAY($X$1,3)+0)+3,"")</f>
        <v/>
      </c>
      <c r="D28" s="9" t="str">
        <f aca="false">IF($C28="","","Relatório Semanal Consolidado (erros + metas + faltas + supervisores)")</f>
        <v/>
      </c>
      <c r="E28" s="9"/>
      <c r="F28" s="9"/>
      <c r="G28" s="81" t="str">
        <f aca="false">IF($C28="","","A")</f>
        <v/>
      </c>
      <c r="H28" s="81" t="str">
        <f aca="false">IF($C28="","",IF($G28="A",CONFIG!$B$5,IF($G28="B",CONFIG!$B$6,IF($G28="C",CONFIG!$B$7,"Gerência + coordenadores"))))</f>
        <v/>
      </c>
      <c r="I28" s="81"/>
      <c r="J28" s="81" t="str">
        <f aca="false">IF($C28="","","—")</f>
        <v/>
      </c>
      <c r="K28" s="91" t="str">
        <f aca="false">IF($C28="","",SUMIFS(OCORRÊNCIAS!$E$6:$E$605,OCORRÊNCIAS!$B$6:$B$605,"Falta",OCORRÊNCIAS!$C$6:$C$605,$G28,OCORRÊNCIAS!$H$6:$H$605,$B28,OCORRÊNCIAS!$J$6:$J$605,YEAR($C28+4-WEEKDAY($C28,2))))</f>
        <v/>
      </c>
      <c r="L28" s="91" t="str">
        <f aca="false">IF($C28="","",SUMIFS(OCORRÊNCIAS!$E$6:$E$605,OCORRÊNCIAS!$B$6:$B$605,"Atestado",OCORRÊNCIAS!$C$6:$C$605,$G28,OCORRÊNCIAS!$H$6:$H$605,$B28,OCORRÊNCIAS!$J$6:$J$605,YEAR($C28+4-WEEKDAY($C28,2))))</f>
        <v/>
      </c>
      <c r="M28" s="84"/>
      <c r="N28" s="84"/>
      <c r="O28" s="84"/>
      <c r="P28" s="85"/>
      <c r="Q28" s="86"/>
      <c r="R28" s="87"/>
      <c r="S28" s="81" t="str">
        <f aca="true">IF($C28="","",IF($Q28="Cancelada","Cancelada",IF($Q28="Reprovado","Reprovada",IF($Q28="Aprovado","Aprovada",IF($M28&lt;&gt;"","Entregue",IF(TODAY()&gt;$C28,"Atrasada","Pendente"))))))</f>
        <v/>
      </c>
      <c r="T28" s="88"/>
      <c r="U28" s="88"/>
      <c r="V28" s="88"/>
    </row>
    <row r="29" customFormat="false" ht="15" hidden="false" customHeight="false" outlineLevel="0" collapsed="false">
      <c r="A29" s="89" t="str">
        <f aca="false">IF($C29="","",$X$2&amp;"-S"&amp;INT(($C29-WEEKDAY($C29,2)+11-DATE(YEAR($C29+4-WEEKDAY($C29,2)),1,1))/7)&amp;"-RSC-B")</f>
        <v/>
      </c>
      <c r="B29" s="60" t="str">
        <f aca="false">IF($C29="","","S"&amp;INT(($C29-WEEKDAY($C29,2)+11-DATE(YEAR($C29+4-WEEKDAY($C29,2)),1,1))/7))</f>
        <v/>
      </c>
      <c r="C29" s="82" t="str">
        <f aca="false">IF(MONTH(($X$1-WEEKDAY($X$1,3)+0)+3)=MONTH($X$1),($X$1-WEEKDAY($X$1,3)+0)+3,"")</f>
        <v/>
      </c>
      <c r="D29" s="56" t="str">
        <f aca="false">IF($C29="","","Relatório Semanal Consolidado (erros + metas + faltas + supervisores)")</f>
        <v/>
      </c>
      <c r="E29" s="56"/>
      <c r="F29" s="56"/>
      <c r="G29" s="60" t="str">
        <f aca="false">IF($C29="","","B")</f>
        <v/>
      </c>
      <c r="H29" s="60" t="str">
        <f aca="false">IF($C29="","",IF($G29="A",CONFIG!$B$5,IF($G29="B",CONFIG!$B$6,IF($G29="C",CONFIG!$B$7,"Gerência + coordenadores"))))</f>
        <v/>
      </c>
      <c r="I29" s="60"/>
      <c r="J29" s="81" t="str">
        <f aca="false">IF($C29="","","—")</f>
        <v/>
      </c>
      <c r="K29" s="91" t="str">
        <f aca="false">IF($C29="","",SUMIFS(OCORRÊNCIAS!$E$6:$E$605,OCORRÊNCIAS!$B$6:$B$605,"Falta",OCORRÊNCIAS!$C$6:$C$605,$G29,OCORRÊNCIAS!$H$6:$H$605,$B29,OCORRÊNCIAS!$J$6:$J$605,YEAR($C29+4-WEEKDAY($C29,2))))</f>
        <v/>
      </c>
      <c r="L29" s="91" t="str">
        <f aca="false">IF($C29="","",SUMIFS(OCORRÊNCIAS!$E$6:$E$605,OCORRÊNCIAS!$B$6:$B$605,"Atestado",OCORRÊNCIAS!$C$6:$C$605,$G29,OCORRÊNCIAS!$H$6:$H$605,$B29,OCORRÊNCIAS!$J$6:$J$605,YEAR($C29+4-WEEKDAY($C29,2))))</f>
        <v/>
      </c>
      <c r="M29" s="84"/>
      <c r="N29" s="84"/>
      <c r="O29" s="84"/>
      <c r="P29" s="90"/>
      <c r="Q29" s="86"/>
      <c r="R29" s="87"/>
      <c r="S29" s="60" t="str">
        <f aca="true">IF($C29="","",IF($Q29="Cancelada","Cancelada",IF($Q29="Reprovado","Reprovada",IF($Q29="Aprovado","Aprovada",IF($M29&lt;&gt;"","Entregue",IF(TODAY()&gt;$C29,"Atrasada","Pendente"))))))</f>
        <v/>
      </c>
      <c r="T29" s="88"/>
      <c r="U29" s="88"/>
      <c r="V29" s="88"/>
    </row>
    <row r="30" customFormat="false" ht="15" hidden="false" customHeight="false" outlineLevel="0" collapsed="false">
      <c r="A30" s="80" t="str">
        <f aca="false">IF($C30="","",$X$2&amp;"-S"&amp;INT(($C30-WEEKDAY($C30,2)+11-DATE(YEAR($C30+4-WEEKDAY($C30,2)),1,1))/7)&amp;"-RSC-C")</f>
        <v/>
      </c>
      <c r="B30" s="81" t="str">
        <f aca="false">IF($C30="","","S"&amp;INT(($C30-WEEKDAY($C30,2)+11-DATE(YEAR($C30+4-WEEKDAY($C30,2)),1,1))/7))</f>
        <v/>
      </c>
      <c r="C30" s="82" t="str">
        <f aca="false">IF(MONTH(($X$1-WEEKDAY($X$1,3)+0)+3)=MONTH($X$1),($X$1-WEEKDAY($X$1,3)+0)+3,"")</f>
        <v/>
      </c>
      <c r="D30" s="9" t="str">
        <f aca="false">IF($C30="","","Relatório Semanal Consolidado (erros + metas + faltas + supervisores)")</f>
        <v/>
      </c>
      <c r="E30" s="9"/>
      <c r="F30" s="9"/>
      <c r="G30" s="81" t="str">
        <f aca="false">IF($C30="","","C")</f>
        <v/>
      </c>
      <c r="H30" s="81" t="str">
        <f aca="false">IF($C30="","",IF($G30="A",CONFIG!$B$5,IF($G30="B",CONFIG!$B$6,IF($G30="C",CONFIG!$B$7,"Gerência + coordenadores"))))</f>
        <v/>
      </c>
      <c r="I30" s="81"/>
      <c r="J30" s="81" t="str">
        <f aca="false">IF($C30="","","—")</f>
        <v/>
      </c>
      <c r="K30" s="91" t="str">
        <f aca="false">IF($C30="","",SUMIFS(OCORRÊNCIAS!$E$6:$E$605,OCORRÊNCIAS!$B$6:$B$605,"Falta",OCORRÊNCIAS!$C$6:$C$605,$G30,OCORRÊNCIAS!$H$6:$H$605,$B30,OCORRÊNCIAS!$J$6:$J$605,YEAR($C30+4-WEEKDAY($C30,2))))</f>
        <v/>
      </c>
      <c r="L30" s="91" t="str">
        <f aca="false">IF($C30="","",SUMIFS(OCORRÊNCIAS!$E$6:$E$605,OCORRÊNCIAS!$B$6:$B$605,"Atestado",OCORRÊNCIAS!$C$6:$C$605,$G30,OCORRÊNCIAS!$H$6:$H$605,$B30,OCORRÊNCIAS!$J$6:$J$605,YEAR($C30+4-WEEKDAY($C30,2))))</f>
        <v/>
      </c>
      <c r="M30" s="84"/>
      <c r="N30" s="84"/>
      <c r="O30" s="84"/>
      <c r="P30" s="85"/>
      <c r="Q30" s="86"/>
      <c r="R30" s="87"/>
      <c r="S30" s="81" t="str">
        <f aca="true">IF($C30="","",IF($Q30="Cancelada","Cancelada",IF($Q30="Reprovado","Reprovada",IF($Q30="Aprovado","Aprovada",IF($M30&lt;&gt;"","Entregue",IF(TODAY()&gt;$C30,"Atrasada","Pendente"))))))</f>
        <v/>
      </c>
      <c r="T30" s="88"/>
      <c r="U30" s="88"/>
      <c r="V30" s="88"/>
    </row>
    <row r="31" customFormat="false" ht="15" hidden="false" customHeight="false" outlineLevel="0" collapsed="false">
      <c r="A31" s="89" t="str">
        <f aca="false">IF($C31="","",$X$2&amp;"-S"&amp;INT(($C31-WEEKDAY($C31,2)+11-DATE(YEAR($C31+4-WEEKDAY($C31,2)),1,1))/7)&amp;"-REU-T")</f>
        <v/>
      </c>
      <c r="B31" s="60" t="str">
        <f aca="false">IF($C31="","","S"&amp;INT(($C31-WEEKDAY($C31,2)+11-DATE(YEAR($C31+4-WEEKDAY($C31,2)),1,1))/7))</f>
        <v/>
      </c>
      <c r="C31" s="82" t="str">
        <f aca="false">IF(MONTH(($X$1-WEEKDAY($X$1,3)+0)+4)=MONTH($X$1),($X$1-WEEKDAY($X$1,3)+0)+4,"")</f>
        <v/>
      </c>
      <c r="D31" s="56" t="str">
        <f aca="false">IF($C31="","","Reunião Semanal com a Gerência")</f>
        <v/>
      </c>
      <c r="E31" s="56"/>
      <c r="F31" s="56"/>
      <c r="G31" s="60" t="str">
        <f aca="false">IF($C31="","","Todos")</f>
        <v/>
      </c>
      <c r="H31" s="60" t="str">
        <f aca="false">IF($C31="","",IF($G31="A",CONFIG!$B$5,IF($G31="B",CONFIG!$B$6,IF($G31="C",CONFIG!$B$7,"Gerência + coordenadores"))))</f>
        <v/>
      </c>
      <c r="I31" s="60"/>
      <c r="J31" s="81" t="str">
        <f aca="false">IF($C31="","","—")</f>
        <v/>
      </c>
      <c r="K31" s="83" t="str">
        <f aca="false">IF($C31="","","—")</f>
        <v/>
      </c>
      <c r="L31" s="83" t="str">
        <f aca="false">IF($C31="","","—")</f>
        <v/>
      </c>
      <c r="M31" s="84"/>
      <c r="N31" s="84"/>
      <c r="O31" s="84"/>
      <c r="P31" s="90"/>
      <c r="Q31" s="86"/>
      <c r="R31" s="87"/>
      <c r="S31" s="60" t="str">
        <f aca="true">IF($C31="","",IF($Q31="Cancelada","Cancelada",IF($Q31="Reprovado","Reprovada",IF($Q31="Aprovado","Aprovada",IF($M31&lt;&gt;"","Entregue",IF(TODAY()&gt;$C31,"Atrasada","Pendente"))))))</f>
        <v/>
      </c>
      <c r="T31" s="88"/>
      <c r="U31" s="88"/>
      <c r="V31" s="88"/>
    </row>
    <row r="32" customFormat="false" ht="22.35" hidden="false" customHeight="false" outlineLevel="0" collapsed="false">
      <c r="A32" s="80" t="str">
        <f aca="false">IF($C32="","",$X$2&amp;"-S"&amp;INT(($C32-WEEKDAY($C32,2)+11-DATE(YEAR($C32+4-WEEKDAY($C32,2)),1,1))/7)&amp;"-VIS-A")</f>
        <v>AGO-S32-VIS-A</v>
      </c>
      <c r="B32" s="81" t="str">
        <f aca="false">IF($C32="","","S"&amp;INT(($C32-WEEKDAY($C32,2)+11-DATE(YEAR($C32+4-WEEKDAY($C32,2)),1,1))/7))</f>
        <v>S32</v>
      </c>
      <c r="C32" s="82" t="n">
        <f aca="false">IF(MONTH(($X$1-WEEKDAY($X$1,3)+7)+2)=MONTH($X$1),($X$1-WEEKDAY($X$1,3)+7)+2,"")</f>
        <v>46239</v>
      </c>
      <c r="D32" s="9" t="str">
        <f aca="false">IF($C32="","","Vistoria Setorial (checklist no setor definido pelo gerente)")</f>
        <v>Vistoria Setorial (checklist no setor definido pelo gerente)</v>
      </c>
      <c r="E32" s="9"/>
      <c r="F32" s="9"/>
      <c r="G32" s="81" t="str">
        <f aca="false">IF($C32="","","A")</f>
        <v>A</v>
      </c>
      <c r="H32" s="81" t="str">
        <f aca="false">IF($C32="","",IF($G32="A",CONFIG!$B$5,IF($G32="B",CONFIG!$B$6,IF($G32="C",CONFIG!$B$7,"Gerência + coordenadores"))))</f>
        <v>(preencha o nome)</v>
      </c>
      <c r="I32" s="81"/>
      <c r="J32" s="86"/>
      <c r="K32" s="83" t="str">
        <f aca="false">IF($C32="","","—")</f>
        <v>—</v>
      </c>
      <c r="L32" s="83" t="str">
        <f aca="false">IF($C32="","","—")</f>
        <v>—</v>
      </c>
      <c r="M32" s="84"/>
      <c r="N32" s="84"/>
      <c r="O32" s="84"/>
      <c r="P32" s="85"/>
      <c r="Q32" s="86"/>
      <c r="R32" s="87"/>
      <c r="S32" s="81" t="str">
        <f aca="true">IF($C32="","",IF($Q32="Cancelada","Cancelada",IF($Q32="Reprovado","Reprovada",IF($Q32="Aprovado","Aprovada",IF($M32&lt;&gt;"","Entregue",IF(TODAY()&gt;$C32,"Atrasada","Pendente"))))))</f>
        <v>Pendente</v>
      </c>
      <c r="T32" s="88"/>
      <c r="U32" s="88"/>
      <c r="V32" s="88"/>
    </row>
    <row r="33" customFormat="false" ht="22.35" hidden="false" customHeight="false" outlineLevel="0" collapsed="false">
      <c r="A33" s="89" t="str">
        <f aca="false">IF($C33="","",$X$2&amp;"-S"&amp;INT(($C33-WEEKDAY($C33,2)+11-DATE(YEAR($C33+4-WEEKDAY($C33,2)),1,1))/7)&amp;"-VIS-B")</f>
        <v>AGO-S32-VIS-B</v>
      </c>
      <c r="B33" s="60" t="str">
        <f aca="false">IF($C33="","","S"&amp;INT(($C33-WEEKDAY($C33,2)+11-DATE(YEAR($C33+4-WEEKDAY($C33,2)),1,1))/7))</f>
        <v>S32</v>
      </c>
      <c r="C33" s="82" t="n">
        <f aca="false">IF(MONTH(($X$1-WEEKDAY($X$1,3)+7)+2)=MONTH($X$1),($X$1-WEEKDAY($X$1,3)+7)+2,"")</f>
        <v>46239</v>
      </c>
      <c r="D33" s="56" t="str">
        <f aca="false">IF($C33="","","Vistoria Setorial (checklist no setor definido pelo gerente)")</f>
        <v>Vistoria Setorial (checklist no setor definido pelo gerente)</v>
      </c>
      <c r="E33" s="56"/>
      <c r="F33" s="56"/>
      <c r="G33" s="60" t="str">
        <f aca="false">IF($C33="","","B")</f>
        <v>B</v>
      </c>
      <c r="H33" s="60" t="str">
        <f aca="false">IF($C33="","",IF($G33="A",CONFIG!$B$5,IF($G33="B",CONFIG!$B$6,IF($G33="C",CONFIG!$B$7,"Gerência + coordenadores"))))</f>
        <v>(preencha o nome)</v>
      </c>
      <c r="I33" s="60"/>
      <c r="J33" s="86"/>
      <c r="K33" s="83" t="str">
        <f aca="false">IF($C33="","","—")</f>
        <v>—</v>
      </c>
      <c r="L33" s="83" t="str">
        <f aca="false">IF($C33="","","—")</f>
        <v>—</v>
      </c>
      <c r="M33" s="84"/>
      <c r="N33" s="84"/>
      <c r="O33" s="84"/>
      <c r="P33" s="90"/>
      <c r="Q33" s="86"/>
      <c r="R33" s="87"/>
      <c r="S33" s="60" t="str">
        <f aca="true">IF($C33="","",IF($Q33="Cancelada","Cancelada",IF($Q33="Reprovado","Reprovada",IF($Q33="Aprovado","Aprovada",IF($M33&lt;&gt;"","Entregue",IF(TODAY()&gt;$C33,"Atrasada","Pendente"))))))</f>
        <v>Pendente</v>
      </c>
      <c r="T33" s="88"/>
      <c r="U33" s="88"/>
      <c r="V33" s="88"/>
    </row>
    <row r="34" customFormat="false" ht="22.35" hidden="false" customHeight="false" outlineLevel="0" collapsed="false">
      <c r="A34" s="80" t="str">
        <f aca="false">IF($C34="","",$X$2&amp;"-S"&amp;INT(($C34-WEEKDAY($C34,2)+11-DATE(YEAR($C34+4-WEEKDAY($C34,2)),1,1))/7)&amp;"-VIS-C")</f>
        <v>AGO-S32-VIS-C</v>
      </c>
      <c r="B34" s="81" t="str">
        <f aca="false">IF($C34="","","S"&amp;INT(($C34-WEEKDAY($C34,2)+11-DATE(YEAR($C34+4-WEEKDAY($C34,2)),1,1))/7))</f>
        <v>S32</v>
      </c>
      <c r="C34" s="82" t="n">
        <f aca="false">IF(MONTH(($X$1-WEEKDAY($X$1,3)+7)+2)=MONTH($X$1),($X$1-WEEKDAY($X$1,3)+7)+2,"")</f>
        <v>46239</v>
      </c>
      <c r="D34" s="9" t="str">
        <f aca="false">IF($C34="","","Vistoria Setorial (checklist no setor definido pelo gerente)")</f>
        <v>Vistoria Setorial (checklist no setor definido pelo gerente)</v>
      </c>
      <c r="E34" s="9"/>
      <c r="F34" s="9"/>
      <c r="G34" s="81" t="str">
        <f aca="false">IF($C34="","","C")</f>
        <v>C</v>
      </c>
      <c r="H34" s="81" t="str">
        <f aca="false">IF($C34="","",IF($G34="A",CONFIG!$B$5,IF($G34="B",CONFIG!$B$6,IF($G34="C",CONFIG!$B$7,"Gerência + coordenadores"))))</f>
        <v>(preencha o nome)</v>
      </c>
      <c r="I34" s="81"/>
      <c r="J34" s="86"/>
      <c r="K34" s="83" t="str">
        <f aca="false">IF($C34="","","—")</f>
        <v>—</v>
      </c>
      <c r="L34" s="83" t="str">
        <f aca="false">IF($C34="","","—")</f>
        <v>—</v>
      </c>
      <c r="M34" s="84"/>
      <c r="N34" s="84"/>
      <c r="O34" s="84"/>
      <c r="P34" s="85"/>
      <c r="Q34" s="86"/>
      <c r="R34" s="87"/>
      <c r="S34" s="81" t="str">
        <f aca="true">IF($C34="","",IF($Q34="Cancelada","Cancelada",IF($Q34="Reprovado","Reprovada",IF($Q34="Aprovado","Aprovada",IF($M34&lt;&gt;"","Entregue",IF(TODAY()&gt;$C34,"Atrasada","Pendente"))))))</f>
        <v>Pendente</v>
      </c>
      <c r="T34" s="88"/>
      <c r="U34" s="88"/>
      <c r="V34" s="88"/>
    </row>
    <row r="35" customFormat="false" ht="22.35" hidden="false" customHeight="false" outlineLevel="0" collapsed="false">
      <c r="A35" s="89" t="str">
        <f aca="false">IF($C35="","",$X$2&amp;"-S"&amp;INT(($C35-WEEKDAY($C35,2)+11-DATE(YEAR($C35+4-WEEKDAY($C35,2)),1,1))/7)&amp;"-RSC-A")</f>
        <v>AGO-S32-RSC-A</v>
      </c>
      <c r="B35" s="60" t="str">
        <f aca="false">IF($C35="","","S"&amp;INT(($C35-WEEKDAY($C35,2)+11-DATE(YEAR($C35+4-WEEKDAY($C35,2)),1,1))/7))</f>
        <v>S32</v>
      </c>
      <c r="C35" s="82" t="n">
        <f aca="false">IF(MONTH(($X$1-WEEKDAY($X$1,3)+7)+3)=MONTH($X$1),($X$1-WEEKDAY($X$1,3)+7)+3,"")</f>
        <v>46240</v>
      </c>
      <c r="D35" s="56" t="str">
        <f aca="false">IF($C35="","","Relatório Semanal Consolidado (erros + metas + faltas + supervisores)")</f>
        <v>Relatório Semanal Consolidado (erros + metas + faltas + supervisores)</v>
      </c>
      <c r="E35" s="56"/>
      <c r="F35" s="56"/>
      <c r="G35" s="60" t="str">
        <f aca="false">IF($C35="","","A")</f>
        <v>A</v>
      </c>
      <c r="H35" s="60" t="str">
        <f aca="false">IF($C35="","",IF($G35="A",CONFIG!$B$5,IF($G35="B",CONFIG!$B$6,IF($G35="C",CONFIG!$B$7,"Gerência + coordenadores"))))</f>
        <v>(preencha o nome)</v>
      </c>
      <c r="I35" s="60"/>
      <c r="J35" s="81" t="str">
        <f aca="false">IF($C35="","","—")</f>
        <v>—</v>
      </c>
      <c r="K35" s="91" t="n">
        <f aca="false">IF($C35="","",SUMIFS(OCORRÊNCIAS!$E$6:$E$605,OCORRÊNCIAS!$B$6:$B$605,"Falta",OCORRÊNCIAS!$C$6:$C$605,$G35,OCORRÊNCIAS!$H$6:$H$605,$B35,OCORRÊNCIAS!$J$6:$J$605,YEAR($C35+4-WEEKDAY($C35,2))))</f>
        <v>0</v>
      </c>
      <c r="L35" s="91" t="n">
        <f aca="false">IF($C35="","",SUMIFS(OCORRÊNCIAS!$E$6:$E$605,OCORRÊNCIAS!$B$6:$B$605,"Atestado",OCORRÊNCIAS!$C$6:$C$605,$G35,OCORRÊNCIAS!$H$6:$H$605,$B35,OCORRÊNCIAS!$J$6:$J$605,YEAR($C35+4-WEEKDAY($C35,2))))</f>
        <v>0</v>
      </c>
      <c r="M35" s="84"/>
      <c r="N35" s="84"/>
      <c r="O35" s="84"/>
      <c r="P35" s="90"/>
      <c r="Q35" s="86"/>
      <c r="R35" s="87"/>
      <c r="S35" s="60" t="str">
        <f aca="true">IF($C35="","",IF($Q35="Cancelada","Cancelada",IF($Q35="Reprovado","Reprovada",IF($Q35="Aprovado","Aprovada",IF($M35&lt;&gt;"","Entregue",IF(TODAY()&gt;$C35,"Atrasada","Pendente"))))))</f>
        <v>Pendente</v>
      </c>
      <c r="T35" s="88"/>
      <c r="U35" s="88"/>
      <c r="V35" s="88"/>
    </row>
    <row r="36" customFormat="false" ht="22.35" hidden="false" customHeight="false" outlineLevel="0" collapsed="false">
      <c r="A36" s="80" t="str">
        <f aca="false">IF($C36="","",$X$2&amp;"-S"&amp;INT(($C36-WEEKDAY($C36,2)+11-DATE(YEAR($C36+4-WEEKDAY($C36,2)),1,1))/7)&amp;"-RSC-B")</f>
        <v>AGO-S32-RSC-B</v>
      </c>
      <c r="B36" s="81" t="str">
        <f aca="false">IF($C36="","","S"&amp;INT(($C36-WEEKDAY($C36,2)+11-DATE(YEAR($C36+4-WEEKDAY($C36,2)),1,1))/7))</f>
        <v>S32</v>
      </c>
      <c r="C36" s="82" t="n">
        <f aca="false">IF(MONTH(($X$1-WEEKDAY($X$1,3)+7)+3)=MONTH($X$1),($X$1-WEEKDAY($X$1,3)+7)+3,"")</f>
        <v>46240</v>
      </c>
      <c r="D36" s="9" t="str">
        <f aca="false">IF($C36="","","Relatório Semanal Consolidado (erros + metas + faltas + supervisores)")</f>
        <v>Relatório Semanal Consolidado (erros + metas + faltas + supervisores)</v>
      </c>
      <c r="E36" s="9"/>
      <c r="F36" s="9"/>
      <c r="G36" s="81" t="str">
        <f aca="false">IF($C36="","","B")</f>
        <v>B</v>
      </c>
      <c r="H36" s="81" t="str">
        <f aca="false">IF($C36="","",IF($G36="A",CONFIG!$B$5,IF($G36="B",CONFIG!$B$6,IF($G36="C",CONFIG!$B$7,"Gerência + coordenadores"))))</f>
        <v>(preencha o nome)</v>
      </c>
      <c r="I36" s="81"/>
      <c r="J36" s="81" t="str">
        <f aca="false">IF($C36="","","—")</f>
        <v>—</v>
      </c>
      <c r="K36" s="91" t="n">
        <f aca="false">IF($C36="","",SUMIFS(OCORRÊNCIAS!$E$6:$E$605,OCORRÊNCIAS!$B$6:$B$605,"Falta",OCORRÊNCIAS!$C$6:$C$605,$G36,OCORRÊNCIAS!$H$6:$H$605,$B36,OCORRÊNCIAS!$J$6:$J$605,YEAR($C36+4-WEEKDAY($C36,2))))</f>
        <v>0</v>
      </c>
      <c r="L36" s="91" t="n">
        <f aca="false">IF($C36="","",SUMIFS(OCORRÊNCIAS!$E$6:$E$605,OCORRÊNCIAS!$B$6:$B$605,"Atestado",OCORRÊNCIAS!$C$6:$C$605,$G36,OCORRÊNCIAS!$H$6:$H$605,$B36,OCORRÊNCIAS!$J$6:$J$605,YEAR($C36+4-WEEKDAY($C36,2))))</f>
        <v>0</v>
      </c>
      <c r="M36" s="84"/>
      <c r="N36" s="84"/>
      <c r="O36" s="84"/>
      <c r="P36" s="85"/>
      <c r="Q36" s="86"/>
      <c r="R36" s="87"/>
      <c r="S36" s="81" t="str">
        <f aca="true">IF($C36="","",IF($Q36="Cancelada","Cancelada",IF($Q36="Reprovado","Reprovada",IF($Q36="Aprovado","Aprovada",IF($M36&lt;&gt;"","Entregue",IF(TODAY()&gt;$C36,"Atrasada","Pendente"))))))</f>
        <v>Pendente</v>
      </c>
      <c r="T36" s="88"/>
      <c r="U36" s="88"/>
      <c r="V36" s="88"/>
    </row>
    <row r="37" customFormat="false" ht="22.35" hidden="false" customHeight="false" outlineLevel="0" collapsed="false">
      <c r="A37" s="89" t="str">
        <f aca="false">IF($C37="","",$X$2&amp;"-S"&amp;INT(($C37-WEEKDAY($C37,2)+11-DATE(YEAR($C37+4-WEEKDAY($C37,2)),1,1))/7)&amp;"-RSC-C")</f>
        <v>AGO-S32-RSC-C</v>
      </c>
      <c r="B37" s="60" t="str">
        <f aca="false">IF($C37="","","S"&amp;INT(($C37-WEEKDAY($C37,2)+11-DATE(YEAR($C37+4-WEEKDAY($C37,2)),1,1))/7))</f>
        <v>S32</v>
      </c>
      <c r="C37" s="82" t="n">
        <f aca="false">IF(MONTH(($X$1-WEEKDAY($X$1,3)+7)+3)=MONTH($X$1),($X$1-WEEKDAY($X$1,3)+7)+3,"")</f>
        <v>46240</v>
      </c>
      <c r="D37" s="56" t="str">
        <f aca="false">IF($C37="","","Relatório Semanal Consolidado (erros + metas + faltas + supervisores)")</f>
        <v>Relatório Semanal Consolidado (erros + metas + faltas + supervisores)</v>
      </c>
      <c r="E37" s="56"/>
      <c r="F37" s="56"/>
      <c r="G37" s="60" t="str">
        <f aca="false">IF($C37="","","C")</f>
        <v>C</v>
      </c>
      <c r="H37" s="60" t="str">
        <f aca="false">IF($C37="","",IF($G37="A",CONFIG!$B$5,IF($G37="B",CONFIG!$B$6,IF($G37="C",CONFIG!$B$7,"Gerência + coordenadores"))))</f>
        <v>(preencha o nome)</v>
      </c>
      <c r="I37" s="60"/>
      <c r="J37" s="81" t="str">
        <f aca="false">IF($C37="","","—")</f>
        <v>—</v>
      </c>
      <c r="K37" s="91" t="n">
        <f aca="false">IF($C37="","",SUMIFS(OCORRÊNCIAS!$E$6:$E$605,OCORRÊNCIAS!$B$6:$B$605,"Falta",OCORRÊNCIAS!$C$6:$C$605,$G37,OCORRÊNCIAS!$H$6:$H$605,$B37,OCORRÊNCIAS!$J$6:$J$605,YEAR($C37+4-WEEKDAY($C37,2))))</f>
        <v>0</v>
      </c>
      <c r="L37" s="91" t="n">
        <f aca="false">IF($C37="","",SUMIFS(OCORRÊNCIAS!$E$6:$E$605,OCORRÊNCIAS!$B$6:$B$605,"Atestado",OCORRÊNCIAS!$C$6:$C$605,$G37,OCORRÊNCIAS!$H$6:$H$605,$B37,OCORRÊNCIAS!$J$6:$J$605,YEAR($C37+4-WEEKDAY($C37,2))))</f>
        <v>0</v>
      </c>
      <c r="M37" s="84"/>
      <c r="N37" s="84"/>
      <c r="O37" s="84"/>
      <c r="P37" s="90"/>
      <c r="Q37" s="86"/>
      <c r="R37" s="87"/>
      <c r="S37" s="60" t="str">
        <f aca="true">IF($C37="","",IF($Q37="Cancelada","Cancelada",IF($Q37="Reprovado","Reprovada",IF($Q37="Aprovado","Aprovada",IF($M37&lt;&gt;"","Entregue",IF(TODAY()&gt;$C37,"Atrasada","Pendente"))))))</f>
        <v>Pendente</v>
      </c>
      <c r="T37" s="88"/>
      <c r="U37" s="88"/>
      <c r="V37" s="88"/>
    </row>
    <row r="38" customFormat="false" ht="22.35" hidden="false" customHeight="false" outlineLevel="0" collapsed="false">
      <c r="A38" s="80" t="str">
        <f aca="false">IF($C38="","",$X$2&amp;"-S"&amp;INT(($C38-WEEKDAY($C38,2)+11-DATE(YEAR($C38+4-WEEKDAY($C38,2)),1,1))/7)&amp;"-REU-T")</f>
        <v>AGO-S32-REU-T</v>
      </c>
      <c r="B38" s="81" t="str">
        <f aca="false">IF($C38="","","S"&amp;INT(($C38-WEEKDAY($C38,2)+11-DATE(YEAR($C38+4-WEEKDAY($C38,2)),1,1))/7))</f>
        <v>S32</v>
      </c>
      <c r="C38" s="82" t="n">
        <f aca="false">IF(MONTH(($X$1-WEEKDAY($X$1,3)+7)+4)=MONTH($X$1),($X$1-WEEKDAY($X$1,3)+7)+4,"")</f>
        <v>46241</v>
      </c>
      <c r="D38" s="9" t="str">
        <f aca="false">IF($C38="","","Reunião Semanal com a Gerência")</f>
        <v>Reunião Semanal com a Gerência</v>
      </c>
      <c r="E38" s="9"/>
      <c r="F38" s="9"/>
      <c r="G38" s="81" t="str">
        <f aca="false">IF($C38="","","Todos")</f>
        <v>Todos</v>
      </c>
      <c r="H38" s="81" t="str">
        <f aca="false">IF($C38="","",IF($G38="A",CONFIG!$B$5,IF($G38="B",CONFIG!$B$6,IF($G38="C",CONFIG!$B$7,"Gerência + coordenadores"))))</f>
        <v>Gerência + coordenadores</v>
      </c>
      <c r="I38" s="81"/>
      <c r="J38" s="81" t="str">
        <f aca="false">IF($C38="","","—")</f>
        <v>—</v>
      </c>
      <c r="K38" s="83" t="str">
        <f aca="false">IF($C38="","","—")</f>
        <v>—</v>
      </c>
      <c r="L38" s="83" t="str">
        <f aca="false">IF($C38="","","—")</f>
        <v>—</v>
      </c>
      <c r="M38" s="84"/>
      <c r="N38" s="84"/>
      <c r="O38" s="84"/>
      <c r="P38" s="85"/>
      <c r="Q38" s="86"/>
      <c r="R38" s="87"/>
      <c r="S38" s="81" t="str">
        <f aca="true">IF($C38="","",IF($Q38="Cancelada","Cancelada",IF($Q38="Reprovado","Reprovada",IF($Q38="Aprovado","Aprovada",IF($M38&lt;&gt;"","Entregue",IF(TODAY()&gt;$C38,"Atrasada","Pendente"))))))</f>
        <v>Pendente</v>
      </c>
      <c r="T38" s="88"/>
      <c r="U38" s="88"/>
      <c r="V38" s="88"/>
    </row>
    <row r="39" customFormat="false" ht="22.35" hidden="false" customHeight="false" outlineLevel="0" collapsed="false">
      <c r="A39" s="89" t="str">
        <f aca="false">IF($C39="","",$X$2&amp;"-S"&amp;INT(($C39-WEEKDAY($C39,2)+11-DATE(YEAR($C39+4-WEEKDAY($C39,2)),1,1))/7)&amp;"-VIS-A")</f>
        <v>AGO-S33-VIS-A</v>
      </c>
      <c r="B39" s="60" t="str">
        <f aca="false">IF($C39="","","S"&amp;INT(($C39-WEEKDAY($C39,2)+11-DATE(YEAR($C39+4-WEEKDAY($C39,2)),1,1))/7))</f>
        <v>S33</v>
      </c>
      <c r="C39" s="82" t="n">
        <f aca="false">IF(MONTH(($X$1-WEEKDAY($X$1,3)+14)+2)=MONTH($X$1),($X$1-WEEKDAY($X$1,3)+14)+2,"")</f>
        <v>46246</v>
      </c>
      <c r="D39" s="56" t="str">
        <f aca="false">IF($C39="","","Vistoria Setorial (checklist no setor definido pelo gerente)")</f>
        <v>Vistoria Setorial (checklist no setor definido pelo gerente)</v>
      </c>
      <c r="E39" s="56"/>
      <c r="F39" s="56"/>
      <c r="G39" s="60" t="str">
        <f aca="false">IF($C39="","","A")</f>
        <v>A</v>
      </c>
      <c r="H39" s="60" t="str">
        <f aca="false">IF($C39="","",IF($G39="A",CONFIG!$B$5,IF($G39="B",CONFIG!$B$6,IF($G39="C",CONFIG!$B$7,"Gerência + coordenadores"))))</f>
        <v>(preencha o nome)</v>
      </c>
      <c r="I39" s="60"/>
      <c r="J39" s="86"/>
      <c r="K39" s="83" t="str">
        <f aca="false">IF($C39="","","—")</f>
        <v>—</v>
      </c>
      <c r="L39" s="83" t="str">
        <f aca="false">IF($C39="","","—")</f>
        <v>—</v>
      </c>
      <c r="M39" s="84"/>
      <c r="N39" s="84"/>
      <c r="O39" s="84"/>
      <c r="P39" s="90"/>
      <c r="Q39" s="86"/>
      <c r="R39" s="87"/>
      <c r="S39" s="60" t="str">
        <f aca="true">IF($C39="","",IF($Q39="Cancelada","Cancelada",IF($Q39="Reprovado","Reprovada",IF($Q39="Aprovado","Aprovada",IF($M39&lt;&gt;"","Entregue",IF(TODAY()&gt;$C39,"Atrasada","Pendente"))))))</f>
        <v>Pendente</v>
      </c>
      <c r="T39" s="88"/>
      <c r="U39" s="88"/>
      <c r="V39" s="88"/>
    </row>
    <row r="40" customFormat="false" ht="22.35" hidden="false" customHeight="false" outlineLevel="0" collapsed="false">
      <c r="A40" s="80" t="str">
        <f aca="false">IF($C40="","",$X$2&amp;"-S"&amp;INT(($C40-WEEKDAY($C40,2)+11-DATE(YEAR($C40+4-WEEKDAY($C40,2)),1,1))/7)&amp;"-VIS-B")</f>
        <v>AGO-S33-VIS-B</v>
      </c>
      <c r="B40" s="81" t="str">
        <f aca="false">IF($C40="","","S"&amp;INT(($C40-WEEKDAY($C40,2)+11-DATE(YEAR($C40+4-WEEKDAY($C40,2)),1,1))/7))</f>
        <v>S33</v>
      </c>
      <c r="C40" s="82" t="n">
        <f aca="false">IF(MONTH(($X$1-WEEKDAY($X$1,3)+14)+2)=MONTH($X$1),($X$1-WEEKDAY($X$1,3)+14)+2,"")</f>
        <v>46246</v>
      </c>
      <c r="D40" s="9" t="str">
        <f aca="false">IF($C40="","","Vistoria Setorial (checklist no setor definido pelo gerente)")</f>
        <v>Vistoria Setorial (checklist no setor definido pelo gerente)</v>
      </c>
      <c r="E40" s="9"/>
      <c r="F40" s="9"/>
      <c r="G40" s="81" t="str">
        <f aca="false">IF($C40="","","B")</f>
        <v>B</v>
      </c>
      <c r="H40" s="81" t="str">
        <f aca="false">IF($C40="","",IF($G40="A",CONFIG!$B$5,IF($G40="B",CONFIG!$B$6,IF($G40="C",CONFIG!$B$7,"Gerência + coordenadores"))))</f>
        <v>(preencha o nome)</v>
      </c>
      <c r="I40" s="81"/>
      <c r="J40" s="86"/>
      <c r="K40" s="83" t="str">
        <f aca="false">IF($C40="","","—")</f>
        <v>—</v>
      </c>
      <c r="L40" s="83" t="str">
        <f aca="false">IF($C40="","","—")</f>
        <v>—</v>
      </c>
      <c r="M40" s="84"/>
      <c r="N40" s="84"/>
      <c r="O40" s="84"/>
      <c r="P40" s="85"/>
      <c r="Q40" s="86"/>
      <c r="R40" s="87"/>
      <c r="S40" s="81" t="str">
        <f aca="true">IF($C40="","",IF($Q40="Cancelada","Cancelada",IF($Q40="Reprovado","Reprovada",IF($Q40="Aprovado","Aprovada",IF($M40&lt;&gt;"","Entregue",IF(TODAY()&gt;$C40,"Atrasada","Pendente"))))))</f>
        <v>Pendente</v>
      </c>
      <c r="T40" s="88"/>
      <c r="U40" s="88"/>
      <c r="V40" s="88"/>
    </row>
    <row r="41" customFormat="false" ht="22.35" hidden="false" customHeight="false" outlineLevel="0" collapsed="false">
      <c r="A41" s="89" t="str">
        <f aca="false">IF($C41="","",$X$2&amp;"-S"&amp;INT(($C41-WEEKDAY($C41,2)+11-DATE(YEAR($C41+4-WEEKDAY($C41,2)),1,1))/7)&amp;"-VIS-C")</f>
        <v>AGO-S33-VIS-C</v>
      </c>
      <c r="B41" s="60" t="str">
        <f aca="false">IF($C41="","","S"&amp;INT(($C41-WEEKDAY($C41,2)+11-DATE(YEAR($C41+4-WEEKDAY($C41,2)),1,1))/7))</f>
        <v>S33</v>
      </c>
      <c r="C41" s="82" t="n">
        <f aca="false">IF(MONTH(($X$1-WEEKDAY($X$1,3)+14)+2)=MONTH($X$1),($X$1-WEEKDAY($X$1,3)+14)+2,"")</f>
        <v>46246</v>
      </c>
      <c r="D41" s="56" t="str">
        <f aca="false">IF($C41="","","Vistoria Setorial (checklist no setor definido pelo gerente)")</f>
        <v>Vistoria Setorial (checklist no setor definido pelo gerente)</v>
      </c>
      <c r="E41" s="56"/>
      <c r="F41" s="56"/>
      <c r="G41" s="60" t="str">
        <f aca="false">IF($C41="","","C")</f>
        <v>C</v>
      </c>
      <c r="H41" s="60" t="str">
        <f aca="false">IF($C41="","",IF($G41="A",CONFIG!$B$5,IF($G41="B",CONFIG!$B$6,IF($G41="C",CONFIG!$B$7,"Gerência + coordenadores"))))</f>
        <v>(preencha o nome)</v>
      </c>
      <c r="I41" s="60"/>
      <c r="J41" s="86"/>
      <c r="K41" s="83" t="str">
        <f aca="false">IF($C41="","","—")</f>
        <v>—</v>
      </c>
      <c r="L41" s="83" t="str">
        <f aca="false">IF($C41="","","—")</f>
        <v>—</v>
      </c>
      <c r="M41" s="84"/>
      <c r="N41" s="84"/>
      <c r="O41" s="84"/>
      <c r="P41" s="90"/>
      <c r="Q41" s="86"/>
      <c r="R41" s="87"/>
      <c r="S41" s="60" t="str">
        <f aca="true">IF($C41="","",IF($Q41="Cancelada","Cancelada",IF($Q41="Reprovado","Reprovada",IF($Q41="Aprovado","Aprovada",IF($M41&lt;&gt;"","Entregue",IF(TODAY()&gt;$C41,"Atrasada","Pendente"))))))</f>
        <v>Pendente</v>
      </c>
      <c r="T41" s="88"/>
      <c r="U41" s="88"/>
      <c r="V41" s="88"/>
    </row>
    <row r="42" customFormat="false" ht="22.35" hidden="false" customHeight="false" outlineLevel="0" collapsed="false">
      <c r="A42" s="80" t="str">
        <f aca="false">IF($C42="","",$X$2&amp;"-S"&amp;INT(($C42-WEEKDAY($C42,2)+11-DATE(YEAR($C42+4-WEEKDAY($C42,2)),1,1))/7)&amp;"-RSC-A")</f>
        <v>AGO-S33-RSC-A</v>
      </c>
      <c r="B42" s="81" t="str">
        <f aca="false">IF($C42="","","S"&amp;INT(($C42-WEEKDAY($C42,2)+11-DATE(YEAR($C42+4-WEEKDAY($C42,2)),1,1))/7))</f>
        <v>S33</v>
      </c>
      <c r="C42" s="82" t="n">
        <f aca="false">IF(MONTH(($X$1-WEEKDAY($X$1,3)+14)+3)=MONTH($X$1),($X$1-WEEKDAY($X$1,3)+14)+3,"")</f>
        <v>46247</v>
      </c>
      <c r="D42" s="9" t="str">
        <f aca="false">IF($C42="","","Relatório Semanal Consolidado (erros + metas + faltas + supervisores)")</f>
        <v>Relatório Semanal Consolidado (erros + metas + faltas + supervisores)</v>
      </c>
      <c r="E42" s="9"/>
      <c r="F42" s="9"/>
      <c r="G42" s="81" t="str">
        <f aca="false">IF($C42="","","A")</f>
        <v>A</v>
      </c>
      <c r="H42" s="81" t="str">
        <f aca="false">IF($C42="","",IF($G42="A",CONFIG!$B$5,IF($G42="B",CONFIG!$B$6,IF($G42="C",CONFIG!$B$7,"Gerência + coordenadores"))))</f>
        <v>(preencha o nome)</v>
      </c>
      <c r="I42" s="81"/>
      <c r="J42" s="81" t="str">
        <f aca="false">IF($C42="","","—")</f>
        <v>—</v>
      </c>
      <c r="K42" s="91" t="n">
        <f aca="false">IF($C42="","",SUMIFS(OCORRÊNCIAS!$E$6:$E$605,OCORRÊNCIAS!$B$6:$B$605,"Falta",OCORRÊNCIAS!$C$6:$C$605,$G42,OCORRÊNCIAS!$H$6:$H$605,$B42,OCORRÊNCIAS!$J$6:$J$605,YEAR($C42+4-WEEKDAY($C42,2))))</f>
        <v>0</v>
      </c>
      <c r="L42" s="91" t="n">
        <f aca="false">IF($C42="","",SUMIFS(OCORRÊNCIAS!$E$6:$E$605,OCORRÊNCIAS!$B$6:$B$605,"Atestado",OCORRÊNCIAS!$C$6:$C$605,$G42,OCORRÊNCIAS!$H$6:$H$605,$B42,OCORRÊNCIAS!$J$6:$J$605,YEAR($C42+4-WEEKDAY($C42,2))))</f>
        <v>0</v>
      </c>
      <c r="M42" s="84"/>
      <c r="N42" s="84"/>
      <c r="O42" s="84"/>
      <c r="P42" s="85"/>
      <c r="Q42" s="86"/>
      <c r="R42" s="87"/>
      <c r="S42" s="81" t="str">
        <f aca="true">IF($C42="","",IF($Q42="Cancelada","Cancelada",IF($Q42="Reprovado","Reprovada",IF($Q42="Aprovado","Aprovada",IF($M42&lt;&gt;"","Entregue",IF(TODAY()&gt;$C42,"Atrasada","Pendente"))))))</f>
        <v>Pendente</v>
      </c>
      <c r="T42" s="88"/>
      <c r="U42" s="88"/>
      <c r="V42" s="88"/>
    </row>
    <row r="43" customFormat="false" ht="22.35" hidden="false" customHeight="false" outlineLevel="0" collapsed="false">
      <c r="A43" s="89" t="str">
        <f aca="false">IF($C43="","",$X$2&amp;"-S"&amp;INT(($C43-WEEKDAY($C43,2)+11-DATE(YEAR($C43+4-WEEKDAY($C43,2)),1,1))/7)&amp;"-RSC-B")</f>
        <v>AGO-S33-RSC-B</v>
      </c>
      <c r="B43" s="60" t="str">
        <f aca="false">IF($C43="","","S"&amp;INT(($C43-WEEKDAY($C43,2)+11-DATE(YEAR($C43+4-WEEKDAY($C43,2)),1,1))/7))</f>
        <v>S33</v>
      </c>
      <c r="C43" s="82" t="n">
        <f aca="false">IF(MONTH(($X$1-WEEKDAY($X$1,3)+14)+3)=MONTH($X$1),($X$1-WEEKDAY($X$1,3)+14)+3,"")</f>
        <v>46247</v>
      </c>
      <c r="D43" s="56" t="str">
        <f aca="false">IF($C43="","","Relatório Semanal Consolidado (erros + metas + faltas + supervisores)")</f>
        <v>Relatório Semanal Consolidado (erros + metas + faltas + supervisores)</v>
      </c>
      <c r="E43" s="56"/>
      <c r="F43" s="56"/>
      <c r="G43" s="60" t="str">
        <f aca="false">IF($C43="","","B")</f>
        <v>B</v>
      </c>
      <c r="H43" s="60" t="str">
        <f aca="false">IF($C43="","",IF($G43="A",CONFIG!$B$5,IF($G43="B",CONFIG!$B$6,IF($G43="C",CONFIG!$B$7,"Gerência + coordenadores"))))</f>
        <v>(preencha o nome)</v>
      </c>
      <c r="I43" s="60"/>
      <c r="J43" s="81" t="str">
        <f aca="false">IF($C43="","","—")</f>
        <v>—</v>
      </c>
      <c r="K43" s="91" t="n">
        <f aca="false">IF($C43="","",SUMIFS(OCORRÊNCIAS!$E$6:$E$605,OCORRÊNCIAS!$B$6:$B$605,"Falta",OCORRÊNCIAS!$C$6:$C$605,$G43,OCORRÊNCIAS!$H$6:$H$605,$B43,OCORRÊNCIAS!$J$6:$J$605,YEAR($C43+4-WEEKDAY($C43,2))))</f>
        <v>0</v>
      </c>
      <c r="L43" s="91" t="n">
        <f aca="false">IF($C43="","",SUMIFS(OCORRÊNCIAS!$E$6:$E$605,OCORRÊNCIAS!$B$6:$B$605,"Atestado",OCORRÊNCIAS!$C$6:$C$605,$G43,OCORRÊNCIAS!$H$6:$H$605,$B43,OCORRÊNCIAS!$J$6:$J$605,YEAR($C43+4-WEEKDAY($C43,2))))</f>
        <v>0</v>
      </c>
      <c r="M43" s="84"/>
      <c r="N43" s="84"/>
      <c r="O43" s="84"/>
      <c r="P43" s="90"/>
      <c r="Q43" s="86"/>
      <c r="R43" s="87"/>
      <c r="S43" s="60" t="str">
        <f aca="true">IF($C43="","",IF($Q43="Cancelada","Cancelada",IF($Q43="Reprovado","Reprovada",IF($Q43="Aprovado","Aprovada",IF($M43&lt;&gt;"","Entregue",IF(TODAY()&gt;$C43,"Atrasada","Pendente"))))))</f>
        <v>Pendente</v>
      </c>
      <c r="T43" s="88"/>
      <c r="U43" s="88"/>
      <c r="V43" s="88"/>
    </row>
    <row r="44" customFormat="false" ht="22.35" hidden="false" customHeight="false" outlineLevel="0" collapsed="false">
      <c r="A44" s="80" t="str">
        <f aca="false">IF($C44="","",$X$2&amp;"-S"&amp;INT(($C44-WEEKDAY($C44,2)+11-DATE(YEAR($C44+4-WEEKDAY($C44,2)),1,1))/7)&amp;"-RSC-C")</f>
        <v>AGO-S33-RSC-C</v>
      </c>
      <c r="B44" s="81" t="str">
        <f aca="false">IF($C44="","","S"&amp;INT(($C44-WEEKDAY($C44,2)+11-DATE(YEAR($C44+4-WEEKDAY($C44,2)),1,1))/7))</f>
        <v>S33</v>
      </c>
      <c r="C44" s="82" t="n">
        <f aca="false">IF(MONTH(($X$1-WEEKDAY($X$1,3)+14)+3)=MONTH($X$1),($X$1-WEEKDAY($X$1,3)+14)+3,"")</f>
        <v>46247</v>
      </c>
      <c r="D44" s="9" t="str">
        <f aca="false">IF($C44="","","Relatório Semanal Consolidado (erros + metas + faltas + supervisores)")</f>
        <v>Relatório Semanal Consolidado (erros + metas + faltas + supervisores)</v>
      </c>
      <c r="E44" s="9"/>
      <c r="F44" s="9"/>
      <c r="G44" s="81" t="str">
        <f aca="false">IF($C44="","","C")</f>
        <v>C</v>
      </c>
      <c r="H44" s="81" t="str">
        <f aca="false">IF($C44="","",IF($G44="A",CONFIG!$B$5,IF($G44="B",CONFIG!$B$6,IF($G44="C",CONFIG!$B$7,"Gerência + coordenadores"))))</f>
        <v>(preencha o nome)</v>
      </c>
      <c r="I44" s="81"/>
      <c r="J44" s="81" t="str">
        <f aca="false">IF($C44="","","—")</f>
        <v>—</v>
      </c>
      <c r="K44" s="91" t="n">
        <f aca="false">IF($C44="","",SUMIFS(OCORRÊNCIAS!$E$6:$E$605,OCORRÊNCIAS!$B$6:$B$605,"Falta",OCORRÊNCIAS!$C$6:$C$605,$G44,OCORRÊNCIAS!$H$6:$H$605,$B44,OCORRÊNCIAS!$J$6:$J$605,YEAR($C44+4-WEEKDAY($C44,2))))</f>
        <v>0</v>
      </c>
      <c r="L44" s="91" t="n">
        <f aca="false">IF($C44="","",SUMIFS(OCORRÊNCIAS!$E$6:$E$605,OCORRÊNCIAS!$B$6:$B$605,"Atestado",OCORRÊNCIAS!$C$6:$C$605,$G44,OCORRÊNCIAS!$H$6:$H$605,$B44,OCORRÊNCIAS!$J$6:$J$605,YEAR($C44+4-WEEKDAY($C44,2))))</f>
        <v>0</v>
      </c>
      <c r="M44" s="84"/>
      <c r="N44" s="84"/>
      <c r="O44" s="84"/>
      <c r="P44" s="85"/>
      <c r="Q44" s="86"/>
      <c r="R44" s="87"/>
      <c r="S44" s="81" t="str">
        <f aca="true">IF($C44="","",IF($Q44="Cancelada","Cancelada",IF($Q44="Reprovado","Reprovada",IF($Q44="Aprovado","Aprovada",IF($M44&lt;&gt;"","Entregue",IF(TODAY()&gt;$C44,"Atrasada","Pendente"))))))</f>
        <v>Pendente</v>
      </c>
      <c r="T44" s="88"/>
      <c r="U44" s="88"/>
      <c r="V44" s="88"/>
    </row>
    <row r="45" customFormat="false" ht="22.35" hidden="false" customHeight="false" outlineLevel="0" collapsed="false">
      <c r="A45" s="89" t="str">
        <f aca="false">IF($C45="","",$X$2&amp;"-S"&amp;INT(($C45-WEEKDAY($C45,2)+11-DATE(YEAR($C45+4-WEEKDAY($C45,2)),1,1))/7)&amp;"-REU-T")</f>
        <v>AGO-S33-REU-T</v>
      </c>
      <c r="B45" s="60" t="str">
        <f aca="false">IF($C45="","","S"&amp;INT(($C45-WEEKDAY($C45,2)+11-DATE(YEAR($C45+4-WEEKDAY($C45,2)),1,1))/7))</f>
        <v>S33</v>
      </c>
      <c r="C45" s="82" t="n">
        <f aca="false">IF(MONTH(($X$1-WEEKDAY($X$1,3)+14)+4)=MONTH($X$1),($X$1-WEEKDAY($X$1,3)+14)+4,"")</f>
        <v>46248</v>
      </c>
      <c r="D45" s="56" t="str">
        <f aca="false">IF($C45="","","Reunião Semanal com a Gerência")</f>
        <v>Reunião Semanal com a Gerência</v>
      </c>
      <c r="E45" s="56"/>
      <c r="F45" s="56"/>
      <c r="G45" s="60" t="str">
        <f aca="false">IF($C45="","","Todos")</f>
        <v>Todos</v>
      </c>
      <c r="H45" s="60" t="str">
        <f aca="false">IF($C45="","",IF($G45="A",CONFIG!$B$5,IF($G45="B",CONFIG!$B$6,IF($G45="C",CONFIG!$B$7,"Gerência + coordenadores"))))</f>
        <v>Gerência + coordenadores</v>
      </c>
      <c r="I45" s="60"/>
      <c r="J45" s="81" t="str">
        <f aca="false">IF($C45="","","—")</f>
        <v>—</v>
      </c>
      <c r="K45" s="83" t="str">
        <f aca="false">IF($C45="","","—")</f>
        <v>—</v>
      </c>
      <c r="L45" s="83" t="str">
        <f aca="false">IF($C45="","","—")</f>
        <v>—</v>
      </c>
      <c r="M45" s="84"/>
      <c r="N45" s="84"/>
      <c r="O45" s="84"/>
      <c r="P45" s="90"/>
      <c r="Q45" s="86"/>
      <c r="R45" s="87"/>
      <c r="S45" s="60" t="str">
        <f aca="true">IF($C45="","",IF($Q45="Cancelada","Cancelada",IF($Q45="Reprovado","Reprovada",IF($Q45="Aprovado","Aprovada",IF($M45&lt;&gt;"","Entregue",IF(TODAY()&gt;$C45,"Atrasada","Pendente"))))))</f>
        <v>Pendente</v>
      </c>
      <c r="T45" s="88"/>
      <c r="U45" s="88"/>
      <c r="V45" s="88"/>
    </row>
    <row r="46" customFormat="false" ht="22.35" hidden="false" customHeight="false" outlineLevel="0" collapsed="false">
      <c r="A46" s="80" t="str">
        <f aca="false">IF($C46="","",$X$2&amp;"-S"&amp;INT(($C46-WEEKDAY($C46,2)+11-DATE(YEAR($C46+4-WEEKDAY($C46,2)),1,1))/7)&amp;"-VIS-A")</f>
        <v>AGO-S34-VIS-A</v>
      </c>
      <c r="B46" s="81" t="str">
        <f aca="false">IF($C46="","","S"&amp;INT(($C46-WEEKDAY($C46,2)+11-DATE(YEAR($C46+4-WEEKDAY($C46,2)),1,1))/7))</f>
        <v>S34</v>
      </c>
      <c r="C46" s="82" t="n">
        <f aca="false">IF(MONTH(($X$1-WEEKDAY($X$1,3)+21)+2)=MONTH($X$1),($X$1-WEEKDAY($X$1,3)+21)+2,"")</f>
        <v>46253</v>
      </c>
      <c r="D46" s="9" t="str">
        <f aca="false">IF($C46="","","Vistoria Setorial (checklist no setor definido pelo gerente)")</f>
        <v>Vistoria Setorial (checklist no setor definido pelo gerente)</v>
      </c>
      <c r="E46" s="9"/>
      <c r="F46" s="9"/>
      <c r="G46" s="81" t="str">
        <f aca="false">IF($C46="","","A")</f>
        <v>A</v>
      </c>
      <c r="H46" s="81" t="str">
        <f aca="false">IF($C46="","",IF($G46="A",CONFIG!$B$5,IF($G46="B",CONFIG!$B$6,IF($G46="C",CONFIG!$B$7,"Gerência + coordenadores"))))</f>
        <v>(preencha o nome)</v>
      </c>
      <c r="I46" s="81"/>
      <c r="J46" s="86"/>
      <c r="K46" s="83" t="str">
        <f aca="false">IF($C46="","","—")</f>
        <v>—</v>
      </c>
      <c r="L46" s="83" t="str">
        <f aca="false">IF($C46="","","—")</f>
        <v>—</v>
      </c>
      <c r="M46" s="84"/>
      <c r="N46" s="84"/>
      <c r="O46" s="84"/>
      <c r="P46" s="85"/>
      <c r="Q46" s="86"/>
      <c r="R46" s="87"/>
      <c r="S46" s="81" t="str">
        <f aca="true">IF($C46="","",IF($Q46="Cancelada","Cancelada",IF($Q46="Reprovado","Reprovada",IF($Q46="Aprovado","Aprovada",IF($M46&lt;&gt;"","Entregue",IF(TODAY()&gt;$C46,"Atrasada","Pendente"))))))</f>
        <v>Pendente</v>
      </c>
      <c r="T46" s="88"/>
      <c r="U46" s="88"/>
      <c r="V46" s="88"/>
    </row>
    <row r="47" customFormat="false" ht="22.35" hidden="false" customHeight="false" outlineLevel="0" collapsed="false">
      <c r="A47" s="89" t="str">
        <f aca="false">IF($C47="","",$X$2&amp;"-S"&amp;INT(($C47-WEEKDAY($C47,2)+11-DATE(YEAR($C47+4-WEEKDAY($C47,2)),1,1))/7)&amp;"-VIS-B")</f>
        <v>AGO-S34-VIS-B</v>
      </c>
      <c r="B47" s="60" t="str">
        <f aca="false">IF($C47="","","S"&amp;INT(($C47-WEEKDAY($C47,2)+11-DATE(YEAR($C47+4-WEEKDAY($C47,2)),1,1))/7))</f>
        <v>S34</v>
      </c>
      <c r="C47" s="82" t="n">
        <f aca="false">IF(MONTH(($X$1-WEEKDAY($X$1,3)+21)+2)=MONTH($X$1),($X$1-WEEKDAY($X$1,3)+21)+2,"")</f>
        <v>46253</v>
      </c>
      <c r="D47" s="56" t="str">
        <f aca="false">IF($C47="","","Vistoria Setorial (checklist no setor definido pelo gerente)")</f>
        <v>Vistoria Setorial (checklist no setor definido pelo gerente)</v>
      </c>
      <c r="E47" s="56"/>
      <c r="F47" s="56"/>
      <c r="G47" s="60" t="str">
        <f aca="false">IF($C47="","","B")</f>
        <v>B</v>
      </c>
      <c r="H47" s="60" t="str">
        <f aca="false">IF($C47="","",IF($G47="A",CONFIG!$B$5,IF($G47="B",CONFIG!$B$6,IF($G47="C",CONFIG!$B$7,"Gerência + coordenadores"))))</f>
        <v>(preencha o nome)</v>
      </c>
      <c r="I47" s="60"/>
      <c r="J47" s="86"/>
      <c r="K47" s="83" t="str">
        <f aca="false">IF($C47="","","—")</f>
        <v>—</v>
      </c>
      <c r="L47" s="83" t="str">
        <f aca="false">IF($C47="","","—")</f>
        <v>—</v>
      </c>
      <c r="M47" s="84"/>
      <c r="N47" s="84"/>
      <c r="O47" s="84"/>
      <c r="P47" s="90"/>
      <c r="Q47" s="86"/>
      <c r="R47" s="87"/>
      <c r="S47" s="60" t="str">
        <f aca="true">IF($C47="","",IF($Q47="Cancelada","Cancelada",IF($Q47="Reprovado","Reprovada",IF($Q47="Aprovado","Aprovada",IF($M47&lt;&gt;"","Entregue",IF(TODAY()&gt;$C47,"Atrasada","Pendente"))))))</f>
        <v>Pendente</v>
      </c>
      <c r="T47" s="88"/>
      <c r="U47" s="88"/>
      <c r="V47" s="88"/>
    </row>
    <row r="48" customFormat="false" ht="22.35" hidden="false" customHeight="false" outlineLevel="0" collapsed="false">
      <c r="A48" s="80" t="str">
        <f aca="false">IF($C48="","",$X$2&amp;"-S"&amp;INT(($C48-WEEKDAY($C48,2)+11-DATE(YEAR($C48+4-WEEKDAY($C48,2)),1,1))/7)&amp;"-VIS-C")</f>
        <v>AGO-S34-VIS-C</v>
      </c>
      <c r="B48" s="81" t="str">
        <f aca="false">IF($C48="","","S"&amp;INT(($C48-WEEKDAY($C48,2)+11-DATE(YEAR($C48+4-WEEKDAY($C48,2)),1,1))/7))</f>
        <v>S34</v>
      </c>
      <c r="C48" s="82" t="n">
        <f aca="false">IF(MONTH(($X$1-WEEKDAY($X$1,3)+21)+2)=MONTH($X$1),($X$1-WEEKDAY($X$1,3)+21)+2,"")</f>
        <v>46253</v>
      </c>
      <c r="D48" s="9" t="str">
        <f aca="false">IF($C48="","","Vistoria Setorial (checklist no setor definido pelo gerente)")</f>
        <v>Vistoria Setorial (checklist no setor definido pelo gerente)</v>
      </c>
      <c r="E48" s="9"/>
      <c r="F48" s="9"/>
      <c r="G48" s="81" t="str">
        <f aca="false">IF($C48="","","C")</f>
        <v>C</v>
      </c>
      <c r="H48" s="81" t="str">
        <f aca="false">IF($C48="","",IF($G48="A",CONFIG!$B$5,IF($G48="B",CONFIG!$B$6,IF($G48="C",CONFIG!$B$7,"Gerência + coordenadores"))))</f>
        <v>(preencha o nome)</v>
      </c>
      <c r="I48" s="81"/>
      <c r="J48" s="86"/>
      <c r="K48" s="83" t="str">
        <f aca="false">IF($C48="","","—")</f>
        <v>—</v>
      </c>
      <c r="L48" s="83" t="str">
        <f aca="false">IF($C48="","","—")</f>
        <v>—</v>
      </c>
      <c r="M48" s="84"/>
      <c r="N48" s="84"/>
      <c r="O48" s="84"/>
      <c r="P48" s="85"/>
      <c r="Q48" s="86"/>
      <c r="R48" s="87"/>
      <c r="S48" s="81" t="str">
        <f aca="true">IF($C48="","",IF($Q48="Cancelada","Cancelada",IF($Q48="Reprovado","Reprovada",IF($Q48="Aprovado","Aprovada",IF($M48&lt;&gt;"","Entregue",IF(TODAY()&gt;$C48,"Atrasada","Pendente"))))))</f>
        <v>Pendente</v>
      </c>
      <c r="T48" s="88"/>
      <c r="U48" s="88"/>
      <c r="V48" s="88"/>
    </row>
    <row r="49" customFormat="false" ht="22.35" hidden="false" customHeight="false" outlineLevel="0" collapsed="false">
      <c r="A49" s="89" t="str">
        <f aca="false">IF($C49="","",$X$2&amp;"-S"&amp;INT(($C49-WEEKDAY($C49,2)+11-DATE(YEAR($C49+4-WEEKDAY($C49,2)),1,1))/7)&amp;"-RSC-A")</f>
        <v>AGO-S34-RSC-A</v>
      </c>
      <c r="B49" s="60" t="str">
        <f aca="false">IF($C49="","","S"&amp;INT(($C49-WEEKDAY($C49,2)+11-DATE(YEAR($C49+4-WEEKDAY($C49,2)),1,1))/7))</f>
        <v>S34</v>
      </c>
      <c r="C49" s="82" t="n">
        <f aca="false">IF(MONTH(($X$1-WEEKDAY($X$1,3)+21)+3)=MONTH($X$1),($X$1-WEEKDAY($X$1,3)+21)+3,"")</f>
        <v>46254</v>
      </c>
      <c r="D49" s="56" t="str">
        <f aca="false">IF($C49="","","Relatório Semanal Consolidado (erros + metas + faltas + supervisores)")</f>
        <v>Relatório Semanal Consolidado (erros + metas + faltas + supervisores)</v>
      </c>
      <c r="E49" s="56"/>
      <c r="F49" s="56"/>
      <c r="G49" s="60" t="str">
        <f aca="false">IF($C49="","","A")</f>
        <v>A</v>
      </c>
      <c r="H49" s="60" t="str">
        <f aca="false">IF($C49="","",IF($G49="A",CONFIG!$B$5,IF($G49="B",CONFIG!$B$6,IF($G49="C",CONFIG!$B$7,"Gerência + coordenadores"))))</f>
        <v>(preencha o nome)</v>
      </c>
      <c r="I49" s="60"/>
      <c r="J49" s="81" t="str">
        <f aca="false">IF($C49="","","—")</f>
        <v>—</v>
      </c>
      <c r="K49" s="91" t="n">
        <f aca="false">IF($C49="","",SUMIFS(OCORRÊNCIAS!$E$6:$E$605,OCORRÊNCIAS!$B$6:$B$605,"Falta",OCORRÊNCIAS!$C$6:$C$605,$G49,OCORRÊNCIAS!$H$6:$H$605,$B49,OCORRÊNCIAS!$J$6:$J$605,YEAR($C49+4-WEEKDAY($C49,2))))</f>
        <v>0</v>
      </c>
      <c r="L49" s="91" t="n">
        <f aca="false">IF($C49="","",SUMIFS(OCORRÊNCIAS!$E$6:$E$605,OCORRÊNCIAS!$B$6:$B$605,"Atestado",OCORRÊNCIAS!$C$6:$C$605,$G49,OCORRÊNCIAS!$H$6:$H$605,$B49,OCORRÊNCIAS!$J$6:$J$605,YEAR($C49+4-WEEKDAY($C49,2))))</f>
        <v>0</v>
      </c>
      <c r="M49" s="84"/>
      <c r="N49" s="84"/>
      <c r="O49" s="84"/>
      <c r="P49" s="90"/>
      <c r="Q49" s="86"/>
      <c r="R49" s="87"/>
      <c r="S49" s="60" t="str">
        <f aca="true">IF($C49="","",IF($Q49="Cancelada","Cancelada",IF($Q49="Reprovado","Reprovada",IF($Q49="Aprovado","Aprovada",IF($M49&lt;&gt;"","Entregue",IF(TODAY()&gt;$C49,"Atrasada","Pendente"))))))</f>
        <v>Pendente</v>
      </c>
      <c r="T49" s="88"/>
      <c r="U49" s="88"/>
      <c r="V49" s="88"/>
    </row>
    <row r="50" customFormat="false" ht="22.35" hidden="false" customHeight="false" outlineLevel="0" collapsed="false">
      <c r="A50" s="80" t="str">
        <f aca="false">IF($C50="","",$X$2&amp;"-S"&amp;INT(($C50-WEEKDAY($C50,2)+11-DATE(YEAR($C50+4-WEEKDAY($C50,2)),1,1))/7)&amp;"-RSC-B")</f>
        <v>AGO-S34-RSC-B</v>
      </c>
      <c r="B50" s="81" t="str">
        <f aca="false">IF($C50="","","S"&amp;INT(($C50-WEEKDAY($C50,2)+11-DATE(YEAR($C50+4-WEEKDAY($C50,2)),1,1))/7))</f>
        <v>S34</v>
      </c>
      <c r="C50" s="82" t="n">
        <f aca="false">IF(MONTH(($X$1-WEEKDAY($X$1,3)+21)+3)=MONTH($X$1),($X$1-WEEKDAY($X$1,3)+21)+3,"")</f>
        <v>46254</v>
      </c>
      <c r="D50" s="9" t="str">
        <f aca="false">IF($C50="","","Relatório Semanal Consolidado (erros + metas + faltas + supervisores)")</f>
        <v>Relatório Semanal Consolidado (erros + metas + faltas + supervisores)</v>
      </c>
      <c r="E50" s="9"/>
      <c r="F50" s="9"/>
      <c r="G50" s="81" t="str">
        <f aca="false">IF($C50="","","B")</f>
        <v>B</v>
      </c>
      <c r="H50" s="81" t="str">
        <f aca="false">IF($C50="","",IF($G50="A",CONFIG!$B$5,IF($G50="B",CONFIG!$B$6,IF($G50="C",CONFIG!$B$7,"Gerência + coordenadores"))))</f>
        <v>(preencha o nome)</v>
      </c>
      <c r="I50" s="81"/>
      <c r="J50" s="81" t="str">
        <f aca="false">IF($C50="","","—")</f>
        <v>—</v>
      </c>
      <c r="K50" s="91" t="n">
        <f aca="false">IF($C50="","",SUMIFS(OCORRÊNCIAS!$E$6:$E$605,OCORRÊNCIAS!$B$6:$B$605,"Falta",OCORRÊNCIAS!$C$6:$C$605,$G50,OCORRÊNCIAS!$H$6:$H$605,$B50,OCORRÊNCIAS!$J$6:$J$605,YEAR($C50+4-WEEKDAY($C50,2))))</f>
        <v>0</v>
      </c>
      <c r="L50" s="91" t="n">
        <f aca="false">IF($C50="","",SUMIFS(OCORRÊNCIAS!$E$6:$E$605,OCORRÊNCIAS!$B$6:$B$605,"Atestado",OCORRÊNCIAS!$C$6:$C$605,$G50,OCORRÊNCIAS!$H$6:$H$605,$B50,OCORRÊNCIAS!$J$6:$J$605,YEAR($C50+4-WEEKDAY($C50,2))))</f>
        <v>0</v>
      </c>
      <c r="M50" s="84"/>
      <c r="N50" s="84"/>
      <c r="O50" s="84"/>
      <c r="P50" s="85"/>
      <c r="Q50" s="86"/>
      <c r="R50" s="87"/>
      <c r="S50" s="81" t="str">
        <f aca="true">IF($C50="","",IF($Q50="Cancelada","Cancelada",IF($Q50="Reprovado","Reprovada",IF($Q50="Aprovado","Aprovada",IF($M50&lt;&gt;"","Entregue",IF(TODAY()&gt;$C50,"Atrasada","Pendente"))))))</f>
        <v>Pendente</v>
      </c>
      <c r="T50" s="88"/>
      <c r="U50" s="88"/>
      <c r="V50" s="88"/>
    </row>
    <row r="51" customFormat="false" ht="22.35" hidden="false" customHeight="false" outlineLevel="0" collapsed="false">
      <c r="A51" s="89" t="str">
        <f aca="false">IF($C51="","",$X$2&amp;"-S"&amp;INT(($C51-WEEKDAY($C51,2)+11-DATE(YEAR($C51+4-WEEKDAY($C51,2)),1,1))/7)&amp;"-RSC-C")</f>
        <v>AGO-S34-RSC-C</v>
      </c>
      <c r="B51" s="60" t="str">
        <f aca="false">IF($C51="","","S"&amp;INT(($C51-WEEKDAY($C51,2)+11-DATE(YEAR($C51+4-WEEKDAY($C51,2)),1,1))/7))</f>
        <v>S34</v>
      </c>
      <c r="C51" s="82" t="n">
        <f aca="false">IF(MONTH(($X$1-WEEKDAY($X$1,3)+21)+3)=MONTH($X$1),($X$1-WEEKDAY($X$1,3)+21)+3,"")</f>
        <v>46254</v>
      </c>
      <c r="D51" s="56" t="str">
        <f aca="false">IF($C51="","","Relatório Semanal Consolidado (erros + metas + faltas + supervisores)")</f>
        <v>Relatório Semanal Consolidado (erros + metas + faltas + supervisores)</v>
      </c>
      <c r="E51" s="56"/>
      <c r="F51" s="56"/>
      <c r="G51" s="60" t="str">
        <f aca="false">IF($C51="","","C")</f>
        <v>C</v>
      </c>
      <c r="H51" s="60" t="str">
        <f aca="false">IF($C51="","",IF($G51="A",CONFIG!$B$5,IF($G51="B",CONFIG!$B$6,IF($G51="C",CONFIG!$B$7,"Gerência + coordenadores"))))</f>
        <v>(preencha o nome)</v>
      </c>
      <c r="I51" s="60"/>
      <c r="J51" s="81" t="str">
        <f aca="false">IF($C51="","","—")</f>
        <v>—</v>
      </c>
      <c r="K51" s="91" t="n">
        <f aca="false">IF($C51="","",SUMIFS(OCORRÊNCIAS!$E$6:$E$605,OCORRÊNCIAS!$B$6:$B$605,"Falta",OCORRÊNCIAS!$C$6:$C$605,$G51,OCORRÊNCIAS!$H$6:$H$605,$B51,OCORRÊNCIAS!$J$6:$J$605,YEAR($C51+4-WEEKDAY($C51,2))))</f>
        <v>0</v>
      </c>
      <c r="L51" s="91" t="n">
        <f aca="false">IF($C51="","",SUMIFS(OCORRÊNCIAS!$E$6:$E$605,OCORRÊNCIAS!$B$6:$B$605,"Atestado",OCORRÊNCIAS!$C$6:$C$605,$G51,OCORRÊNCIAS!$H$6:$H$605,$B51,OCORRÊNCIAS!$J$6:$J$605,YEAR($C51+4-WEEKDAY($C51,2))))</f>
        <v>0</v>
      </c>
      <c r="M51" s="84"/>
      <c r="N51" s="84"/>
      <c r="O51" s="84"/>
      <c r="P51" s="90"/>
      <c r="Q51" s="86"/>
      <c r="R51" s="87"/>
      <c r="S51" s="60" t="str">
        <f aca="true">IF($C51="","",IF($Q51="Cancelada","Cancelada",IF($Q51="Reprovado","Reprovada",IF($Q51="Aprovado","Aprovada",IF($M51&lt;&gt;"","Entregue",IF(TODAY()&gt;$C51,"Atrasada","Pendente"))))))</f>
        <v>Pendente</v>
      </c>
      <c r="T51" s="88"/>
      <c r="U51" s="88"/>
      <c r="V51" s="88"/>
    </row>
    <row r="52" customFormat="false" ht="22.35" hidden="false" customHeight="false" outlineLevel="0" collapsed="false">
      <c r="A52" s="80" t="str">
        <f aca="false">IF($C52="","",$X$2&amp;"-S"&amp;INT(($C52-WEEKDAY($C52,2)+11-DATE(YEAR($C52+4-WEEKDAY($C52,2)),1,1))/7)&amp;"-REU-T")</f>
        <v>AGO-S34-REU-T</v>
      </c>
      <c r="B52" s="81" t="str">
        <f aca="false">IF($C52="","","S"&amp;INT(($C52-WEEKDAY($C52,2)+11-DATE(YEAR($C52+4-WEEKDAY($C52,2)),1,1))/7))</f>
        <v>S34</v>
      </c>
      <c r="C52" s="82" t="n">
        <f aca="false">IF(MONTH(($X$1-WEEKDAY($X$1,3)+21)+4)=MONTH($X$1),($X$1-WEEKDAY($X$1,3)+21)+4,"")</f>
        <v>46255</v>
      </c>
      <c r="D52" s="9" t="str">
        <f aca="false">IF($C52="","","Reunião Semanal com a Gerência")</f>
        <v>Reunião Semanal com a Gerência</v>
      </c>
      <c r="E52" s="9"/>
      <c r="F52" s="9"/>
      <c r="G52" s="81" t="str">
        <f aca="false">IF($C52="","","Todos")</f>
        <v>Todos</v>
      </c>
      <c r="H52" s="81" t="str">
        <f aca="false">IF($C52="","",IF($G52="A",CONFIG!$B$5,IF($G52="B",CONFIG!$B$6,IF($G52="C",CONFIG!$B$7,"Gerência + coordenadores"))))</f>
        <v>Gerência + coordenadores</v>
      </c>
      <c r="I52" s="81"/>
      <c r="J52" s="81" t="str">
        <f aca="false">IF($C52="","","—")</f>
        <v>—</v>
      </c>
      <c r="K52" s="83" t="str">
        <f aca="false">IF($C52="","","—")</f>
        <v>—</v>
      </c>
      <c r="L52" s="83" t="str">
        <f aca="false">IF($C52="","","—")</f>
        <v>—</v>
      </c>
      <c r="M52" s="84"/>
      <c r="N52" s="84"/>
      <c r="O52" s="84"/>
      <c r="P52" s="85"/>
      <c r="Q52" s="86"/>
      <c r="R52" s="87"/>
      <c r="S52" s="81" t="str">
        <f aca="true">IF($C52="","",IF($Q52="Cancelada","Cancelada",IF($Q52="Reprovado","Reprovada",IF($Q52="Aprovado","Aprovada",IF($M52&lt;&gt;"","Entregue",IF(TODAY()&gt;$C52,"Atrasada","Pendente"))))))</f>
        <v>Pendente</v>
      </c>
      <c r="T52" s="88"/>
      <c r="U52" s="88"/>
      <c r="V52" s="88"/>
    </row>
    <row r="53" customFormat="false" ht="22.35" hidden="false" customHeight="false" outlineLevel="0" collapsed="false">
      <c r="A53" s="89" t="str">
        <f aca="false">IF($C53="","",$X$2&amp;"-S"&amp;INT(($C53-WEEKDAY($C53,2)+11-DATE(YEAR($C53+4-WEEKDAY($C53,2)),1,1))/7)&amp;"-VIS-A")</f>
        <v>AGO-S35-VIS-A</v>
      </c>
      <c r="B53" s="60" t="str">
        <f aca="false">IF($C53="","","S"&amp;INT(($C53-WEEKDAY($C53,2)+11-DATE(YEAR($C53+4-WEEKDAY($C53,2)),1,1))/7))</f>
        <v>S35</v>
      </c>
      <c r="C53" s="82" t="n">
        <f aca="false">IF(MONTH(($X$1-WEEKDAY($X$1,3)+28)+2)=MONTH($X$1),($X$1-WEEKDAY($X$1,3)+28)+2,"")</f>
        <v>46260</v>
      </c>
      <c r="D53" s="56" t="str">
        <f aca="false">IF($C53="","","Vistoria Setorial (checklist no setor definido pelo gerente)")</f>
        <v>Vistoria Setorial (checklist no setor definido pelo gerente)</v>
      </c>
      <c r="E53" s="56"/>
      <c r="F53" s="56"/>
      <c r="G53" s="60" t="str">
        <f aca="false">IF($C53="","","A")</f>
        <v>A</v>
      </c>
      <c r="H53" s="60" t="str">
        <f aca="false">IF($C53="","",IF($G53="A",CONFIG!$B$5,IF($G53="B",CONFIG!$B$6,IF($G53="C",CONFIG!$B$7,"Gerência + coordenadores"))))</f>
        <v>(preencha o nome)</v>
      </c>
      <c r="I53" s="60"/>
      <c r="J53" s="86"/>
      <c r="K53" s="83" t="str">
        <f aca="false">IF($C53="","","—")</f>
        <v>—</v>
      </c>
      <c r="L53" s="83" t="str">
        <f aca="false">IF($C53="","","—")</f>
        <v>—</v>
      </c>
      <c r="M53" s="84"/>
      <c r="N53" s="84"/>
      <c r="O53" s="84"/>
      <c r="P53" s="90"/>
      <c r="Q53" s="86"/>
      <c r="R53" s="87"/>
      <c r="S53" s="60" t="str">
        <f aca="true">IF($C53="","",IF($Q53="Cancelada","Cancelada",IF($Q53="Reprovado","Reprovada",IF($Q53="Aprovado","Aprovada",IF($M53&lt;&gt;"","Entregue",IF(TODAY()&gt;$C53,"Atrasada","Pendente"))))))</f>
        <v>Pendente</v>
      </c>
      <c r="T53" s="88"/>
      <c r="U53" s="88"/>
      <c r="V53" s="88"/>
    </row>
    <row r="54" customFormat="false" ht="22.35" hidden="false" customHeight="false" outlineLevel="0" collapsed="false">
      <c r="A54" s="80" t="str">
        <f aca="false">IF($C54="","",$X$2&amp;"-S"&amp;INT(($C54-WEEKDAY($C54,2)+11-DATE(YEAR($C54+4-WEEKDAY($C54,2)),1,1))/7)&amp;"-VIS-B")</f>
        <v>AGO-S35-VIS-B</v>
      </c>
      <c r="B54" s="81" t="str">
        <f aca="false">IF($C54="","","S"&amp;INT(($C54-WEEKDAY($C54,2)+11-DATE(YEAR($C54+4-WEEKDAY($C54,2)),1,1))/7))</f>
        <v>S35</v>
      </c>
      <c r="C54" s="82" t="n">
        <f aca="false">IF(MONTH(($X$1-WEEKDAY($X$1,3)+28)+2)=MONTH($X$1),($X$1-WEEKDAY($X$1,3)+28)+2,"")</f>
        <v>46260</v>
      </c>
      <c r="D54" s="9" t="str">
        <f aca="false">IF($C54="","","Vistoria Setorial (checklist no setor definido pelo gerente)")</f>
        <v>Vistoria Setorial (checklist no setor definido pelo gerente)</v>
      </c>
      <c r="E54" s="9"/>
      <c r="F54" s="9"/>
      <c r="G54" s="81" t="str">
        <f aca="false">IF($C54="","","B")</f>
        <v>B</v>
      </c>
      <c r="H54" s="81" t="str">
        <f aca="false">IF($C54="","",IF($G54="A",CONFIG!$B$5,IF($G54="B",CONFIG!$B$6,IF($G54="C",CONFIG!$B$7,"Gerência + coordenadores"))))</f>
        <v>(preencha o nome)</v>
      </c>
      <c r="I54" s="81"/>
      <c r="J54" s="86"/>
      <c r="K54" s="83" t="str">
        <f aca="false">IF($C54="","","—")</f>
        <v>—</v>
      </c>
      <c r="L54" s="83" t="str">
        <f aca="false">IF($C54="","","—")</f>
        <v>—</v>
      </c>
      <c r="M54" s="84"/>
      <c r="N54" s="84"/>
      <c r="O54" s="84"/>
      <c r="P54" s="85"/>
      <c r="Q54" s="86"/>
      <c r="R54" s="87"/>
      <c r="S54" s="81" t="str">
        <f aca="true">IF($C54="","",IF($Q54="Cancelada","Cancelada",IF($Q54="Reprovado","Reprovada",IF($Q54="Aprovado","Aprovada",IF($M54&lt;&gt;"","Entregue",IF(TODAY()&gt;$C54,"Atrasada","Pendente"))))))</f>
        <v>Pendente</v>
      </c>
      <c r="T54" s="88"/>
      <c r="U54" s="88"/>
      <c r="V54" s="88"/>
    </row>
    <row r="55" customFormat="false" ht="22.35" hidden="false" customHeight="false" outlineLevel="0" collapsed="false">
      <c r="A55" s="89" t="str">
        <f aca="false">IF($C55="","",$X$2&amp;"-S"&amp;INT(($C55-WEEKDAY($C55,2)+11-DATE(YEAR($C55+4-WEEKDAY($C55,2)),1,1))/7)&amp;"-VIS-C")</f>
        <v>AGO-S35-VIS-C</v>
      </c>
      <c r="B55" s="60" t="str">
        <f aca="false">IF($C55="","","S"&amp;INT(($C55-WEEKDAY($C55,2)+11-DATE(YEAR($C55+4-WEEKDAY($C55,2)),1,1))/7))</f>
        <v>S35</v>
      </c>
      <c r="C55" s="82" t="n">
        <f aca="false">IF(MONTH(($X$1-WEEKDAY($X$1,3)+28)+2)=MONTH($X$1),($X$1-WEEKDAY($X$1,3)+28)+2,"")</f>
        <v>46260</v>
      </c>
      <c r="D55" s="56" t="str">
        <f aca="false">IF($C55="","","Vistoria Setorial (checklist no setor definido pelo gerente)")</f>
        <v>Vistoria Setorial (checklist no setor definido pelo gerente)</v>
      </c>
      <c r="E55" s="56"/>
      <c r="F55" s="56"/>
      <c r="G55" s="60" t="str">
        <f aca="false">IF($C55="","","C")</f>
        <v>C</v>
      </c>
      <c r="H55" s="60" t="str">
        <f aca="false">IF($C55="","",IF($G55="A",CONFIG!$B$5,IF($G55="B",CONFIG!$B$6,IF($G55="C",CONFIG!$B$7,"Gerência + coordenadores"))))</f>
        <v>(preencha o nome)</v>
      </c>
      <c r="I55" s="60"/>
      <c r="J55" s="86"/>
      <c r="K55" s="83" t="str">
        <f aca="false">IF($C55="","","—")</f>
        <v>—</v>
      </c>
      <c r="L55" s="83" t="str">
        <f aca="false">IF($C55="","","—")</f>
        <v>—</v>
      </c>
      <c r="M55" s="84"/>
      <c r="N55" s="84"/>
      <c r="O55" s="84"/>
      <c r="P55" s="90"/>
      <c r="Q55" s="86"/>
      <c r="R55" s="87"/>
      <c r="S55" s="60" t="str">
        <f aca="true">IF($C55="","",IF($Q55="Cancelada","Cancelada",IF($Q55="Reprovado","Reprovada",IF($Q55="Aprovado","Aprovada",IF($M55&lt;&gt;"","Entregue",IF(TODAY()&gt;$C55,"Atrasada","Pendente"))))))</f>
        <v>Pendente</v>
      </c>
      <c r="T55" s="88"/>
      <c r="U55" s="88"/>
      <c r="V55" s="88"/>
    </row>
    <row r="56" customFormat="false" ht="22.35" hidden="false" customHeight="false" outlineLevel="0" collapsed="false">
      <c r="A56" s="80" t="str">
        <f aca="false">IF($C56="","",$X$2&amp;"-S"&amp;INT(($C56-WEEKDAY($C56,2)+11-DATE(YEAR($C56+4-WEEKDAY($C56,2)),1,1))/7)&amp;"-RSC-A")</f>
        <v>AGO-S35-RSC-A</v>
      </c>
      <c r="B56" s="81" t="str">
        <f aca="false">IF($C56="","","S"&amp;INT(($C56-WEEKDAY($C56,2)+11-DATE(YEAR($C56+4-WEEKDAY($C56,2)),1,1))/7))</f>
        <v>S35</v>
      </c>
      <c r="C56" s="82" t="n">
        <f aca="false">IF(MONTH(($X$1-WEEKDAY($X$1,3)+28)+3)=MONTH($X$1),($X$1-WEEKDAY($X$1,3)+28)+3,"")</f>
        <v>46261</v>
      </c>
      <c r="D56" s="9" t="str">
        <f aca="false">IF($C56="","","Relatório Semanal Consolidado (erros + metas + faltas + supervisores)")</f>
        <v>Relatório Semanal Consolidado (erros + metas + faltas + supervisores)</v>
      </c>
      <c r="E56" s="9"/>
      <c r="F56" s="9"/>
      <c r="G56" s="81" t="str">
        <f aca="false">IF($C56="","","A")</f>
        <v>A</v>
      </c>
      <c r="H56" s="81" t="str">
        <f aca="false">IF($C56="","",IF($G56="A",CONFIG!$B$5,IF($G56="B",CONFIG!$B$6,IF($G56="C",CONFIG!$B$7,"Gerência + coordenadores"))))</f>
        <v>(preencha o nome)</v>
      </c>
      <c r="I56" s="81"/>
      <c r="J56" s="81" t="str">
        <f aca="false">IF($C56="","","—")</f>
        <v>—</v>
      </c>
      <c r="K56" s="91" t="n">
        <f aca="false">IF($C56="","",SUMIFS(OCORRÊNCIAS!$E$6:$E$605,OCORRÊNCIAS!$B$6:$B$605,"Falta",OCORRÊNCIAS!$C$6:$C$605,$G56,OCORRÊNCIAS!$H$6:$H$605,$B56,OCORRÊNCIAS!$J$6:$J$605,YEAR($C56+4-WEEKDAY($C56,2))))</f>
        <v>0</v>
      </c>
      <c r="L56" s="91" t="n">
        <f aca="false">IF($C56="","",SUMIFS(OCORRÊNCIAS!$E$6:$E$605,OCORRÊNCIAS!$B$6:$B$605,"Atestado",OCORRÊNCIAS!$C$6:$C$605,$G56,OCORRÊNCIAS!$H$6:$H$605,$B56,OCORRÊNCIAS!$J$6:$J$605,YEAR($C56+4-WEEKDAY($C56,2))))</f>
        <v>0</v>
      </c>
      <c r="M56" s="84"/>
      <c r="N56" s="84"/>
      <c r="O56" s="84"/>
      <c r="P56" s="85"/>
      <c r="Q56" s="86"/>
      <c r="R56" s="87"/>
      <c r="S56" s="81" t="str">
        <f aca="true">IF($C56="","",IF($Q56="Cancelada","Cancelada",IF($Q56="Reprovado","Reprovada",IF($Q56="Aprovado","Aprovada",IF($M56&lt;&gt;"","Entregue",IF(TODAY()&gt;$C56,"Atrasada","Pendente"))))))</f>
        <v>Pendente</v>
      </c>
      <c r="T56" s="88"/>
      <c r="U56" s="88"/>
      <c r="V56" s="88"/>
    </row>
    <row r="57" customFormat="false" ht="22.35" hidden="false" customHeight="false" outlineLevel="0" collapsed="false">
      <c r="A57" s="89" t="str">
        <f aca="false">IF($C57="","",$X$2&amp;"-S"&amp;INT(($C57-WEEKDAY($C57,2)+11-DATE(YEAR($C57+4-WEEKDAY($C57,2)),1,1))/7)&amp;"-RSC-B")</f>
        <v>AGO-S35-RSC-B</v>
      </c>
      <c r="B57" s="60" t="str">
        <f aca="false">IF($C57="","","S"&amp;INT(($C57-WEEKDAY($C57,2)+11-DATE(YEAR($C57+4-WEEKDAY($C57,2)),1,1))/7))</f>
        <v>S35</v>
      </c>
      <c r="C57" s="82" t="n">
        <f aca="false">IF(MONTH(($X$1-WEEKDAY($X$1,3)+28)+3)=MONTH($X$1),($X$1-WEEKDAY($X$1,3)+28)+3,"")</f>
        <v>46261</v>
      </c>
      <c r="D57" s="56" t="str">
        <f aca="false">IF($C57="","","Relatório Semanal Consolidado (erros + metas + faltas + supervisores)")</f>
        <v>Relatório Semanal Consolidado (erros + metas + faltas + supervisores)</v>
      </c>
      <c r="E57" s="56"/>
      <c r="F57" s="56"/>
      <c r="G57" s="60" t="str">
        <f aca="false">IF($C57="","","B")</f>
        <v>B</v>
      </c>
      <c r="H57" s="60" t="str">
        <f aca="false">IF($C57="","",IF($G57="A",CONFIG!$B$5,IF($G57="B",CONFIG!$B$6,IF($G57="C",CONFIG!$B$7,"Gerência + coordenadores"))))</f>
        <v>(preencha o nome)</v>
      </c>
      <c r="I57" s="60"/>
      <c r="J57" s="81" t="str">
        <f aca="false">IF($C57="","","—")</f>
        <v>—</v>
      </c>
      <c r="K57" s="91" t="n">
        <f aca="false">IF($C57="","",SUMIFS(OCORRÊNCIAS!$E$6:$E$605,OCORRÊNCIAS!$B$6:$B$605,"Falta",OCORRÊNCIAS!$C$6:$C$605,$G57,OCORRÊNCIAS!$H$6:$H$605,$B57,OCORRÊNCIAS!$J$6:$J$605,YEAR($C57+4-WEEKDAY($C57,2))))</f>
        <v>0</v>
      </c>
      <c r="L57" s="91" t="n">
        <f aca="false">IF($C57="","",SUMIFS(OCORRÊNCIAS!$E$6:$E$605,OCORRÊNCIAS!$B$6:$B$605,"Atestado",OCORRÊNCIAS!$C$6:$C$605,$G57,OCORRÊNCIAS!$H$6:$H$605,$B57,OCORRÊNCIAS!$J$6:$J$605,YEAR($C57+4-WEEKDAY($C57,2))))</f>
        <v>0</v>
      </c>
      <c r="M57" s="84"/>
      <c r="N57" s="84"/>
      <c r="O57" s="84"/>
      <c r="P57" s="90"/>
      <c r="Q57" s="86"/>
      <c r="R57" s="87"/>
      <c r="S57" s="60" t="str">
        <f aca="true">IF($C57="","",IF($Q57="Cancelada","Cancelada",IF($Q57="Reprovado","Reprovada",IF($Q57="Aprovado","Aprovada",IF($M57&lt;&gt;"","Entregue",IF(TODAY()&gt;$C57,"Atrasada","Pendente"))))))</f>
        <v>Pendente</v>
      </c>
      <c r="T57" s="88"/>
      <c r="U57" s="88"/>
      <c r="V57" s="88"/>
    </row>
    <row r="58" customFormat="false" ht="22.35" hidden="false" customHeight="false" outlineLevel="0" collapsed="false">
      <c r="A58" s="80" t="str">
        <f aca="false">IF($C58="","",$X$2&amp;"-S"&amp;INT(($C58-WEEKDAY($C58,2)+11-DATE(YEAR($C58+4-WEEKDAY($C58,2)),1,1))/7)&amp;"-RSC-C")</f>
        <v>AGO-S35-RSC-C</v>
      </c>
      <c r="B58" s="81" t="str">
        <f aca="false">IF($C58="","","S"&amp;INT(($C58-WEEKDAY($C58,2)+11-DATE(YEAR($C58+4-WEEKDAY($C58,2)),1,1))/7))</f>
        <v>S35</v>
      </c>
      <c r="C58" s="82" t="n">
        <f aca="false">IF(MONTH(($X$1-WEEKDAY($X$1,3)+28)+3)=MONTH($X$1),($X$1-WEEKDAY($X$1,3)+28)+3,"")</f>
        <v>46261</v>
      </c>
      <c r="D58" s="9" t="str">
        <f aca="false">IF($C58="","","Relatório Semanal Consolidado (erros + metas + faltas + supervisores)")</f>
        <v>Relatório Semanal Consolidado (erros + metas + faltas + supervisores)</v>
      </c>
      <c r="E58" s="9"/>
      <c r="F58" s="9"/>
      <c r="G58" s="81" t="str">
        <f aca="false">IF($C58="","","C")</f>
        <v>C</v>
      </c>
      <c r="H58" s="81" t="str">
        <f aca="false">IF($C58="","",IF($G58="A",CONFIG!$B$5,IF($G58="B",CONFIG!$B$6,IF($G58="C",CONFIG!$B$7,"Gerência + coordenadores"))))</f>
        <v>(preencha o nome)</v>
      </c>
      <c r="I58" s="81"/>
      <c r="J58" s="81" t="str">
        <f aca="false">IF($C58="","","—")</f>
        <v>—</v>
      </c>
      <c r="K58" s="91" t="n">
        <f aca="false">IF($C58="","",SUMIFS(OCORRÊNCIAS!$E$6:$E$605,OCORRÊNCIAS!$B$6:$B$605,"Falta",OCORRÊNCIAS!$C$6:$C$605,$G58,OCORRÊNCIAS!$H$6:$H$605,$B58,OCORRÊNCIAS!$J$6:$J$605,YEAR($C58+4-WEEKDAY($C58,2))))</f>
        <v>0</v>
      </c>
      <c r="L58" s="91" t="n">
        <f aca="false">IF($C58="","",SUMIFS(OCORRÊNCIAS!$E$6:$E$605,OCORRÊNCIAS!$B$6:$B$605,"Atestado",OCORRÊNCIAS!$C$6:$C$605,$G58,OCORRÊNCIAS!$H$6:$H$605,$B58,OCORRÊNCIAS!$J$6:$J$605,YEAR($C58+4-WEEKDAY($C58,2))))</f>
        <v>0</v>
      </c>
      <c r="M58" s="84"/>
      <c r="N58" s="84"/>
      <c r="O58" s="84"/>
      <c r="P58" s="85"/>
      <c r="Q58" s="86"/>
      <c r="R58" s="87"/>
      <c r="S58" s="81" t="str">
        <f aca="true">IF($C58="","",IF($Q58="Cancelada","Cancelada",IF($Q58="Reprovado","Reprovada",IF($Q58="Aprovado","Aprovada",IF($M58&lt;&gt;"","Entregue",IF(TODAY()&gt;$C58,"Atrasada","Pendente"))))))</f>
        <v>Pendente</v>
      </c>
      <c r="T58" s="88"/>
      <c r="U58" s="88"/>
      <c r="V58" s="88"/>
    </row>
    <row r="59" customFormat="false" ht="22.35" hidden="false" customHeight="false" outlineLevel="0" collapsed="false">
      <c r="A59" s="89" t="str">
        <f aca="false">IF($C59="","",$X$2&amp;"-S"&amp;INT(($C59-WEEKDAY($C59,2)+11-DATE(YEAR($C59+4-WEEKDAY($C59,2)),1,1))/7)&amp;"-REU-T")</f>
        <v>AGO-S35-REU-T</v>
      </c>
      <c r="B59" s="60" t="str">
        <f aca="false">IF($C59="","","S"&amp;INT(($C59-WEEKDAY($C59,2)+11-DATE(YEAR($C59+4-WEEKDAY($C59,2)),1,1))/7))</f>
        <v>S35</v>
      </c>
      <c r="C59" s="82" t="n">
        <f aca="false">IF(MONTH(($X$1-WEEKDAY($X$1,3)+28)+4)=MONTH($X$1),($X$1-WEEKDAY($X$1,3)+28)+4,"")</f>
        <v>46262</v>
      </c>
      <c r="D59" s="56" t="str">
        <f aca="false">IF($C59="","","Reunião Semanal com a Gerência")</f>
        <v>Reunião Semanal com a Gerência</v>
      </c>
      <c r="E59" s="56"/>
      <c r="F59" s="56"/>
      <c r="G59" s="60" t="str">
        <f aca="false">IF($C59="","","Todos")</f>
        <v>Todos</v>
      </c>
      <c r="H59" s="60" t="str">
        <f aca="false">IF($C59="","",IF($G59="A",CONFIG!$B$5,IF($G59="B",CONFIG!$B$6,IF($G59="C",CONFIG!$B$7,"Gerência + coordenadores"))))</f>
        <v>Gerência + coordenadores</v>
      </c>
      <c r="I59" s="60"/>
      <c r="J59" s="81" t="str">
        <f aca="false">IF($C59="","","—")</f>
        <v>—</v>
      </c>
      <c r="K59" s="83" t="str">
        <f aca="false">IF($C59="","","—")</f>
        <v>—</v>
      </c>
      <c r="L59" s="83" t="str">
        <f aca="false">IF($C59="","","—")</f>
        <v>—</v>
      </c>
      <c r="M59" s="84"/>
      <c r="N59" s="84"/>
      <c r="O59" s="84"/>
      <c r="P59" s="90"/>
      <c r="Q59" s="86"/>
      <c r="R59" s="87"/>
      <c r="S59" s="60" t="str">
        <f aca="true">IF($C59="","",IF($Q59="Cancelada","Cancelada",IF($Q59="Reprovado","Reprovada",IF($Q59="Aprovado","Aprovada",IF($M59&lt;&gt;"","Entregue",IF(TODAY()&gt;$C59,"Atrasada","Pendente"))))))</f>
        <v>Pendente</v>
      </c>
      <c r="T59" s="88"/>
      <c r="U59" s="88"/>
      <c r="V59" s="88"/>
    </row>
    <row r="60" customFormat="false" ht="15" hidden="false" customHeight="false" outlineLevel="0" collapsed="false">
      <c r="A60" s="80" t="str">
        <f aca="false">IF($C60="","",$X$2&amp;"-S"&amp;INT(($C60-WEEKDAY($C60,2)+11-DATE(YEAR($C60+4-WEEKDAY($C60,2)),1,1))/7)&amp;"-VIS-A")</f>
        <v/>
      </c>
      <c r="B60" s="81" t="str">
        <f aca="false">IF($C60="","","S"&amp;INT(($C60-WEEKDAY($C60,2)+11-DATE(YEAR($C60+4-WEEKDAY($C60,2)),1,1))/7))</f>
        <v/>
      </c>
      <c r="C60" s="82" t="str">
        <f aca="false">IF(MONTH(($X$1-WEEKDAY($X$1,3)+35)+2)=MONTH($X$1),($X$1-WEEKDAY($X$1,3)+35)+2,"")</f>
        <v/>
      </c>
      <c r="D60" s="9" t="str">
        <f aca="false">IF($C60="","","Vistoria Setorial (checklist no setor definido pelo gerente)")</f>
        <v/>
      </c>
      <c r="E60" s="9"/>
      <c r="F60" s="9"/>
      <c r="G60" s="81" t="str">
        <f aca="false">IF($C60="","","A")</f>
        <v/>
      </c>
      <c r="H60" s="81" t="str">
        <f aca="false">IF($C60="","",IF($G60="A",CONFIG!$B$5,IF($G60="B",CONFIG!$B$6,IF($G60="C",CONFIG!$B$7,"Gerência + coordenadores"))))</f>
        <v/>
      </c>
      <c r="I60" s="81"/>
      <c r="J60" s="86"/>
      <c r="K60" s="83" t="str">
        <f aca="false">IF($C60="","","—")</f>
        <v/>
      </c>
      <c r="L60" s="83" t="str">
        <f aca="false">IF($C60="","","—")</f>
        <v/>
      </c>
      <c r="M60" s="84"/>
      <c r="N60" s="84"/>
      <c r="O60" s="84"/>
      <c r="P60" s="85"/>
      <c r="Q60" s="86"/>
      <c r="R60" s="87"/>
      <c r="S60" s="81" t="str">
        <f aca="true">IF($C60="","",IF($Q60="Cancelada","Cancelada",IF($Q60="Reprovado","Reprovada",IF($Q60="Aprovado","Aprovada",IF($M60&lt;&gt;"","Entregue",IF(TODAY()&gt;$C60,"Atrasada","Pendente"))))))</f>
        <v/>
      </c>
      <c r="T60" s="88"/>
      <c r="U60" s="88"/>
      <c r="V60" s="88"/>
    </row>
    <row r="61" customFormat="false" ht="15" hidden="false" customHeight="false" outlineLevel="0" collapsed="false">
      <c r="A61" s="89" t="str">
        <f aca="false">IF($C61="","",$X$2&amp;"-S"&amp;INT(($C61-WEEKDAY($C61,2)+11-DATE(YEAR($C61+4-WEEKDAY($C61,2)),1,1))/7)&amp;"-VIS-B")</f>
        <v/>
      </c>
      <c r="B61" s="60" t="str">
        <f aca="false">IF($C61="","","S"&amp;INT(($C61-WEEKDAY($C61,2)+11-DATE(YEAR($C61+4-WEEKDAY($C61,2)),1,1))/7))</f>
        <v/>
      </c>
      <c r="C61" s="82" t="str">
        <f aca="false">IF(MONTH(($X$1-WEEKDAY($X$1,3)+35)+2)=MONTH($X$1),($X$1-WEEKDAY($X$1,3)+35)+2,"")</f>
        <v/>
      </c>
      <c r="D61" s="56" t="str">
        <f aca="false">IF($C61="","","Vistoria Setorial (checklist no setor definido pelo gerente)")</f>
        <v/>
      </c>
      <c r="E61" s="56"/>
      <c r="F61" s="56"/>
      <c r="G61" s="60" t="str">
        <f aca="false">IF($C61="","","B")</f>
        <v/>
      </c>
      <c r="H61" s="60" t="str">
        <f aca="false">IF($C61="","",IF($G61="A",CONFIG!$B$5,IF($G61="B",CONFIG!$B$6,IF($G61="C",CONFIG!$B$7,"Gerência + coordenadores"))))</f>
        <v/>
      </c>
      <c r="I61" s="60"/>
      <c r="J61" s="86"/>
      <c r="K61" s="83" t="str">
        <f aca="false">IF($C61="","","—")</f>
        <v/>
      </c>
      <c r="L61" s="83" t="str">
        <f aca="false">IF($C61="","","—")</f>
        <v/>
      </c>
      <c r="M61" s="84"/>
      <c r="N61" s="84"/>
      <c r="O61" s="84"/>
      <c r="P61" s="90"/>
      <c r="Q61" s="86"/>
      <c r="R61" s="87"/>
      <c r="S61" s="60" t="str">
        <f aca="true">IF($C61="","",IF($Q61="Cancelada","Cancelada",IF($Q61="Reprovado","Reprovada",IF($Q61="Aprovado","Aprovada",IF($M61&lt;&gt;"","Entregue",IF(TODAY()&gt;$C61,"Atrasada","Pendente"))))))</f>
        <v/>
      </c>
      <c r="T61" s="88"/>
      <c r="U61" s="88"/>
      <c r="V61" s="88"/>
    </row>
    <row r="62" customFormat="false" ht="15" hidden="false" customHeight="false" outlineLevel="0" collapsed="false">
      <c r="A62" s="80" t="str">
        <f aca="false">IF($C62="","",$X$2&amp;"-S"&amp;INT(($C62-WEEKDAY($C62,2)+11-DATE(YEAR($C62+4-WEEKDAY($C62,2)),1,1))/7)&amp;"-VIS-C")</f>
        <v/>
      </c>
      <c r="B62" s="81" t="str">
        <f aca="false">IF($C62="","","S"&amp;INT(($C62-WEEKDAY($C62,2)+11-DATE(YEAR($C62+4-WEEKDAY($C62,2)),1,1))/7))</f>
        <v/>
      </c>
      <c r="C62" s="82" t="str">
        <f aca="false">IF(MONTH(($X$1-WEEKDAY($X$1,3)+35)+2)=MONTH($X$1),($X$1-WEEKDAY($X$1,3)+35)+2,"")</f>
        <v/>
      </c>
      <c r="D62" s="9" t="str">
        <f aca="false">IF($C62="","","Vistoria Setorial (checklist no setor definido pelo gerente)")</f>
        <v/>
      </c>
      <c r="E62" s="9"/>
      <c r="F62" s="9"/>
      <c r="G62" s="81" t="str">
        <f aca="false">IF($C62="","","C")</f>
        <v/>
      </c>
      <c r="H62" s="81" t="str">
        <f aca="false">IF($C62="","",IF($G62="A",CONFIG!$B$5,IF($G62="B",CONFIG!$B$6,IF($G62="C",CONFIG!$B$7,"Gerência + coordenadores"))))</f>
        <v/>
      </c>
      <c r="I62" s="81"/>
      <c r="J62" s="86"/>
      <c r="K62" s="83" t="str">
        <f aca="false">IF($C62="","","—")</f>
        <v/>
      </c>
      <c r="L62" s="83" t="str">
        <f aca="false">IF($C62="","","—")</f>
        <v/>
      </c>
      <c r="M62" s="84"/>
      <c r="N62" s="84"/>
      <c r="O62" s="84"/>
      <c r="P62" s="85"/>
      <c r="Q62" s="86"/>
      <c r="R62" s="87"/>
      <c r="S62" s="81" t="str">
        <f aca="true">IF($C62="","",IF($Q62="Cancelada","Cancelada",IF($Q62="Reprovado","Reprovada",IF($Q62="Aprovado","Aprovada",IF($M62&lt;&gt;"","Entregue",IF(TODAY()&gt;$C62,"Atrasada","Pendente"))))))</f>
        <v/>
      </c>
      <c r="T62" s="88"/>
      <c r="U62" s="88"/>
      <c r="V62" s="88"/>
    </row>
    <row r="63" customFormat="false" ht="15" hidden="false" customHeight="false" outlineLevel="0" collapsed="false">
      <c r="A63" s="89" t="str">
        <f aca="false">IF($C63="","",$X$2&amp;"-S"&amp;INT(($C63-WEEKDAY($C63,2)+11-DATE(YEAR($C63+4-WEEKDAY($C63,2)),1,1))/7)&amp;"-RSC-A")</f>
        <v/>
      </c>
      <c r="B63" s="60" t="str">
        <f aca="false">IF($C63="","","S"&amp;INT(($C63-WEEKDAY($C63,2)+11-DATE(YEAR($C63+4-WEEKDAY($C63,2)),1,1))/7))</f>
        <v/>
      </c>
      <c r="C63" s="82" t="str">
        <f aca="false">IF(MONTH(($X$1-WEEKDAY($X$1,3)+35)+3)=MONTH($X$1),($X$1-WEEKDAY($X$1,3)+35)+3,"")</f>
        <v/>
      </c>
      <c r="D63" s="56" t="str">
        <f aca="false">IF($C63="","","Relatório Semanal Consolidado (erros + metas + faltas + supervisores)")</f>
        <v/>
      </c>
      <c r="E63" s="56"/>
      <c r="F63" s="56"/>
      <c r="G63" s="60" t="str">
        <f aca="false">IF($C63="","","A")</f>
        <v/>
      </c>
      <c r="H63" s="60" t="str">
        <f aca="false">IF($C63="","",IF($G63="A",CONFIG!$B$5,IF($G63="B",CONFIG!$B$6,IF($G63="C",CONFIG!$B$7,"Gerência + coordenadores"))))</f>
        <v/>
      </c>
      <c r="I63" s="60"/>
      <c r="J63" s="81" t="str">
        <f aca="false">IF($C63="","","—")</f>
        <v/>
      </c>
      <c r="K63" s="91" t="str">
        <f aca="false">IF($C63="","",SUMIFS(OCORRÊNCIAS!$E$6:$E$605,OCORRÊNCIAS!$B$6:$B$605,"Falta",OCORRÊNCIAS!$C$6:$C$605,$G63,OCORRÊNCIAS!$H$6:$H$605,$B63,OCORRÊNCIAS!$J$6:$J$605,YEAR($C63+4-WEEKDAY($C63,2))))</f>
        <v/>
      </c>
      <c r="L63" s="91" t="str">
        <f aca="false">IF($C63="","",SUMIFS(OCORRÊNCIAS!$E$6:$E$605,OCORRÊNCIAS!$B$6:$B$605,"Atestado",OCORRÊNCIAS!$C$6:$C$605,$G63,OCORRÊNCIAS!$H$6:$H$605,$B63,OCORRÊNCIAS!$J$6:$J$605,YEAR($C63+4-WEEKDAY($C63,2))))</f>
        <v/>
      </c>
      <c r="M63" s="84"/>
      <c r="N63" s="84"/>
      <c r="O63" s="84"/>
      <c r="P63" s="90"/>
      <c r="Q63" s="86"/>
      <c r="R63" s="87"/>
      <c r="S63" s="60" t="str">
        <f aca="true">IF($C63="","",IF($Q63="Cancelada","Cancelada",IF($Q63="Reprovado","Reprovada",IF($Q63="Aprovado","Aprovada",IF($M63&lt;&gt;"","Entregue",IF(TODAY()&gt;$C63,"Atrasada","Pendente"))))))</f>
        <v/>
      </c>
      <c r="T63" s="88"/>
      <c r="U63" s="88"/>
      <c r="V63" s="88"/>
    </row>
    <row r="64" customFormat="false" ht="15" hidden="false" customHeight="false" outlineLevel="0" collapsed="false">
      <c r="A64" s="80" t="str">
        <f aca="false">IF($C64="","",$X$2&amp;"-S"&amp;INT(($C64-WEEKDAY($C64,2)+11-DATE(YEAR($C64+4-WEEKDAY($C64,2)),1,1))/7)&amp;"-RSC-B")</f>
        <v/>
      </c>
      <c r="B64" s="81" t="str">
        <f aca="false">IF($C64="","","S"&amp;INT(($C64-WEEKDAY($C64,2)+11-DATE(YEAR($C64+4-WEEKDAY($C64,2)),1,1))/7))</f>
        <v/>
      </c>
      <c r="C64" s="82" t="str">
        <f aca="false">IF(MONTH(($X$1-WEEKDAY($X$1,3)+35)+3)=MONTH($X$1),($X$1-WEEKDAY($X$1,3)+35)+3,"")</f>
        <v/>
      </c>
      <c r="D64" s="9" t="str">
        <f aca="false">IF($C64="","","Relatório Semanal Consolidado (erros + metas + faltas + supervisores)")</f>
        <v/>
      </c>
      <c r="E64" s="9"/>
      <c r="F64" s="9"/>
      <c r="G64" s="81" t="str">
        <f aca="false">IF($C64="","","B")</f>
        <v/>
      </c>
      <c r="H64" s="81" t="str">
        <f aca="false">IF($C64="","",IF($G64="A",CONFIG!$B$5,IF($G64="B",CONFIG!$B$6,IF($G64="C",CONFIG!$B$7,"Gerência + coordenadores"))))</f>
        <v/>
      </c>
      <c r="I64" s="81"/>
      <c r="J64" s="81" t="str">
        <f aca="false">IF($C64="","","—")</f>
        <v/>
      </c>
      <c r="K64" s="91" t="str">
        <f aca="false">IF($C64="","",SUMIFS(OCORRÊNCIAS!$E$6:$E$605,OCORRÊNCIAS!$B$6:$B$605,"Falta",OCORRÊNCIAS!$C$6:$C$605,$G64,OCORRÊNCIAS!$H$6:$H$605,$B64,OCORRÊNCIAS!$J$6:$J$605,YEAR($C64+4-WEEKDAY($C64,2))))</f>
        <v/>
      </c>
      <c r="L64" s="91" t="str">
        <f aca="false">IF($C64="","",SUMIFS(OCORRÊNCIAS!$E$6:$E$605,OCORRÊNCIAS!$B$6:$B$605,"Atestado",OCORRÊNCIAS!$C$6:$C$605,$G64,OCORRÊNCIAS!$H$6:$H$605,$B64,OCORRÊNCIAS!$J$6:$J$605,YEAR($C64+4-WEEKDAY($C64,2))))</f>
        <v/>
      </c>
      <c r="M64" s="84"/>
      <c r="N64" s="84"/>
      <c r="O64" s="84"/>
      <c r="P64" s="85"/>
      <c r="Q64" s="86"/>
      <c r="R64" s="87"/>
      <c r="S64" s="81" t="str">
        <f aca="true">IF($C64="","",IF($Q64="Cancelada","Cancelada",IF($Q64="Reprovado","Reprovada",IF($Q64="Aprovado","Aprovada",IF($M64&lt;&gt;"","Entregue",IF(TODAY()&gt;$C64,"Atrasada","Pendente"))))))</f>
        <v/>
      </c>
      <c r="T64" s="88"/>
      <c r="U64" s="88"/>
      <c r="V64" s="88"/>
    </row>
    <row r="65" customFormat="false" ht="15" hidden="false" customHeight="false" outlineLevel="0" collapsed="false">
      <c r="A65" s="89" t="str">
        <f aca="false">IF($C65="","",$X$2&amp;"-S"&amp;INT(($C65-WEEKDAY($C65,2)+11-DATE(YEAR($C65+4-WEEKDAY($C65,2)),1,1))/7)&amp;"-RSC-C")</f>
        <v/>
      </c>
      <c r="B65" s="60" t="str">
        <f aca="false">IF($C65="","","S"&amp;INT(($C65-WEEKDAY($C65,2)+11-DATE(YEAR($C65+4-WEEKDAY($C65,2)),1,1))/7))</f>
        <v/>
      </c>
      <c r="C65" s="82" t="str">
        <f aca="false">IF(MONTH(($X$1-WEEKDAY($X$1,3)+35)+3)=MONTH($X$1),($X$1-WEEKDAY($X$1,3)+35)+3,"")</f>
        <v/>
      </c>
      <c r="D65" s="56" t="str">
        <f aca="false">IF($C65="","","Relatório Semanal Consolidado (erros + metas + faltas + supervisores)")</f>
        <v/>
      </c>
      <c r="E65" s="56"/>
      <c r="F65" s="56"/>
      <c r="G65" s="60" t="str">
        <f aca="false">IF($C65="","","C")</f>
        <v/>
      </c>
      <c r="H65" s="60" t="str">
        <f aca="false">IF($C65="","",IF($G65="A",CONFIG!$B$5,IF($G65="B",CONFIG!$B$6,IF($G65="C",CONFIG!$B$7,"Gerência + coordenadores"))))</f>
        <v/>
      </c>
      <c r="I65" s="60"/>
      <c r="J65" s="81" t="str">
        <f aca="false">IF($C65="","","—")</f>
        <v/>
      </c>
      <c r="K65" s="91" t="str">
        <f aca="false">IF($C65="","",SUMIFS(OCORRÊNCIAS!$E$6:$E$605,OCORRÊNCIAS!$B$6:$B$605,"Falta",OCORRÊNCIAS!$C$6:$C$605,$G65,OCORRÊNCIAS!$H$6:$H$605,$B65,OCORRÊNCIAS!$J$6:$J$605,YEAR($C65+4-WEEKDAY($C65,2))))</f>
        <v/>
      </c>
      <c r="L65" s="91" t="str">
        <f aca="false">IF($C65="","",SUMIFS(OCORRÊNCIAS!$E$6:$E$605,OCORRÊNCIAS!$B$6:$B$605,"Atestado",OCORRÊNCIAS!$C$6:$C$605,$G65,OCORRÊNCIAS!$H$6:$H$605,$B65,OCORRÊNCIAS!$J$6:$J$605,YEAR($C65+4-WEEKDAY($C65,2))))</f>
        <v/>
      </c>
      <c r="M65" s="84"/>
      <c r="N65" s="84"/>
      <c r="O65" s="84"/>
      <c r="P65" s="90"/>
      <c r="Q65" s="86"/>
      <c r="R65" s="87"/>
      <c r="S65" s="60" t="str">
        <f aca="true">IF($C65="","",IF($Q65="Cancelada","Cancelada",IF($Q65="Reprovado","Reprovada",IF($Q65="Aprovado","Aprovada",IF($M65&lt;&gt;"","Entregue",IF(TODAY()&gt;$C65,"Atrasada","Pendente"))))))</f>
        <v/>
      </c>
      <c r="T65" s="88"/>
      <c r="U65" s="88"/>
      <c r="V65" s="88"/>
    </row>
    <row r="66" customFormat="false" ht="15" hidden="false" customHeight="false" outlineLevel="0" collapsed="false">
      <c r="A66" s="80" t="str">
        <f aca="false">IF($C66="","",$X$2&amp;"-S"&amp;INT(($C66-WEEKDAY($C66,2)+11-DATE(YEAR($C66+4-WEEKDAY($C66,2)),1,1))/7)&amp;"-REU-T")</f>
        <v/>
      </c>
      <c r="B66" s="81" t="str">
        <f aca="false">IF($C66="","","S"&amp;INT(($C66-WEEKDAY($C66,2)+11-DATE(YEAR($C66+4-WEEKDAY($C66,2)),1,1))/7))</f>
        <v/>
      </c>
      <c r="C66" s="82" t="str">
        <f aca="false">IF(MONTH(($X$1-WEEKDAY($X$1,3)+35)+4)=MONTH($X$1),($X$1-WEEKDAY($X$1,3)+35)+4,"")</f>
        <v/>
      </c>
      <c r="D66" s="9" t="str">
        <f aca="false">IF($C66="","","Reunião Semanal com a Gerência")</f>
        <v/>
      </c>
      <c r="E66" s="9"/>
      <c r="F66" s="9"/>
      <c r="G66" s="81" t="str">
        <f aca="false">IF($C66="","","Todos")</f>
        <v/>
      </c>
      <c r="H66" s="81" t="str">
        <f aca="false">IF($C66="","",IF($G66="A",CONFIG!$B$5,IF($G66="B",CONFIG!$B$6,IF($G66="C",CONFIG!$B$7,"Gerência + coordenadores"))))</f>
        <v/>
      </c>
      <c r="I66" s="81"/>
      <c r="J66" s="81" t="str">
        <f aca="false">IF($C66="","","—")</f>
        <v/>
      </c>
      <c r="K66" s="83" t="str">
        <f aca="false">IF($C66="","","—")</f>
        <v/>
      </c>
      <c r="L66" s="83" t="str">
        <f aca="false">IF($C66="","","—")</f>
        <v/>
      </c>
      <c r="M66" s="84"/>
      <c r="N66" s="84"/>
      <c r="O66" s="84"/>
      <c r="P66" s="85"/>
      <c r="Q66" s="86"/>
      <c r="R66" s="87"/>
      <c r="S66" s="81" t="str">
        <f aca="true">IF($C66="","",IF($Q66="Cancelada","Cancelada",IF($Q66="Reprovado","Reprovada",IF($Q66="Aprovado","Aprovada",IF($M66&lt;&gt;"","Entregue",IF(TODAY()&gt;$C66,"Atrasada","Pendente"))))))</f>
        <v/>
      </c>
      <c r="T66" s="88"/>
      <c r="U66" s="88"/>
      <c r="V66" s="88"/>
    </row>
    <row r="67" customFormat="false" ht="22.35" hidden="false" customHeight="false" outlineLevel="0" collapsed="false">
      <c r="A67" s="89" t="str">
        <f aca="false">IF($C67="","",$X$2&amp;"-S"&amp;INT(($C67-WEEKDAY($C67,2)+11-DATE(YEAR($C67+4-WEEKDAY($C67,2)),1,1))/7)&amp;"-MDF-T")</f>
        <v>AGO-S35-MDF-T</v>
      </c>
      <c r="B67" s="60" t="str">
        <f aca="false">IF($C67="","","S"&amp;INT(($C67-WEEKDAY($C67,2)+11-DATE(YEAR($C67+4-WEEKDAY($C67,2)),1,1))/7))</f>
        <v>S35</v>
      </c>
      <c r="C67" s="82" t="n">
        <f aca="false">EOMONTH($X$1,0)-MOD(WEEKDAY(EOMONTH($X$1,0),2)-5,7)</f>
        <v>46262</v>
      </c>
      <c r="D67" s="56" t="str">
        <f aca="false">IF($C67="","","Mudança de Função — reunião mensal")</f>
        <v>Mudança de Função — reunião mensal</v>
      </c>
      <c r="E67" s="56"/>
      <c r="F67" s="56"/>
      <c r="G67" s="60" t="str">
        <f aca="false">IF($C67="","","Todos")</f>
        <v>Todos</v>
      </c>
      <c r="H67" s="60" t="str">
        <f aca="false">IF($C67="","",IF($G67="A",CONFIG!$B$5,IF($G67="B",CONFIG!$B$6,IF($G67="C",CONFIG!$B$7,"Gerência + coordenadores"))))</f>
        <v>Gerência + coordenadores</v>
      </c>
      <c r="I67" s="60"/>
      <c r="J67" s="81" t="str">
        <f aca="false">IF($C67="","","—")</f>
        <v>—</v>
      </c>
      <c r="K67" s="83" t="str">
        <f aca="false">IF($C67="","","—")</f>
        <v>—</v>
      </c>
      <c r="L67" s="83" t="str">
        <f aca="false">IF($C67="","","—")</f>
        <v>—</v>
      </c>
      <c r="M67" s="84"/>
      <c r="N67" s="84"/>
      <c r="O67" s="84"/>
      <c r="P67" s="90"/>
      <c r="Q67" s="86"/>
      <c r="R67" s="87"/>
      <c r="S67" s="60" t="str">
        <f aca="true">IF($C67="","",IF($Q67="Cancelada","Cancelada",IF($Q67="Reprovado","Reprovada",IF($Q67="Aprovado","Aprovada",IF($M67&lt;&gt;"","Entregue",IF(TODAY()&gt;$C67,"Atrasada","Pendente"))))))</f>
        <v>Pendente</v>
      </c>
      <c r="T67" s="88"/>
      <c r="U67" s="88"/>
      <c r="V67" s="88"/>
    </row>
    <row r="69" customFormat="false" ht="15" hidden="false" customHeight="true" outlineLevel="0" collapsed="false">
      <c r="A69" s="92" t="s">
        <v>229</v>
      </c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customFormat="false" ht="22.35" hidden="false" customHeight="true" outlineLevel="0" collapsed="false">
      <c r="A70" s="80" t="str">
        <f aca="false">$X$2&amp;"-TRE-1"</f>
        <v>AGO-TRE-1</v>
      </c>
      <c r="B70" s="31" t="str">
        <f aca="false">IF($C70="","","S"&amp;INT(($C70-WEEKDAY($C70,2)+11-DATE(YEAR($C70+4-WEEKDAY($C70,2)),1,1))/7))</f>
        <v/>
      </c>
      <c r="C70" s="82"/>
      <c r="D70" s="87" t="s">
        <v>230</v>
      </c>
      <c r="E70" s="87"/>
      <c r="F70" s="87"/>
      <c r="G70" s="31" t="s">
        <v>231</v>
      </c>
      <c r="H70" s="81" t="s">
        <v>232</v>
      </c>
      <c r="I70" s="81"/>
      <c r="J70" s="31" t="s">
        <v>233</v>
      </c>
      <c r="K70" s="83" t="s">
        <v>233</v>
      </c>
      <c r="L70" s="83" t="s">
        <v>233</v>
      </c>
      <c r="M70" s="84"/>
      <c r="N70" s="84"/>
      <c r="O70" s="84"/>
      <c r="P70" s="85"/>
      <c r="Q70" s="86"/>
      <c r="R70" s="87"/>
      <c r="S70" s="81" t="str">
        <f aca="true">IF($C70="","Não agendado",IF($Q70="Cancelada","Cancelada",IF($Q70="Reprovado","Reprovada",IF($Q70="Aprovado","Aprovada",IF($M70&lt;&gt;"","Entregue",IF(TODAY()&gt;$C70,"Atrasada","Pendente"))))))</f>
        <v>Não agendado</v>
      </c>
      <c r="T70" s="88"/>
      <c r="U70" s="88"/>
      <c r="V70" s="88"/>
    </row>
    <row r="71" customFormat="false" ht="22.35" hidden="false" customHeight="true" outlineLevel="0" collapsed="false">
      <c r="A71" s="80" t="str">
        <f aca="false">$X$2&amp;"-TRE-2"</f>
        <v>AGO-TRE-2</v>
      </c>
      <c r="B71" s="31" t="str">
        <f aca="false">IF($C71="","","S"&amp;INT(($C71-WEEKDAY($C71,2)+11-DATE(YEAR($C71+4-WEEKDAY($C71,2)),1,1))/7))</f>
        <v/>
      </c>
      <c r="C71" s="82"/>
      <c r="D71" s="87" t="s">
        <v>230</v>
      </c>
      <c r="E71" s="87"/>
      <c r="F71" s="87"/>
      <c r="G71" s="31" t="s">
        <v>231</v>
      </c>
      <c r="H71" s="81" t="s">
        <v>232</v>
      </c>
      <c r="I71" s="81"/>
      <c r="J71" s="31" t="s">
        <v>233</v>
      </c>
      <c r="K71" s="83" t="s">
        <v>233</v>
      </c>
      <c r="L71" s="83" t="s">
        <v>233</v>
      </c>
      <c r="M71" s="84"/>
      <c r="N71" s="84"/>
      <c r="O71" s="84"/>
      <c r="P71" s="85"/>
      <c r="Q71" s="86"/>
      <c r="R71" s="87"/>
      <c r="S71" s="81" t="str">
        <f aca="true">IF($C71="","Não agendado",IF($Q71="Cancelada","Cancelada",IF($Q71="Reprovado","Reprovada",IF($Q71="Aprovado","Aprovada",IF($M71&lt;&gt;"","Entregue",IF(TODAY()&gt;$C71,"Atrasada","Pendente"))))))</f>
        <v>Não agendado</v>
      </c>
      <c r="T71" s="88"/>
      <c r="U71" s="88"/>
      <c r="V71" s="88"/>
    </row>
    <row r="72" customFormat="false" ht="22.35" hidden="false" customHeight="true" outlineLevel="0" collapsed="false">
      <c r="A72" s="80" t="str">
        <f aca="false">$X$2&amp;"-TRE-3"</f>
        <v>AGO-TRE-3</v>
      </c>
      <c r="B72" s="31" t="str">
        <f aca="false">IF($C72="","","S"&amp;INT(($C72-WEEKDAY($C72,2)+11-DATE(YEAR($C72+4-WEEKDAY($C72,2)),1,1))/7))</f>
        <v/>
      </c>
      <c r="C72" s="82"/>
      <c r="D72" s="87" t="s">
        <v>230</v>
      </c>
      <c r="E72" s="87"/>
      <c r="F72" s="87"/>
      <c r="G72" s="31" t="s">
        <v>231</v>
      </c>
      <c r="H72" s="81" t="s">
        <v>232</v>
      </c>
      <c r="I72" s="81"/>
      <c r="J72" s="31" t="s">
        <v>233</v>
      </c>
      <c r="K72" s="83" t="s">
        <v>233</v>
      </c>
      <c r="L72" s="83" t="s">
        <v>233</v>
      </c>
      <c r="M72" s="84"/>
      <c r="N72" s="84"/>
      <c r="O72" s="84"/>
      <c r="P72" s="85"/>
      <c r="Q72" s="86"/>
      <c r="R72" s="87"/>
      <c r="S72" s="81" t="str">
        <f aca="true">IF($C72="","Não agendado",IF($Q72="Cancelada","Cancelada",IF($Q72="Reprovado","Reprovada",IF($Q72="Aprovado","Aprovada",IF($M72&lt;&gt;"","Entregue",IF(TODAY()&gt;$C72,"Atrasada","Pendente"))))))</f>
        <v>Não agendado</v>
      </c>
      <c r="T72" s="88"/>
      <c r="U72" s="88"/>
      <c r="V72" s="88"/>
    </row>
    <row r="73" customFormat="false" ht="22.35" hidden="false" customHeight="true" outlineLevel="0" collapsed="false">
      <c r="A73" s="80" t="str">
        <f aca="false">$X$2&amp;"-TRE-4"</f>
        <v>AGO-TRE-4</v>
      </c>
      <c r="B73" s="31" t="str">
        <f aca="false">IF($C73="","","S"&amp;INT(($C73-WEEKDAY($C73,2)+11-DATE(YEAR($C73+4-WEEKDAY($C73,2)),1,1))/7))</f>
        <v/>
      </c>
      <c r="C73" s="82"/>
      <c r="D73" s="87" t="s">
        <v>230</v>
      </c>
      <c r="E73" s="87"/>
      <c r="F73" s="87"/>
      <c r="G73" s="31" t="s">
        <v>231</v>
      </c>
      <c r="H73" s="81" t="s">
        <v>232</v>
      </c>
      <c r="I73" s="81"/>
      <c r="J73" s="31" t="s">
        <v>233</v>
      </c>
      <c r="K73" s="83" t="s">
        <v>233</v>
      </c>
      <c r="L73" s="83" t="s">
        <v>233</v>
      </c>
      <c r="M73" s="84"/>
      <c r="N73" s="84"/>
      <c r="O73" s="84"/>
      <c r="P73" s="85"/>
      <c r="Q73" s="86"/>
      <c r="R73" s="87"/>
      <c r="S73" s="81" t="str">
        <f aca="true">IF($C73="","Não agendado",IF($Q73="Cancelada","Cancelada",IF($Q73="Reprovado","Reprovada",IF($Q73="Aprovado","Aprovada",IF($M73&lt;&gt;"","Entregue",IF(TODAY()&gt;$C73,"Atrasada","Pendente"))))))</f>
        <v>Não agendado</v>
      </c>
      <c r="T73" s="88"/>
      <c r="U73" s="88"/>
      <c r="V73" s="88"/>
    </row>
    <row r="74" customFormat="false" ht="22.35" hidden="false" customHeight="true" outlineLevel="0" collapsed="false">
      <c r="A74" s="80" t="str">
        <f aca="false">$X$2&amp;"-TRE-5"</f>
        <v>AGO-TRE-5</v>
      </c>
      <c r="B74" s="31" t="str">
        <f aca="false">IF($C74="","","S"&amp;INT(($C74-WEEKDAY($C74,2)+11-DATE(YEAR($C74+4-WEEKDAY($C74,2)),1,1))/7))</f>
        <v/>
      </c>
      <c r="C74" s="82"/>
      <c r="D74" s="87" t="s">
        <v>230</v>
      </c>
      <c r="E74" s="87"/>
      <c r="F74" s="87"/>
      <c r="G74" s="31" t="s">
        <v>231</v>
      </c>
      <c r="H74" s="81" t="s">
        <v>232</v>
      </c>
      <c r="I74" s="81"/>
      <c r="J74" s="31" t="s">
        <v>233</v>
      </c>
      <c r="K74" s="83" t="s">
        <v>233</v>
      </c>
      <c r="L74" s="83" t="s">
        <v>233</v>
      </c>
      <c r="M74" s="84"/>
      <c r="N74" s="84"/>
      <c r="O74" s="84"/>
      <c r="P74" s="85"/>
      <c r="Q74" s="86"/>
      <c r="R74" s="87"/>
      <c r="S74" s="81" t="str">
        <f aca="true">IF($C74="","Não agendado",IF($Q74="Cancelada","Cancelada",IF($Q74="Reprovado","Reprovada",IF($Q74="Aprovado","Aprovada",IF($M74&lt;&gt;"","Entregue",IF(TODAY()&gt;$C74,"Atrasada","Pendente"))))))</f>
        <v>Não agendado</v>
      </c>
      <c r="T74" s="88"/>
      <c r="U74" s="88"/>
      <c r="V74" s="88"/>
    </row>
    <row r="75" customFormat="false" ht="22.35" hidden="false" customHeight="true" outlineLevel="0" collapsed="false">
      <c r="A75" s="80" t="str">
        <f aca="false">$X$2&amp;"-TRE-6"</f>
        <v>AGO-TRE-6</v>
      </c>
      <c r="B75" s="31" t="str">
        <f aca="false">IF($C75="","","S"&amp;INT(($C75-WEEKDAY($C75,2)+11-DATE(YEAR($C75+4-WEEKDAY($C75,2)),1,1))/7))</f>
        <v/>
      </c>
      <c r="C75" s="82"/>
      <c r="D75" s="87" t="s">
        <v>230</v>
      </c>
      <c r="E75" s="87"/>
      <c r="F75" s="87"/>
      <c r="G75" s="31" t="s">
        <v>231</v>
      </c>
      <c r="H75" s="81" t="s">
        <v>232</v>
      </c>
      <c r="I75" s="81"/>
      <c r="J75" s="31" t="s">
        <v>233</v>
      </c>
      <c r="K75" s="83" t="s">
        <v>233</v>
      </c>
      <c r="L75" s="83" t="s">
        <v>233</v>
      </c>
      <c r="M75" s="84"/>
      <c r="N75" s="84"/>
      <c r="O75" s="84"/>
      <c r="P75" s="85"/>
      <c r="Q75" s="86"/>
      <c r="R75" s="87"/>
      <c r="S75" s="81" t="str">
        <f aca="true">IF($C75="","Não agendado",IF($Q75="Cancelada","Cancelada",IF($Q75="Reprovado","Reprovada",IF($Q75="Aprovado","Aprovada",IF($M75&lt;&gt;"","Entregue",IF(TODAY()&gt;$C75,"Atrasada","Pendente"))))))</f>
        <v>Não agendado</v>
      </c>
      <c r="T75" s="88"/>
      <c r="U75" s="88"/>
      <c r="V75" s="88"/>
    </row>
    <row r="77" customFormat="false" ht="15" hidden="false" customHeight="true" outlineLevel="0" collapsed="false">
      <c r="A77" s="46" t="s">
        <v>234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</row>
  </sheetData>
  <mergeCells count="256">
    <mergeCell ref="A1:S1"/>
    <mergeCell ref="A3:O3"/>
    <mergeCell ref="B5:C5"/>
    <mergeCell ref="D5:E5"/>
    <mergeCell ref="F5:G5"/>
    <mergeCell ref="H5:I5"/>
    <mergeCell ref="J5:K5"/>
    <mergeCell ref="L5:M5"/>
    <mergeCell ref="N5:O5"/>
    <mergeCell ref="B6:C6"/>
    <mergeCell ref="D6:E6"/>
    <mergeCell ref="F6:G6"/>
    <mergeCell ref="H6:I6"/>
    <mergeCell ref="J6:K6"/>
    <mergeCell ref="L6:M6"/>
    <mergeCell ref="N6:O6"/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O18"/>
    <mergeCell ref="A20:V20"/>
    <mergeCell ref="D21:F21"/>
    <mergeCell ref="H21:I21"/>
    <mergeCell ref="M21:O21"/>
    <mergeCell ref="D22:F22"/>
    <mergeCell ref="H22:I22"/>
    <mergeCell ref="M22:O22"/>
    <mergeCell ref="D23:F23"/>
    <mergeCell ref="H23:I23"/>
    <mergeCell ref="M23:O23"/>
    <mergeCell ref="D24:F24"/>
    <mergeCell ref="H24:I24"/>
    <mergeCell ref="M24:O24"/>
    <mergeCell ref="D25:F25"/>
    <mergeCell ref="H25:I25"/>
    <mergeCell ref="M25:O25"/>
    <mergeCell ref="D26:F26"/>
    <mergeCell ref="H26:I26"/>
    <mergeCell ref="M26:O26"/>
    <mergeCell ref="D27:F27"/>
    <mergeCell ref="H27:I27"/>
    <mergeCell ref="M27:O27"/>
    <mergeCell ref="D28:F28"/>
    <mergeCell ref="H28:I28"/>
    <mergeCell ref="M28:O28"/>
    <mergeCell ref="D29:F29"/>
    <mergeCell ref="H29:I29"/>
    <mergeCell ref="M29:O29"/>
    <mergeCell ref="D30:F30"/>
    <mergeCell ref="H30:I30"/>
    <mergeCell ref="M30:O30"/>
    <mergeCell ref="D31:F31"/>
    <mergeCell ref="H31:I31"/>
    <mergeCell ref="M31:O31"/>
    <mergeCell ref="D32:F32"/>
    <mergeCell ref="H32:I32"/>
    <mergeCell ref="M32:O32"/>
    <mergeCell ref="D33:F33"/>
    <mergeCell ref="H33:I33"/>
    <mergeCell ref="M33:O33"/>
    <mergeCell ref="D34:F34"/>
    <mergeCell ref="H34:I34"/>
    <mergeCell ref="M34:O34"/>
    <mergeCell ref="D35:F35"/>
    <mergeCell ref="H35:I35"/>
    <mergeCell ref="M35:O35"/>
    <mergeCell ref="D36:F36"/>
    <mergeCell ref="H36:I36"/>
    <mergeCell ref="M36:O36"/>
    <mergeCell ref="D37:F37"/>
    <mergeCell ref="H37:I37"/>
    <mergeCell ref="M37:O37"/>
    <mergeCell ref="D38:F38"/>
    <mergeCell ref="H38:I38"/>
    <mergeCell ref="M38:O38"/>
    <mergeCell ref="D39:F39"/>
    <mergeCell ref="H39:I39"/>
    <mergeCell ref="M39:O39"/>
    <mergeCell ref="D40:F40"/>
    <mergeCell ref="H40:I40"/>
    <mergeCell ref="M40:O40"/>
    <mergeCell ref="D41:F41"/>
    <mergeCell ref="H41:I41"/>
    <mergeCell ref="M41:O41"/>
    <mergeCell ref="D42:F42"/>
    <mergeCell ref="H42:I42"/>
    <mergeCell ref="M42:O42"/>
    <mergeCell ref="D43:F43"/>
    <mergeCell ref="H43:I43"/>
    <mergeCell ref="M43:O43"/>
    <mergeCell ref="D44:F44"/>
    <mergeCell ref="H44:I44"/>
    <mergeCell ref="M44:O44"/>
    <mergeCell ref="D45:F45"/>
    <mergeCell ref="H45:I45"/>
    <mergeCell ref="M45:O45"/>
    <mergeCell ref="D46:F46"/>
    <mergeCell ref="H46:I46"/>
    <mergeCell ref="M46:O46"/>
    <mergeCell ref="D47:F47"/>
    <mergeCell ref="H47:I47"/>
    <mergeCell ref="M47:O47"/>
    <mergeCell ref="D48:F48"/>
    <mergeCell ref="H48:I48"/>
    <mergeCell ref="M48:O48"/>
    <mergeCell ref="D49:F49"/>
    <mergeCell ref="H49:I49"/>
    <mergeCell ref="M49:O49"/>
    <mergeCell ref="D50:F50"/>
    <mergeCell ref="H50:I50"/>
    <mergeCell ref="M50:O50"/>
    <mergeCell ref="D51:F51"/>
    <mergeCell ref="H51:I51"/>
    <mergeCell ref="M51:O51"/>
    <mergeCell ref="D52:F52"/>
    <mergeCell ref="H52:I52"/>
    <mergeCell ref="M52:O52"/>
    <mergeCell ref="D53:F53"/>
    <mergeCell ref="H53:I53"/>
    <mergeCell ref="M53:O53"/>
    <mergeCell ref="D54:F54"/>
    <mergeCell ref="H54:I54"/>
    <mergeCell ref="M54:O54"/>
    <mergeCell ref="D55:F55"/>
    <mergeCell ref="H55:I55"/>
    <mergeCell ref="M55:O55"/>
    <mergeCell ref="D56:F56"/>
    <mergeCell ref="H56:I56"/>
    <mergeCell ref="M56:O56"/>
    <mergeCell ref="D57:F57"/>
    <mergeCell ref="H57:I57"/>
    <mergeCell ref="M57:O57"/>
    <mergeCell ref="D58:F58"/>
    <mergeCell ref="H58:I58"/>
    <mergeCell ref="M58:O58"/>
    <mergeCell ref="D59:F59"/>
    <mergeCell ref="H59:I59"/>
    <mergeCell ref="M59:O59"/>
    <mergeCell ref="D60:F60"/>
    <mergeCell ref="H60:I60"/>
    <mergeCell ref="M60:O60"/>
    <mergeCell ref="D61:F61"/>
    <mergeCell ref="H61:I61"/>
    <mergeCell ref="M61:O61"/>
    <mergeCell ref="D62:F62"/>
    <mergeCell ref="H62:I62"/>
    <mergeCell ref="M62:O62"/>
    <mergeCell ref="D63:F63"/>
    <mergeCell ref="H63:I63"/>
    <mergeCell ref="M63:O63"/>
    <mergeCell ref="D64:F64"/>
    <mergeCell ref="H64:I64"/>
    <mergeCell ref="M64:O64"/>
    <mergeCell ref="D65:F65"/>
    <mergeCell ref="H65:I65"/>
    <mergeCell ref="M65:O65"/>
    <mergeCell ref="D66:F66"/>
    <mergeCell ref="H66:I66"/>
    <mergeCell ref="M66:O66"/>
    <mergeCell ref="D67:F67"/>
    <mergeCell ref="H67:I67"/>
    <mergeCell ref="M67:O67"/>
    <mergeCell ref="A69:V69"/>
    <mergeCell ref="D70:F70"/>
    <mergeCell ref="H70:I70"/>
    <mergeCell ref="M70:O70"/>
    <mergeCell ref="D71:F71"/>
    <mergeCell ref="H71:I71"/>
    <mergeCell ref="M71:O71"/>
    <mergeCell ref="D72:F72"/>
    <mergeCell ref="H72:I72"/>
    <mergeCell ref="M72:O72"/>
    <mergeCell ref="D73:F73"/>
    <mergeCell ref="H73:I73"/>
    <mergeCell ref="M73:O73"/>
    <mergeCell ref="D74:F74"/>
    <mergeCell ref="H74:I74"/>
    <mergeCell ref="M74:O74"/>
    <mergeCell ref="D75:F75"/>
    <mergeCell ref="H75:I75"/>
    <mergeCell ref="M75:O75"/>
    <mergeCell ref="A77:V77"/>
  </mergeCells>
  <conditionalFormatting sqref="A3">
    <cfRule type="expression" priority="2" aboveAverage="0" equalAverage="0" bottom="0" percent="0" rank="0" text="" dxfId="11">
      <formula>LEFT($A$3,3)="MÊS"</formula>
    </cfRule>
  </conditionalFormatting>
  <conditionalFormatting sqref="B6:C7">
    <cfRule type="expression" priority="3" aboveAverage="0" equalAverage="0" bottom="0" percent="0" rank="0" text="" dxfId="12">
      <formula>AND(B6&lt;&gt;"",B6=TODAY())</formula>
    </cfRule>
    <cfRule type="expression" priority="4" aboveAverage="0" equalAverage="0" bottom="0" percent="0" rank="0" text="" dxfId="13">
      <formula>AND(B6&lt;&gt;"",COUNTIFS($C$22:$C$150,B6,$S$22:$S$150,"Atrasada")&gt;0)</formula>
    </cfRule>
    <cfRule type="expression" priority="5" aboveAverage="0" equalAverage="0" bottom="0" percent="0" rank="0" text="" dxfId="14">
      <formula>AND(B6&lt;&gt;"",COUNTIFS($C$22:$C$150,B6,$Q$22:$Q$150,"&lt;&gt;Cancelada")&gt;0)</formula>
    </cfRule>
  </conditionalFormatting>
  <conditionalFormatting sqref="D6:E7">
    <cfRule type="expression" priority="6" aboveAverage="0" equalAverage="0" bottom="0" percent="0" rank="0" text="" dxfId="12">
      <formula>AND(D6&lt;&gt;"",D6=TODAY())</formula>
    </cfRule>
    <cfRule type="expression" priority="7" aboveAverage="0" equalAverage="0" bottom="0" percent="0" rank="0" text="" dxfId="13">
      <formula>AND(D6&lt;&gt;"",COUNTIFS($C$22:$C$150,D6,$S$22:$S$150,"Atrasada")&gt;0)</formula>
    </cfRule>
    <cfRule type="expression" priority="8" aboveAverage="0" equalAverage="0" bottom="0" percent="0" rank="0" text="" dxfId="14">
      <formula>AND(D6&lt;&gt;"",COUNTIFS($C$22:$C$150,D6,$Q$22:$Q$150,"&lt;&gt;Cancelada")&gt;0)</formula>
    </cfRule>
  </conditionalFormatting>
  <conditionalFormatting sqref="F6:G7">
    <cfRule type="expression" priority="9" aboveAverage="0" equalAverage="0" bottom="0" percent="0" rank="0" text="" dxfId="12">
      <formula>AND(F6&lt;&gt;"",F6=TODAY())</formula>
    </cfRule>
    <cfRule type="expression" priority="10" aboveAverage="0" equalAverage="0" bottom="0" percent="0" rank="0" text="" dxfId="13">
      <formula>AND(F6&lt;&gt;"",COUNTIFS($C$22:$C$150,F6,$S$22:$S$150,"Atrasada")&gt;0)</formula>
    </cfRule>
    <cfRule type="expression" priority="11" aboveAverage="0" equalAverage="0" bottom="0" percent="0" rank="0" text="" dxfId="14">
      <formula>AND(F6&lt;&gt;"",COUNTIFS($C$22:$C$150,F6,$Q$22:$Q$150,"&lt;&gt;Cancelada")&gt;0)</formula>
    </cfRule>
  </conditionalFormatting>
  <conditionalFormatting sqref="H6:I7">
    <cfRule type="expression" priority="12" aboveAverage="0" equalAverage="0" bottom="0" percent="0" rank="0" text="" dxfId="12">
      <formula>AND(H6&lt;&gt;"",H6=TODAY())</formula>
    </cfRule>
    <cfRule type="expression" priority="13" aboveAverage="0" equalAverage="0" bottom="0" percent="0" rank="0" text="" dxfId="13">
      <formula>AND(H6&lt;&gt;"",COUNTIFS($C$22:$C$150,H6,$S$22:$S$150,"Atrasada")&gt;0)</formula>
    </cfRule>
    <cfRule type="expression" priority="14" aboveAverage="0" equalAverage="0" bottom="0" percent="0" rank="0" text="" dxfId="14">
      <formula>AND(H6&lt;&gt;"",COUNTIFS($C$22:$C$150,H6,$Q$22:$Q$150,"&lt;&gt;Cancelada")&gt;0)</formula>
    </cfRule>
  </conditionalFormatting>
  <conditionalFormatting sqref="J6:K7">
    <cfRule type="expression" priority="15" aboveAverage="0" equalAverage="0" bottom="0" percent="0" rank="0" text="" dxfId="12">
      <formula>AND(J6&lt;&gt;"",J6=TODAY())</formula>
    </cfRule>
    <cfRule type="expression" priority="16" aboveAverage="0" equalAverage="0" bottom="0" percent="0" rank="0" text="" dxfId="13">
      <formula>AND(J6&lt;&gt;"",COUNTIFS($C$22:$C$150,J6,$S$22:$S$150,"Atrasada")&gt;0)</formula>
    </cfRule>
    <cfRule type="expression" priority="17" aboveAverage="0" equalAverage="0" bottom="0" percent="0" rank="0" text="" dxfId="14">
      <formula>AND(J6&lt;&gt;"",COUNTIFS($C$22:$C$150,J6,$Q$22:$Q$150,"&lt;&gt;Cancelada")&gt;0)</formula>
    </cfRule>
  </conditionalFormatting>
  <conditionalFormatting sqref="L6:M7">
    <cfRule type="expression" priority="18" aboveAverage="0" equalAverage="0" bottom="0" percent="0" rank="0" text="" dxfId="12">
      <formula>AND(L6&lt;&gt;"",L6=TODAY())</formula>
    </cfRule>
    <cfRule type="expression" priority="19" aboveAverage="0" equalAverage="0" bottom="0" percent="0" rank="0" text="" dxfId="13">
      <formula>AND(L6&lt;&gt;"",COUNTIFS($C$22:$C$150,L6,$S$22:$S$150,"Atrasada")&gt;0)</formula>
    </cfRule>
    <cfRule type="expression" priority="20" aboveAverage="0" equalAverage="0" bottom="0" percent="0" rank="0" text="" dxfId="14">
      <formula>AND(L6&lt;&gt;"",COUNTIFS($C$22:$C$150,L6,$Q$22:$Q$150,"&lt;&gt;Cancelada")&gt;0)</formula>
    </cfRule>
  </conditionalFormatting>
  <conditionalFormatting sqref="N6:O7">
    <cfRule type="expression" priority="21" aboveAverage="0" equalAverage="0" bottom="0" percent="0" rank="0" text="" dxfId="12">
      <formula>AND(N6&lt;&gt;"",N6=TODAY())</formula>
    </cfRule>
    <cfRule type="expression" priority="22" aboveAverage="0" equalAverage="0" bottom="0" percent="0" rank="0" text="" dxfId="13">
      <formula>AND(N6&lt;&gt;"",COUNTIFS($C$22:$C$150,N6,$S$22:$S$150,"Atrasada")&gt;0)</formula>
    </cfRule>
    <cfRule type="expression" priority="23" aboveAverage="0" equalAverage="0" bottom="0" percent="0" rank="0" text="" dxfId="14">
      <formula>AND(N6&lt;&gt;"",COUNTIFS($C$22:$C$150,N6,$Q$22:$Q$150,"&lt;&gt;Cancelada")&gt;0)</formula>
    </cfRule>
  </conditionalFormatting>
  <conditionalFormatting sqref="B8:C9">
    <cfRule type="expression" priority="24" aboveAverage="0" equalAverage="0" bottom="0" percent="0" rank="0" text="" dxfId="12">
      <formula>AND(B8&lt;&gt;"",B8=TODAY())</formula>
    </cfRule>
    <cfRule type="expression" priority="25" aboveAverage="0" equalAverage="0" bottom="0" percent="0" rank="0" text="" dxfId="13">
      <formula>AND(B8&lt;&gt;"",COUNTIFS($C$22:$C$150,B8,$S$22:$S$150,"Atrasada")&gt;0)</formula>
    </cfRule>
    <cfRule type="expression" priority="26" aboveAverage="0" equalAverage="0" bottom="0" percent="0" rank="0" text="" dxfId="14">
      <formula>AND(B8&lt;&gt;"",COUNTIFS($C$22:$C$150,B8,$Q$22:$Q$150,"&lt;&gt;Cancelada")&gt;0)</formula>
    </cfRule>
  </conditionalFormatting>
  <conditionalFormatting sqref="D8:E9">
    <cfRule type="expression" priority="27" aboveAverage="0" equalAverage="0" bottom="0" percent="0" rank="0" text="" dxfId="12">
      <formula>AND(D8&lt;&gt;"",D8=TODAY())</formula>
    </cfRule>
    <cfRule type="expression" priority="28" aboveAverage="0" equalAverage="0" bottom="0" percent="0" rank="0" text="" dxfId="13">
      <formula>AND(D8&lt;&gt;"",COUNTIFS($C$22:$C$150,D8,$S$22:$S$150,"Atrasada")&gt;0)</formula>
    </cfRule>
    <cfRule type="expression" priority="29" aboveAverage="0" equalAverage="0" bottom="0" percent="0" rank="0" text="" dxfId="14">
      <formula>AND(D8&lt;&gt;"",COUNTIFS($C$22:$C$150,D8,$Q$22:$Q$150,"&lt;&gt;Cancelada")&gt;0)</formula>
    </cfRule>
  </conditionalFormatting>
  <conditionalFormatting sqref="F8:G9">
    <cfRule type="expression" priority="30" aboveAverage="0" equalAverage="0" bottom="0" percent="0" rank="0" text="" dxfId="12">
      <formula>AND(F8&lt;&gt;"",F8=TODAY())</formula>
    </cfRule>
    <cfRule type="expression" priority="31" aboveAverage="0" equalAverage="0" bottom="0" percent="0" rank="0" text="" dxfId="13">
      <formula>AND(F8&lt;&gt;"",COUNTIFS($C$22:$C$150,F8,$S$22:$S$150,"Atrasada")&gt;0)</formula>
    </cfRule>
    <cfRule type="expression" priority="32" aboveAverage="0" equalAverage="0" bottom="0" percent="0" rank="0" text="" dxfId="14">
      <formula>AND(F8&lt;&gt;"",COUNTIFS($C$22:$C$150,F8,$Q$22:$Q$150,"&lt;&gt;Cancelada")&gt;0)</formula>
    </cfRule>
  </conditionalFormatting>
  <conditionalFormatting sqref="H8:I9">
    <cfRule type="expression" priority="33" aboveAverage="0" equalAverage="0" bottom="0" percent="0" rank="0" text="" dxfId="12">
      <formula>AND(H8&lt;&gt;"",H8=TODAY())</formula>
    </cfRule>
    <cfRule type="expression" priority="34" aboveAverage="0" equalAverage="0" bottom="0" percent="0" rank="0" text="" dxfId="13">
      <formula>AND(H8&lt;&gt;"",COUNTIFS($C$22:$C$150,H8,$S$22:$S$150,"Atrasada")&gt;0)</formula>
    </cfRule>
    <cfRule type="expression" priority="35" aboveAverage="0" equalAverage="0" bottom="0" percent="0" rank="0" text="" dxfId="14">
      <formula>AND(H8&lt;&gt;"",COUNTIFS($C$22:$C$150,H8,$Q$22:$Q$150,"&lt;&gt;Cancelada")&gt;0)</formula>
    </cfRule>
  </conditionalFormatting>
  <conditionalFormatting sqref="J8:K9">
    <cfRule type="expression" priority="36" aboveAverage="0" equalAverage="0" bottom="0" percent="0" rank="0" text="" dxfId="12">
      <formula>AND(J8&lt;&gt;"",J8=TODAY())</formula>
    </cfRule>
    <cfRule type="expression" priority="37" aboveAverage="0" equalAverage="0" bottom="0" percent="0" rank="0" text="" dxfId="13">
      <formula>AND(J8&lt;&gt;"",COUNTIFS($C$22:$C$150,J8,$S$22:$S$150,"Atrasada")&gt;0)</formula>
    </cfRule>
    <cfRule type="expression" priority="38" aboveAverage="0" equalAverage="0" bottom="0" percent="0" rank="0" text="" dxfId="14">
      <formula>AND(J8&lt;&gt;"",COUNTIFS($C$22:$C$150,J8,$Q$22:$Q$150,"&lt;&gt;Cancelada")&gt;0)</formula>
    </cfRule>
  </conditionalFormatting>
  <conditionalFormatting sqref="L8:M9">
    <cfRule type="expression" priority="39" aboveAverage="0" equalAverage="0" bottom="0" percent="0" rank="0" text="" dxfId="12">
      <formula>AND(L8&lt;&gt;"",L8=TODAY())</formula>
    </cfRule>
    <cfRule type="expression" priority="40" aboveAverage="0" equalAverage="0" bottom="0" percent="0" rank="0" text="" dxfId="13">
      <formula>AND(L8&lt;&gt;"",COUNTIFS($C$22:$C$150,L8,$S$22:$S$150,"Atrasada")&gt;0)</formula>
    </cfRule>
    <cfRule type="expression" priority="41" aboveAverage="0" equalAverage="0" bottom="0" percent="0" rank="0" text="" dxfId="14">
      <formula>AND(L8&lt;&gt;"",COUNTIFS($C$22:$C$150,L8,$Q$22:$Q$150,"&lt;&gt;Cancelada")&gt;0)</formula>
    </cfRule>
  </conditionalFormatting>
  <conditionalFormatting sqref="N8:O9">
    <cfRule type="expression" priority="42" aboveAverage="0" equalAverage="0" bottom="0" percent="0" rank="0" text="" dxfId="12">
      <formula>AND(N8&lt;&gt;"",N8=TODAY())</formula>
    </cfRule>
    <cfRule type="expression" priority="43" aboveAverage="0" equalAverage="0" bottom="0" percent="0" rank="0" text="" dxfId="13">
      <formula>AND(N8&lt;&gt;"",COUNTIFS($C$22:$C$150,N8,$S$22:$S$150,"Atrasada")&gt;0)</formula>
    </cfRule>
    <cfRule type="expression" priority="44" aboveAverage="0" equalAverage="0" bottom="0" percent="0" rank="0" text="" dxfId="14">
      <formula>AND(N8&lt;&gt;"",COUNTIFS($C$22:$C$150,N8,$Q$22:$Q$150,"&lt;&gt;Cancelada")&gt;0)</formula>
    </cfRule>
  </conditionalFormatting>
  <conditionalFormatting sqref="B10:C11">
    <cfRule type="expression" priority="45" aboveAverage="0" equalAverage="0" bottom="0" percent="0" rank="0" text="" dxfId="12">
      <formula>AND(B10&lt;&gt;"",B10=TODAY())</formula>
    </cfRule>
    <cfRule type="expression" priority="46" aboveAverage="0" equalAverage="0" bottom="0" percent="0" rank="0" text="" dxfId="13">
      <formula>AND(B10&lt;&gt;"",COUNTIFS($C$22:$C$150,B10,$S$22:$S$150,"Atrasada")&gt;0)</formula>
    </cfRule>
    <cfRule type="expression" priority="47" aboveAverage="0" equalAverage="0" bottom="0" percent="0" rank="0" text="" dxfId="14">
      <formula>AND(B10&lt;&gt;"",COUNTIFS($C$22:$C$150,B10,$Q$22:$Q$150,"&lt;&gt;Cancelada")&gt;0)</formula>
    </cfRule>
  </conditionalFormatting>
  <conditionalFormatting sqref="D10:E11">
    <cfRule type="expression" priority="48" aboveAverage="0" equalAverage="0" bottom="0" percent="0" rank="0" text="" dxfId="12">
      <formula>AND(D10&lt;&gt;"",D10=TODAY())</formula>
    </cfRule>
    <cfRule type="expression" priority="49" aboveAverage="0" equalAverage="0" bottom="0" percent="0" rank="0" text="" dxfId="13">
      <formula>AND(D10&lt;&gt;"",COUNTIFS($C$22:$C$150,D10,$S$22:$S$150,"Atrasada")&gt;0)</formula>
    </cfRule>
    <cfRule type="expression" priority="50" aboveAverage="0" equalAverage="0" bottom="0" percent="0" rank="0" text="" dxfId="14">
      <formula>AND(D10&lt;&gt;"",COUNTIFS($C$22:$C$150,D10,$Q$22:$Q$150,"&lt;&gt;Cancelada")&gt;0)</formula>
    </cfRule>
  </conditionalFormatting>
  <conditionalFormatting sqref="F10:G11">
    <cfRule type="expression" priority="51" aboveAverage="0" equalAverage="0" bottom="0" percent="0" rank="0" text="" dxfId="12">
      <formula>AND(F10&lt;&gt;"",F10=TODAY())</formula>
    </cfRule>
    <cfRule type="expression" priority="52" aboveAverage="0" equalAverage="0" bottom="0" percent="0" rank="0" text="" dxfId="13">
      <formula>AND(F10&lt;&gt;"",COUNTIFS($C$22:$C$150,F10,$S$22:$S$150,"Atrasada")&gt;0)</formula>
    </cfRule>
    <cfRule type="expression" priority="53" aboveAverage="0" equalAverage="0" bottom="0" percent="0" rank="0" text="" dxfId="14">
      <formula>AND(F10&lt;&gt;"",COUNTIFS($C$22:$C$150,F10,$Q$22:$Q$150,"&lt;&gt;Cancelada")&gt;0)</formula>
    </cfRule>
  </conditionalFormatting>
  <conditionalFormatting sqref="H10:I11">
    <cfRule type="expression" priority="54" aboveAverage="0" equalAverage="0" bottom="0" percent="0" rank="0" text="" dxfId="12">
      <formula>AND(H10&lt;&gt;"",H10=TODAY())</formula>
    </cfRule>
    <cfRule type="expression" priority="55" aboveAverage="0" equalAverage="0" bottom="0" percent="0" rank="0" text="" dxfId="13">
      <formula>AND(H10&lt;&gt;"",COUNTIFS($C$22:$C$150,H10,$S$22:$S$150,"Atrasada")&gt;0)</formula>
    </cfRule>
    <cfRule type="expression" priority="56" aboveAverage="0" equalAverage="0" bottom="0" percent="0" rank="0" text="" dxfId="14">
      <formula>AND(H10&lt;&gt;"",COUNTIFS($C$22:$C$150,H10,$Q$22:$Q$150,"&lt;&gt;Cancelada")&gt;0)</formula>
    </cfRule>
  </conditionalFormatting>
  <conditionalFormatting sqref="J10:K11">
    <cfRule type="expression" priority="57" aboveAverage="0" equalAverage="0" bottom="0" percent="0" rank="0" text="" dxfId="12">
      <formula>AND(J10&lt;&gt;"",J10=TODAY())</formula>
    </cfRule>
    <cfRule type="expression" priority="58" aboveAverage="0" equalAverage="0" bottom="0" percent="0" rank="0" text="" dxfId="13">
      <formula>AND(J10&lt;&gt;"",COUNTIFS($C$22:$C$150,J10,$S$22:$S$150,"Atrasada")&gt;0)</formula>
    </cfRule>
    <cfRule type="expression" priority="59" aboveAverage="0" equalAverage="0" bottom="0" percent="0" rank="0" text="" dxfId="14">
      <formula>AND(J10&lt;&gt;"",COUNTIFS($C$22:$C$150,J10,$Q$22:$Q$150,"&lt;&gt;Cancelada")&gt;0)</formula>
    </cfRule>
  </conditionalFormatting>
  <conditionalFormatting sqref="L10:M11">
    <cfRule type="expression" priority="60" aboveAverage="0" equalAverage="0" bottom="0" percent="0" rank="0" text="" dxfId="12">
      <formula>AND(L10&lt;&gt;"",L10=TODAY())</formula>
    </cfRule>
    <cfRule type="expression" priority="61" aboveAverage="0" equalAverage="0" bottom="0" percent="0" rank="0" text="" dxfId="13">
      <formula>AND(L10&lt;&gt;"",COUNTIFS($C$22:$C$150,L10,$S$22:$S$150,"Atrasada")&gt;0)</formula>
    </cfRule>
    <cfRule type="expression" priority="62" aboveAverage="0" equalAverage="0" bottom="0" percent="0" rank="0" text="" dxfId="14">
      <formula>AND(L10&lt;&gt;"",COUNTIFS($C$22:$C$150,L10,$Q$22:$Q$150,"&lt;&gt;Cancelada")&gt;0)</formula>
    </cfRule>
  </conditionalFormatting>
  <conditionalFormatting sqref="N10:O11">
    <cfRule type="expression" priority="63" aboveAverage="0" equalAverage="0" bottom="0" percent="0" rank="0" text="" dxfId="12">
      <formula>AND(N10&lt;&gt;"",N10=TODAY())</formula>
    </cfRule>
    <cfRule type="expression" priority="64" aboveAverage="0" equalAverage="0" bottom="0" percent="0" rank="0" text="" dxfId="13">
      <formula>AND(N10&lt;&gt;"",COUNTIFS($C$22:$C$150,N10,$S$22:$S$150,"Atrasada")&gt;0)</formula>
    </cfRule>
    <cfRule type="expression" priority="65" aboveAverage="0" equalAverage="0" bottom="0" percent="0" rank="0" text="" dxfId="14">
      <formula>AND(N10&lt;&gt;"",COUNTIFS($C$22:$C$150,N10,$Q$22:$Q$150,"&lt;&gt;Cancelada")&gt;0)</formula>
    </cfRule>
  </conditionalFormatting>
  <conditionalFormatting sqref="B12:C13">
    <cfRule type="expression" priority="66" aboveAverage="0" equalAverage="0" bottom="0" percent="0" rank="0" text="" dxfId="12">
      <formula>AND(B12&lt;&gt;"",B12=TODAY())</formula>
    </cfRule>
    <cfRule type="expression" priority="67" aboveAverage="0" equalAverage="0" bottom="0" percent="0" rank="0" text="" dxfId="13">
      <formula>AND(B12&lt;&gt;"",COUNTIFS($C$22:$C$150,B12,$S$22:$S$150,"Atrasada")&gt;0)</formula>
    </cfRule>
    <cfRule type="expression" priority="68" aboveAverage="0" equalAverage="0" bottom="0" percent="0" rank="0" text="" dxfId="14">
      <formula>AND(B12&lt;&gt;"",COUNTIFS($C$22:$C$150,B12,$Q$22:$Q$150,"&lt;&gt;Cancelada")&gt;0)</formula>
    </cfRule>
  </conditionalFormatting>
  <conditionalFormatting sqref="D12:E13">
    <cfRule type="expression" priority="69" aboveAverage="0" equalAverage="0" bottom="0" percent="0" rank="0" text="" dxfId="12">
      <formula>AND(D12&lt;&gt;"",D12=TODAY())</formula>
    </cfRule>
    <cfRule type="expression" priority="70" aboveAverage="0" equalAverage="0" bottom="0" percent="0" rank="0" text="" dxfId="13">
      <formula>AND(D12&lt;&gt;"",COUNTIFS($C$22:$C$150,D12,$S$22:$S$150,"Atrasada")&gt;0)</formula>
    </cfRule>
    <cfRule type="expression" priority="71" aboveAverage="0" equalAverage="0" bottom="0" percent="0" rank="0" text="" dxfId="14">
      <formula>AND(D12&lt;&gt;"",COUNTIFS($C$22:$C$150,D12,$Q$22:$Q$150,"&lt;&gt;Cancelada")&gt;0)</formula>
    </cfRule>
  </conditionalFormatting>
  <conditionalFormatting sqref="F12:G13">
    <cfRule type="expression" priority="72" aboveAverage="0" equalAverage="0" bottom="0" percent="0" rank="0" text="" dxfId="12">
      <formula>AND(F12&lt;&gt;"",F12=TODAY())</formula>
    </cfRule>
    <cfRule type="expression" priority="73" aboveAverage="0" equalAverage="0" bottom="0" percent="0" rank="0" text="" dxfId="13">
      <formula>AND(F12&lt;&gt;"",COUNTIFS($C$22:$C$150,F12,$S$22:$S$150,"Atrasada")&gt;0)</formula>
    </cfRule>
    <cfRule type="expression" priority="74" aboveAverage="0" equalAverage="0" bottom="0" percent="0" rank="0" text="" dxfId="14">
      <formula>AND(F12&lt;&gt;"",COUNTIFS($C$22:$C$150,F12,$Q$22:$Q$150,"&lt;&gt;Cancelada")&gt;0)</formula>
    </cfRule>
  </conditionalFormatting>
  <conditionalFormatting sqref="H12:I13">
    <cfRule type="expression" priority="75" aboveAverage="0" equalAverage="0" bottom="0" percent="0" rank="0" text="" dxfId="12">
      <formula>AND(H12&lt;&gt;"",H12=TODAY())</formula>
    </cfRule>
    <cfRule type="expression" priority="76" aboveAverage="0" equalAverage="0" bottom="0" percent="0" rank="0" text="" dxfId="13">
      <formula>AND(H12&lt;&gt;"",COUNTIFS($C$22:$C$150,H12,$S$22:$S$150,"Atrasada")&gt;0)</formula>
    </cfRule>
    <cfRule type="expression" priority="77" aboveAverage="0" equalAverage="0" bottom="0" percent="0" rank="0" text="" dxfId="14">
      <formula>AND(H12&lt;&gt;"",COUNTIFS($C$22:$C$150,H12,$Q$22:$Q$150,"&lt;&gt;Cancelada")&gt;0)</formula>
    </cfRule>
  </conditionalFormatting>
  <conditionalFormatting sqref="J12:K13">
    <cfRule type="expression" priority="78" aboveAverage="0" equalAverage="0" bottom="0" percent="0" rank="0" text="" dxfId="12">
      <formula>AND(J12&lt;&gt;"",J12=TODAY())</formula>
    </cfRule>
    <cfRule type="expression" priority="79" aboveAverage="0" equalAverage="0" bottom="0" percent="0" rank="0" text="" dxfId="13">
      <formula>AND(J12&lt;&gt;"",COUNTIFS($C$22:$C$150,J12,$S$22:$S$150,"Atrasada")&gt;0)</formula>
    </cfRule>
    <cfRule type="expression" priority="80" aboveAverage="0" equalAverage="0" bottom="0" percent="0" rank="0" text="" dxfId="14">
      <formula>AND(J12&lt;&gt;"",COUNTIFS($C$22:$C$150,J12,$Q$22:$Q$150,"&lt;&gt;Cancelada")&gt;0)</formula>
    </cfRule>
  </conditionalFormatting>
  <conditionalFormatting sqref="L12:M13">
    <cfRule type="expression" priority="81" aboveAverage="0" equalAverage="0" bottom="0" percent="0" rank="0" text="" dxfId="12">
      <formula>AND(L12&lt;&gt;"",L12=TODAY())</formula>
    </cfRule>
    <cfRule type="expression" priority="82" aboveAverage="0" equalAverage="0" bottom="0" percent="0" rank="0" text="" dxfId="13">
      <formula>AND(L12&lt;&gt;"",COUNTIFS($C$22:$C$150,L12,$S$22:$S$150,"Atrasada")&gt;0)</formula>
    </cfRule>
    <cfRule type="expression" priority="83" aboveAverage="0" equalAverage="0" bottom="0" percent="0" rank="0" text="" dxfId="14">
      <formula>AND(L12&lt;&gt;"",COUNTIFS($C$22:$C$150,L12,$Q$22:$Q$150,"&lt;&gt;Cancelada")&gt;0)</formula>
    </cfRule>
  </conditionalFormatting>
  <conditionalFormatting sqref="N12:O13">
    <cfRule type="expression" priority="84" aboveAverage="0" equalAverage="0" bottom="0" percent="0" rank="0" text="" dxfId="12">
      <formula>AND(N12&lt;&gt;"",N12=TODAY())</formula>
    </cfRule>
    <cfRule type="expression" priority="85" aboveAverage="0" equalAverage="0" bottom="0" percent="0" rank="0" text="" dxfId="13">
      <formula>AND(N12&lt;&gt;"",COUNTIFS($C$22:$C$150,N12,$S$22:$S$150,"Atrasada")&gt;0)</formula>
    </cfRule>
    <cfRule type="expression" priority="86" aboveAverage="0" equalAverage="0" bottom="0" percent="0" rank="0" text="" dxfId="14">
      <formula>AND(N12&lt;&gt;"",COUNTIFS($C$22:$C$150,N12,$Q$22:$Q$150,"&lt;&gt;Cancelada")&gt;0)</formula>
    </cfRule>
  </conditionalFormatting>
  <conditionalFormatting sqref="B14:C15">
    <cfRule type="expression" priority="87" aboveAverage="0" equalAverage="0" bottom="0" percent="0" rank="0" text="" dxfId="12">
      <formula>AND(B14&lt;&gt;"",B14=TODAY())</formula>
    </cfRule>
    <cfRule type="expression" priority="88" aboveAverage="0" equalAverage="0" bottom="0" percent="0" rank="0" text="" dxfId="13">
      <formula>AND(B14&lt;&gt;"",COUNTIFS($C$22:$C$150,B14,$S$22:$S$150,"Atrasada")&gt;0)</formula>
    </cfRule>
    <cfRule type="expression" priority="89" aboveAverage="0" equalAverage="0" bottom="0" percent="0" rank="0" text="" dxfId="14">
      <formula>AND(B14&lt;&gt;"",COUNTIFS($C$22:$C$150,B14,$Q$22:$Q$150,"&lt;&gt;Cancelada")&gt;0)</formula>
    </cfRule>
  </conditionalFormatting>
  <conditionalFormatting sqref="D14:E15">
    <cfRule type="expression" priority="90" aboveAverage="0" equalAverage="0" bottom="0" percent="0" rank="0" text="" dxfId="12">
      <formula>AND(D14&lt;&gt;"",D14=TODAY())</formula>
    </cfRule>
    <cfRule type="expression" priority="91" aboveAverage="0" equalAverage="0" bottom="0" percent="0" rank="0" text="" dxfId="13">
      <formula>AND(D14&lt;&gt;"",COUNTIFS($C$22:$C$150,D14,$S$22:$S$150,"Atrasada")&gt;0)</formula>
    </cfRule>
    <cfRule type="expression" priority="92" aboveAverage="0" equalAverage="0" bottom="0" percent="0" rank="0" text="" dxfId="14">
      <formula>AND(D14&lt;&gt;"",COUNTIFS($C$22:$C$150,D14,$Q$22:$Q$150,"&lt;&gt;Cancelada")&gt;0)</formula>
    </cfRule>
  </conditionalFormatting>
  <conditionalFormatting sqref="F14:G15">
    <cfRule type="expression" priority="93" aboveAverage="0" equalAverage="0" bottom="0" percent="0" rank="0" text="" dxfId="12">
      <formula>AND(F14&lt;&gt;"",F14=TODAY())</formula>
    </cfRule>
    <cfRule type="expression" priority="94" aboveAverage="0" equalAverage="0" bottom="0" percent="0" rank="0" text="" dxfId="13">
      <formula>AND(F14&lt;&gt;"",COUNTIFS($C$22:$C$150,F14,$S$22:$S$150,"Atrasada")&gt;0)</formula>
    </cfRule>
    <cfRule type="expression" priority="95" aboveAverage="0" equalAverage="0" bottom="0" percent="0" rank="0" text="" dxfId="14">
      <formula>AND(F14&lt;&gt;"",COUNTIFS($C$22:$C$150,F14,$Q$22:$Q$150,"&lt;&gt;Cancelada")&gt;0)</formula>
    </cfRule>
  </conditionalFormatting>
  <conditionalFormatting sqref="H14:I15">
    <cfRule type="expression" priority="96" aboveAverage="0" equalAverage="0" bottom="0" percent="0" rank="0" text="" dxfId="12">
      <formula>AND(H14&lt;&gt;"",H14=TODAY())</formula>
    </cfRule>
    <cfRule type="expression" priority="97" aboveAverage="0" equalAverage="0" bottom="0" percent="0" rank="0" text="" dxfId="13">
      <formula>AND(H14&lt;&gt;"",COUNTIFS($C$22:$C$150,H14,$S$22:$S$150,"Atrasada")&gt;0)</formula>
    </cfRule>
    <cfRule type="expression" priority="98" aboveAverage="0" equalAverage="0" bottom="0" percent="0" rank="0" text="" dxfId="14">
      <formula>AND(H14&lt;&gt;"",COUNTIFS($C$22:$C$150,H14,$Q$22:$Q$150,"&lt;&gt;Cancelada")&gt;0)</formula>
    </cfRule>
  </conditionalFormatting>
  <conditionalFormatting sqref="J14:K15">
    <cfRule type="expression" priority="99" aboveAverage="0" equalAverage="0" bottom="0" percent="0" rank="0" text="" dxfId="12">
      <formula>AND(J14&lt;&gt;"",J14=TODAY())</formula>
    </cfRule>
    <cfRule type="expression" priority="100" aboveAverage="0" equalAverage="0" bottom="0" percent="0" rank="0" text="" dxfId="13">
      <formula>AND(J14&lt;&gt;"",COUNTIFS($C$22:$C$150,J14,$S$22:$S$150,"Atrasada")&gt;0)</formula>
    </cfRule>
    <cfRule type="expression" priority="101" aboveAverage="0" equalAverage="0" bottom="0" percent="0" rank="0" text="" dxfId="14">
      <formula>AND(J14&lt;&gt;"",COUNTIFS($C$22:$C$150,J14,$Q$22:$Q$150,"&lt;&gt;Cancelada")&gt;0)</formula>
    </cfRule>
  </conditionalFormatting>
  <conditionalFormatting sqref="L14:M15">
    <cfRule type="expression" priority="102" aboveAverage="0" equalAverage="0" bottom="0" percent="0" rank="0" text="" dxfId="12">
      <formula>AND(L14&lt;&gt;"",L14=TODAY())</formula>
    </cfRule>
    <cfRule type="expression" priority="103" aboveAverage="0" equalAverage="0" bottom="0" percent="0" rank="0" text="" dxfId="13">
      <formula>AND(L14&lt;&gt;"",COUNTIFS($C$22:$C$150,L14,$S$22:$S$150,"Atrasada")&gt;0)</formula>
    </cfRule>
    <cfRule type="expression" priority="104" aboveAverage="0" equalAverage="0" bottom="0" percent="0" rank="0" text="" dxfId="14">
      <formula>AND(L14&lt;&gt;"",COUNTIFS($C$22:$C$150,L14,$Q$22:$Q$150,"&lt;&gt;Cancelada")&gt;0)</formula>
    </cfRule>
  </conditionalFormatting>
  <conditionalFormatting sqref="N14:O15">
    <cfRule type="expression" priority="105" aboveAverage="0" equalAverage="0" bottom="0" percent="0" rank="0" text="" dxfId="12">
      <formula>AND(N14&lt;&gt;"",N14=TODAY())</formula>
    </cfRule>
    <cfRule type="expression" priority="106" aboveAverage="0" equalAverage="0" bottom="0" percent="0" rank="0" text="" dxfId="13">
      <formula>AND(N14&lt;&gt;"",COUNTIFS($C$22:$C$150,N14,$S$22:$S$150,"Atrasada")&gt;0)</formula>
    </cfRule>
    <cfRule type="expression" priority="107" aboveAverage="0" equalAverage="0" bottom="0" percent="0" rank="0" text="" dxfId="14">
      <formula>AND(N14&lt;&gt;"",COUNTIFS($C$22:$C$150,N14,$Q$22:$Q$150,"&lt;&gt;Cancelada")&gt;0)</formula>
    </cfRule>
  </conditionalFormatting>
  <conditionalFormatting sqref="B16:C17">
    <cfRule type="expression" priority="108" aboveAverage="0" equalAverage="0" bottom="0" percent="0" rank="0" text="" dxfId="12">
      <formula>AND(B16&lt;&gt;"",B16=TODAY())</formula>
    </cfRule>
    <cfRule type="expression" priority="109" aboveAverage="0" equalAverage="0" bottom="0" percent="0" rank="0" text="" dxfId="13">
      <formula>AND(B16&lt;&gt;"",COUNTIFS($C$22:$C$150,B16,$S$22:$S$150,"Atrasada")&gt;0)</formula>
    </cfRule>
    <cfRule type="expression" priority="110" aboveAverage="0" equalAverage="0" bottom="0" percent="0" rank="0" text="" dxfId="14">
      <formula>AND(B16&lt;&gt;"",COUNTIFS($C$22:$C$150,B16,$Q$22:$Q$150,"&lt;&gt;Cancelada")&gt;0)</formula>
    </cfRule>
  </conditionalFormatting>
  <conditionalFormatting sqref="D16:E17">
    <cfRule type="expression" priority="111" aboveAverage="0" equalAverage="0" bottom="0" percent="0" rank="0" text="" dxfId="12">
      <formula>AND(D16&lt;&gt;"",D16=TODAY())</formula>
    </cfRule>
    <cfRule type="expression" priority="112" aboveAverage="0" equalAverage="0" bottom="0" percent="0" rank="0" text="" dxfId="13">
      <formula>AND(D16&lt;&gt;"",COUNTIFS($C$22:$C$150,D16,$S$22:$S$150,"Atrasada")&gt;0)</formula>
    </cfRule>
    <cfRule type="expression" priority="113" aboveAverage="0" equalAverage="0" bottom="0" percent="0" rank="0" text="" dxfId="14">
      <formula>AND(D16&lt;&gt;"",COUNTIFS($C$22:$C$150,D16,$Q$22:$Q$150,"&lt;&gt;Cancelada")&gt;0)</formula>
    </cfRule>
  </conditionalFormatting>
  <conditionalFormatting sqref="F16:G17">
    <cfRule type="expression" priority="114" aboveAverage="0" equalAverage="0" bottom="0" percent="0" rank="0" text="" dxfId="12">
      <formula>AND(F16&lt;&gt;"",F16=TODAY())</formula>
    </cfRule>
    <cfRule type="expression" priority="115" aboveAverage="0" equalAverage="0" bottom="0" percent="0" rank="0" text="" dxfId="13">
      <formula>AND(F16&lt;&gt;"",COUNTIFS($C$22:$C$150,F16,$S$22:$S$150,"Atrasada")&gt;0)</formula>
    </cfRule>
    <cfRule type="expression" priority="116" aboveAverage="0" equalAverage="0" bottom="0" percent="0" rank="0" text="" dxfId="14">
      <formula>AND(F16&lt;&gt;"",COUNTIFS($C$22:$C$150,F16,$Q$22:$Q$150,"&lt;&gt;Cancelada")&gt;0)</formula>
    </cfRule>
  </conditionalFormatting>
  <conditionalFormatting sqref="H16:I17">
    <cfRule type="expression" priority="117" aboveAverage="0" equalAverage="0" bottom="0" percent="0" rank="0" text="" dxfId="12">
      <formula>AND(H16&lt;&gt;"",H16=TODAY())</formula>
    </cfRule>
    <cfRule type="expression" priority="118" aboveAverage="0" equalAverage="0" bottom="0" percent="0" rank="0" text="" dxfId="13">
      <formula>AND(H16&lt;&gt;"",COUNTIFS($C$22:$C$150,H16,$S$22:$S$150,"Atrasada")&gt;0)</formula>
    </cfRule>
    <cfRule type="expression" priority="119" aboveAverage="0" equalAverage="0" bottom="0" percent="0" rank="0" text="" dxfId="14">
      <formula>AND(H16&lt;&gt;"",COUNTIFS($C$22:$C$150,H16,$Q$22:$Q$150,"&lt;&gt;Cancelada")&gt;0)</formula>
    </cfRule>
  </conditionalFormatting>
  <conditionalFormatting sqref="J16:K17">
    <cfRule type="expression" priority="120" aboveAverage="0" equalAverage="0" bottom="0" percent="0" rank="0" text="" dxfId="12">
      <formula>AND(J16&lt;&gt;"",J16=TODAY())</formula>
    </cfRule>
    <cfRule type="expression" priority="121" aboveAverage="0" equalAverage="0" bottom="0" percent="0" rank="0" text="" dxfId="13">
      <formula>AND(J16&lt;&gt;"",COUNTIFS($C$22:$C$150,J16,$S$22:$S$150,"Atrasada")&gt;0)</formula>
    </cfRule>
    <cfRule type="expression" priority="122" aboveAverage="0" equalAverage="0" bottom="0" percent="0" rank="0" text="" dxfId="14">
      <formula>AND(J16&lt;&gt;"",COUNTIFS($C$22:$C$150,J16,$Q$22:$Q$150,"&lt;&gt;Cancelada")&gt;0)</formula>
    </cfRule>
  </conditionalFormatting>
  <conditionalFormatting sqref="L16:M17">
    <cfRule type="expression" priority="123" aboveAverage="0" equalAverage="0" bottom="0" percent="0" rank="0" text="" dxfId="12">
      <formula>AND(L16&lt;&gt;"",L16=TODAY())</formula>
    </cfRule>
    <cfRule type="expression" priority="124" aboveAverage="0" equalAverage="0" bottom="0" percent="0" rank="0" text="" dxfId="13">
      <formula>AND(L16&lt;&gt;"",COUNTIFS($C$22:$C$150,L16,$S$22:$S$150,"Atrasada")&gt;0)</formula>
    </cfRule>
    <cfRule type="expression" priority="125" aboveAverage="0" equalAverage="0" bottom="0" percent="0" rank="0" text="" dxfId="14">
      <formula>AND(L16&lt;&gt;"",COUNTIFS($C$22:$C$150,L16,$Q$22:$Q$150,"&lt;&gt;Cancelada")&gt;0)</formula>
    </cfRule>
  </conditionalFormatting>
  <conditionalFormatting sqref="N16:O17">
    <cfRule type="expression" priority="126" aboveAverage="0" equalAverage="0" bottom="0" percent="0" rank="0" text="" dxfId="12">
      <formula>AND(N16&lt;&gt;"",N16=TODAY())</formula>
    </cfRule>
    <cfRule type="expression" priority="127" aboveAverage="0" equalAverage="0" bottom="0" percent="0" rank="0" text="" dxfId="13">
      <formula>AND(N16&lt;&gt;"",COUNTIFS($C$22:$C$150,N16,$S$22:$S$150,"Atrasada")&gt;0)</formula>
    </cfRule>
    <cfRule type="expression" priority="128" aboveAverage="0" equalAverage="0" bottom="0" percent="0" rank="0" text="" dxfId="14">
      <formula>AND(N16&lt;&gt;"",COUNTIFS($C$22:$C$150,N16,$Q$22:$Q$150,"&lt;&gt;Cancelada")&gt;0)</formula>
    </cfRule>
  </conditionalFormatting>
  <conditionalFormatting sqref="A22:I67">
    <cfRule type="expression" priority="129" aboveAverage="0" equalAverage="0" bottom="0" percent="0" rank="0" text="" dxfId="15">
      <formula>ISNUMBER(SEARCH("-REU-",$A22))</formula>
    </cfRule>
  </conditionalFormatting>
  <conditionalFormatting sqref="S22:S150">
    <cfRule type="expression" priority="130" aboveAverage="0" equalAverage="0" bottom="0" percent="0" rank="0" text="" dxfId="16">
      <formula>$S22="Aprovada"</formula>
    </cfRule>
    <cfRule type="expression" priority="131" aboveAverage="0" equalAverage="0" bottom="0" percent="0" rank="0" text="" dxfId="17">
      <formula>$S22="Entregue"</formula>
    </cfRule>
    <cfRule type="expression" priority="132" aboveAverage="0" equalAverage="0" bottom="0" percent="0" rank="0" text="" dxfId="18">
      <formula>$S22="Atrasada"</formula>
    </cfRule>
    <cfRule type="expression" priority="133" aboveAverage="0" equalAverage="0" bottom="0" percent="0" rank="0" text="" dxfId="19">
      <formula>$S22="Reprovada"</formula>
    </cfRule>
    <cfRule type="expression" priority="134" aboveAverage="0" equalAverage="0" bottom="0" percent="0" rank="0" text="" dxfId="20">
      <formula>$S22="Pendente"</formula>
    </cfRule>
    <cfRule type="expression" priority="135" aboveAverage="0" equalAverage="0" bottom="0" percent="0" rank="0" text="" dxfId="21">
      <formula>$S22="Cancelada"</formula>
    </cfRule>
  </conditionalFormatting>
  <dataValidations count="2">
    <dataValidation allowBlank="true" errorStyle="stop" operator="between" showDropDown="false" showErrorMessage="false" showInputMessage="false" sqref="Q22:Q150" type="list">
      <formula1>"Aprovado,Reprovado,Cancelada"</formula1>
      <formula2>0</formula2>
    </dataValidation>
    <dataValidation allowBlank="true" errorStyle="stop" operator="between" showDropDown="false" showErrorMessage="false" showInputMessage="false" sqref="J22:J67" type="list">
      <formula1>CONFIG!$A$12:$A$40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.51"/>
    <col collapsed="false" customWidth="true" hidden="false" outlineLevel="0" max="3" min="3" style="0" width="10.51"/>
    <col collapsed="false" customWidth="true" hidden="false" outlineLevel="0" max="6" min="4" style="0" width="12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9.51"/>
    <col collapsed="false" customWidth="true" hidden="false" outlineLevel="0" max="16" min="13" style="0" width="12"/>
    <col collapsed="false" customWidth="true" hidden="false" outlineLevel="0" max="17" min="17" style="0" width="11.5"/>
    <col collapsed="false" customWidth="true" hidden="false" outlineLevel="0" max="18" min="18" style="0" width="17"/>
    <col collapsed="false" customWidth="true" hidden="false" outlineLevel="0" max="19" min="19" style="0" width="12.5"/>
    <col collapsed="false" customWidth="true" hidden="false" outlineLevel="0" max="22" min="20" style="0" width="3.5"/>
    <col collapsed="false" customWidth="true" hidden="true" outlineLevel="0" max="24" min="24" style="0" width="4"/>
  </cols>
  <sheetData>
    <row r="1" customFormat="false" ht="45.75" hidden="false" customHeight="true" outlineLevel="0" collapsed="false">
      <c r="A1" s="1" t="s">
        <v>237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"/>
      <c r="U1" s="2"/>
      <c r="V1" s="2"/>
      <c r="X1" s="73" t="n">
        <v>46266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X2" s="74" t="s">
        <v>238</v>
      </c>
    </row>
    <row r="3" customFormat="false" ht="15" hidden="false" customHeight="false" outlineLevel="0" collapsed="false">
      <c r="A3" s="5" t="str">
        <f aca="false">IF((COUNTIF($S$22:$S$150,"Aprovada")+COUNTIF($S$22:$S$150,"Entregue")+COUNTIF($S$22:$S$150,"Pendente")+COUNTIF($S$22:$S$150,"Atrasada")+COUNTIF($S$22:$S$150,"Reprovada"))=0,"",IF(COUNTIF($S$22:$S$150,"Aprovada")=(COUNTIF($S$22:$S$150,"Aprovada")+COUNTIF($S$22:$S$150,"Entregue")+COUNTIF($S$22:$S$150,"Pendente")+COUNTIF($S$22:$S$150,"Atrasada")+COUNTIF($S$22:$S$150,"Reprovada")),"MÊS CONCLUÍDO — todas as atividades aprovadas","EM ANDAMENTO — "&amp;COUNTIF($S$22:$S$150,"Aprovada")&amp;" de "&amp;(COUNTIF($S$22:$S$150,"Aprovada")+COUNTIF($S$22:$S$150,"Entregue")+COUNTIF($S$22:$S$150,"Pendente")+COUNTIF($S$22:$S$150,"Atrasada")+COUNTIF($S$22:$S$150,"Reprovada"))&amp;" atividades aprovadas · "&amp;COUNTIF($S$22:$S$150,"Atrasada")&amp;" em atraso"))</f>
        <v>EM ANDAMENTO — 0 de 35 atividades aprovadas · 0 em atraso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5" customFormat="false" ht="18" hidden="false" customHeight="true" outlineLevel="0" collapsed="false">
      <c r="B5" s="70" t="s">
        <v>209</v>
      </c>
      <c r="C5" s="70"/>
      <c r="D5" s="70" t="s">
        <v>210</v>
      </c>
      <c r="E5" s="70"/>
      <c r="F5" s="70" t="s">
        <v>211</v>
      </c>
      <c r="G5" s="70"/>
      <c r="H5" s="70" t="s">
        <v>3</v>
      </c>
      <c r="I5" s="70"/>
      <c r="J5" s="70" t="s">
        <v>6</v>
      </c>
      <c r="K5" s="70"/>
      <c r="L5" s="75" t="s">
        <v>9</v>
      </c>
      <c r="M5" s="75"/>
      <c r="N5" s="70" t="s">
        <v>212</v>
      </c>
      <c r="O5" s="70"/>
    </row>
    <row r="6" customFormat="false" ht="15" hidden="false" customHeight="true" outlineLevel="0" collapsed="false">
      <c r="B6" s="76" t="str">
        <f aca="false">IF(MONTH($X$1-WEEKDAY($X$1)+1+0)=MONTH($X$1),$X$1-WEEKDAY($X$1)+1+0,"")</f>
        <v/>
      </c>
      <c r="C6" s="76"/>
      <c r="D6" s="76" t="str">
        <f aca="false">IF(MONTH($X$1-WEEKDAY($X$1)+1+1)=MONTH($X$1),$X$1-WEEKDAY($X$1)+1+1,"")</f>
        <v/>
      </c>
      <c r="E6" s="76"/>
      <c r="F6" s="76" t="n">
        <f aca="false">IF(MONTH($X$1-WEEKDAY($X$1)+1+2)=MONTH($X$1),$X$1-WEEKDAY($X$1)+1+2,"")</f>
        <v>46266</v>
      </c>
      <c r="G6" s="76"/>
      <c r="H6" s="76" t="n">
        <f aca="false">IF(MONTH($X$1-WEEKDAY($X$1)+1+3)=MONTH($X$1),$X$1-WEEKDAY($X$1)+1+3,"")</f>
        <v>46267</v>
      </c>
      <c r="I6" s="76"/>
      <c r="J6" s="76" t="n">
        <f aca="false">IF(MONTH($X$1-WEEKDAY($X$1)+1+4)=MONTH($X$1),$X$1-WEEKDAY($X$1)+1+4,"")</f>
        <v>46268</v>
      </c>
      <c r="K6" s="76"/>
      <c r="L6" s="76" t="n">
        <f aca="false">IF(MONTH($X$1-WEEKDAY($X$1)+1+5)=MONTH($X$1),$X$1-WEEKDAY($X$1)+1+5,"")</f>
        <v>46269</v>
      </c>
      <c r="M6" s="76"/>
      <c r="N6" s="76" t="n">
        <f aca="false">IF(MONTH($X$1-WEEKDAY($X$1)+1+6)=MONTH($X$1),$X$1-WEEKDAY($X$1)+1+6,"")</f>
        <v>46270</v>
      </c>
      <c r="O6" s="76"/>
    </row>
    <row r="7" customFormat="false" ht="25.5" hidden="false" customHeight="true" outlineLevel="0" collapsed="false">
      <c r="B7" s="77" t="str">
        <f aca="false">IF(B6="","",TRIM(IF(COUNTIFS($C$22:$C$150,B6,$D$22:$D$150,"*Vistoria*",$Q$22:$Q$150,"&lt;&gt;Cancelada")&gt;0,"Vistoria ","")&amp;IF(COUNTIFS($C$22:$C$150,B6,$D$22:$D$150,"*Relatório*",$Q$22:$Q$150,"&lt;&gt;Cancelada")&gt;0,"Relatório ","")&amp;IF(COUNTIFS($C$22:$C$150,B6,$D$22:$D$150,"*Reunião*",$Q$22:$Q$150,"&lt;&gt;Cancelada")&gt;0,"REUNIÃO ","")&amp;IF(COUNTIFS($C$22:$C$150,B6,$D$22:$D$150,"*Férias*",$Q$22:$Q$150,"&lt;&gt;Cancelada")&gt;0,"Férias ","")&amp;IF(COUNTIFS($C$22:$C$150,B6,$D$22:$D$150,"*Mudança*",$Q$22:$Q$150,"&lt;&gt;Cancelada")&gt;0,"M.Função ","")&amp;IF(COUNTIFS($C$22:$C$150,B6,$D$22:$D$150,"*Treinamento*",$Q$22:$Q$150,"&lt;&gt;Cancelada")&gt;0,"Trein. ","")))</f>
        <v/>
      </c>
      <c r="C7" s="77"/>
      <c r="D7" s="77" t="str">
        <f aca="false">IF(D6="","",TRIM(IF(COUNTIFS($C$22:$C$150,D6,$D$22:$D$150,"*Vistoria*",$Q$22:$Q$150,"&lt;&gt;Cancelada")&gt;0,"Vistoria ","")&amp;IF(COUNTIFS($C$22:$C$150,D6,$D$22:$D$150,"*Relatório*",$Q$22:$Q$150,"&lt;&gt;Cancelada")&gt;0,"Relatório ","")&amp;IF(COUNTIFS($C$22:$C$150,D6,$D$22:$D$150,"*Reunião*",$Q$22:$Q$150,"&lt;&gt;Cancelada")&gt;0,"REUNIÃO ","")&amp;IF(COUNTIFS($C$22:$C$150,D6,$D$22:$D$150,"*Férias*",$Q$22:$Q$150,"&lt;&gt;Cancelada")&gt;0,"Férias ","")&amp;IF(COUNTIFS($C$22:$C$150,D6,$D$22:$D$150,"*Mudança*",$Q$22:$Q$150,"&lt;&gt;Cancelada")&gt;0,"M.Função ","")&amp;IF(COUNTIFS($C$22:$C$150,D6,$D$22:$D$150,"*Treinamento*",$Q$22:$Q$150,"&lt;&gt;Cancelada")&gt;0,"Trein. ","")))</f>
        <v/>
      </c>
      <c r="E7" s="77"/>
      <c r="F7" s="77" t="str">
        <f aca="false">IF(F6="","",TRIM(IF(COUNTIFS($C$22:$C$150,F6,$D$22:$D$150,"*Vistoria*",$Q$22:$Q$150,"&lt;&gt;Cancelada")&gt;0,"Vistoria ","")&amp;IF(COUNTIFS($C$22:$C$150,F6,$D$22:$D$150,"*Relatório*",$Q$22:$Q$150,"&lt;&gt;Cancelada")&gt;0,"Relatório ","")&amp;IF(COUNTIFS($C$22:$C$150,F6,$D$22:$D$150,"*Reunião*",$Q$22:$Q$150,"&lt;&gt;Cancelada")&gt;0,"REUNIÃO ","")&amp;IF(COUNTIFS($C$22:$C$150,F6,$D$22:$D$150,"*Férias*",$Q$22:$Q$150,"&lt;&gt;Cancelada")&gt;0,"Férias ","")&amp;IF(COUNTIFS($C$22:$C$150,F6,$D$22:$D$150,"*Mudança*",$Q$22:$Q$150,"&lt;&gt;Cancelada")&gt;0,"M.Função ","")&amp;IF(COUNTIFS($C$22:$C$150,F6,$D$22:$D$150,"*Treinamento*",$Q$22:$Q$150,"&lt;&gt;Cancelada")&gt;0,"Trein. ","")))</f>
        <v/>
      </c>
      <c r="G7" s="77"/>
      <c r="H7" s="77" t="str">
        <f aca="false">IF(H6="","",TRIM(IF(COUNTIFS($C$22:$C$150,H6,$D$22:$D$150,"*Vistoria*",$Q$22:$Q$150,"&lt;&gt;Cancelada")&gt;0,"Vistoria ","")&amp;IF(COUNTIFS($C$22:$C$150,H6,$D$22:$D$150,"*Relatório*",$Q$22:$Q$150,"&lt;&gt;Cancelada")&gt;0,"Relatório ","")&amp;IF(COUNTIFS($C$22:$C$150,H6,$D$22:$D$150,"*Reunião*",$Q$22:$Q$150,"&lt;&gt;Cancelada")&gt;0,"REUNIÃO ","")&amp;IF(COUNTIFS($C$22:$C$150,H6,$D$22:$D$150,"*Férias*",$Q$22:$Q$150,"&lt;&gt;Cancelada")&gt;0,"Férias ","")&amp;IF(COUNTIFS($C$22:$C$150,H6,$D$22:$D$150,"*Mudança*",$Q$22:$Q$150,"&lt;&gt;Cancelada")&gt;0,"M.Função ","")&amp;IF(COUNTIFS($C$22:$C$150,H6,$D$22:$D$150,"*Treinamento*",$Q$22:$Q$150,"&lt;&gt;Cancelada")&gt;0,"Trein. ","")))</f>
        <v>Vistoria</v>
      </c>
      <c r="I7" s="77"/>
      <c r="J7" s="77" t="str">
        <f aca="false">IF(J6="","",TRIM(IF(COUNTIFS($C$22:$C$150,J6,$D$22:$D$150,"*Vistoria*",$Q$22:$Q$150,"&lt;&gt;Cancelada")&gt;0,"Vistoria ","")&amp;IF(COUNTIFS($C$22:$C$150,J6,$D$22:$D$150,"*Relatório*",$Q$22:$Q$150,"&lt;&gt;Cancelada")&gt;0,"Relatório ","")&amp;IF(COUNTIFS($C$22:$C$150,J6,$D$22:$D$150,"*Reunião*",$Q$22:$Q$150,"&lt;&gt;Cancelada")&gt;0,"REUNIÃO ","")&amp;IF(COUNTIFS($C$22:$C$150,J6,$D$22:$D$150,"*Férias*",$Q$22:$Q$150,"&lt;&gt;Cancelada")&gt;0,"Férias ","")&amp;IF(COUNTIFS($C$22:$C$150,J6,$D$22:$D$150,"*Mudança*",$Q$22:$Q$150,"&lt;&gt;Cancelada")&gt;0,"M.Função ","")&amp;IF(COUNTIFS($C$22:$C$150,J6,$D$22:$D$150,"*Treinamento*",$Q$22:$Q$150,"&lt;&gt;Cancelada")&gt;0,"Trein. ","")))</f>
        <v>Relatório</v>
      </c>
      <c r="K7" s="77"/>
      <c r="L7" s="77" t="str">
        <f aca="false">IF(L6="","",TRIM(IF(COUNTIFS($C$22:$C$150,L6,$D$22:$D$150,"*Vistoria*",$Q$22:$Q$150,"&lt;&gt;Cancelada")&gt;0,"Vistoria ","")&amp;IF(COUNTIFS($C$22:$C$150,L6,$D$22:$D$150,"*Relatório*",$Q$22:$Q$150,"&lt;&gt;Cancelada")&gt;0,"Relatório ","")&amp;IF(COUNTIFS($C$22:$C$150,L6,$D$22:$D$150,"*Reunião*",$Q$22:$Q$150,"&lt;&gt;Cancelada")&gt;0,"REUNIÃO ","")&amp;IF(COUNTIFS($C$22:$C$150,L6,$D$22:$D$150,"*Férias*",$Q$22:$Q$150,"&lt;&gt;Cancelada")&gt;0,"Férias ","")&amp;IF(COUNTIFS($C$22:$C$150,L6,$D$22:$D$150,"*Mudança*",$Q$22:$Q$150,"&lt;&gt;Cancelada")&gt;0,"M.Função ","")&amp;IF(COUNTIFS($C$22:$C$150,L6,$D$22:$D$150,"*Treinamento*",$Q$22:$Q$150,"&lt;&gt;Cancelada")&gt;0,"Trein. ","")))</f>
        <v>REUNIÃO</v>
      </c>
      <c r="M7" s="77"/>
      <c r="N7" s="77" t="str">
        <f aca="false">IF(N6="","",TRIM(IF(COUNTIFS($C$22:$C$150,N6,$D$22:$D$150,"*Vistoria*",$Q$22:$Q$150,"&lt;&gt;Cancelada")&gt;0,"Vistoria ","")&amp;IF(COUNTIFS($C$22:$C$150,N6,$D$22:$D$150,"*Relatório*",$Q$22:$Q$150,"&lt;&gt;Cancelada")&gt;0,"Relatório ","")&amp;IF(COUNTIFS($C$22:$C$150,N6,$D$22:$D$150,"*Reunião*",$Q$22:$Q$150,"&lt;&gt;Cancelada")&gt;0,"REUNIÃO ","")&amp;IF(COUNTIFS($C$22:$C$150,N6,$D$22:$D$150,"*Férias*",$Q$22:$Q$150,"&lt;&gt;Cancelada")&gt;0,"Férias ","")&amp;IF(COUNTIFS($C$22:$C$150,N6,$D$22:$D$150,"*Mudança*",$Q$22:$Q$150,"&lt;&gt;Cancelada")&gt;0,"M.Função ","")&amp;IF(COUNTIFS($C$22:$C$150,N6,$D$22:$D$150,"*Treinamento*",$Q$22:$Q$150,"&lt;&gt;Cancelada")&gt;0,"Trein. ","")))</f>
        <v/>
      </c>
      <c r="O7" s="77"/>
    </row>
    <row r="8" customFormat="false" ht="15" hidden="false" customHeight="true" outlineLevel="0" collapsed="false">
      <c r="B8" s="76" t="n">
        <f aca="false">IF(MONTH($X$1-WEEKDAY($X$1)+1+7)=MONTH($X$1),$X$1-WEEKDAY($X$1)+1+7,"")</f>
        <v>46271</v>
      </c>
      <c r="C8" s="76"/>
      <c r="D8" s="76" t="n">
        <f aca="false">IF(MONTH($X$1-WEEKDAY($X$1)+1+8)=MONTH($X$1),$X$1-WEEKDAY($X$1)+1+8,"")</f>
        <v>46272</v>
      </c>
      <c r="E8" s="76"/>
      <c r="F8" s="76" t="n">
        <f aca="false">IF(MONTH($X$1-WEEKDAY($X$1)+1+9)=MONTH($X$1),$X$1-WEEKDAY($X$1)+1+9,"")</f>
        <v>46273</v>
      </c>
      <c r="G8" s="76"/>
      <c r="H8" s="76" t="n">
        <f aca="false">IF(MONTH($X$1-WEEKDAY($X$1)+1+10)=MONTH($X$1),$X$1-WEEKDAY($X$1)+1+10,"")</f>
        <v>46274</v>
      </c>
      <c r="I8" s="76"/>
      <c r="J8" s="76" t="n">
        <f aca="false">IF(MONTH($X$1-WEEKDAY($X$1)+1+11)=MONTH($X$1),$X$1-WEEKDAY($X$1)+1+11,"")</f>
        <v>46275</v>
      </c>
      <c r="K8" s="76"/>
      <c r="L8" s="76" t="n">
        <f aca="false">IF(MONTH($X$1-WEEKDAY($X$1)+1+12)=MONTH($X$1),$X$1-WEEKDAY($X$1)+1+12,"")</f>
        <v>46276</v>
      </c>
      <c r="M8" s="76"/>
      <c r="N8" s="76" t="n">
        <f aca="false">IF(MONTH($X$1-WEEKDAY($X$1)+1+13)=MONTH($X$1),$X$1-WEEKDAY($X$1)+1+13,"")</f>
        <v>46277</v>
      </c>
      <c r="O8" s="76"/>
    </row>
    <row r="9" customFormat="false" ht="25.5" hidden="false" customHeight="true" outlineLevel="0" collapsed="false">
      <c r="B9" s="77" t="str">
        <f aca="false">IF(B8="","",TRIM(IF(COUNTIFS($C$22:$C$150,B8,$D$22:$D$150,"*Vistoria*",$Q$22:$Q$150,"&lt;&gt;Cancelada")&gt;0,"Vistoria ","")&amp;IF(COUNTIFS($C$22:$C$150,B8,$D$22:$D$150,"*Relatório*",$Q$22:$Q$150,"&lt;&gt;Cancelada")&gt;0,"Relatório ","")&amp;IF(COUNTIFS($C$22:$C$150,B8,$D$22:$D$150,"*Reunião*",$Q$22:$Q$150,"&lt;&gt;Cancelada")&gt;0,"REUNIÃO ","")&amp;IF(COUNTIFS($C$22:$C$150,B8,$D$22:$D$150,"*Férias*",$Q$22:$Q$150,"&lt;&gt;Cancelada")&gt;0,"Férias ","")&amp;IF(COUNTIFS($C$22:$C$150,B8,$D$22:$D$150,"*Mudança*",$Q$22:$Q$150,"&lt;&gt;Cancelada")&gt;0,"M.Função ","")&amp;IF(COUNTIFS($C$22:$C$150,B8,$D$22:$D$150,"*Treinamento*",$Q$22:$Q$150,"&lt;&gt;Cancelada")&gt;0,"Trein. ","")))</f>
        <v/>
      </c>
      <c r="C9" s="77"/>
      <c r="D9" s="77" t="str">
        <f aca="false">IF(D8="","",TRIM(IF(COUNTIFS($C$22:$C$150,D8,$D$22:$D$150,"*Vistoria*",$Q$22:$Q$150,"&lt;&gt;Cancelada")&gt;0,"Vistoria ","")&amp;IF(COUNTIFS($C$22:$C$150,D8,$D$22:$D$150,"*Relatório*",$Q$22:$Q$150,"&lt;&gt;Cancelada")&gt;0,"Relatório ","")&amp;IF(COUNTIFS($C$22:$C$150,D8,$D$22:$D$150,"*Reunião*",$Q$22:$Q$150,"&lt;&gt;Cancelada")&gt;0,"REUNIÃO ","")&amp;IF(COUNTIFS($C$22:$C$150,D8,$D$22:$D$150,"*Férias*",$Q$22:$Q$150,"&lt;&gt;Cancelada")&gt;0,"Férias ","")&amp;IF(COUNTIFS($C$22:$C$150,D8,$D$22:$D$150,"*Mudança*",$Q$22:$Q$150,"&lt;&gt;Cancelada")&gt;0,"M.Função ","")&amp;IF(COUNTIFS($C$22:$C$150,D8,$D$22:$D$150,"*Treinamento*",$Q$22:$Q$150,"&lt;&gt;Cancelada")&gt;0,"Trein. ","")))</f>
        <v>Férias</v>
      </c>
      <c r="E9" s="77"/>
      <c r="F9" s="77" t="str">
        <f aca="false">IF(F8="","",TRIM(IF(COUNTIFS($C$22:$C$150,F8,$D$22:$D$150,"*Vistoria*",$Q$22:$Q$150,"&lt;&gt;Cancelada")&gt;0,"Vistoria ","")&amp;IF(COUNTIFS($C$22:$C$150,F8,$D$22:$D$150,"*Relatório*",$Q$22:$Q$150,"&lt;&gt;Cancelada")&gt;0,"Relatório ","")&amp;IF(COUNTIFS($C$22:$C$150,F8,$D$22:$D$150,"*Reunião*",$Q$22:$Q$150,"&lt;&gt;Cancelada")&gt;0,"REUNIÃO ","")&amp;IF(COUNTIFS($C$22:$C$150,F8,$D$22:$D$150,"*Férias*",$Q$22:$Q$150,"&lt;&gt;Cancelada")&gt;0,"Férias ","")&amp;IF(COUNTIFS($C$22:$C$150,F8,$D$22:$D$150,"*Mudança*",$Q$22:$Q$150,"&lt;&gt;Cancelada")&gt;0,"M.Função ","")&amp;IF(COUNTIFS($C$22:$C$150,F8,$D$22:$D$150,"*Treinamento*",$Q$22:$Q$150,"&lt;&gt;Cancelada")&gt;0,"Trein. ","")))</f>
        <v/>
      </c>
      <c r="G9" s="77"/>
      <c r="H9" s="77" t="str">
        <f aca="false">IF(H8="","",TRIM(IF(COUNTIFS($C$22:$C$150,H8,$D$22:$D$150,"*Vistoria*",$Q$22:$Q$150,"&lt;&gt;Cancelada")&gt;0,"Vistoria ","")&amp;IF(COUNTIFS($C$22:$C$150,H8,$D$22:$D$150,"*Relatório*",$Q$22:$Q$150,"&lt;&gt;Cancelada")&gt;0,"Relatório ","")&amp;IF(COUNTIFS($C$22:$C$150,H8,$D$22:$D$150,"*Reunião*",$Q$22:$Q$150,"&lt;&gt;Cancelada")&gt;0,"REUNIÃO ","")&amp;IF(COUNTIFS($C$22:$C$150,H8,$D$22:$D$150,"*Férias*",$Q$22:$Q$150,"&lt;&gt;Cancelada")&gt;0,"Férias ","")&amp;IF(COUNTIFS($C$22:$C$150,H8,$D$22:$D$150,"*Mudança*",$Q$22:$Q$150,"&lt;&gt;Cancelada")&gt;0,"M.Função ","")&amp;IF(COUNTIFS($C$22:$C$150,H8,$D$22:$D$150,"*Treinamento*",$Q$22:$Q$150,"&lt;&gt;Cancelada")&gt;0,"Trein. ","")))</f>
        <v>Vistoria</v>
      </c>
      <c r="I9" s="77"/>
      <c r="J9" s="77" t="str">
        <f aca="false">IF(J8="","",TRIM(IF(COUNTIFS($C$22:$C$150,J8,$D$22:$D$150,"*Vistoria*",$Q$22:$Q$150,"&lt;&gt;Cancelada")&gt;0,"Vistoria ","")&amp;IF(COUNTIFS($C$22:$C$150,J8,$D$22:$D$150,"*Relatório*",$Q$22:$Q$150,"&lt;&gt;Cancelada")&gt;0,"Relatório ","")&amp;IF(COUNTIFS($C$22:$C$150,J8,$D$22:$D$150,"*Reunião*",$Q$22:$Q$150,"&lt;&gt;Cancelada")&gt;0,"REUNIÃO ","")&amp;IF(COUNTIFS($C$22:$C$150,J8,$D$22:$D$150,"*Férias*",$Q$22:$Q$150,"&lt;&gt;Cancelada")&gt;0,"Férias ","")&amp;IF(COUNTIFS($C$22:$C$150,J8,$D$22:$D$150,"*Mudança*",$Q$22:$Q$150,"&lt;&gt;Cancelada")&gt;0,"M.Função ","")&amp;IF(COUNTIFS($C$22:$C$150,J8,$D$22:$D$150,"*Treinamento*",$Q$22:$Q$150,"&lt;&gt;Cancelada")&gt;0,"Trein. ","")))</f>
        <v>Relatório</v>
      </c>
      <c r="K9" s="77"/>
      <c r="L9" s="77" t="str">
        <f aca="false">IF(L8="","",TRIM(IF(COUNTIFS($C$22:$C$150,L8,$D$22:$D$150,"*Vistoria*",$Q$22:$Q$150,"&lt;&gt;Cancelada")&gt;0,"Vistoria ","")&amp;IF(COUNTIFS($C$22:$C$150,L8,$D$22:$D$150,"*Relatório*",$Q$22:$Q$150,"&lt;&gt;Cancelada")&gt;0,"Relatório ","")&amp;IF(COUNTIFS($C$22:$C$150,L8,$D$22:$D$150,"*Reunião*",$Q$22:$Q$150,"&lt;&gt;Cancelada")&gt;0,"REUNIÃO ","")&amp;IF(COUNTIFS($C$22:$C$150,L8,$D$22:$D$150,"*Férias*",$Q$22:$Q$150,"&lt;&gt;Cancelada")&gt;0,"Férias ","")&amp;IF(COUNTIFS($C$22:$C$150,L8,$D$22:$D$150,"*Mudança*",$Q$22:$Q$150,"&lt;&gt;Cancelada")&gt;0,"M.Função ","")&amp;IF(COUNTIFS($C$22:$C$150,L8,$D$22:$D$150,"*Treinamento*",$Q$22:$Q$150,"&lt;&gt;Cancelada")&gt;0,"Trein. ","")))</f>
        <v>REUNIÃO</v>
      </c>
      <c r="M9" s="77"/>
      <c r="N9" s="77" t="str">
        <f aca="false">IF(N8="","",TRIM(IF(COUNTIFS($C$22:$C$150,N8,$D$22:$D$150,"*Vistoria*",$Q$22:$Q$150,"&lt;&gt;Cancelada")&gt;0,"Vistoria ","")&amp;IF(COUNTIFS($C$22:$C$150,N8,$D$22:$D$150,"*Relatório*",$Q$22:$Q$150,"&lt;&gt;Cancelada")&gt;0,"Relatório ","")&amp;IF(COUNTIFS($C$22:$C$150,N8,$D$22:$D$150,"*Reunião*",$Q$22:$Q$150,"&lt;&gt;Cancelada")&gt;0,"REUNIÃO ","")&amp;IF(COUNTIFS($C$22:$C$150,N8,$D$22:$D$150,"*Férias*",$Q$22:$Q$150,"&lt;&gt;Cancelada")&gt;0,"Férias ","")&amp;IF(COUNTIFS($C$22:$C$150,N8,$D$22:$D$150,"*Mudança*",$Q$22:$Q$150,"&lt;&gt;Cancelada")&gt;0,"M.Função ","")&amp;IF(COUNTIFS($C$22:$C$150,N8,$D$22:$D$150,"*Treinamento*",$Q$22:$Q$150,"&lt;&gt;Cancelada")&gt;0,"Trein. ","")))</f>
        <v/>
      </c>
      <c r="O9" s="77"/>
    </row>
    <row r="10" customFormat="false" ht="15" hidden="false" customHeight="true" outlineLevel="0" collapsed="false">
      <c r="B10" s="76" t="n">
        <f aca="false">IF(MONTH($X$1-WEEKDAY($X$1)+1+14)=MONTH($X$1),$X$1-WEEKDAY($X$1)+1+14,"")</f>
        <v>46278</v>
      </c>
      <c r="C10" s="76"/>
      <c r="D10" s="76" t="n">
        <f aca="false">IF(MONTH($X$1-WEEKDAY($X$1)+1+15)=MONTH($X$1),$X$1-WEEKDAY($X$1)+1+15,"")</f>
        <v>46279</v>
      </c>
      <c r="E10" s="76"/>
      <c r="F10" s="76" t="n">
        <f aca="false">IF(MONTH($X$1-WEEKDAY($X$1)+1+16)=MONTH($X$1),$X$1-WEEKDAY($X$1)+1+16,"")</f>
        <v>46280</v>
      </c>
      <c r="G10" s="76"/>
      <c r="H10" s="76" t="n">
        <f aca="false">IF(MONTH($X$1-WEEKDAY($X$1)+1+17)=MONTH($X$1),$X$1-WEEKDAY($X$1)+1+17,"")</f>
        <v>46281</v>
      </c>
      <c r="I10" s="76"/>
      <c r="J10" s="76" t="n">
        <f aca="false">IF(MONTH($X$1-WEEKDAY($X$1)+1+18)=MONTH($X$1),$X$1-WEEKDAY($X$1)+1+18,"")</f>
        <v>46282</v>
      </c>
      <c r="K10" s="76"/>
      <c r="L10" s="76" t="n">
        <f aca="false">IF(MONTH($X$1-WEEKDAY($X$1)+1+19)=MONTH($X$1),$X$1-WEEKDAY($X$1)+1+19,"")</f>
        <v>46283</v>
      </c>
      <c r="M10" s="76"/>
      <c r="N10" s="76" t="n">
        <f aca="false">IF(MONTH($X$1-WEEKDAY($X$1)+1+20)=MONTH($X$1),$X$1-WEEKDAY($X$1)+1+20,"")</f>
        <v>46284</v>
      </c>
      <c r="O10" s="76"/>
    </row>
    <row r="11" customFormat="false" ht="25.5" hidden="false" customHeight="true" outlineLevel="0" collapsed="false">
      <c r="B11" s="77" t="str">
        <f aca="false">IF(B10="","",TRIM(IF(COUNTIFS($C$22:$C$150,B10,$D$22:$D$150,"*Vistoria*",$Q$22:$Q$150,"&lt;&gt;Cancelada")&gt;0,"Vistoria ","")&amp;IF(COUNTIFS($C$22:$C$150,B10,$D$22:$D$150,"*Relatório*",$Q$22:$Q$150,"&lt;&gt;Cancelada")&gt;0,"Relatório ","")&amp;IF(COUNTIFS($C$22:$C$150,B10,$D$22:$D$150,"*Reunião*",$Q$22:$Q$150,"&lt;&gt;Cancelada")&gt;0,"REUNIÃO ","")&amp;IF(COUNTIFS($C$22:$C$150,B10,$D$22:$D$150,"*Férias*",$Q$22:$Q$150,"&lt;&gt;Cancelada")&gt;0,"Férias ","")&amp;IF(COUNTIFS($C$22:$C$150,B10,$D$22:$D$150,"*Mudança*",$Q$22:$Q$150,"&lt;&gt;Cancelada")&gt;0,"M.Função ","")&amp;IF(COUNTIFS($C$22:$C$150,B10,$D$22:$D$150,"*Treinamento*",$Q$22:$Q$150,"&lt;&gt;Cancelada")&gt;0,"Trein. ","")))</f>
        <v/>
      </c>
      <c r="C11" s="77"/>
      <c r="D11" s="77" t="str">
        <f aca="false">IF(D10="","",TRIM(IF(COUNTIFS($C$22:$C$150,D10,$D$22:$D$150,"*Vistoria*",$Q$22:$Q$150,"&lt;&gt;Cancelada")&gt;0,"Vistoria ","")&amp;IF(COUNTIFS($C$22:$C$150,D10,$D$22:$D$150,"*Relatório*",$Q$22:$Q$150,"&lt;&gt;Cancelada")&gt;0,"Relatório ","")&amp;IF(COUNTIFS($C$22:$C$150,D10,$D$22:$D$150,"*Reunião*",$Q$22:$Q$150,"&lt;&gt;Cancelada")&gt;0,"REUNIÃO ","")&amp;IF(COUNTIFS($C$22:$C$150,D10,$D$22:$D$150,"*Férias*",$Q$22:$Q$150,"&lt;&gt;Cancelada")&gt;0,"Férias ","")&amp;IF(COUNTIFS($C$22:$C$150,D10,$D$22:$D$150,"*Mudança*",$Q$22:$Q$150,"&lt;&gt;Cancelada")&gt;0,"M.Função ","")&amp;IF(COUNTIFS($C$22:$C$150,D10,$D$22:$D$150,"*Treinamento*",$Q$22:$Q$150,"&lt;&gt;Cancelada")&gt;0,"Trein. ","")))</f>
        <v/>
      </c>
      <c r="E11" s="77"/>
      <c r="F11" s="77" t="str">
        <f aca="false">IF(F10="","",TRIM(IF(COUNTIFS($C$22:$C$150,F10,$D$22:$D$150,"*Vistoria*",$Q$22:$Q$150,"&lt;&gt;Cancelada")&gt;0,"Vistoria ","")&amp;IF(COUNTIFS($C$22:$C$150,F10,$D$22:$D$150,"*Relatório*",$Q$22:$Q$150,"&lt;&gt;Cancelada")&gt;0,"Relatório ","")&amp;IF(COUNTIFS($C$22:$C$150,F10,$D$22:$D$150,"*Reunião*",$Q$22:$Q$150,"&lt;&gt;Cancelada")&gt;0,"REUNIÃO ","")&amp;IF(COUNTIFS($C$22:$C$150,F10,$D$22:$D$150,"*Férias*",$Q$22:$Q$150,"&lt;&gt;Cancelada")&gt;0,"Férias ","")&amp;IF(COUNTIFS($C$22:$C$150,F10,$D$22:$D$150,"*Mudança*",$Q$22:$Q$150,"&lt;&gt;Cancelada")&gt;0,"M.Função ","")&amp;IF(COUNTIFS($C$22:$C$150,F10,$D$22:$D$150,"*Treinamento*",$Q$22:$Q$150,"&lt;&gt;Cancelada")&gt;0,"Trein. ","")))</f>
        <v/>
      </c>
      <c r="G11" s="77"/>
      <c r="H11" s="77" t="str">
        <f aca="false">IF(H10="","",TRIM(IF(COUNTIFS($C$22:$C$150,H10,$D$22:$D$150,"*Vistoria*",$Q$22:$Q$150,"&lt;&gt;Cancelada")&gt;0,"Vistoria ","")&amp;IF(COUNTIFS($C$22:$C$150,H10,$D$22:$D$150,"*Relatório*",$Q$22:$Q$150,"&lt;&gt;Cancelada")&gt;0,"Relatório ","")&amp;IF(COUNTIFS($C$22:$C$150,H10,$D$22:$D$150,"*Reunião*",$Q$22:$Q$150,"&lt;&gt;Cancelada")&gt;0,"REUNIÃO ","")&amp;IF(COUNTIFS($C$22:$C$150,H10,$D$22:$D$150,"*Férias*",$Q$22:$Q$150,"&lt;&gt;Cancelada")&gt;0,"Férias ","")&amp;IF(COUNTIFS($C$22:$C$150,H10,$D$22:$D$150,"*Mudança*",$Q$22:$Q$150,"&lt;&gt;Cancelada")&gt;0,"M.Função ","")&amp;IF(COUNTIFS($C$22:$C$150,H10,$D$22:$D$150,"*Treinamento*",$Q$22:$Q$150,"&lt;&gt;Cancelada")&gt;0,"Trein. ","")))</f>
        <v>Vistoria</v>
      </c>
      <c r="I11" s="77"/>
      <c r="J11" s="77" t="str">
        <f aca="false">IF(J10="","",TRIM(IF(COUNTIFS($C$22:$C$150,J10,$D$22:$D$150,"*Vistoria*",$Q$22:$Q$150,"&lt;&gt;Cancelada")&gt;0,"Vistoria ","")&amp;IF(COUNTIFS($C$22:$C$150,J10,$D$22:$D$150,"*Relatório*",$Q$22:$Q$150,"&lt;&gt;Cancelada")&gt;0,"Relatório ","")&amp;IF(COUNTIFS($C$22:$C$150,J10,$D$22:$D$150,"*Reunião*",$Q$22:$Q$150,"&lt;&gt;Cancelada")&gt;0,"REUNIÃO ","")&amp;IF(COUNTIFS($C$22:$C$150,J10,$D$22:$D$150,"*Férias*",$Q$22:$Q$150,"&lt;&gt;Cancelada")&gt;0,"Férias ","")&amp;IF(COUNTIFS($C$22:$C$150,J10,$D$22:$D$150,"*Mudança*",$Q$22:$Q$150,"&lt;&gt;Cancelada")&gt;0,"M.Função ","")&amp;IF(COUNTIFS($C$22:$C$150,J10,$D$22:$D$150,"*Treinamento*",$Q$22:$Q$150,"&lt;&gt;Cancelada")&gt;0,"Trein. ","")))</f>
        <v>Relatório</v>
      </c>
      <c r="K11" s="77"/>
      <c r="L11" s="77" t="str">
        <f aca="false">IF(L10="","",TRIM(IF(COUNTIFS($C$22:$C$150,L10,$D$22:$D$150,"*Vistoria*",$Q$22:$Q$150,"&lt;&gt;Cancelada")&gt;0,"Vistoria ","")&amp;IF(COUNTIFS($C$22:$C$150,L10,$D$22:$D$150,"*Relatório*",$Q$22:$Q$150,"&lt;&gt;Cancelada")&gt;0,"Relatório ","")&amp;IF(COUNTIFS($C$22:$C$150,L10,$D$22:$D$150,"*Reunião*",$Q$22:$Q$150,"&lt;&gt;Cancelada")&gt;0,"REUNIÃO ","")&amp;IF(COUNTIFS($C$22:$C$150,L10,$D$22:$D$150,"*Férias*",$Q$22:$Q$150,"&lt;&gt;Cancelada")&gt;0,"Férias ","")&amp;IF(COUNTIFS($C$22:$C$150,L10,$D$22:$D$150,"*Mudança*",$Q$22:$Q$150,"&lt;&gt;Cancelada")&gt;0,"M.Função ","")&amp;IF(COUNTIFS($C$22:$C$150,L10,$D$22:$D$150,"*Treinamento*",$Q$22:$Q$150,"&lt;&gt;Cancelada")&gt;0,"Trein. ","")))</f>
        <v>REUNIÃO</v>
      </c>
      <c r="M11" s="77"/>
      <c r="N11" s="77" t="str">
        <f aca="false">IF(N10="","",TRIM(IF(COUNTIFS($C$22:$C$150,N10,$D$22:$D$150,"*Vistoria*",$Q$22:$Q$150,"&lt;&gt;Cancelada")&gt;0,"Vistoria ","")&amp;IF(COUNTIFS($C$22:$C$150,N10,$D$22:$D$150,"*Relatório*",$Q$22:$Q$150,"&lt;&gt;Cancelada")&gt;0,"Relatório ","")&amp;IF(COUNTIFS($C$22:$C$150,N10,$D$22:$D$150,"*Reunião*",$Q$22:$Q$150,"&lt;&gt;Cancelada")&gt;0,"REUNIÃO ","")&amp;IF(COUNTIFS($C$22:$C$150,N10,$D$22:$D$150,"*Férias*",$Q$22:$Q$150,"&lt;&gt;Cancelada")&gt;0,"Férias ","")&amp;IF(COUNTIFS($C$22:$C$150,N10,$D$22:$D$150,"*Mudança*",$Q$22:$Q$150,"&lt;&gt;Cancelada")&gt;0,"M.Função ","")&amp;IF(COUNTIFS($C$22:$C$150,N10,$D$22:$D$150,"*Treinamento*",$Q$22:$Q$150,"&lt;&gt;Cancelada")&gt;0,"Trein. ","")))</f>
        <v/>
      </c>
      <c r="O11" s="77"/>
    </row>
    <row r="12" customFormat="false" ht="15" hidden="false" customHeight="true" outlineLevel="0" collapsed="false">
      <c r="B12" s="76" t="n">
        <f aca="false">IF(MONTH($X$1-WEEKDAY($X$1)+1+21)=MONTH($X$1),$X$1-WEEKDAY($X$1)+1+21,"")</f>
        <v>46285</v>
      </c>
      <c r="C12" s="76"/>
      <c r="D12" s="76" t="n">
        <f aca="false">IF(MONTH($X$1-WEEKDAY($X$1)+1+22)=MONTH($X$1),$X$1-WEEKDAY($X$1)+1+22,"")</f>
        <v>46286</v>
      </c>
      <c r="E12" s="76"/>
      <c r="F12" s="76" t="n">
        <f aca="false">IF(MONTH($X$1-WEEKDAY($X$1)+1+23)=MONTH($X$1),$X$1-WEEKDAY($X$1)+1+23,"")</f>
        <v>46287</v>
      </c>
      <c r="G12" s="76"/>
      <c r="H12" s="76" t="n">
        <f aca="false">IF(MONTH($X$1-WEEKDAY($X$1)+1+24)=MONTH($X$1),$X$1-WEEKDAY($X$1)+1+24,"")</f>
        <v>46288</v>
      </c>
      <c r="I12" s="76"/>
      <c r="J12" s="76" t="n">
        <f aca="false">IF(MONTH($X$1-WEEKDAY($X$1)+1+25)=MONTH($X$1),$X$1-WEEKDAY($X$1)+1+25,"")</f>
        <v>46289</v>
      </c>
      <c r="K12" s="76"/>
      <c r="L12" s="76" t="n">
        <f aca="false">IF(MONTH($X$1-WEEKDAY($X$1)+1+26)=MONTH($X$1),$X$1-WEEKDAY($X$1)+1+26,"")</f>
        <v>46290</v>
      </c>
      <c r="M12" s="76"/>
      <c r="N12" s="76" t="n">
        <f aca="false">IF(MONTH($X$1-WEEKDAY($X$1)+1+27)=MONTH($X$1),$X$1-WEEKDAY($X$1)+1+27,"")</f>
        <v>46291</v>
      </c>
      <c r="O12" s="76"/>
    </row>
    <row r="13" customFormat="false" ht="25.5" hidden="false" customHeight="true" outlineLevel="0" collapsed="false">
      <c r="B13" s="77" t="str">
        <f aca="false">IF(B12="","",TRIM(IF(COUNTIFS($C$22:$C$150,B12,$D$22:$D$150,"*Vistoria*",$Q$22:$Q$150,"&lt;&gt;Cancelada")&gt;0,"Vistoria ","")&amp;IF(COUNTIFS($C$22:$C$150,B12,$D$22:$D$150,"*Relatório*",$Q$22:$Q$150,"&lt;&gt;Cancelada")&gt;0,"Relatório ","")&amp;IF(COUNTIFS($C$22:$C$150,B12,$D$22:$D$150,"*Reunião*",$Q$22:$Q$150,"&lt;&gt;Cancelada")&gt;0,"REUNIÃO ","")&amp;IF(COUNTIFS($C$22:$C$150,B12,$D$22:$D$150,"*Férias*",$Q$22:$Q$150,"&lt;&gt;Cancelada")&gt;0,"Férias ","")&amp;IF(COUNTIFS($C$22:$C$150,B12,$D$22:$D$150,"*Mudança*",$Q$22:$Q$150,"&lt;&gt;Cancelada")&gt;0,"M.Função ","")&amp;IF(COUNTIFS($C$22:$C$150,B12,$D$22:$D$150,"*Treinamento*",$Q$22:$Q$150,"&lt;&gt;Cancelada")&gt;0,"Trein. ","")))</f>
        <v/>
      </c>
      <c r="C13" s="77"/>
      <c r="D13" s="77" t="str">
        <f aca="false">IF(D12="","",TRIM(IF(COUNTIFS($C$22:$C$150,D12,$D$22:$D$150,"*Vistoria*",$Q$22:$Q$150,"&lt;&gt;Cancelada")&gt;0,"Vistoria ","")&amp;IF(COUNTIFS($C$22:$C$150,D12,$D$22:$D$150,"*Relatório*",$Q$22:$Q$150,"&lt;&gt;Cancelada")&gt;0,"Relatório ","")&amp;IF(COUNTIFS($C$22:$C$150,D12,$D$22:$D$150,"*Reunião*",$Q$22:$Q$150,"&lt;&gt;Cancelada")&gt;0,"REUNIÃO ","")&amp;IF(COUNTIFS($C$22:$C$150,D12,$D$22:$D$150,"*Férias*",$Q$22:$Q$150,"&lt;&gt;Cancelada")&gt;0,"Férias ","")&amp;IF(COUNTIFS($C$22:$C$150,D12,$D$22:$D$150,"*Mudança*",$Q$22:$Q$150,"&lt;&gt;Cancelada")&gt;0,"M.Função ","")&amp;IF(COUNTIFS($C$22:$C$150,D12,$D$22:$D$150,"*Treinamento*",$Q$22:$Q$150,"&lt;&gt;Cancelada")&gt;0,"Trein. ","")))</f>
        <v/>
      </c>
      <c r="E13" s="77"/>
      <c r="F13" s="77" t="str">
        <f aca="false">IF(F12="","",TRIM(IF(COUNTIFS($C$22:$C$150,F12,$D$22:$D$150,"*Vistoria*",$Q$22:$Q$150,"&lt;&gt;Cancelada")&gt;0,"Vistoria ","")&amp;IF(COUNTIFS($C$22:$C$150,F12,$D$22:$D$150,"*Relatório*",$Q$22:$Q$150,"&lt;&gt;Cancelada")&gt;0,"Relatório ","")&amp;IF(COUNTIFS($C$22:$C$150,F12,$D$22:$D$150,"*Reunião*",$Q$22:$Q$150,"&lt;&gt;Cancelada")&gt;0,"REUNIÃO ","")&amp;IF(COUNTIFS($C$22:$C$150,F12,$D$22:$D$150,"*Férias*",$Q$22:$Q$150,"&lt;&gt;Cancelada")&gt;0,"Férias ","")&amp;IF(COUNTIFS($C$22:$C$150,F12,$D$22:$D$150,"*Mudança*",$Q$22:$Q$150,"&lt;&gt;Cancelada")&gt;0,"M.Função ","")&amp;IF(COUNTIFS($C$22:$C$150,F12,$D$22:$D$150,"*Treinamento*",$Q$22:$Q$150,"&lt;&gt;Cancelada")&gt;0,"Trein. ","")))</f>
        <v/>
      </c>
      <c r="G13" s="77"/>
      <c r="H13" s="77" t="str">
        <f aca="false">IF(H12="","",TRIM(IF(COUNTIFS($C$22:$C$150,H12,$D$22:$D$150,"*Vistoria*",$Q$22:$Q$150,"&lt;&gt;Cancelada")&gt;0,"Vistoria ","")&amp;IF(COUNTIFS($C$22:$C$150,H12,$D$22:$D$150,"*Relatório*",$Q$22:$Q$150,"&lt;&gt;Cancelada")&gt;0,"Relatório ","")&amp;IF(COUNTIFS($C$22:$C$150,H12,$D$22:$D$150,"*Reunião*",$Q$22:$Q$150,"&lt;&gt;Cancelada")&gt;0,"REUNIÃO ","")&amp;IF(COUNTIFS($C$22:$C$150,H12,$D$22:$D$150,"*Férias*",$Q$22:$Q$150,"&lt;&gt;Cancelada")&gt;0,"Férias ","")&amp;IF(COUNTIFS($C$22:$C$150,H12,$D$22:$D$150,"*Mudança*",$Q$22:$Q$150,"&lt;&gt;Cancelada")&gt;0,"M.Função ","")&amp;IF(COUNTIFS($C$22:$C$150,H12,$D$22:$D$150,"*Treinamento*",$Q$22:$Q$150,"&lt;&gt;Cancelada")&gt;0,"Trein. ","")))</f>
        <v>Vistoria</v>
      </c>
      <c r="I13" s="77"/>
      <c r="J13" s="77" t="str">
        <f aca="false">IF(J12="","",TRIM(IF(COUNTIFS($C$22:$C$150,J12,$D$22:$D$150,"*Vistoria*",$Q$22:$Q$150,"&lt;&gt;Cancelada")&gt;0,"Vistoria ","")&amp;IF(COUNTIFS($C$22:$C$150,J12,$D$22:$D$150,"*Relatório*",$Q$22:$Q$150,"&lt;&gt;Cancelada")&gt;0,"Relatório ","")&amp;IF(COUNTIFS($C$22:$C$150,J12,$D$22:$D$150,"*Reunião*",$Q$22:$Q$150,"&lt;&gt;Cancelada")&gt;0,"REUNIÃO ","")&amp;IF(COUNTIFS($C$22:$C$150,J12,$D$22:$D$150,"*Férias*",$Q$22:$Q$150,"&lt;&gt;Cancelada")&gt;0,"Férias ","")&amp;IF(COUNTIFS($C$22:$C$150,J12,$D$22:$D$150,"*Mudança*",$Q$22:$Q$150,"&lt;&gt;Cancelada")&gt;0,"M.Função ","")&amp;IF(COUNTIFS($C$22:$C$150,J12,$D$22:$D$150,"*Treinamento*",$Q$22:$Q$150,"&lt;&gt;Cancelada")&gt;0,"Trein. ","")))</f>
        <v>Relatório</v>
      </c>
      <c r="K13" s="77"/>
      <c r="L13" s="77" t="str">
        <f aca="false">IF(L12="","",TRIM(IF(COUNTIFS($C$22:$C$150,L12,$D$22:$D$150,"*Vistoria*",$Q$22:$Q$150,"&lt;&gt;Cancelada")&gt;0,"Vistoria ","")&amp;IF(COUNTIFS($C$22:$C$150,L12,$D$22:$D$150,"*Relatório*",$Q$22:$Q$150,"&lt;&gt;Cancelada")&gt;0,"Relatório ","")&amp;IF(COUNTIFS($C$22:$C$150,L12,$D$22:$D$150,"*Reunião*",$Q$22:$Q$150,"&lt;&gt;Cancelada")&gt;0,"REUNIÃO ","")&amp;IF(COUNTIFS($C$22:$C$150,L12,$D$22:$D$150,"*Férias*",$Q$22:$Q$150,"&lt;&gt;Cancelada")&gt;0,"Férias ","")&amp;IF(COUNTIFS($C$22:$C$150,L12,$D$22:$D$150,"*Mudança*",$Q$22:$Q$150,"&lt;&gt;Cancelada")&gt;0,"M.Função ","")&amp;IF(COUNTIFS($C$22:$C$150,L12,$D$22:$D$150,"*Treinamento*",$Q$22:$Q$150,"&lt;&gt;Cancelada")&gt;0,"Trein. ","")))</f>
        <v>REUNIÃO M.Função</v>
      </c>
      <c r="M13" s="77"/>
      <c r="N13" s="77" t="str">
        <f aca="false">IF(N12="","",TRIM(IF(COUNTIFS($C$22:$C$150,N12,$D$22:$D$150,"*Vistoria*",$Q$22:$Q$150,"&lt;&gt;Cancelada")&gt;0,"Vistoria ","")&amp;IF(COUNTIFS($C$22:$C$150,N12,$D$22:$D$150,"*Relatório*",$Q$22:$Q$150,"&lt;&gt;Cancelada")&gt;0,"Relatório ","")&amp;IF(COUNTIFS($C$22:$C$150,N12,$D$22:$D$150,"*Reunião*",$Q$22:$Q$150,"&lt;&gt;Cancelada")&gt;0,"REUNIÃO ","")&amp;IF(COUNTIFS($C$22:$C$150,N12,$D$22:$D$150,"*Férias*",$Q$22:$Q$150,"&lt;&gt;Cancelada")&gt;0,"Férias ","")&amp;IF(COUNTIFS($C$22:$C$150,N12,$D$22:$D$150,"*Mudança*",$Q$22:$Q$150,"&lt;&gt;Cancelada")&gt;0,"M.Função ","")&amp;IF(COUNTIFS($C$22:$C$150,N12,$D$22:$D$150,"*Treinamento*",$Q$22:$Q$150,"&lt;&gt;Cancelada")&gt;0,"Trein. ","")))</f>
        <v/>
      </c>
      <c r="O13" s="77"/>
    </row>
    <row r="14" customFormat="false" ht="15" hidden="false" customHeight="true" outlineLevel="0" collapsed="false">
      <c r="B14" s="76" t="n">
        <f aca="false">IF(MONTH($X$1-WEEKDAY($X$1)+1+28)=MONTH($X$1),$X$1-WEEKDAY($X$1)+1+28,"")</f>
        <v>46292</v>
      </c>
      <c r="C14" s="76"/>
      <c r="D14" s="76" t="n">
        <f aca="false">IF(MONTH($X$1-WEEKDAY($X$1)+1+29)=MONTH($X$1),$X$1-WEEKDAY($X$1)+1+29,"")</f>
        <v>46293</v>
      </c>
      <c r="E14" s="76"/>
      <c r="F14" s="76" t="n">
        <f aca="false">IF(MONTH($X$1-WEEKDAY($X$1)+1+30)=MONTH($X$1),$X$1-WEEKDAY($X$1)+1+30,"")</f>
        <v>46294</v>
      </c>
      <c r="G14" s="76"/>
      <c r="H14" s="76" t="n">
        <f aca="false">IF(MONTH($X$1-WEEKDAY($X$1)+1+31)=MONTH($X$1),$X$1-WEEKDAY($X$1)+1+31,"")</f>
        <v>46295</v>
      </c>
      <c r="I14" s="76"/>
      <c r="J14" s="76" t="str">
        <f aca="false">IF(MONTH($X$1-WEEKDAY($X$1)+1+32)=MONTH($X$1),$X$1-WEEKDAY($X$1)+1+32,"")</f>
        <v/>
      </c>
      <c r="K14" s="76"/>
      <c r="L14" s="76" t="str">
        <f aca="false">IF(MONTH($X$1-WEEKDAY($X$1)+1+33)=MONTH($X$1),$X$1-WEEKDAY($X$1)+1+33,"")</f>
        <v/>
      </c>
      <c r="M14" s="76"/>
      <c r="N14" s="76" t="str">
        <f aca="false">IF(MONTH($X$1-WEEKDAY($X$1)+1+34)=MONTH($X$1),$X$1-WEEKDAY($X$1)+1+34,"")</f>
        <v/>
      </c>
      <c r="O14" s="76"/>
    </row>
    <row r="15" customFormat="false" ht="25.5" hidden="false" customHeight="true" outlineLevel="0" collapsed="false">
      <c r="B15" s="77" t="str">
        <f aca="false">IF(B14="","",TRIM(IF(COUNTIFS($C$22:$C$150,B14,$D$22:$D$150,"*Vistoria*",$Q$22:$Q$150,"&lt;&gt;Cancelada")&gt;0,"Vistoria ","")&amp;IF(COUNTIFS($C$22:$C$150,B14,$D$22:$D$150,"*Relatório*",$Q$22:$Q$150,"&lt;&gt;Cancelada")&gt;0,"Relatório ","")&amp;IF(COUNTIFS($C$22:$C$150,B14,$D$22:$D$150,"*Reunião*",$Q$22:$Q$150,"&lt;&gt;Cancelada")&gt;0,"REUNIÃO ","")&amp;IF(COUNTIFS($C$22:$C$150,B14,$D$22:$D$150,"*Férias*",$Q$22:$Q$150,"&lt;&gt;Cancelada")&gt;0,"Férias ","")&amp;IF(COUNTIFS($C$22:$C$150,B14,$D$22:$D$150,"*Mudança*",$Q$22:$Q$150,"&lt;&gt;Cancelada")&gt;0,"M.Função ","")&amp;IF(COUNTIFS($C$22:$C$150,B14,$D$22:$D$150,"*Treinamento*",$Q$22:$Q$150,"&lt;&gt;Cancelada")&gt;0,"Trein. ","")))</f>
        <v/>
      </c>
      <c r="C15" s="77"/>
      <c r="D15" s="77" t="str">
        <f aca="false">IF(D14="","",TRIM(IF(COUNTIFS($C$22:$C$150,D14,$D$22:$D$150,"*Vistoria*",$Q$22:$Q$150,"&lt;&gt;Cancelada")&gt;0,"Vistoria ","")&amp;IF(COUNTIFS($C$22:$C$150,D14,$D$22:$D$150,"*Relatório*",$Q$22:$Q$150,"&lt;&gt;Cancelada")&gt;0,"Relatório ","")&amp;IF(COUNTIFS($C$22:$C$150,D14,$D$22:$D$150,"*Reunião*",$Q$22:$Q$150,"&lt;&gt;Cancelada")&gt;0,"REUNIÃO ","")&amp;IF(COUNTIFS($C$22:$C$150,D14,$D$22:$D$150,"*Férias*",$Q$22:$Q$150,"&lt;&gt;Cancelada")&gt;0,"Férias ","")&amp;IF(COUNTIFS($C$22:$C$150,D14,$D$22:$D$150,"*Mudança*",$Q$22:$Q$150,"&lt;&gt;Cancelada")&gt;0,"M.Função ","")&amp;IF(COUNTIFS($C$22:$C$150,D14,$D$22:$D$150,"*Treinamento*",$Q$22:$Q$150,"&lt;&gt;Cancelada")&gt;0,"Trein. ","")))</f>
        <v/>
      </c>
      <c r="E15" s="77"/>
      <c r="F15" s="77" t="str">
        <f aca="false">IF(F14="","",TRIM(IF(COUNTIFS($C$22:$C$150,F14,$D$22:$D$150,"*Vistoria*",$Q$22:$Q$150,"&lt;&gt;Cancelada")&gt;0,"Vistoria ","")&amp;IF(COUNTIFS($C$22:$C$150,F14,$D$22:$D$150,"*Relatório*",$Q$22:$Q$150,"&lt;&gt;Cancelada")&gt;0,"Relatório ","")&amp;IF(COUNTIFS($C$22:$C$150,F14,$D$22:$D$150,"*Reunião*",$Q$22:$Q$150,"&lt;&gt;Cancelada")&gt;0,"REUNIÃO ","")&amp;IF(COUNTIFS($C$22:$C$150,F14,$D$22:$D$150,"*Férias*",$Q$22:$Q$150,"&lt;&gt;Cancelada")&gt;0,"Férias ","")&amp;IF(COUNTIFS($C$22:$C$150,F14,$D$22:$D$150,"*Mudança*",$Q$22:$Q$150,"&lt;&gt;Cancelada")&gt;0,"M.Função ","")&amp;IF(COUNTIFS($C$22:$C$150,F14,$D$22:$D$150,"*Treinamento*",$Q$22:$Q$150,"&lt;&gt;Cancelada")&gt;0,"Trein. ","")))</f>
        <v/>
      </c>
      <c r="G15" s="77"/>
      <c r="H15" s="77" t="str">
        <f aca="false">IF(H14="","",TRIM(IF(COUNTIFS($C$22:$C$150,H14,$D$22:$D$150,"*Vistoria*",$Q$22:$Q$150,"&lt;&gt;Cancelada")&gt;0,"Vistoria ","")&amp;IF(COUNTIFS($C$22:$C$150,H14,$D$22:$D$150,"*Relatório*",$Q$22:$Q$150,"&lt;&gt;Cancelada")&gt;0,"Relatório ","")&amp;IF(COUNTIFS($C$22:$C$150,H14,$D$22:$D$150,"*Reunião*",$Q$22:$Q$150,"&lt;&gt;Cancelada")&gt;0,"REUNIÃO ","")&amp;IF(COUNTIFS($C$22:$C$150,H14,$D$22:$D$150,"*Férias*",$Q$22:$Q$150,"&lt;&gt;Cancelada")&gt;0,"Férias ","")&amp;IF(COUNTIFS($C$22:$C$150,H14,$D$22:$D$150,"*Mudança*",$Q$22:$Q$150,"&lt;&gt;Cancelada")&gt;0,"M.Função ","")&amp;IF(COUNTIFS($C$22:$C$150,H14,$D$22:$D$150,"*Treinamento*",$Q$22:$Q$150,"&lt;&gt;Cancelada")&gt;0,"Trein. ","")))</f>
        <v>Vistoria</v>
      </c>
      <c r="I15" s="77"/>
      <c r="J15" s="77" t="str">
        <f aca="false">IF(J14="","",TRIM(IF(COUNTIFS($C$22:$C$150,J14,$D$22:$D$150,"*Vistoria*",$Q$22:$Q$150,"&lt;&gt;Cancelada")&gt;0,"Vistoria ","")&amp;IF(COUNTIFS($C$22:$C$150,J14,$D$22:$D$150,"*Relatório*",$Q$22:$Q$150,"&lt;&gt;Cancelada")&gt;0,"Relatório ","")&amp;IF(COUNTIFS($C$22:$C$150,J14,$D$22:$D$150,"*Reunião*",$Q$22:$Q$150,"&lt;&gt;Cancelada")&gt;0,"REUNIÃO ","")&amp;IF(COUNTIFS($C$22:$C$150,J14,$D$22:$D$150,"*Férias*",$Q$22:$Q$150,"&lt;&gt;Cancelada")&gt;0,"Férias ","")&amp;IF(COUNTIFS($C$22:$C$150,J14,$D$22:$D$150,"*Mudança*",$Q$22:$Q$150,"&lt;&gt;Cancelada")&gt;0,"M.Função ","")&amp;IF(COUNTIFS($C$22:$C$150,J14,$D$22:$D$150,"*Treinamento*",$Q$22:$Q$150,"&lt;&gt;Cancelada")&gt;0,"Trein. ","")))</f>
        <v/>
      </c>
      <c r="K15" s="77"/>
      <c r="L15" s="77" t="str">
        <f aca="false">IF(L14="","",TRIM(IF(COUNTIFS($C$22:$C$150,L14,$D$22:$D$150,"*Vistoria*",$Q$22:$Q$150,"&lt;&gt;Cancelada")&gt;0,"Vistoria ","")&amp;IF(COUNTIFS($C$22:$C$150,L14,$D$22:$D$150,"*Relatório*",$Q$22:$Q$150,"&lt;&gt;Cancelada")&gt;0,"Relatório ","")&amp;IF(COUNTIFS($C$22:$C$150,L14,$D$22:$D$150,"*Reunião*",$Q$22:$Q$150,"&lt;&gt;Cancelada")&gt;0,"REUNIÃO ","")&amp;IF(COUNTIFS($C$22:$C$150,L14,$D$22:$D$150,"*Férias*",$Q$22:$Q$150,"&lt;&gt;Cancelada")&gt;0,"Férias ","")&amp;IF(COUNTIFS($C$22:$C$150,L14,$D$22:$D$150,"*Mudança*",$Q$22:$Q$150,"&lt;&gt;Cancelada")&gt;0,"M.Função ","")&amp;IF(COUNTIFS($C$22:$C$150,L14,$D$22:$D$150,"*Treinamento*",$Q$22:$Q$150,"&lt;&gt;Cancelada")&gt;0,"Trein. ","")))</f>
        <v/>
      </c>
      <c r="M15" s="77"/>
      <c r="N15" s="77" t="str">
        <f aca="false">IF(N14="","",TRIM(IF(COUNTIFS($C$22:$C$150,N14,$D$22:$D$150,"*Vistoria*",$Q$22:$Q$150,"&lt;&gt;Cancelada")&gt;0,"Vistoria ","")&amp;IF(COUNTIFS($C$22:$C$150,N14,$D$22:$D$150,"*Relatório*",$Q$22:$Q$150,"&lt;&gt;Cancelada")&gt;0,"Relatório ","")&amp;IF(COUNTIFS($C$22:$C$150,N14,$D$22:$D$150,"*Reunião*",$Q$22:$Q$150,"&lt;&gt;Cancelada")&gt;0,"REUNIÃO ","")&amp;IF(COUNTIFS($C$22:$C$150,N14,$D$22:$D$150,"*Férias*",$Q$22:$Q$150,"&lt;&gt;Cancelada")&gt;0,"Férias ","")&amp;IF(COUNTIFS($C$22:$C$150,N14,$D$22:$D$150,"*Mudança*",$Q$22:$Q$150,"&lt;&gt;Cancelada")&gt;0,"M.Função ","")&amp;IF(COUNTIFS($C$22:$C$150,N14,$D$22:$D$150,"*Treinamento*",$Q$22:$Q$150,"&lt;&gt;Cancelada")&gt;0,"Trein. ","")))</f>
        <v/>
      </c>
      <c r="O15" s="77"/>
    </row>
    <row r="16" customFormat="false" ht="15" hidden="false" customHeight="true" outlineLevel="0" collapsed="false">
      <c r="B16" s="76" t="str">
        <f aca="false">IF(MONTH($X$1-WEEKDAY($X$1)+1+35)=MONTH($X$1),$X$1-WEEKDAY($X$1)+1+35,"")</f>
        <v/>
      </c>
      <c r="C16" s="76"/>
      <c r="D16" s="76" t="str">
        <f aca="false">IF(MONTH($X$1-WEEKDAY($X$1)+1+36)=MONTH($X$1),$X$1-WEEKDAY($X$1)+1+36,"")</f>
        <v/>
      </c>
      <c r="E16" s="76"/>
      <c r="F16" s="76" t="str">
        <f aca="false">IF(MONTH($X$1-WEEKDAY($X$1)+1+37)=MONTH($X$1),$X$1-WEEKDAY($X$1)+1+37,"")</f>
        <v/>
      </c>
      <c r="G16" s="76"/>
      <c r="H16" s="76" t="str">
        <f aca="false">IF(MONTH($X$1-WEEKDAY($X$1)+1+38)=MONTH($X$1),$X$1-WEEKDAY($X$1)+1+38,"")</f>
        <v/>
      </c>
      <c r="I16" s="76"/>
      <c r="J16" s="76" t="str">
        <f aca="false">IF(MONTH($X$1-WEEKDAY($X$1)+1+39)=MONTH($X$1),$X$1-WEEKDAY($X$1)+1+39,"")</f>
        <v/>
      </c>
      <c r="K16" s="76"/>
      <c r="L16" s="76" t="str">
        <f aca="false">IF(MONTH($X$1-WEEKDAY($X$1)+1+40)=MONTH($X$1),$X$1-WEEKDAY($X$1)+1+40,"")</f>
        <v/>
      </c>
      <c r="M16" s="76"/>
      <c r="N16" s="76" t="str">
        <f aca="false">IF(MONTH($X$1-WEEKDAY($X$1)+1+41)=MONTH($X$1),$X$1-WEEKDAY($X$1)+1+41,"")</f>
        <v/>
      </c>
      <c r="O16" s="76"/>
    </row>
    <row r="17" customFormat="false" ht="25.5" hidden="false" customHeight="true" outlineLevel="0" collapsed="false">
      <c r="B17" s="77" t="str">
        <f aca="false">IF(B16="","",TRIM(IF(COUNTIFS($C$22:$C$150,B16,$D$22:$D$150,"*Vistoria*",$Q$22:$Q$150,"&lt;&gt;Cancelada")&gt;0,"Vistoria ","")&amp;IF(COUNTIFS($C$22:$C$150,B16,$D$22:$D$150,"*Relatório*",$Q$22:$Q$150,"&lt;&gt;Cancelada")&gt;0,"Relatório ","")&amp;IF(COUNTIFS($C$22:$C$150,B16,$D$22:$D$150,"*Reunião*",$Q$22:$Q$150,"&lt;&gt;Cancelada")&gt;0,"REUNIÃO ","")&amp;IF(COUNTIFS($C$22:$C$150,B16,$D$22:$D$150,"*Férias*",$Q$22:$Q$150,"&lt;&gt;Cancelada")&gt;0,"Férias ","")&amp;IF(COUNTIFS($C$22:$C$150,B16,$D$22:$D$150,"*Mudança*",$Q$22:$Q$150,"&lt;&gt;Cancelada")&gt;0,"M.Função ","")&amp;IF(COUNTIFS($C$22:$C$150,B16,$D$22:$D$150,"*Treinamento*",$Q$22:$Q$150,"&lt;&gt;Cancelada")&gt;0,"Trein. ","")))</f>
        <v/>
      </c>
      <c r="C17" s="77"/>
      <c r="D17" s="77" t="str">
        <f aca="false">IF(D16="","",TRIM(IF(COUNTIFS($C$22:$C$150,D16,$D$22:$D$150,"*Vistoria*",$Q$22:$Q$150,"&lt;&gt;Cancelada")&gt;0,"Vistoria ","")&amp;IF(COUNTIFS($C$22:$C$150,D16,$D$22:$D$150,"*Relatório*",$Q$22:$Q$150,"&lt;&gt;Cancelada")&gt;0,"Relatório ","")&amp;IF(COUNTIFS($C$22:$C$150,D16,$D$22:$D$150,"*Reunião*",$Q$22:$Q$150,"&lt;&gt;Cancelada")&gt;0,"REUNIÃO ","")&amp;IF(COUNTIFS($C$22:$C$150,D16,$D$22:$D$150,"*Férias*",$Q$22:$Q$150,"&lt;&gt;Cancelada")&gt;0,"Férias ","")&amp;IF(COUNTIFS($C$22:$C$150,D16,$D$22:$D$150,"*Mudança*",$Q$22:$Q$150,"&lt;&gt;Cancelada")&gt;0,"M.Função ","")&amp;IF(COUNTIFS($C$22:$C$150,D16,$D$22:$D$150,"*Treinamento*",$Q$22:$Q$150,"&lt;&gt;Cancelada")&gt;0,"Trein. ","")))</f>
        <v/>
      </c>
      <c r="E17" s="77"/>
      <c r="F17" s="77" t="str">
        <f aca="false">IF(F16="","",TRIM(IF(COUNTIFS($C$22:$C$150,F16,$D$22:$D$150,"*Vistoria*",$Q$22:$Q$150,"&lt;&gt;Cancelada")&gt;0,"Vistoria ","")&amp;IF(COUNTIFS($C$22:$C$150,F16,$D$22:$D$150,"*Relatório*",$Q$22:$Q$150,"&lt;&gt;Cancelada")&gt;0,"Relatório ","")&amp;IF(COUNTIFS($C$22:$C$150,F16,$D$22:$D$150,"*Reunião*",$Q$22:$Q$150,"&lt;&gt;Cancelada")&gt;0,"REUNIÃO ","")&amp;IF(COUNTIFS($C$22:$C$150,F16,$D$22:$D$150,"*Férias*",$Q$22:$Q$150,"&lt;&gt;Cancelada")&gt;0,"Férias ","")&amp;IF(COUNTIFS($C$22:$C$150,F16,$D$22:$D$150,"*Mudança*",$Q$22:$Q$150,"&lt;&gt;Cancelada")&gt;0,"M.Função ","")&amp;IF(COUNTIFS($C$22:$C$150,F16,$D$22:$D$150,"*Treinamento*",$Q$22:$Q$150,"&lt;&gt;Cancelada")&gt;0,"Trein. ","")))</f>
        <v/>
      </c>
      <c r="G17" s="77"/>
      <c r="H17" s="77" t="str">
        <f aca="false">IF(H16="","",TRIM(IF(COUNTIFS($C$22:$C$150,H16,$D$22:$D$150,"*Vistoria*",$Q$22:$Q$150,"&lt;&gt;Cancelada")&gt;0,"Vistoria ","")&amp;IF(COUNTIFS($C$22:$C$150,H16,$D$22:$D$150,"*Relatório*",$Q$22:$Q$150,"&lt;&gt;Cancelada")&gt;0,"Relatório ","")&amp;IF(COUNTIFS($C$22:$C$150,H16,$D$22:$D$150,"*Reunião*",$Q$22:$Q$150,"&lt;&gt;Cancelada")&gt;0,"REUNIÃO ","")&amp;IF(COUNTIFS($C$22:$C$150,H16,$D$22:$D$150,"*Férias*",$Q$22:$Q$150,"&lt;&gt;Cancelada")&gt;0,"Férias ","")&amp;IF(COUNTIFS($C$22:$C$150,H16,$D$22:$D$150,"*Mudança*",$Q$22:$Q$150,"&lt;&gt;Cancelada")&gt;0,"M.Função ","")&amp;IF(COUNTIFS($C$22:$C$150,H16,$D$22:$D$150,"*Treinamento*",$Q$22:$Q$150,"&lt;&gt;Cancelada")&gt;0,"Trein. ","")))</f>
        <v/>
      </c>
      <c r="I17" s="77"/>
      <c r="J17" s="77" t="str">
        <f aca="false">IF(J16="","",TRIM(IF(COUNTIFS($C$22:$C$150,J16,$D$22:$D$150,"*Vistoria*",$Q$22:$Q$150,"&lt;&gt;Cancelada")&gt;0,"Vistoria ","")&amp;IF(COUNTIFS($C$22:$C$150,J16,$D$22:$D$150,"*Relatório*",$Q$22:$Q$150,"&lt;&gt;Cancelada")&gt;0,"Relatório ","")&amp;IF(COUNTIFS($C$22:$C$150,J16,$D$22:$D$150,"*Reunião*",$Q$22:$Q$150,"&lt;&gt;Cancelada")&gt;0,"REUNIÃO ","")&amp;IF(COUNTIFS($C$22:$C$150,J16,$D$22:$D$150,"*Férias*",$Q$22:$Q$150,"&lt;&gt;Cancelada")&gt;0,"Férias ","")&amp;IF(COUNTIFS($C$22:$C$150,J16,$D$22:$D$150,"*Mudança*",$Q$22:$Q$150,"&lt;&gt;Cancelada")&gt;0,"M.Função ","")&amp;IF(COUNTIFS($C$22:$C$150,J16,$D$22:$D$150,"*Treinamento*",$Q$22:$Q$150,"&lt;&gt;Cancelada")&gt;0,"Trein. ","")))</f>
        <v/>
      </c>
      <c r="K17" s="77"/>
      <c r="L17" s="77" t="str">
        <f aca="false">IF(L16="","",TRIM(IF(COUNTIFS($C$22:$C$150,L16,$D$22:$D$150,"*Vistoria*",$Q$22:$Q$150,"&lt;&gt;Cancelada")&gt;0,"Vistoria ","")&amp;IF(COUNTIFS($C$22:$C$150,L16,$D$22:$D$150,"*Relatório*",$Q$22:$Q$150,"&lt;&gt;Cancelada")&gt;0,"Relatório ","")&amp;IF(COUNTIFS($C$22:$C$150,L16,$D$22:$D$150,"*Reunião*",$Q$22:$Q$150,"&lt;&gt;Cancelada")&gt;0,"REUNIÃO ","")&amp;IF(COUNTIFS($C$22:$C$150,L16,$D$22:$D$150,"*Férias*",$Q$22:$Q$150,"&lt;&gt;Cancelada")&gt;0,"Férias ","")&amp;IF(COUNTIFS($C$22:$C$150,L16,$D$22:$D$150,"*Mudança*",$Q$22:$Q$150,"&lt;&gt;Cancelada")&gt;0,"M.Função ","")&amp;IF(COUNTIFS($C$22:$C$150,L16,$D$22:$D$150,"*Treinamento*",$Q$22:$Q$150,"&lt;&gt;Cancelada")&gt;0,"Trein. ","")))</f>
        <v/>
      </c>
      <c r="M17" s="77"/>
      <c r="N17" s="77" t="str">
        <f aca="false">IF(N16="","",TRIM(IF(COUNTIFS($C$22:$C$150,N16,$D$22:$D$150,"*Vistoria*",$Q$22:$Q$150,"&lt;&gt;Cancelada")&gt;0,"Vistoria ","")&amp;IF(COUNTIFS($C$22:$C$150,N16,$D$22:$D$150,"*Relatório*",$Q$22:$Q$150,"&lt;&gt;Cancelada")&gt;0,"Relatório ","")&amp;IF(COUNTIFS($C$22:$C$150,N16,$D$22:$D$150,"*Reunião*",$Q$22:$Q$150,"&lt;&gt;Cancelada")&gt;0,"REUNIÃO ","")&amp;IF(COUNTIFS($C$22:$C$150,N16,$D$22:$D$150,"*Férias*",$Q$22:$Q$150,"&lt;&gt;Cancelada")&gt;0,"Férias ","")&amp;IF(COUNTIFS($C$22:$C$150,N16,$D$22:$D$150,"*Mudança*",$Q$22:$Q$150,"&lt;&gt;Cancelada")&gt;0,"M.Função ","")&amp;IF(COUNTIFS($C$22:$C$150,N16,$D$22:$D$150,"*Treinamento*",$Q$22:$Q$150,"&lt;&gt;Cancelada")&gt;0,"Trein. ","")))</f>
        <v/>
      </c>
      <c r="O17" s="77"/>
    </row>
    <row r="18" customFormat="false" ht="15" hidden="false" customHeight="true" outlineLevel="0" collapsed="false">
      <c r="B18" s="46" t="s">
        <v>213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</row>
    <row r="20" customFormat="false" ht="15" hidden="false" customHeight="true" outlineLevel="0" collapsed="false">
      <c r="A20" s="78" t="s">
        <v>214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</row>
    <row r="21" customFormat="false" ht="24" hidden="false" customHeight="true" outlineLevel="0" collapsed="false">
      <c r="A21" s="79" t="s">
        <v>215</v>
      </c>
      <c r="B21" s="79" t="s">
        <v>157</v>
      </c>
      <c r="C21" s="79" t="s">
        <v>216</v>
      </c>
      <c r="D21" s="79" t="s">
        <v>217</v>
      </c>
      <c r="E21" s="79"/>
      <c r="F21" s="79"/>
      <c r="G21" s="79" t="s">
        <v>58</v>
      </c>
      <c r="H21" s="79" t="s">
        <v>218</v>
      </c>
      <c r="I21" s="79"/>
      <c r="J21" s="79" t="s">
        <v>219</v>
      </c>
      <c r="K21" s="79" t="s">
        <v>61</v>
      </c>
      <c r="L21" s="79" t="s">
        <v>220</v>
      </c>
      <c r="M21" s="79" t="s">
        <v>221</v>
      </c>
      <c r="N21" s="79"/>
      <c r="O21" s="79"/>
      <c r="P21" s="79" t="s">
        <v>222</v>
      </c>
      <c r="Q21" s="79" t="s">
        <v>223</v>
      </c>
      <c r="R21" s="79" t="s">
        <v>224</v>
      </c>
      <c r="S21" s="79" t="s">
        <v>225</v>
      </c>
      <c r="T21" s="79" t="s">
        <v>226</v>
      </c>
      <c r="U21" s="79" t="s">
        <v>227</v>
      </c>
      <c r="V21" s="79" t="s">
        <v>228</v>
      </c>
    </row>
    <row r="22" customFormat="false" ht="15" hidden="false" customHeight="false" outlineLevel="0" collapsed="false">
      <c r="A22" s="80" t="str">
        <f aca="false">IF($C22="","",$X$2&amp;"-S"&amp;INT(($C22-WEEKDAY($C22,2)+11-DATE(YEAR($C22+4-WEEKDAY($C22,2)),1,1))/7)&amp;"-FER-A")</f>
        <v>SET-S37-FER-A</v>
      </c>
      <c r="B22" s="81" t="str">
        <f aca="false">IF($C22="","","S"&amp;INT(($C22-WEEKDAY($C22,2)+11-DATE(YEAR($C22+4-WEEKDAY($C22,2)),1,1))/7))</f>
        <v>S37</v>
      </c>
      <c r="C22" s="82" t="n">
        <f aca="false">$X$1+MOD(8-WEEKDAY($X$1,2),7)</f>
        <v>46272</v>
      </c>
      <c r="D22" s="9" t="str">
        <f aca="false">IF($C22="","","Programação de Férias (mensal)")</f>
        <v>Programação de Férias (mensal)</v>
      </c>
      <c r="E22" s="9"/>
      <c r="F22" s="9"/>
      <c r="G22" s="81" t="str">
        <f aca="false">IF($C22="","","A")</f>
        <v>A</v>
      </c>
      <c r="H22" s="81" t="str">
        <f aca="false">IF($C22="","",IF($G22="A",CONFIG!$B$5,IF($G22="B",CONFIG!$B$6,IF($G22="C",CONFIG!$B$7,"Gerência + coordenadores"))))</f>
        <v>(preencha o nome)</v>
      </c>
      <c r="I22" s="81"/>
      <c r="J22" s="81" t="str">
        <f aca="false">IF($C22="","","—")</f>
        <v>—</v>
      </c>
      <c r="K22" s="83" t="str">
        <f aca="false">IF($C22="","","—")</f>
        <v>—</v>
      </c>
      <c r="L22" s="83" t="str">
        <f aca="false">IF($C22="","","—")</f>
        <v>—</v>
      </c>
      <c r="M22" s="84"/>
      <c r="N22" s="84"/>
      <c r="O22" s="84"/>
      <c r="P22" s="85"/>
      <c r="Q22" s="86"/>
      <c r="R22" s="87"/>
      <c r="S22" s="81" t="str">
        <f aca="true">IF($C22="","",IF($Q22="Cancelada","Cancelada",IF($Q22="Reprovado","Reprovada",IF($Q22="Aprovado","Aprovada",IF($M22&lt;&gt;"","Entregue",IF(TODAY()&gt;$C22,"Atrasada","Pendente"))))))</f>
        <v>Pendente</v>
      </c>
      <c r="T22" s="88"/>
      <c r="U22" s="88"/>
      <c r="V22" s="88"/>
    </row>
    <row r="23" customFormat="false" ht="15" hidden="false" customHeight="false" outlineLevel="0" collapsed="false">
      <c r="A23" s="89" t="str">
        <f aca="false">IF($C23="","",$X$2&amp;"-S"&amp;INT(($C23-WEEKDAY($C23,2)+11-DATE(YEAR($C23+4-WEEKDAY($C23,2)),1,1))/7)&amp;"-FER-B")</f>
        <v>SET-S37-FER-B</v>
      </c>
      <c r="B23" s="60" t="str">
        <f aca="false">IF($C23="","","S"&amp;INT(($C23-WEEKDAY($C23,2)+11-DATE(YEAR($C23+4-WEEKDAY($C23,2)),1,1))/7))</f>
        <v>S37</v>
      </c>
      <c r="C23" s="82" t="n">
        <f aca="false">$X$1+MOD(8-WEEKDAY($X$1,2),7)</f>
        <v>46272</v>
      </c>
      <c r="D23" s="56" t="str">
        <f aca="false">IF($C23="","","Programação de Férias (mensal)")</f>
        <v>Programação de Férias (mensal)</v>
      </c>
      <c r="E23" s="56"/>
      <c r="F23" s="56"/>
      <c r="G23" s="60" t="str">
        <f aca="false">IF($C23="","","B")</f>
        <v>B</v>
      </c>
      <c r="H23" s="60" t="str">
        <f aca="false">IF($C23="","",IF($G23="A",CONFIG!$B$5,IF($G23="B",CONFIG!$B$6,IF($G23="C",CONFIG!$B$7,"Gerência + coordenadores"))))</f>
        <v>(preencha o nome)</v>
      </c>
      <c r="I23" s="60"/>
      <c r="J23" s="81" t="str">
        <f aca="false">IF($C23="","","—")</f>
        <v>—</v>
      </c>
      <c r="K23" s="83" t="str">
        <f aca="false">IF($C23="","","—")</f>
        <v>—</v>
      </c>
      <c r="L23" s="83" t="str">
        <f aca="false">IF($C23="","","—")</f>
        <v>—</v>
      </c>
      <c r="M23" s="84"/>
      <c r="N23" s="84"/>
      <c r="O23" s="84"/>
      <c r="P23" s="90"/>
      <c r="Q23" s="86"/>
      <c r="R23" s="87"/>
      <c r="S23" s="60" t="str">
        <f aca="true">IF($C23="","",IF($Q23="Cancelada","Cancelada",IF($Q23="Reprovado","Reprovada",IF($Q23="Aprovado","Aprovada",IF($M23&lt;&gt;"","Entregue",IF(TODAY()&gt;$C23,"Atrasada","Pendente"))))))</f>
        <v>Pendente</v>
      </c>
      <c r="T23" s="88"/>
      <c r="U23" s="88"/>
      <c r="V23" s="88"/>
    </row>
    <row r="24" customFormat="false" ht="15" hidden="false" customHeight="false" outlineLevel="0" collapsed="false">
      <c r="A24" s="80" t="str">
        <f aca="false">IF($C24="","",$X$2&amp;"-S"&amp;INT(($C24-WEEKDAY($C24,2)+11-DATE(YEAR($C24+4-WEEKDAY($C24,2)),1,1))/7)&amp;"-FER-C")</f>
        <v>SET-S37-FER-C</v>
      </c>
      <c r="B24" s="81" t="str">
        <f aca="false">IF($C24="","","S"&amp;INT(($C24-WEEKDAY($C24,2)+11-DATE(YEAR($C24+4-WEEKDAY($C24,2)),1,1))/7))</f>
        <v>S37</v>
      </c>
      <c r="C24" s="82" t="n">
        <f aca="false">$X$1+MOD(8-WEEKDAY($X$1,2),7)</f>
        <v>46272</v>
      </c>
      <c r="D24" s="9" t="str">
        <f aca="false">IF($C24="","","Programação de Férias (mensal)")</f>
        <v>Programação de Férias (mensal)</v>
      </c>
      <c r="E24" s="9"/>
      <c r="F24" s="9"/>
      <c r="G24" s="81" t="str">
        <f aca="false">IF($C24="","","C")</f>
        <v>C</v>
      </c>
      <c r="H24" s="81" t="str">
        <f aca="false">IF($C24="","",IF($G24="A",CONFIG!$B$5,IF($G24="B",CONFIG!$B$6,IF($G24="C",CONFIG!$B$7,"Gerência + coordenadores"))))</f>
        <v>(preencha o nome)</v>
      </c>
      <c r="I24" s="81"/>
      <c r="J24" s="81" t="str">
        <f aca="false">IF($C24="","","—")</f>
        <v>—</v>
      </c>
      <c r="K24" s="83" t="str">
        <f aca="false">IF($C24="","","—")</f>
        <v>—</v>
      </c>
      <c r="L24" s="83" t="str">
        <f aca="false">IF($C24="","","—")</f>
        <v>—</v>
      </c>
      <c r="M24" s="84"/>
      <c r="N24" s="84"/>
      <c r="O24" s="84"/>
      <c r="P24" s="85"/>
      <c r="Q24" s="86"/>
      <c r="R24" s="87"/>
      <c r="S24" s="81" t="str">
        <f aca="true">IF($C24="","",IF($Q24="Cancelada","Cancelada",IF($Q24="Reprovado","Reprovada",IF($Q24="Aprovado","Aprovada",IF($M24&lt;&gt;"","Entregue",IF(TODAY()&gt;$C24,"Atrasada","Pendente"))))))</f>
        <v>Pendente</v>
      </c>
      <c r="T24" s="88"/>
      <c r="U24" s="88"/>
      <c r="V24" s="88"/>
    </row>
    <row r="25" customFormat="false" ht="22.35" hidden="false" customHeight="false" outlineLevel="0" collapsed="false">
      <c r="A25" s="89" t="str">
        <f aca="false">IF($C25="","",$X$2&amp;"-S"&amp;INT(($C25-WEEKDAY($C25,2)+11-DATE(YEAR($C25+4-WEEKDAY($C25,2)),1,1))/7)&amp;"-VIS-A")</f>
        <v>SET-S36-VIS-A</v>
      </c>
      <c r="B25" s="60" t="str">
        <f aca="false">IF($C25="","","S"&amp;INT(($C25-WEEKDAY($C25,2)+11-DATE(YEAR($C25+4-WEEKDAY($C25,2)),1,1))/7))</f>
        <v>S36</v>
      </c>
      <c r="C25" s="82" t="n">
        <f aca="false">IF(MONTH(($X$1-WEEKDAY($X$1,3)+0)+2)=MONTH($X$1),($X$1-WEEKDAY($X$1,3)+0)+2,"")</f>
        <v>46267</v>
      </c>
      <c r="D25" s="56" t="str">
        <f aca="false">IF($C25="","","Vistoria Setorial (checklist no setor definido pelo gerente)")</f>
        <v>Vistoria Setorial (checklist no setor definido pelo gerente)</v>
      </c>
      <c r="E25" s="56"/>
      <c r="F25" s="56"/>
      <c r="G25" s="60" t="str">
        <f aca="false">IF($C25="","","A")</f>
        <v>A</v>
      </c>
      <c r="H25" s="60" t="str">
        <f aca="false">IF($C25="","",IF($G25="A",CONFIG!$B$5,IF($G25="B",CONFIG!$B$6,IF($G25="C",CONFIG!$B$7,"Gerência + coordenadores"))))</f>
        <v>(preencha o nome)</v>
      </c>
      <c r="I25" s="60"/>
      <c r="J25" s="86"/>
      <c r="K25" s="83" t="str">
        <f aca="false">IF($C25="","","—")</f>
        <v>—</v>
      </c>
      <c r="L25" s="83" t="str">
        <f aca="false">IF($C25="","","—")</f>
        <v>—</v>
      </c>
      <c r="M25" s="84"/>
      <c r="N25" s="84"/>
      <c r="O25" s="84"/>
      <c r="P25" s="90"/>
      <c r="Q25" s="86"/>
      <c r="R25" s="87"/>
      <c r="S25" s="60" t="str">
        <f aca="true">IF($C25="","",IF($Q25="Cancelada","Cancelada",IF($Q25="Reprovado","Reprovada",IF($Q25="Aprovado","Aprovada",IF($M25&lt;&gt;"","Entregue",IF(TODAY()&gt;$C25,"Atrasada","Pendente"))))))</f>
        <v>Pendente</v>
      </c>
      <c r="T25" s="88"/>
      <c r="U25" s="88"/>
      <c r="V25" s="88"/>
    </row>
    <row r="26" customFormat="false" ht="22.35" hidden="false" customHeight="false" outlineLevel="0" collapsed="false">
      <c r="A26" s="80" t="str">
        <f aca="false">IF($C26="","",$X$2&amp;"-S"&amp;INT(($C26-WEEKDAY($C26,2)+11-DATE(YEAR($C26+4-WEEKDAY($C26,2)),1,1))/7)&amp;"-VIS-B")</f>
        <v>SET-S36-VIS-B</v>
      </c>
      <c r="B26" s="81" t="str">
        <f aca="false">IF($C26="","","S"&amp;INT(($C26-WEEKDAY($C26,2)+11-DATE(YEAR($C26+4-WEEKDAY($C26,2)),1,1))/7))</f>
        <v>S36</v>
      </c>
      <c r="C26" s="82" t="n">
        <f aca="false">IF(MONTH(($X$1-WEEKDAY($X$1,3)+0)+2)=MONTH($X$1),($X$1-WEEKDAY($X$1,3)+0)+2,"")</f>
        <v>46267</v>
      </c>
      <c r="D26" s="9" t="str">
        <f aca="false">IF($C26="","","Vistoria Setorial (checklist no setor definido pelo gerente)")</f>
        <v>Vistoria Setorial (checklist no setor definido pelo gerente)</v>
      </c>
      <c r="E26" s="9"/>
      <c r="F26" s="9"/>
      <c r="G26" s="81" t="str">
        <f aca="false">IF($C26="","","B")</f>
        <v>B</v>
      </c>
      <c r="H26" s="81" t="str">
        <f aca="false">IF($C26="","",IF($G26="A",CONFIG!$B$5,IF($G26="B",CONFIG!$B$6,IF($G26="C",CONFIG!$B$7,"Gerência + coordenadores"))))</f>
        <v>(preencha o nome)</v>
      </c>
      <c r="I26" s="81"/>
      <c r="J26" s="86"/>
      <c r="K26" s="83" t="str">
        <f aca="false">IF($C26="","","—")</f>
        <v>—</v>
      </c>
      <c r="L26" s="83" t="str">
        <f aca="false">IF($C26="","","—")</f>
        <v>—</v>
      </c>
      <c r="M26" s="84"/>
      <c r="N26" s="84"/>
      <c r="O26" s="84"/>
      <c r="P26" s="85"/>
      <c r="Q26" s="86"/>
      <c r="R26" s="87"/>
      <c r="S26" s="81" t="str">
        <f aca="true">IF($C26="","",IF($Q26="Cancelada","Cancelada",IF($Q26="Reprovado","Reprovada",IF($Q26="Aprovado","Aprovada",IF($M26&lt;&gt;"","Entregue",IF(TODAY()&gt;$C26,"Atrasada","Pendente"))))))</f>
        <v>Pendente</v>
      </c>
      <c r="T26" s="88"/>
      <c r="U26" s="88"/>
      <c r="V26" s="88"/>
    </row>
    <row r="27" customFormat="false" ht="22.35" hidden="false" customHeight="false" outlineLevel="0" collapsed="false">
      <c r="A27" s="89" t="str">
        <f aca="false">IF($C27="","",$X$2&amp;"-S"&amp;INT(($C27-WEEKDAY($C27,2)+11-DATE(YEAR($C27+4-WEEKDAY($C27,2)),1,1))/7)&amp;"-VIS-C")</f>
        <v>SET-S36-VIS-C</v>
      </c>
      <c r="B27" s="60" t="str">
        <f aca="false">IF($C27="","","S"&amp;INT(($C27-WEEKDAY($C27,2)+11-DATE(YEAR($C27+4-WEEKDAY($C27,2)),1,1))/7))</f>
        <v>S36</v>
      </c>
      <c r="C27" s="82" t="n">
        <f aca="false">IF(MONTH(($X$1-WEEKDAY($X$1,3)+0)+2)=MONTH($X$1),($X$1-WEEKDAY($X$1,3)+0)+2,"")</f>
        <v>46267</v>
      </c>
      <c r="D27" s="56" t="str">
        <f aca="false">IF($C27="","","Vistoria Setorial (checklist no setor definido pelo gerente)")</f>
        <v>Vistoria Setorial (checklist no setor definido pelo gerente)</v>
      </c>
      <c r="E27" s="56"/>
      <c r="F27" s="56"/>
      <c r="G27" s="60" t="str">
        <f aca="false">IF($C27="","","C")</f>
        <v>C</v>
      </c>
      <c r="H27" s="60" t="str">
        <f aca="false">IF($C27="","",IF($G27="A",CONFIG!$B$5,IF($G27="B",CONFIG!$B$6,IF($G27="C",CONFIG!$B$7,"Gerência + coordenadores"))))</f>
        <v>(preencha o nome)</v>
      </c>
      <c r="I27" s="60"/>
      <c r="J27" s="86"/>
      <c r="K27" s="83" t="str">
        <f aca="false">IF($C27="","","—")</f>
        <v>—</v>
      </c>
      <c r="L27" s="83" t="str">
        <f aca="false">IF($C27="","","—")</f>
        <v>—</v>
      </c>
      <c r="M27" s="84"/>
      <c r="N27" s="84"/>
      <c r="O27" s="84"/>
      <c r="P27" s="90"/>
      <c r="Q27" s="86"/>
      <c r="R27" s="87"/>
      <c r="S27" s="60" t="str">
        <f aca="true">IF($C27="","",IF($Q27="Cancelada","Cancelada",IF($Q27="Reprovado","Reprovada",IF($Q27="Aprovado","Aprovada",IF($M27&lt;&gt;"","Entregue",IF(TODAY()&gt;$C27,"Atrasada","Pendente"))))))</f>
        <v>Pendente</v>
      </c>
      <c r="T27" s="88"/>
      <c r="U27" s="88"/>
      <c r="V27" s="88"/>
    </row>
    <row r="28" customFormat="false" ht="22.35" hidden="false" customHeight="false" outlineLevel="0" collapsed="false">
      <c r="A28" s="80" t="str">
        <f aca="false">IF($C28="","",$X$2&amp;"-S"&amp;INT(($C28-WEEKDAY($C28,2)+11-DATE(YEAR($C28+4-WEEKDAY($C28,2)),1,1))/7)&amp;"-RSC-A")</f>
        <v>SET-S36-RSC-A</v>
      </c>
      <c r="B28" s="81" t="str">
        <f aca="false">IF($C28="","","S"&amp;INT(($C28-WEEKDAY($C28,2)+11-DATE(YEAR($C28+4-WEEKDAY($C28,2)),1,1))/7))</f>
        <v>S36</v>
      </c>
      <c r="C28" s="82" t="n">
        <f aca="false">IF(MONTH(($X$1-WEEKDAY($X$1,3)+0)+3)=MONTH($X$1),($X$1-WEEKDAY($X$1,3)+0)+3,"")</f>
        <v>46268</v>
      </c>
      <c r="D28" s="9" t="str">
        <f aca="false">IF($C28="","","Relatório Semanal Consolidado (erros + metas + faltas + supervisores)")</f>
        <v>Relatório Semanal Consolidado (erros + metas + faltas + supervisores)</v>
      </c>
      <c r="E28" s="9"/>
      <c r="F28" s="9"/>
      <c r="G28" s="81" t="str">
        <f aca="false">IF($C28="","","A")</f>
        <v>A</v>
      </c>
      <c r="H28" s="81" t="str">
        <f aca="false">IF($C28="","",IF($G28="A",CONFIG!$B$5,IF($G28="B",CONFIG!$B$6,IF($G28="C",CONFIG!$B$7,"Gerência + coordenadores"))))</f>
        <v>(preencha o nome)</v>
      </c>
      <c r="I28" s="81"/>
      <c r="J28" s="81" t="str">
        <f aca="false">IF($C28="","","—")</f>
        <v>—</v>
      </c>
      <c r="K28" s="91" t="n">
        <f aca="false">IF($C28="","",SUMIFS(OCORRÊNCIAS!$E$6:$E$605,OCORRÊNCIAS!$B$6:$B$605,"Falta",OCORRÊNCIAS!$C$6:$C$605,$G28,OCORRÊNCIAS!$H$6:$H$605,$B28,OCORRÊNCIAS!$J$6:$J$605,YEAR($C28+4-WEEKDAY($C28,2))))</f>
        <v>0</v>
      </c>
      <c r="L28" s="91" t="n">
        <f aca="false">IF($C28="","",SUMIFS(OCORRÊNCIAS!$E$6:$E$605,OCORRÊNCIAS!$B$6:$B$605,"Atestado",OCORRÊNCIAS!$C$6:$C$605,$G28,OCORRÊNCIAS!$H$6:$H$605,$B28,OCORRÊNCIAS!$J$6:$J$605,YEAR($C28+4-WEEKDAY($C28,2))))</f>
        <v>0</v>
      </c>
      <c r="M28" s="84"/>
      <c r="N28" s="84"/>
      <c r="O28" s="84"/>
      <c r="P28" s="85"/>
      <c r="Q28" s="86"/>
      <c r="R28" s="87"/>
      <c r="S28" s="81" t="str">
        <f aca="true">IF($C28="","",IF($Q28="Cancelada","Cancelada",IF($Q28="Reprovado","Reprovada",IF($Q28="Aprovado","Aprovada",IF($M28&lt;&gt;"","Entregue",IF(TODAY()&gt;$C28,"Atrasada","Pendente"))))))</f>
        <v>Pendente</v>
      </c>
      <c r="T28" s="88"/>
      <c r="U28" s="88"/>
      <c r="V28" s="88"/>
    </row>
    <row r="29" customFormat="false" ht="22.35" hidden="false" customHeight="false" outlineLevel="0" collapsed="false">
      <c r="A29" s="89" t="str">
        <f aca="false">IF($C29="","",$X$2&amp;"-S"&amp;INT(($C29-WEEKDAY($C29,2)+11-DATE(YEAR($C29+4-WEEKDAY($C29,2)),1,1))/7)&amp;"-RSC-B")</f>
        <v>SET-S36-RSC-B</v>
      </c>
      <c r="B29" s="60" t="str">
        <f aca="false">IF($C29="","","S"&amp;INT(($C29-WEEKDAY($C29,2)+11-DATE(YEAR($C29+4-WEEKDAY($C29,2)),1,1))/7))</f>
        <v>S36</v>
      </c>
      <c r="C29" s="82" t="n">
        <f aca="false">IF(MONTH(($X$1-WEEKDAY($X$1,3)+0)+3)=MONTH($X$1),($X$1-WEEKDAY($X$1,3)+0)+3,"")</f>
        <v>46268</v>
      </c>
      <c r="D29" s="56" t="str">
        <f aca="false">IF($C29="","","Relatório Semanal Consolidado (erros + metas + faltas + supervisores)")</f>
        <v>Relatório Semanal Consolidado (erros + metas + faltas + supervisores)</v>
      </c>
      <c r="E29" s="56"/>
      <c r="F29" s="56"/>
      <c r="G29" s="60" t="str">
        <f aca="false">IF($C29="","","B")</f>
        <v>B</v>
      </c>
      <c r="H29" s="60" t="str">
        <f aca="false">IF($C29="","",IF($G29="A",CONFIG!$B$5,IF($G29="B",CONFIG!$B$6,IF($G29="C",CONFIG!$B$7,"Gerência + coordenadores"))))</f>
        <v>(preencha o nome)</v>
      </c>
      <c r="I29" s="60"/>
      <c r="J29" s="81" t="str">
        <f aca="false">IF($C29="","","—")</f>
        <v>—</v>
      </c>
      <c r="K29" s="91" t="n">
        <f aca="false">IF($C29="","",SUMIFS(OCORRÊNCIAS!$E$6:$E$605,OCORRÊNCIAS!$B$6:$B$605,"Falta",OCORRÊNCIAS!$C$6:$C$605,$G29,OCORRÊNCIAS!$H$6:$H$605,$B29,OCORRÊNCIAS!$J$6:$J$605,YEAR($C29+4-WEEKDAY($C29,2))))</f>
        <v>0</v>
      </c>
      <c r="L29" s="91" t="n">
        <f aca="false">IF($C29="","",SUMIFS(OCORRÊNCIAS!$E$6:$E$605,OCORRÊNCIAS!$B$6:$B$605,"Atestado",OCORRÊNCIAS!$C$6:$C$605,$G29,OCORRÊNCIAS!$H$6:$H$605,$B29,OCORRÊNCIAS!$J$6:$J$605,YEAR($C29+4-WEEKDAY($C29,2))))</f>
        <v>0</v>
      </c>
      <c r="M29" s="84"/>
      <c r="N29" s="84"/>
      <c r="O29" s="84"/>
      <c r="P29" s="90"/>
      <c r="Q29" s="86"/>
      <c r="R29" s="87"/>
      <c r="S29" s="60" t="str">
        <f aca="true">IF($C29="","",IF($Q29="Cancelada","Cancelada",IF($Q29="Reprovado","Reprovada",IF($Q29="Aprovado","Aprovada",IF($M29&lt;&gt;"","Entregue",IF(TODAY()&gt;$C29,"Atrasada","Pendente"))))))</f>
        <v>Pendente</v>
      </c>
      <c r="T29" s="88"/>
      <c r="U29" s="88"/>
      <c r="V29" s="88"/>
    </row>
    <row r="30" customFormat="false" ht="22.35" hidden="false" customHeight="false" outlineLevel="0" collapsed="false">
      <c r="A30" s="80" t="str">
        <f aca="false">IF($C30="","",$X$2&amp;"-S"&amp;INT(($C30-WEEKDAY($C30,2)+11-DATE(YEAR($C30+4-WEEKDAY($C30,2)),1,1))/7)&amp;"-RSC-C")</f>
        <v>SET-S36-RSC-C</v>
      </c>
      <c r="B30" s="81" t="str">
        <f aca="false">IF($C30="","","S"&amp;INT(($C30-WEEKDAY($C30,2)+11-DATE(YEAR($C30+4-WEEKDAY($C30,2)),1,1))/7))</f>
        <v>S36</v>
      </c>
      <c r="C30" s="82" t="n">
        <f aca="false">IF(MONTH(($X$1-WEEKDAY($X$1,3)+0)+3)=MONTH($X$1),($X$1-WEEKDAY($X$1,3)+0)+3,"")</f>
        <v>46268</v>
      </c>
      <c r="D30" s="9" t="str">
        <f aca="false">IF($C30="","","Relatório Semanal Consolidado (erros + metas + faltas + supervisores)")</f>
        <v>Relatório Semanal Consolidado (erros + metas + faltas + supervisores)</v>
      </c>
      <c r="E30" s="9"/>
      <c r="F30" s="9"/>
      <c r="G30" s="81" t="str">
        <f aca="false">IF($C30="","","C")</f>
        <v>C</v>
      </c>
      <c r="H30" s="81" t="str">
        <f aca="false">IF($C30="","",IF($G30="A",CONFIG!$B$5,IF($G30="B",CONFIG!$B$6,IF($G30="C",CONFIG!$B$7,"Gerência + coordenadores"))))</f>
        <v>(preencha o nome)</v>
      </c>
      <c r="I30" s="81"/>
      <c r="J30" s="81" t="str">
        <f aca="false">IF($C30="","","—")</f>
        <v>—</v>
      </c>
      <c r="K30" s="91" t="n">
        <f aca="false">IF($C30="","",SUMIFS(OCORRÊNCIAS!$E$6:$E$605,OCORRÊNCIAS!$B$6:$B$605,"Falta",OCORRÊNCIAS!$C$6:$C$605,$G30,OCORRÊNCIAS!$H$6:$H$605,$B30,OCORRÊNCIAS!$J$6:$J$605,YEAR($C30+4-WEEKDAY($C30,2))))</f>
        <v>0</v>
      </c>
      <c r="L30" s="91" t="n">
        <f aca="false">IF($C30="","",SUMIFS(OCORRÊNCIAS!$E$6:$E$605,OCORRÊNCIAS!$B$6:$B$605,"Atestado",OCORRÊNCIAS!$C$6:$C$605,$G30,OCORRÊNCIAS!$H$6:$H$605,$B30,OCORRÊNCIAS!$J$6:$J$605,YEAR($C30+4-WEEKDAY($C30,2))))</f>
        <v>0</v>
      </c>
      <c r="M30" s="84"/>
      <c r="N30" s="84"/>
      <c r="O30" s="84"/>
      <c r="P30" s="85"/>
      <c r="Q30" s="86"/>
      <c r="R30" s="87"/>
      <c r="S30" s="81" t="str">
        <f aca="true">IF($C30="","",IF($Q30="Cancelada","Cancelada",IF($Q30="Reprovado","Reprovada",IF($Q30="Aprovado","Aprovada",IF($M30&lt;&gt;"","Entregue",IF(TODAY()&gt;$C30,"Atrasada","Pendente"))))))</f>
        <v>Pendente</v>
      </c>
      <c r="T30" s="88"/>
      <c r="U30" s="88"/>
      <c r="V30" s="88"/>
    </row>
    <row r="31" customFormat="false" ht="22.35" hidden="false" customHeight="false" outlineLevel="0" collapsed="false">
      <c r="A31" s="89" t="str">
        <f aca="false">IF($C31="","",$X$2&amp;"-S"&amp;INT(($C31-WEEKDAY($C31,2)+11-DATE(YEAR($C31+4-WEEKDAY($C31,2)),1,1))/7)&amp;"-REU-T")</f>
        <v>SET-S36-REU-T</v>
      </c>
      <c r="B31" s="60" t="str">
        <f aca="false">IF($C31="","","S"&amp;INT(($C31-WEEKDAY($C31,2)+11-DATE(YEAR($C31+4-WEEKDAY($C31,2)),1,1))/7))</f>
        <v>S36</v>
      </c>
      <c r="C31" s="82" t="n">
        <f aca="false">IF(MONTH(($X$1-WEEKDAY($X$1,3)+0)+4)=MONTH($X$1),($X$1-WEEKDAY($X$1,3)+0)+4,"")</f>
        <v>46269</v>
      </c>
      <c r="D31" s="56" t="str">
        <f aca="false">IF($C31="","","Reunião Semanal com a Gerência")</f>
        <v>Reunião Semanal com a Gerência</v>
      </c>
      <c r="E31" s="56"/>
      <c r="F31" s="56"/>
      <c r="G31" s="60" t="str">
        <f aca="false">IF($C31="","","Todos")</f>
        <v>Todos</v>
      </c>
      <c r="H31" s="60" t="str">
        <f aca="false">IF($C31="","",IF($G31="A",CONFIG!$B$5,IF($G31="B",CONFIG!$B$6,IF($G31="C",CONFIG!$B$7,"Gerência + coordenadores"))))</f>
        <v>Gerência + coordenadores</v>
      </c>
      <c r="I31" s="60"/>
      <c r="J31" s="81" t="str">
        <f aca="false">IF($C31="","","—")</f>
        <v>—</v>
      </c>
      <c r="K31" s="83" t="str">
        <f aca="false">IF($C31="","","—")</f>
        <v>—</v>
      </c>
      <c r="L31" s="83" t="str">
        <f aca="false">IF($C31="","","—")</f>
        <v>—</v>
      </c>
      <c r="M31" s="84"/>
      <c r="N31" s="84"/>
      <c r="O31" s="84"/>
      <c r="P31" s="90"/>
      <c r="Q31" s="86"/>
      <c r="R31" s="87"/>
      <c r="S31" s="60" t="str">
        <f aca="true">IF($C31="","",IF($Q31="Cancelada","Cancelada",IF($Q31="Reprovado","Reprovada",IF($Q31="Aprovado","Aprovada",IF($M31&lt;&gt;"","Entregue",IF(TODAY()&gt;$C31,"Atrasada","Pendente"))))))</f>
        <v>Pendente</v>
      </c>
      <c r="T31" s="88"/>
      <c r="U31" s="88"/>
      <c r="V31" s="88"/>
    </row>
    <row r="32" customFormat="false" ht="22.35" hidden="false" customHeight="false" outlineLevel="0" collapsed="false">
      <c r="A32" s="80" t="str">
        <f aca="false">IF($C32="","",$X$2&amp;"-S"&amp;INT(($C32-WEEKDAY($C32,2)+11-DATE(YEAR($C32+4-WEEKDAY($C32,2)),1,1))/7)&amp;"-VIS-A")</f>
        <v>SET-S37-VIS-A</v>
      </c>
      <c r="B32" s="81" t="str">
        <f aca="false">IF($C32="","","S"&amp;INT(($C32-WEEKDAY($C32,2)+11-DATE(YEAR($C32+4-WEEKDAY($C32,2)),1,1))/7))</f>
        <v>S37</v>
      </c>
      <c r="C32" s="82" t="n">
        <f aca="false">IF(MONTH(($X$1-WEEKDAY($X$1,3)+7)+2)=MONTH($X$1),($X$1-WEEKDAY($X$1,3)+7)+2,"")</f>
        <v>46274</v>
      </c>
      <c r="D32" s="9" t="str">
        <f aca="false">IF($C32="","","Vistoria Setorial (checklist no setor definido pelo gerente)")</f>
        <v>Vistoria Setorial (checklist no setor definido pelo gerente)</v>
      </c>
      <c r="E32" s="9"/>
      <c r="F32" s="9"/>
      <c r="G32" s="81" t="str">
        <f aca="false">IF($C32="","","A")</f>
        <v>A</v>
      </c>
      <c r="H32" s="81" t="str">
        <f aca="false">IF($C32="","",IF($G32="A",CONFIG!$B$5,IF($G32="B",CONFIG!$B$6,IF($G32="C",CONFIG!$B$7,"Gerência + coordenadores"))))</f>
        <v>(preencha o nome)</v>
      </c>
      <c r="I32" s="81"/>
      <c r="J32" s="86"/>
      <c r="K32" s="83" t="str">
        <f aca="false">IF($C32="","","—")</f>
        <v>—</v>
      </c>
      <c r="L32" s="83" t="str">
        <f aca="false">IF($C32="","","—")</f>
        <v>—</v>
      </c>
      <c r="M32" s="84"/>
      <c r="N32" s="84"/>
      <c r="O32" s="84"/>
      <c r="P32" s="85"/>
      <c r="Q32" s="86"/>
      <c r="R32" s="87"/>
      <c r="S32" s="81" t="str">
        <f aca="true">IF($C32="","",IF($Q32="Cancelada","Cancelada",IF($Q32="Reprovado","Reprovada",IF($Q32="Aprovado","Aprovada",IF($M32&lt;&gt;"","Entregue",IF(TODAY()&gt;$C32,"Atrasada","Pendente"))))))</f>
        <v>Pendente</v>
      </c>
      <c r="T32" s="88"/>
      <c r="U32" s="88"/>
      <c r="V32" s="88"/>
    </row>
    <row r="33" customFormat="false" ht="22.35" hidden="false" customHeight="false" outlineLevel="0" collapsed="false">
      <c r="A33" s="89" t="str">
        <f aca="false">IF($C33="","",$X$2&amp;"-S"&amp;INT(($C33-WEEKDAY($C33,2)+11-DATE(YEAR($C33+4-WEEKDAY($C33,2)),1,1))/7)&amp;"-VIS-B")</f>
        <v>SET-S37-VIS-B</v>
      </c>
      <c r="B33" s="60" t="str">
        <f aca="false">IF($C33="","","S"&amp;INT(($C33-WEEKDAY($C33,2)+11-DATE(YEAR($C33+4-WEEKDAY($C33,2)),1,1))/7))</f>
        <v>S37</v>
      </c>
      <c r="C33" s="82" t="n">
        <f aca="false">IF(MONTH(($X$1-WEEKDAY($X$1,3)+7)+2)=MONTH($X$1),($X$1-WEEKDAY($X$1,3)+7)+2,"")</f>
        <v>46274</v>
      </c>
      <c r="D33" s="56" t="str">
        <f aca="false">IF($C33="","","Vistoria Setorial (checklist no setor definido pelo gerente)")</f>
        <v>Vistoria Setorial (checklist no setor definido pelo gerente)</v>
      </c>
      <c r="E33" s="56"/>
      <c r="F33" s="56"/>
      <c r="G33" s="60" t="str">
        <f aca="false">IF($C33="","","B")</f>
        <v>B</v>
      </c>
      <c r="H33" s="60" t="str">
        <f aca="false">IF($C33="","",IF($G33="A",CONFIG!$B$5,IF($G33="B",CONFIG!$B$6,IF($G33="C",CONFIG!$B$7,"Gerência + coordenadores"))))</f>
        <v>(preencha o nome)</v>
      </c>
      <c r="I33" s="60"/>
      <c r="J33" s="86"/>
      <c r="K33" s="83" t="str">
        <f aca="false">IF($C33="","","—")</f>
        <v>—</v>
      </c>
      <c r="L33" s="83" t="str">
        <f aca="false">IF($C33="","","—")</f>
        <v>—</v>
      </c>
      <c r="M33" s="84"/>
      <c r="N33" s="84"/>
      <c r="O33" s="84"/>
      <c r="P33" s="90"/>
      <c r="Q33" s="86"/>
      <c r="R33" s="87"/>
      <c r="S33" s="60" t="str">
        <f aca="true">IF($C33="","",IF($Q33="Cancelada","Cancelada",IF($Q33="Reprovado","Reprovada",IF($Q33="Aprovado","Aprovada",IF($M33&lt;&gt;"","Entregue",IF(TODAY()&gt;$C33,"Atrasada","Pendente"))))))</f>
        <v>Pendente</v>
      </c>
      <c r="T33" s="88"/>
      <c r="U33" s="88"/>
      <c r="V33" s="88"/>
    </row>
    <row r="34" customFormat="false" ht="22.35" hidden="false" customHeight="false" outlineLevel="0" collapsed="false">
      <c r="A34" s="80" t="str">
        <f aca="false">IF($C34="","",$X$2&amp;"-S"&amp;INT(($C34-WEEKDAY($C34,2)+11-DATE(YEAR($C34+4-WEEKDAY($C34,2)),1,1))/7)&amp;"-VIS-C")</f>
        <v>SET-S37-VIS-C</v>
      </c>
      <c r="B34" s="81" t="str">
        <f aca="false">IF($C34="","","S"&amp;INT(($C34-WEEKDAY($C34,2)+11-DATE(YEAR($C34+4-WEEKDAY($C34,2)),1,1))/7))</f>
        <v>S37</v>
      </c>
      <c r="C34" s="82" t="n">
        <f aca="false">IF(MONTH(($X$1-WEEKDAY($X$1,3)+7)+2)=MONTH($X$1),($X$1-WEEKDAY($X$1,3)+7)+2,"")</f>
        <v>46274</v>
      </c>
      <c r="D34" s="9" t="str">
        <f aca="false">IF($C34="","","Vistoria Setorial (checklist no setor definido pelo gerente)")</f>
        <v>Vistoria Setorial (checklist no setor definido pelo gerente)</v>
      </c>
      <c r="E34" s="9"/>
      <c r="F34" s="9"/>
      <c r="G34" s="81" t="str">
        <f aca="false">IF($C34="","","C")</f>
        <v>C</v>
      </c>
      <c r="H34" s="81" t="str">
        <f aca="false">IF($C34="","",IF($G34="A",CONFIG!$B$5,IF($G34="B",CONFIG!$B$6,IF($G34="C",CONFIG!$B$7,"Gerência + coordenadores"))))</f>
        <v>(preencha o nome)</v>
      </c>
      <c r="I34" s="81"/>
      <c r="J34" s="86"/>
      <c r="K34" s="83" t="str">
        <f aca="false">IF($C34="","","—")</f>
        <v>—</v>
      </c>
      <c r="L34" s="83" t="str">
        <f aca="false">IF($C34="","","—")</f>
        <v>—</v>
      </c>
      <c r="M34" s="84"/>
      <c r="N34" s="84"/>
      <c r="O34" s="84"/>
      <c r="P34" s="85"/>
      <c r="Q34" s="86"/>
      <c r="R34" s="87"/>
      <c r="S34" s="81" t="str">
        <f aca="true">IF($C34="","",IF($Q34="Cancelada","Cancelada",IF($Q34="Reprovado","Reprovada",IF($Q34="Aprovado","Aprovada",IF($M34&lt;&gt;"","Entregue",IF(TODAY()&gt;$C34,"Atrasada","Pendente"))))))</f>
        <v>Pendente</v>
      </c>
      <c r="T34" s="88"/>
      <c r="U34" s="88"/>
      <c r="V34" s="88"/>
    </row>
    <row r="35" customFormat="false" ht="22.35" hidden="false" customHeight="false" outlineLevel="0" collapsed="false">
      <c r="A35" s="89" t="str">
        <f aca="false">IF($C35="","",$X$2&amp;"-S"&amp;INT(($C35-WEEKDAY($C35,2)+11-DATE(YEAR($C35+4-WEEKDAY($C35,2)),1,1))/7)&amp;"-RSC-A")</f>
        <v>SET-S37-RSC-A</v>
      </c>
      <c r="B35" s="60" t="str">
        <f aca="false">IF($C35="","","S"&amp;INT(($C35-WEEKDAY($C35,2)+11-DATE(YEAR($C35+4-WEEKDAY($C35,2)),1,1))/7))</f>
        <v>S37</v>
      </c>
      <c r="C35" s="82" t="n">
        <f aca="false">IF(MONTH(($X$1-WEEKDAY($X$1,3)+7)+3)=MONTH($X$1),($X$1-WEEKDAY($X$1,3)+7)+3,"")</f>
        <v>46275</v>
      </c>
      <c r="D35" s="56" t="str">
        <f aca="false">IF($C35="","","Relatório Semanal Consolidado (erros + metas + faltas + supervisores)")</f>
        <v>Relatório Semanal Consolidado (erros + metas + faltas + supervisores)</v>
      </c>
      <c r="E35" s="56"/>
      <c r="F35" s="56"/>
      <c r="G35" s="60" t="str">
        <f aca="false">IF($C35="","","A")</f>
        <v>A</v>
      </c>
      <c r="H35" s="60" t="str">
        <f aca="false">IF($C35="","",IF($G35="A",CONFIG!$B$5,IF($G35="B",CONFIG!$B$6,IF($G35="C",CONFIG!$B$7,"Gerência + coordenadores"))))</f>
        <v>(preencha o nome)</v>
      </c>
      <c r="I35" s="60"/>
      <c r="J35" s="81" t="str">
        <f aca="false">IF($C35="","","—")</f>
        <v>—</v>
      </c>
      <c r="K35" s="91" t="n">
        <f aca="false">IF($C35="","",SUMIFS(OCORRÊNCIAS!$E$6:$E$605,OCORRÊNCIAS!$B$6:$B$605,"Falta",OCORRÊNCIAS!$C$6:$C$605,$G35,OCORRÊNCIAS!$H$6:$H$605,$B35,OCORRÊNCIAS!$J$6:$J$605,YEAR($C35+4-WEEKDAY($C35,2))))</f>
        <v>0</v>
      </c>
      <c r="L35" s="91" t="n">
        <f aca="false">IF($C35="","",SUMIFS(OCORRÊNCIAS!$E$6:$E$605,OCORRÊNCIAS!$B$6:$B$605,"Atestado",OCORRÊNCIAS!$C$6:$C$605,$G35,OCORRÊNCIAS!$H$6:$H$605,$B35,OCORRÊNCIAS!$J$6:$J$605,YEAR($C35+4-WEEKDAY($C35,2))))</f>
        <v>0</v>
      </c>
      <c r="M35" s="84"/>
      <c r="N35" s="84"/>
      <c r="O35" s="84"/>
      <c r="P35" s="90"/>
      <c r="Q35" s="86"/>
      <c r="R35" s="87"/>
      <c r="S35" s="60" t="str">
        <f aca="true">IF($C35="","",IF($Q35="Cancelada","Cancelada",IF($Q35="Reprovado","Reprovada",IF($Q35="Aprovado","Aprovada",IF($M35&lt;&gt;"","Entregue",IF(TODAY()&gt;$C35,"Atrasada","Pendente"))))))</f>
        <v>Pendente</v>
      </c>
      <c r="T35" s="88"/>
      <c r="U35" s="88"/>
      <c r="V35" s="88"/>
    </row>
    <row r="36" customFormat="false" ht="22.35" hidden="false" customHeight="false" outlineLevel="0" collapsed="false">
      <c r="A36" s="80" t="str">
        <f aca="false">IF($C36="","",$X$2&amp;"-S"&amp;INT(($C36-WEEKDAY($C36,2)+11-DATE(YEAR($C36+4-WEEKDAY($C36,2)),1,1))/7)&amp;"-RSC-B")</f>
        <v>SET-S37-RSC-B</v>
      </c>
      <c r="B36" s="81" t="str">
        <f aca="false">IF($C36="","","S"&amp;INT(($C36-WEEKDAY($C36,2)+11-DATE(YEAR($C36+4-WEEKDAY($C36,2)),1,1))/7))</f>
        <v>S37</v>
      </c>
      <c r="C36" s="82" t="n">
        <f aca="false">IF(MONTH(($X$1-WEEKDAY($X$1,3)+7)+3)=MONTH($X$1),($X$1-WEEKDAY($X$1,3)+7)+3,"")</f>
        <v>46275</v>
      </c>
      <c r="D36" s="9" t="str">
        <f aca="false">IF($C36="","","Relatório Semanal Consolidado (erros + metas + faltas + supervisores)")</f>
        <v>Relatório Semanal Consolidado (erros + metas + faltas + supervisores)</v>
      </c>
      <c r="E36" s="9"/>
      <c r="F36" s="9"/>
      <c r="G36" s="81" t="str">
        <f aca="false">IF($C36="","","B")</f>
        <v>B</v>
      </c>
      <c r="H36" s="81" t="str">
        <f aca="false">IF($C36="","",IF($G36="A",CONFIG!$B$5,IF($G36="B",CONFIG!$B$6,IF($G36="C",CONFIG!$B$7,"Gerência + coordenadores"))))</f>
        <v>(preencha o nome)</v>
      </c>
      <c r="I36" s="81"/>
      <c r="J36" s="81" t="str">
        <f aca="false">IF($C36="","","—")</f>
        <v>—</v>
      </c>
      <c r="K36" s="91" t="n">
        <f aca="false">IF($C36="","",SUMIFS(OCORRÊNCIAS!$E$6:$E$605,OCORRÊNCIAS!$B$6:$B$605,"Falta",OCORRÊNCIAS!$C$6:$C$605,$G36,OCORRÊNCIAS!$H$6:$H$605,$B36,OCORRÊNCIAS!$J$6:$J$605,YEAR($C36+4-WEEKDAY($C36,2))))</f>
        <v>0</v>
      </c>
      <c r="L36" s="91" t="n">
        <f aca="false">IF($C36="","",SUMIFS(OCORRÊNCIAS!$E$6:$E$605,OCORRÊNCIAS!$B$6:$B$605,"Atestado",OCORRÊNCIAS!$C$6:$C$605,$G36,OCORRÊNCIAS!$H$6:$H$605,$B36,OCORRÊNCIAS!$J$6:$J$605,YEAR($C36+4-WEEKDAY($C36,2))))</f>
        <v>0</v>
      </c>
      <c r="M36" s="84"/>
      <c r="N36" s="84"/>
      <c r="O36" s="84"/>
      <c r="P36" s="85"/>
      <c r="Q36" s="86"/>
      <c r="R36" s="87"/>
      <c r="S36" s="81" t="str">
        <f aca="true">IF($C36="","",IF($Q36="Cancelada","Cancelada",IF($Q36="Reprovado","Reprovada",IF($Q36="Aprovado","Aprovada",IF($M36&lt;&gt;"","Entregue",IF(TODAY()&gt;$C36,"Atrasada","Pendente"))))))</f>
        <v>Pendente</v>
      </c>
      <c r="T36" s="88"/>
      <c r="U36" s="88"/>
      <c r="V36" s="88"/>
    </row>
    <row r="37" customFormat="false" ht="22.35" hidden="false" customHeight="false" outlineLevel="0" collapsed="false">
      <c r="A37" s="89" t="str">
        <f aca="false">IF($C37="","",$X$2&amp;"-S"&amp;INT(($C37-WEEKDAY($C37,2)+11-DATE(YEAR($C37+4-WEEKDAY($C37,2)),1,1))/7)&amp;"-RSC-C")</f>
        <v>SET-S37-RSC-C</v>
      </c>
      <c r="B37" s="60" t="str">
        <f aca="false">IF($C37="","","S"&amp;INT(($C37-WEEKDAY($C37,2)+11-DATE(YEAR($C37+4-WEEKDAY($C37,2)),1,1))/7))</f>
        <v>S37</v>
      </c>
      <c r="C37" s="82" t="n">
        <f aca="false">IF(MONTH(($X$1-WEEKDAY($X$1,3)+7)+3)=MONTH($X$1),($X$1-WEEKDAY($X$1,3)+7)+3,"")</f>
        <v>46275</v>
      </c>
      <c r="D37" s="56" t="str">
        <f aca="false">IF($C37="","","Relatório Semanal Consolidado (erros + metas + faltas + supervisores)")</f>
        <v>Relatório Semanal Consolidado (erros + metas + faltas + supervisores)</v>
      </c>
      <c r="E37" s="56"/>
      <c r="F37" s="56"/>
      <c r="G37" s="60" t="str">
        <f aca="false">IF($C37="","","C")</f>
        <v>C</v>
      </c>
      <c r="H37" s="60" t="str">
        <f aca="false">IF($C37="","",IF($G37="A",CONFIG!$B$5,IF($G37="B",CONFIG!$B$6,IF($G37="C",CONFIG!$B$7,"Gerência + coordenadores"))))</f>
        <v>(preencha o nome)</v>
      </c>
      <c r="I37" s="60"/>
      <c r="J37" s="81" t="str">
        <f aca="false">IF($C37="","","—")</f>
        <v>—</v>
      </c>
      <c r="K37" s="91" t="n">
        <f aca="false">IF($C37="","",SUMIFS(OCORRÊNCIAS!$E$6:$E$605,OCORRÊNCIAS!$B$6:$B$605,"Falta",OCORRÊNCIAS!$C$6:$C$605,$G37,OCORRÊNCIAS!$H$6:$H$605,$B37,OCORRÊNCIAS!$J$6:$J$605,YEAR($C37+4-WEEKDAY($C37,2))))</f>
        <v>0</v>
      </c>
      <c r="L37" s="91" t="n">
        <f aca="false">IF($C37="","",SUMIFS(OCORRÊNCIAS!$E$6:$E$605,OCORRÊNCIAS!$B$6:$B$605,"Atestado",OCORRÊNCIAS!$C$6:$C$605,$G37,OCORRÊNCIAS!$H$6:$H$605,$B37,OCORRÊNCIAS!$J$6:$J$605,YEAR($C37+4-WEEKDAY($C37,2))))</f>
        <v>0</v>
      </c>
      <c r="M37" s="84"/>
      <c r="N37" s="84"/>
      <c r="O37" s="84"/>
      <c r="P37" s="90"/>
      <c r="Q37" s="86"/>
      <c r="R37" s="87"/>
      <c r="S37" s="60" t="str">
        <f aca="true">IF($C37="","",IF($Q37="Cancelada","Cancelada",IF($Q37="Reprovado","Reprovada",IF($Q37="Aprovado","Aprovada",IF($M37&lt;&gt;"","Entregue",IF(TODAY()&gt;$C37,"Atrasada","Pendente"))))))</f>
        <v>Pendente</v>
      </c>
      <c r="T37" s="88"/>
      <c r="U37" s="88"/>
      <c r="V37" s="88"/>
    </row>
    <row r="38" customFormat="false" ht="22.35" hidden="false" customHeight="false" outlineLevel="0" collapsed="false">
      <c r="A38" s="80" t="str">
        <f aca="false">IF($C38="","",$X$2&amp;"-S"&amp;INT(($C38-WEEKDAY($C38,2)+11-DATE(YEAR($C38+4-WEEKDAY($C38,2)),1,1))/7)&amp;"-REU-T")</f>
        <v>SET-S37-REU-T</v>
      </c>
      <c r="B38" s="81" t="str">
        <f aca="false">IF($C38="","","S"&amp;INT(($C38-WEEKDAY($C38,2)+11-DATE(YEAR($C38+4-WEEKDAY($C38,2)),1,1))/7))</f>
        <v>S37</v>
      </c>
      <c r="C38" s="82" t="n">
        <f aca="false">IF(MONTH(($X$1-WEEKDAY($X$1,3)+7)+4)=MONTH($X$1),($X$1-WEEKDAY($X$1,3)+7)+4,"")</f>
        <v>46276</v>
      </c>
      <c r="D38" s="9" t="str">
        <f aca="false">IF($C38="","","Reunião Semanal com a Gerência")</f>
        <v>Reunião Semanal com a Gerência</v>
      </c>
      <c r="E38" s="9"/>
      <c r="F38" s="9"/>
      <c r="G38" s="81" t="str">
        <f aca="false">IF($C38="","","Todos")</f>
        <v>Todos</v>
      </c>
      <c r="H38" s="81" t="str">
        <f aca="false">IF($C38="","",IF($G38="A",CONFIG!$B$5,IF($G38="B",CONFIG!$B$6,IF($G38="C",CONFIG!$B$7,"Gerência + coordenadores"))))</f>
        <v>Gerência + coordenadores</v>
      </c>
      <c r="I38" s="81"/>
      <c r="J38" s="81" t="str">
        <f aca="false">IF($C38="","","—")</f>
        <v>—</v>
      </c>
      <c r="K38" s="83" t="str">
        <f aca="false">IF($C38="","","—")</f>
        <v>—</v>
      </c>
      <c r="L38" s="83" t="str">
        <f aca="false">IF($C38="","","—")</f>
        <v>—</v>
      </c>
      <c r="M38" s="84"/>
      <c r="N38" s="84"/>
      <c r="O38" s="84"/>
      <c r="P38" s="85"/>
      <c r="Q38" s="86"/>
      <c r="R38" s="87"/>
      <c r="S38" s="81" t="str">
        <f aca="true">IF($C38="","",IF($Q38="Cancelada","Cancelada",IF($Q38="Reprovado","Reprovada",IF($Q38="Aprovado","Aprovada",IF($M38&lt;&gt;"","Entregue",IF(TODAY()&gt;$C38,"Atrasada","Pendente"))))))</f>
        <v>Pendente</v>
      </c>
      <c r="T38" s="88"/>
      <c r="U38" s="88"/>
      <c r="V38" s="88"/>
    </row>
    <row r="39" customFormat="false" ht="22.35" hidden="false" customHeight="false" outlineLevel="0" collapsed="false">
      <c r="A39" s="89" t="str">
        <f aca="false">IF($C39="","",$X$2&amp;"-S"&amp;INT(($C39-WEEKDAY($C39,2)+11-DATE(YEAR($C39+4-WEEKDAY($C39,2)),1,1))/7)&amp;"-VIS-A")</f>
        <v>SET-S38-VIS-A</v>
      </c>
      <c r="B39" s="60" t="str">
        <f aca="false">IF($C39="","","S"&amp;INT(($C39-WEEKDAY($C39,2)+11-DATE(YEAR($C39+4-WEEKDAY($C39,2)),1,1))/7))</f>
        <v>S38</v>
      </c>
      <c r="C39" s="82" t="n">
        <f aca="false">IF(MONTH(($X$1-WEEKDAY($X$1,3)+14)+2)=MONTH($X$1),($X$1-WEEKDAY($X$1,3)+14)+2,"")</f>
        <v>46281</v>
      </c>
      <c r="D39" s="56" t="str">
        <f aca="false">IF($C39="","","Vistoria Setorial (checklist no setor definido pelo gerente)")</f>
        <v>Vistoria Setorial (checklist no setor definido pelo gerente)</v>
      </c>
      <c r="E39" s="56"/>
      <c r="F39" s="56"/>
      <c r="G39" s="60" t="str">
        <f aca="false">IF($C39="","","A")</f>
        <v>A</v>
      </c>
      <c r="H39" s="60" t="str">
        <f aca="false">IF($C39="","",IF($G39="A",CONFIG!$B$5,IF($G39="B",CONFIG!$B$6,IF($G39="C",CONFIG!$B$7,"Gerência + coordenadores"))))</f>
        <v>(preencha o nome)</v>
      </c>
      <c r="I39" s="60"/>
      <c r="J39" s="86"/>
      <c r="K39" s="83" t="str">
        <f aca="false">IF($C39="","","—")</f>
        <v>—</v>
      </c>
      <c r="L39" s="83" t="str">
        <f aca="false">IF($C39="","","—")</f>
        <v>—</v>
      </c>
      <c r="M39" s="84"/>
      <c r="N39" s="84"/>
      <c r="O39" s="84"/>
      <c r="P39" s="90"/>
      <c r="Q39" s="86"/>
      <c r="R39" s="87"/>
      <c r="S39" s="60" t="str">
        <f aca="true">IF($C39="","",IF($Q39="Cancelada","Cancelada",IF($Q39="Reprovado","Reprovada",IF($Q39="Aprovado","Aprovada",IF($M39&lt;&gt;"","Entregue",IF(TODAY()&gt;$C39,"Atrasada","Pendente"))))))</f>
        <v>Pendente</v>
      </c>
      <c r="T39" s="88"/>
      <c r="U39" s="88"/>
      <c r="V39" s="88"/>
    </row>
    <row r="40" customFormat="false" ht="22.35" hidden="false" customHeight="false" outlineLevel="0" collapsed="false">
      <c r="A40" s="80" t="str">
        <f aca="false">IF($C40="","",$X$2&amp;"-S"&amp;INT(($C40-WEEKDAY($C40,2)+11-DATE(YEAR($C40+4-WEEKDAY($C40,2)),1,1))/7)&amp;"-VIS-B")</f>
        <v>SET-S38-VIS-B</v>
      </c>
      <c r="B40" s="81" t="str">
        <f aca="false">IF($C40="","","S"&amp;INT(($C40-WEEKDAY($C40,2)+11-DATE(YEAR($C40+4-WEEKDAY($C40,2)),1,1))/7))</f>
        <v>S38</v>
      </c>
      <c r="C40" s="82" t="n">
        <f aca="false">IF(MONTH(($X$1-WEEKDAY($X$1,3)+14)+2)=MONTH($X$1),($X$1-WEEKDAY($X$1,3)+14)+2,"")</f>
        <v>46281</v>
      </c>
      <c r="D40" s="9" t="str">
        <f aca="false">IF($C40="","","Vistoria Setorial (checklist no setor definido pelo gerente)")</f>
        <v>Vistoria Setorial (checklist no setor definido pelo gerente)</v>
      </c>
      <c r="E40" s="9"/>
      <c r="F40" s="9"/>
      <c r="G40" s="81" t="str">
        <f aca="false">IF($C40="","","B")</f>
        <v>B</v>
      </c>
      <c r="H40" s="81" t="str">
        <f aca="false">IF($C40="","",IF($G40="A",CONFIG!$B$5,IF($G40="B",CONFIG!$B$6,IF($G40="C",CONFIG!$B$7,"Gerência + coordenadores"))))</f>
        <v>(preencha o nome)</v>
      </c>
      <c r="I40" s="81"/>
      <c r="J40" s="86"/>
      <c r="K40" s="83" t="str">
        <f aca="false">IF($C40="","","—")</f>
        <v>—</v>
      </c>
      <c r="L40" s="83" t="str">
        <f aca="false">IF($C40="","","—")</f>
        <v>—</v>
      </c>
      <c r="M40" s="84"/>
      <c r="N40" s="84"/>
      <c r="O40" s="84"/>
      <c r="P40" s="85"/>
      <c r="Q40" s="86"/>
      <c r="R40" s="87"/>
      <c r="S40" s="81" t="str">
        <f aca="true">IF($C40="","",IF($Q40="Cancelada","Cancelada",IF($Q40="Reprovado","Reprovada",IF($Q40="Aprovado","Aprovada",IF($M40&lt;&gt;"","Entregue",IF(TODAY()&gt;$C40,"Atrasada","Pendente"))))))</f>
        <v>Pendente</v>
      </c>
      <c r="T40" s="88"/>
      <c r="U40" s="88"/>
      <c r="V40" s="88"/>
    </row>
    <row r="41" customFormat="false" ht="22.35" hidden="false" customHeight="false" outlineLevel="0" collapsed="false">
      <c r="A41" s="89" t="str">
        <f aca="false">IF($C41="","",$X$2&amp;"-S"&amp;INT(($C41-WEEKDAY($C41,2)+11-DATE(YEAR($C41+4-WEEKDAY($C41,2)),1,1))/7)&amp;"-VIS-C")</f>
        <v>SET-S38-VIS-C</v>
      </c>
      <c r="B41" s="60" t="str">
        <f aca="false">IF($C41="","","S"&amp;INT(($C41-WEEKDAY($C41,2)+11-DATE(YEAR($C41+4-WEEKDAY($C41,2)),1,1))/7))</f>
        <v>S38</v>
      </c>
      <c r="C41" s="82" t="n">
        <f aca="false">IF(MONTH(($X$1-WEEKDAY($X$1,3)+14)+2)=MONTH($X$1),($X$1-WEEKDAY($X$1,3)+14)+2,"")</f>
        <v>46281</v>
      </c>
      <c r="D41" s="56" t="str">
        <f aca="false">IF($C41="","","Vistoria Setorial (checklist no setor definido pelo gerente)")</f>
        <v>Vistoria Setorial (checklist no setor definido pelo gerente)</v>
      </c>
      <c r="E41" s="56"/>
      <c r="F41" s="56"/>
      <c r="G41" s="60" t="str">
        <f aca="false">IF($C41="","","C")</f>
        <v>C</v>
      </c>
      <c r="H41" s="60" t="str">
        <f aca="false">IF($C41="","",IF($G41="A",CONFIG!$B$5,IF($G41="B",CONFIG!$B$6,IF($G41="C",CONFIG!$B$7,"Gerência + coordenadores"))))</f>
        <v>(preencha o nome)</v>
      </c>
      <c r="I41" s="60"/>
      <c r="J41" s="86"/>
      <c r="K41" s="83" t="str">
        <f aca="false">IF($C41="","","—")</f>
        <v>—</v>
      </c>
      <c r="L41" s="83" t="str">
        <f aca="false">IF($C41="","","—")</f>
        <v>—</v>
      </c>
      <c r="M41" s="84"/>
      <c r="N41" s="84"/>
      <c r="O41" s="84"/>
      <c r="P41" s="90"/>
      <c r="Q41" s="86"/>
      <c r="R41" s="87"/>
      <c r="S41" s="60" t="str">
        <f aca="true">IF($C41="","",IF($Q41="Cancelada","Cancelada",IF($Q41="Reprovado","Reprovada",IF($Q41="Aprovado","Aprovada",IF($M41&lt;&gt;"","Entregue",IF(TODAY()&gt;$C41,"Atrasada","Pendente"))))))</f>
        <v>Pendente</v>
      </c>
      <c r="T41" s="88"/>
      <c r="U41" s="88"/>
      <c r="V41" s="88"/>
    </row>
    <row r="42" customFormat="false" ht="22.35" hidden="false" customHeight="false" outlineLevel="0" collapsed="false">
      <c r="A42" s="80" t="str">
        <f aca="false">IF($C42="","",$X$2&amp;"-S"&amp;INT(($C42-WEEKDAY($C42,2)+11-DATE(YEAR($C42+4-WEEKDAY($C42,2)),1,1))/7)&amp;"-RSC-A")</f>
        <v>SET-S38-RSC-A</v>
      </c>
      <c r="B42" s="81" t="str">
        <f aca="false">IF($C42="","","S"&amp;INT(($C42-WEEKDAY($C42,2)+11-DATE(YEAR($C42+4-WEEKDAY($C42,2)),1,1))/7))</f>
        <v>S38</v>
      </c>
      <c r="C42" s="82" t="n">
        <f aca="false">IF(MONTH(($X$1-WEEKDAY($X$1,3)+14)+3)=MONTH($X$1),($X$1-WEEKDAY($X$1,3)+14)+3,"")</f>
        <v>46282</v>
      </c>
      <c r="D42" s="9" t="str">
        <f aca="false">IF($C42="","","Relatório Semanal Consolidado (erros + metas + faltas + supervisores)")</f>
        <v>Relatório Semanal Consolidado (erros + metas + faltas + supervisores)</v>
      </c>
      <c r="E42" s="9"/>
      <c r="F42" s="9"/>
      <c r="G42" s="81" t="str">
        <f aca="false">IF($C42="","","A")</f>
        <v>A</v>
      </c>
      <c r="H42" s="81" t="str">
        <f aca="false">IF($C42="","",IF($G42="A",CONFIG!$B$5,IF($G42="B",CONFIG!$B$6,IF($G42="C",CONFIG!$B$7,"Gerência + coordenadores"))))</f>
        <v>(preencha o nome)</v>
      </c>
      <c r="I42" s="81"/>
      <c r="J42" s="81" t="str">
        <f aca="false">IF($C42="","","—")</f>
        <v>—</v>
      </c>
      <c r="K42" s="91" t="n">
        <f aca="false">IF($C42="","",SUMIFS(OCORRÊNCIAS!$E$6:$E$605,OCORRÊNCIAS!$B$6:$B$605,"Falta",OCORRÊNCIAS!$C$6:$C$605,$G42,OCORRÊNCIAS!$H$6:$H$605,$B42,OCORRÊNCIAS!$J$6:$J$605,YEAR($C42+4-WEEKDAY($C42,2))))</f>
        <v>0</v>
      </c>
      <c r="L42" s="91" t="n">
        <f aca="false">IF($C42="","",SUMIFS(OCORRÊNCIAS!$E$6:$E$605,OCORRÊNCIAS!$B$6:$B$605,"Atestado",OCORRÊNCIAS!$C$6:$C$605,$G42,OCORRÊNCIAS!$H$6:$H$605,$B42,OCORRÊNCIAS!$J$6:$J$605,YEAR($C42+4-WEEKDAY($C42,2))))</f>
        <v>0</v>
      </c>
      <c r="M42" s="84"/>
      <c r="N42" s="84"/>
      <c r="O42" s="84"/>
      <c r="P42" s="85"/>
      <c r="Q42" s="86"/>
      <c r="R42" s="87"/>
      <c r="S42" s="81" t="str">
        <f aca="true">IF($C42="","",IF($Q42="Cancelada","Cancelada",IF($Q42="Reprovado","Reprovada",IF($Q42="Aprovado","Aprovada",IF($M42&lt;&gt;"","Entregue",IF(TODAY()&gt;$C42,"Atrasada","Pendente"))))))</f>
        <v>Pendente</v>
      </c>
      <c r="T42" s="88"/>
      <c r="U42" s="88"/>
      <c r="V42" s="88"/>
    </row>
    <row r="43" customFormat="false" ht="22.35" hidden="false" customHeight="false" outlineLevel="0" collapsed="false">
      <c r="A43" s="89" t="str">
        <f aca="false">IF($C43="","",$X$2&amp;"-S"&amp;INT(($C43-WEEKDAY($C43,2)+11-DATE(YEAR($C43+4-WEEKDAY($C43,2)),1,1))/7)&amp;"-RSC-B")</f>
        <v>SET-S38-RSC-B</v>
      </c>
      <c r="B43" s="60" t="str">
        <f aca="false">IF($C43="","","S"&amp;INT(($C43-WEEKDAY($C43,2)+11-DATE(YEAR($C43+4-WEEKDAY($C43,2)),1,1))/7))</f>
        <v>S38</v>
      </c>
      <c r="C43" s="82" t="n">
        <f aca="false">IF(MONTH(($X$1-WEEKDAY($X$1,3)+14)+3)=MONTH($X$1),($X$1-WEEKDAY($X$1,3)+14)+3,"")</f>
        <v>46282</v>
      </c>
      <c r="D43" s="56" t="str">
        <f aca="false">IF($C43="","","Relatório Semanal Consolidado (erros + metas + faltas + supervisores)")</f>
        <v>Relatório Semanal Consolidado (erros + metas + faltas + supervisores)</v>
      </c>
      <c r="E43" s="56"/>
      <c r="F43" s="56"/>
      <c r="G43" s="60" t="str">
        <f aca="false">IF($C43="","","B")</f>
        <v>B</v>
      </c>
      <c r="H43" s="60" t="str">
        <f aca="false">IF($C43="","",IF($G43="A",CONFIG!$B$5,IF($G43="B",CONFIG!$B$6,IF($G43="C",CONFIG!$B$7,"Gerência + coordenadores"))))</f>
        <v>(preencha o nome)</v>
      </c>
      <c r="I43" s="60"/>
      <c r="J43" s="81" t="str">
        <f aca="false">IF($C43="","","—")</f>
        <v>—</v>
      </c>
      <c r="K43" s="91" t="n">
        <f aca="false">IF($C43="","",SUMIFS(OCORRÊNCIAS!$E$6:$E$605,OCORRÊNCIAS!$B$6:$B$605,"Falta",OCORRÊNCIAS!$C$6:$C$605,$G43,OCORRÊNCIAS!$H$6:$H$605,$B43,OCORRÊNCIAS!$J$6:$J$605,YEAR($C43+4-WEEKDAY($C43,2))))</f>
        <v>0</v>
      </c>
      <c r="L43" s="91" t="n">
        <f aca="false">IF($C43="","",SUMIFS(OCORRÊNCIAS!$E$6:$E$605,OCORRÊNCIAS!$B$6:$B$605,"Atestado",OCORRÊNCIAS!$C$6:$C$605,$G43,OCORRÊNCIAS!$H$6:$H$605,$B43,OCORRÊNCIAS!$J$6:$J$605,YEAR($C43+4-WEEKDAY($C43,2))))</f>
        <v>0</v>
      </c>
      <c r="M43" s="84"/>
      <c r="N43" s="84"/>
      <c r="O43" s="84"/>
      <c r="P43" s="90"/>
      <c r="Q43" s="86"/>
      <c r="R43" s="87"/>
      <c r="S43" s="60" t="str">
        <f aca="true">IF($C43="","",IF($Q43="Cancelada","Cancelada",IF($Q43="Reprovado","Reprovada",IF($Q43="Aprovado","Aprovada",IF($M43&lt;&gt;"","Entregue",IF(TODAY()&gt;$C43,"Atrasada","Pendente"))))))</f>
        <v>Pendente</v>
      </c>
      <c r="T43" s="88"/>
      <c r="U43" s="88"/>
      <c r="V43" s="88"/>
    </row>
    <row r="44" customFormat="false" ht="22.35" hidden="false" customHeight="false" outlineLevel="0" collapsed="false">
      <c r="A44" s="80" t="str">
        <f aca="false">IF($C44="","",$X$2&amp;"-S"&amp;INT(($C44-WEEKDAY($C44,2)+11-DATE(YEAR($C44+4-WEEKDAY($C44,2)),1,1))/7)&amp;"-RSC-C")</f>
        <v>SET-S38-RSC-C</v>
      </c>
      <c r="B44" s="81" t="str">
        <f aca="false">IF($C44="","","S"&amp;INT(($C44-WEEKDAY($C44,2)+11-DATE(YEAR($C44+4-WEEKDAY($C44,2)),1,1))/7))</f>
        <v>S38</v>
      </c>
      <c r="C44" s="82" t="n">
        <f aca="false">IF(MONTH(($X$1-WEEKDAY($X$1,3)+14)+3)=MONTH($X$1),($X$1-WEEKDAY($X$1,3)+14)+3,"")</f>
        <v>46282</v>
      </c>
      <c r="D44" s="9" t="str">
        <f aca="false">IF($C44="","","Relatório Semanal Consolidado (erros + metas + faltas + supervisores)")</f>
        <v>Relatório Semanal Consolidado (erros + metas + faltas + supervisores)</v>
      </c>
      <c r="E44" s="9"/>
      <c r="F44" s="9"/>
      <c r="G44" s="81" t="str">
        <f aca="false">IF($C44="","","C")</f>
        <v>C</v>
      </c>
      <c r="H44" s="81" t="str">
        <f aca="false">IF($C44="","",IF($G44="A",CONFIG!$B$5,IF($G44="B",CONFIG!$B$6,IF($G44="C",CONFIG!$B$7,"Gerência + coordenadores"))))</f>
        <v>(preencha o nome)</v>
      </c>
      <c r="I44" s="81"/>
      <c r="J44" s="81" t="str">
        <f aca="false">IF($C44="","","—")</f>
        <v>—</v>
      </c>
      <c r="K44" s="91" t="n">
        <f aca="false">IF($C44="","",SUMIFS(OCORRÊNCIAS!$E$6:$E$605,OCORRÊNCIAS!$B$6:$B$605,"Falta",OCORRÊNCIAS!$C$6:$C$605,$G44,OCORRÊNCIAS!$H$6:$H$605,$B44,OCORRÊNCIAS!$J$6:$J$605,YEAR($C44+4-WEEKDAY($C44,2))))</f>
        <v>0</v>
      </c>
      <c r="L44" s="91" t="n">
        <f aca="false">IF($C44="","",SUMIFS(OCORRÊNCIAS!$E$6:$E$605,OCORRÊNCIAS!$B$6:$B$605,"Atestado",OCORRÊNCIAS!$C$6:$C$605,$G44,OCORRÊNCIAS!$H$6:$H$605,$B44,OCORRÊNCIAS!$J$6:$J$605,YEAR($C44+4-WEEKDAY($C44,2))))</f>
        <v>0</v>
      </c>
      <c r="M44" s="84"/>
      <c r="N44" s="84"/>
      <c r="O44" s="84"/>
      <c r="P44" s="85"/>
      <c r="Q44" s="86"/>
      <c r="R44" s="87"/>
      <c r="S44" s="81" t="str">
        <f aca="true">IF($C44="","",IF($Q44="Cancelada","Cancelada",IF($Q44="Reprovado","Reprovada",IF($Q44="Aprovado","Aprovada",IF($M44&lt;&gt;"","Entregue",IF(TODAY()&gt;$C44,"Atrasada","Pendente"))))))</f>
        <v>Pendente</v>
      </c>
      <c r="T44" s="88"/>
      <c r="U44" s="88"/>
      <c r="V44" s="88"/>
    </row>
    <row r="45" customFormat="false" ht="22.35" hidden="false" customHeight="false" outlineLevel="0" collapsed="false">
      <c r="A45" s="89" t="str">
        <f aca="false">IF($C45="","",$X$2&amp;"-S"&amp;INT(($C45-WEEKDAY($C45,2)+11-DATE(YEAR($C45+4-WEEKDAY($C45,2)),1,1))/7)&amp;"-REU-T")</f>
        <v>SET-S38-REU-T</v>
      </c>
      <c r="B45" s="60" t="str">
        <f aca="false">IF($C45="","","S"&amp;INT(($C45-WEEKDAY($C45,2)+11-DATE(YEAR($C45+4-WEEKDAY($C45,2)),1,1))/7))</f>
        <v>S38</v>
      </c>
      <c r="C45" s="82" t="n">
        <f aca="false">IF(MONTH(($X$1-WEEKDAY($X$1,3)+14)+4)=MONTH($X$1),($X$1-WEEKDAY($X$1,3)+14)+4,"")</f>
        <v>46283</v>
      </c>
      <c r="D45" s="56" t="str">
        <f aca="false">IF($C45="","","Reunião Semanal com a Gerência")</f>
        <v>Reunião Semanal com a Gerência</v>
      </c>
      <c r="E45" s="56"/>
      <c r="F45" s="56"/>
      <c r="G45" s="60" t="str">
        <f aca="false">IF($C45="","","Todos")</f>
        <v>Todos</v>
      </c>
      <c r="H45" s="60" t="str">
        <f aca="false">IF($C45="","",IF($G45="A",CONFIG!$B$5,IF($G45="B",CONFIG!$B$6,IF($G45="C",CONFIG!$B$7,"Gerência + coordenadores"))))</f>
        <v>Gerência + coordenadores</v>
      </c>
      <c r="I45" s="60"/>
      <c r="J45" s="81" t="str">
        <f aca="false">IF($C45="","","—")</f>
        <v>—</v>
      </c>
      <c r="K45" s="83" t="str">
        <f aca="false">IF($C45="","","—")</f>
        <v>—</v>
      </c>
      <c r="L45" s="83" t="str">
        <f aca="false">IF($C45="","","—")</f>
        <v>—</v>
      </c>
      <c r="M45" s="84"/>
      <c r="N45" s="84"/>
      <c r="O45" s="84"/>
      <c r="P45" s="90"/>
      <c r="Q45" s="86"/>
      <c r="R45" s="87"/>
      <c r="S45" s="60" t="str">
        <f aca="true">IF($C45="","",IF($Q45="Cancelada","Cancelada",IF($Q45="Reprovado","Reprovada",IF($Q45="Aprovado","Aprovada",IF($M45&lt;&gt;"","Entregue",IF(TODAY()&gt;$C45,"Atrasada","Pendente"))))))</f>
        <v>Pendente</v>
      </c>
      <c r="T45" s="88"/>
      <c r="U45" s="88"/>
      <c r="V45" s="88"/>
    </row>
    <row r="46" customFormat="false" ht="22.35" hidden="false" customHeight="false" outlineLevel="0" collapsed="false">
      <c r="A46" s="80" t="str">
        <f aca="false">IF($C46="","",$X$2&amp;"-S"&amp;INT(($C46-WEEKDAY($C46,2)+11-DATE(YEAR($C46+4-WEEKDAY($C46,2)),1,1))/7)&amp;"-VIS-A")</f>
        <v>SET-S39-VIS-A</v>
      </c>
      <c r="B46" s="81" t="str">
        <f aca="false">IF($C46="","","S"&amp;INT(($C46-WEEKDAY($C46,2)+11-DATE(YEAR($C46+4-WEEKDAY($C46,2)),1,1))/7))</f>
        <v>S39</v>
      </c>
      <c r="C46" s="82" t="n">
        <f aca="false">IF(MONTH(($X$1-WEEKDAY($X$1,3)+21)+2)=MONTH($X$1),($X$1-WEEKDAY($X$1,3)+21)+2,"")</f>
        <v>46288</v>
      </c>
      <c r="D46" s="9" t="str">
        <f aca="false">IF($C46="","","Vistoria Setorial (checklist no setor definido pelo gerente)")</f>
        <v>Vistoria Setorial (checklist no setor definido pelo gerente)</v>
      </c>
      <c r="E46" s="9"/>
      <c r="F46" s="9"/>
      <c r="G46" s="81" t="str">
        <f aca="false">IF($C46="","","A")</f>
        <v>A</v>
      </c>
      <c r="H46" s="81" t="str">
        <f aca="false">IF($C46="","",IF($G46="A",CONFIG!$B$5,IF($G46="B",CONFIG!$B$6,IF($G46="C",CONFIG!$B$7,"Gerência + coordenadores"))))</f>
        <v>(preencha o nome)</v>
      </c>
      <c r="I46" s="81"/>
      <c r="J46" s="86"/>
      <c r="K46" s="83" t="str">
        <f aca="false">IF($C46="","","—")</f>
        <v>—</v>
      </c>
      <c r="L46" s="83" t="str">
        <f aca="false">IF($C46="","","—")</f>
        <v>—</v>
      </c>
      <c r="M46" s="84"/>
      <c r="N46" s="84"/>
      <c r="O46" s="84"/>
      <c r="P46" s="85"/>
      <c r="Q46" s="86"/>
      <c r="R46" s="87"/>
      <c r="S46" s="81" t="str">
        <f aca="true">IF($C46="","",IF($Q46="Cancelada","Cancelada",IF($Q46="Reprovado","Reprovada",IF($Q46="Aprovado","Aprovada",IF($M46&lt;&gt;"","Entregue",IF(TODAY()&gt;$C46,"Atrasada","Pendente"))))))</f>
        <v>Pendente</v>
      </c>
      <c r="T46" s="88"/>
      <c r="U46" s="88"/>
      <c r="V46" s="88"/>
    </row>
    <row r="47" customFormat="false" ht="22.35" hidden="false" customHeight="false" outlineLevel="0" collapsed="false">
      <c r="A47" s="89" t="str">
        <f aca="false">IF($C47="","",$X$2&amp;"-S"&amp;INT(($C47-WEEKDAY($C47,2)+11-DATE(YEAR($C47+4-WEEKDAY($C47,2)),1,1))/7)&amp;"-VIS-B")</f>
        <v>SET-S39-VIS-B</v>
      </c>
      <c r="B47" s="60" t="str">
        <f aca="false">IF($C47="","","S"&amp;INT(($C47-WEEKDAY($C47,2)+11-DATE(YEAR($C47+4-WEEKDAY($C47,2)),1,1))/7))</f>
        <v>S39</v>
      </c>
      <c r="C47" s="82" t="n">
        <f aca="false">IF(MONTH(($X$1-WEEKDAY($X$1,3)+21)+2)=MONTH($X$1),($X$1-WEEKDAY($X$1,3)+21)+2,"")</f>
        <v>46288</v>
      </c>
      <c r="D47" s="56" t="str">
        <f aca="false">IF($C47="","","Vistoria Setorial (checklist no setor definido pelo gerente)")</f>
        <v>Vistoria Setorial (checklist no setor definido pelo gerente)</v>
      </c>
      <c r="E47" s="56"/>
      <c r="F47" s="56"/>
      <c r="G47" s="60" t="str">
        <f aca="false">IF($C47="","","B")</f>
        <v>B</v>
      </c>
      <c r="H47" s="60" t="str">
        <f aca="false">IF($C47="","",IF($G47="A",CONFIG!$B$5,IF($G47="B",CONFIG!$B$6,IF($G47="C",CONFIG!$B$7,"Gerência + coordenadores"))))</f>
        <v>(preencha o nome)</v>
      </c>
      <c r="I47" s="60"/>
      <c r="J47" s="86"/>
      <c r="K47" s="83" t="str">
        <f aca="false">IF($C47="","","—")</f>
        <v>—</v>
      </c>
      <c r="L47" s="83" t="str">
        <f aca="false">IF($C47="","","—")</f>
        <v>—</v>
      </c>
      <c r="M47" s="84"/>
      <c r="N47" s="84"/>
      <c r="O47" s="84"/>
      <c r="P47" s="90"/>
      <c r="Q47" s="86"/>
      <c r="R47" s="87"/>
      <c r="S47" s="60" t="str">
        <f aca="true">IF($C47="","",IF($Q47="Cancelada","Cancelada",IF($Q47="Reprovado","Reprovada",IF($Q47="Aprovado","Aprovada",IF($M47&lt;&gt;"","Entregue",IF(TODAY()&gt;$C47,"Atrasada","Pendente"))))))</f>
        <v>Pendente</v>
      </c>
      <c r="T47" s="88"/>
      <c r="U47" s="88"/>
      <c r="V47" s="88"/>
    </row>
    <row r="48" customFormat="false" ht="22.35" hidden="false" customHeight="false" outlineLevel="0" collapsed="false">
      <c r="A48" s="80" t="str">
        <f aca="false">IF($C48="","",$X$2&amp;"-S"&amp;INT(($C48-WEEKDAY($C48,2)+11-DATE(YEAR($C48+4-WEEKDAY($C48,2)),1,1))/7)&amp;"-VIS-C")</f>
        <v>SET-S39-VIS-C</v>
      </c>
      <c r="B48" s="81" t="str">
        <f aca="false">IF($C48="","","S"&amp;INT(($C48-WEEKDAY($C48,2)+11-DATE(YEAR($C48+4-WEEKDAY($C48,2)),1,1))/7))</f>
        <v>S39</v>
      </c>
      <c r="C48" s="82" t="n">
        <f aca="false">IF(MONTH(($X$1-WEEKDAY($X$1,3)+21)+2)=MONTH($X$1),($X$1-WEEKDAY($X$1,3)+21)+2,"")</f>
        <v>46288</v>
      </c>
      <c r="D48" s="9" t="str">
        <f aca="false">IF($C48="","","Vistoria Setorial (checklist no setor definido pelo gerente)")</f>
        <v>Vistoria Setorial (checklist no setor definido pelo gerente)</v>
      </c>
      <c r="E48" s="9"/>
      <c r="F48" s="9"/>
      <c r="G48" s="81" t="str">
        <f aca="false">IF($C48="","","C")</f>
        <v>C</v>
      </c>
      <c r="H48" s="81" t="str">
        <f aca="false">IF($C48="","",IF($G48="A",CONFIG!$B$5,IF($G48="B",CONFIG!$B$6,IF($G48="C",CONFIG!$B$7,"Gerência + coordenadores"))))</f>
        <v>(preencha o nome)</v>
      </c>
      <c r="I48" s="81"/>
      <c r="J48" s="86"/>
      <c r="K48" s="83" t="str">
        <f aca="false">IF($C48="","","—")</f>
        <v>—</v>
      </c>
      <c r="L48" s="83" t="str">
        <f aca="false">IF($C48="","","—")</f>
        <v>—</v>
      </c>
      <c r="M48" s="84"/>
      <c r="N48" s="84"/>
      <c r="O48" s="84"/>
      <c r="P48" s="85"/>
      <c r="Q48" s="86"/>
      <c r="R48" s="87"/>
      <c r="S48" s="81" t="str">
        <f aca="true">IF($C48="","",IF($Q48="Cancelada","Cancelada",IF($Q48="Reprovado","Reprovada",IF($Q48="Aprovado","Aprovada",IF($M48&lt;&gt;"","Entregue",IF(TODAY()&gt;$C48,"Atrasada","Pendente"))))))</f>
        <v>Pendente</v>
      </c>
      <c r="T48" s="88"/>
      <c r="U48" s="88"/>
      <c r="V48" s="88"/>
    </row>
    <row r="49" customFormat="false" ht="22.35" hidden="false" customHeight="false" outlineLevel="0" collapsed="false">
      <c r="A49" s="89" t="str">
        <f aca="false">IF($C49="","",$X$2&amp;"-S"&amp;INT(($C49-WEEKDAY($C49,2)+11-DATE(YEAR($C49+4-WEEKDAY($C49,2)),1,1))/7)&amp;"-RSC-A")</f>
        <v>SET-S39-RSC-A</v>
      </c>
      <c r="B49" s="60" t="str">
        <f aca="false">IF($C49="","","S"&amp;INT(($C49-WEEKDAY($C49,2)+11-DATE(YEAR($C49+4-WEEKDAY($C49,2)),1,1))/7))</f>
        <v>S39</v>
      </c>
      <c r="C49" s="82" t="n">
        <f aca="false">IF(MONTH(($X$1-WEEKDAY($X$1,3)+21)+3)=MONTH($X$1),($X$1-WEEKDAY($X$1,3)+21)+3,"")</f>
        <v>46289</v>
      </c>
      <c r="D49" s="56" t="str">
        <f aca="false">IF($C49="","","Relatório Semanal Consolidado (erros + metas + faltas + supervisores)")</f>
        <v>Relatório Semanal Consolidado (erros + metas + faltas + supervisores)</v>
      </c>
      <c r="E49" s="56"/>
      <c r="F49" s="56"/>
      <c r="G49" s="60" t="str">
        <f aca="false">IF($C49="","","A")</f>
        <v>A</v>
      </c>
      <c r="H49" s="60" t="str">
        <f aca="false">IF($C49="","",IF($G49="A",CONFIG!$B$5,IF($G49="B",CONFIG!$B$6,IF($G49="C",CONFIG!$B$7,"Gerência + coordenadores"))))</f>
        <v>(preencha o nome)</v>
      </c>
      <c r="I49" s="60"/>
      <c r="J49" s="81" t="str">
        <f aca="false">IF($C49="","","—")</f>
        <v>—</v>
      </c>
      <c r="K49" s="91" t="n">
        <f aca="false">IF($C49="","",SUMIFS(OCORRÊNCIAS!$E$6:$E$605,OCORRÊNCIAS!$B$6:$B$605,"Falta",OCORRÊNCIAS!$C$6:$C$605,$G49,OCORRÊNCIAS!$H$6:$H$605,$B49,OCORRÊNCIAS!$J$6:$J$605,YEAR($C49+4-WEEKDAY($C49,2))))</f>
        <v>0</v>
      </c>
      <c r="L49" s="91" t="n">
        <f aca="false">IF($C49="","",SUMIFS(OCORRÊNCIAS!$E$6:$E$605,OCORRÊNCIAS!$B$6:$B$605,"Atestado",OCORRÊNCIAS!$C$6:$C$605,$G49,OCORRÊNCIAS!$H$6:$H$605,$B49,OCORRÊNCIAS!$J$6:$J$605,YEAR($C49+4-WEEKDAY($C49,2))))</f>
        <v>0</v>
      </c>
      <c r="M49" s="84"/>
      <c r="N49" s="84"/>
      <c r="O49" s="84"/>
      <c r="P49" s="90"/>
      <c r="Q49" s="86"/>
      <c r="R49" s="87"/>
      <c r="S49" s="60" t="str">
        <f aca="true">IF($C49="","",IF($Q49="Cancelada","Cancelada",IF($Q49="Reprovado","Reprovada",IF($Q49="Aprovado","Aprovada",IF($M49&lt;&gt;"","Entregue",IF(TODAY()&gt;$C49,"Atrasada","Pendente"))))))</f>
        <v>Pendente</v>
      </c>
      <c r="T49" s="88"/>
      <c r="U49" s="88"/>
      <c r="V49" s="88"/>
    </row>
    <row r="50" customFormat="false" ht="22.35" hidden="false" customHeight="false" outlineLevel="0" collapsed="false">
      <c r="A50" s="80" t="str">
        <f aca="false">IF($C50="","",$X$2&amp;"-S"&amp;INT(($C50-WEEKDAY($C50,2)+11-DATE(YEAR($C50+4-WEEKDAY($C50,2)),1,1))/7)&amp;"-RSC-B")</f>
        <v>SET-S39-RSC-B</v>
      </c>
      <c r="B50" s="81" t="str">
        <f aca="false">IF($C50="","","S"&amp;INT(($C50-WEEKDAY($C50,2)+11-DATE(YEAR($C50+4-WEEKDAY($C50,2)),1,1))/7))</f>
        <v>S39</v>
      </c>
      <c r="C50" s="82" t="n">
        <f aca="false">IF(MONTH(($X$1-WEEKDAY($X$1,3)+21)+3)=MONTH($X$1),($X$1-WEEKDAY($X$1,3)+21)+3,"")</f>
        <v>46289</v>
      </c>
      <c r="D50" s="9" t="str">
        <f aca="false">IF($C50="","","Relatório Semanal Consolidado (erros + metas + faltas + supervisores)")</f>
        <v>Relatório Semanal Consolidado (erros + metas + faltas + supervisores)</v>
      </c>
      <c r="E50" s="9"/>
      <c r="F50" s="9"/>
      <c r="G50" s="81" t="str">
        <f aca="false">IF($C50="","","B")</f>
        <v>B</v>
      </c>
      <c r="H50" s="81" t="str">
        <f aca="false">IF($C50="","",IF($G50="A",CONFIG!$B$5,IF($G50="B",CONFIG!$B$6,IF($G50="C",CONFIG!$B$7,"Gerência + coordenadores"))))</f>
        <v>(preencha o nome)</v>
      </c>
      <c r="I50" s="81"/>
      <c r="J50" s="81" t="str">
        <f aca="false">IF($C50="","","—")</f>
        <v>—</v>
      </c>
      <c r="K50" s="91" t="n">
        <f aca="false">IF($C50="","",SUMIFS(OCORRÊNCIAS!$E$6:$E$605,OCORRÊNCIAS!$B$6:$B$605,"Falta",OCORRÊNCIAS!$C$6:$C$605,$G50,OCORRÊNCIAS!$H$6:$H$605,$B50,OCORRÊNCIAS!$J$6:$J$605,YEAR($C50+4-WEEKDAY($C50,2))))</f>
        <v>0</v>
      </c>
      <c r="L50" s="91" t="n">
        <f aca="false">IF($C50="","",SUMIFS(OCORRÊNCIAS!$E$6:$E$605,OCORRÊNCIAS!$B$6:$B$605,"Atestado",OCORRÊNCIAS!$C$6:$C$605,$G50,OCORRÊNCIAS!$H$6:$H$605,$B50,OCORRÊNCIAS!$J$6:$J$605,YEAR($C50+4-WEEKDAY($C50,2))))</f>
        <v>0</v>
      </c>
      <c r="M50" s="84"/>
      <c r="N50" s="84"/>
      <c r="O50" s="84"/>
      <c r="P50" s="85"/>
      <c r="Q50" s="86"/>
      <c r="R50" s="87"/>
      <c r="S50" s="81" t="str">
        <f aca="true">IF($C50="","",IF($Q50="Cancelada","Cancelada",IF($Q50="Reprovado","Reprovada",IF($Q50="Aprovado","Aprovada",IF($M50&lt;&gt;"","Entregue",IF(TODAY()&gt;$C50,"Atrasada","Pendente"))))))</f>
        <v>Pendente</v>
      </c>
      <c r="T50" s="88"/>
      <c r="U50" s="88"/>
      <c r="V50" s="88"/>
    </row>
    <row r="51" customFormat="false" ht="22.35" hidden="false" customHeight="false" outlineLevel="0" collapsed="false">
      <c r="A51" s="89" t="str">
        <f aca="false">IF($C51="","",$X$2&amp;"-S"&amp;INT(($C51-WEEKDAY($C51,2)+11-DATE(YEAR($C51+4-WEEKDAY($C51,2)),1,1))/7)&amp;"-RSC-C")</f>
        <v>SET-S39-RSC-C</v>
      </c>
      <c r="B51" s="60" t="str">
        <f aca="false">IF($C51="","","S"&amp;INT(($C51-WEEKDAY($C51,2)+11-DATE(YEAR($C51+4-WEEKDAY($C51,2)),1,1))/7))</f>
        <v>S39</v>
      </c>
      <c r="C51" s="82" t="n">
        <f aca="false">IF(MONTH(($X$1-WEEKDAY($X$1,3)+21)+3)=MONTH($X$1),($X$1-WEEKDAY($X$1,3)+21)+3,"")</f>
        <v>46289</v>
      </c>
      <c r="D51" s="56" t="str">
        <f aca="false">IF($C51="","","Relatório Semanal Consolidado (erros + metas + faltas + supervisores)")</f>
        <v>Relatório Semanal Consolidado (erros + metas + faltas + supervisores)</v>
      </c>
      <c r="E51" s="56"/>
      <c r="F51" s="56"/>
      <c r="G51" s="60" t="str">
        <f aca="false">IF($C51="","","C")</f>
        <v>C</v>
      </c>
      <c r="H51" s="60" t="str">
        <f aca="false">IF($C51="","",IF($G51="A",CONFIG!$B$5,IF($G51="B",CONFIG!$B$6,IF($G51="C",CONFIG!$B$7,"Gerência + coordenadores"))))</f>
        <v>(preencha o nome)</v>
      </c>
      <c r="I51" s="60"/>
      <c r="J51" s="81" t="str">
        <f aca="false">IF($C51="","","—")</f>
        <v>—</v>
      </c>
      <c r="K51" s="91" t="n">
        <f aca="false">IF($C51="","",SUMIFS(OCORRÊNCIAS!$E$6:$E$605,OCORRÊNCIAS!$B$6:$B$605,"Falta",OCORRÊNCIAS!$C$6:$C$605,$G51,OCORRÊNCIAS!$H$6:$H$605,$B51,OCORRÊNCIAS!$J$6:$J$605,YEAR($C51+4-WEEKDAY($C51,2))))</f>
        <v>0</v>
      </c>
      <c r="L51" s="91" t="n">
        <f aca="false">IF($C51="","",SUMIFS(OCORRÊNCIAS!$E$6:$E$605,OCORRÊNCIAS!$B$6:$B$605,"Atestado",OCORRÊNCIAS!$C$6:$C$605,$G51,OCORRÊNCIAS!$H$6:$H$605,$B51,OCORRÊNCIAS!$J$6:$J$605,YEAR($C51+4-WEEKDAY($C51,2))))</f>
        <v>0</v>
      </c>
      <c r="M51" s="84"/>
      <c r="N51" s="84"/>
      <c r="O51" s="84"/>
      <c r="P51" s="90"/>
      <c r="Q51" s="86"/>
      <c r="R51" s="87"/>
      <c r="S51" s="60" t="str">
        <f aca="true">IF($C51="","",IF($Q51="Cancelada","Cancelada",IF($Q51="Reprovado","Reprovada",IF($Q51="Aprovado","Aprovada",IF($M51&lt;&gt;"","Entregue",IF(TODAY()&gt;$C51,"Atrasada","Pendente"))))))</f>
        <v>Pendente</v>
      </c>
      <c r="T51" s="88"/>
      <c r="U51" s="88"/>
      <c r="V51" s="88"/>
    </row>
    <row r="52" customFormat="false" ht="22.35" hidden="false" customHeight="false" outlineLevel="0" collapsed="false">
      <c r="A52" s="80" t="str">
        <f aca="false">IF($C52="","",$X$2&amp;"-S"&amp;INT(($C52-WEEKDAY($C52,2)+11-DATE(YEAR($C52+4-WEEKDAY($C52,2)),1,1))/7)&amp;"-REU-T")</f>
        <v>SET-S39-REU-T</v>
      </c>
      <c r="B52" s="81" t="str">
        <f aca="false">IF($C52="","","S"&amp;INT(($C52-WEEKDAY($C52,2)+11-DATE(YEAR($C52+4-WEEKDAY($C52,2)),1,1))/7))</f>
        <v>S39</v>
      </c>
      <c r="C52" s="82" t="n">
        <f aca="false">IF(MONTH(($X$1-WEEKDAY($X$1,3)+21)+4)=MONTH($X$1),($X$1-WEEKDAY($X$1,3)+21)+4,"")</f>
        <v>46290</v>
      </c>
      <c r="D52" s="9" t="str">
        <f aca="false">IF($C52="","","Reunião Semanal com a Gerência")</f>
        <v>Reunião Semanal com a Gerência</v>
      </c>
      <c r="E52" s="9"/>
      <c r="F52" s="9"/>
      <c r="G52" s="81" t="str">
        <f aca="false">IF($C52="","","Todos")</f>
        <v>Todos</v>
      </c>
      <c r="H52" s="81" t="str">
        <f aca="false">IF($C52="","",IF($G52="A",CONFIG!$B$5,IF($G52="B",CONFIG!$B$6,IF($G52="C",CONFIG!$B$7,"Gerência + coordenadores"))))</f>
        <v>Gerência + coordenadores</v>
      </c>
      <c r="I52" s="81"/>
      <c r="J52" s="81" t="str">
        <f aca="false">IF($C52="","","—")</f>
        <v>—</v>
      </c>
      <c r="K52" s="83" t="str">
        <f aca="false">IF($C52="","","—")</f>
        <v>—</v>
      </c>
      <c r="L52" s="83" t="str">
        <f aca="false">IF($C52="","","—")</f>
        <v>—</v>
      </c>
      <c r="M52" s="84"/>
      <c r="N52" s="84"/>
      <c r="O52" s="84"/>
      <c r="P52" s="85"/>
      <c r="Q52" s="86"/>
      <c r="R52" s="87"/>
      <c r="S52" s="81" t="str">
        <f aca="true">IF($C52="","",IF($Q52="Cancelada","Cancelada",IF($Q52="Reprovado","Reprovada",IF($Q52="Aprovado","Aprovada",IF($M52&lt;&gt;"","Entregue",IF(TODAY()&gt;$C52,"Atrasada","Pendente"))))))</f>
        <v>Pendente</v>
      </c>
      <c r="T52" s="88"/>
      <c r="U52" s="88"/>
      <c r="V52" s="88"/>
    </row>
    <row r="53" customFormat="false" ht="22.35" hidden="false" customHeight="false" outlineLevel="0" collapsed="false">
      <c r="A53" s="89" t="str">
        <f aca="false">IF($C53="","",$X$2&amp;"-S"&amp;INT(($C53-WEEKDAY($C53,2)+11-DATE(YEAR($C53+4-WEEKDAY($C53,2)),1,1))/7)&amp;"-VIS-A")</f>
        <v>SET-S40-VIS-A</v>
      </c>
      <c r="B53" s="60" t="str">
        <f aca="false">IF($C53="","","S"&amp;INT(($C53-WEEKDAY($C53,2)+11-DATE(YEAR($C53+4-WEEKDAY($C53,2)),1,1))/7))</f>
        <v>S40</v>
      </c>
      <c r="C53" s="82" t="n">
        <f aca="false">IF(MONTH(($X$1-WEEKDAY($X$1,3)+28)+2)=MONTH($X$1),($X$1-WEEKDAY($X$1,3)+28)+2,"")</f>
        <v>46295</v>
      </c>
      <c r="D53" s="56" t="str">
        <f aca="false">IF($C53="","","Vistoria Setorial (checklist no setor definido pelo gerente)")</f>
        <v>Vistoria Setorial (checklist no setor definido pelo gerente)</v>
      </c>
      <c r="E53" s="56"/>
      <c r="F53" s="56"/>
      <c r="G53" s="60" t="str">
        <f aca="false">IF($C53="","","A")</f>
        <v>A</v>
      </c>
      <c r="H53" s="60" t="str">
        <f aca="false">IF($C53="","",IF($G53="A",CONFIG!$B$5,IF($G53="B",CONFIG!$B$6,IF($G53="C",CONFIG!$B$7,"Gerência + coordenadores"))))</f>
        <v>(preencha o nome)</v>
      </c>
      <c r="I53" s="60"/>
      <c r="J53" s="86"/>
      <c r="K53" s="83" t="str">
        <f aca="false">IF($C53="","","—")</f>
        <v>—</v>
      </c>
      <c r="L53" s="83" t="str">
        <f aca="false">IF($C53="","","—")</f>
        <v>—</v>
      </c>
      <c r="M53" s="84"/>
      <c r="N53" s="84"/>
      <c r="O53" s="84"/>
      <c r="P53" s="90"/>
      <c r="Q53" s="86"/>
      <c r="R53" s="87"/>
      <c r="S53" s="60" t="str">
        <f aca="true">IF($C53="","",IF($Q53="Cancelada","Cancelada",IF($Q53="Reprovado","Reprovada",IF($Q53="Aprovado","Aprovada",IF($M53&lt;&gt;"","Entregue",IF(TODAY()&gt;$C53,"Atrasada","Pendente"))))))</f>
        <v>Pendente</v>
      </c>
      <c r="T53" s="88"/>
      <c r="U53" s="88"/>
      <c r="V53" s="88"/>
    </row>
    <row r="54" customFormat="false" ht="22.35" hidden="false" customHeight="false" outlineLevel="0" collapsed="false">
      <c r="A54" s="80" t="str">
        <f aca="false">IF($C54="","",$X$2&amp;"-S"&amp;INT(($C54-WEEKDAY($C54,2)+11-DATE(YEAR($C54+4-WEEKDAY($C54,2)),1,1))/7)&amp;"-VIS-B")</f>
        <v>SET-S40-VIS-B</v>
      </c>
      <c r="B54" s="81" t="str">
        <f aca="false">IF($C54="","","S"&amp;INT(($C54-WEEKDAY($C54,2)+11-DATE(YEAR($C54+4-WEEKDAY($C54,2)),1,1))/7))</f>
        <v>S40</v>
      </c>
      <c r="C54" s="82" t="n">
        <f aca="false">IF(MONTH(($X$1-WEEKDAY($X$1,3)+28)+2)=MONTH($X$1),($X$1-WEEKDAY($X$1,3)+28)+2,"")</f>
        <v>46295</v>
      </c>
      <c r="D54" s="9" t="str">
        <f aca="false">IF($C54="","","Vistoria Setorial (checklist no setor definido pelo gerente)")</f>
        <v>Vistoria Setorial (checklist no setor definido pelo gerente)</v>
      </c>
      <c r="E54" s="9"/>
      <c r="F54" s="9"/>
      <c r="G54" s="81" t="str">
        <f aca="false">IF($C54="","","B")</f>
        <v>B</v>
      </c>
      <c r="H54" s="81" t="str">
        <f aca="false">IF($C54="","",IF($G54="A",CONFIG!$B$5,IF($G54="B",CONFIG!$B$6,IF($G54="C",CONFIG!$B$7,"Gerência + coordenadores"))))</f>
        <v>(preencha o nome)</v>
      </c>
      <c r="I54" s="81"/>
      <c r="J54" s="86"/>
      <c r="K54" s="83" t="str">
        <f aca="false">IF($C54="","","—")</f>
        <v>—</v>
      </c>
      <c r="L54" s="83" t="str">
        <f aca="false">IF($C54="","","—")</f>
        <v>—</v>
      </c>
      <c r="M54" s="84"/>
      <c r="N54" s="84"/>
      <c r="O54" s="84"/>
      <c r="P54" s="85"/>
      <c r="Q54" s="86"/>
      <c r="R54" s="87"/>
      <c r="S54" s="81" t="str">
        <f aca="true">IF($C54="","",IF($Q54="Cancelada","Cancelada",IF($Q54="Reprovado","Reprovada",IF($Q54="Aprovado","Aprovada",IF($M54&lt;&gt;"","Entregue",IF(TODAY()&gt;$C54,"Atrasada","Pendente"))))))</f>
        <v>Pendente</v>
      </c>
      <c r="T54" s="88"/>
      <c r="U54" s="88"/>
      <c r="V54" s="88"/>
    </row>
    <row r="55" customFormat="false" ht="22.35" hidden="false" customHeight="false" outlineLevel="0" collapsed="false">
      <c r="A55" s="89" t="str">
        <f aca="false">IF($C55="","",$X$2&amp;"-S"&amp;INT(($C55-WEEKDAY($C55,2)+11-DATE(YEAR($C55+4-WEEKDAY($C55,2)),1,1))/7)&amp;"-VIS-C")</f>
        <v>SET-S40-VIS-C</v>
      </c>
      <c r="B55" s="60" t="str">
        <f aca="false">IF($C55="","","S"&amp;INT(($C55-WEEKDAY($C55,2)+11-DATE(YEAR($C55+4-WEEKDAY($C55,2)),1,1))/7))</f>
        <v>S40</v>
      </c>
      <c r="C55" s="82" t="n">
        <f aca="false">IF(MONTH(($X$1-WEEKDAY($X$1,3)+28)+2)=MONTH($X$1),($X$1-WEEKDAY($X$1,3)+28)+2,"")</f>
        <v>46295</v>
      </c>
      <c r="D55" s="56" t="str">
        <f aca="false">IF($C55="","","Vistoria Setorial (checklist no setor definido pelo gerente)")</f>
        <v>Vistoria Setorial (checklist no setor definido pelo gerente)</v>
      </c>
      <c r="E55" s="56"/>
      <c r="F55" s="56"/>
      <c r="G55" s="60" t="str">
        <f aca="false">IF($C55="","","C")</f>
        <v>C</v>
      </c>
      <c r="H55" s="60" t="str">
        <f aca="false">IF($C55="","",IF($G55="A",CONFIG!$B$5,IF($G55="B",CONFIG!$B$6,IF($G55="C",CONFIG!$B$7,"Gerência + coordenadores"))))</f>
        <v>(preencha o nome)</v>
      </c>
      <c r="I55" s="60"/>
      <c r="J55" s="86"/>
      <c r="K55" s="83" t="str">
        <f aca="false">IF($C55="","","—")</f>
        <v>—</v>
      </c>
      <c r="L55" s="83" t="str">
        <f aca="false">IF($C55="","","—")</f>
        <v>—</v>
      </c>
      <c r="M55" s="84"/>
      <c r="N55" s="84"/>
      <c r="O55" s="84"/>
      <c r="P55" s="90"/>
      <c r="Q55" s="86"/>
      <c r="R55" s="87"/>
      <c r="S55" s="60" t="str">
        <f aca="true">IF($C55="","",IF($Q55="Cancelada","Cancelada",IF($Q55="Reprovado","Reprovada",IF($Q55="Aprovado","Aprovada",IF($M55&lt;&gt;"","Entregue",IF(TODAY()&gt;$C55,"Atrasada","Pendente"))))))</f>
        <v>Pendente</v>
      </c>
      <c r="T55" s="88"/>
      <c r="U55" s="88"/>
      <c r="V55" s="88"/>
    </row>
    <row r="56" customFormat="false" ht="15" hidden="false" customHeight="false" outlineLevel="0" collapsed="false">
      <c r="A56" s="80" t="str">
        <f aca="false">IF($C56="","",$X$2&amp;"-S"&amp;INT(($C56-WEEKDAY($C56,2)+11-DATE(YEAR($C56+4-WEEKDAY($C56,2)),1,1))/7)&amp;"-RSC-A")</f>
        <v/>
      </c>
      <c r="B56" s="81" t="str">
        <f aca="false">IF($C56="","","S"&amp;INT(($C56-WEEKDAY($C56,2)+11-DATE(YEAR($C56+4-WEEKDAY($C56,2)),1,1))/7))</f>
        <v/>
      </c>
      <c r="C56" s="82" t="str">
        <f aca="false">IF(MONTH(($X$1-WEEKDAY($X$1,3)+28)+3)=MONTH($X$1),($X$1-WEEKDAY($X$1,3)+28)+3,"")</f>
        <v/>
      </c>
      <c r="D56" s="9" t="str">
        <f aca="false">IF($C56="","","Relatório Semanal Consolidado (erros + metas + faltas + supervisores)")</f>
        <v/>
      </c>
      <c r="E56" s="9"/>
      <c r="F56" s="9"/>
      <c r="G56" s="81" t="str">
        <f aca="false">IF($C56="","","A")</f>
        <v/>
      </c>
      <c r="H56" s="81" t="str">
        <f aca="false">IF($C56="","",IF($G56="A",CONFIG!$B$5,IF($G56="B",CONFIG!$B$6,IF($G56="C",CONFIG!$B$7,"Gerência + coordenadores"))))</f>
        <v/>
      </c>
      <c r="I56" s="81"/>
      <c r="J56" s="81" t="str">
        <f aca="false">IF($C56="","","—")</f>
        <v/>
      </c>
      <c r="K56" s="91" t="str">
        <f aca="false">IF($C56="","",SUMIFS(OCORRÊNCIAS!$E$6:$E$605,OCORRÊNCIAS!$B$6:$B$605,"Falta",OCORRÊNCIAS!$C$6:$C$605,$G56,OCORRÊNCIAS!$H$6:$H$605,$B56,OCORRÊNCIAS!$J$6:$J$605,YEAR($C56+4-WEEKDAY($C56,2))))</f>
        <v/>
      </c>
      <c r="L56" s="91" t="str">
        <f aca="false">IF($C56="","",SUMIFS(OCORRÊNCIAS!$E$6:$E$605,OCORRÊNCIAS!$B$6:$B$605,"Atestado",OCORRÊNCIAS!$C$6:$C$605,$G56,OCORRÊNCIAS!$H$6:$H$605,$B56,OCORRÊNCIAS!$J$6:$J$605,YEAR($C56+4-WEEKDAY($C56,2))))</f>
        <v/>
      </c>
      <c r="M56" s="84"/>
      <c r="N56" s="84"/>
      <c r="O56" s="84"/>
      <c r="P56" s="85"/>
      <c r="Q56" s="86"/>
      <c r="R56" s="87"/>
      <c r="S56" s="81" t="str">
        <f aca="true">IF($C56="","",IF($Q56="Cancelada","Cancelada",IF($Q56="Reprovado","Reprovada",IF($Q56="Aprovado","Aprovada",IF($M56&lt;&gt;"","Entregue",IF(TODAY()&gt;$C56,"Atrasada","Pendente"))))))</f>
        <v/>
      </c>
      <c r="T56" s="88"/>
      <c r="U56" s="88"/>
      <c r="V56" s="88"/>
    </row>
    <row r="57" customFormat="false" ht="15" hidden="false" customHeight="false" outlineLevel="0" collapsed="false">
      <c r="A57" s="89" t="str">
        <f aca="false">IF($C57="","",$X$2&amp;"-S"&amp;INT(($C57-WEEKDAY($C57,2)+11-DATE(YEAR($C57+4-WEEKDAY($C57,2)),1,1))/7)&amp;"-RSC-B")</f>
        <v/>
      </c>
      <c r="B57" s="60" t="str">
        <f aca="false">IF($C57="","","S"&amp;INT(($C57-WEEKDAY($C57,2)+11-DATE(YEAR($C57+4-WEEKDAY($C57,2)),1,1))/7))</f>
        <v/>
      </c>
      <c r="C57" s="82" t="str">
        <f aca="false">IF(MONTH(($X$1-WEEKDAY($X$1,3)+28)+3)=MONTH($X$1),($X$1-WEEKDAY($X$1,3)+28)+3,"")</f>
        <v/>
      </c>
      <c r="D57" s="56" t="str">
        <f aca="false">IF($C57="","","Relatório Semanal Consolidado (erros + metas + faltas + supervisores)")</f>
        <v/>
      </c>
      <c r="E57" s="56"/>
      <c r="F57" s="56"/>
      <c r="G57" s="60" t="str">
        <f aca="false">IF($C57="","","B")</f>
        <v/>
      </c>
      <c r="H57" s="60" t="str">
        <f aca="false">IF($C57="","",IF($G57="A",CONFIG!$B$5,IF($G57="B",CONFIG!$B$6,IF($G57="C",CONFIG!$B$7,"Gerência + coordenadores"))))</f>
        <v/>
      </c>
      <c r="I57" s="60"/>
      <c r="J57" s="81" t="str">
        <f aca="false">IF($C57="","","—")</f>
        <v/>
      </c>
      <c r="K57" s="91" t="str">
        <f aca="false">IF($C57="","",SUMIFS(OCORRÊNCIAS!$E$6:$E$605,OCORRÊNCIAS!$B$6:$B$605,"Falta",OCORRÊNCIAS!$C$6:$C$605,$G57,OCORRÊNCIAS!$H$6:$H$605,$B57,OCORRÊNCIAS!$J$6:$J$605,YEAR($C57+4-WEEKDAY($C57,2))))</f>
        <v/>
      </c>
      <c r="L57" s="91" t="str">
        <f aca="false">IF($C57="","",SUMIFS(OCORRÊNCIAS!$E$6:$E$605,OCORRÊNCIAS!$B$6:$B$605,"Atestado",OCORRÊNCIAS!$C$6:$C$605,$G57,OCORRÊNCIAS!$H$6:$H$605,$B57,OCORRÊNCIAS!$J$6:$J$605,YEAR($C57+4-WEEKDAY($C57,2))))</f>
        <v/>
      </c>
      <c r="M57" s="84"/>
      <c r="N57" s="84"/>
      <c r="O57" s="84"/>
      <c r="P57" s="90"/>
      <c r="Q57" s="86"/>
      <c r="R57" s="87"/>
      <c r="S57" s="60" t="str">
        <f aca="true">IF($C57="","",IF($Q57="Cancelada","Cancelada",IF($Q57="Reprovado","Reprovada",IF($Q57="Aprovado","Aprovada",IF($M57&lt;&gt;"","Entregue",IF(TODAY()&gt;$C57,"Atrasada","Pendente"))))))</f>
        <v/>
      </c>
      <c r="T57" s="88"/>
      <c r="U57" s="88"/>
      <c r="V57" s="88"/>
    </row>
    <row r="58" customFormat="false" ht="15" hidden="false" customHeight="false" outlineLevel="0" collapsed="false">
      <c r="A58" s="80" t="str">
        <f aca="false">IF($C58="","",$X$2&amp;"-S"&amp;INT(($C58-WEEKDAY($C58,2)+11-DATE(YEAR($C58+4-WEEKDAY($C58,2)),1,1))/7)&amp;"-RSC-C")</f>
        <v/>
      </c>
      <c r="B58" s="81" t="str">
        <f aca="false">IF($C58="","","S"&amp;INT(($C58-WEEKDAY($C58,2)+11-DATE(YEAR($C58+4-WEEKDAY($C58,2)),1,1))/7))</f>
        <v/>
      </c>
      <c r="C58" s="82" t="str">
        <f aca="false">IF(MONTH(($X$1-WEEKDAY($X$1,3)+28)+3)=MONTH($X$1),($X$1-WEEKDAY($X$1,3)+28)+3,"")</f>
        <v/>
      </c>
      <c r="D58" s="9" t="str">
        <f aca="false">IF($C58="","","Relatório Semanal Consolidado (erros + metas + faltas + supervisores)")</f>
        <v/>
      </c>
      <c r="E58" s="9"/>
      <c r="F58" s="9"/>
      <c r="G58" s="81" t="str">
        <f aca="false">IF($C58="","","C")</f>
        <v/>
      </c>
      <c r="H58" s="81" t="str">
        <f aca="false">IF($C58="","",IF($G58="A",CONFIG!$B$5,IF($G58="B",CONFIG!$B$6,IF($G58="C",CONFIG!$B$7,"Gerência + coordenadores"))))</f>
        <v/>
      </c>
      <c r="I58" s="81"/>
      <c r="J58" s="81" t="str">
        <f aca="false">IF($C58="","","—")</f>
        <v/>
      </c>
      <c r="K58" s="91" t="str">
        <f aca="false">IF($C58="","",SUMIFS(OCORRÊNCIAS!$E$6:$E$605,OCORRÊNCIAS!$B$6:$B$605,"Falta",OCORRÊNCIAS!$C$6:$C$605,$G58,OCORRÊNCIAS!$H$6:$H$605,$B58,OCORRÊNCIAS!$J$6:$J$605,YEAR($C58+4-WEEKDAY($C58,2))))</f>
        <v/>
      </c>
      <c r="L58" s="91" t="str">
        <f aca="false">IF($C58="","",SUMIFS(OCORRÊNCIAS!$E$6:$E$605,OCORRÊNCIAS!$B$6:$B$605,"Atestado",OCORRÊNCIAS!$C$6:$C$605,$G58,OCORRÊNCIAS!$H$6:$H$605,$B58,OCORRÊNCIAS!$J$6:$J$605,YEAR($C58+4-WEEKDAY($C58,2))))</f>
        <v/>
      </c>
      <c r="M58" s="84"/>
      <c r="N58" s="84"/>
      <c r="O58" s="84"/>
      <c r="P58" s="85"/>
      <c r="Q58" s="86"/>
      <c r="R58" s="87"/>
      <c r="S58" s="81" t="str">
        <f aca="true">IF($C58="","",IF($Q58="Cancelada","Cancelada",IF($Q58="Reprovado","Reprovada",IF($Q58="Aprovado","Aprovada",IF($M58&lt;&gt;"","Entregue",IF(TODAY()&gt;$C58,"Atrasada","Pendente"))))))</f>
        <v/>
      </c>
      <c r="T58" s="88"/>
      <c r="U58" s="88"/>
      <c r="V58" s="88"/>
    </row>
    <row r="59" customFormat="false" ht="15" hidden="false" customHeight="false" outlineLevel="0" collapsed="false">
      <c r="A59" s="89" t="str">
        <f aca="false">IF($C59="","",$X$2&amp;"-S"&amp;INT(($C59-WEEKDAY($C59,2)+11-DATE(YEAR($C59+4-WEEKDAY($C59,2)),1,1))/7)&amp;"-REU-T")</f>
        <v/>
      </c>
      <c r="B59" s="60" t="str">
        <f aca="false">IF($C59="","","S"&amp;INT(($C59-WEEKDAY($C59,2)+11-DATE(YEAR($C59+4-WEEKDAY($C59,2)),1,1))/7))</f>
        <v/>
      </c>
      <c r="C59" s="82" t="str">
        <f aca="false">IF(MONTH(($X$1-WEEKDAY($X$1,3)+28)+4)=MONTH($X$1),($X$1-WEEKDAY($X$1,3)+28)+4,"")</f>
        <v/>
      </c>
      <c r="D59" s="56" t="str">
        <f aca="false">IF($C59="","","Reunião Semanal com a Gerência")</f>
        <v/>
      </c>
      <c r="E59" s="56"/>
      <c r="F59" s="56"/>
      <c r="G59" s="60" t="str">
        <f aca="false">IF($C59="","","Todos")</f>
        <v/>
      </c>
      <c r="H59" s="60" t="str">
        <f aca="false">IF($C59="","",IF($G59="A",CONFIG!$B$5,IF($G59="B",CONFIG!$B$6,IF($G59="C",CONFIG!$B$7,"Gerência + coordenadores"))))</f>
        <v/>
      </c>
      <c r="I59" s="60"/>
      <c r="J59" s="81" t="str">
        <f aca="false">IF($C59="","","—")</f>
        <v/>
      </c>
      <c r="K59" s="83" t="str">
        <f aca="false">IF($C59="","","—")</f>
        <v/>
      </c>
      <c r="L59" s="83" t="str">
        <f aca="false">IF($C59="","","—")</f>
        <v/>
      </c>
      <c r="M59" s="84"/>
      <c r="N59" s="84"/>
      <c r="O59" s="84"/>
      <c r="P59" s="90"/>
      <c r="Q59" s="86"/>
      <c r="R59" s="87"/>
      <c r="S59" s="60" t="str">
        <f aca="true">IF($C59="","",IF($Q59="Cancelada","Cancelada",IF($Q59="Reprovado","Reprovada",IF($Q59="Aprovado","Aprovada",IF($M59&lt;&gt;"","Entregue",IF(TODAY()&gt;$C59,"Atrasada","Pendente"))))))</f>
        <v/>
      </c>
      <c r="T59" s="88"/>
      <c r="U59" s="88"/>
      <c r="V59" s="88"/>
    </row>
    <row r="60" customFormat="false" ht="15" hidden="false" customHeight="false" outlineLevel="0" collapsed="false">
      <c r="A60" s="80" t="str">
        <f aca="false">IF($C60="","",$X$2&amp;"-S"&amp;INT(($C60-WEEKDAY($C60,2)+11-DATE(YEAR($C60+4-WEEKDAY($C60,2)),1,1))/7)&amp;"-VIS-A")</f>
        <v/>
      </c>
      <c r="B60" s="81" t="str">
        <f aca="false">IF($C60="","","S"&amp;INT(($C60-WEEKDAY($C60,2)+11-DATE(YEAR($C60+4-WEEKDAY($C60,2)),1,1))/7))</f>
        <v/>
      </c>
      <c r="C60" s="82" t="str">
        <f aca="false">IF(MONTH(($X$1-WEEKDAY($X$1,3)+35)+2)=MONTH($X$1),($X$1-WEEKDAY($X$1,3)+35)+2,"")</f>
        <v/>
      </c>
      <c r="D60" s="9" t="str">
        <f aca="false">IF($C60="","","Vistoria Setorial (checklist no setor definido pelo gerente)")</f>
        <v/>
      </c>
      <c r="E60" s="9"/>
      <c r="F60" s="9"/>
      <c r="G60" s="81" t="str">
        <f aca="false">IF($C60="","","A")</f>
        <v/>
      </c>
      <c r="H60" s="81" t="str">
        <f aca="false">IF($C60="","",IF($G60="A",CONFIG!$B$5,IF($G60="B",CONFIG!$B$6,IF($G60="C",CONFIG!$B$7,"Gerência + coordenadores"))))</f>
        <v/>
      </c>
      <c r="I60" s="81"/>
      <c r="J60" s="86"/>
      <c r="K60" s="83" t="str">
        <f aca="false">IF($C60="","","—")</f>
        <v/>
      </c>
      <c r="L60" s="83" t="str">
        <f aca="false">IF($C60="","","—")</f>
        <v/>
      </c>
      <c r="M60" s="84"/>
      <c r="N60" s="84"/>
      <c r="O60" s="84"/>
      <c r="P60" s="85"/>
      <c r="Q60" s="86"/>
      <c r="R60" s="87"/>
      <c r="S60" s="81" t="str">
        <f aca="true">IF($C60="","",IF($Q60="Cancelada","Cancelada",IF($Q60="Reprovado","Reprovada",IF($Q60="Aprovado","Aprovada",IF($M60&lt;&gt;"","Entregue",IF(TODAY()&gt;$C60,"Atrasada","Pendente"))))))</f>
        <v/>
      </c>
      <c r="T60" s="88"/>
      <c r="U60" s="88"/>
      <c r="V60" s="88"/>
    </row>
    <row r="61" customFormat="false" ht="15" hidden="false" customHeight="false" outlineLevel="0" collapsed="false">
      <c r="A61" s="89" t="str">
        <f aca="false">IF($C61="","",$X$2&amp;"-S"&amp;INT(($C61-WEEKDAY($C61,2)+11-DATE(YEAR($C61+4-WEEKDAY($C61,2)),1,1))/7)&amp;"-VIS-B")</f>
        <v/>
      </c>
      <c r="B61" s="60" t="str">
        <f aca="false">IF($C61="","","S"&amp;INT(($C61-WEEKDAY($C61,2)+11-DATE(YEAR($C61+4-WEEKDAY($C61,2)),1,1))/7))</f>
        <v/>
      </c>
      <c r="C61" s="82" t="str">
        <f aca="false">IF(MONTH(($X$1-WEEKDAY($X$1,3)+35)+2)=MONTH($X$1),($X$1-WEEKDAY($X$1,3)+35)+2,"")</f>
        <v/>
      </c>
      <c r="D61" s="56" t="str">
        <f aca="false">IF($C61="","","Vistoria Setorial (checklist no setor definido pelo gerente)")</f>
        <v/>
      </c>
      <c r="E61" s="56"/>
      <c r="F61" s="56"/>
      <c r="G61" s="60" t="str">
        <f aca="false">IF($C61="","","B")</f>
        <v/>
      </c>
      <c r="H61" s="60" t="str">
        <f aca="false">IF($C61="","",IF($G61="A",CONFIG!$B$5,IF($G61="B",CONFIG!$B$6,IF($G61="C",CONFIG!$B$7,"Gerência + coordenadores"))))</f>
        <v/>
      </c>
      <c r="I61" s="60"/>
      <c r="J61" s="86"/>
      <c r="K61" s="83" t="str">
        <f aca="false">IF($C61="","","—")</f>
        <v/>
      </c>
      <c r="L61" s="83" t="str">
        <f aca="false">IF($C61="","","—")</f>
        <v/>
      </c>
      <c r="M61" s="84"/>
      <c r="N61" s="84"/>
      <c r="O61" s="84"/>
      <c r="P61" s="90"/>
      <c r="Q61" s="86"/>
      <c r="R61" s="87"/>
      <c r="S61" s="60" t="str">
        <f aca="true">IF($C61="","",IF($Q61="Cancelada","Cancelada",IF($Q61="Reprovado","Reprovada",IF($Q61="Aprovado","Aprovada",IF($M61&lt;&gt;"","Entregue",IF(TODAY()&gt;$C61,"Atrasada","Pendente"))))))</f>
        <v/>
      </c>
      <c r="T61" s="88"/>
      <c r="U61" s="88"/>
      <c r="V61" s="88"/>
    </row>
    <row r="62" customFormat="false" ht="15" hidden="false" customHeight="false" outlineLevel="0" collapsed="false">
      <c r="A62" s="80" t="str">
        <f aca="false">IF($C62="","",$X$2&amp;"-S"&amp;INT(($C62-WEEKDAY($C62,2)+11-DATE(YEAR($C62+4-WEEKDAY($C62,2)),1,1))/7)&amp;"-VIS-C")</f>
        <v/>
      </c>
      <c r="B62" s="81" t="str">
        <f aca="false">IF($C62="","","S"&amp;INT(($C62-WEEKDAY($C62,2)+11-DATE(YEAR($C62+4-WEEKDAY($C62,2)),1,1))/7))</f>
        <v/>
      </c>
      <c r="C62" s="82" t="str">
        <f aca="false">IF(MONTH(($X$1-WEEKDAY($X$1,3)+35)+2)=MONTH($X$1),($X$1-WEEKDAY($X$1,3)+35)+2,"")</f>
        <v/>
      </c>
      <c r="D62" s="9" t="str">
        <f aca="false">IF($C62="","","Vistoria Setorial (checklist no setor definido pelo gerente)")</f>
        <v/>
      </c>
      <c r="E62" s="9"/>
      <c r="F62" s="9"/>
      <c r="G62" s="81" t="str">
        <f aca="false">IF($C62="","","C")</f>
        <v/>
      </c>
      <c r="H62" s="81" t="str">
        <f aca="false">IF($C62="","",IF($G62="A",CONFIG!$B$5,IF($G62="B",CONFIG!$B$6,IF($G62="C",CONFIG!$B$7,"Gerência + coordenadores"))))</f>
        <v/>
      </c>
      <c r="I62" s="81"/>
      <c r="J62" s="86"/>
      <c r="K62" s="83" t="str">
        <f aca="false">IF($C62="","","—")</f>
        <v/>
      </c>
      <c r="L62" s="83" t="str">
        <f aca="false">IF($C62="","","—")</f>
        <v/>
      </c>
      <c r="M62" s="84"/>
      <c r="N62" s="84"/>
      <c r="O62" s="84"/>
      <c r="P62" s="85"/>
      <c r="Q62" s="86"/>
      <c r="R62" s="87"/>
      <c r="S62" s="81" t="str">
        <f aca="true">IF($C62="","",IF($Q62="Cancelada","Cancelada",IF($Q62="Reprovado","Reprovada",IF($Q62="Aprovado","Aprovada",IF($M62&lt;&gt;"","Entregue",IF(TODAY()&gt;$C62,"Atrasada","Pendente"))))))</f>
        <v/>
      </c>
      <c r="T62" s="88"/>
      <c r="U62" s="88"/>
      <c r="V62" s="88"/>
    </row>
    <row r="63" customFormat="false" ht="15" hidden="false" customHeight="false" outlineLevel="0" collapsed="false">
      <c r="A63" s="89" t="str">
        <f aca="false">IF($C63="","",$X$2&amp;"-S"&amp;INT(($C63-WEEKDAY($C63,2)+11-DATE(YEAR($C63+4-WEEKDAY($C63,2)),1,1))/7)&amp;"-RSC-A")</f>
        <v/>
      </c>
      <c r="B63" s="60" t="str">
        <f aca="false">IF($C63="","","S"&amp;INT(($C63-WEEKDAY($C63,2)+11-DATE(YEAR($C63+4-WEEKDAY($C63,2)),1,1))/7))</f>
        <v/>
      </c>
      <c r="C63" s="82" t="str">
        <f aca="false">IF(MONTH(($X$1-WEEKDAY($X$1,3)+35)+3)=MONTH($X$1),($X$1-WEEKDAY($X$1,3)+35)+3,"")</f>
        <v/>
      </c>
      <c r="D63" s="56" t="str">
        <f aca="false">IF($C63="","","Relatório Semanal Consolidado (erros + metas + faltas + supervisores)")</f>
        <v/>
      </c>
      <c r="E63" s="56"/>
      <c r="F63" s="56"/>
      <c r="G63" s="60" t="str">
        <f aca="false">IF($C63="","","A")</f>
        <v/>
      </c>
      <c r="H63" s="60" t="str">
        <f aca="false">IF($C63="","",IF($G63="A",CONFIG!$B$5,IF($G63="B",CONFIG!$B$6,IF($G63="C",CONFIG!$B$7,"Gerência + coordenadores"))))</f>
        <v/>
      </c>
      <c r="I63" s="60"/>
      <c r="J63" s="81" t="str">
        <f aca="false">IF($C63="","","—")</f>
        <v/>
      </c>
      <c r="K63" s="91" t="str">
        <f aca="false">IF($C63="","",SUMIFS(OCORRÊNCIAS!$E$6:$E$605,OCORRÊNCIAS!$B$6:$B$605,"Falta",OCORRÊNCIAS!$C$6:$C$605,$G63,OCORRÊNCIAS!$H$6:$H$605,$B63,OCORRÊNCIAS!$J$6:$J$605,YEAR($C63+4-WEEKDAY($C63,2))))</f>
        <v/>
      </c>
      <c r="L63" s="91" t="str">
        <f aca="false">IF($C63="","",SUMIFS(OCORRÊNCIAS!$E$6:$E$605,OCORRÊNCIAS!$B$6:$B$605,"Atestado",OCORRÊNCIAS!$C$6:$C$605,$G63,OCORRÊNCIAS!$H$6:$H$605,$B63,OCORRÊNCIAS!$J$6:$J$605,YEAR($C63+4-WEEKDAY($C63,2))))</f>
        <v/>
      </c>
      <c r="M63" s="84"/>
      <c r="N63" s="84"/>
      <c r="O63" s="84"/>
      <c r="P63" s="90"/>
      <c r="Q63" s="86"/>
      <c r="R63" s="87"/>
      <c r="S63" s="60" t="str">
        <f aca="true">IF($C63="","",IF($Q63="Cancelada","Cancelada",IF($Q63="Reprovado","Reprovada",IF($Q63="Aprovado","Aprovada",IF($M63&lt;&gt;"","Entregue",IF(TODAY()&gt;$C63,"Atrasada","Pendente"))))))</f>
        <v/>
      </c>
      <c r="T63" s="88"/>
      <c r="U63" s="88"/>
      <c r="V63" s="88"/>
    </row>
    <row r="64" customFormat="false" ht="15" hidden="false" customHeight="false" outlineLevel="0" collapsed="false">
      <c r="A64" s="80" t="str">
        <f aca="false">IF($C64="","",$X$2&amp;"-S"&amp;INT(($C64-WEEKDAY($C64,2)+11-DATE(YEAR($C64+4-WEEKDAY($C64,2)),1,1))/7)&amp;"-RSC-B")</f>
        <v/>
      </c>
      <c r="B64" s="81" t="str">
        <f aca="false">IF($C64="","","S"&amp;INT(($C64-WEEKDAY($C64,2)+11-DATE(YEAR($C64+4-WEEKDAY($C64,2)),1,1))/7))</f>
        <v/>
      </c>
      <c r="C64" s="82" t="str">
        <f aca="false">IF(MONTH(($X$1-WEEKDAY($X$1,3)+35)+3)=MONTH($X$1),($X$1-WEEKDAY($X$1,3)+35)+3,"")</f>
        <v/>
      </c>
      <c r="D64" s="9" t="str">
        <f aca="false">IF($C64="","","Relatório Semanal Consolidado (erros + metas + faltas + supervisores)")</f>
        <v/>
      </c>
      <c r="E64" s="9"/>
      <c r="F64" s="9"/>
      <c r="G64" s="81" t="str">
        <f aca="false">IF($C64="","","B")</f>
        <v/>
      </c>
      <c r="H64" s="81" t="str">
        <f aca="false">IF($C64="","",IF($G64="A",CONFIG!$B$5,IF($G64="B",CONFIG!$B$6,IF($G64="C",CONFIG!$B$7,"Gerência + coordenadores"))))</f>
        <v/>
      </c>
      <c r="I64" s="81"/>
      <c r="J64" s="81" t="str">
        <f aca="false">IF($C64="","","—")</f>
        <v/>
      </c>
      <c r="K64" s="91" t="str">
        <f aca="false">IF($C64="","",SUMIFS(OCORRÊNCIAS!$E$6:$E$605,OCORRÊNCIAS!$B$6:$B$605,"Falta",OCORRÊNCIAS!$C$6:$C$605,$G64,OCORRÊNCIAS!$H$6:$H$605,$B64,OCORRÊNCIAS!$J$6:$J$605,YEAR($C64+4-WEEKDAY($C64,2))))</f>
        <v/>
      </c>
      <c r="L64" s="91" t="str">
        <f aca="false">IF($C64="","",SUMIFS(OCORRÊNCIAS!$E$6:$E$605,OCORRÊNCIAS!$B$6:$B$605,"Atestado",OCORRÊNCIAS!$C$6:$C$605,$G64,OCORRÊNCIAS!$H$6:$H$605,$B64,OCORRÊNCIAS!$J$6:$J$605,YEAR($C64+4-WEEKDAY($C64,2))))</f>
        <v/>
      </c>
      <c r="M64" s="84"/>
      <c r="N64" s="84"/>
      <c r="O64" s="84"/>
      <c r="P64" s="85"/>
      <c r="Q64" s="86"/>
      <c r="R64" s="87"/>
      <c r="S64" s="81" t="str">
        <f aca="true">IF($C64="","",IF($Q64="Cancelada","Cancelada",IF($Q64="Reprovado","Reprovada",IF($Q64="Aprovado","Aprovada",IF($M64&lt;&gt;"","Entregue",IF(TODAY()&gt;$C64,"Atrasada","Pendente"))))))</f>
        <v/>
      </c>
      <c r="T64" s="88"/>
      <c r="U64" s="88"/>
      <c r="V64" s="88"/>
    </row>
    <row r="65" customFormat="false" ht="15" hidden="false" customHeight="false" outlineLevel="0" collapsed="false">
      <c r="A65" s="89" t="str">
        <f aca="false">IF($C65="","",$X$2&amp;"-S"&amp;INT(($C65-WEEKDAY($C65,2)+11-DATE(YEAR($C65+4-WEEKDAY($C65,2)),1,1))/7)&amp;"-RSC-C")</f>
        <v/>
      </c>
      <c r="B65" s="60" t="str">
        <f aca="false">IF($C65="","","S"&amp;INT(($C65-WEEKDAY($C65,2)+11-DATE(YEAR($C65+4-WEEKDAY($C65,2)),1,1))/7))</f>
        <v/>
      </c>
      <c r="C65" s="82" t="str">
        <f aca="false">IF(MONTH(($X$1-WEEKDAY($X$1,3)+35)+3)=MONTH($X$1),($X$1-WEEKDAY($X$1,3)+35)+3,"")</f>
        <v/>
      </c>
      <c r="D65" s="56" t="str">
        <f aca="false">IF($C65="","","Relatório Semanal Consolidado (erros + metas + faltas + supervisores)")</f>
        <v/>
      </c>
      <c r="E65" s="56"/>
      <c r="F65" s="56"/>
      <c r="G65" s="60" t="str">
        <f aca="false">IF($C65="","","C")</f>
        <v/>
      </c>
      <c r="H65" s="60" t="str">
        <f aca="false">IF($C65="","",IF($G65="A",CONFIG!$B$5,IF($G65="B",CONFIG!$B$6,IF($G65="C",CONFIG!$B$7,"Gerência + coordenadores"))))</f>
        <v/>
      </c>
      <c r="I65" s="60"/>
      <c r="J65" s="81" t="str">
        <f aca="false">IF($C65="","","—")</f>
        <v/>
      </c>
      <c r="K65" s="91" t="str">
        <f aca="false">IF($C65="","",SUMIFS(OCORRÊNCIAS!$E$6:$E$605,OCORRÊNCIAS!$B$6:$B$605,"Falta",OCORRÊNCIAS!$C$6:$C$605,$G65,OCORRÊNCIAS!$H$6:$H$605,$B65,OCORRÊNCIAS!$J$6:$J$605,YEAR($C65+4-WEEKDAY($C65,2))))</f>
        <v/>
      </c>
      <c r="L65" s="91" t="str">
        <f aca="false">IF($C65="","",SUMIFS(OCORRÊNCIAS!$E$6:$E$605,OCORRÊNCIAS!$B$6:$B$605,"Atestado",OCORRÊNCIAS!$C$6:$C$605,$G65,OCORRÊNCIAS!$H$6:$H$605,$B65,OCORRÊNCIAS!$J$6:$J$605,YEAR($C65+4-WEEKDAY($C65,2))))</f>
        <v/>
      </c>
      <c r="M65" s="84"/>
      <c r="N65" s="84"/>
      <c r="O65" s="84"/>
      <c r="P65" s="90"/>
      <c r="Q65" s="86"/>
      <c r="R65" s="87"/>
      <c r="S65" s="60" t="str">
        <f aca="true">IF($C65="","",IF($Q65="Cancelada","Cancelada",IF($Q65="Reprovado","Reprovada",IF($Q65="Aprovado","Aprovada",IF($M65&lt;&gt;"","Entregue",IF(TODAY()&gt;$C65,"Atrasada","Pendente"))))))</f>
        <v/>
      </c>
      <c r="T65" s="88"/>
      <c r="U65" s="88"/>
      <c r="V65" s="88"/>
    </row>
    <row r="66" customFormat="false" ht="15" hidden="false" customHeight="false" outlineLevel="0" collapsed="false">
      <c r="A66" s="80" t="str">
        <f aca="false">IF($C66="","",$X$2&amp;"-S"&amp;INT(($C66-WEEKDAY($C66,2)+11-DATE(YEAR($C66+4-WEEKDAY($C66,2)),1,1))/7)&amp;"-REU-T")</f>
        <v/>
      </c>
      <c r="B66" s="81" t="str">
        <f aca="false">IF($C66="","","S"&amp;INT(($C66-WEEKDAY($C66,2)+11-DATE(YEAR($C66+4-WEEKDAY($C66,2)),1,1))/7))</f>
        <v/>
      </c>
      <c r="C66" s="82" t="str">
        <f aca="false">IF(MONTH(($X$1-WEEKDAY($X$1,3)+35)+4)=MONTH($X$1),($X$1-WEEKDAY($X$1,3)+35)+4,"")</f>
        <v/>
      </c>
      <c r="D66" s="9" t="str">
        <f aca="false">IF($C66="","","Reunião Semanal com a Gerência")</f>
        <v/>
      </c>
      <c r="E66" s="9"/>
      <c r="F66" s="9"/>
      <c r="G66" s="81" t="str">
        <f aca="false">IF($C66="","","Todos")</f>
        <v/>
      </c>
      <c r="H66" s="81" t="str">
        <f aca="false">IF($C66="","",IF($G66="A",CONFIG!$B$5,IF($G66="B",CONFIG!$B$6,IF($G66="C",CONFIG!$B$7,"Gerência + coordenadores"))))</f>
        <v/>
      </c>
      <c r="I66" s="81"/>
      <c r="J66" s="81" t="str">
        <f aca="false">IF($C66="","","—")</f>
        <v/>
      </c>
      <c r="K66" s="83" t="str">
        <f aca="false">IF($C66="","","—")</f>
        <v/>
      </c>
      <c r="L66" s="83" t="str">
        <f aca="false">IF($C66="","","—")</f>
        <v/>
      </c>
      <c r="M66" s="84"/>
      <c r="N66" s="84"/>
      <c r="O66" s="84"/>
      <c r="P66" s="85"/>
      <c r="Q66" s="86"/>
      <c r="R66" s="87"/>
      <c r="S66" s="81" t="str">
        <f aca="true">IF($C66="","",IF($Q66="Cancelada","Cancelada",IF($Q66="Reprovado","Reprovada",IF($Q66="Aprovado","Aprovada",IF($M66&lt;&gt;"","Entregue",IF(TODAY()&gt;$C66,"Atrasada","Pendente"))))))</f>
        <v/>
      </c>
      <c r="T66" s="88"/>
      <c r="U66" s="88"/>
      <c r="V66" s="88"/>
    </row>
    <row r="67" customFormat="false" ht="22.35" hidden="false" customHeight="false" outlineLevel="0" collapsed="false">
      <c r="A67" s="89" t="str">
        <f aca="false">IF($C67="","",$X$2&amp;"-S"&amp;INT(($C67-WEEKDAY($C67,2)+11-DATE(YEAR($C67+4-WEEKDAY($C67,2)),1,1))/7)&amp;"-MDF-T")</f>
        <v>SET-S39-MDF-T</v>
      </c>
      <c r="B67" s="60" t="str">
        <f aca="false">IF($C67="","","S"&amp;INT(($C67-WEEKDAY($C67,2)+11-DATE(YEAR($C67+4-WEEKDAY($C67,2)),1,1))/7))</f>
        <v>S39</v>
      </c>
      <c r="C67" s="82" t="n">
        <f aca="false">EOMONTH($X$1,0)-MOD(WEEKDAY(EOMONTH($X$1,0),2)-5,7)</f>
        <v>46290</v>
      </c>
      <c r="D67" s="56" t="str">
        <f aca="false">IF($C67="","","Mudança de Função — reunião mensal")</f>
        <v>Mudança de Função — reunião mensal</v>
      </c>
      <c r="E67" s="56"/>
      <c r="F67" s="56"/>
      <c r="G67" s="60" t="str">
        <f aca="false">IF($C67="","","Todos")</f>
        <v>Todos</v>
      </c>
      <c r="H67" s="60" t="str">
        <f aca="false">IF($C67="","",IF($G67="A",CONFIG!$B$5,IF($G67="B",CONFIG!$B$6,IF($G67="C",CONFIG!$B$7,"Gerência + coordenadores"))))</f>
        <v>Gerência + coordenadores</v>
      </c>
      <c r="I67" s="60"/>
      <c r="J67" s="81" t="str">
        <f aca="false">IF($C67="","","—")</f>
        <v>—</v>
      </c>
      <c r="K67" s="83" t="str">
        <f aca="false">IF($C67="","","—")</f>
        <v>—</v>
      </c>
      <c r="L67" s="83" t="str">
        <f aca="false">IF($C67="","","—")</f>
        <v>—</v>
      </c>
      <c r="M67" s="84"/>
      <c r="N67" s="84"/>
      <c r="O67" s="84"/>
      <c r="P67" s="90"/>
      <c r="Q67" s="86"/>
      <c r="R67" s="87"/>
      <c r="S67" s="60" t="str">
        <f aca="true">IF($C67="","",IF($Q67="Cancelada","Cancelada",IF($Q67="Reprovado","Reprovada",IF($Q67="Aprovado","Aprovada",IF($M67&lt;&gt;"","Entregue",IF(TODAY()&gt;$C67,"Atrasada","Pendente"))))))</f>
        <v>Pendente</v>
      </c>
      <c r="T67" s="88"/>
      <c r="U67" s="88"/>
      <c r="V67" s="88"/>
    </row>
    <row r="69" customFormat="false" ht="15" hidden="false" customHeight="true" outlineLevel="0" collapsed="false">
      <c r="A69" s="92" t="s">
        <v>229</v>
      </c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customFormat="false" ht="22.35" hidden="false" customHeight="true" outlineLevel="0" collapsed="false">
      <c r="A70" s="80" t="str">
        <f aca="false">$X$2&amp;"-TRE-1"</f>
        <v>SET-TRE-1</v>
      </c>
      <c r="B70" s="31" t="str">
        <f aca="false">IF($C70="","","S"&amp;INT(($C70-WEEKDAY($C70,2)+11-DATE(YEAR($C70+4-WEEKDAY($C70,2)),1,1))/7))</f>
        <v/>
      </c>
      <c r="C70" s="82"/>
      <c r="D70" s="87" t="s">
        <v>230</v>
      </c>
      <c r="E70" s="87"/>
      <c r="F70" s="87"/>
      <c r="G70" s="31" t="s">
        <v>231</v>
      </c>
      <c r="H70" s="81" t="s">
        <v>232</v>
      </c>
      <c r="I70" s="81"/>
      <c r="J70" s="31" t="s">
        <v>233</v>
      </c>
      <c r="K70" s="83" t="s">
        <v>233</v>
      </c>
      <c r="L70" s="83" t="s">
        <v>233</v>
      </c>
      <c r="M70" s="84"/>
      <c r="N70" s="84"/>
      <c r="O70" s="84"/>
      <c r="P70" s="85"/>
      <c r="Q70" s="86"/>
      <c r="R70" s="87"/>
      <c r="S70" s="81" t="str">
        <f aca="true">IF($C70="","Não agendado",IF($Q70="Cancelada","Cancelada",IF($Q70="Reprovado","Reprovada",IF($Q70="Aprovado","Aprovada",IF($M70&lt;&gt;"","Entregue",IF(TODAY()&gt;$C70,"Atrasada","Pendente"))))))</f>
        <v>Não agendado</v>
      </c>
      <c r="T70" s="88"/>
      <c r="U70" s="88"/>
      <c r="V70" s="88"/>
    </row>
    <row r="71" customFormat="false" ht="22.35" hidden="false" customHeight="true" outlineLevel="0" collapsed="false">
      <c r="A71" s="80" t="str">
        <f aca="false">$X$2&amp;"-TRE-2"</f>
        <v>SET-TRE-2</v>
      </c>
      <c r="B71" s="31" t="str">
        <f aca="false">IF($C71="","","S"&amp;INT(($C71-WEEKDAY($C71,2)+11-DATE(YEAR($C71+4-WEEKDAY($C71,2)),1,1))/7))</f>
        <v/>
      </c>
      <c r="C71" s="82"/>
      <c r="D71" s="87" t="s">
        <v>230</v>
      </c>
      <c r="E71" s="87"/>
      <c r="F71" s="87"/>
      <c r="G71" s="31" t="s">
        <v>231</v>
      </c>
      <c r="H71" s="81" t="s">
        <v>232</v>
      </c>
      <c r="I71" s="81"/>
      <c r="J71" s="31" t="s">
        <v>233</v>
      </c>
      <c r="K71" s="83" t="s">
        <v>233</v>
      </c>
      <c r="L71" s="83" t="s">
        <v>233</v>
      </c>
      <c r="M71" s="84"/>
      <c r="N71" s="84"/>
      <c r="O71" s="84"/>
      <c r="P71" s="85"/>
      <c r="Q71" s="86"/>
      <c r="R71" s="87"/>
      <c r="S71" s="81" t="str">
        <f aca="true">IF($C71="","Não agendado",IF($Q71="Cancelada","Cancelada",IF($Q71="Reprovado","Reprovada",IF($Q71="Aprovado","Aprovada",IF($M71&lt;&gt;"","Entregue",IF(TODAY()&gt;$C71,"Atrasada","Pendente"))))))</f>
        <v>Não agendado</v>
      </c>
      <c r="T71" s="88"/>
      <c r="U71" s="88"/>
      <c r="V71" s="88"/>
    </row>
    <row r="72" customFormat="false" ht="22.35" hidden="false" customHeight="true" outlineLevel="0" collapsed="false">
      <c r="A72" s="80" t="str">
        <f aca="false">$X$2&amp;"-TRE-3"</f>
        <v>SET-TRE-3</v>
      </c>
      <c r="B72" s="31" t="str">
        <f aca="false">IF($C72="","","S"&amp;INT(($C72-WEEKDAY($C72,2)+11-DATE(YEAR($C72+4-WEEKDAY($C72,2)),1,1))/7))</f>
        <v/>
      </c>
      <c r="C72" s="82"/>
      <c r="D72" s="87" t="s">
        <v>230</v>
      </c>
      <c r="E72" s="87"/>
      <c r="F72" s="87"/>
      <c r="G72" s="31" t="s">
        <v>231</v>
      </c>
      <c r="H72" s="81" t="s">
        <v>232</v>
      </c>
      <c r="I72" s="81"/>
      <c r="J72" s="31" t="s">
        <v>233</v>
      </c>
      <c r="K72" s="83" t="s">
        <v>233</v>
      </c>
      <c r="L72" s="83" t="s">
        <v>233</v>
      </c>
      <c r="M72" s="84"/>
      <c r="N72" s="84"/>
      <c r="O72" s="84"/>
      <c r="P72" s="85"/>
      <c r="Q72" s="86"/>
      <c r="R72" s="87"/>
      <c r="S72" s="81" t="str">
        <f aca="true">IF($C72="","Não agendado",IF($Q72="Cancelada","Cancelada",IF($Q72="Reprovado","Reprovada",IF($Q72="Aprovado","Aprovada",IF($M72&lt;&gt;"","Entregue",IF(TODAY()&gt;$C72,"Atrasada","Pendente"))))))</f>
        <v>Não agendado</v>
      </c>
      <c r="T72" s="88"/>
      <c r="U72" s="88"/>
      <c r="V72" s="88"/>
    </row>
    <row r="73" customFormat="false" ht="22.35" hidden="false" customHeight="true" outlineLevel="0" collapsed="false">
      <c r="A73" s="80" t="str">
        <f aca="false">$X$2&amp;"-TRE-4"</f>
        <v>SET-TRE-4</v>
      </c>
      <c r="B73" s="31" t="str">
        <f aca="false">IF($C73="","","S"&amp;INT(($C73-WEEKDAY($C73,2)+11-DATE(YEAR($C73+4-WEEKDAY($C73,2)),1,1))/7))</f>
        <v/>
      </c>
      <c r="C73" s="82"/>
      <c r="D73" s="87" t="s">
        <v>230</v>
      </c>
      <c r="E73" s="87"/>
      <c r="F73" s="87"/>
      <c r="G73" s="31" t="s">
        <v>231</v>
      </c>
      <c r="H73" s="81" t="s">
        <v>232</v>
      </c>
      <c r="I73" s="81"/>
      <c r="J73" s="31" t="s">
        <v>233</v>
      </c>
      <c r="K73" s="83" t="s">
        <v>233</v>
      </c>
      <c r="L73" s="83" t="s">
        <v>233</v>
      </c>
      <c r="M73" s="84"/>
      <c r="N73" s="84"/>
      <c r="O73" s="84"/>
      <c r="P73" s="85"/>
      <c r="Q73" s="86"/>
      <c r="R73" s="87"/>
      <c r="S73" s="81" t="str">
        <f aca="true">IF($C73="","Não agendado",IF($Q73="Cancelada","Cancelada",IF($Q73="Reprovado","Reprovada",IF($Q73="Aprovado","Aprovada",IF($M73&lt;&gt;"","Entregue",IF(TODAY()&gt;$C73,"Atrasada","Pendente"))))))</f>
        <v>Não agendado</v>
      </c>
      <c r="T73" s="88"/>
      <c r="U73" s="88"/>
      <c r="V73" s="88"/>
    </row>
    <row r="74" customFormat="false" ht="22.35" hidden="false" customHeight="true" outlineLevel="0" collapsed="false">
      <c r="A74" s="80" t="str">
        <f aca="false">$X$2&amp;"-TRE-5"</f>
        <v>SET-TRE-5</v>
      </c>
      <c r="B74" s="31" t="str">
        <f aca="false">IF($C74="","","S"&amp;INT(($C74-WEEKDAY($C74,2)+11-DATE(YEAR($C74+4-WEEKDAY($C74,2)),1,1))/7))</f>
        <v/>
      </c>
      <c r="C74" s="82"/>
      <c r="D74" s="87" t="s">
        <v>230</v>
      </c>
      <c r="E74" s="87"/>
      <c r="F74" s="87"/>
      <c r="G74" s="31" t="s">
        <v>231</v>
      </c>
      <c r="H74" s="81" t="s">
        <v>232</v>
      </c>
      <c r="I74" s="81"/>
      <c r="J74" s="31" t="s">
        <v>233</v>
      </c>
      <c r="K74" s="83" t="s">
        <v>233</v>
      </c>
      <c r="L74" s="83" t="s">
        <v>233</v>
      </c>
      <c r="M74" s="84"/>
      <c r="N74" s="84"/>
      <c r="O74" s="84"/>
      <c r="P74" s="85"/>
      <c r="Q74" s="86"/>
      <c r="R74" s="87"/>
      <c r="S74" s="81" t="str">
        <f aca="true">IF($C74="","Não agendado",IF($Q74="Cancelada","Cancelada",IF($Q74="Reprovado","Reprovada",IF($Q74="Aprovado","Aprovada",IF($M74&lt;&gt;"","Entregue",IF(TODAY()&gt;$C74,"Atrasada","Pendente"))))))</f>
        <v>Não agendado</v>
      </c>
      <c r="T74" s="88"/>
      <c r="U74" s="88"/>
      <c r="V74" s="88"/>
    </row>
    <row r="75" customFormat="false" ht="22.35" hidden="false" customHeight="true" outlineLevel="0" collapsed="false">
      <c r="A75" s="80" t="str">
        <f aca="false">$X$2&amp;"-TRE-6"</f>
        <v>SET-TRE-6</v>
      </c>
      <c r="B75" s="31" t="str">
        <f aca="false">IF($C75="","","S"&amp;INT(($C75-WEEKDAY($C75,2)+11-DATE(YEAR($C75+4-WEEKDAY($C75,2)),1,1))/7))</f>
        <v/>
      </c>
      <c r="C75" s="82"/>
      <c r="D75" s="87" t="s">
        <v>230</v>
      </c>
      <c r="E75" s="87"/>
      <c r="F75" s="87"/>
      <c r="G75" s="31" t="s">
        <v>231</v>
      </c>
      <c r="H75" s="81" t="s">
        <v>232</v>
      </c>
      <c r="I75" s="81"/>
      <c r="J75" s="31" t="s">
        <v>233</v>
      </c>
      <c r="K75" s="83" t="s">
        <v>233</v>
      </c>
      <c r="L75" s="83" t="s">
        <v>233</v>
      </c>
      <c r="M75" s="84"/>
      <c r="N75" s="84"/>
      <c r="O75" s="84"/>
      <c r="P75" s="85"/>
      <c r="Q75" s="86"/>
      <c r="R75" s="87"/>
      <c r="S75" s="81" t="str">
        <f aca="true">IF($C75="","Não agendado",IF($Q75="Cancelada","Cancelada",IF($Q75="Reprovado","Reprovada",IF($Q75="Aprovado","Aprovada",IF($M75&lt;&gt;"","Entregue",IF(TODAY()&gt;$C75,"Atrasada","Pendente"))))))</f>
        <v>Não agendado</v>
      </c>
      <c r="T75" s="88"/>
      <c r="U75" s="88"/>
      <c r="V75" s="88"/>
    </row>
    <row r="77" customFormat="false" ht="15" hidden="false" customHeight="true" outlineLevel="0" collapsed="false">
      <c r="A77" s="46" t="s">
        <v>234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</row>
  </sheetData>
  <mergeCells count="256">
    <mergeCell ref="A1:S1"/>
    <mergeCell ref="A3:O3"/>
    <mergeCell ref="B5:C5"/>
    <mergeCell ref="D5:E5"/>
    <mergeCell ref="F5:G5"/>
    <mergeCell ref="H5:I5"/>
    <mergeCell ref="J5:K5"/>
    <mergeCell ref="L5:M5"/>
    <mergeCell ref="N5:O5"/>
    <mergeCell ref="B6:C6"/>
    <mergeCell ref="D6:E6"/>
    <mergeCell ref="F6:G6"/>
    <mergeCell ref="H6:I6"/>
    <mergeCell ref="J6:K6"/>
    <mergeCell ref="L6:M6"/>
    <mergeCell ref="N6:O6"/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O18"/>
    <mergeCell ref="A20:V20"/>
    <mergeCell ref="D21:F21"/>
    <mergeCell ref="H21:I21"/>
    <mergeCell ref="M21:O21"/>
    <mergeCell ref="D22:F22"/>
    <mergeCell ref="H22:I22"/>
    <mergeCell ref="M22:O22"/>
    <mergeCell ref="D23:F23"/>
    <mergeCell ref="H23:I23"/>
    <mergeCell ref="M23:O23"/>
    <mergeCell ref="D24:F24"/>
    <mergeCell ref="H24:I24"/>
    <mergeCell ref="M24:O24"/>
    <mergeCell ref="D25:F25"/>
    <mergeCell ref="H25:I25"/>
    <mergeCell ref="M25:O25"/>
    <mergeCell ref="D26:F26"/>
    <mergeCell ref="H26:I26"/>
    <mergeCell ref="M26:O26"/>
    <mergeCell ref="D27:F27"/>
    <mergeCell ref="H27:I27"/>
    <mergeCell ref="M27:O27"/>
    <mergeCell ref="D28:F28"/>
    <mergeCell ref="H28:I28"/>
    <mergeCell ref="M28:O28"/>
    <mergeCell ref="D29:F29"/>
    <mergeCell ref="H29:I29"/>
    <mergeCell ref="M29:O29"/>
    <mergeCell ref="D30:F30"/>
    <mergeCell ref="H30:I30"/>
    <mergeCell ref="M30:O30"/>
    <mergeCell ref="D31:F31"/>
    <mergeCell ref="H31:I31"/>
    <mergeCell ref="M31:O31"/>
    <mergeCell ref="D32:F32"/>
    <mergeCell ref="H32:I32"/>
    <mergeCell ref="M32:O32"/>
    <mergeCell ref="D33:F33"/>
    <mergeCell ref="H33:I33"/>
    <mergeCell ref="M33:O33"/>
    <mergeCell ref="D34:F34"/>
    <mergeCell ref="H34:I34"/>
    <mergeCell ref="M34:O34"/>
    <mergeCell ref="D35:F35"/>
    <mergeCell ref="H35:I35"/>
    <mergeCell ref="M35:O35"/>
    <mergeCell ref="D36:F36"/>
    <mergeCell ref="H36:I36"/>
    <mergeCell ref="M36:O36"/>
    <mergeCell ref="D37:F37"/>
    <mergeCell ref="H37:I37"/>
    <mergeCell ref="M37:O37"/>
    <mergeCell ref="D38:F38"/>
    <mergeCell ref="H38:I38"/>
    <mergeCell ref="M38:O38"/>
    <mergeCell ref="D39:F39"/>
    <mergeCell ref="H39:I39"/>
    <mergeCell ref="M39:O39"/>
    <mergeCell ref="D40:F40"/>
    <mergeCell ref="H40:I40"/>
    <mergeCell ref="M40:O40"/>
    <mergeCell ref="D41:F41"/>
    <mergeCell ref="H41:I41"/>
    <mergeCell ref="M41:O41"/>
    <mergeCell ref="D42:F42"/>
    <mergeCell ref="H42:I42"/>
    <mergeCell ref="M42:O42"/>
    <mergeCell ref="D43:F43"/>
    <mergeCell ref="H43:I43"/>
    <mergeCell ref="M43:O43"/>
    <mergeCell ref="D44:F44"/>
    <mergeCell ref="H44:I44"/>
    <mergeCell ref="M44:O44"/>
    <mergeCell ref="D45:F45"/>
    <mergeCell ref="H45:I45"/>
    <mergeCell ref="M45:O45"/>
    <mergeCell ref="D46:F46"/>
    <mergeCell ref="H46:I46"/>
    <mergeCell ref="M46:O46"/>
    <mergeCell ref="D47:F47"/>
    <mergeCell ref="H47:I47"/>
    <mergeCell ref="M47:O47"/>
    <mergeCell ref="D48:F48"/>
    <mergeCell ref="H48:I48"/>
    <mergeCell ref="M48:O48"/>
    <mergeCell ref="D49:F49"/>
    <mergeCell ref="H49:I49"/>
    <mergeCell ref="M49:O49"/>
    <mergeCell ref="D50:F50"/>
    <mergeCell ref="H50:I50"/>
    <mergeCell ref="M50:O50"/>
    <mergeCell ref="D51:F51"/>
    <mergeCell ref="H51:I51"/>
    <mergeCell ref="M51:O51"/>
    <mergeCell ref="D52:F52"/>
    <mergeCell ref="H52:I52"/>
    <mergeCell ref="M52:O52"/>
    <mergeCell ref="D53:F53"/>
    <mergeCell ref="H53:I53"/>
    <mergeCell ref="M53:O53"/>
    <mergeCell ref="D54:F54"/>
    <mergeCell ref="H54:I54"/>
    <mergeCell ref="M54:O54"/>
    <mergeCell ref="D55:F55"/>
    <mergeCell ref="H55:I55"/>
    <mergeCell ref="M55:O55"/>
    <mergeCell ref="D56:F56"/>
    <mergeCell ref="H56:I56"/>
    <mergeCell ref="M56:O56"/>
    <mergeCell ref="D57:F57"/>
    <mergeCell ref="H57:I57"/>
    <mergeCell ref="M57:O57"/>
    <mergeCell ref="D58:F58"/>
    <mergeCell ref="H58:I58"/>
    <mergeCell ref="M58:O58"/>
    <mergeCell ref="D59:F59"/>
    <mergeCell ref="H59:I59"/>
    <mergeCell ref="M59:O59"/>
    <mergeCell ref="D60:F60"/>
    <mergeCell ref="H60:I60"/>
    <mergeCell ref="M60:O60"/>
    <mergeCell ref="D61:F61"/>
    <mergeCell ref="H61:I61"/>
    <mergeCell ref="M61:O61"/>
    <mergeCell ref="D62:F62"/>
    <mergeCell ref="H62:I62"/>
    <mergeCell ref="M62:O62"/>
    <mergeCell ref="D63:F63"/>
    <mergeCell ref="H63:I63"/>
    <mergeCell ref="M63:O63"/>
    <mergeCell ref="D64:F64"/>
    <mergeCell ref="H64:I64"/>
    <mergeCell ref="M64:O64"/>
    <mergeCell ref="D65:F65"/>
    <mergeCell ref="H65:I65"/>
    <mergeCell ref="M65:O65"/>
    <mergeCell ref="D66:F66"/>
    <mergeCell ref="H66:I66"/>
    <mergeCell ref="M66:O66"/>
    <mergeCell ref="D67:F67"/>
    <mergeCell ref="H67:I67"/>
    <mergeCell ref="M67:O67"/>
    <mergeCell ref="A69:V69"/>
    <mergeCell ref="D70:F70"/>
    <mergeCell ref="H70:I70"/>
    <mergeCell ref="M70:O70"/>
    <mergeCell ref="D71:F71"/>
    <mergeCell ref="H71:I71"/>
    <mergeCell ref="M71:O71"/>
    <mergeCell ref="D72:F72"/>
    <mergeCell ref="H72:I72"/>
    <mergeCell ref="M72:O72"/>
    <mergeCell ref="D73:F73"/>
    <mergeCell ref="H73:I73"/>
    <mergeCell ref="M73:O73"/>
    <mergeCell ref="D74:F74"/>
    <mergeCell ref="H74:I74"/>
    <mergeCell ref="M74:O74"/>
    <mergeCell ref="D75:F75"/>
    <mergeCell ref="H75:I75"/>
    <mergeCell ref="M75:O75"/>
    <mergeCell ref="A77:V77"/>
  </mergeCells>
  <conditionalFormatting sqref="A3">
    <cfRule type="expression" priority="2" aboveAverage="0" equalAverage="0" bottom="0" percent="0" rank="0" text="" dxfId="11">
      <formula>LEFT($A$3,3)="MÊS"</formula>
    </cfRule>
  </conditionalFormatting>
  <conditionalFormatting sqref="B6:C7">
    <cfRule type="expression" priority="3" aboveAverage="0" equalAverage="0" bottom="0" percent="0" rank="0" text="" dxfId="12">
      <formula>AND(B6&lt;&gt;"",B6=TODAY())</formula>
    </cfRule>
    <cfRule type="expression" priority="4" aboveAverage="0" equalAverage="0" bottom="0" percent="0" rank="0" text="" dxfId="13">
      <formula>AND(B6&lt;&gt;"",COUNTIFS($C$22:$C$150,B6,$S$22:$S$150,"Atrasada")&gt;0)</formula>
    </cfRule>
    <cfRule type="expression" priority="5" aboveAverage="0" equalAverage="0" bottom="0" percent="0" rank="0" text="" dxfId="14">
      <formula>AND(B6&lt;&gt;"",COUNTIFS($C$22:$C$150,B6,$Q$22:$Q$150,"&lt;&gt;Cancelada")&gt;0)</formula>
    </cfRule>
  </conditionalFormatting>
  <conditionalFormatting sqref="D6:E7">
    <cfRule type="expression" priority="6" aboveAverage="0" equalAverage="0" bottom="0" percent="0" rank="0" text="" dxfId="12">
      <formula>AND(D6&lt;&gt;"",D6=TODAY())</formula>
    </cfRule>
    <cfRule type="expression" priority="7" aboveAverage="0" equalAverage="0" bottom="0" percent="0" rank="0" text="" dxfId="13">
      <formula>AND(D6&lt;&gt;"",COUNTIFS($C$22:$C$150,D6,$S$22:$S$150,"Atrasada")&gt;0)</formula>
    </cfRule>
    <cfRule type="expression" priority="8" aboveAverage="0" equalAverage="0" bottom="0" percent="0" rank="0" text="" dxfId="14">
      <formula>AND(D6&lt;&gt;"",COUNTIFS($C$22:$C$150,D6,$Q$22:$Q$150,"&lt;&gt;Cancelada")&gt;0)</formula>
    </cfRule>
  </conditionalFormatting>
  <conditionalFormatting sqref="F6:G7">
    <cfRule type="expression" priority="9" aboveAverage="0" equalAverage="0" bottom="0" percent="0" rank="0" text="" dxfId="12">
      <formula>AND(F6&lt;&gt;"",F6=TODAY())</formula>
    </cfRule>
    <cfRule type="expression" priority="10" aboveAverage="0" equalAverage="0" bottom="0" percent="0" rank="0" text="" dxfId="13">
      <formula>AND(F6&lt;&gt;"",COUNTIFS($C$22:$C$150,F6,$S$22:$S$150,"Atrasada")&gt;0)</formula>
    </cfRule>
    <cfRule type="expression" priority="11" aboveAverage="0" equalAverage="0" bottom="0" percent="0" rank="0" text="" dxfId="14">
      <formula>AND(F6&lt;&gt;"",COUNTIFS($C$22:$C$150,F6,$Q$22:$Q$150,"&lt;&gt;Cancelada")&gt;0)</formula>
    </cfRule>
  </conditionalFormatting>
  <conditionalFormatting sqref="H6:I7">
    <cfRule type="expression" priority="12" aboveAverage="0" equalAverage="0" bottom="0" percent="0" rank="0" text="" dxfId="12">
      <formula>AND(H6&lt;&gt;"",H6=TODAY())</formula>
    </cfRule>
    <cfRule type="expression" priority="13" aboveAverage="0" equalAverage="0" bottom="0" percent="0" rank="0" text="" dxfId="13">
      <formula>AND(H6&lt;&gt;"",COUNTIFS($C$22:$C$150,H6,$S$22:$S$150,"Atrasada")&gt;0)</formula>
    </cfRule>
    <cfRule type="expression" priority="14" aboveAverage="0" equalAverage="0" bottom="0" percent="0" rank="0" text="" dxfId="14">
      <formula>AND(H6&lt;&gt;"",COUNTIFS($C$22:$C$150,H6,$Q$22:$Q$150,"&lt;&gt;Cancelada")&gt;0)</formula>
    </cfRule>
  </conditionalFormatting>
  <conditionalFormatting sqref="J6:K7">
    <cfRule type="expression" priority="15" aboveAverage="0" equalAverage="0" bottom="0" percent="0" rank="0" text="" dxfId="12">
      <formula>AND(J6&lt;&gt;"",J6=TODAY())</formula>
    </cfRule>
    <cfRule type="expression" priority="16" aboveAverage="0" equalAverage="0" bottom="0" percent="0" rank="0" text="" dxfId="13">
      <formula>AND(J6&lt;&gt;"",COUNTIFS($C$22:$C$150,J6,$S$22:$S$150,"Atrasada")&gt;0)</formula>
    </cfRule>
    <cfRule type="expression" priority="17" aboveAverage="0" equalAverage="0" bottom="0" percent="0" rank="0" text="" dxfId="14">
      <formula>AND(J6&lt;&gt;"",COUNTIFS($C$22:$C$150,J6,$Q$22:$Q$150,"&lt;&gt;Cancelada")&gt;0)</formula>
    </cfRule>
  </conditionalFormatting>
  <conditionalFormatting sqref="L6:M7">
    <cfRule type="expression" priority="18" aboveAverage="0" equalAverage="0" bottom="0" percent="0" rank="0" text="" dxfId="12">
      <formula>AND(L6&lt;&gt;"",L6=TODAY())</formula>
    </cfRule>
    <cfRule type="expression" priority="19" aboveAverage="0" equalAverage="0" bottom="0" percent="0" rank="0" text="" dxfId="13">
      <formula>AND(L6&lt;&gt;"",COUNTIFS($C$22:$C$150,L6,$S$22:$S$150,"Atrasada")&gt;0)</formula>
    </cfRule>
    <cfRule type="expression" priority="20" aboveAverage="0" equalAverage="0" bottom="0" percent="0" rank="0" text="" dxfId="14">
      <formula>AND(L6&lt;&gt;"",COUNTIFS($C$22:$C$150,L6,$Q$22:$Q$150,"&lt;&gt;Cancelada")&gt;0)</formula>
    </cfRule>
  </conditionalFormatting>
  <conditionalFormatting sqref="N6:O7">
    <cfRule type="expression" priority="21" aboveAverage="0" equalAverage="0" bottom="0" percent="0" rank="0" text="" dxfId="12">
      <formula>AND(N6&lt;&gt;"",N6=TODAY())</formula>
    </cfRule>
    <cfRule type="expression" priority="22" aboveAverage="0" equalAverage="0" bottom="0" percent="0" rank="0" text="" dxfId="13">
      <formula>AND(N6&lt;&gt;"",COUNTIFS($C$22:$C$150,N6,$S$22:$S$150,"Atrasada")&gt;0)</formula>
    </cfRule>
    <cfRule type="expression" priority="23" aboveAverage="0" equalAverage="0" bottom="0" percent="0" rank="0" text="" dxfId="14">
      <formula>AND(N6&lt;&gt;"",COUNTIFS($C$22:$C$150,N6,$Q$22:$Q$150,"&lt;&gt;Cancelada")&gt;0)</formula>
    </cfRule>
  </conditionalFormatting>
  <conditionalFormatting sqref="B8:C9">
    <cfRule type="expression" priority="24" aboveAverage="0" equalAverage="0" bottom="0" percent="0" rank="0" text="" dxfId="12">
      <formula>AND(B8&lt;&gt;"",B8=TODAY())</formula>
    </cfRule>
    <cfRule type="expression" priority="25" aboveAverage="0" equalAverage="0" bottom="0" percent="0" rank="0" text="" dxfId="13">
      <formula>AND(B8&lt;&gt;"",COUNTIFS($C$22:$C$150,B8,$S$22:$S$150,"Atrasada")&gt;0)</formula>
    </cfRule>
    <cfRule type="expression" priority="26" aboveAverage="0" equalAverage="0" bottom="0" percent="0" rank="0" text="" dxfId="14">
      <formula>AND(B8&lt;&gt;"",COUNTIFS($C$22:$C$150,B8,$Q$22:$Q$150,"&lt;&gt;Cancelada")&gt;0)</formula>
    </cfRule>
  </conditionalFormatting>
  <conditionalFormatting sqref="D8:E9">
    <cfRule type="expression" priority="27" aboveAverage="0" equalAverage="0" bottom="0" percent="0" rank="0" text="" dxfId="12">
      <formula>AND(D8&lt;&gt;"",D8=TODAY())</formula>
    </cfRule>
    <cfRule type="expression" priority="28" aboveAverage="0" equalAverage="0" bottom="0" percent="0" rank="0" text="" dxfId="13">
      <formula>AND(D8&lt;&gt;"",COUNTIFS($C$22:$C$150,D8,$S$22:$S$150,"Atrasada")&gt;0)</formula>
    </cfRule>
    <cfRule type="expression" priority="29" aboveAverage="0" equalAverage="0" bottom="0" percent="0" rank="0" text="" dxfId="14">
      <formula>AND(D8&lt;&gt;"",COUNTIFS($C$22:$C$150,D8,$Q$22:$Q$150,"&lt;&gt;Cancelada")&gt;0)</formula>
    </cfRule>
  </conditionalFormatting>
  <conditionalFormatting sqref="F8:G9">
    <cfRule type="expression" priority="30" aboveAverage="0" equalAverage="0" bottom="0" percent="0" rank="0" text="" dxfId="12">
      <formula>AND(F8&lt;&gt;"",F8=TODAY())</formula>
    </cfRule>
    <cfRule type="expression" priority="31" aboveAverage="0" equalAverage="0" bottom="0" percent="0" rank="0" text="" dxfId="13">
      <formula>AND(F8&lt;&gt;"",COUNTIFS($C$22:$C$150,F8,$S$22:$S$150,"Atrasada")&gt;0)</formula>
    </cfRule>
    <cfRule type="expression" priority="32" aboveAverage="0" equalAverage="0" bottom="0" percent="0" rank="0" text="" dxfId="14">
      <formula>AND(F8&lt;&gt;"",COUNTIFS($C$22:$C$150,F8,$Q$22:$Q$150,"&lt;&gt;Cancelada")&gt;0)</formula>
    </cfRule>
  </conditionalFormatting>
  <conditionalFormatting sqref="H8:I9">
    <cfRule type="expression" priority="33" aboveAverage="0" equalAverage="0" bottom="0" percent="0" rank="0" text="" dxfId="12">
      <formula>AND(H8&lt;&gt;"",H8=TODAY())</formula>
    </cfRule>
    <cfRule type="expression" priority="34" aboveAverage="0" equalAverage="0" bottom="0" percent="0" rank="0" text="" dxfId="13">
      <formula>AND(H8&lt;&gt;"",COUNTIFS($C$22:$C$150,H8,$S$22:$S$150,"Atrasada")&gt;0)</formula>
    </cfRule>
    <cfRule type="expression" priority="35" aboveAverage="0" equalAverage="0" bottom="0" percent="0" rank="0" text="" dxfId="14">
      <formula>AND(H8&lt;&gt;"",COUNTIFS($C$22:$C$150,H8,$Q$22:$Q$150,"&lt;&gt;Cancelada")&gt;0)</formula>
    </cfRule>
  </conditionalFormatting>
  <conditionalFormatting sqref="J8:K9">
    <cfRule type="expression" priority="36" aboveAverage="0" equalAverage="0" bottom="0" percent="0" rank="0" text="" dxfId="12">
      <formula>AND(J8&lt;&gt;"",J8=TODAY())</formula>
    </cfRule>
    <cfRule type="expression" priority="37" aboveAverage="0" equalAverage="0" bottom="0" percent="0" rank="0" text="" dxfId="13">
      <formula>AND(J8&lt;&gt;"",COUNTIFS($C$22:$C$150,J8,$S$22:$S$150,"Atrasada")&gt;0)</formula>
    </cfRule>
    <cfRule type="expression" priority="38" aboveAverage="0" equalAverage="0" bottom="0" percent="0" rank="0" text="" dxfId="14">
      <formula>AND(J8&lt;&gt;"",COUNTIFS($C$22:$C$150,J8,$Q$22:$Q$150,"&lt;&gt;Cancelada")&gt;0)</formula>
    </cfRule>
  </conditionalFormatting>
  <conditionalFormatting sqref="L8:M9">
    <cfRule type="expression" priority="39" aboveAverage="0" equalAverage="0" bottom="0" percent="0" rank="0" text="" dxfId="12">
      <formula>AND(L8&lt;&gt;"",L8=TODAY())</formula>
    </cfRule>
    <cfRule type="expression" priority="40" aboveAverage="0" equalAverage="0" bottom="0" percent="0" rank="0" text="" dxfId="13">
      <formula>AND(L8&lt;&gt;"",COUNTIFS($C$22:$C$150,L8,$S$22:$S$150,"Atrasada")&gt;0)</formula>
    </cfRule>
    <cfRule type="expression" priority="41" aboveAverage="0" equalAverage="0" bottom="0" percent="0" rank="0" text="" dxfId="14">
      <formula>AND(L8&lt;&gt;"",COUNTIFS($C$22:$C$150,L8,$Q$22:$Q$150,"&lt;&gt;Cancelada")&gt;0)</formula>
    </cfRule>
  </conditionalFormatting>
  <conditionalFormatting sqref="N8:O9">
    <cfRule type="expression" priority="42" aboveAverage="0" equalAverage="0" bottom="0" percent="0" rank="0" text="" dxfId="12">
      <formula>AND(N8&lt;&gt;"",N8=TODAY())</formula>
    </cfRule>
    <cfRule type="expression" priority="43" aboveAverage="0" equalAverage="0" bottom="0" percent="0" rank="0" text="" dxfId="13">
      <formula>AND(N8&lt;&gt;"",COUNTIFS($C$22:$C$150,N8,$S$22:$S$150,"Atrasada")&gt;0)</formula>
    </cfRule>
    <cfRule type="expression" priority="44" aboveAverage="0" equalAverage="0" bottom="0" percent="0" rank="0" text="" dxfId="14">
      <formula>AND(N8&lt;&gt;"",COUNTIFS($C$22:$C$150,N8,$Q$22:$Q$150,"&lt;&gt;Cancelada")&gt;0)</formula>
    </cfRule>
  </conditionalFormatting>
  <conditionalFormatting sqref="B10:C11">
    <cfRule type="expression" priority="45" aboveAverage="0" equalAverage="0" bottom="0" percent="0" rank="0" text="" dxfId="12">
      <formula>AND(B10&lt;&gt;"",B10=TODAY())</formula>
    </cfRule>
    <cfRule type="expression" priority="46" aboveAverage="0" equalAverage="0" bottom="0" percent="0" rank="0" text="" dxfId="13">
      <formula>AND(B10&lt;&gt;"",COUNTIFS($C$22:$C$150,B10,$S$22:$S$150,"Atrasada")&gt;0)</formula>
    </cfRule>
    <cfRule type="expression" priority="47" aboveAverage="0" equalAverage="0" bottom="0" percent="0" rank="0" text="" dxfId="14">
      <formula>AND(B10&lt;&gt;"",COUNTIFS($C$22:$C$150,B10,$Q$22:$Q$150,"&lt;&gt;Cancelada")&gt;0)</formula>
    </cfRule>
  </conditionalFormatting>
  <conditionalFormatting sqref="D10:E11">
    <cfRule type="expression" priority="48" aboveAverage="0" equalAverage="0" bottom="0" percent="0" rank="0" text="" dxfId="12">
      <formula>AND(D10&lt;&gt;"",D10=TODAY())</formula>
    </cfRule>
    <cfRule type="expression" priority="49" aboveAverage="0" equalAverage="0" bottom="0" percent="0" rank="0" text="" dxfId="13">
      <formula>AND(D10&lt;&gt;"",COUNTIFS($C$22:$C$150,D10,$S$22:$S$150,"Atrasada")&gt;0)</formula>
    </cfRule>
    <cfRule type="expression" priority="50" aboveAverage="0" equalAverage="0" bottom="0" percent="0" rank="0" text="" dxfId="14">
      <formula>AND(D10&lt;&gt;"",COUNTIFS($C$22:$C$150,D10,$Q$22:$Q$150,"&lt;&gt;Cancelada")&gt;0)</formula>
    </cfRule>
  </conditionalFormatting>
  <conditionalFormatting sqref="F10:G11">
    <cfRule type="expression" priority="51" aboveAverage="0" equalAverage="0" bottom="0" percent="0" rank="0" text="" dxfId="12">
      <formula>AND(F10&lt;&gt;"",F10=TODAY())</formula>
    </cfRule>
    <cfRule type="expression" priority="52" aboveAverage="0" equalAverage="0" bottom="0" percent="0" rank="0" text="" dxfId="13">
      <formula>AND(F10&lt;&gt;"",COUNTIFS($C$22:$C$150,F10,$S$22:$S$150,"Atrasada")&gt;0)</formula>
    </cfRule>
    <cfRule type="expression" priority="53" aboveAverage="0" equalAverage="0" bottom="0" percent="0" rank="0" text="" dxfId="14">
      <formula>AND(F10&lt;&gt;"",COUNTIFS($C$22:$C$150,F10,$Q$22:$Q$150,"&lt;&gt;Cancelada")&gt;0)</formula>
    </cfRule>
  </conditionalFormatting>
  <conditionalFormatting sqref="H10:I11">
    <cfRule type="expression" priority="54" aboveAverage="0" equalAverage="0" bottom="0" percent="0" rank="0" text="" dxfId="12">
      <formula>AND(H10&lt;&gt;"",H10=TODAY())</formula>
    </cfRule>
    <cfRule type="expression" priority="55" aboveAverage="0" equalAverage="0" bottom="0" percent="0" rank="0" text="" dxfId="13">
      <formula>AND(H10&lt;&gt;"",COUNTIFS($C$22:$C$150,H10,$S$22:$S$150,"Atrasada")&gt;0)</formula>
    </cfRule>
    <cfRule type="expression" priority="56" aboveAverage="0" equalAverage="0" bottom="0" percent="0" rank="0" text="" dxfId="14">
      <formula>AND(H10&lt;&gt;"",COUNTIFS($C$22:$C$150,H10,$Q$22:$Q$150,"&lt;&gt;Cancelada")&gt;0)</formula>
    </cfRule>
  </conditionalFormatting>
  <conditionalFormatting sqref="J10:K11">
    <cfRule type="expression" priority="57" aboveAverage="0" equalAverage="0" bottom="0" percent="0" rank="0" text="" dxfId="12">
      <formula>AND(J10&lt;&gt;"",J10=TODAY())</formula>
    </cfRule>
    <cfRule type="expression" priority="58" aboveAverage="0" equalAverage="0" bottom="0" percent="0" rank="0" text="" dxfId="13">
      <formula>AND(J10&lt;&gt;"",COUNTIFS($C$22:$C$150,J10,$S$22:$S$150,"Atrasada")&gt;0)</formula>
    </cfRule>
    <cfRule type="expression" priority="59" aboveAverage="0" equalAverage="0" bottom="0" percent="0" rank="0" text="" dxfId="14">
      <formula>AND(J10&lt;&gt;"",COUNTIFS($C$22:$C$150,J10,$Q$22:$Q$150,"&lt;&gt;Cancelada")&gt;0)</formula>
    </cfRule>
  </conditionalFormatting>
  <conditionalFormatting sqref="L10:M11">
    <cfRule type="expression" priority="60" aboveAverage="0" equalAverage="0" bottom="0" percent="0" rank="0" text="" dxfId="12">
      <formula>AND(L10&lt;&gt;"",L10=TODAY())</formula>
    </cfRule>
    <cfRule type="expression" priority="61" aboveAverage="0" equalAverage="0" bottom="0" percent="0" rank="0" text="" dxfId="13">
      <formula>AND(L10&lt;&gt;"",COUNTIFS($C$22:$C$150,L10,$S$22:$S$150,"Atrasada")&gt;0)</formula>
    </cfRule>
    <cfRule type="expression" priority="62" aboveAverage="0" equalAverage="0" bottom="0" percent="0" rank="0" text="" dxfId="14">
      <formula>AND(L10&lt;&gt;"",COUNTIFS($C$22:$C$150,L10,$Q$22:$Q$150,"&lt;&gt;Cancelada")&gt;0)</formula>
    </cfRule>
  </conditionalFormatting>
  <conditionalFormatting sqref="N10:O11">
    <cfRule type="expression" priority="63" aboveAverage="0" equalAverage="0" bottom="0" percent="0" rank="0" text="" dxfId="12">
      <formula>AND(N10&lt;&gt;"",N10=TODAY())</formula>
    </cfRule>
    <cfRule type="expression" priority="64" aboveAverage="0" equalAverage="0" bottom="0" percent="0" rank="0" text="" dxfId="13">
      <formula>AND(N10&lt;&gt;"",COUNTIFS($C$22:$C$150,N10,$S$22:$S$150,"Atrasada")&gt;0)</formula>
    </cfRule>
    <cfRule type="expression" priority="65" aboveAverage="0" equalAverage="0" bottom="0" percent="0" rank="0" text="" dxfId="14">
      <formula>AND(N10&lt;&gt;"",COUNTIFS($C$22:$C$150,N10,$Q$22:$Q$150,"&lt;&gt;Cancelada")&gt;0)</formula>
    </cfRule>
  </conditionalFormatting>
  <conditionalFormatting sqref="B12:C13">
    <cfRule type="expression" priority="66" aboveAverage="0" equalAverage="0" bottom="0" percent="0" rank="0" text="" dxfId="12">
      <formula>AND(B12&lt;&gt;"",B12=TODAY())</formula>
    </cfRule>
    <cfRule type="expression" priority="67" aboveAverage="0" equalAverage="0" bottom="0" percent="0" rank="0" text="" dxfId="13">
      <formula>AND(B12&lt;&gt;"",COUNTIFS($C$22:$C$150,B12,$S$22:$S$150,"Atrasada")&gt;0)</formula>
    </cfRule>
    <cfRule type="expression" priority="68" aboveAverage="0" equalAverage="0" bottom="0" percent="0" rank="0" text="" dxfId="14">
      <formula>AND(B12&lt;&gt;"",COUNTIFS($C$22:$C$150,B12,$Q$22:$Q$150,"&lt;&gt;Cancelada")&gt;0)</formula>
    </cfRule>
  </conditionalFormatting>
  <conditionalFormatting sqref="D12:E13">
    <cfRule type="expression" priority="69" aboveAverage="0" equalAverage="0" bottom="0" percent="0" rank="0" text="" dxfId="12">
      <formula>AND(D12&lt;&gt;"",D12=TODAY())</formula>
    </cfRule>
    <cfRule type="expression" priority="70" aboveAverage="0" equalAverage="0" bottom="0" percent="0" rank="0" text="" dxfId="13">
      <formula>AND(D12&lt;&gt;"",COUNTIFS($C$22:$C$150,D12,$S$22:$S$150,"Atrasada")&gt;0)</formula>
    </cfRule>
    <cfRule type="expression" priority="71" aboveAverage="0" equalAverage="0" bottom="0" percent="0" rank="0" text="" dxfId="14">
      <formula>AND(D12&lt;&gt;"",COUNTIFS($C$22:$C$150,D12,$Q$22:$Q$150,"&lt;&gt;Cancelada")&gt;0)</formula>
    </cfRule>
  </conditionalFormatting>
  <conditionalFormatting sqref="F12:G13">
    <cfRule type="expression" priority="72" aboveAverage="0" equalAverage="0" bottom="0" percent="0" rank="0" text="" dxfId="12">
      <formula>AND(F12&lt;&gt;"",F12=TODAY())</formula>
    </cfRule>
    <cfRule type="expression" priority="73" aboveAverage="0" equalAverage="0" bottom="0" percent="0" rank="0" text="" dxfId="13">
      <formula>AND(F12&lt;&gt;"",COUNTIFS($C$22:$C$150,F12,$S$22:$S$150,"Atrasada")&gt;0)</formula>
    </cfRule>
    <cfRule type="expression" priority="74" aboveAverage="0" equalAverage="0" bottom="0" percent="0" rank="0" text="" dxfId="14">
      <formula>AND(F12&lt;&gt;"",COUNTIFS($C$22:$C$150,F12,$Q$22:$Q$150,"&lt;&gt;Cancelada")&gt;0)</formula>
    </cfRule>
  </conditionalFormatting>
  <conditionalFormatting sqref="H12:I13">
    <cfRule type="expression" priority="75" aboveAverage="0" equalAverage="0" bottom="0" percent="0" rank="0" text="" dxfId="12">
      <formula>AND(H12&lt;&gt;"",H12=TODAY())</formula>
    </cfRule>
    <cfRule type="expression" priority="76" aboveAverage="0" equalAverage="0" bottom="0" percent="0" rank="0" text="" dxfId="13">
      <formula>AND(H12&lt;&gt;"",COUNTIFS($C$22:$C$150,H12,$S$22:$S$150,"Atrasada")&gt;0)</formula>
    </cfRule>
    <cfRule type="expression" priority="77" aboveAverage="0" equalAverage="0" bottom="0" percent="0" rank="0" text="" dxfId="14">
      <formula>AND(H12&lt;&gt;"",COUNTIFS($C$22:$C$150,H12,$Q$22:$Q$150,"&lt;&gt;Cancelada")&gt;0)</formula>
    </cfRule>
  </conditionalFormatting>
  <conditionalFormatting sqref="J12:K13">
    <cfRule type="expression" priority="78" aboveAverage="0" equalAverage="0" bottom="0" percent="0" rank="0" text="" dxfId="12">
      <formula>AND(J12&lt;&gt;"",J12=TODAY())</formula>
    </cfRule>
    <cfRule type="expression" priority="79" aboveAverage="0" equalAverage="0" bottom="0" percent="0" rank="0" text="" dxfId="13">
      <formula>AND(J12&lt;&gt;"",COUNTIFS($C$22:$C$150,J12,$S$22:$S$150,"Atrasada")&gt;0)</formula>
    </cfRule>
    <cfRule type="expression" priority="80" aboveAverage="0" equalAverage="0" bottom="0" percent="0" rank="0" text="" dxfId="14">
      <formula>AND(J12&lt;&gt;"",COUNTIFS($C$22:$C$150,J12,$Q$22:$Q$150,"&lt;&gt;Cancelada")&gt;0)</formula>
    </cfRule>
  </conditionalFormatting>
  <conditionalFormatting sqref="L12:M13">
    <cfRule type="expression" priority="81" aboveAverage="0" equalAverage="0" bottom="0" percent="0" rank="0" text="" dxfId="12">
      <formula>AND(L12&lt;&gt;"",L12=TODAY())</formula>
    </cfRule>
    <cfRule type="expression" priority="82" aboveAverage="0" equalAverage="0" bottom="0" percent="0" rank="0" text="" dxfId="13">
      <formula>AND(L12&lt;&gt;"",COUNTIFS($C$22:$C$150,L12,$S$22:$S$150,"Atrasada")&gt;0)</formula>
    </cfRule>
    <cfRule type="expression" priority="83" aboveAverage="0" equalAverage="0" bottom="0" percent="0" rank="0" text="" dxfId="14">
      <formula>AND(L12&lt;&gt;"",COUNTIFS($C$22:$C$150,L12,$Q$22:$Q$150,"&lt;&gt;Cancelada")&gt;0)</formula>
    </cfRule>
  </conditionalFormatting>
  <conditionalFormatting sqref="N12:O13">
    <cfRule type="expression" priority="84" aboveAverage="0" equalAverage="0" bottom="0" percent="0" rank="0" text="" dxfId="12">
      <formula>AND(N12&lt;&gt;"",N12=TODAY())</formula>
    </cfRule>
    <cfRule type="expression" priority="85" aboveAverage="0" equalAverage="0" bottom="0" percent="0" rank="0" text="" dxfId="13">
      <formula>AND(N12&lt;&gt;"",COUNTIFS($C$22:$C$150,N12,$S$22:$S$150,"Atrasada")&gt;0)</formula>
    </cfRule>
    <cfRule type="expression" priority="86" aboveAverage="0" equalAverage="0" bottom="0" percent="0" rank="0" text="" dxfId="14">
      <formula>AND(N12&lt;&gt;"",COUNTIFS($C$22:$C$150,N12,$Q$22:$Q$150,"&lt;&gt;Cancelada")&gt;0)</formula>
    </cfRule>
  </conditionalFormatting>
  <conditionalFormatting sqref="B14:C15">
    <cfRule type="expression" priority="87" aboveAverage="0" equalAverage="0" bottom="0" percent="0" rank="0" text="" dxfId="12">
      <formula>AND(B14&lt;&gt;"",B14=TODAY())</formula>
    </cfRule>
    <cfRule type="expression" priority="88" aboveAverage="0" equalAverage="0" bottom="0" percent="0" rank="0" text="" dxfId="13">
      <formula>AND(B14&lt;&gt;"",COUNTIFS($C$22:$C$150,B14,$S$22:$S$150,"Atrasada")&gt;0)</formula>
    </cfRule>
    <cfRule type="expression" priority="89" aboveAverage="0" equalAverage="0" bottom="0" percent="0" rank="0" text="" dxfId="14">
      <formula>AND(B14&lt;&gt;"",COUNTIFS($C$22:$C$150,B14,$Q$22:$Q$150,"&lt;&gt;Cancelada")&gt;0)</formula>
    </cfRule>
  </conditionalFormatting>
  <conditionalFormatting sqref="D14:E15">
    <cfRule type="expression" priority="90" aboveAverage="0" equalAverage="0" bottom="0" percent="0" rank="0" text="" dxfId="12">
      <formula>AND(D14&lt;&gt;"",D14=TODAY())</formula>
    </cfRule>
    <cfRule type="expression" priority="91" aboveAverage="0" equalAverage="0" bottom="0" percent="0" rank="0" text="" dxfId="13">
      <formula>AND(D14&lt;&gt;"",COUNTIFS($C$22:$C$150,D14,$S$22:$S$150,"Atrasada")&gt;0)</formula>
    </cfRule>
    <cfRule type="expression" priority="92" aboveAverage="0" equalAverage="0" bottom="0" percent="0" rank="0" text="" dxfId="14">
      <formula>AND(D14&lt;&gt;"",COUNTIFS($C$22:$C$150,D14,$Q$22:$Q$150,"&lt;&gt;Cancelada")&gt;0)</formula>
    </cfRule>
  </conditionalFormatting>
  <conditionalFormatting sqref="F14:G15">
    <cfRule type="expression" priority="93" aboveAverage="0" equalAverage="0" bottom="0" percent="0" rank="0" text="" dxfId="12">
      <formula>AND(F14&lt;&gt;"",F14=TODAY())</formula>
    </cfRule>
    <cfRule type="expression" priority="94" aboveAverage="0" equalAverage="0" bottom="0" percent="0" rank="0" text="" dxfId="13">
      <formula>AND(F14&lt;&gt;"",COUNTIFS($C$22:$C$150,F14,$S$22:$S$150,"Atrasada")&gt;0)</formula>
    </cfRule>
    <cfRule type="expression" priority="95" aboveAverage="0" equalAverage="0" bottom="0" percent="0" rank="0" text="" dxfId="14">
      <formula>AND(F14&lt;&gt;"",COUNTIFS($C$22:$C$150,F14,$Q$22:$Q$150,"&lt;&gt;Cancelada")&gt;0)</formula>
    </cfRule>
  </conditionalFormatting>
  <conditionalFormatting sqref="H14:I15">
    <cfRule type="expression" priority="96" aboveAverage="0" equalAverage="0" bottom="0" percent="0" rank="0" text="" dxfId="12">
      <formula>AND(H14&lt;&gt;"",H14=TODAY())</formula>
    </cfRule>
    <cfRule type="expression" priority="97" aboveAverage="0" equalAverage="0" bottom="0" percent="0" rank="0" text="" dxfId="13">
      <formula>AND(H14&lt;&gt;"",COUNTIFS($C$22:$C$150,H14,$S$22:$S$150,"Atrasada")&gt;0)</formula>
    </cfRule>
    <cfRule type="expression" priority="98" aboveAverage="0" equalAverage="0" bottom="0" percent="0" rank="0" text="" dxfId="14">
      <formula>AND(H14&lt;&gt;"",COUNTIFS($C$22:$C$150,H14,$Q$22:$Q$150,"&lt;&gt;Cancelada")&gt;0)</formula>
    </cfRule>
  </conditionalFormatting>
  <conditionalFormatting sqref="J14:K15">
    <cfRule type="expression" priority="99" aboveAverage="0" equalAverage="0" bottom="0" percent="0" rank="0" text="" dxfId="12">
      <formula>AND(J14&lt;&gt;"",J14=TODAY())</formula>
    </cfRule>
    <cfRule type="expression" priority="100" aboveAverage="0" equalAverage="0" bottom="0" percent="0" rank="0" text="" dxfId="13">
      <formula>AND(J14&lt;&gt;"",COUNTIFS($C$22:$C$150,J14,$S$22:$S$150,"Atrasada")&gt;0)</formula>
    </cfRule>
    <cfRule type="expression" priority="101" aboveAverage="0" equalAverage="0" bottom="0" percent="0" rank="0" text="" dxfId="14">
      <formula>AND(J14&lt;&gt;"",COUNTIFS($C$22:$C$150,J14,$Q$22:$Q$150,"&lt;&gt;Cancelada")&gt;0)</formula>
    </cfRule>
  </conditionalFormatting>
  <conditionalFormatting sqref="L14:M15">
    <cfRule type="expression" priority="102" aboveAverage="0" equalAverage="0" bottom="0" percent="0" rank="0" text="" dxfId="12">
      <formula>AND(L14&lt;&gt;"",L14=TODAY())</formula>
    </cfRule>
    <cfRule type="expression" priority="103" aboveAverage="0" equalAverage="0" bottom="0" percent="0" rank="0" text="" dxfId="13">
      <formula>AND(L14&lt;&gt;"",COUNTIFS($C$22:$C$150,L14,$S$22:$S$150,"Atrasada")&gt;0)</formula>
    </cfRule>
    <cfRule type="expression" priority="104" aboveAverage="0" equalAverage="0" bottom="0" percent="0" rank="0" text="" dxfId="14">
      <formula>AND(L14&lt;&gt;"",COUNTIFS($C$22:$C$150,L14,$Q$22:$Q$150,"&lt;&gt;Cancelada")&gt;0)</formula>
    </cfRule>
  </conditionalFormatting>
  <conditionalFormatting sqref="N14:O15">
    <cfRule type="expression" priority="105" aboveAverage="0" equalAverage="0" bottom="0" percent="0" rank="0" text="" dxfId="12">
      <formula>AND(N14&lt;&gt;"",N14=TODAY())</formula>
    </cfRule>
    <cfRule type="expression" priority="106" aboveAverage="0" equalAverage="0" bottom="0" percent="0" rank="0" text="" dxfId="13">
      <formula>AND(N14&lt;&gt;"",COUNTIFS($C$22:$C$150,N14,$S$22:$S$150,"Atrasada")&gt;0)</formula>
    </cfRule>
    <cfRule type="expression" priority="107" aboveAverage="0" equalAverage="0" bottom="0" percent="0" rank="0" text="" dxfId="14">
      <formula>AND(N14&lt;&gt;"",COUNTIFS($C$22:$C$150,N14,$Q$22:$Q$150,"&lt;&gt;Cancelada")&gt;0)</formula>
    </cfRule>
  </conditionalFormatting>
  <conditionalFormatting sqref="B16:C17">
    <cfRule type="expression" priority="108" aboveAverage="0" equalAverage="0" bottom="0" percent="0" rank="0" text="" dxfId="12">
      <formula>AND(B16&lt;&gt;"",B16=TODAY())</formula>
    </cfRule>
    <cfRule type="expression" priority="109" aboveAverage="0" equalAverage="0" bottom="0" percent="0" rank="0" text="" dxfId="13">
      <formula>AND(B16&lt;&gt;"",COUNTIFS($C$22:$C$150,B16,$S$22:$S$150,"Atrasada")&gt;0)</formula>
    </cfRule>
    <cfRule type="expression" priority="110" aboveAverage="0" equalAverage="0" bottom="0" percent="0" rank="0" text="" dxfId="14">
      <formula>AND(B16&lt;&gt;"",COUNTIFS($C$22:$C$150,B16,$Q$22:$Q$150,"&lt;&gt;Cancelada")&gt;0)</formula>
    </cfRule>
  </conditionalFormatting>
  <conditionalFormatting sqref="D16:E17">
    <cfRule type="expression" priority="111" aboveAverage="0" equalAverage="0" bottom="0" percent="0" rank="0" text="" dxfId="12">
      <formula>AND(D16&lt;&gt;"",D16=TODAY())</formula>
    </cfRule>
    <cfRule type="expression" priority="112" aboveAverage="0" equalAverage="0" bottom="0" percent="0" rank="0" text="" dxfId="13">
      <formula>AND(D16&lt;&gt;"",COUNTIFS($C$22:$C$150,D16,$S$22:$S$150,"Atrasada")&gt;0)</formula>
    </cfRule>
    <cfRule type="expression" priority="113" aboveAverage="0" equalAverage="0" bottom="0" percent="0" rank="0" text="" dxfId="14">
      <formula>AND(D16&lt;&gt;"",COUNTIFS($C$22:$C$150,D16,$Q$22:$Q$150,"&lt;&gt;Cancelada")&gt;0)</formula>
    </cfRule>
  </conditionalFormatting>
  <conditionalFormatting sqref="F16:G17">
    <cfRule type="expression" priority="114" aboveAverage="0" equalAverage="0" bottom="0" percent="0" rank="0" text="" dxfId="12">
      <formula>AND(F16&lt;&gt;"",F16=TODAY())</formula>
    </cfRule>
    <cfRule type="expression" priority="115" aboveAverage="0" equalAverage="0" bottom="0" percent="0" rank="0" text="" dxfId="13">
      <formula>AND(F16&lt;&gt;"",COUNTIFS($C$22:$C$150,F16,$S$22:$S$150,"Atrasada")&gt;0)</formula>
    </cfRule>
    <cfRule type="expression" priority="116" aboveAverage="0" equalAverage="0" bottom="0" percent="0" rank="0" text="" dxfId="14">
      <formula>AND(F16&lt;&gt;"",COUNTIFS($C$22:$C$150,F16,$Q$22:$Q$150,"&lt;&gt;Cancelada")&gt;0)</formula>
    </cfRule>
  </conditionalFormatting>
  <conditionalFormatting sqref="H16:I17">
    <cfRule type="expression" priority="117" aboveAverage="0" equalAverage="0" bottom="0" percent="0" rank="0" text="" dxfId="12">
      <formula>AND(H16&lt;&gt;"",H16=TODAY())</formula>
    </cfRule>
    <cfRule type="expression" priority="118" aboveAverage="0" equalAverage="0" bottom="0" percent="0" rank="0" text="" dxfId="13">
      <formula>AND(H16&lt;&gt;"",COUNTIFS($C$22:$C$150,H16,$S$22:$S$150,"Atrasada")&gt;0)</formula>
    </cfRule>
    <cfRule type="expression" priority="119" aboveAverage="0" equalAverage="0" bottom="0" percent="0" rank="0" text="" dxfId="14">
      <formula>AND(H16&lt;&gt;"",COUNTIFS($C$22:$C$150,H16,$Q$22:$Q$150,"&lt;&gt;Cancelada")&gt;0)</formula>
    </cfRule>
  </conditionalFormatting>
  <conditionalFormatting sqref="J16:K17">
    <cfRule type="expression" priority="120" aboveAverage="0" equalAverage="0" bottom="0" percent="0" rank="0" text="" dxfId="12">
      <formula>AND(J16&lt;&gt;"",J16=TODAY())</formula>
    </cfRule>
    <cfRule type="expression" priority="121" aboveAverage="0" equalAverage="0" bottom="0" percent="0" rank="0" text="" dxfId="13">
      <formula>AND(J16&lt;&gt;"",COUNTIFS($C$22:$C$150,J16,$S$22:$S$150,"Atrasada")&gt;0)</formula>
    </cfRule>
    <cfRule type="expression" priority="122" aboveAverage="0" equalAverage="0" bottom="0" percent="0" rank="0" text="" dxfId="14">
      <formula>AND(J16&lt;&gt;"",COUNTIFS($C$22:$C$150,J16,$Q$22:$Q$150,"&lt;&gt;Cancelada")&gt;0)</formula>
    </cfRule>
  </conditionalFormatting>
  <conditionalFormatting sqref="L16:M17">
    <cfRule type="expression" priority="123" aboveAverage="0" equalAverage="0" bottom="0" percent="0" rank="0" text="" dxfId="12">
      <formula>AND(L16&lt;&gt;"",L16=TODAY())</formula>
    </cfRule>
    <cfRule type="expression" priority="124" aboveAverage="0" equalAverage="0" bottom="0" percent="0" rank="0" text="" dxfId="13">
      <formula>AND(L16&lt;&gt;"",COUNTIFS($C$22:$C$150,L16,$S$22:$S$150,"Atrasada")&gt;0)</formula>
    </cfRule>
    <cfRule type="expression" priority="125" aboveAverage="0" equalAverage="0" bottom="0" percent="0" rank="0" text="" dxfId="14">
      <formula>AND(L16&lt;&gt;"",COUNTIFS($C$22:$C$150,L16,$Q$22:$Q$150,"&lt;&gt;Cancelada")&gt;0)</formula>
    </cfRule>
  </conditionalFormatting>
  <conditionalFormatting sqref="N16:O17">
    <cfRule type="expression" priority="126" aboveAverage="0" equalAverage="0" bottom="0" percent="0" rank="0" text="" dxfId="12">
      <formula>AND(N16&lt;&gt;"",N16=TODAY())</formula>
    </cfRule>
    <cfRule type="expression" priority="127" aboveAverage="0" equalAverage="0" bottom="0" percent="0" rank="0" text="" dxfId="13">
      <formula>AND(N16&lt;&gt;"",COUNTIFS($C$22:$C$150,N16,$S$22:$S$150,"Atrasada")&gt;0)</formula>
    </cfRule>
    <cfRule type="expression" priority="128" aboveAverage="0" equalAverage="0" bottom="0" percent="0" rank="0" text="" dxfId="14">
      <formula>AND(N16&lt;&gt;"",COUNTIFS($C$22:$C$150,N16,$Q$22:$Q$150,"&lt;&gt;Cancelada")&gt;0)</formula>
    </cfRule>
  </conditionalFormatting>
  <conditionalFormatting sqref="A22:I67">
    <cfRule type="expression" priority="129" aboveAverage="0" equalAverage="0" bottom="0" percent="0" rank="0" text="" dxfId="15">
      <formula>ISNUMBER(SEARCH("-REU-",$A22))</formula>
    </cfRule>
  </conditionalFormatting>
  <conditionalFormatting sqref="S22:S150">
    <cfRule type="expression" priority="130" aboveAverage="0" equalAverage="0" bottom="0" percent="0" rank="0" text="" dxfId="16">
      <formula>$S22="Aprovada"</formula>
    </cfRule>
    <cfRule type="expression" priority="131" aboveAverage="0" equalAverage="0" bottom="0" percent="0" rank="0" text="" dxfId="17">
      <formula>$S22="Entregue"</formula>
    </cfRule>
    <cfRule type="expression" priority="132" aboveAverage="0" equalAverage="0" bottom="0" percent="0" rank="0" text="" dxfId="18">
      <formula>$S22="Atrasada"</formula>
    </cfRule>
    <cfRule type="expression" priority="133" aboveAverage="0" equalAverage="0" bottom="0" percent="0" rank="0" text="" dxfId="19">
      <formula>$S22="Reprovada"</formula>
    </cfRule>
    <cfRule type="expression" priority="134" aboveAverage="0" equalAverage="0" bottom="0" percent="0" rank="0" text="" dxfId="20">
      <formula>$S22="Pendente"</formula>
    </cfRule>
    <cfRule type="expression" priority="135" aboveAverage="0" equalAverage="0" bottom="0" percent="0" rank="0" text="" dxfId="21">
      <formula>$S22="Cancelada"</formula>
    </cfRule>
  </conditionalFormatting>
  <dataValidations count="2">
    <dataValidation allowBlank="true" errorStyle="stop" operator="between" showDropDown="false" showErrorMessage="false" showInputMessage="false" sqref="Q22:Q150" type="list">
      <formula1>"Aprovado,Reprovado,Cancelada"</formula1>
      <formula2>0</formula2>
    </dataValidation>
    <dataValidation allowBlank="true" errorStyle="stop" operator="between" showDropDown="false" showErrorMessage="false" showInputMessage="false" sqref="J22:J67" type="list">
      <formula1>CONFIG!$A$12:$A$40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.51"/>
    <col collapsed="false" customWidth="true" hidden="false" outlineLevel="0" max="3" min="3" style="0" width="10.51"/>
    <col collapsed="false" customWidth="true" hidden="false" outlineLevel="0" max="6" min="4" style="0" width="12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9.51"/>
    <col collapsed="false" customWidth="true" hidden="false" outlineLevel="0" max="16" min="13" style="0" width="12"/>
    <col collapsed="false" customWidth="true" hidden="false" outlineLevel="0" max="17" min="17" style="0" width="11.5"/>
    <col collapsed="false" customWidth="true" hidden="false" outlineLevel="0" max="18" min="18" style="0" width="17"/>
    <col collapsed="false" customWidth="true" hidden="false" outlineLevel="0" max="19" min="19" style="0" width="12.5"/>
    <col collapsed="false" customWidth="true" hidden="false" outlineLevel="0" max="22" min="20" style="0" width="3.5"/>
    <col collapsed="false" customWidth="true" hidden="true" outlineLevel="0" max="24" min="24" style="0" width="4"/>
  </cols>
  <sheetData>
    <row r="1" customFormat="false" ht="45.75" hidden="false" customHeight="true" outlineLevel="0" collapsed="false">
      <c r="A1" s="1" t="s">
        <v>239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"/>
      <c r="U1" s="2"/>
      <c r="V1" s="2"/>
      <c r="X1" s="73" t="n">
        <v>46296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X2" s="74" t="s">
        <v>240</v>
      </c>
    </row>
    <row r="3" customFormat="false" ht="15" hidden="false" customHeight="false" outlineLevel="0" collapsed="false">
      <c r="A3" s="5" t="str">
        <f aca="false">IF((COUNTIF($S$22:$S$150,"Aprovada")+COUNTIF($S$22:$S$150,"Entregue")+COUNTIF($S$22:$S$150,"Pendente")+COUNTIF($S$22:$S$150,"Atrasada")+COUNTIF($S$22:$S$150,"Reprovada"))=0,"",IF(COUNTIF($S$22:$S$150,"Aprovada")=(COUNTIF($S$22:$S$150,"Aprovada")+COUNTIF($S$22:$S$150,"Entregue")+COUNTIF($S$22:$S$150,"Pendente")+COUNTIF($S$22:$S$150,"Atrasada")+COUNTIF($S$22:$S$150,"Reprovada")),"MÊS CONCLUÍDO — todas as atividades aprovadas","EM ANDAMENTO — "&amp;COUNTIF($S$22:$S$150,"Aprovada")&amp;" de "&amp;(COUNTIF($S$22:$S$150,"Aprovada")+COUNTIF($S$22:$S$150,"Entregue")+COUNTIF($S$22:$S$150,"Pendente")+COUNTIF($S$22:$S$150,"Atrasada")+COUNTIF($S$22:$S$150,"Reprovada"))&amp;" atividades aprovadas · "&amp;COUNTIF($S$22:$S$150,"Atrasada")&amp;" em atraso"))</f>
        <v>EM ANDAMENTO — 0 de 36 atividades aprovadas · 0 em atraso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5" customFormat="false" ht="18" hidden="false" customHeight="true" outlineLevel="0" collapsed="false">
      <c r="B5" s="70" t="s">
        <v>209</v>
      </c>
      <c r="C5" s="70"/>
      <c r="D5" s="70" t="s">
        <v>210</v>
      </c>
      <c r="E5" s="70"/>
      <c r="F5" s="70" t="s">
        <v>211</v>
      </c>
      <c r="G5" s="70"/>
      <c r="H5" s="70" t="s">
        <v>3</v>
      </c>
      <c r="I5" s="70"/>
      <c r="J5" s="70" t="s">
        <v>6</v>
      </c>
      <c r="K5" s="70"/>
      <c r="L5" s="75" t="s">
        <v>9</v>
      </c>
      <c r="M5" s="75"/>
      <c r="N5" s="70" t="s">
        <v>212</v>
      </c>
      <c r="O5" s="70"/>
    </row>
    <row r="6" customFormat="false" ht="15" hidden="false" customHeight="true" outlineLevel="0" collapsed="false">
      <c r="B6" s="76" t="str">
        <f aca="false">IF(MONTH($X$1-WEEKDAY($X$1)+1+0)=MONTH($X$1),$X$1-WEEKDAY($X$1)+1+0,"")</f>
        <v/>
      </c>
      <c r="C6" s="76"/>
      <c r="D6" s="76" t="str">
        <f aca="false">IF(MONTH($X$1-WEEKDAY($X$1)+1+1)=MONTH($X$1),$X$1-WEEKDAY($X$1)+1+1,"")</f>
        <v/>
      </c>
      <c r="E6" s="76"/>
      <c r="F6" s="76" t="str">
        <f aca="false">IF(MONTH($X$1-WEEKDAY($X$1)+1+2)=MONTH($X$1),$X$1-WEEKDAY($X$1)+1+2,"")</f>
        <v/>
      </c>
      <c r="G6" s="76"/>
      <c r="H6" s="76" t="str">
        <f aca="false">IF(MONTH($X$1-WEEKDAY($X$1)+1+3)=MONTH($X$1),$X$1-WEEKDAY($X$1)+1+3,"")</f>
        <v/>
      </c>
      <c r="I6" s="76"/>
      <c r="J6" s="76" t="n">
        <f aca="false">IF(MONTH($X$1-WEEKDAY($X$1)+1+4)=MONTH($X$1),$X$1-WEEKDAY($X$1)+1+4,"")</f>
        <v>46296</v>
      </c>
      <c r="K6" s="76"/>
      <c r="L6" s="76" t="n">
        <f aca="false">IF(MONTH($X$1-WEEKDAY($X$1)+1+5)=MONTH($X$1),$X$1-WEEKDAY($X$1)+1+5,"")</f>
        <v>46297</v>
      </c>
      <c r="M6" s="76"/>
      <c r="N6" s="76" t="n">
        <f aca="false">IF(MONTH($X$1-WEEKDAY($X$1)+1+6)=MONTH($X$1),$X$1-WEEKDAY($X$1)+1+6,"")</f>
        <v>46298</v>
      </c>
      <c r="O6" s="76"/>
    </row>
    <row r="7" customFormat="false" ht="25.5" hidden="false" customHeight="true" outlineLevel="0" collapsed="false">
      <c r="B7" s="77" t="str">
        <f aca="false">IF(B6="","",TRIM(IF(COUNTIFS($C$22:$C$150,B6,$D$22:$D$150,"*Vistoria*",$Q$22:$Q$150,"&lt;&gt;Cancelada")&gt;0,"Vistoria ","")&amp;IF(COUNTIFS($C$22:$C$150,B6,$D$22:$D$150,"*Relatório*",$Q$22:$Q$150,"&lt;&gt;Cancelada")&gt;0,"Relatório ","")&amp;IF(COUNTIFS($C$22:$C$150,B6,$D$22:$D$150,"*Reunião*",$Q$22:$Q$150,"&lt;&gt;Cancelada")&gt;0,"REUNIÃO ","")&amp;IF(COUNTIFS($C$22:$C$150,B6,$D$22:$D$150,"*Férias*",$Q$22:$Q$150,"&lt;&gt;Cancelada")&gt;0,"Férias ","")&amp;IF(COUNTIFS($C$22:$C$150,B6,$D$22:$D$150,"*Mudança*",$Q$22:$Q$150,"&lt;&gt;Cancelada")&gt;0,"M.Função ","")&amp;IF(COUNTIFS($C$22:$C$150,B6,$D$22:$D$150,"*Treinamento*",$Q$22:$Q$150,"&lt;&gt;Cancelada")&gt;0,"Trein. ","")))</f>
        <v/>
      </c>
      <c r="C7" s="77"/>
      <c r="D7" s="77" t="str">
        <f aca="false">IF(D6="","",TRIM(IF(COUNTIFS($C$22:$C$150,D6,$D$22:$D$150,"*Vistoria*",$Q$22:$Q$150,"&lt;&gt;Cancelada")&gt;0,"Vistoria ","")&amp;IF(COUNTIFS($C$22:$C$150,D6,$D$22:$D$150,"*Relatório*",$Q$22:$Q$150,"&lt;&gt;Cancelada")&gt;0,"Relatório ","")&amp;IF(COUNTIFS($C$22:$C$150,D6,$D$22:$D$150,"*Reunião*",$Q$22:$Q$150,"&lt;&gt;Cancelada")&gt;0,"REUNIÃO ","")&amp;IF(COUNTIFS($C$22:$C$150,D6,$D$22:$D$150,"*Férias*",$Q$22:$Q$150,"&lt;&gt;Cancelada")&gt;0,"Férias ","")&amp;IF(COUNTIFS($C$22:$C$150,D6,$D$22:$D$150,"*Mudança*",$Q$22:$Q$150,"&lt;&gt;Cancelada")&gt;0,"M.Função ","")&amp;IF(COUNTIFS($C$22:$C$150,D6,$D$22:$D$150,"*Treinamento*",$Q$22:$Q$150,"&lt;&gt;Cancelada")&gt;0,"Trein. ","")))</f>
        <v/>
      </c>
      <c r="E7" s="77"/>
      <c r="F7" s="77" t="str">
        <f aca="false">IF(F6="","",TRIM(IF(COUNTIFS($C$22:$C$150,F6,$D$22:$D$150,"*Vistoria*",$Q$22:$Q$150,"&lt;&gt;Cancelada")&gt;0,"Vistoria ","")&amp;IF(COUNTIFS($C$22:$C$150,F6,$D$22:$D$150,"*Relatório*",$Q$22:$Q$150,"&lt;&gt;Cancelada")&gt;0,"Relatório ","")&amp;IF(COUNTIFS($C$22:$C$150,F6,$D$22:$D$150,"*Reunião*",$Q$22:$Q$150,"&lt;&gt;Cancelada")&gt;0,"REUNIÃO ","")&amp;IF(COUNTIFS($C$22:$C$150,F6,$D$22:$D$150,"*Férias*",$Q$22:$Q$150,"&lt;&gt;Cancelada")&gt;0,"Férias ","")&amp;IF(COUNTIFS($C$22:$C$150,F6,$D$22:$D$150,"*Mudança*",$Q$22:$Q$150,"&lt;&gt;Cancelada")&gt;0,"M.Função ","")&amp;IF(COUNTIFS($C$22:$C$150,F6,$D$22:$D$150,"*Treinamento*",$Q$22:$Q$150,"&lt;&gt;Cancelada")&gt;0,"Trein. ","")))</f>
        <v/>
      </c>
      <c r="G7" s="77"/>
      <c r="H7" s="77" t="str">
        <f aca="false">IF(H6="","",TRIM(IF(COUNTIFS($C$22:$C$150,H6,$D$22:$D$150,"*Vistoria*",$Q$22:$Q$150,"&lt;&gt;Cancelada")&gt;0,"Vistoria ","")&amp;IF(COUNTIFS($C$22:$C$150,H6,$D$22:$D$150,"*Relatório*",$Q$22:$Q$150,"&lt;&gt;Cancelada")&gt;0,"Relatório ","")&amp;IF(COUNTIFS($C$22:$C$150,H6,$D$22:$D$150,"*Reunião*",$Q$22:$Q$150,"&lt;&gt;Cancelada")&gt;0,"REUNIÃO ","")&amp;IF(COUNTIFS($C$22:$C$150,H6,$D$22:$D$150,"*Férias*",$Q$22:$Q$150,"&lt;&gt;Cancelada")&gt;0,"Férias ","")&amp;IF(COUNTIFS($C$22:$C$150,H6,$D$22:$D$150,"*Mudança*",$Q$22:$Q$150,"&lt;&gt;Cancelada")&gt;0,"M.Função ","")&amp;IF(COUNTIFS($C$22:$C$150,H6,$D$22:$D$150,"*Treinamento*",$Q$22:$Q$150,"&lt;&gt;Cancelada")&gt;0,"Trein. ","")))</f>
        <v/>
      </c>
      <c r="I7" s="77"/>
      <c r="J7" s="77" t="str">
        <f aca="false">IF(J6="","",TRIM(IF(COUNTIFS($C$22:$C$150,J6,$D$22:$D$150,"*Vistoria*",$Q$22:$Q$150,"&lt;&gt;Cancelada")&gt;0,"Vistoria ","")&amp;IF(COUNTIFS($C$22:$C$150,J6,$D$22:$D$150,"*Relatório*",$Q$22:$Q$150,"&lt;&gt;Cancelada")&gt;0,"Relatório ","")&amp;IF(COUNTIFS($C$22:$C$150,J6,$D$22:$D$150,"*Reunião*",$Q$22:$Q$150,"&lt;&gt;Cancelada")&gt;0,"REUNIÃO ","")&amp;IF(COUNTIFS($C$22:$C$150,J6,$D$22:$D$150,"*Férias*",$Q$22:$Q$150,"&lt;&gt;Cancelada")&gt;0,"Férias ","")&amp;IF(COUNTIFS($C$22:$C$150,J6,$D$22:$D$150,"*Mudança*",$Q$22:$Q$150,"&lt;&gt;Cancelada")&gt;0,"M.Função ","")&amp;IF(COUNTIFS($C$22:$C$150,J6,$D$22:$D$150,"*Treinamento*",$Q$22:$Q$150,"&lt;&gt;Cancelada")&gt;0,"Trein. ","")))</f>
        <v>Relatório</v>
      </c>
      <c r="K7" s="77"/>
      <c r="L7" s="77" t="str">
        <f aca="false">IF(L6="","",TRIM(IF(COUNTIFS($C$22:$C$150,L6,$D$22:$D$150,"*Vistoria*",$Q$22:$Q$150,"&lt;&gt;Cancelada")&gt;0,"Vistoria ","")&amp;IF(COUNTIFS($C$22:$C$150,L6,$D$22:$D$150,"*Relatório*",$Q$22:$Q$150,"&lt;&gt;Cancelada")&gt;0,"Relatório ","")&amp;IF(COUNTIFS($C$22:$C$150,L6,$D$22:$D$150,"*Reunião*",$Q$22:$Q$150,"&lt;&gt;Cancelada")&gt;0,"REUNIÃO ","")&amp;IF(COUNTIFS($C$22:$C$150,L6,$D$22:$D$150,"*Férias*",$Q$22:$Q$150,"&lt;&gt;Cancelada")&gt;0,"Férias ","")&amp;IF(COUNTIFS($C$22:$C$150,L6,$D$22:$D$150,"*Mudança*",$Q$22:$Q$150,"&lt;&gt;Cancelada")&gt;0,"M.Função ","")&amp;IF(COUNTIFS($C$22:$C$150,L6,$D$22:$D$150,"*Treinamento*",$Q$22:$Q$150,"&lt;&gt;Cancelada")&gt;0,"Trein. ","")))</f>
        <v>REUNIÃO</v>
      </c>
      <c r="M7" s="77"/>
      <c r="N7" s="77" t="str">
        <f aca="false">IF(N6="","",TRIM(IF(COUNTIFS($C$22:$C$150,N6,$D$22:$D$150,"*Vistoria*",$Q$22:$Q$150,"&lt;&gt;Cancelada")&gt;0,"Vistoria ","")&amp;IF(COUNTIFS($C$22:$C$150,N6,$D$22:$D$150,"*Relatório*",$Q$22:$Q$150,"&lt;&gt;Cancelada")&gt;0,"Relatório ","")&amp;IF(COUNTIFS($C$22:$C$150,N6,$D$22:$D$150,"*Reunião*",$Q$22:$Q$150,"&lt;&gt;Cancelada")&gt;0,"REUNIÃO ","")&amp;IF(COUNTIFS($C$22:$C$150,N6,$D$22:$D$150,"*Férias*",$Q$22:$Q$150,"&lt;&gt;Cancelada")&gt;0,"Férias ","")&amp;IF(COUNTIFS($C$22:$C$150,N6,$D$22:$D$150,"*Mudança*",$Q$22:$Q$150,"&lt;&gt;Cancelada")&gt;0,"M.Função ","")&amp;IF(COUNTIFS($C$22:$C$150,N6,$D$22:$D$150,"*Treinamento*",$Q$22:$Q$150,"&lt;&gt;Cancelada")&gt;0,"Trein. ","")))</f>
        <v/>
      </c>
      <c r="O7" s="77"/>
    </row>
    <row r="8" customFormat="false" ht="15" hidden="false" customHeight="true" outlineLevel="0" collapsed="false">
      <c r="B8" s="76" t="n">
        <f aca="false">IF(MONTH($X$1-WEEKDAY($X$1)+1+7)=MONTH($X$1),$X$1-WEEKDAY($X$1)+1+7,"")</f>
        <v>46299</v>
      </c>
      <c r="C8" s="76"/>
      <c r="D8" s="76" t="n">
        <f aca="false">IF(MONTH($X$1-WEEKDAY($X$1)+1+8)=MONTH($X$1),$X$1-WEEKDAY($X$1)+1+8,"")</f>
        <v>46300</v>
      </c>
      <c r="E8" s="76"/>
      <c r="F8" s="76" t="n">
        <f aca="false">IF(MONTH($X$1-WEEKDAY($X$1)+1+9)=MONTH($X$1),$X$1-WEEKDAY($X$1)+1+9,"")</f>
        <v>46301</v>
      </c>
      <c r="G8" s="76"/>
      <c r="H8" s="76" t="n">
        <f aca="false">IF(MONTH($X$1-WEEKDAY($X$1)+1+10)=MONTH($X$1),$X$1-WEEKDAY($X$1)+1+10,"")</f>
        <v>46302</v>
      </c>
      <c r="I8" s="76"/>
      <c r="J8" s="76" t="n">
        <f aca="false">IF(MONTH($X$1-WEEKDAY($X$1)+1+11)=MONTH($X$1),$X$1-WEEKDAY($X$1)+1+11,"")</f>
        <v>46303</v>
      </c>
      <c r="K8" s="76"/>
      <c r="L8" s="76" t="n">
        <f aca="false">IF(MONTH($X$1-WEEKDAY($X$1)+1+12)=MONTH($X$1),$X$1-WEEKDAY($X$1)+1+12,"")</f>
        <v>46304</v>
      </c>
      <c r="M8" s="76"/>
      <c r="N8" s="76" t="n">
        <f aca="false">IF(MONTH($X$1-WEEKDAY($X$1)+1+13)=MONTH($X$1),$X$1-WEEKDAY($X$1)+1+13,"")</f>
        <v>46305</v>
      </c>
      <c r="O8" s="76"/>
    </row>
    <row r="9" customFormat="false" ht="25.5" hidden="false" customHeight="true" outlineLevel="0" collapsed="false">
      <c r="B9" s="77" t="str">
        <f aca="false">IF(B8="","",TRIM(IF(COUNTIFS($C$22:$C$150,B8,$D$22:$D$150,"*Vistoria*",$Q$22:$Q$150,"&lt;&gt;Cancelada")&gt;0,"Vistoria ","")&amp;IF(COUNTIFS($C$22:$C$150,B8,$D$22:$D$150,"*Relatório*",$Q$22:$Q$150,"&lt;&gt;Cancelada")&gt;0,"Relatório ","")&amp;IF(COUNTIFS($C$22:$C$150,B8,$D$22:$D$150,"*Reunião*",$Q$22:$Q$150,"&lt;&gt;Cancelada")&gt;0,"REUNIÃO ","")&amp;IF(COUNTIFS($C$22:$C$150,B8,$D$22:$D$150,"*Férias*",$Q$22:$Q$150,"&lt;&gt;Cancelada")&gt;0,"Férias ","")&amp;IF(COUNTIFS($C$22:$C$150,B8,$D$22:$D$150,"*Mudança*",$Q$22:$Q$150,"&lt;&gt;Cancelada")&gt;0,"M.Função ","")&amp;IF(COUNTIFS($C$22:$C$150,B8,$D$22:$D$150,"*Treinamento*",$Q$22:$Q$150,"&lt;&gt;Cancelada")&gt;0,"Trein. ","")))</f>
        <v/>
      </c>
      <c r="C9" s="77"/>
      <c r="D9" s="77" t="str">
        <f aca="false">IF(D8="","",TRIM(IF(COUNTIFS($C$22:$C$150,D8,$D$22:$D$150,"*Vistoria*",$Q$22:$Q$150,"&lt;&gt;Cancelada")&gt;0,"Vistoria ","")&amp;IF(COUNTIFS($C$22:$C$150,D8,$D$22:$D$150,"*Relatório*",$Q$22:$Q$150,"&lt;&gt;Cancelada")&gt;0,"Relatório ","")&amp;IF(COUNTIFS($C$22:$C$150,D8,$D$22:$D$150,"*Reunião*",$Q$22:$Q$150,"&lt;&gt;Cancelada")&gt;0,"REUNIÃO ","")&amp;IF(COUNTIFS($C$22:$C$150,D8,$D$22:$D$150,"*Férias*",$Q$22:$Q$150,"&lt;&gt;Cancelada")&gt;0,"Férias ","")&amp;IF(COUNTIFS($C$22:$C$150,D8,$D$22:$D$150,"*Mudança*",$Q$22:$Q$150,"&lt;&gt;Cancelada")&gt;0,"M.Função ","")&amp;IF(COUNTIFS($C$22:$C$150,D8,$D$22:$D$150,"*Treinamento*",$Q$22:$Q$150,"&lt;&gt;Cancelada")&gt;0,"Trein. ","")))</f>
        <v>Férias</v>
      </c>
      <c r="E9" s="77"/>
      <c r="F9" s="77" t="str">
        <f aca="false">IF(F8="","",TRIM(IF(COUNTIFS($C$22:$C$150,F8,$D$22:$D$150,"*Vistoria*",$Q$22:$Q$150,"&lt;&gt;Cancelada")&gt;0,"Vistoria ","")&amp;IF(COUNTIFS($C$22:$C$150,F8,$D$22:$D$150,"*Relatório*",$Q$22:$Q$150,"&lt;&gt;Cancelada")&gt;0,"Relatório ","")&amp;IF(COUNTIFS($C$22:$C$150,F8,$D$22:$D$150,"*Reunião*",$Q$22:$Q$150,"&lt;&gt;Cancelada")&gt;0,"REUNIÃO ","")&amp;IF(COUNTIFS($C$22:$C$150,F8,$D$22:$D$150,"*Férias*",$Q$22:$Q$150,"&lt;&gt;Cancelada")&gt;0,"Férias ","")&amp;IF(COUNTIFS($C$22:$C$150,F8,$D$22:$D$150,"*Mudança*",$Q$22:$Q$150,"&lt;&gt;Cancelada")&gt;0,"M.Função ","")&amp;IF(COUNTIFS($C$22:$C$150,F8,$D$22:$D$150,"*Treinamento*",$Q$22:$Q$150,"&lt;&gt;Cancelada")&gt;0,"Trein. ","")))</f>
        <v/>
      </c>
      <c r="G9" s="77"/>
      <c r="H9" s="77" t="str">
        <f aca="false">IF(H8="","",TRIM(IF(COUNTIFS($C$22:$C$150,H8,$D$22:$D$150,"*Vistoria*",$Q$22:$Q$150,"&lt;&gt;Cancelada")&gt;0,"Vistoria ","")&amp;IF(COUNTIFS($C$22:$C$150,H8,$D$22:$D$150,"*Relatório*",$Q$22:$Q$150,"&lt;&gt;Cancelada")&gt;0,"Relatório ","")&amp;IF(COUNTIFS($C$22:$C$150,H8,$D$22:$D$150,"*Reunião*",$Q$22:$Q$150,"&lt;&gt;Cancelada")&gt;0,"REUNIÃO ","")&amp;IF(COUNTIFS($C$22:$C$150,H8,$D$22:$D$150,"*Férias*",$Q$22:$Q$150,"&lt;&gt;Cancelada")&gt;0,"Férias ","")&amp;IF(COUNTIFS($C$22:$C$150,H8,$D$22:$D$150,"*Mudança*",$Q$22:$Q$150,"&lt;&gt;Cancelada")&gt;0,"M.Função ","")&amp;IF(COUNTIFS($C$22:$C$150,H8,$D$22:$D$150,"*Treinamento*",$Q$22:$Q$150,"&lt;&gt;Cancelada")&gt;0,"Trein. ","")))</f>
        <v>Vistoria</v>
      </c>
      <c r="I9" s="77"/>
      <c r="J9" s="77" t="str">
        <f aca="false">IF(J8="","",TRIM(IF(COUNTIFS($C$22:$C$150,J8,$D$22:$D$150,"*Vistoria*",$Q$22:$Q$150,"&lt;&gt;Cancelada")&gt;0,"Vistoria ","")&amp;IF(COUNTIFS($C$22:$C$150,J8,$D$22:$D$150,"*Relatório*",$Q$22:$Q$150,"&lt;&gt;Cancelada")&gt;0,"Relatório ","")&amp;IF(COUNTIFS($C$22:$C$150,J8,$D$22:$D$150,"*Reunião*",$Q$22:$Q$150,"&lt;&gt;Cancelada")&gt;0,"REUNIÃO ","")&amp;IF(COUNTIFS($C$22:$C$150,J8,$D$22:$D$150,"*Férias*",$Q$22:$Q$150,"&lt;&gt;Cancelada")&gt;0,"Férias ","")&amp;IF(COUNTIFS($C$22:$C$150,J8,$D$22:$D$150,"*Mudança*",$Q$22:$Q$150,"&lt;&gt;Cancelada")&gt;0,"M.Função ","")&amp;IF(COUNTIFS($C$22:$C$150,J8,$D$22:$D$150,"*Treinamento*",$Q$22:$Q$150,"&lt;&gt;Cancelada")&gt;0,"Trein. ","")))</f>
        <v>Relatório</v>
      </c>
      <c r="K9" s="77"/>
      <c r="L9" s="77" t="str">
        <f aca="false">IF(L8="","",TRIM(IF(COUNTIFS($C$22:$C$150,L8,$D$22:$D$150,"*Vistoria*",$Q$22:$Q$150,"&lt;&gt;Cancelada")&gt;0,"Vistoria ","")&amp;IF(COUNTIFS($C$22:$C$150,L8,$D$22:$D$150,"*Relatório*",$Q$22:$Q$150,"&lt;&gt;Cancelada")&gt;0,"Relatório ","")&amp;IF(COUNTIFS($C$22:$C$150,L8,$D$22:$D$150,"*Reunião*",$Q$22:$Q$150,"&lt;&gt;Cancelada")&gt;0,"REUNIÃO ","")&amp;IF(COUNTIFS($C$22:$C$150,L8,$D$22:$D$150,"*Férias*",$Q$22:$Q$150,"&lt;&gt;Cancelada")&gt;0,"Férias ","")&amp;IF(COUNTIFS($C$22:$C$150,L8,$D$22:$D$150,"*Mudança*",$Q$22:$Q$150,"&lt;&gt;Cancelada")&gt;0,"M.Função ","")&amp;IF(COUNTIFS($C$22:$C$150,L8,$D$22:$D$150,"*Treinamento*",$Q$22:$Q$150,"&lt;&gt;Cancelada")&gt;0,"Trein. ","")))</f>
        <v>REUNIÃO</v>
      </c>
      <c r="M9" s="77"/>
      <c r="N9" s="77" t="str">
        <f aca="false">IF(N8="","",TRIM(IF(COUNTIFS($C$22:$C$150,N8,$D$22:$D$150,"*Vistoria*",$Q$22:$Q$150,"&lt;&gt;Cancelada")&gt;0,"Vistoria ","")&amp;IF(COUNTIFS($C$22:$C$150,N8,$D$22:$D$150,"*Relatório*",$Q$22:$Q$150,"&lt;&gt;Cancelada")&gt;0,"Relatório ","")&amp;IF(COUNTIFS($C$22:$C$150,N8,$D$22:$D$150,"*Reunião*",$Q$22:$Q$150,"&lt;&gt;Cancelada")&gt;0,"REUNIÃO ","")&amp;IF(COUNTIFS($C$22:$C$150,N8,$D$22:$D$150,"*Férias*",$Q$22:$Q$150,"&lt;&gt;Cancelada")&gt;0,"Férias ","")&amp;IF(COUNTIFS($C$22:$C$150,N8,$D$22:$D$150,"*Mudança*",$Q$22:$Q$150,"&lt;&gt;Cancelada")&gt;0,"M.Função ","")&amp;IF(COUNTIFS($C$22:$C$150,N8,$D$22:$D$150,"*Treinamento*",$Q$22:$Q$150,"&lt;&gt;Cancelada")&gt;0,"Trein. ","")))</f>
        <v/>
      </c>
      <c r="O9" s="77"/>
    </row>
    <row r="10" customFormat="false" ht="15" hidden="false" customHeight="true" outlineLevel="0" collapsed="false">
      <c r="B10" s="76" t="n">
        <f aca="false">IF(MONTH($X$1-WEEKDAY($X$1)+1+14)=MONTH($X$1),$X$1-WEEKDAY($X$1)+1+14,"")</f>
        <v>46306</v>
      </c>
      <c r="C10" s="76"/>
      <c r="D10" s="76" t="n">
        <f aca="false">IF(MONTH($X$1-WEEKDAY($X$1)+1+15)=MONTH($X$1),$X$1-WEEKDAY($X$1)+1+15,"")</f>
        <v>46307</v>
      </c>
      <c r="E10" s="76"/>
      <c r="F10" s="76" t="n">
        <f aca="false">IF(MONTH($X$1-WEEKDAY($X$1)+1+16)=MONTH($X$1),$X$1-WEEKDAY($X$1)+1+16,"")</f>
        <v>46308</v>
      </c>
      <c r="G10" s="76"/>
      <c r="H10" s="76" t="n">
        <f aca="false">IF(MONTH($X$1-WEEKDAY($X$1)+1+17)=MONTH($X$1),$X$1-WEEKDAY($X$1)+1+17,"")</f>
        <v>46309</v>
      </c>
      <c r="I10" s="76"/>
      <c r="J10" s="76" t="n">
        <f aca="false">IF(MONTH($X$1-WEEKDAY($X$1)+1+18)=MONTH($X$1),$X$1-WEEKDAY($X$1)+1+18,"")</f>
        <v>46310</v>
      </c>
      <c r="K10" s="76"/>
      <c r="L10" s="76" t="n">
        <f aca="false">IF(MONTH($X$1-WEEKDAY($X$1)+1+19)=MONTH($X$1),$X$1-WEEKDAY($X$1)+1+19,"")</f>
        <v>46311</v>
      </c>
      <c r="M10" s="76"/>
      <c r="N10" s="76" t="n">
        <f aca="false">IF(MONTH($X$1-WEEKDAY($X$1)+1+20)=MONTH($X$1),$X$1-WEEKDAY($X$1)+1+20,"")</f>
        <v>46312</v>
      </c>
      <c r="O10" s="76"/>
    </row>
    <row r="11" customFormat="false" ht="25.5" hidden="false" customHeight="true" outlineLevel="0" collapsed="false">
      <c r="B11" s="77" t="str">
        <f aca="false">IF(B10="","",TRIM(IF(COUNTIFS($C$22:$C$150,B10,$D$22:$D$150,"*Vistoria*",$Q$22:$Q$150,"&lt;&gt;Cancelada")&gt;0,"Vistoria ","")&amp;IF(COUNTIFS($C$22:$C$150,B10,$D$22:$D$150,"*Relatório*",$Q$22:$Q$150,"&lt;&gt;Cancelada")&gt;0,"Relatório ","")&amp;IF(COUNTIFS($C$22:$C$150,B10,$D$22:$D$150,"*Reunião*",$Q$22:$Q$150,"&lt;&gt;Cancelada")&gt;0,"REUNIÃO ","")&amp;IF(COUNTIFS($C$22:$C$150,B10,$D$22:$D$150,"*Férias*",$Q$22:$Q$150,"&lt;&gt;Cancelada")&gt;0,"Férias ","")&amp;IF(COUNTIFS($C$22:$C$150,B10,$D$22:$D$150,"*Mudança*",$Q$22:$Q$150,"&lt;&gt;Cancelada")&gt;0,"M.Função ","")&amp;IF(COUNTIFS($C$22:$C$150,B10,$D$22:$D$150,"*Treinamento*",$Q$22:$Q$150,"&lt;&gt;Cancelada")&gt;0,"Trein. ","")))</f>
        <v/>
      </c>
      <c r="C11" s="77"/>
      <c r="D11" s="77" t="str">
        <f aca="false">IF(D10="","",TRIM(IF(COUNTIFS($C$22:$C$150,D10,$D$22:$D$150,"*Vistoria*",$Q$22:$Q$150,"&lt;&gt;Cancelada")&gt;0,"Vistoria ","")&amp;IF(COUNTIFS($C$22:$C$150,D10,$D$22:$D$150,"*Relatório*",$Q$22:$Q$150,"&lt;&gt;Cancelada")&gt;0,"Relatório ","")&amp;IF(COUNTIFS($C$22:$C$150,D10,$D$22:$D$150,"*Reunião*",$Q$22:$Q$150,"&lt;&gt;Cancelada")&gt;0,"REUNIÃO ","")&amp;IF(COUNTIFS($C$22:$C$150,D10,$D$22:$D$150,"*Férias*",$Q$22:$Q$150,"&lt;&gt;Cancelada")&gt;0,"Férias ","")&amp;IF(COUNTIFS($C$22:$C$150,D10,$D$22:$D$150,"*Mudança*",$Q$22:$Q$150,"&lt;&gt;Cancelada")&gt;0,"M.Função ","")&amp;IF(COUNTIFS($C$22:$C$150,D10,$D$22:$D$150,"*Treinamento*",$Q$22:$Q$150,"&lt;&gt;Cancelada")&gt;0,"Trein. ","")))</f>
        <v/>
      </c>
      <c r="E11" s="77"/>
      <c r="F11" s="77" t="str">
        <f aca="false">IF(F10="","",TRIM(IF(COUNTIFS($C$22:$C$150,F10,$D$22:$D$150,"*Vistoria*",$Q$22:$Q$150,"&lt;&gt;Cancelada")&gt;0,"Vistoria ","")&amp;IF(COUNTIFS($C$22:$C$150,F10,$D$22:$D$150,"*Relatório*",$Q$22:$Q$150,"&lt;&gt;Cancelada")&gt;0,"Relatório ","")&amp;IF(COUNTIFS($C$22:$C$150,F10,$D$22:$D$150,"*Reunião*",$Q$22:$Q$150,"&lt;&gt;Cancelada")&gt;0,"REUNIÃO ","")&amp;IF(COUNTIFS($C$22:$C$150,F10,$D$22:$D$150,"*Férias*",$Q$22:$Q$150,"&lt;&gt;Cancelada")&gt;0,"Férias ","")&amp;IF(COUNTIFS($C$22:$C$150,F10,$D$22:$D$150,"*Mudança*",$Q$22:$Q$150,"&lt;&gt;Cancelada")&gt;0,"M.Função ","")&amp;IF(COUNTIFS($C$22:$C$150,F10,$D$22:$D$150,"*Treinamento*",$Q$22:$Q$150,"&lt;&gt;Cancelada")&gt;0,"Trein. ","")))</f>
        <v/>
      </c>
      <c r="G11" s="77"/>
      <c r="H11" s="77" t="str">
        <f aca="false">IF(H10="","",TRIM(IF(COUNTIFS($C$22:$C$150,H10,$D$22:$D$150,"*Vistoria*",$Q$22:$Q$150,"&lt;&gt;Cancelada")&gt;0,"Vistoria ","")&amp;IF(COUNTIFS($C$22:$C$150,H10,$D$22:$D$150,"*Relatório*",$Q$22:$Q$150,"&lt;&gt;Cancelada")&gt;0,"Relatório ","")&amp;IF(COUNTIFS($C$22:$C$150,H10,$D$22:$D$150,"*Reunião*",$Q$22:$Q$150,"&lt;&gt;Cancelada")&gt;0,"REUNIÃO ","")&amp;IF(COUNTIFS($C$22:$C$150,H10,$D$22:$D$150,"*Férias*",$Q$22:$Q$150,"&lt;&gt;Cancelada")&gt;0,"Férias ","")&amp;IF(COUNTIFS($C$22:$C$150,H10,$D$22:$D$150,"*Mudança*",$Q$22:$Q$150,"&lt;&gt;Cancelada")&gt;0,"M.Função ","")&amp;IF(COUNTIFS($C$22:$C$150,H10,$D$22:$D$150,"*Treinamento*",$Q$22:$Q$150,"&lt;&gt;Cancelada")&gt;0,"Trein. ","")))</f>
        <v>Vistoria</v>
      </c>
      <c r="I11" s="77"/>
      <c r="J11" s="77" t="str">
        <f aca="false">IF(J10="","",TRIM(IF(COUNTIFS($C$22:$C$150,J10,$D$22:$D$150,"*Vistoria*",$Q$22:$Q$150,"&lt;&gt;Cancelada")&gt;0,"Vistoria ","")&amp;IF(COUNTIFS($C$22:$C$150,J10,$D$22:$D$150,"*Relatório*",$Q$22:$Q$150,"&lt;&gt;Cancelada")&gt;0,"Relatório ","")&amp;IF(COUNTIFS($C$22:$C$150,J10,$D$22:$D$150,"*Reunião*",$Q$22:$Q$150,"&lt;&gt;Cancelada")&gt;0,"REUNIÃO ","")&amp;IF(COUNTIFS($C$22:$C$150,J10,$D$22:$D$150,"*Férias*",$Q$22:$Q$150,"&lt;&gt;Cancelada")&gt;0,"Férias ","")&amp;IF(COUNTIFS($C$22:$C$150,J10,$D$22:$D$150,"*Mudança*",$Q$22:$Q$150,"&lt;&gt;Cancelada")&gt;0,"M.Função ","")&amp;IF(COUNTIFS($C$22:$C$150,J10,$D$22:$D$150,"*Treinamento*",$Q$22:$Q$150,"&lt;&gt;Cancelada")&gt;0,"Trein. ","")))</f>
        <v>Relatório</v>
      </c>
      <c r="K11" s="77"/>
      <c r="L11" s="77" t="str">
        <f aca="false">IF(L10="","",TRIM(IF(COUNTIFS($C$22:$C$150,L10,$D$22:$D$150,"*Vistoria*",$Q$22:$Q$150,"&lt;&gt;Cancelada")&gt;0,"Vistoria ","")&amp;IF(COUNTIFS($C$22:$C$150,L10,$D$22:$D$150,"*Relatório*",$Q$22:$Q$150,"&lt;&gt;Cancelada")&gt;0,"Relatório ","")&amp;IF(COUNTIFS($C$22:$C$150,L10,$D$22:$D$150,"*Reunião*",$Q$22:$Q$150,"&lt;&gt;Cancelada")&gt;0,"REUNIÃO ","")&amp;IF(COUNTIFS($C$22:$C$150,L10,$D$22:$D$150,"*Férias*",$Q$22:$Q$150,"&lt;&gt;Cancelada")&gt;0,"Férias ","")&amp;IF(COUNTIFS($C$22:$C$150,L10,$D$22:$D$150,"*Mudança*",$Q$22:$Q$150,"&lt;&gt;Cancelada")&gt;0,"M.Função ","")&amp;IF(COUNTIFS($C$22:$C$150,L10,$D$22:$D$150,"*Treinamento*",$Q$22:$Q$150,"&lt;&gt;Cancelada")&gt;0,"Trein. ","")))</f>
        <v>REUNIÃO</v>
      </c>
      <c r="M11" s="77"/>
      <c r="N11" s="77" t="str">
        <f aca="false">IF(N10="","",TRIM(IF(COUNTIFS($C$22:$C$150,N10,$D$22:$D$150,"*Vistoria*",$Q$22:$Q$150,"&lt;&gt;Cancelada")&gt;0,"Vistoria ","")&amp;IF(COUNTIFS($C$22:$C$150,N10,$D$22:$D$150,"*Relatório*",$Q$22:$Q$150,"&lt;&gt;Cancelada")&gt;0,"Relatório ","")&amp;IF(COUNTIFS($C$22:$C$150,N10,$D$22:$D$150,"*Reunião*",$Q$22:$Q$150,"&lt;&gt;Cancelada")&gt;0,"REUNIÃO ","")&amp;IF(COUNTIFS($C$22:$C$150,N10,$D$22:$D$150,"*Férias*",$Q$22:$Q$150,"&lt;&gt;Cancelada")&gt;0,"Férias ","")&amp;IF(COUNTIFS($C$22:$C$150,N10,$D$22:$D$150,"*Mudança*",$Q$22:$Q$150,"&lt;&gt;Cancelada")&gt;0,"M.Função ","")&amp;IF(COUNTIFS($C$22:$C$150,N10,$D$22:$D$150,"*Treinamento*",$Q$22:$Q$150,"&lt;&gt;Cancelada")&gt;0,"Trein. ","")))</f>
        <v/>
      </c>
      <c r="O11" s="77"/>
    </row>
    <row r="12" customFormat="false" ht="15" hidden="false" customHeight="true" outlineLevel="0" collapsed="false">
      <c r="B12" s="76" t="n">
        <f aca="false">IF(MONTH($X$1-WEEKDAY($X$1)+1+21)=MONTH($X$1),$X$1-WEEKDAY($X$1)+1+21,"")</f>
        <v>46313</v>
      </c>
      <c r="C12" s="76"/>
      <c r="D12" s="76" t="n">
        <f aca="false">IF(MONTH($X$1-WEEKDAY($X$1)+1+22)=MONTH($X$1),$X$1-WEEKDAY($X$1)+1+22,"")</f>
        <v>46314</v>
      </c>
      <c r="E12" s="76"/>
      <c r="F12" s="76" t="n">
        <f aca="false">IF(MONTH($X$1-WEEKDAY($X$1)+1+23)=MONTH($X$1),$X$1-WEEKDAY($X$1)+1+23,"")</f>
        <v>46315</v>
      </c>
      <c r="G12" s="76"/>
      <c r="H12" s="76" t="n">
        <f aca="false">IF(MONTH($X$1-WEEKDAY($X$1)+1+24)=MONTH($X$1),$X$1-WEEKDAY($X$1)+1+24,"")</f>
        <v>46316</v>
      </c>
      <c r="I12" s="76"/>
      <c r="J12" s="76" t="n">
        <f aca="false">IF(MONTH($X$1-WEEKDAY($X$1)+1+25)=MONTH($X$1),$X$1-WEEKDAY($X$1)+1+25,"")</f>
        <v>46317</v>
      </c>
      <c r="K12" s="76"/>
      <c r="L12" s="76" t="n">
        <f aca="false">IF(MONTH($X$1-WEEKDAY($X$1)+1+26)=MONTH($X$1),$X$1-WEEKDAY($X$1)+1+26,"")</f>
        <v>46318</v>
      </c>
      <c r="M12" s="76"/>
      <c r="N12" s="76" t="n">
        <f aca="false">IF(MONTH($X$1-WEEKDAY($X$1)+1+27)=MONTH($X$1),$X$1-WEEKDAY($X$1)+1+27,"")</f>
        <v>46319</v>
      </c>
      <c r="O12" s="76"/>
    </row>
    <row r="13" customFormat="false" ht="25.5" hidden="false" customHeight="true" outlineLevel="0" collapsed="false">
      <c r="B13" s="77" t="str">
        <f aca="false">IF(B12="","",TRIM(IF(COUNTIFS($C$22:$C$150,B12,$D$22:$D$150,"*Vistoria*",$Q$22:$Q$150,"&lt;&gt;Cancelada")&gt;0,"Vistoria ","")&amp;IF(COUNTIFS($C$22:$C$150,B12,$D$22:$D$150,"*Relatório*",$Q$22:$Q$150,"&lt;&gt;Cancelada")&gt;0,"Relatório ","")&amp;IF(COUNTIFS($C$22:$C$150,B12,$D$22:$D$150,"*Reunião*",$Q$22:$Q$150,"&lt;&gt;Cancelada")&gt;0,"REUNIÃO ","")&amp;IF(COUNTIFS($C$22:$C$150,B12,$D$22:$D$150,"*Férias*",$Q$22:$Q$150,"&lt;&gt;Cancelada")&gt;0,"Férias ","")&amp;IF(COUNTIFS($C$22:$C$150,B12,$D$22:$D$150,"*Mudança*",$Q$22:$Q$150,"&lt;&gt;Cancelada")&gt;0,"M.Função ","")&amp;IF(COUNTIFS($C$22:$C$150,B12,$D$22:$D$150,"*Treinamento*",$Q$22:$Q$150,"&lt;&gt;Cancelada")&gt;0,"Trein. ","")))</f>
        <v/>
      </c>
      <c r="C13" s="77"/>
      <c r="D13" s="77" t="str">
        <f aca="false">IF(D12="","",TRIM(IF(COUNTIFS($C$22:$C$150,D12,$D$22:$D$150,"*Vistoria*",$Q$22:$Q$150,"&lt;&gt;Cancelada")&gt;0,"Vistoria ","")&amp;IF(COUNTIFS($C$22:$C$150,D12,$D$22:$D$150,"*Relatório*",$Q$22:$Q$150,"&lt;&gt;Cancelada")&gt;0,"Relatório ","")&amp;IF(COUNTIFS($C$22:$C$150,D12,$D$22:$D$150,"*Reunião*",$Q$22:$Q$150,"&lt;&gt;Cancelada")&gt;0,"REUNIÃO ","")&amp;IF(COUNTIFS($C$22:$C$150,D12,$D$22:$D$150,"*Férias*",$Q$22:$Q$150,"&lt;&gt;Cancelada")&gt;0,"Férias ","")&amp;IF(COUNTIFS($C$22:$C$150,D12,$D$22:$D$150,"*Mudança*",$Q$22:$Q$150,"&lt;&gt;Cancelada")&gt;0,"M.Função ","")&amp;IF(COUNTIFS($C$22:$C$150,D12,$D$22:$D$150,"*Treinamento*",$Q$22:$Q$150,"&lt;&gt;Cancelada")&gt;0,"Trein. ","")))</f>
        <v/>
      </c>
      <c r="E13" s="77"/>
      <c r="F13" s="77" t="str">
        <f aca="false">IF(F12="","",TRIM(IF(COUNTIFS($C$22:$C$150,F12,$D$22:$D$150,"*Vistoria*",$Q$22:$Q$150,"&lt;&gt;Cancelada")&gt;0,"Vistoria ","")&amp;IF(COUNTIFS($C$22:$C$150,F12,$D$22:$D$150,"*Relatório*",$Q$22:$Q$150,"&lt;&gt;Cancelada")&gt;0,"Relatório ","")&amp;IF(COUNTIFS($C$22:$C$150,F12,$D$22:$D$150,"*Reunião*",$Q$22:$Q$150,"&lt;&gt;Cancelada")&gt;0,"REUNIÃO ","")&amp;IF(COUNTIFS($C$22:$C$150,F12,$D$22:$D$150,"*Férias*",$Q$22:$Q$150,"&lt;&gt;Cancelada")&gt;0,"Férias ","")&amp;IF(COUNTIFS($C$22:$C$150,F12,$D$22:$D$150,"*Mudança*",$Q$22:$Q$150,"&lt;&gt;Cancelada")&gt;0,"M.Função ","")&amp;IF(COUNTIFS($C$22:$C$150,F12,$D$22:$D$150,"*Treinamento*",$Q$22:$Q$150,"&lt;&gt;Cancelada")&gt;0,"Trein. ","")))</f>
        <v/>
      </c>
      <c r="G13" s="77"/>
      <c r="H13" s="77" t="str">
        <f aca="false">IF(H12="","",TRIM(IF(COUNTIFS($C$22:$C$150,H12,$D$22:$D$150,"*Vistoria*",$Q$22:$Q$150,"&lt;&gt;Cancelada")&gt;0,"Vistoria ","")&amp;IF(COUNTIFS($C$22:$C$150,H12,$D$22:$D$150,"*Relatório*",$Q$22:$Q$150,"&lt;&gt;Cancelada")&gt;0,"Relatório ","")&amp;IF(COUNTIFS($C$22:$C$150,H12,$D$22:$D$150,"*Reunião*",$Q$22:$Q$150,"&lt;&gt;Cancelada")&gt;0,"REUNIÃO ","")&amp;IF(COUNTIFS($C$22:$C$150,H12,$D$22:$D$150,"*Férias*",$Q$22:$Q$150,"&lt;&gt;Cancelada")&gt;0,"Férias ","")&amp;IF(COUNTIFS($C$22:$C$150,H12,$D$22:$D$150,"*Mudança*",$Q$22:$Q$150,"&lt;&gt;Cancelada")&gt;0,"M.Função ","")&amp;IF(COUNTIFS($C$22:$C$150,H12,$D$22:$D$150,"*Treinamento*",$Q$22:$Q$150,"&lt;&gt;Cancelada")&gt;0,"Trein. ","")))</f>
        <v>Vistoria</v>
      </c>
      <c r="I13" s="77"/>
      <c r="J13" s="77" t="str">
        <f aca="false">IF(J12="","",TRIM(IF(COUNTIFS($C$22:$C$150,J12,$D$22:$D$150,"*Vistoria*",$Q$22:$Q$150,"&lt;&gt;Cancelada")&gt;0,"Vistoria ","")&amp;IF(COUNTIFS($C$22:$C$150,J12,$D$22:$D$150,"*Relatório*",$Q$22:$Q$150,"&lt;&gt;Cancelada")&gt;0,"Relatório ","")&amp;IF(COUNTIFS($C$22:$C$150,J12,$D$22:$D$150,"*Reunião*",$Q$22:$Q$150,"&lt;&gt;Cancelada")&gt;0,"REUNIÃO ","")&amp;IF(COUNTIFS($C$22:$C$150,J12,$D$22:$D$150,"*Férias*",$Q$22:$Q$150,"&lt;&gt;Cancelada")&gt;0,"Férias ","")&amp;IF(COUNTIFS($C$22:$C$150,J12,$D$22:$D$150,"*Mudança*",$Q$22:$Q$150,"&lt;&gt;Cancelada")&gt;0,"M.Função ","")&amp;IF(COUNTIFS($C$22:$C$150,J12,$D$22:$D$150,"*Treinamento*",$Q$22:$Q$150,"&lt;&gt;Cancelada")&gt;0,"Trein. ","")))</f>
        <v>Relatório</v>
      </c>
      <c r="K13" s="77"/>
      <c r="L13" s="77" t="str">
        <f aca="false">IF(L12="","",TRIM(IF(COUNTIFS($C$22:$C$150,L12,$D$22:$D$150,"*Vistoria*",$Q$22:$Q$150,"&lt;&gt;Cancelada")&gt;0,"Vistoria ","")&amp;IF(COUNTIFS($C$22:$C$150,L12,$D$22:$D$150,"*Relatório*",$Q$22:$Q$150,"&lt;&gt;Cancelada")&gt;0,"Relatório ","")&amp;IF(COUNTIFS($C$22:$C$150,L12,$D$22:$D$150,"*Reunião*",$Q$22:$Q$150,"&lt;&gt;Cancelada")&gt;0,"REUNIÃO ","")&amp;IF(COUNTIFS($C$22:$C$150,L12,$D$22:$D$150,"*Férias*",$Q$22:$Q$150,"&lt;&gt;Cancelada")&gt;0,"Férias ","")&amp;IF(COUNTIFS($C$22:$C$150,L12,$D$22:$D$150,"*Mudança*",$Q$22:$Q$150,"&lt;&gt;Cancelada")&gt;0,"M.Função ","")&amp;IF(COUNTIFS($C$22:$C$150,L12,$D$22:$D$150,"*Treinamento*",$Q$22:$Q$150,"&lt;&gt;Cancelada")&gt;0,"Trein. ","")))</f>
        <v>REUNIÃO</v>
      </c>
      <c r="M13" s="77"/>
      <c r="N13" s="77" t="str">
        <f aca="false">IF(N12="","",TRIM(IF(COUNTIFS($C$22:$C$150,N12,$D$22:$D$150,"*Vistoria*",$Q$22:$Q$150,"&lt;&gt;Cancelada")&gt;0,"Vistoria ","")&amp;IF(COUNTIFS($C$22:$C$150,N12,$D$22:$D$150,"*Relatório*",$Q$22:$Q$150,"&lt;&gt;Cancelada")&gt;0,"Relatório ","")&amp;IF(COUNTIFS($C$22:$C$150,N12,$D$22:$D$150,"*Reunião*",$Q$22:$Q$150,"&lt;&gt;Cancelada")&gt;0,"REUNIÃO ","")&amp;IF(COUNTIFS($C$22:$C$150,N12,$D$22:$D$150,"*Férias*",$Q$22:$Q$150,"&lt;&gt;Cancelada")&gt;0,"Férias ","")&amp;IF(COUNTIFS($C$22:$C$150,N12,$D$22:$D$150,"*Mudança*",$Q$22:$Q$150,"&lt;&gt;Cancelada")&gt;0,"M.Função ","")&amp;IF(COUNTIFS($C$22:$C$150,N12,$D$22:$D$150,"*Treinamento*",$Q$22:$Q$150,"&lt;&gt;Cancelada")&gt;0,"Trein. ","")))</f>
        <v/>
      </c>
      <c r="O13" s="77"/>
    </row>
    <row r="14" customFormat="false" ht="15" hidden="false" customHeight="true" outlineLevel="0" collapsed="false">
      <c r="B14" s="76" t="n">
        <f aca="false">IF(MONTH($X$1-WEEKDAY($X$1)+1+28)=MONTH($X$1),$X$1-WEEKDAY($X$1)+1+28,"")</f>
        <v>46320</v>
      </c>
      <c r="C14" s="76"/>
      <c r="D14" s="76" t="n">
        <f aca="false">IF(MONTH($X$1-WEEKDAY($X$1)+1+29)=MONTH($X$1),$X$1-WEEKDAY($X$1)+1+29,"")</f>
        <v>46321</v>
      </c>
      <c r="E14" s="76"/>
      <c r="F14" s="76" t="n">
        <f aca="false">IF(MONTH($X$1-WEEKDAY($X$1)+1+30)=MONTH($X$1),$X$1-WEEKDAY($X$1)+1+30,"")</f>
        <v>46322</v>
      </c>
      <c r="G14" s="76"/>
      <c r="H14" s="76" t="n">
        <f aca="false">IF(MONTH($X$1-WEEKDAY($X$1)+1+31)=MONTH($X$1),$X$1-WEEKDAY($X$1)+1+31,"")</f>
        <v>46323</v>
      </c>
      <c r="I14" s="76"/>
      <c r="J14" s="76" t="n">
        <f aca="false">IF(MONTH($X$1-WEEKDAY($X$1)+1+32)=MONTH($X$1),$X$1-WEEKDAY($X$1)+1+32,"")</f>
        <v>46324</v>
      </c>
      <c r="K14" s="76"/>
      <c r="L14" s="76" t="n">
        <f aca="false">IF(MONTH($X$1-WEEKDAY($X$1)+1+33)=MONTH($X$1),$X$1-WEEKDAY($X$1)+1+33,"")</f>
        <v>46325</v>
      </c>
      <c r="M14" s="76"/>
      <c r="N14" s="76" t="n">
        <f aca="false">IF(MONTH($X$1-WEEKDAY($X$1)+1+34)=MONTH($X$1),$X$1-WEEKDAY($X$1)+1+34,"")</f>
        <v>46326</v>
      </c>
      <c r="O14" s="76"/>
    </row>
    <row r="15" customFormat="false" ht="25.5" hidden="false" customHeight="true" outlineLevel="0" collapsed="false">
      <c r="B15" s="77" t="str">
        <f aca="false">IF(B14="","",TRIM(IF(COUNTIFS($C$22:$C$150,B14,$D$22:$D$150,"*Vistoria*",$Q$22:$Q$150,"&lt;&gt;Cancelada")&gt;0,"Vistoria ","")&amp;IF(COUNTIFS($C$22:$C$150,B14,$D$22:$D$150,"*Relatório*",$Q$22:$Q$150,"&lt;&gt;Cancelada")&gt;0,"Relatório ","")&amp;IF(COUNTIFS($C$22:$C$150,B14,$D$22:$D$150,"*Reunião*",$Q$22:$Q$150,"&lt;&gt;Cancelada")&gt;0,"REUNIÃO ","")&amp;IF(COUNTIFS($C$22:$C$150,B14,$D$22:$D$150,"*Férias*",$Q$22:$Q$150,"&lt;&gt;Cancelada")&gt;0,"Férias ","")&amp;IF(COUNTIFS($C$22:$C$150,B14,$D$22:$D$150,"*Mudança*",$Q$22:$Q$150,"&lt;&gt;Cancelada")&gt;0,"M.Função ","")&amp;IF(COUNTIFS($C$22:$C$150,B14,$D$22:$D$150,"*Treinamento*",$Q$22:$Q$150,"&lt;&gt;Cancelada")&gt;0,"Trein. ","")))</f>
        <v/>
      </c>
      <c r="C15" s="77"/>
      <c r="D15" s="77" t="str">
        <f aca="false">IF(D14="","",TRIM(IF(COUNTIFS($C$22:$C$150,D14,$D$22:$D$150,"*Vistoria*",$Q$22:$Q$150,"&lt;&gt;Cancelada")&gt;0,"Vistoria ","")&amp;IF(COUNTIFS($C$22:$C$150,D14,$D$22:$D$150,"*Relatório*",$Q$22:$Q$150,"&lt;&gt;Cancelada")&gt;0,"Relatório ","")&amp;IF(COUNTIFS($C$22:$C$150,D14,$D$22:$D$150,"*Reunião*",$Q$22:$Q$150,"&lt;&gt;Cancelada")&gt;0,"REUNIÃO ","")&amp;IF(COUNTIFS($C$22:$C$150,D14,$D$22:$D$150,"*Férias*",$Q$22:$Q$150,"&lt;&gt;Cancelada")&gt;0,"Férias ","")&amp;IF(COUNTIFS($C$22:$C$150,D14,$D$22:$D$150,"*Mudança*",$Q$22:$Q$150,"&lt;&gt;Cancelada")&gt;0,"M.Função ","")&amp;IF(COUNTIFS($C$22:$C$150,D14,$D$22:$D$150,"*Treinamento*",$Q$22:$Q$150,"&lt;&gt;Cancelada")&gt;0,"Trein. ","")))</f>
        <v/>
      </c>
      <c r="E15" s="77"/>
      <c r="F15" s="77" t="str">
        <f aca="false">IF(F14="","",TRIM(IF(COUNTIFS($C$22:$C$150,F14,$D$22:$D$150,"*Vistoria*",$Q$22:$Q$150,"&lt;&gt;Cancelada")&gt;0,"Vistoria ","")&amp;IF(COUNTIFS($C$22:$C$150,F14,$D$22:$D$150,"*Relatório*",$Q$22:$Q$150,"&lt;&gt;Cancelada")&gt;0,"Relatório ","")&amp;IF(COUNTIFS($C$22:$C$150,F14,$D$22:$D$150,"*Reunião*",$Q$22:$Q$150,"&lt;&gt;Cancelada")&gt;0,"REUNIÃO ","")&amp;IF(COUNTIFS($C$22:$C$150,F14,$D$22:$D$150,"*Férias*",$Q$22:$Q$150,"&lt;&gt;Cancelada")&gt;0,"Férias ","")&amp;IF(COUNTIFS($C$22:$C$150,F14,$D$22:$D$150,"*Mudança*",$Q$22:$Q$150,"&lt;&gt;Cancelada")&gt;0,"M.Função ","")&amp;IF(COUNTIFS($C$22:$C$150,F14,$D$22:$D$150,"*Treinamento*",$Q$22:$Q$150,"&lt;&gt;Cancelada")&gt;0,"Trein. ","")))</f>
        <v/>
      </c>
      <c r="G15" s="77"/>
      <c r="H15" s="77" t="str">
        <f aca="false">IF(H14="","",TRIM(IF(COUNTIFS($C$22:$C$150,H14,$D$22:$D$150,"*Vistoria*",$Q$22:$Q$150,"&lt;&gt;Cancelada")&gt;0,"Vistoria ","")&amp;IF(COUNTIFS($C$22:$C$150,H14,$D$22:$D$150,"*Relatório*",$Q$22:$Q$150,"&lt;&gt;Cancelada")&gt;0,"Relatório ","")&amp;IF(COUNTIFS($C$22:$C$150,H14,$D$22:$D$150,"*Reunião*",$Q$22:$Q$150,"&lt;&gt;Cancelada")&gt;0,"REUNIÃO ","")&amp;IF(COUNTIFS($C$22:$C$150,H14,$D$22:$D$150,"*Férias*",$Q$22:$Q$150,"&lt;&gt;Cancelada")&gt;0,"Férias ","")&amp;IF(COUNTIFS($C$22:$C$150,H14,$D$22:$D$150,"*Mudança*",$Q$22:$Q$150,"&lt;&gt;Cancelada")&gt;0,"M.Função ","")&amp;IF(COUNTIFS($C$22:$C$150,H14,$D$22:$D$150,"*Treinamento*",$Q$22:$Q$150,"&lt;&gt;Cancelada")&gt;0,"Trein. ","")))</f>
        <v>Vistoria</v>
      </c>
      <c r="I15" s="77"/>
      <c r="J15" s="77" t="str">
        <f aca="false">IF(J14="","",TRIM(IF(COUNTIFS($C$22:$C$150,J14,$D$22:$D$150,"*Vistoria*",$Q$22:$Q$150,"&lt;&gt;Cancelada")&gt;0,"Vistoria ","")&amp;IF(COUNTIFS($C$22:$C$150,J14,$D$22:$D$150,"*Relatório*",$Q$22:$Q$150,"&lt;&gt;Cancelada")&gt;0,"Relatório ","")&amp;IF(COUNTIFS($C$22:$C$150,J14,$D$22:$D$150,"*Reunião*",$Q$22:$Q$150,"&lt;&gt;Cancelada")&gt;0,"REUNIÃO ","")&amp;IF(COUNTIFS($C$22:$C$150,J14,$D$22:$D$150,"*Férias*",$Q$22:$Q$150,"&lt;&gt;Cancelada")&gt;0,"Férias ","")&amp;IF(COUNTIFS($C$22:$C$150,J14,$D$22:$D$150,"*Mudança*",$Q$22:$Q$150,"&lt;&gt;Cancelada")&gt;0,"M.Função ","")&amp;IF(COUNTIFS($C$22:$C$150,J14,$D$22:$D$150,"*Treinamento*",$Q$22:$Q$150,"&lt;&gt;Cancelada")&gt;0,"Trein. ","")))</f>
        <v>Relatório</v>
      </c>
      <c r="K15" s="77"/>
      <c r="L15" s="77" t="str">
        <f aca="false">IF(L14="","",TRIM(IF(COUNTIFS($C$22:$C$150,L14,$D$22:$D$150,"*Vistoria*",$Q$22:$Q$150,"&lt;&gt;Cancelada")&gt;0,"Vistoria ","")&amp;IF(COUNTIFS($C$22:$C$150,L14,$D$22:$D$150,"*Relatório*",$Q$22:$Q$150,"&lt;&gt;Cancelada")&gt;0,"Relatório ","")&amp;IF(COUNTIFS($C$22:$C$150,L14,$D$22:$D$150,"*Reunião*",$Q$22:$Q$150,"&lt;&gt;Cancelada")&gt;0,"REUNIÃO ","")&amp;IF(COUNTIFS($C$22:$C$150,L14,$D$22:$D$150,"*Férias*",$Q$22:$Q$150,"&lt;&gt;Cancelada")&gt;0,"Férias ","")&amp;IF(COUNTIFS($C$22:$C$150,L14,$D$22:$D$150,"*Mudança*",$Q$22:$Q$150,"&lt;&gt;Cancelada")&gt;0,"M.Função ","")&amp;IF(COUNTIFS($C$22:$C$150,L14,$D$22:$D$150,"*Treinamento*",$Q$22:$Q$150,"&lt;&gt;Cancelada")&gt;0,"Trein. ","")))</f>
        <v>REUNIÃO M.Função</v>
      </c>
      <c r="M15" s="77"/>
      <c r="N15" s="77" t="str">
        <f aca="false">IF(N14="","",TRIM(IF(COUNTIFS($C$22:$C$150,N14,$D$22:$D$150,"*Vistoria*",$Q$22:$Q$150,"&lt;&gt;Cancelada")&gt;0,"Vistoria ","")&amp;IF(COUNTIFS($C$22:$C$150,N14,$D$22:$D$150,"*Relatório*",$Q$22:$Q$150,"&lt;&gt;Cancelada")&gt;0,"Relatório ","")&amp;IF(COUNTIFS($C$22:$C$150,N14,$D$22:$D$150,"*Reunião*",$Q$22:$Q$150,"&lt;&gt;Cancelada")&gt;0,"REUNIÃO ","")&amp;IF(COUNTIFS($C$22:$C$150,N14,$D$22:$D$150,"*Férias*",$Q$22:$Q$150,"&lt;&gt;Cancelada")&gt;0,"Férias ","")&amp;IF(COUNTIFS($C$22:$C$150,N14,$D$22:$D$150,"*Mudança*",$Q$22:$Q$150,"&lt;&gt;Cancelada")&gt;0,"M.Função ","")&amp;IF(COUNTIFS($C$22:$C$150,N14,$D$22:$D$150,"*Treinamento*",$Q$22:$Q$150,"&lt;&gt;Cancelada")&gt;0,"Trein. ","")))</f>
        <v/>
      </c>
      <c r="O15" s="77"/>
    </row>
    <row r="16" customFormat="false" ht="15" hidden="false" customHeight="true" outlineLevel="0" collapsed="false">
      <c r="B16" s="76" t="str">
        <f aca="false">IF(MONTH($X$1-WEEKDAY($X$1)+1+35)=MONTH($X$1),$X$1-WEEKDAY($X$1)+1+35,"")</f>
        <v/>
      </c>
      <c r="C16" s="76"/>
      <c r="D16" s="76" t="str">
        <f aca="false">IF(MONTH($X$1-WEEKDAY($X$1)+1+36)=MONTH($X$1),$X$1-WEEKDAY($X$1)+1+36,"")</f>
        <v/>
      </c>
      <c r="E16" s="76"/>
      <c r="F16" s="76" t="str">
        <f aca="false">IF(MONTH($X$1-WEEKDAY($X$1)+1+37)=MONTH($X$1),$X$1-WEEKDAY($X$1)+1+37,"")</f>
        <v/>
      </c>
      <c r="G16" s="76"/>
      <c r="H16" s="76" t="str">
        <f aca="false">IF(MONTH($X$1-WEEKDAY($X$1)+1+38)=MONTH($X$1),$X$1-WEEKDAY($X$1)+1+38,"")</f>
        <v/>
      </c>
      <c r="I16" s="76"/>
      <c r="J16" s="76" t="str">
        <f aca="false">IF(MONTH($X$1-WEEKDAY($X$1)+1+39)=MONTH($X$1),$X$1-WEEKDAY($X$1)+1+39,"")</f>
        <v/>
      </c>
      <c r="K16" s="76"/>
      <c r="L16" s="76" t="str">
        <f aca="false">IF(MONTH($X$1-WEEKDAY($X$1)+1+40)=MONTH($X$1),$X$1-WEEKDAY($X$1)+1+40,"")</f>
        <v/>
      </c>
      <c r="M16" s="76"/>
      <c r="N16" s="76" t="str">
        <f aca="false">IF(MONTH($X$1-WEEKDAY($X$1)+1+41)=MONTH($X$1),$X$1-WEEKDAY($X$1)+1+41,"")</f>
        <v/>
      </c>
      <c r="O16" s="76"/>
    </row>
    <row r="17" customFormat="false" ht="25.5" hidden="false" customHeight="true" outlineLevel="0" collapsed="false">
      <c r="B17" s="77" t="str">
        <f aca="false">IF(B16="","",TRIM(IF(COUNTIFS($C$22:$C$150,B16,$D$22:$D$150,"*Vistoria*",$Q$22:$Q$150,"&lt;&gt;Cancelada")&gt;0,"Vistoria ","")&amp;IF(COUNTIFS($C$22:$C$150,B16,$D$22:$D$150,"*Relatório*",$Q$22:$Q$150,"&lt;&gt;Cancelada")&gt;0,"Relatório ","")&amp;IF(COUNTIFS($C$22:$C$150,B16,$D$22:$D$150,"*Reunião*",$Q$22:$Q$150,"&lt;&gt;Cancelada")&gt;0,"REUNIÃO ","")&amp;IF(COUNTIFS($C$22:$C$150,B16,$D$22:$D$150,"*Férias*",$Q$22:$Q$150,"&lt;&gt;Cancelada")&gt;0,"Férias ","")&amp;IF(COUNTIFS($C$22:$C$150,B16,$D$22:$D$150,"*Mudança*",$Q$22:$Q$150,"&lt;&gt;Cancelada")&gt;0,"M.Função ","")&amp;IF(COUNTIFS($C$22:$C$150,B16,$D$22:$D$150,"*Treinamento*",$Q$22:$Q$150,"&lt;&gt;Cancelada")&gt;0,"Trein. ","")))</f>
        <v/>
      </c>
      <c r="C17" s="77"/>
      <c r="D17" s="77" t="str">
        <f aca="false">IF(D16="","",TRIM(IF(COUNTIFS($C$22:$C$150,D16,$D$22:$D$150,"*Vistoria*",$Q$22:$Q$150,"&lt;&gt;Cancelada")&gt;0,"Vistoria ","")&amp;IF(COUNTIFS($C$22:$C$150,D16,$D$22:$D$150,"*Relatório*",$Q$22:$Q$150,"&lt;&gt;Cancelada")&gt;0,"Relatório ","")&amp;IF(COUNTIFS($C$22:$C$150,D16,$D$22:$D$150,"*Reunião*",$Q$22:$Q$150,"&lt;&gt;Cancelada")&gt;0,"REUNIÃO ","")&amp;IF(COUNTIFS($C$22:$C$150,D16,$D$22:$D$150,"*Férias*",$Q$22:$Q$150,"&lt;&gt;Cancelada")&gt;0,"Férias ","")&amp;IF(COUNTIFS($C$22:$C$150,D16,$D$22:$D$150,"*Mudança*",$Q$22:$Q$150,"&lt;&gt;Cancelada")&gt;0,"M.Função ","")&amp;IF(COUNTIFS($C$22:$C$150,D16,$D$22:$D$150,"*Treinamento*",$Q$22:$Q$150,"&lt;&gt;Cancelada")&gt;0,"Trein. ","")))</f>
        <v/>
      </c>
      <c r="E17" s="77"/>
      <c r="F17" s="77" t="str">
        <f aca="false">IF(F16="","",TRIM(IF(COUNTIFS($C$22:$C$150,F16,$D$22:$D$150,"*Vistoria*",$Q$22:$Q$150,"&lt;&gt;Cancelada")&gt;0,"Vistoria ","")&amp;IF(COUNTIFS($C$22:$C$150,F16,$D$22:$D$150,"*Relatório*",$Q$22:$Q$150,"&lt;&gt;Cancelada")&gt;0,"Relatório ","")&amp;IF(COUNTIFS($C$22:$C$150,F16,$D$22:$D$150,"*Reunião*",$Q$22:$Q$150,"&lt;&gt;Cancelada")&gt;0,"REUNIÃO ","")&amp;IF(COUNTIFS($C$22:$C$150,F16,$D$22:$D$150,"*Férias*",$Q$22:$Q$150,"&lt;&gt;Cancelada")&gt;0,"Férias ","")&amp;IF(COUNTIFS($C$22:$C$150,F16,$D$22:$D$150,"*Mudança*",$Q$22:$Q$150,"&lt;&gt;Cancelada")&gt;0,"M.Função ","")&amp;IF(COUNTIFS($C$22:$C$150,F16,$D$22:$D$150,"*Treinamento*",$Q$22:$Q$150,"&lt;&gt;Cancelada")&gt;0,"Trein. ","")))</f>
        <v/>
      </c>
      <c r="G17" s="77"/>
      <c r="H17" s="77" t="str">
        <f aca="false">IF(H16="","",TRIM(IF(COUNTIFS($C$22:$C$150,H16,$D$22:$D$150,"*Vistoria*",$Q$22:$Q$150,"&lt;&gt;Cancelada")&gt;0,"Vistoria ","")&amp;IF(COUNTIFS($C$22:$C$150,H16,$D$22:$D$150,"*Relatório*",$Q$22:$Q$150,"&lt;&gt;Cancelada")&gt;0,"Relatório ","")&amp;IF(COUNTIFS($C$22:$C$150,H16,$D$22:$D$150,"*Reunião*",$Q$22:$Q$150,"&lt;&gt;Cancelada")&gt;0,"REUNIÃO ","")&amp;IF(COUNTIFS($C$22:$C$150,H16,$D$22:$D$150,"*Férias*",$Q$22:$Q$150,"&lt;&gt;Cancelada")&gt;0,"Férias ","")&amp;IF(COUNTIFS($C$22:$C$150,H16,$D$22:$D$150,"*Mudança*",$Q$22:$Q$150,"&lt;&gt;Cancelada")&gt;0,"M.Função ","")&amp;IF(COUNTIFS($C$22:$C$150,H16,$D$22:$D$150,"*Treinamento*",$Q$22:$Q$150,"&lt;&gt;Cancelada")&gt;0,"Trein. ","")))</f>
        <v/>
      </c>
      <c r="I17" s="77"/>
      <c r="J17" s="77" t="str">
        <f aca="false">IF(J16="","",TRIM(IF(COUNTIFS($C$22:$C$150,J16,$D$22:$D$150,"*Vistoria*",$Q$22:$Q$150,"&lt;&gt;Cancelada")&gt;0,"Vistoria ","")&amp;IF(COUNTIFS($C$22:$C$150,J16,$D$22:$D$150,"*Relatório*",$Q$22:$Q$150,"&lt;&gt;Cancelada")&gt;0,"Relatório ","")&amp;IF(COUNTIFS($C$22:$C$150,J16,$D$22:$D$150,"*Reunião*",$Q$22:$Q$150,"&lt;&gt;Cancelada")&gt;0,"REUNIÃO ","")&amp;IF(COUNTIFS($C$22:$C$150,J16,$D$22:$D$150,"*Férias*",$Q$22:$Q$150,"&lt;&gt;Cancelada")&gt;0,"Férias ","")&amp;IF(COUNTIFS($C$22:$C$150,J16,$D$22:$D$150,"*Mudança*",$Q$22:$Q$150,"&lt;&gt;Cancelada")&gt;0,"M.Função ","")&amp;IF(COUNTIFS($C$22:$C$150,J16,$D$22:$D$150,"*Treinamento*",$Q$22:$Q$150,"&lt;&gt;Cancelada")&gt;0,"Trein. ","")))</f>
        <v/>
      </c>
      <c r="K17" s="77"/>
      <c r="L17" s="77" t="str">
        <f aca="false">IF(L16="","",TRIM(IF(COUNTIFS($C$22:$C$150,L16,$D$22:$D$150,"*Vistoria*",$Q$22:$Q$150,"&lt;&gt;Cancelada")&gt;0,"Vistoria ","")&amp;IF(COUNTIFS($C$22:$C$150,L16,$D$22:$D$150,"*Relatório*",$Q$22:$Q$150,"&lt;&gt;Cancelada")&gt;0,"Relatório ","")&amp;IF(COUNTIFS($C$22:$C$150,L16,$D$22:$D$150,"*Reunião*",$Q$22:$Q$150,"&lt;&gt;Cancelada")&gt;0,"REUNIÃO ","")&amp;IF(COUNTIFS($C$22:$C$150,L16,$D$22:$D$150,"*Férias*",$Q$22:$Q$150,"&lt;&gt;Cancelada")&gt;0,"Férias ","")&amp;IF(COUNTIFS($C$22:$C$150,L16,$D$22:$D$150,"*Mudança*",$Q$22:$Q$150,"&lt;&gt;Cancelada")&gt;0,"M.Função ","")&amp;IF(COUNTIFS($C$22:$C$150,L16,$D$22:$D$150,"*Treinamento*",$Q$22:$Q$150,"&lt;&gt;Cancelada")&gt;0,"Trein. ","")))</f>
        <v/>
      </c>
      <c r="M17" s="77"/>
      <c r="N17" s="77" t="str">
        <f aca="false">IF(N16="","",TRIM(IF(COUNTIFS($C$22:$C$150,N16,$D$22:$D$150,"*Vistoria*",$Q$22:$Q$150,"&lt;&gt;Cancelada")&gt;0,"Vistoria ","")&amp;IF(COUNTIFS($C$22:$C$150,N16,$D$22:$D$150,"*Relatório*",$Q$22:$Q$150,"&lt;&gt;Cancelada")&gt;0,"Relatório ","")&amp;IF(COUNTIFS($C$22:$C$150,N16,$D$22:$D$150,"*Reunião*",$Q$22:$Q$150,"&lt;&gt;Cancelada")&gt;0,"REUNIÃO ","")&amp;IF(COUNTIFS($C$22:$C$150,N16,$D$22:$D$150,"*Férias*",$Q$22:$Q$150,"&lt;&gt;Cancelada")&gt;0,"Férias ","")&amp;IF(COUNTIFS($C$22:$C$150,N16,$D$22:$D$150,"*Mudança*",$Q$22:$Q$150,"&lt;&gt;Cancelada")&gt;0,"M.Função ","")&amp;IF(COUNTIFS($C$22:$C$150,N16,$D$22:$D$150,"*Treinamento*",$Q$22:$Q$150,"&lt;&gt;Cancelada")&gt;0,"Trein. ","")))</f>
        <v/>
      </c>
      <c r="O17" s="77"/>
    </row>
    <row r="18" customFormat="false" ht="15" hidden="false" customHeight="true" outlineLevel="0" collapsed="false">
      <c r="B18" s="46" t="s">
        <v>213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</row>
    <row r="20" customFormat="false" ht="15" hidden="false" customHeight="true" outlineLevel="0" collapsed="false">
      <c r="A20" s="78" t="s">
        <v>214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</row>
    <row r="21" customFormat="false" ht="24" hidden="false" customHeight="true" outlineLevel="0" collapsed="false">
      <c r="A21" s="79" t="s">
        <v>215</v>
      </c>
      <c r="B21" s="79" t="s">
        <v>157</v>
      </c>
      <c r="C21" s="79" t="s">
        <v>216</v>
      </c>
      <c r="D21" s="79" t="s">
        <v>217</v>
      </c>
      <c r="E21" s="79"/>
      <c r="F21" s="79"/>
      <c r="G21" s="79" t="s">
        <v>58</v>
      </c>
      <c r="H21" s="79" t="s">
        <v>218</v>
      </c>
      <c r="I21" s="79"/>
      <c r="J21" s="79" t="s">
        <v>219</v>
      </c>
      <c r="K21" s="79" t="s">
        <v>61</v>
      </c>
      <c r="L21" s="79" t="s">
        <v>220</v>
      </c>
      <c r="M21" s="79" t="s">
        <v>221</v>
      </c>
      <c r="N21" s="79"/>
      <c r="O21" s="79"/>
      <c r="P21" s="79" t="s">
        <v>222</v>
      </c>
      <c r="Q21" s="79" t="s">
        <v>223</v>
      </c>
      <c r="R21" s="79" t="s">
        <v>224</v>
      </c>
      <c r="S21" s="79" t="s">
        <v>225</v>
      </c>
      <c r="T21" s="79" t="s">
        <v>226</v>
      </c>
      <c r="U21" s="79" t="s">
        <v>227</v>
      </c>
      <c r="V21" s="79" t="s">
        <v>228</v>
      </c>
    </row>
    <row r="22" customFormat="false" ht="15" hidden="false" customHeight="false" outlineLevel="0" collapsed="false">
      <c r="A22" s="80" t="str">
        <f aca="false">IF($C22="","",$X$2&amp;"-S"&amp;INT(($C22-WEEKDAY($C22,2)+11-DATE(YEAR($C22+4-WEEKDAY($C22,2)),1,1))/7)&amp;"-FER-A")</f>
        <v>OUT-S41-FER-A</v>
      </c>
      <c r="B22" s="81" t="str">
        <f aca="false">IF($C22="","","S"&amp;INT(($C22-WEEKDAY($C22,2)+11-DATE(YEAR($C22+4-WEEKDAY($C22,2)),1,1))/7))</f>
        <v>S41</v>
      </c>
      <c r="C22" s="82" t="n">
        <f aca="false">$X$1+MOD(8-WEEKDAY($X$1,2),7)</f>
        <v>46300</v>
      </c>
      <c r="D22" s="9" t="str">
        <f aca="false">IF($C22="","","Programação de Férias (mensal)")</f>
        <v>Programação de Férias (mensal)</v>
      </c>
      <c r="E22" s="9"/>
      <c r="F22" s="9"/>
      <c r="G22" s="81" t="str">
        <f aca="false">IF($C22="","","A")</f>
        <v>A</v>
      </c>
      <c r="H22" s="81" t="str">
        <f aca="false">IF($C22="","",IF($G22="A",CONFIG!$B$5,IF($G22="B",CONFIG!$B$6,IF($G22="C",CONFIG!$B$7,"Gerência + coordenadores"))))</f>
        <v>(preencha o nome)</v>
      </c>
      <c r="I22" s="81"/>
      <c r="J22" s="81" t="str">
        <f aca="false">IF($C22="","","—")</f>
        <v>—</v>
      </c>
      <c r="K22" s="83" t="str">
        <f aca="false">IF($C22="","","—")</f>
        <v>—</v>
      </c>
      <c r="L22" s="83" t="str">
        <f aca="false">IF($C22="","","—")</f>
        <v>—</v>
      </c>
      <c r="M22" s="84"/>
      <c r="N22" s="84"/>
      <c r="O22" s="84"/>
      <c r="P22" s="85"/>
      <c r="Q22" s="86"/>
      <c r="R22" s="87"/>
      <c r="S22" s="81" t="str">
        <f aca="true">IF($C22="","",IF($Q22="Cancelada","Cancelada",IF($Q22="Reprovado","Reprovada",IF($Q22="Aprovado","Aprovada",IF($M22&lt;&gt;"","Entregue",IF(TODAY()&gt;$C22,"Atrasada","Pendente"))))))</f>
        <v>Pendente</v>
      </c>
      <c r="T22" s="88"/>
      <c r="U22" s="88"/>
      <c r="V22" s="88"/>
    </row>
    <row r="23" customFormat="false" ht="15" hidden="false" customHeight="false" outlineLevel="0" collapsed="false">
      <c r="A23" s="89" t="str">
        <f aca="false">IF($C23="","",$X$2&amp;"-S"&amp;INT(($C23-WEEKDAY($C23,2)+11-DATE(YEAR($C23+4-WEEKDAY($C23,2)),1,1))/7)&amp;"-FER-B")</f>
        <v>OUT-S41-FER-B</v>
      </c>
      <c r="B23" s="60" t="str">
        <f aca="false">IF($C23="","","S"&amp;INT(($C23-WEEKDAY($C23,2)+11-DATE(YEAR($C23+4-WEEKDAY($C23,2)),1,1))/7))</f>
        <v>S41</v>
      </c>
      <c r="C23" s="82" t="n">
        <f aca="false">$X$1+MOD(8-WEEKDAY($X$1,2),7)</f>
        <v>46300</v>
      </c>
      <c r="D23" s="56" t="str">
        <f aca="false">IF($C23="","","Programação de Férias (mensal)")</f>
        <v>Programação de Férias (mensal)</v>
      </c>
      <c r="E23" s="56"/>
      <c r="F23" s="56"/>
      <c r="G23" s="60" t="str">
        <f aca="false">IF($C23="","","B")</f>
        <v>B</v>
      </c>
      <c r="H23" s="60" t="str">
        <f aca="false">IF($C23="","",IF($G23="A",CONFIG!$B$5,IF($G23="B",CONFIG!$B$6,IF($G23="C",CONFIG!$B$7,"Gerência + coordenadores"))))</f>
        <v>(preencha o nome)</v>
      </c>
      <c r="I23" s="60"/>
      <c r="J23" s="81" t="str">
        <f aca="false">IF($C23="","","—")</f>
        <v>—</v>
      </c>
      <c r="K23" s="83" t="str">
        <f aca="false">IF($C23="","","—")</f>
        <v>—</v>
      </c>
      <c r="L23" s="83" t="str">
        <f aca="false">IF($C23="","","—")</f>
        <v>—</v>
      </c>
      <c r="M23" s="84"/>
      <c r="N23" s="84"/>
      <c r="O23" s="84"/>
      <c r="P23" s="90"/>
      <c r="Q23" s="86"/>
      <c r="R23" s="87"/>
      <c r="S23" s="60" t="str">
        <f aca="true">IF($C23="","",IF($Q23="Cancelada","Cancelada",IF($Q23="Reprovado","Reprovada",IF($Q23="Aprovado","Aprovada",IF($M23&lt;&gt;"","Entregue",IF(TODAY()&gt;$C23,"Atrasada","Pendente"))))))</f>
        <v>Pendente</v>
      </c>
      <c r="T23" s="88"/>
      <c r="U23" s="88"/>
      <c r="V23" s="88"/>
    </row>
    <row r="24" customFormat="false" ht="15" hidden="false" customHeight="false" outlineLevel="0" collapsed="false">
      <c r="A24" s="80" t="str">
        <f aca="false">IF($C24="","",$X$2&amp;"-S"&amp;INT(($C24-WEEKDAY($C24,2)+11-DATE(YEAR($C24+4-WEEKDAY($C24,2)),1,1))/7)&amp;"-FER-C")</f>
        <v>OUT-S41-FER-C</v>
      </c>
      <c r="B24" s="81" t="str">
        <f aca="false">IF($C24="","","S"&amp;INT(($C24-WEEKDAY($C24,2)+11-DATE(YEAR($C24+4-WEEKDAY($C24,2)),1,1))/7))</f>
        <v>S41</v>
      </c>
      <c r="C24" s="82" t="n">
        <f aca="false">$X$1+MOD(8-WEEKDAY($X$1,2),7)</f>
        <v>46300</v>
      </c>
      <c r="D24" s="9" t="str">
        <f aca="false">IF($C24="","","Programação de Férias (mensal)")</f>
        <v>Programação de Férias (mensal)</v>
      </c>
      <c r="E24" s="9"/>
      <c r="F24" s="9"/>
      <c r="G24" s="81" t="str">
        <f aca="false">IF($C24="","","C")</f>
        <v>C</v>
      </c>
      <c r="H24" s="81" t="str">
        <f aca="false">IF($C24="","",IF($G24="A",CONFIG!$B$5,IF($G24="B",CONFIG!$B$6,IF($G24="C",CONFIG!$B$7,"Gerência + coordenadores"))))</f>
        <v>(preencha o nome)</v>
      </c>
      <c r="I24" s="81"/>
      <c r="J24" s="81" t="str">
        <f aca="false">IF($C24="","","—")</f>
        <v>—</v>
      </c>
      <c r="K24" s="83" t="str">
        <f aca="false">IF($C24="","","—")</f>
        <v>—</v>
      </c>
      <c r="L24" s="83" t="str">
        <f aca="false">IF($C24="","","—")</f>
        <v>—</v>
      </c>
      <c r="M24" s="84"/>
      <c r="N24" s="84"/>
      <c r="O24" s="84"/>
      <c r="P24" s="85"/>
      <c r="Q24" s="86"/>
      <c r="R24" s="87"/>
      <c r="S24" s="81" t="str">
        <f aca="true">IF($C24="","",IF($Q24="Cancelada","Cancelada",IF($Q24="Reprovado","Reprovada",IF($Q24="Aprovado","Aprovada",IF($M24&lt;&gt;"","Entregue",IF(TODAY()&gt;$C24,"Atrasada","Pendente"))))))</f>
        <v>Pendente</v>
      </c>
      <c r="T24" s="88"/>
      <c r="U24" s="88"/>
      <c r="V24" s="88"/>
    </row>
    <row r="25" customFormat="false" ht="15" hidden="false" customHeight="false" outlineLevel="0" collapsed="false">
      <c r="A25" s="89" t="str">
        <f aca="false">IF($C25="","",$X$2&amp;"-S"&amp;INT(($C25-WEEKDAY($C25,2)+11-DATE(YEAR($C25+4-WEEKDAY($C25,2)),1,1))/7)&amp;"-VIS-A")</f>
        <v/>
      </c>
      <c r="B25" s="60" t="str">
        <f aca="false">IF($C25="","","S"&amp;INT(($C25-WEEKDAY($C25,2)+11-DATE(YEAR($C25+4-WEEKDAY($C25,2)),1,1))/7))</f>
        <v/>
      </c>
      <c r="C25" s="82" t="str">
        <f aca="false">IF(MONTH(($X$1-WEEKDAY($X$1,3)+0)+2)=MONTH($X$1),($X$1-WEEKDAY($X$1,3)+0)+2,"")</f>
        <v/>
      </c>
      <c r="D25" s="56" t="str">
        <f aca="false">IF($C25="","","Vistoria Setorial (checklist no setor definido pelo gerente)")</f>
        <v/>
      </c>
      <c r="E25" s="56"/>
      <c r="F25" s="56"/>
      <c r="G25" s="60" t="str">
        <f aca="false">IF($C25="","","A")</f>
        <v/>
      </c>
      <c r="H25" s="60" t="str">
        <f aca="false">IF($C25="","",IF($G25="A",CONFIG!$B$5,IF($G25="B",CONFIG!$B$6,IF($G25="C",CONFIG!$B$7,"Gerência + coordenadores"))))</f>
        <v/>
      </c>
      <c r="I25" s="60"/>
      <c r="J25" s="86"/>
      <c r="K25" s="83" t="str">
        <f aca="false">IF($C25="","","—")</f>
        <v/>
      </c>
      <c r="L25" s="83" t="str">
        <f aca="false">IF($C25="","","—")</f>
        <v/>
      </c>
      <c r="M25" s="84"/>
      <c r="N25" s="84"/>
      <c r="O25" s="84"/>
      <c r="P25" s="90"/>
      <c r="Q25" s="86"/>
      <c r="R25" s="87"/>
      <c r="S25" s="60" t="str">
        <f aca="true">IF($C25="","",IF($Q25="Cancelada","Cancelada",IF($Q25="Reprovado","Reprovada",IF($Q25="Aprovado","Aprovada",IF($M25&lt;&gt;"","Entregue",IF(TODAY()&gt;$C25,"Atrasada","Pendente"))))))</f>
        <v/>
      </c>
      <c r="T25" s="88"/>
      <c r="U25" s="88"/>
      <c r="V25" s="88"/>
    </row>
    <row r="26" customFormat="false" ht="15" hidden="false" customHeight="false" outlineLevel="0" collapsed="false">
      <c r="A26" s="80" t="str">
        <f aca="false">IF($C26="","",$X$2&amp;"-S"&amp;INT(($C26-WEEKDAY($C26,2)+11-DATE(YEAR($C26+4-WEEKDAY($C26,2)),1,1))/7)&amp;"-VIS-B")</f>
        <v/>
      </c>
      <c r="B26" s="81" t="str">
        <f aca="false">IF($C26="","","S"&amp;INT(($C26-WEEKDAY($C26,2)+11-DATE(YEAR($C26+4-WEEKDAY($C26,2)),1,1))/7))</f>
        <v/>
      </c>
      <c r="C26" s="82" t="str">
        <f aca="false">IF(MONTH(($X$1-WEEKDAY($X$1,3)+0)+2)=MONTH($X$1),($X$1-WEEKDAY($X$1,3)+0)+2,"")</f>
        <v/>
      </c>
      <c r="D26" s="9" t="str">
        <f aca="false">IF($C26="","","Vistoria Setorial (checklist no setor definido pelo gerente)")</f>
        <v/>
      </c>
      <c r="E26" s="9"/>
      <c r="F26" s="9"/>
      <c r="G26" s="81" t="str">
        <f aca="false">IF($C26="","","B")</f>
        <v/>
      </c>
      <c r="H26" s="81" t="str">
        <f aca="false">IF($C26="","",IF($G26="A",CONFIG!$B$5,IF($G26="B",CONFIG!$B$6,IF($G26="C",CONFIG!$B$7,"Gerência + coordenadores"))))</f>
        <v/>
      </c>
      <c r="I26" s="81"/>
      <c r="J26" s="86"/>
      <c r="K26" s="83" t="str">
        <f aca="false">IF($C26="","","—")</f>
        <v/>
      </c>
      <c r="L26" s="83" t="str">
        <f aca="false">IF($C26="","","—")</f>
        <v/>
      </c>
      <c r="M26" s="84"/>
      <c r="N26" s="84"/>
      <c r="O26" s="84"/>
      <c r="P26" s="85"/>
      <c r="Q26" s="86"/>
      <c r="R26" s="87"/>
      <c r="S26" s="81" t="str">
        <f aca="true">IF($C26="","",IF($Q26="Cancelada","Cancelada",IF($Q26="Reprovado","Reprovada",IF($Q26="Aprovado","Aprovada",IF($M26&lt;&gt;"","Entregue",IF(TODAY()&gt;$C26,"Atrasada","Pendente"))))))</f>
        <v/>
      </c>
      <c r="T26" s="88"/>
      <c r="U26" s="88"/>
      <c r="V26" s="88"/>
    </row>
    <row r="27" customFormat="false" ht="15" hidden="false" customHeight="false" outlineLevel="0" collapsed="false">
      <c r="A27" s="89" t="str">
        <f aca="false">IF($C27="","",$X$2&amp;"-S"&amp;INT(($C27-WEEKDAY($C27,2)+11-DATE(YEAR($C27+4-WEEKDAY($C27,2)),1,1))/7)&amp;"-VIS-C")</f>
        <v/>
      </c>
      <c r="B27" s="60" t="str">
        <f aca="false">IF($C27="","","S"&amp;INT(($C27-WEEKDAY($C27,2)+11-DATE(YEAR($C27+4-WEEKDAY($C27,2)),1,1))/7))</f>
        <v/>
      </c>
      <c r="C27" s="82" t="str">
        <f aca="false">IF(MONTH(($X$1-WEEKDAY($X$1,3)+0)+2)=MONTH($X$1),($X$1-WEEKDAY($X$1,3)+0)+2,"")</f>
        <v/>
      </c>
      <c r="D27" s="56" t="str">
        <f aca="false">IF($C27="","","Vistoria Setorial (checklist no setor definido pelo gerente)")</f>
        <v/>
      </c>
      <c r="E27" s="56"/>
      <c r="F27" s="56"/>
      <c r="G27" s="60" t="str">
        <f aca="false">IF($C27="","","C")</f>
        <v/>
      </c>
      <c r="H27" s="60" t="str">
        <f aca="false">IF($C27="","",IF($G27="A",CONFIG!$B$5,IF($G27="B",CONFIG!$B$6,IF($G27="C",CONFIG!$B$7,"Gerência + coordenadores"))))</f>
        <v/>
      </c>
      <c r="I27" s="60"/>
      <c r="J27" s="86"/>
      <c r="K27" s="83" t="str">
        <f aca="false">IF($C27="","","—")</f>
        <v/>
      </c>
      <c r="L27" s="83" t="str">
        <f aca="false">IF($C27="","","—")</f>
        <v/>
      </c>
      <c r="M27" s="84"/>
      <c r="N27" s="84"/>
      <c r="O27" s="84"/>
      <c r="P27" s="90"/>
      <c r="Q27" s="86"/>
      <c r="R27" s="87"/>
      <c r="S27" s="60" t="str">
        <f aca="true">IF($C27="","",IF($Q27="Cancelada","Cancelada",IF($Q27="Reprovado","Reprovada",IF($Q27="Aprovado","Aprovada",IF($M27&lt;&gt;"","Entregue",IF(TODAY()&gt;$C27,"Atrasada","Pendente"))))))</f>
        <v/>
      </c>
      <c r="T27" s="88"/>
      <c r="U27" s="88"/>
      <c r="V27" s="88"/>
    </row>
    <row r="28" customFormat="false" ht="22.35" hidden="false" customHeight="false" outlineLevel="0" collapsed="false">
      <c r="A28" s="80" t="str">
        <f aca="false">IF($C28="","",$X$2&amp;"-S"&amp;INT(($C28-WEEKDAY($C28,2)+11-DATE(YEAR($C28+4-WEEKDAY($C28,2)),1,1))/7)&amp;"-RSC-A")</f>
        <v>OUT-S40-RSC-A</v>
      </c>
      <c r="B28" s="81" t="str">
        <f aca="false">IF($C28="","","S"&amp;INT(($C28-WEEKDAY($C28,2)+11-DATE(YEAR($C28+4-WEEKDAY($C28,2)),1,1))/7))</f>
        <v>S40</v>
      </c>
      <c r="C28" s="82" t="n">
        <f aca="false">IF(MONTH(($X$1-WEEKDAY($X$1,3)+0)+3)=MONTH($X$1),($X$1-WEEKDAY($X$1,3)+0)+3,"")</f>
        <v>46296</v>
      </c>
      <c r="D28" s="9" t="str">
        <f aca="false">IF($C28="","","Relatório Semanal Consolidado (erros + metas + faltas + supervisores)")</f>
        <v>Relatório Semanal Consolidado (erros + metas + faltas + supervisores)</v>
      </c>
      <c r="E28" s="9"/>
      <c r="F28" s="9"/>
      <c r="G28" s="81" t="str">
        <f aca="false">IF($C28="","","A")</f>
        <v>A</v>
      </c>
      <c r="H28" s="81" t="str">
        <f aca="false">IF($C28="","",IF($G28="A",CONFIG!$B$5,IF($G28="B",CONFIG!$B$6,IF($G28="C",CONFIG!$B$7,"Gerência + coordenadores"))))</f>
        <v>(preencha o nome)</v>
      </c>
      <c r="I28" s="81"/>
      <c r="J28" s="81" t="str">
        <f aca="false">IF($C28="","","—")</f>
        <v>—</v>
      </c>
      <c r="K28" s="91" t="n">
        <f aca="false">IF($C28="","",SUMIFS(OCORRÊNCIAS!$E$6:$E$605,OCORRÊNCIAS!$B$6:$B$605,"Falta",OCORRÊNCIAS!$C$6:$C$605,$G28,OCORRÊNCIAS!$H$6:$H$605,$B28,OCORRÊNCIAS!$J$6:$J$605,YEAR($C28+4-WEEKDAY($C28,2))))</f>
        <v>0</v>
      </c>
      <c r="L28" s="91" t="n">
        <f aca="false">IF($C28="","",SUMIFS(OCORRÊNCIAS!$E$6:$E$605,OCORRÊNCIAS!$B$6:$B$605,"Atestado",OCORRÊNCIAS!$C$6:$C$605,$G28,OCORRÊNCIAS!$H$6:$H$605,$B28,OCORRÊNCIAS!$J$6:$J$605,YEAR($C28+4-WEEKDAY($C28,2))))</f>
        <v>0</v>
      </c>
      <c r="M28" s="84"/>
      <c r="N28" s="84"/>
      <c r="O28" s="84"/>
      <c r="P28" s="85"/>
      <c r="Q28" s="86"/>
      <c r="R28" s="87"/>
      <c r="S28" s="81" t="str">
        <f aca="true">IF($C28="","",IF($Q28="Cancelada","Cancelada",IF($Q28="Reprovado","Reprovada",IF($Q28="Aprovado","Aprovada",IF($M28&lt;&gt;"","Entregue",IF(TODAY()&gt;$C28,"Atrasada","Pendente"))))))</f>
        <v>Pendente</v>
      </c>
      <c r="T28" s="88"/>
      <c r="U28" s="88"/>
      <c r="V28" s="88"/>
    </row>
    <row r="29" customFormat="false" ht="22.35" hidden="false" customHeight="false" outlineLevel="0" collapsed="false">
      <c r="A29" s="89" t="str">
        <f aca="false">IF($C29="","",$X$2&amp;"-S"&amp;INT(($C29-WEEKDAY($C29,2)+11-DATE(YEAR($C29+4-WEEKDAY($C29,2)),1,1))/7)&amp;"-RSC-B")</f>
        <v>OUT-S40-RSC-B</v>
      </c>
      <c r="B29" s="60" t="str">
        <f aca="false">IF($C29="","","S"&amp;INT(($C29-WEEKDAY($C29,2)+11-DATE(YEAR($C29+4-WEEKDAY($C29,2)),1,1))/7))</f>
        <v>S40</v>
      </c>
      <c r="C29" s="82" t="n">
        <f aca="false">IF(MONTH(($X$1-WEEKDAY($X$1,3)+0)+3)=MONTH($X$1),($X$1-WEEKDAY($X$1,3)+0)+3,"")</f>
        <v>46296</v>
      </c>
      <c r="D29" s="56" t="str">
        <f aca="false">IF($C29="","","Relatório Semanal Consolidado (erros + metas + faltas + supervisores)")</f>
        <v>Relatório Semanal Consolidado (erros + metas + faltas + supervisores)</v>
      </c>
      <c r="E29" s="56"/>
      <c r="F29" s="56"/>
      <c r="G29" s="60" t="str">
        <f aca="false">IF($C29="","","B")</f>
        <v>B</v>
      </c>
      <c r="H29" s="60" t="str">
        <f aca="false">IF($C29="","",IF($G29="A",CONFIG!$B$5,IF($G29="B",CONFIG!$B$6,IF($G29="C",CONFIG!$B$7,"Gerência + coordenadores"))))</f>
        <v>(preencha o nome)</v>
      </c>
      <c r="I29" s="60"/>
      <c r="J29" s="81" t="str">
        <f aca="false">IF($C29="","","—")</f>
        <v>—</v>
      </c>
      <c r="K29" s="91" t="n">
        <f aca="false">IF($C29="","",SUMIFS(OCORRÊNCIAS!$E$6:$E$605,OCORRÊNCIAS!$B$6:$B$605,"Falta",OCORRÊNCIAS!$C$6:$C$605,$G29,OCORRÊNCIAS!$H$6:$H$605,$B29,OCORRÊNCIAS!$J$6:$J$605,YEAR($C29+4-WEEKDAY($C29,2))))</f>
        <v>0</v>
      </c>
      <c r="L29" s="91" t="n">
        <f aca="false">IF($C29="","",SUMIFS(OCORRÊNCIAS!$E$6:$E$605,OCORRÊNCIAS!$B$6:$B$605,"Atestado",OCORRÊNCIAS!$C$6:$C$605,$G29,OCORRÊNCIAS!$H$6:$H$605,$B29,OCORRÊNCIAS!$J$6:$J$605,YEAR($C29+4-WEEKDAY($C29,2))))</f>
        <v>0</v>
      </c>
      <c r="M29" s="84"/>
      <c r="N29" s="84"/>
      <c r="O29" s="84"/>
      <c r="P29" s="90"/>
      <c r="Q29" s="86"/>
      <c r="R29" s="87"/>
      <c r="S29" s="60" t="str">
        <f aca="true">IF($C29="","",IF($Q29="Cancelada","Cancelada",IF($Q29="Reprovado","Reprovada",IF($Q29="Aprovado","Aprovada",IF($M29&lt;&gt;"","Entregue",IF(TODAY()&gt;$C29,"Atrasada","Pendente"))))))</f>
        <v>Pendente</v>
      </c>
      <c r="T29" s="88"/>
      <c r="U29" s="88"/>
      <c r="V29" s="88"/>
    </row>
    <row r="30" customFormat="false" ht="22.35" hidden="false" customHeight="false" outlineLevel="0" collapsed="false">
      <c r="A30" s="80" t="str">
        <f aca="false">IF($C30="","",$X$2&amp;"-S"&amp;INT(($C30-WEEKDAY($C30,2)+11-DATE(YEAR($C30+4-WEEKDAY($C30,2)),1,1))/7)&amp;"-RSC-C")</f>
        <v>OUT-S40-RSC-C</v>
      </c>
      <c r="B30" s="81" t="str">
        <f aca="false">IF($C30="","","S"&amp;INT(($C30-WEEKDAY($C30,2)+11-DATE(YEAR($C30+4-WEEKDAY($C30,2)),1,1))/7))</f>
        <v>S40</v>
      </c>
      <c r="C30" s="82" t="n">
        <f aca="false">IF(MONTH(($X$1-WEEKDAY($X$1,3)+0)+3)=MONTH($X$1),($X$1-WEEKDAY($X$1,3)+0)+3,"")</f>
        <v>46296</v>
      </c>
      <c r="D30" s="9" t="str">
        <f aca="false">IF($C30="","","Relatório Semanal Consolidado (erros + metas + faltas + supervisores)")</f>
        <v>Relatório Semanal Consolidado (erros + metas + faltas + supervisores)</v>
      </c>
      <c r="E30" s="9"/>
      <c r="F30" s="9"/>
      <c r="G30" s="81" t="str">
        <f aca="false">IF($C30="","","C")</f>
        <v>C</v>
      </c>
      <c r="H30" s="81" t="str">
        <f aca="false">IF($C30="","",IF($G30="A",CONFIG!$B$5,IF($G30="B",CONFIG!$B$6,IF($G30="C",CONFIG!$B$7,"Gerência + coordenadores"))))</f>
        <v>(preencha o nome)</v>
      </c>
      <c r="I30" s="81"/>
      <c r="J30" s="81" t="str">
        <f aca="false">IF($C30="","","—")</f>
        <v>—</v>
      </c>
      <c r="K30" s="91" t="n">
        <f aca="false">IF($C30="","",SUMIFS(OCORRÊNCIAS!$E$6:$E$605,OCORRÊNCIAS!$B$6:$B$605,"Falta",OCORRÊNCIAS!$C$6:$C$605,$G30,OCORRÊNCIAS!$H$6:$H$605,$B30,OCORRÊNCIAS!$J$6:$J$605,YEAR($C30+4-WEEKDAY($C30,2))))</f>
        <v>0</v>
      </c>
      <c r="L30" s="91" t="n">
        <f aca="false">IF($C30="","",SUMIFS(OCORRÊNCIAS!$E$6:$E$605,OCORRÊNCIAS!$B$6:$B$605,"Atestado",OCORRÊNCIAS!$C$6:$C$605,$G30,OCORRÊNCIAS!$H$6:$H$605,$B30,OCORRÊNCIAS!$J$6:$J$605,YEAR($C30+4-WEEKDAY($C30,2))))</f>
        <v>0</v>
      </c>
      <c r="M30" s="84"/>
      <c r="N30" s="84"/>
      <c r="O30" s="84"/>
      <c r="P30" s="85"/>
      <c r="Q30" s="86"/>
      <c r="R30" s="87"/>
      <c r="S30" s="81" t="str">
        <f aca="true">IF($C30="","",IF($Q30="Cancelada","Cancelada",IF($Q30="Reprovado","Reprovada",IF($Q30="Aprovado","Aprovada",IF($M30&lt;&gt;"","Entregue",IF(TODAY()&gt;$C30,"Atrasada","Pendente"))))))</f>
        <v>Pendente</v>
      </c>
      <c r="T30" s="88"/>
      <c r="U30" s="88"/>
      <c r="V30" s="88"/>
    </row>
    <row r="31" customFormat="false" ht="22.35" hidden="false" customHeight="false" outlineLevel="0" collapsed="false">
      <c r="A31" s="89" t="str">
        <f aca="false">IF($C31="","",$X$2&amp;"-S"&amp;INT(($C31-WEEKDAY($C31,2)+11-DATE(YEAR($C31+4-WEEKDAY($C31,2)),1,1))/7)&amp;"-REU-T")</f>
        <v>OUT-S40-REU-T</v>
      </c>
      <c r="B31" s="60" t="str">
        <f aca="false">IF($C31="","","S"&amp;INT(($C31-WEEKDAY($C31,2)+11-DATE(YEAR($C31+4-WEEKDAY($C31,2)),1,1))/7))</f>
        <v>S40</v>
      </c>
      <c r="C31" s="82" t="n">
        <f aca="false">IF(MONTH(($X$1-WEEKDAY($X$1,3)+0)+4)=MONTH($X$1),($X$1-WEEKDAY($X$1,3)+0)+4,"")</f>
        <v>46297</v>
      </c>
      <c r="D31" s="56" t="str">
        <f aca="false">IF($C31="","","Reunião Semanal com a Gerência")</f>
        <v>Reunião Semanal com a Gerência</v>
      </c>
      <c r="E31" s="56"/>
      <c r="F31" s="56"/>
      <c r="G31" s="60" t="str">
        <f aca="false">IF($C31="","","Todos")</f>
        <v>Todos</v>
      </c>
      <c r="H31" s="60" t="str">
        <f aca="false">IF($C31="","",IF($G31="A",CONFIG!$B$5,IF($G31="B",CONFIG!$B$6,IF($G31="C",CONFIG!$B$7,"Gerência + coordenadores"))))</f>
        <v>Gerência + coordenadores</v>
      </c>
      <c r="I31" s="60"/>
      <c r="J31" s="81" t="str">
        <f aca="false">IF($C31="","","—")</f>
        <v>—</v>
      </c>
      <c r="K31" s="83" t="str">
        <f aca="false">IF($C31="","","—")</f>
        <v>—</v>
      </c>
      <c r="L31" s="83" t="str">
        <f aca="false">IF($C31="","","—")</f>
        <v>—</v>
      </c>
      <c r="M31" s="84"/>
      <c r="N31" s="84"/>
      <c r="O31" s="84"/>
      <c r="P31" s="90"/>
      <c r="Q31" s="86"/>
      <c r="R31" s="87"/>
      <c r="S31" s="60" t="str">
        <f aca="true">IF($C31="","",IF($Q31="Cancelada","Cancelada",IF($Q31="Reprovado","Reprovada",IF($Q31="Aprovado","Aprovada",IF($M31&lt;&gt;"","Entregue",IF(TODAY()&gt;$C31,"Atrasada","Pendente"))))))</f>
        <v>Pendente</v>
      </c>
      <c r="T31" s="88"/>
      <c r="U31" s="88"/>
      <c r="V31" s="88"/>
    </row>
    <row r="32" customFormat="false" ht="22.35" hidden="false" customHeight="false" outlineLevel="0" collapsed="false">
      <c r="A32" s="80" t="str">
        <f aca="false">IF($C32="","",$X$2&amp;"-S"&amp;INT(($C32-WEEKDAY($C32,2)+11-DATE(YEAR($C32+4-WEEKDAY($C32,2)),1,1))/7)&amp;"-VIS-A")</f>
        <v>OUT-S41-VIS-A</v>
      </c>
      <c r="B32" s="81" t="str">
        <f aca="false">IF($C32="","","S"&amp;INT(($C32-WEEKDAY($C32,2)+11-DATE(YEAR($C32+4-WEEKDAY($C32,2)),1,1))/7))</f>
        <v>S41</v>
      </c>
      <c r="C32" s="82" t="n">
        <f aca="false">IF(MONTH(($X$1-WEEKDAY($X$1,3)+7)+2)=MONTH($X$1),($X$1-WEEKDAY($X$1,3)+7)+2,"")</f>
        <v>46302</v>
      </c>
      <c r="D32" s="9" t="str">
        <f aca="false">IF($C32="","","Vistoria Setorial (checklist no setor definido pelo gerente)")</f>
        <v>Vistoria Setorial (checklist no setor definido pelo gerente)</v>
      </c>
      <c r="E32" s="9"/>
      <c r="F32" s="9"/>
      <c r="G32" s="81" t="str">
        <f aca="false">IF($C32="","","A")</f>
        <v>A</v>
      </c>
      <c r="H32" s="81" t="str">
        <f aca="false">IF($C32="","",IF($G32="A",CONFIG!$B$5,IF($G32="B",CONFIG!$B$6,IF($G32="C",CONFIG!$B$7,"Gerência + coordenadores"))))</f>
        <v>(preencha o nome)</v>
      </c>
      <c r="I32" s="81"/>
      <c r="J32" s="86"/>
      <c r="K32" s="83" t="str">
        <f aca="false">IF($C32="","","—")</f>
        <v>—</v>
      </c>
      <c r="L32" s="83" t="str">
        <f aca="false">IF($C32="","","—")</f>
        <v>—</v>
      </c>
      <c r="M32" s="84"/>
      <c r="N32" s="84"/>
      <c r="O32" s="84"/>
      <c r="P32" s="85"/>
      <c r="Q32" s="86"/>
      <c r="R32" s="87"/>
      <c r="S32" s="81" t="str">
        <f aca="true">IF($C32="","",IF($Q32="Cancelada","Cancelada",IF($Q32="Reprovado","Reprovada",IF($Q32="Aprovado","Aprovada",IF($M32&lt;&gt;"","Entregue",IF(TODAY()&gt;$C32,"Atrasada","Pendente"))))))</f>
        <v>Pendente</v>
      </c>
      <c r="T32" s="88"/>
      <c r="U32" s="88"/>
      <c r="V32" s="88"/>
    </row>
    <row r="33" customFormat="false" ht="22.35" hidden="false" customHeight="false" outlineLevel="0" collapsed="false">
      <c r="A33" s="89" t="str">
        <f aca="false">IF($C33="","",$X$2&amp;"-S"&amp;INT(($C33-WEEKDAY($C33,2)+11-DATE(YEAR($C33+4-WEEKDAY($C33,2)),1,1))/7)&amp;"-VIS-B")</f>
        <v>OUT-S41-VIS-B</v>
      </c>
      <c r="B33" s="60" t="str">
        <f aca="false">IF($C33="","","S"&amp;INT(($C33-WEEKDAY($C33,2)+11-DATE(YEAR($C33+4-WEEKDAY($C33,2)),1,1))/7))</f>
        <v>S41</v>
      </c>
      <c r="C33" s="82" t="n">
        <f aca="false">IF(MONTH(($X$1-WEEKDAY($X$1,3)+7)+2)=MONTH($X$1),($X$1-WEEKDAY($X$1,3)+7)+2,"")</f>
        <v>46302</v>
      </c>
      <c r="D33" s="56" t="str">
        <f aca="false">IF($C33="","","Vistoria Setorial (checklist no setor definido pelo gerente)")</f>
        <v>Vistoria Setorial (checklist no setor definido pelo gerente)</v>
      </c>
      <c r="E33" s="56"/>
      <c r="F33" s="56"/>
      <c r="G33" s="60" t="str">
        <f aca="false">IF($C33="","","B")</f>
        <v>B</v>
      </c>
      <c r="H33" s="60" t="str">
        <f aca="false">IF($C33="","",IF($G33="A",CONFIG!$B$5,IF($G33="B",CONFIG!$B$6,IF($G33="C",CONFIG!$B$7,"Gerência + coordenadores"))))</f>
        <v>(preencha o nome)</v>
      </c>
      <c r="I33" s="60"/>
      <c r="J33" s="86"/>
      <c r="K33" s="83" t="str">
        <f aca="false">IF($C33="","","—")</f>
        <v>—</v>
      </c>
      <c r="L33" s="83" t="str">
        <f aca="false">IF($C33="","","—")</f>
        <v>—</v>
      </c>
      <c r="M33" s="84"/>
      <c r="N33" s="84"/>
      <c r="O33" s="84"/>
      <c r="P33" s="90"/>
      <c r="Q33" s="86"/>
      <c r="R33" s="87"/>
      <c r="S33" s="60" t="str">
        <f aca="true">IF($C33="","",IF($Q33="Cancelada","Cancelada",IF($Q33="Reprovado","Reprovada",IF($Q33="Aprovado","Aprovada",IF($M33&lt;&gt;"","Entregue",IF(TODAY()&gt;$C33,"Atrasada","Pendente"))))))</f>
        <v>Pendente</v>
      </c>
      <c r="T33" s="88"/>
      <c r="U33" s="88"/>
      <c r="V33" s="88"/>
    </row>
    <row r="34" customFormat="false" ht="22.35" hidden="false" customHeight="false" outlineLevel="0" collapsed="false">
      <c r="A34" s="80" t="str">
        <f aca="false">IF($C34="","",$X$2&amp;"-S"&amp;INT(($C34-WEEKDAY($C34,2)+11-DATE(YEAR($C34+4-WEEKDAY($C34,2)),1,1))/7)&amp;"-VIS-C")</f>
        <v>OUT-S41-VIS-C</v>
      </c>
      <c r="B34" s="81" t="str">
        <f aca="false">IF($C34="","","S"&amp;INT(($C34-WEEKDAY($C34,2)+11-DATE(YEAR($C34+4-WEEKDAY($C34,2)),1,1))/7))</f>
        <v>S41</v>
      </c>
      <c r="C34" s="82" t="n">
        <f aca="false">IF(MONTH(($X$1-WEEKDAY($X$1,3)+7)+2)=MONTH($X$1),($X$1-WEEKDAY($X$1,3)+7)+2,"")</f>
        <v>46302</v>
      </c>
      <c r="D34" s="9" t="str">
        <f aca="false">IF($C34="","","Vistoria Setorial (checklist no setor definido pelo gerente)")</f>
        <v>Vistoria Setorial (checklist no setor definido pelo gerente)</v>
      </c>
      <c r="E34" s="9"/>
      <c r="F34" s="9"/>
      <c r="G34" s="81" t="str">
        <f aca="false">IF($C34="","","C")</f>
        <v>C</v>
      </c>
      <c r="H34" s="81" t="str">
        <f aca="false">IF($C34="","",IF($G34="A",CONFIG!$B$5,IF($G34="B",CONFIG!$B$6,IF($G34="C",CONFIG!$B$7,"Gerência + coordenadores"))))</f>
        <v>(preencha o nome)</v>
      </c>
      <c r="I34" s="81"/>
      <c r="J34" s="86"/>
      <c r="K34" s="83" t="str">
        <f aca="false">IF($C34="","","—")</f>
        <v>—</v>
      </c>
      <c r="L34" s="83" t="str">
        <f aca="false">IF($C34="","","—")</f>
        <v>—</v>
      </c>
      <c r="M34" s="84"/>
      <c r="N34" s="84"/>
      <c r="O34" s="84"/>
      <c r="P34" s="85"/>
      <c r="Q34" s="86"/>
      <c r="R34" s="87"/>
      <c r="S34" s="81" t="str">
        <f aca="true">IF($C34="","",IF($Q34="Cancelada","Cancelada",IF($Q34="Reprovado","Reprovada",IF($Q34="Aprovado","Aprovada",IF($M34&lt;&gt;"","Entregue",IF(TODAY()&gt;$C34,"Atrasada","Pendente"))))))</f>
        <v>Pendente</v>
      </c>
      <c r="T34" s="88"/>
      <c r="U34" s="88"/>
      <c r="V34" s="88"/>
    </row>
    <row r="35" customFormat="false" ht="22.35" hidden="false" customHeight="false" outlineLevel="0" collapsed="false">
      <c r="A35" s="89" t="str">
        <f aca="false">IF($C35="","",$X$2&amp;"-S"&amp;INT(($C35-WEEKDAY($C35,2)+11-DATE(YEAR($C35+4-WEEKDAY($C35,2)),1,1))/7)&amp;"-RSC-A")</f>
        <v>OUT-S41-RSC-A</v>
      </c>
      <c r="B35" s="60" t="str">
        <f aca="false">IF($C35="","","S"&amp;INT(($C35-WEEKDAY($C35,2)+11-DATE(YEAR($C35+4-WEEKDAY($C35,2)),1,1))/7))</f>
        <v>S41</v>
      </c>
      <c r="C35" s="82" t="n">
        <f aca="false">IF(MONTH(($X$1-WEEKDAY($X$1,3)+7)+3)=MONTH($X$1),($X$1-WEEKDAY($X$1,3)+7)+3,"")</f>
        <v>46303</v>
      </c>
      <c r="D35" s="56" t="str">
        <f aca="false">IF($C35="","","Relatório Semanal Consolidado (erros + metas + faltas + supervisores)")</f>
        <v>Relatório Semanal Consolidado (erros + metas + faltas + supervisores)</v>
      </c>
      <c r="E35" s="56"/>
      <c r="F35" s="56"/>
      <c r="G35" s="60" t="str">
        <f aca="false">IF($C35="","","A")</f>
        <v>A</v>
      </c>
      <c r="H35" s="60" t="str">
        <f aca="false">IF($C35="","",IF($G35="A",CONFIG!$B$5,IF($G35="B",CONFIG!$B$6,IF($G35="C",CONFIG!$B$7,"Gerência + coordenadores"))))</f>
        <v>(preencha o nome)</v>
      </c>
      <c r="I35" s="60"/>
      <c r="J35" s="81" t="str">
        <f aca="false">IF($C35="","","—")</f>
        <v>—</v>
      </c>
      <c r="K35" s="91" t="n">
        <f aca="false">IF($C35="","",SUMIFS(OCORRÊNCIAS!$E$6:$E$605,OCORRÊNCIAS!$B$6:$B$605,"Falta",OCORRÊNCIAS!$C$6:$C$605,$G35,OCORRÊNCIAS!$H$6:$H$605,$B35,OCORRÊNCIAS!$J$6:$J$605,YEAR($C35+4-WEEKDAY($C35,2))))</f>
        <v>0</v>
      </c>
      <c r="L35" s="91" t="n">
        <f aca="false">IF($C35="","",SUMIFS(OCORRÊNCIAS!$E$6:$E$605,OCORRÊNCIAS!$B$6:$B$605,"Atestado",OCORRÊNCIAS!$C$6:$C$605,$G35,OCORRÊNCIAS!$H$6:$H$605,$B35,OCORRÊNCIAS!$J$6:$J$605,YEAR($C35+4-WEEKDAY($C35,2))))</f>
        <v>0</v>
      </c>
      <c r="M35" s="84"/>
      <c r="N35" s="84"/>
      <c r="O35" s="84"/>
      <c r="P35" s="90"/>
      <c r="Q35" s="86"/>
      <c r="R35" s="87"/>
      <c r="S35" s="60" t="str">
        <f aca="true">IF($C35="","",IF($Q35="Cancelada","Cancelada",IF($Q35="Reprovado","Reprovada",IF($Q35="Aprovado","Aprovada",IF($M35&lt;&gt;"","Entregue",IF(TODAY()&gt;$C35,"Atrasada","Pendente"))))))</f>
        <v>Pendente</v>
      </c>
      <c r="T35" s="88"/>
      <c r="U35" s="88"/>
      <c r="V35" s="88"/>
    </row>
    <row r="36" customFormat="false" ht="22.35" hidden="false" customHeight="false" outlineLevel="0" collapsed="false">
      <c r="A36" s="80" t="str">
        <f aca="false">IF($C36="","",$X$2&amp;"-S"&amp;INT(($C36-WEEKDAY($C36,2)+11-DATE(YEAR($C36+4-WEEKDAY($C36,2)),1,1))/7)&amp;"-RSC-B")</f>
        <v>OUT-S41-RSC-B</v>
      </c>
      <c r="B36" s="81" t="str">
        <f aca="false">IF($C36="","","S"&amp;INT(($C36-WEEKDAY($C36,2)+11-DATE(YEAR($C36+4-WEEKDAY($C36,2)),1,1))/7))</f>
        <v>S41</v>
      </c>
      <c r="C36" s="82" t="n">
        <f aca="false">IF(MONTH(($X$1-WEEKDAY($X$1,3)+7)+3)=MONTH($X$1),($X$1-WEEKDAY($X$1,3)+7)+3,"")</f>
        <v>46303</v>
      </c>
      <c r="D36" s="9" t="str">
        <f aca="false">IF($C36="","","Relatório Semanal Consolidado (erros + metas + faltas + supervisores)")</f>
        <v>Relatório Semanal Consolidado (erros + metas + faltas + supervisores)</v>
      </c>
      <c r="E36" s="9"/>
      <c r="F36" s="9"/>
      <c r="G36" s="81" t="str">
        <f aca="false">IF($C36="","","B")</f>
        <v>B</v>
      </c>
      <c r="H36" s="81" t="str">
        <f aca="false">IF($C36="","",IF($G36="A",CONFIG!$B$5,IF($G36="B",CONFIG!$B$6,IF($G36="C",CONFIG!$B$7,"Gerência + coordenadores"))))</f>
        <v>(preencha o nome)</v>
      </c>
      <c r="I36" s="81"/>
      <c r="J36" s="81" t="str">
        <f aca="false">IF($C36="","","—")</f>
        <v>—</v>
      </c>
      <c r="K36" s="91" t="n">
        <f aca="false">IF($C36="","",SUMIFS(OCORRÊNCIAS!$E$6:$E$605,OCORRÊNCIAS!$B$6:$B$605,"Falta",OCORRÊNCIAS!$C$6:$C$605,$G36,OCORRÊNCIAS!$H$6:$H$605,$B36,OCORRÊNCIAS!$J$6:$J$605,YEAR($C36+4-WEEKDAY($C36,2))))</f>
        <v>0</v>
      </c>
      <c r="L36" s="91" t="n">
        <f aca="false">IF($C36="","",SUMIFS(OCORRÊNCIAS!$E$6:$E$605,OCORRÊNCIAS!$B$6:$B$605,"Atestado",OCORRÊNCIAS!$C$6:$C$605,$G36,OCORRÊNCIAS!$H$6:$H$605,$B36,OCORRÊNCIAS!$J$6:$J$605,YEAR($C36+4-WEEKDAY($C36,2))))</f>
        <v>0</v>
      </c>
      <c r="M36" s="84"/>
      <c r="N36" s="84"/>
      <c r="O36" s="84"/>
      <c r="P36" s="85"/>
      <c r="Q36" s="86"/>
      <c r="R36" s="87"/>
      <c r="S36" s="81" t="str">
        <f aca="true">IF($C36="","",IF($Q36="Cancelada","Cancelada",IF($Q36="Reprovado","Reprovada",IF($Q36="Aprovado","Aprovada",IF($M36&lt;&gt;"","Entregue",IF(TODAY()&gt;$C36,"Atrasada","Pendente"))))))</f>
        <v>Pendente</v>
      </c>
      <c r="T36" s="88"/>
      <c r="U36" s="88"/>
      <c r="V36" s="88"/>
    </row>
    <row r="37" customFormat="false" ht="22.35" hidden="false" customHeight="false" outlineLevel="0" collapsed="false">
      <c r="A37" s="89" t="str">
        <f aca="false">IF($C37="","",$X$2&amp;"-S"&amp;INT(($C37-WEEKDAY($C37,2)+11-DATE(YEAR($C37+4-WEEKDAY($C37,2)),1,1))/7)&amp;"-RSC-C")</f>
        <v>OUT-S41-RSC-C</v>
      </c>
      <c r="B37" s="60" t="str">
        <f aca="false">IF($C37="","","S"&amp;INT(($C37-WEEKDAY($C37,2)+11-DATE(YEAR($C37+4-WEEKDAY($C37,2)),1,1))/7))</f>
        <v>S41</v>
      </c>
      <c r="C37" s="82" t="n">
        <f aca="false">IF(MONTH(($X$1-WEEKDAY($X$1,3)+7)+3)=MONTH($X$1),($X$1-WEEKDAY($X$1,3)+7)+3,"")</f>
        <v>46303</v>
      </c>
      <c r="D37" s="56" t="str">
        <f aca="false">IF($C37="","","Relatório Semanal Consolidado (erros + metas + faltas + supervisores)")</f>
        <v>Relatório Semanal Consolidado (erros + metas + faltas + supervisores)</v>
      </c>
      <c r="E37" s="56"/>
      <c r="F37" s="56"/>
      <c r="G37" s="60" t="str">
        <f aca="false">IF($C37="","","C")</f>
        <v>C</v>
      </c>
      <c r="H37" s="60" t="str">
        <f aca="false">IF($C37="","",IF($G37="A",CONFIG!$B$5,IF($G37="B",CONFIG!$B$6,IF($G37="C",CONFIG!$B$7,"Gerência + coordenadores"))))</f>
        <v>(preencha o nome)</v>
      </c>
      <c r="I37" s="60"/>
      <c r="J37" s="81" t="str">
        <f aca="false">IF($C37="","","—")</f>
        <v>—</v>
      </c>
      <c r="K37" s="91" t="n">
        <f aca="false">IF($C37="","",SUMIFS(OCORRÊNCIAS!$E$6:$E$605,OCORRÊNCIAS!$B$6:$B$605,"Falta",OCORRÊNCIAS!$C$6:$C$605,$G37,OCORRÊNCIAS!$H$6:$H$605,$B37,OCORRÊNCIAS!$J$6:$J$605,YEAR($C37+4-WEEKDAY($C37,2))))</f>
        <v>0</v>
      </c>
      <c r="L37" s="91" t="n">
        <f aca="false">IF($C37="","",SUMIFS(OCORRÊNCIAS!$E$6:$E$605,OCORRÊNCIAS!$B$6:$B$605,"Atestado",OCORRÊNCIAS!$C$6:$C$605,$G37,OCORRÊNCIAS!$H$6:$H$605,$B37,OCORRÊNCIAS!$J$6:$J$605,YEAR($C37+4-WEEKDAY($C37,2))))</f>
        <v>0</v>
      </c>
      <c r="M37" s="84"/>
      <c r="N37" s="84"/>
      <c r="O37" s="84"/>
      <c r="P37" s="90"/>
      <c r="Q37" s="86"/>
      <c r="R37" s="87"/>
      <c r="S37" s="60" t="str">
        <f aca="true">IF($C37="","",IF($Q37="Cancelada","Cancelada",IF($Q37="Reprovado","Reprovada",IF($Q37="Aprovado","Aprovada",IF($M37&lt;&gt;"","Entregue",IF(TODAY()&gt;$C37,"Atrasada","Pendente"))))))</f>
        <v>Pendente</v>
      </c>
      <c r="T37" s="88"/>
      <c r="U37" s="88"/>
      <c r="V37" s="88"/>
    </row>
    <row r="38" customFormat="false" ht="22.35" hidden="false" customHeight="false" outlineLevel="0" collapsed="false">
      <c r="A38" s="80" t="str">
        <f aca="false">IF($C38="","",$X$2&amp;"-S"&amp;INT(($C38-WEEKDAY($C38,2)+11-DATE(YEAR($C38+4-WEEKDAY($C38,2)),1,1))/7)&amp;"-REU-T")</f>
        <v>OUT-S41-REU-T</v>
      </c>
      <c r="B38" s="81" t="str">
        <f aca="false">IF($C38="","","S"&amp;INT(($C38-WEEKDAY($C38,2)+11-DATE(YEAR($C38+4-WEEKDAY($C38,2)),1,1))/7))</f>
        <v>S41</v>
      </c>
      <c r="C38" s="82" t="n">
        <f aca="false">IF(MONTH(($X$1-WEEKDAY($X$1,3)+7)+4)=MONTH($X$1),($X$1-WEEKDAY($X$1,3)+7)+4,"")</f>
        <v>46304</v>
      </c>
      <c r="D38" s="9" t="str">
        <f aca="false">IF($C38="","","Reunião Semanal com a Gerência")</f>
        <v>Reunião Semanal com a Gerência</v>
      </c>
      <c r="E38" s="9"/>
      <c r="F38" s="9"/>
      <c r="G38" s="81" t="str">
        <f aca="false">IF($C38="","","Todos")</f>
        <v>Todos</v>
      </c>
      <c r="H38" s="81" t="str">
        <f aca="false">IF($C38="","",IF($G38="A",CONFIG!$B$5,IF($G38="B",CONFIG!$B$6,IF($G38="C",CONFIG!$B$7,"Gerência + coordenadores"))))</f>
        <v>Gerência + coordenadores</v>
      </c>
      <c r="I38" s="81"/>
      <c r="J38" s="81" t="str">
        <f aca="false">IF($C38="","","—")</f>
        <v>—</v>
      </c>
      <c r="K38" s="83" t="str">
        <f aca="false">IF($C38="","","—")</f>
        <v>—</v>
      </c>
      <c r="L38" s="83" t="str">
        <f aca="false">IF($C38="","","—")</f>
        <v>—</v>
      </c>
      <c r="M38" s="84"/>
      <c r="N38" s="84"/>
      <c r="O38" s="84"/>
      <c r="P38" s="85"/>
      <c r="Q38" s="86"/>
      <c r="R38" s="87"/>
      <c r="S38" s="81" t="str">
        <f aca="true">IF($C38="","",IF($Q38="Cancelada","Cancelada",IF($Q38="Reprovado","Reprovada",IF($Q38="Aprovado","Aprovada",IF($M38&lt;&gt;"","Entregue",IF(TODAY()&gt;$C38,"Atrasada","Pendente"))))))</f>
        <v>Pendente</v>
      </c>
      <c r="T38" s="88"/>
      <c r="U38" s="88"/>
      <c r="V38" s="88"/>
    </row>
    <row r="39" customFormat="false" ht="22.35" hidden="false" customHeight="false" outlineLevel="0" collapsed="false">
      <c r="A39" s="89" t="str">
        <f aca="false">IF($C39="","",$X$2&amp;"-S"&amp;INT(($C39-WEEKDAY($C39,2)+11-DATE(YEAR($C39+4-WEEKDAY($C39,2)),1,1))/7)&amp;"-VIS-A")</f>
        <v>OUT-S42-VIS-A</v>
      </c>
      <c r="B39" s="60" t="str">
        <f aca="false">IF($C39="","","S"&amp;INT(($C39-WEEKDAY($C39,2)+11-DATE(YEAR($C39+4-WEEKDAY($C39,2)),1,1))/7))</f>
        <v>S42</v>
      </c>
      <c r="C39" s="82" t="n">
        <f aca="false">IF(MONTH(($X$1-WEEKDAY($X$1,3)+14)+2)=MONTH($X$1),($X$1-WEEKDAY($X$1,3)+14)+2,"")</f>
        <v>46309</v>
      </c>
      <c r="D39" s="56" t="str">
        <f aca="false">IF($C39="","","Vistoria Setorial (checklist no setor definido pelo gerente)")</f>
        <v>Vistoria Setorial (checklist no setor definido pelo gerente)</v>
      </c>
      <c r="E39" s="56"/>
      <c r="F39" s="56"/>
      <c r="G39" s="60" t="str">
        <f aca="false">IF($C39="","","A")</f>
        <v>A</v>
      </c>
      <c r="H39" s="60" t="str">
        <f aca="false">IF($C39="","",IF($G39="A",CONFIG!$B$5,IF($G39="B",CONFIG!$B$6,IF($G39="C",CONFIG!$B$7,"Gerência + coordenadores"))))</f>
        <v>(preencha o nome)</v>
      </c>
      <c r="I39" s="60"/>
      <c r="J39" s="86"/>
      <c r="K39" s="83" t="str">
        <f aca="false">IF($C39="","","—")</f>
        <v>—</v>
      </c>
      <c r="L39" s="83" t="str">
        <f aca="false">IF($C39="","","—")</f>
        <v>—</v>
      </c>
      <c r="M39" s="84"/>
      <c r="N39" s="84"/>
      <c r="O39" s="84"/>
      <c r="P39" s="90"/>
      <c r="Q39" s="86"/>
      <c r="R39" s="87"/>
      <c r="S39" s="60" t="str">
        <f aca="true">IF($C39="","",IF($Q39="Cancelada","Cancelada",IF($Q39="Reprovado","Reprovada",IF($Q39="Aprovado","Aprovada",IF($M39&lt;&gt;"","Entregue",IF(TODAY()&gt;$C39,"Atrasada","Pendente"))))))</f>
        <v>Pendente</v>
      </c>
      <c r="T39" s="88"/>
      <c r="U39" s="88"/>
      <c r="V39" s="88"/>
    </row>
    <row r="40" customFormat="false" ht="22.35" hidden="false" customHeight="false" outlineLevel="0" collapsed="false">
      <c r="A40" s="80" t="str">
        <f aca="false">IF($C40="","",$X$2&amp;"-S"&amp;INT(($C40-WEEKDAY($C40,2)+11-DATE(YEAR($C40+4-WEEKDAY($C40,2)),1,1))/7)&amp;"-VIS-B")</f>
        <v>OUT-S42-VIS-B</v>
      </c>
      <c r="B40" s="81" t="str">
        <f aca="false">IF($C40="","","S"&amp;INT(($C40-WEEKDAY($C40,2)+11-DATE(YEAR($C40+4-WEEKDAY($C40,2)),1,1))/7))</f>
        <v>S42</v>
      </c>
      <c r="C40" s="82" t="n">
        <f aca="false">IF(MONTH(($X$1-WEEKDAY($X$1,3)+14)+2)=MONTH($X$1),($X$1-WEEKDAY($X$1,3)+14)+2,"")</f>
        <v>46309</v>
      </c>
      <c r="D40" s="9" t="str">
        <f aca="false">IF($C40="","","Vistoria Setorial (checklist no setor definido pelo gerente)")</f>
        <v>Vistoria Setorial (checklist no setor definido pelo gerente)</v>
      </c>
      <c r="E40" s="9"/>
      <c r="F40" s="9"/>
      <c r="G40" s="81" t="str">
        <f aca="false">IF($C40="","","B")</f>
        <v>B</v>
      </c>
      <c r="H40" s="81" t="str">
        <f aca="false">IF($C40="","",IF($G40="A",CONFIG!$B$5,IF($G40="B",CONFIG!$B$6,IF($G40="C",CONFIG!$B$7,"Gerência + coordenadores"))))</f>
        <v>(preencha o nome)</v>
      </c>
      <c r="I40" s="81"/>
      <c r="J40" s="86"/>
      <c r="K40" s="83" t="str">
        <f aca="false">IF($C40="","","—")</f>
        <v>—</v>
      </c>
      <c r="L40" s="83" t="str">
        <f aca="false">IF($C40="","","—")</f>
        <v>—</v>
      </c>
      <c r="M40" s="84"/>
      <c r="N40" s="84"/>
      <c r="O40" s="84"/>
      <c r="P40" s="85"/>
      <c r="Q40" s="86"/>
      <c r="R40" s="87"/>
      <c r="S40" s="81" t="str">
        <f aca="true">IF($C40="","",IF($Q40="Cancelada","Cancelada",IF($Q40="Reprovado","Reprovada",IF($Q40="Aprovado","Aprovada",IF($M40&lt;&gt;"","Entregue",IF(TODAY()&gt;$C40,"Atrasada","Pendente"))))))</f>
        <v>Pendente</v>
      </c>
      <c r="T40" s="88"/>
      <c r="U40" s="88"/>
      <c r="V40" s="88"/>
    </row>
    <row r="41" customFormat="false" ht="22.35" hidden="false" customHeight="false" outlineLevel="0" collapsed="false">
      <c r="A41" s="89" t="str">
        <f aca="false">IF($C41="","",$X$2&amp;"-S"&amp;INT(($C41-WEEKDAY($C41,2)+11-DATE(YEAR($C41+4-WEEKDAY($C41,2)),1,1))/7)&amp;"-VIS-C")</f>
        <v>OUT-S42-VIS-C</v>
      </c>
      <c r="B41" s="60" t="str">
        <f aca="false">IF($C41="","","S"&amp;INT(($C41-WEEKDAY($C41,2)+11-DATE(YEAR($C41+4-WEEKDAY($C41,2)),1,1))/7))</f>
        <v>S42</v>
      </c>
      <c r="C41" s="82" t="n">
        <f aca="false">IF(MONTH(($X$1-WEEKDAY($X$1,3)+14)+2)=MONTH($X$1),($X$1-WEEKDAY($X$1,3)+14)+2,"")</f>
        <v>46309</v>
      </c>
      <c r="D41" s="56" t="str">
        <f aca="false">IF($C41="","","Vistoria Setorial (checklist no setor definido pelo gerente)")</f>
        <v>Vistoria Setorial (checklist no setor definido pelo gerente)</v>
      </c>
      <c r="E41" s="56"/>
      <c r="F41" s="56"/>
      <c r="G41" s="60" t="str">
        <f aca="false">IF($C41="","","C")</f>
        <v>C</v>
      </c>
      <c r="H41" s="60" t="str">
        <f aca="false">IF($C41="","",IF($G41="A",CONFIG!$B$5,IF($G41="B",CONFIG!$B$6,IF($G41="C",CONFIG!$B$7,"Gerência + coordenadores"))))</f>
        <v>(preencha o nome)</v>
      </c>
      <c r="I41" s="60"/>
      <c r="J41" s="86"/>
      <c r="K41" s="83" t="str">
        <f aca="false">IF($C41="","","—")</f>
        <v>—</v>
      </c>
      <c r="L41" s="83" t="str">
        <f aca="false">IF($C41="","","—")</f>
        <v>—</v>
      </c>
      <c r="M41" s="84"/>
      <c r="N41" s="84"/>
      <c r="O41" s="84"/>
      <c r="P41" s="90"/>
      <c r="Q41" s="86"/>
      <c r="R41" s="87"/>
      <c r="S41" s="60" t="str">
        <f aca="true">IF($C41="","",IF($Q41="Cancelada","Cancelada",IF($Q41="Reprovado","Reprovada",IF($Q41="Aprovado","Aprovada",IF($M41&lt;&gt;"","Entregue",IF(TODAY()&gt;$C41,"Atrasada","Pendente"))))))</f>
        <v>Pendente</v>
      </c>
      <c r="T41" s="88"/>
      <c r="U41" s="88"/>
      <c r="V41" s="88"/>
    </row>
    <row r="42" customFormat="false" ht="22.35" hidden="false" customHeight="false" outlineLevel="0" collapsed="false">
      <c r="A42" s="80" t="str">
        <f aca="false">IF($C42="","",$X$2&amp;"-S"&amp;INT(($C42-WEEKDAY($C42,2)+11-DATE(YEAR($C42+4-WEEKDAY($C42,2)),1,1))/7)&amp;"-RSC-A")</f>
        <v>OUT-S42-RSC-A</v>
      </c>
      <c r="B42" s="81" t="str">
        <f aca="false">IF($C42="","","S"&amp;INT(($C42-WEEKDAY($C42,2)+11-DATE(YEAR($C42+4-WEEKDAY($C42,2)),1,1))/7))</f>
        <v>S42</v>
      </c>
      <c r="C42" s="82" t="n">
        <f aca="false">IF(MONTH(($X$1-WEEKDAY($X$1,3)+14)+3)=MONTH($X$1),($X$1-WEEKDAY($X$1,3)+14)+3,"")</f>
        <v>46310</v>
      </c>
      <c r="D42" s="9" t="str">
        <f aca="false">IF($C42="","","Relatório Semanal Consolidado (erros + metas + faltas + supervisores)")</f>
        <v>Relatório Semanal Consolidado (erros + metas + faltas + supervisores)</v>
      </c>
      <c r="E42" s="9"/>
      <c r="F42" s="9"/>
      <c r="G42" s="81" t="str">
        <f aca="false">IF($C42="","","A")</f>
        <v>A</v>
      </c>
      <c r="H42" s="81" t="str">
        <f aca="false">IF($C42="","",IF($G42="A",CONFIG!$B$5,IF($G42="B",CONFIG!$B$6,IF($G42="C",CONFIG!$B$7,"Gerência + coordenadores"))))</f>
        <v>(preencha o nome)</v>
      </c>
      <c r="I42" s="81"/>
      <c r="J42" s="81" t="str">
        <f aca="false">IF($C42="","","—")</f>
        <v>—</v>
      </c>
      <c r="K42" s="91" t="n">
        <f aca="false">IF($C42="","",SUMIFS(OCORRÊNCIAS!$E$6:$E$605,OCORRÊNCIAS!$B$6:$B$605,"Falta",OCORRÊNCIAS!$C$6:$C$605,$G42,OCORRÊNCIAS!$H$6:$H$605,$B42,OCORRÊNCIAS!$J$6:$J$605,YEAR($C42+4-WEEKDAY($C42,2))))</f>
        <v>0</v>
      </c>
      <c r="L42" s="91" t="n">
        <f aca="false">IF($C42="","",SUMIFS(OCORRÊNCIAS!$E$6:$E$605,OCORRÊNCIAS!$B$6:$B$605,"Atestado",OCORRÊNCIAS!$C$6:$C$605,$G42,OCORRÊNCIAS!$H$6:$H$605,$B42,OCORRÊNCIAS!$J$6:$J$605,YEAR($C42+4-WEEKDAY($C42,2))))</f>
        <v>0</v>
      </c>
      <c r="M42" s="84"/>
      <c r="N42" s="84"/>
      <c r="O42" s="84"/>
      <c r="P42" s="85"/>
      <c r="Q42" s="86"/>
      <c r="R42" s="87"/>
      <c r="S42" s="81" t="str">
        <f aca="true">IF($C42="","",IF($Q42="Cancelada","Cancelada",IF($Q42="Reprovado","Reprovada",IF($Q42="Aprovado","Aprovada",IF($M42&lt;&gt;"","Entregue",IF(TODAY()&gt;$C42,"Atrasada","Pendente"))))))</f>
        <v>Pendente</v>
      </c>
      <c r="T42" s="88"/>
      <c r="U42" s="88"/>
      <c r="V42" s="88"/>
    </row>
    <row r="43" customFormat="false" ht="22.35" hidden="false" customHeight="false" outlineLevel="0" collapsed="false">
      <c r="A43" s="89" t="str">
        <f aca="false">IF($C43="","",$X$2&amp;"-S"&amp;INT(($C43-WEEKDAY($C43,2)+11-DATE(YEAR($C43+4-WEEKDAY($C43,2)),1,1))/7)&amp;"-RSC-B")</f>
        <v>OUT-S42-RSC-B</v>
      </c>
      <c r="B43" s="60" t="str">
        <f aca="false">IF($C43="","","S"&amp;INT(($C43-WEEKDAY($C43,2)+11-DATE(YEAR($C43+4-WEEKDAY($C43,2)),1,1))/7))</f>
        <v>S42</v>
      </c>
      <c r="C43" s="82" t="n">
        <f aca="false">IF(MONTH(($X$1-WEEKDAY($X$1,3)+14)+3)=MONTH($X$1),($X$1-WEEKDAY($X$1,3)+14)+3,"")</f>
        <v>46310</v>
      </c>
      <c r="D43" s="56" t="str">
        <f aca="false">IF($C43="","","Relatório Semanal Consolidado (erros + metas + faltas + supervisores)")</f>
        <v>Relatório Semanal Consolidado (erros + metas + faltas + supervisores)</v>
      </c>
      <c r="E43" s="56"/>
      <c r="F43" s="56"/>
      <c r="G43" s="60" t="str">
        <f aca="false">IF($C43="","","B")</f>
        <v>B</v>
      </c>
      <c r="H43" s="60" t="str">
        <f aca="false">IF($C43="","",IF($G43="A",CONFIG!$B$5,IF($G43="B",CONFIG!$B$6,IF($G43="C",CONFIG!$B$7,"Gerência + coordenadores"))))</f>
        <v>(preencha o nome)</v>
      </c>
      <c r="I43" s="60"/>
      <c r="J43" s="81" t="str">
        <f aca="false">IF($C43="","","—")</f>
        <v>—</v>
      </c>
      <c r="K43" s="91" t="n">
        <f aca="false">IF($C43="","",SUMIFS(OCORRÊNCIAS!$E$6:$E$605,OCORRÊNCIAS!$B$6:$B$605,"Falta",OCORRÊNCIAS!$C$6:$C$605,$G43,OCORRÊNCIAS!$H$6:$H$605,$B43,OCORRÊNCIAS!$J$6:$J$605,YEAR($C43+4-WEEKDAY($C43,2))))</f>
        <v>0</v>
      </c>
      <c r="L43" s="91" t="n">
        <f aca="false">IF($C43="","",SUMIFS(OCORRÊNCIAS!$E$6:$E$605,OCORRÊNCIAS!$B$6:$B$605,"Atestado",OCORRÊNCIAS!$C$6:$C$605,$G43,OCORRÊNCIAS!$H$6:$H$605,$B43,OCORRÊNCIAS!$J$6:$J$605,YEAR($C43+4-WEEKDAY($C43,2))))</f>
        <v>0</v>
      </c>
      <c r="M43" s="84"/>
      <c r="N43" s="84"/>
      <c r="O43" s="84"/>
      <c r="P43" s="90"/>
      <c r="Q43" s="86"/>
      <c r="R43" s="87"/>
      <c r="S43" s="60" t="str">
        <f aca="true">IF($C43="","",IF($Q43="Cancelada","Cancelada",IF($Q43="Reprovado","Reprovada",IF($Q43="Aprovado","Aprovada",IF($M43&lt;&gt;"","Entregue",IF(TODAY()&gt;$C43,"Atrasada","Pendente"))))))</f>
        <v>Pendente</v>
      </c>
      <c r="T43" s="88"/>
      <c r="U43" s="88"/>
      <c r="V43" s="88"/>
    </row>
    <row r="44" customFormat="false" ht="22.35" hidden="false" customHeight="false" outlineLevel="0" collapsed="false">
      <c r="A44" s="80" t="str">
        <f aca="false">IF($C44="","",$X$2&amp;"-S"&amp;INT(($C44-WEEKDAY($C44,2)+11-DATE(YEAR($C44+4-WEEKDAY($C44,2)),1,1))/7)&amp;"-RSC-C")</f>
        <v>OUT-S42-RSC-C</v>
      </c>
      <c r="B44" s="81" t="str">
        <f aca="false">IF($C44="","","S"&amp;INT(($C44-WEEKDAY($C44,2)+11-DATE(YEAR($C44+4-WEEKDAY($C44,2)),1,1))/7))</f>
        <v>S42</v>
      </c>
      <c r="C44" s="82" t="n">
        <f aca="false">IF(MONTH(($X$1-WEEKDAY($X$1,3)+14)+3)=MONTH($X$1),($X$1-WEEKDAY($X$1,3)+14)+3,"")</f>
        <v>46310</v>
      </c>
      <c r="D44" s="9" t="str">
        <f aca="false">IF($C44="","","Relatório Semanal Consolidado (erros + metas + faltas + supervisores)")</f>
        <v>Relatório Semanal Consolidado (erros + metas + faltas + supervisores)</v>
      </c>
      <c r="E44" s="9"/>
      <c r="F44" s="9"/>
      <c r="G44" s="81" t="str">
        <f aca="false">IF($C44="","","C")</f>
        <v>C</v>
      </c>
      <c r="H44" s="81" t="str">
        <f aca="false">IF($C44="","",IF($G44="A",CONFIG!$B$5,IF($G44="B",CONFIG!$B$6,IF($G44="C",CONFIG!$B$7,"Gerência + coordenadores"))))</f>
        <v>(preencha o nome)</v>
      </c>
      <c r="I44" s="81"/>
      <c r="J44" s="81" t="str">
        <f aca="false">IF($C44="","","—")</f>
        <v>—</v>
      </c>
      <c r="K44" s="91" t="n">
        <f aca="false">IF($C44="","",SUMIFS(OCORRÊNCIAS!$E$6:$E$605,OCORRÊNCIAS!$B$6:$B$605,"Falta",OCORRÊNCIAS!$C$6:$C$605,$G44,OCORRÊNCIAS!$H$6:$H$605,$B44,OCORRÊNCIAS!$J$6:$J$605,YEAR($C44+4-WEEKDAY($C44,2))))</f>
        <v>0</v>
      </c>
      <c r="L44" s="91" t="n">
        <f aca="false">IF($C44="","",SUMIFS(OCORRÊNCIAS!$E$6:$E$605,OCORRÊNCIAS!$B$6:$B$605,"Atestado",OCORRÊNCIAS!$C$6:$C$605,$G44,OCORRÊNCIAS!$H$6:$H$605,$B44,OCORRÊNCIAS!$J$6:$J$605,YEAR($C44+4-WEEKDAY($C44,2))))</f>
        <v>0</v>
      </c>
      <c r="M44" s="84"/>
      <c r="N44" s="84"/>
      <c r="O44" s="84"/>
      <c r="P44" s="85"/>
      <c r="Q44" s="86"/>
      <c r="R44" s="87"/>
      <c r="S44" s="81" t="str">
        <f aca="true">IF($C44="","",IF($Q44="Cancelada","Cancelada",IF($Q44="Reprovado","Reprovada",IF($Q44="Aprovado","Aprovada",IF($M44&lt;&gt;"","Entregue",IF(TODAY()&gt;$C44,"Atrasada","Pendente"))))))</f>
        <v>Pendente</v>
      </c>
      <c r="T44" s="88"/>
      <c r="U44" s="88"/>
      <c r="V44" s="88"/>
    </row>
    <row r="45" customFormat="false" ht="22.35" hidden="false" customHeight="false" outlineLevel="0" collapsed="false">
      <c r="A45" s="89" t="str">
        <f aca="false">IF($C45="","",$X$2&amp;"-S"&amp;INT(($C45-WEEKDAY($C45,2)+11-DATE(YEAR($C45+4-WEEKDAY($C45,2)),1,1))/7)&amp;"-REU-T")</f>
        <v>OUT-S42-REU-T</v>
      </c>
      <c r="B45" s="60" t="str">
        <f aca="false">IF($C45="","","S"&amp;INT(($C45-WEEKDAY($C45,2)+11-DATE(YEAR($C45+4-WEEKDAY($C45,2)),1,1))/7))</f>
        <v>S42</v>
      </c>
      <c r="C45" s="82" t="n">
        <f aca="false">IF(MONTH(($X$1-WEEKDAY($X$1,3)+14)+4)=MONTH($X$1),($X$1-WEEKDAY($X$1,3)+14)+4,"")</f>
        <v>46311</v>
      </c>
      <c r="D45" s="56" t="str">
        <f aca="false">IF($C45="","","Reunião Semanal com a Gerência")</f>
        <v>Reunião Semanal com a Gerência</v>
      </c>
      <c r="E45" s="56"/>
      <c r="F45" s="56"/>
      <c r="G45" s="60" t="str">
        <f aca="false">IF($C45="","","Todos")</f>
        <v>Todos</v>
      </c>
      <c r="H45" s="60" t="str">
        <f aca="false">IF($C45="","",IF($G45="A",CONFIG!$B$5,IF($G45="B",CONFIG!$B$6,IF($G45="C",CONFIG!$B$7,"Gerência + coordenadores"))))</f>
        <v>Gerência + coordenadores</v>
      </c>
      <c r="I45" s="60"/>
      <c r="J45" s="81" t="str">
        <f aca="false">IF($C45="","","—")</f>
        <v>—</v>
      </c>
      <c r="K45" s="83" t="str">
        <f aca="false">IF($C45="","","—")</f>
        <v>—</v>
      </c>
      <c r="L45" s="83" t="str">
        <f aca="false">IF($C45="","","—")</f>
        <v>—</v>
      </c>
      <c r="M45" s="84"/>
      <c r="N45" s="84"/>
      <c r="O45" s="84"/>
      <c r="P45" s="90"/>
      <c r="Q45" s="86"/>
      <c r="R45" s="87"/>
      <c r="S45" s="60" t="str">
        <f aca="true">IF($C45="","",IF($Q45="Cancelada","Cancelada",IF($Q45="Reprovado","Reprovada",IF($Q45="Aprovado","Aprovada",IF($M45&lt;&gt;"","Entregue",IF(TODAY()&gt;$C45,"Atrasada","Pendente"))))))</f>
        <v>Pendente</v>
      </c>
      <c r="T45" s="88"/>
      <c r="U45" s="88"/>
      <c r="V45" s="88"/>
    </row>
    <row r="46" customFormat="false" ht="22.35" hidden="false" customHeight="false" outlineLevel="0" collapsed="false">
      <c r="A46" s="80" t="str">
        <f aca="false">IF($C46="","",$X$2&amp;"-S"&amp;INT(($C46-WEEKDAY($C46,2)+11-DATE(YEAR($C46+4-WEEKDAY($C46,2)),1,1))/7)&amp;"-VIS-A")</f>
        <v>OUT-S43-VIS-A</v>
      </c>
      <c r="B46" s="81" t="str">
        <f aca="false">IF($C46="","","S"&amp;INT(($C46-WEEKDAY($C46,2)+11-DATE(YEAR($C46+4-WEEKDAY($C46,2)),1,1))/7))</f>
        <v>S43</v>
      </c>
      <c r="C46" s="82" t="n">
        <f aca="false">IF(MONTH(($X$1-WEEKDAY($X$1,3)+21)+2)=MONTH($X$1),($X$1-WEEKDAY($X$1,3)+21)+2,"")</f>
        <v>46316</v>
      </c>
      <c r="D46" s="9" t="str">
        <f aca="false">IF($C46="","","Vistoria Setorial (checklist no setor definido pelo gerente)")</f>
        <v>Vistoria Setorial (checklist no setor definido pelo gerente)</v>
      </c>
      <c r="E46" s="9"/>
      <c r="F46" s="9"/>
      <c r="G46" s="81" t="str">
        <f aca="false">IF($C46="","","A")</f>
        <v>A</v>
      </c>
      <c r="H46" s="81" t="str">
        <f aca="false">IF($C46="","",IF($G46="A",CONFIG!$B$5,IF($G46="B",CONFIG!$B$6,IF($G46="C",CONFIG!$B$7,"Gerência + coordenadores"))))</f>
        <v>(preencha o nome)</v>
      </c>
      <c r="I46" s="81"/>
      <c r="J46" s="86"/>
      <c r="K46" s="83" t="str">
        <f aca="false">IF($C46="","","—")</f>
        <v>—</v>
      </c>
      <c r="L46" s="83" t="str">
        <f aca="false">IF($C46="","","—")</f>
        <v>—</v>
      </c>
      <c r="M46" s="84"/>
      <c r="N46" s="84"/>
      <c r="O46" s="84"/>
      <c r="P46" s="85"/>
      <c r="Q46" s="86"/>
      <c r="R46" s="87"/>
      <c r="S46" s="81" t="str">
        <f aca="true">IF($C46="","",IF($Q46="Cancelada","Cancelada",IF($Q46="Reprovado","Reprovada",IF($Q46="Aprovado","Aprovada",IF($M46&lt;&gt;"","Entregue",IF(TODAY()&gt;$C46,"Atrasada","Pendente"))))))</f>
        <v>Pendente</v>
      </c>
      <c r="T46" s="88"/>
      <c r="U46" s="88"/>
      <c r="V46" s="88"/>
    </row>
    <row r="47" customFormat="false" ht="22.35" hidden="false" customHeight="false" outlineLevel="0" collapsed="false">
      <c r="A47" s="89" t="str">
        <f aca="false">IF($C47="","",$X$2&amp;"-S"&amp;INT(($C47-WEEKDAY($C47,2)+11-DATE(YEAR($C47+4-WEEKDAY($C47,2)),1,1))/7)&amp;"-VIS-B")</f>
        <v>OUT-S43-VIS-B</v>
      </c>
      <c r="B47" s="60" t="str">
        <f aca="false">IF($C47="","","S"&amp;INT(($C47-WEEKDAY($C47,2)+11-DATE(YEAR($C47+4-WEEKDAY($C47,2)),1,1))/7))</f>
        <v>S43</v>
      </c>
      <c r="C47" s="82" t="n">
        <f aca="false">IF(MONTH(($X$1-WEEKDAY($X$1,3)+21)+2)=MONTH($X$1),($X$1-WEEKDAY($X$1,3)+21)+2,"")</f>
        <v>46316</v>
      </c>
      <c r="D47" s="56" t="str">
        <f aca="false">IF($C47="","","Vistoria Setorial (checklist no setor definido pelo gerente)")</f>
        <v>Vistoria Setorial (checklist no setor definido pelo gerente)</v>
      </c>
      <c r="E47" s="56"/>
      <c r="F47" s="56"/>
      <c r="G47" s="60" t="str">
        <f aca="false">IF($C47="","","B")</f>
        <v>B</v>
      </c>
      <c r="H47" s="60" t="str">
        <f aca="false">IF($C47="","",IF($G47="A",CONFIG!$B$5,IF($G47="B",CONFIG!$B$6,IF($G47="C",CONFIG!$B$7,"Gerência + coordenadores"))))</f>
        <v>(preencha o nome)</v>
      </c>
      <c r="I47" s="60"/>
      <c r="J47" s="86"/>
      <c r="K47" s="83" t="str">
        <f aca="false">IF($C47="","","—")</f>
        <v>—</v>
      </c>
      <c r="L47" s="83" t="str">
        <f aca="false">IF($C47="","","—")</f>
        <v>—</v>
      </c>
      <c r="M47" s="84"/>
      <c r="N47" s="84"/>
      <c r="O47" s="84"/>
      <c r="P47" s="90"/>
      <c r="Q47" s="86"/>
      <c r="R47" s="87"/>
      <c r="S47" s="60" t="str">
        <f aca="true">IF($C47="","",IF($Q47="Cancelada","Cancelada",IF($Q47="Reprovado","Reprovada",IF($Q47="Aprovado","Aprovada",IF($M47&lt;&gt;"","Entregue",IF(TODAY()&gt;$C47,"Atrasada","Pendente"))))))</f>
        <v>Pendente</v>
      </c>
      <c r="T47" s="88"/>
      <c r="U47" s="88"/>
      <c r="V47" s="88"/>
    </row>
    <row r="48" customFormat="false" ht="22.35" hidden="false" customHeight="false" outlineLevel="0" collapsed="false">
      <c r="A48" s="80" t="str">
        <f aca="false">IF($C48="","",$X$2&amp;"-S"&amp;INT(($C48-WEEKDAY($C48,2)+11-DATE(YEAR($C48+4-WEEKDAY($C48,2)),1,1))/7)&amp;"-VIS-C")</f>
        <v>OUT-S43-VIS-C</v>
      </c>
      <c r="B48" s="81" t="str">
        <f aca="false">IF($C48="","","S"&amp;INT(($C48-WEEKDAY($C48,2)+11-DATE(YEAR($C48+4-WEEKDAY($C48,2)),1,1))/7))</f>
        <v>S43</v>
      </c>
      <c r="C48" s="82" t="n">
        <f aca="false">IF(MONTH(($X$1-WEEKDAY($X$1,3)+21)+2)=MONTH($X$1),($X$1-WEEKDAY($X$1,3)+21)+2,"")</f>
        <v>46316</v>
      </c>
      <c r="D48" s="9" t="str">
        <f aca="false">IF($C48="","","Vistoria Setorial (checklist no setor definido pelo gerente)")</f>
        <v>Vistoria Setorial (checklist no setor definido pelo gerente)</v>
      </c>
      <c r="E48" s="9"/>
      <c r="F48" s="9"/>
      <c r="G48" s="81" t="str">
        <f aca="false">IF($C48="","","C")</f>
        <v>C</v>
      </c>
      <c r="H48" s="81" t="str">
        <f aca="false">IF($C48="","",IF($G48="A",CONFIG!$B$5,IF($G48="B",CONFIG!$B$6,IF($G48="C",CONFIG!$B$7,"Gerência + coordenadores"))))</f>
        <v>(preencha o nome)</v>
      </c>
      <c r="I48" s="81"/>
      <c r="J48" s="86"/>
      <c r="K48" s="83" t="str">
        <f aca="false">IF($C48="","","—")</f>
        <v>—</v>
      </c>
      <c r="L48" s="83" t="str">
        <f aca="false">IF($C48="","","—")</f>
        <v>—</v>
      </c>
      <c r="M48" s="84"/>
      <c r="N48" s="84"/>
      <c r="O48" s="84"/>
      <c r="P48" s="85"/>
      <c r="Q48" s="86"/>
      <c r="R48" s="87"/>
      <c r="S48" s="81" t="str">
        <f aca="true">IF($C48="","",IF($Q48="Cancelada","Cancelada",IF($Q48="Reprovado","Reprovada",IF($Q48="Aprovado","Aprovada",IF($M48&lt;&gt;"","Entregue",IF(TODAY()&gt;$C48,"Atrasada","Pendente"))))))</f>
        <v>Pendente</v>
      </c>
      <c r="T48" s="88"/>
      <c r="U48" s="88"/>
      <c r="V48" s="88"/>
    </row>
    <row r="49" customFormat="false" ht="22.35" hidden="false" customHeight="false" outlineLevel="0" collapsed="false">
      <c r="A49" s="89" t="str">
        <f aca="false">IF($C49="","",$X$2&amp;"-S"&amp;INT(($C49-WEEKDAY($C49,2)+11-DATE(YEAR($C49+4-WEEKDAY($C49,2)),1,1))/7)&amp;"-RSC-A")</f>
        <v>OUT-S43-RSC-A</v>
      </c>
      <c r="B49" s="60" t="str">
        <f aca="false">IF($C49="","","S"&amp;INT(($C49-WEEKDAY($C49,2)+11-DATE(YEAR($C49+4-WEEKDAY($C49,2)),1,1))/7))</f>
        <v>S43</v>
      </c>
      <c r="C49" s="82" t="n">
        <f aca="false">IF(MONTH(($X$1-WEEKDAY($X$1,3)+21)+3)=MONTH($X$1),($X$1-WEEKDAY($X$1,3)+21)+3,"")</f>
        <v>46317</v>
      </c>
      <c r="D49" s="56" t="str">
        <f aca="false">IF($C49="","","Relatório Semanal Consolidado (erros + metas + faltas + supervisores)")</f>
        <v>Relatório Semanal Consolidado (erros + metas + faltas + supervisores)</v>
      </c>
      <c r="E49" s="56"/>
      <c r="F49" s="56"/>
      <c r="G49" s="60" t="str">
        <f aca="false">IF($C49="","","A")</f>
        <v>A</v>
      </c>
      <c r="H49" s="60" t="str">
        <f aca="false">IF($C49="","",IF($G49="A",CONFIG!$B$5,IF($G49="B",CONFIG!$B$6,IF($G49="C",CONFIG!$B$7,"Gerência + coordenadores"))))</f>
        <v>(preencha o nome)</v>
      </c>
      <c r="I49" s="60"/>
      <c r="J49" s="81" t="str">
        <f aca="false">IF($C49="","","—")</f>
        <v>—</v>
      </c>
      <c r="K49" s="91" t="n">
        <f aca="false">IF($C49="","",SUMIFS(OCORRÊNCIAS!$E$6:$E$605,OCORRÊNCIAS!$B$6:$B$605,"Falta",OCORRÊNCIAS!$C$6:$C$605,$G49,OCORRÊNCIAS!$H$6:$H$605,$B49,OCORRÊNCIAS!$J$6:$J$605,YEAR($C49+4-WEEKDAY($C49,2))))</f>
        <v>0</v>
      </c>
      <c r="L49" s="91" t="n">
        <f aca="false">IF($C49="","",SUMIFS(OCORRÊNCIAS!$E$6:$E$605,OCORRÊNCIAS!$B$6:$B$605,"Atestado",OCORRÊNCIAS!$C$6:$C$605,$G49,OCORRÊNCIAS!$H$6:$H$605,$B49,OCORRÊNCIAS!$J$6:$J$605,YEAR($C49+4-WEEKDAY($C49,2))))</f>
        <v>0</v>
      </c>
      <c r="M49" s="84"/>
      <c r="N49" s="84"/>
      <c r="O49" s="84"/>
      <c r="P49" s="90"/>
      <c r="Q49" s="86"/>
      <c r="R49" s="87"/>
      <c r="S49" s="60" t="str">
        <f aca="true">IF($C49="","",IF($Q49="Cancelada","Cancelada",IF($Q49="Reprovado","Reprovada",IF($Q49="Aprovado","Aprovada",IF($M49&lt;&gt;"","Entregue",IF(TODAY()&gt;$C49,"Atrasada","Pendente"))))))</f>
        <v>Pendente</v>
      </c>
      <c r="T49" s="88"/>
      <c r="U49" s="88"/>
      <c r="V49" s="88"/>
    </row>
    <row r="50" customFormat="false" ht="22.35" hidden="false" customHeight="false" outlineLevel="0" collapsed="false">
      <c r="A50" s="80" t="str">
        <f aca="false">IF($C50="","",$X$2&amp;"-S"&amp;INT(($C50-WEEKDAY($C50,2)+11-DATE(YEAR($C50+4-WEEKDAY($C50,2)),1,1))/7)&amp;"-RSC-B")</f>
        <v>OUT-S43-RSC-B</v>
      </c>
      <c r="B50" s="81" t="str">
        <f aca="false">IF($C50="","","S"&amp;INT(($C50-WEEKDAY($C50,2)+11-DATE(YEAR($C50+4-WEEKDAY($C50,2)),1,1))/7))</f>
        <v>S43</v>
      </c>
      <c r="C50" s="82" t="n">
        <f aca="false">IF(MONTH(($X$1-WEEKDAY($X$1,3)+21)+3)=MONTH($X$1),($X$1-WEEKDAY($X$1,3)+21)+3,"")</f>
        <v>46317</v>
      </c>
      <c r="D50" s="9" t="str">
        <f aca="false">IF($C50="","","Relatório Semanal Consolidado (erros + metas + faltas + supervisores)")</f>
        <v>Relatório Semanal Consolidado (erros + metas + faltas + supervisores)</v>
      </c>
      <c r="E50" s="9"/>
      <c r="F50" s="9"/>
      <c r="G50" s="81" t="str">
        <f aca="false">IF($C50="","","B")</f>
        <v>B</v>
      </c>
      <c r="H50" s="81" t="str">
        <f aca="false">IF($C50="","",IF($G50="A",CONFIG!$B$5,IF($G50="B",CONFIG!$B$6,IF($G50="C",CONFIG!$B$7,"Gerência + coordenadores"))))</f>
        <v>(preencha o nome)</v>
      </c>
      <c r="I50" s="81"/>
      <c r="J50" s="81" t="str">
        <f aca="false">IF($C50="","","—")</f>
        <v>—</v>
      </c>
      <c r="K50" s="91" t="n">
        <f aca="false">IF($C50="","",SUMIFS(OCORRÊNCIAS!$E$6:$E$605,OCORRÊNCIAS!$B$6:$B$605,"Falta",OCORRÊNCIAS!$C$6:$C$605,$G50,OCORRÊNCIAS!$H$6:$H$605,$B50,OCORRÊNCIAS!$J$6:$J$605,YEAR($C50+4-WEEKDAY($C50,2))))</f>
        <v>0</v>
      </c>
      <c r="L50" s="91" t="n">
        <f aca="false">IF($C50="","",SUMIFS(OCORRÊNCIAS!$E$6:$E$605,OCORRÊNCIAS!$B$6:$B$605,"Atestado",OCORRÊNCIAS!$C$6:$C$605,$G50,OCORRÊNCIAS!$H$6:$H$605,$B50,OCORRÊNCIAS!$J$6:$J$605,YEAR($C50+4-WEEKDAY($C50,2))))</f>
        <v>0</v>
      </c>
      <c r="M50" s="84"/>
      <c r="N50" s="84"/>
      <c r="O50" s="84"/>
      <c r="P50" s="85"/>
      <c r="Q50" s="86"/>
      <c r="R50" s="87"/>
      <c r="S50" s="81" t="str">
        <f aca="true">IF($C50="","",IF($Q50="Cancelada","Cancelada",IF($Q50="Reprovado","Reprovada",IF($Q50="Aprovado","Aprovada",IF($M50&lt;&gt;"","Entregue",IF(TODAY()&gt;$C50,"Atrasada","Pendente"))))))</f>
        <v>Pendente</v>
      </c>
      <c r="T50" s="88"/>
      <c r="U50" s="88"/>
      <c r="V50" s="88"/>
    </row>
    <row r="51" customFormat="false" ht="22.35" hidden="false" customHeight="false" outlineLevel="0" collapsed="false">
      <c r="A51" s="89" t="str">
        <f aca="false">IF($C51="","",$X$2&amp;"-S"&amp;INT(($C51-WEEKDAY($C51,2)+11-DATE(YEAR($C51+4-WEEKDAY($C51,2)),1,1))/7)&amp;"-RSC-C")</f>
        <v>OUT-S43-RSC-C</v>
      </c>
      <c r="B51" s="60" t="str">
        <f aca="false">IF($C51="","","S"&amp;INT(($C51-WEEKDAY($C51,2)+11-DATE(YEAR($C51+4-WEEKDAY($C51,2)),1,1))/7))</f>
        <v>S43</v>
      </c>
      <c r="C51" s="82" t="n">
        <f aca="false">IF(MONTH(($X$1-WEEKDAY($X$1,3)+21)+3)=MONTH($X$1),($X$1-WEEKDAY($X$1,3)+21)+3,"")</f>
        <v>46317</v>
      </c>
      <c r="D51" s="56" t="str">
        <f aca="false">IF($C51="","","Relatório Semanal Consolidado (erros + metas + faltas + supervisores)")</f>
        <v>Relatório Semanal Consolidado (erros + metas + faltas + supervisores)</v>
      </c>
      <c r="E51" s="56"/>
      <c r="F51" s="56"/>
      <c r="G51" s="60" t="str">
        <f aca="false">IF($C51="","","C")</f>
        <v>C</v>
      </c>
      <c r="H51" s="60" t="str">
        <f aca="false">IF($C51="","",IF($G51="A",CONFIG!$B$5,IF($G51="B",CONFIG!$B$6,IF($G51="C",CONFIG!$B$7,"Gerência + coordenadores"))))</f>
        <v>(preencha o nome)</v>
      </c>
      <c r="I51" s="60"/>
      <c r="J51" s="81" t="str">
        <f aca="false">IF($C51="","","—")</f>
        <v>—</v>
      </c>
      <c r="K51" s="91" t="n">
        <f aca="false">IF($C51="","",SUMIFS(OCORRÊNCIAS!$E$6:$E$605,OCORRÊNCIAS!$B$6:$B$605,"Falta",OCORRÊNCIAS!$C$6:$C$605,$G51,OCORRÊNCIAS!$H$6:$H$605,$B51,OCORRÊNCIAS!$J$6:$J$605,YEAR($C51+4-WEEKDAY($C51,2))))</f>
        <v>0</v>
      </c>
      <c r="L51" s="91" t="n">
        <f aca="false">IF($C51="","",SUMIFS(OCORRÊNCIAS!$E$6:$E$605,OCORRÊNCIAS!$B$6:$B$605,"Atestado",OCORRÊNCIAS!$C$6:$C$605,$G51,OCORRÊNCIAS!$H$6:$H$605,$B51,OCORRÊNCIAS!$J$6:$J$605,YEAR($C51+4-WEEKDAY($C51,2))))</f>
        <v>0</v>
      </c>
      <c r="M51" s="84"/>
      <c r="N51" s="84"/>
      <c r="O51" s="84"/>
      <c r="P51" s="90"/>
      <c r="Q51" s="86"/>
      <c r="R51" s="87"/>
      <c r="S51" s="60" t="str">
        <f aca="true">IF($C51="","",IF($Q51="Cancelada","Cancelada",IF($Q51="Reprovado","Reprovada",IF($Q51="Aprovado","Aprovada",IF($M51&lt;&gt;"","Entregue",IF(TODAY()&gt;$C51,"Atrasada","Pendente"))))))</f>
        <v>Pendente</v>
      </c>
      <c r="T51" s="88"/>
      <c r="U51" s="88"/>
      <c r="V51" s="88"/>
    </row>
    <row r="52" customFormat="false" ht="22.35" hidden="false" customHeight="false" outlineLevel="0" collapsed="false">
      <c r="A52" s="80" t="str">
        <f aca="false">IF($C52="","",$X$2&amp;"-S"&amp;INT(($C52-WEEKDAY($C52,2)+11-DATE(YEAR($C52+4-WEEKDAY($C52,2)),1,1))/7)&amp;"-REU-T")</f>
        <v>OUT-S43-REU-T</v>
      </c>
      <c r="B52" s="81" t="str">
        <f aca="false">IF($C52="","","S"&amp;INT(($C52-WEEKDAY($C52,2)+11-DATE(YEAR($C52+4-WEEKDAY($C52,2)),1,1))/7))</f>
        <v>S43</v>
      </c>
      <c r="C52" s="82" t="n">
        <f aca="false">IF(MONTH(($X$1-WEEKDAY($X$1,3)+21)+4)=MONTH($X$1),($X$1-WEEKDAY($X$1,3)+21)+4,"")</f>
        <v>46318</v>
      </c>
      <c r="D52" s="9" t="str">
        <f aca="false">IF($C52="","","Reunião Semanal com a Gerência")</f>
        <v>Reunião Semanal com a Gerência</v>
      </c>
      <c r="E52" s="9"/>
      <c r="F52" s="9"/>
      <c r="G52" s="81" t="str">
        <f aca="false">IF($C52="","","Todos")</f>
        <v>Todos</v>
      </c>
      <c r="H52" s="81" t="str">
        <f aca="false">IF($C52="","",IF($G52="A",CONFIG!$B$5,IF($G52="B",CONFIG!$B$6,IF($G52="C",CONFIG!$B$7,"Gerência + coordenadores"))))</f>
        <v>Gerência + coordenadores</v>
      </c>
      <c r="I52" s="81"/>
      <c r="J52" s="81" t="str">
        <f aca="false">IF($C52="","","—")</f>
        <v>—</v>
      </c>
      <c r="K52" s="83" t="str">
        <f aca="false">IF($C52="","","—")</f>
        <v>—</v>
      </c>
      <c r="L52" s="83" t="str">
        <f aca="false">IF($C52="","","—")</f>
        <v>—</v>
      </c>
      <c r="M52" s="84"/>
      <c r="N52" s="84"/>
      <c r="O52" s="84"/>
      <c r="P52" s="85"/>
      <c r="Q52" s="86"/>
      <c r="R52" s="87"/>
      <c r="S52" s="81" t="str">
        <f aca="true">IF($C52="","",IF($Q52="Cancelada","Cancelada",IF($Q52="Reprovado","Reprovada",IF($Q52="Aprovado","Aprovada",IF($M52&lt;&gt;"","Entregue",IF(TODAY()&gt;$C52,"Atrasada","Pendente"))))))</f>
        <v>Pendente</v>
      </c>
      <c r="T52" s="88"/>
      <c r="U52" s="88"/>
      <c r="V52" s="88"/>
    </row>
    <row r="53" customFormat="false" ht="22.35" hidden="false" customHeight="false" outlineLevel="0" collapsed="false">
      <c r="A53" s="89" t="str">
        <f aca="false">IF($C53="","",$X$2&amp;"-S"&amp;INT(($C53-WEEKDAY($C53,2)+11-DATE(YEAR($C53+4-WEEKDAY($C53,2)),1,1))/7)&amp;"-VIS-A")</f>
        <v>OUT-S44-VIS-A</v>
      </c>
      <c r="B53" s="60" t="str">
        <f aca="false">IF($C53="","","S"&amp;INT(($C53-WEEKDAY($C53,2)+11-DATE(YEAR($C53+4-WEEKDAY($C53,2)),1,1))/7))</f>
        <v>S44</v>
      </c>
      <c r="C53" s="82" t="n">
        <f aca="false">IF(MONTH(($X$1-WEEKDAY($X$1,3)+28)+2)=MONTH($X$1),($X$1-WEEKDAY($X$1,3)+28)+2,"")</f>
        <v>46323</v>
      </c>
      <c r="D53" s="56" t="str">
        <f aca="false">IF($C53="","","Vistoria Setorial (checklist no setor definido pelo gerente)")</f>
        <v>Vistoria Setorial (checklist no setor definido pelo gerente)</v>
      </c>
      <c r="E53" s="56"/>
      <c r="F53" s="56"/>
      <c r="G53" s="60" t="str">
        <f aca="false">IF($C53="","","A")</f>
        <v>A</v>
      </c>
      <c r="H53" s="60" t="str">
        <f aca="false">IF($C53="","",IF($G53="A",CONFIG!$B$5,IF($G53="B",CONFIG!$B$6,IF($G53="C",CONFIG!$B$7,"Gerência + coordenadores"))))</f>
        <v>(preencha o nome)</v>
      </c>
      <c r="I53" s="60"/>
      <c r="J53" s="86"/>
      <c r="K53" s="83" t="str">
        <f aca="false">IF($C53="","","—")</f>
        <v>—</v>
      </c>
      <c r="L53" s="83" t="str">
        <f aca="false">IF($C53="","","—")</f>
        <v>—</v>
      </c>
      <c r="M53" s="84"/>
      <c r="N53" s="84"/>
      <c r="O53" s="84"/>
      <c r="P53" s="90"/>
      <c r="Q53" s="86"/>
      <c r="R53" s="87"/>
      <c r="S53" s="60" t="str">
        <f aca="true">IF($C53="","",IF($Q53="Cancelada","Cancelada",IF($Q53="Reprovado","Reprovada",IF($Q53="Aprovado","Aprovada",IF($M53&lt;&gt;"","Entregue",IF(TODAY()&gt;$C53,"Atrasada","Pendente"))))))</f>
        <v>Pendente</v>
      </c>
      <c r="T53" s="88"/>
      <c r="U53" s="88"/>
      <c r="V53" s="88"/>
    </row>
    <row r="54" customFormat="false" ht="22.35" hidden="false" customHeight="false" outlineLevel="0" collapsed="false">
      <c r="A54" s="80" t="str">
        <f aca="false">IF($C54="","",$X$2&amp;"-S"&amp;INT(($C54-WEEKDAY($C54,2)+11-DATE(YEAR($C54+4-WEEKDAY($C54,2)),1,1))/7)&amp;"-VIS-B")</f>
        <v>OUT-S44-VIS-B</v>
      </c>
      <c r="B54" s="81" t="str">
        <f aca="false">IF($C54="","","S"&amp;INT(($C54-WEEKDAY($C54,2)+11-DATE(YEAR($C54+4-WEEKDAY($C54,2)),1,1))/7))</f>
        <v>S44</v>
      </c>
      <c r="C54" s="82" t="n">
        <f aca="false">IF(MONTH(($X$1-WEEKDAY($X$1,3)+28)+2)=MONTH($X$1),($X$1-WEEKDAY($X$1,3)+28)+2,"")</f>
        <v>46323</v>
      </c>
      <c r="D54" s="9" t="str">
        <f aca="false">IF($C54="","","Vistoria Setorial (checklist no setor definido pelo gerente)")</f>
        <v>Vistoria Setorial (checklist no setor definido pelo gerente)</v>
      </c>
      <c r="E54" s="9"/>
      <c r="F54" s="9"/>
      <c r="G54" s="81" t="str">
        <f aca="false">IF($C54="","","B")</f>
        <v>B</v>
      </c>
      <c r="H54" s="81" t="str">
        <f aca="false">IF($C54="","",IF($G54="A",CONFIG!$B$5,IF($G54="B",CONFIG!$B$6,IF($G54="C",CONFIG!$B$7,"Gerência + coordenadores"))))</f>
        <v>(preencha o nome)</v>
      </c>
      <c r="I54" s="81"/>
      <c r="J54" s="86"/>
      <c r="K54" s="83" t="str">
        <f aca="false">IF($C54="","","—")</f>
        <v>—</v>
      </c>
      <c r="L54" s="83" t="str">
        <f aca="false">IF($C54="","","—")</f>
        <v>—</v>
      </c>
      <c r="M54" s="84"/>
      <c r="N54" s="84"/>
      <c r="O54" s="84"/>
      <c r="P54" s="85"/>
      <c r="Q54" s="86"/>
      <c r="R54" s="87"/>
      <c r="S54" s="81" t="str">
        <f aca="true">IF($C54="","",IF($Q54="Cancelada","Cancelada",IF($Q54="Reprovado","Reprovada",IF($Q54="Aprovado","Aprovada",IF($M54&lt;&gt;"","Entregue",IF(TODAY()&gt;$C54,"Atrasada","Pendente"))))))</f>
        <v>Pendente</v>
      </c>
      <c r="T54" s="88"/>
      <c r="U54" s="88"/>
      <c r="V54" s="88"/>
    </row>
    <row r="55" customFormat="false" ht="22.35" hidden="false" customHeight="false" outlineLevel="0" collapsed="false">
      <c r="A55" s="89" t="str">
        <f aca="false">IF($C55="","",$X$2&amp;"-S"&amp;INT(($C55-WEEKDAY($C55,2)+11-DATE(YEAR($C55+4-WEEKDAY($C55,2)),1,1))/7)&amp;"-VIS-C")</f>
        <v>OUT-S44-VIS-C</v>
      </c>
      <c r="B55" s="60" t="str">
        <f aca="false">IF($C55="","","S"&amp;INT(($C55-WEEKDAY($C55,2)+11-DATE(YEAR($C55+4-WEEKDAY($C55,2)),1,1))/7))</f>
        <v>S44</v>
      </c>
      <c r="C55" s="82" t="n">
        <f aca="false">IF(MONTH(($X$1-WEEKDAY($X$1,3)+28)+2)=MONTH($X$1),($X$1-WEEKDAY($X$1,3)+28)+2,"")</f>
        <v>46323</v>
      </c>
      <c r="D55" s="56" t="str">
        <f aca="false">IF($C55="","","Vistoria Setorial (checklist no setor definido pelo gerente)")</f>
        <v>Vistoria Setorial (checklist no setor definido pelo gerente)</v>
      </c>
      <c r="E55" s="56"/>
      <c r="F55" s="56"/>
      <c r="G55" s="60" t="str">
        <f aca="false">IF($C55="","","C")</f>
        <v>C</v>
      </c>
      <c r="H55" s="60" t="str">
        <f aca="false">IF($C55="","",IF($G55="A",CONFIG!$B$5,IF($G55="B",CONFIG!$B$6,IF($G55="C",CONFIG!$B$7,"Gerência + coordenadores"))))</f>
        <v>(preencha o nome)</v>
      </c>
      <c r="I55" s="60"/>
      <c r="J55" s="86"/>
      <c r="K55" s="83" t="str">
        <f aca="false">IF($C55="","","—")</f>
        <v>—</v>
      </c>
      <c r="L55" s="83" t="str">
        <f aca="false">IF($C55="","","—")</f>
        <v>—</v>
      </c>
      <c r="M55" s="84"/>
      <c r="N55" s="84"/>
      <c r="O55" s="84"/>
      <c r="P55" s="90"/>
      <c r="Q55" s="86"/>
      <c r="R55" s="87"/>
      <c r="S55" s="60" t="str">
        <f aca="true">IF($C55="","",IF($Q55="Cancelada","Cancelada",IF($Q55="Reprovado","Reprovada",IF($Q55="Aprovado","Aprovada",IF($M55&lt;&gt;"","Entregue",IF(TODAY()&gt;$C55,"Atrasada","Pendente"))))))</f>
        <v>Pendente</v>
      </c>
      <c r="T55" s="88"/>
      <c r="U55" s="88"/>
      <c r="V55" s="88"/>
    </row>
    <row r="56" customFormat="false" ht="22.35" hidden="false" customHeight="false" outlineLevel="0" collapsed="false">
      <c r="A56" s="80" t="str">
        <f aca="false">IF($C56="","",$X$2&amp;"-S"&amp;INT(($C56-WEEKDAY($C56,2)+11-DATE(YEAR($C56+4-WEEKDAY($C56,2)),1,1))/7)&amp;"-RSC-A")</f>
        <v>OUT-S44-RSC-A</v>
      </c>
      <c r="B56" s="81" t="str">
        <f aca="false">IF($C56="","","S"&amp;INT(($C56-WEEKDAY($C56,2)+11-DATE(YEAR($C56+4-WEEKDAY($C56,2)),1,1))/7))</f>
        <v>S44</v>
      </c>
      <c r="C56" s="82" t="n">
        <f aca="false">IF(MONTH(($X$1-WEEKDAY($X$1,3)+28)+3)=MONTH($X$1),($X$1-WEEKDAY($X$1,3)+28)+3,"")</f>
        <v>46324</v>
      </c>
      <c r="D56" s="9" t="str">
        <f aca="false">IF($C56="","","Relatório Semanal Consolidado (erros + metas + faltas + supervisores)")</f>
        <v>Relatório Semanal Consolidado (erros + metas + faltas + supervisores)</v>
      </c>
      <c r="E56" s="9"/>
      <c r="F56" s="9"/>
      <c r="G56" s="81" t="str">
        <f aca="false">IF($C56="","","A")</f>
        <v>A</v>
      </c>
      <c r="H56" s="81" t="str">
        <f aca="false">IF($C56="","",IF($G56="A",CONFIG!$B$5,IF($G56="B",CONFIG!$B$6,IF($G56="C",CONFIG!$B$7,"Gerência + coordenadores"))))</f>
        <v>(preencha o nome)</v>
      </c>
      <c r="I56" s="81"/>
      <c r="J56" s="81" t="str">
        <f aca="false">IF($C56="","","—")</f>
        <v>—</v>
      </c>
      <c r="K56" s="91" t="n">
        <f aca="false">IF($C56="","",SUMIFS(OCORRÊNCIAS!$E$6:$E$605,OCORRÊNCIAS!$B$6:$B$605,"Falta",OCORRÊNCIAS!$C$6:$C$605,$G56,OCORRÊNCIAS!$H$6:$H$605,$B56,OCORRÊNCIAS!$J$6:$J$605,YEAR($C56+4-WEEKDAY($C56,2))))</f>
        <v>0</v>
      </c>
      <c r="L56" s="91" t="n">
        <f aca="false">IF($C56="","",SUMIFS(OCORRÊNCIAS!$E$6:$E$605,OCORRÊNCIAS!$B$6:$B$605,"Atestado",OCORRÊNCIAS!$C$6:$C$605,$G56,OCORRÊNCIAS!$H$6:$H$605,$B56,OCORRÊNCIAS!$J$6:$J$605,YEAR($C56+4-WEEKDAY($C56,2))))</f>
        <v>0</v>
      </c>
      <c r="M56" s="84"/>
      <c r="N56" s="84"/>
      <c r="O56" s="84"/>
      <c r="P56" s="85"/>
      <c r="Q56" s="86"/>
      <c r="R56" s="87"/>
      <c r="S56" s="81" t="str">
        <f aca="true">IF($C56="","",IF($Q56="Cancelada","Cancelada",IF($Q56="Reprovado","Reprovada",IF($Q56="Aprovado","Aprovada",IF($M56&lt;&gt;"","Entregue",IF(TODAY()&gt;$C56,"Atrasada","Pendente"))))))</f>
        <v>Pendente</v>
      </c>
      <c r="T56" s="88"/>
      <c r="U56" s="88"/>
      <c r="V56" s="88"/>
    </row>
    <row r="57" customFormat="false" ht="22.35" hidden="false" customHeight="false" outlineLevel="0" collapsed="false">
      <c r="A57" s="89" t="str">
        <f aca="false">IF($C57="","",$X$2&amp;"-S"&amp;INT(($C57-WEEKDAY($C57,2)+11-DATE(YEAR($C57+4-WEEKDAY($C57,2)),1,1))/7)&amp;"-RSC-B")</f>
        <v>OUT-S44-RSC-B</v>
      </c>
      <c r="B57" s="60" t="str">
        <f aca="false">IF($C57="","","S"&amp;INT(($C57-WEEKDAY($C57,2)+11-DATE(YEAR($C57+4-WEEKDAY($C57,2)),1,1))/7))</f>
        <v>S44</v>
      </c>
      <c r="C57" s="82" t="n">
        <f aca="false">IF(MONTH(($X$1-WEEKDAY($X$1,3)+28)+3)=MONTH($X$1),($X$1-WEEKDAY($X$1,3)+28)+3,"")</f>
        <v>46324</v>
      </c>
      <c r="D57" s="56" t="str">
        <f aca="false">IF($C57="","","Relatório Semanal Consolidado (erros + metas + faltas + supervisores)")</f>
        <v>Relatório Semanal Consolidado (erros + metas + faltas + supervisores)</v>
      </c>
      <c r="E57" s="56"/>
      <c r="F57" s="56"/>
      <c r="G57" s="60" t="str">
        <f aca="false">IF($C57="","","B")</f>
        <v>B</v>
      </c>
      <c r="H57" s="60" t="str">
        <f aca="false">IF($C57="","",IF($G57="A",CONFIG!$B$5,IF($G57="B",CONFIG!$B$6,IF($G57="C",CONFIG!$B$7,"Gerência + coordenadores"))))</f>
        <v>(preencha o nome)</v>
      </c>
      <c r="I57" s="60"/>
      <c r="J57" s="81" t="str">
        <f aca="false">IF($C57="","","—")</f>
        <v>—</v>
      </c>
      <c r="K57" s="91" t="n">
        <f aca="false">IF($C57="","",SUMIFS(OCORRÊNCIAS!$E$6:$E$605,OCORRÊNCIAS!$B$6:$B$605,"Falta",OCORRÊNCIAS!$C$6:$C$605,$G57,OCORRÊNCIAS!$H$6:$H$605,$B57,OCORRÊNCIAS!$J$6:$J$605,YEAR($C57+4-WEEKDAY($C57,2))))</f>
        <v>0</v>
      </c>
      <c r="L57" s="91" t="n">
        <f aca="false">IF($C57="","",SUMIFS(OCORRÊNCIAS!$E$6:$E$605,OCORRÊNCIAS!$B$6:$B$605,"Atestado",OCORRÊNCIAS!$C$6:$C$605,$G57,OCORRÊNCIAS!$H$6:$H$605,$B57,OCORRÊNCIAS!$J$6:$J$605,YEAR($C57+4-WEEKDAY($C57,2))))</f>
        <v>0</v>
      </c>
      <c r="M57" s="84"/>
      <c r="N57" s="84"/>
      <c r="O57" s="84"/>
      <c r="P57" s="90"/>
      <c r="Q57" s="86"/>
      <c r="R57" s="87"/>
      <c r="S57" s="60" t="str">
        <f aca="true">IF($C57="","",IF($Q57="Cancelada","Cancelada",IF($Q57="Reprovado","Reprovada",IF($Q57="Aprovado","Aprovada",IF($M57&lt;&gt;"","Entregue",IF(TODAY()&gt;$C57,"Atrasada","Pendente"))))))</f>
        <v>Pendente</v>
      </c>
      <c r="T57" s="88"/>
      <c r="U57" s="88"/>
      <c r="V57" s="88"/>
    </row>
    <row r="58" customFormat="false" ht="22.35" hidden="false" customHeight="false" outlineLevel="0" collapsed="false">
      <c r="A58" s="80" t="str">
        <f aca="false">IF($C58="","",$X$2&amp;"-S"&amp;INT(($C58-WEEKDAY($C58,2)+11-DATE(YEAR($C58+4-WEEKDAY($C58,2)),1,1))/7)&amp;"-RSC-C")</f>
        <v>OUT-S44-RSC-C</v>
      </c>
      <c r="B58" s="81" t="str">
        <f aca="false">IF($C58="","","S"&amp;INT(($C58-WEEKDAY($C58,2)+11-DATE(YEAR($C58+4-WEEKDAY($C58,2)),1,1))/7))</f>
        <v>S44</v>
      </c>
      <c r="C58" s="82" t="n">
        <f aca="false">IF(MONTH(($X$1-WEEKDAY($X$1,3)+28)+3)=MONTH($X$1),($X$1-WEEKDAY($X$1,3)+28)+3,"")</f>
        <v>46324</v>
      </c>
      <c r="D58" s="9" t="str">
        <f aca="false">IF($C58="","","Relatório Semanal Consolidado (erros + metas + faltas + supervisores)")</f>
        <v>Relatório Semanal Consolidado (erros + metas + faltas + supervisores)</v>
      </c>
      <c r="E58" s="9"/>
      <c r="F58" s="9"/>
      <c r="G58" s="81" t="str">
        <f aca="false">IF($C58="","","C")</f>
        <v>C</v>
      </c>
      <c r="H58" s="81" t="str">
        <f aca="false">IF($C58="","",IF($G58="A",CONFIG!$B$5,IF($G58="B",CONFIG!$B$6,IF($G58="C",CONFIG!$B$7,"Gerência + coordenadores"))))</f>
        <v>(preencha o nome)</v>
      </c>
      <c r="I58" s="81"/>
      <c r="J58" s="81" t="str">
        <f aca="false">IF($C58="","","—")</f>
        <v>—</v>
      </c>
      <c r="K58" s="91" t="n">
        <f aca="false">IF($C58="","",SUMIFS(OCORRÊNCIAS!$E$6:$E$605,OCORRÊNCIAS!$B$6:$B$605,"Falta",OCORRÊNCIAS!$C$6:$C$605,$G58,OCORRÊNCIAS!$H$6:$H$605,$B58,OCORRÊNCIAS!$J$6:$J$605,YEAR($C58+4-WEEKDAY($C58,2))))</f>
        <v>0</v>
      </c>
      <c r="L58" s="91" t="n">
        <f aca="false">IF($C58="","",SUMIFS(OCORRÊNCIAS!$E$6:$E$605,OCORRÊNCIAS!$B$6:$B$605,"Atestado",OCORRÊNCIAS!$C$6:$C$605,$G58,OCORRÊNCIAS!$H$6:$H$605,$B58,OCORRÊNCIAS!$J$6:$J$605,YEAR($C58+4-WEEKDAY($C58,2))))</f>
        <v>0</v>
      </c>
      <c r="M58" s="84"/>
      <c r="N58" s="84"/>
      <c r="O58" s="84"/>
      <c r="P58" s="85"/>
      <c r="Q58" s="86"/>
      <c r="R58" s="87"/>
      <c r="S58" s="81" t="str">
        <f aca="true">IF($C58="","",IF($Q58="Cancelada","Cancelada",IF($Q58="Reprovado","Reprovada",IF($Q58="Aprovado","Aprovada",IF($M58&lt;&gt;"","Entregue",IF(TODAY()&gt;$C58,"Atrasada","Pendente"))))))</f>
        <v>Pendente</v>
      </c>
      <c r="T58" s="88"/>
      <c r="U58" s="88"/>
      <c r="V58" s="88"/>
    </row>
    <row r="59" customFormat="false" ht="22.35" hidden="false" customHeight="false" outlineLevel="0" collapsed="false">
      <c r="A59" s="89" t="str">
        <f aca="false">IF($C59="","",$X$2&amp;"-S"&amp;INT(($C59-WEEKDAY($C59,2)+11-DATE(YEAR($C59+4-WEEKDAY($C59,2)),1,1))/7)&amp;"-REU-T")</f>
        <v>OUT-S44-REU-T</v>
      </c>
      <c r="B59" s="60" t="str">
        <f aca="false">IF($C59="","","S"&amp;INT(($C59-WEEKDAY($C59,2)+11-DATE(YEAR($C59+4-WEEKDAY($C59,2)),1,1))/7))</f>
        <v>S44</v>
      </c>
      <c r="C59" s="82" t="n">
        <f aca="false">IF(MONTH(($X$1-WEEKDAY($X$1,3)+28)+4)=MONTH($X$1),($X$1-WEEKDAY($X$1,3)+28)+4,"")</f>
        <v>46325</v>
      </c>
      <c r="D59" s="56" t="str">
        <f aca="false">IF($C59="","","Reunião Semanal com a Gerência")</f>
        <v>Reunião Semanal com a Gerência</v>
      </c>
      <c r="E59" s="56"/>
      <c r="F59" s="56"/>
      <c r="G59" s="60" t="str">
        <f aca="false">IF($C59="","","Todos")</f>
        <v>Todos</v>
      </c>
      <c r="H59" s="60" t="str">
        <f aca="false">IF($C59="","",IF($G59="A",CONFIG!$B$5,IF($G59="B",CONFIG!$B$6,IF($G59="C",CONFIG!$B$7,"Gerência + coordenadores"))))</f>
        <v>Gerência + coordenadores</v>
      </c>
      <c r="I59" s="60"/>
      <c r="J59" s="81" t="str">
        <f aca="false">IF($C59="","","—")</f>
        <v>—</v>
      </c>
      <c r="K59" s="83" t="str">
        <f aca="false">IF($C59="","","—")</f>
        <v>—</v>
      </c>
      <c r="L59" s="83" t="str">
        <f aca="false">IF($C59="","","—")</f>
        <v>—</v>
      </c>
      <c r="M59" s="84"/>
      <c r="N59" s="84"/>
      <c r="O59" s="84"/>
      <c r="P59" s="90"/>
      <c r="Q59" s="86"/>
      <c r="R59" s="87"/>
      <c r="S59" s="60" t="str">
        <f aca="true">IF($C59="","",IF($Q59="Cancelada","Cancelada",IF($Q59="Reprovado","Reprovada",IF($Q59="Aprovado","Aprovada",IF($M59&lt;&gt;"","Entregue",IF(TODAY()&gt;$C59,"Atrasada","Pendente"))))))</f>
        <v>Pendente</v>
      </c>
      <c r="T59" s="88"/>
      <c r="U59" s="88"/>
      <c r="V59" s="88"/>
    </row>
    <row r="60" customFormat="false" ht="15" hidden="false" customHeight="false" outlineLevel="0" collapsed="false">
      <c r="A60" s="80" t="str">
        <f aca="false">IF($C60="","",$X$2&amp;"-S"&amp;INT(($C60-WEEKDAY($C60,2)+11-DATE(YEAR($C60+4-WEEKDAY($C60,2)),1,1))/7)&amp;"-VIS-A")</f>
        <v/>
      </c>
      <c r="B60" s="81" t="str">
        <f aca="false">IF($C60="","","S"&amp;INT(($C60-WEEKDAY($C60,2)+11-DATE(YEAR($C60+4-WEEKDAY($C60,2)),1,1))/7))</f>
        <v/>
      </c>
      <c r="C60" s="82" t="str">
        <f aca="false">IF(MONTH(($X$1-WEEKDAY($X$1,3)+35)+2)=MONTH($X$1),($X$1-WEEKDAY($X$1,3)+35)+2,"")</f>
        <v/>
      </c>
      <c r="D60" s="9" t="str">
        <f aca="false">IF($C60="","","Vistoria Setorial (checklist no setor definido pelo gerente)")</f>
        <v/>
      </c>
      <c r="E60" s="9"/>
      <c r="F60" s="9"/>
      <c r="G60" s="81" t="str">
        <f aca="false">IF($C60="","","A")</f>
        <v/>
      </c>
      <c r="H60" s="81" t="str">
        <f aca="false">IF($C60="","",IF($G60="A",CONFIG!$B$5,IF($G60="B",CONFIG!$B$6,IF($G60="C",CONFIG!$B$7,"Gerência + coordenadores"))))</f>
        <v/>
      </c>
      <c r="I60" s="81"/>
      <c r="J60" s="86"/>
      <c r="K60" s="83" t="str">
        <f aca="false">IF($C60="","","—")</f>
        <v/>
      </c>
      <c r="L60" s="83" t="str">
        <f aca="false">IF($C60="","","—")</f>
        <v/>
      </c>
      <c r="M60" s="84"/>
      <c r="N60" s="84"/>
      <c r="O60" s="84"/>
      <c r="P60" s="85"/>
      <c r="Q60" s="86"/>
      <c r="R60" s="87"/>
      <c r="S60" s="81" t="str">
        <f aca="true">IF($C60="","",IF($Q60="Cancelada","Cancelada",IF($Q60="Reprovado","Reprovada",IF($Q60="Aprovado","Aprovada",IF($M60&lt;&gt;"","Entregue",IF(TODAY()&gt;$C60,"Atrasada","Pendente"))))))</f>
        <v/>
      </c>
      <c r="T60" s="88"/>
      <c r="U60" s="88"/>
      <c r="V60" s="88"/>
    </row>
    <row r="61" customFormat="false" ht="15" hidden="false" customHeight="false" outlineLevel="0" collapsed="false">
      <c r="A61" s="89" t="str">
        <f aca="false">IF($C61="","",$X$2&amp;"-S"&amp;INT(($C61-WEEKDAY($C61,2)+11-DATE(YEAR($C61+4-WEEKDAY($C61,2)),1,1))/7)&amp;"-VIS-B")</f>
        <v/>
      </c>
      <c r="B61" s="60" t="str">
        <f aca="false">IF($C61="","","S"&amp;INT(($C61-WEEKDAY($C61,2)+11-DATE(YEAR($C61+4-WEEKDAY($C61,2)),1,1))/7))</f>
        <v/>
      </c>
      <c r="C61" s="82" t="str">
        <f aca="false">IF(MONTH(($X$1-WEEKDAY($X$1,3)+35)+2)=MONTH($X$1),($X$1-WEEKDAY($X$1,3)+35)+2,"")</f>
        <v/>
      </c>
      <c r="D61" s="56" t="str">
        <f aca="false">IF($C61="","","Vistoria Setorial (checklist no setor definido pelo gerente)")</f>
        <v/>
      </c>
      <c r="E61" s="56"/>
      <c r="F61" s="56"/>
      <c r="G61" s="60" t="str">
        <f aca="false">IF($C61="","","B")</f>
        <v/>
      </c>
      <c r="H61" s="60" t="str">
        <f aca="false">IF($C61="","",IF($G61="A",CONFIG!$B$5,IF($G61="B",CONFIG!$B$6,IF($G61="C",CONFIG!$B$7,"Gerência + coordenadores"))))</f>
        <v/>
      </c>
      <c r="I61" s="60"/>
      <c r="J61" s="86"/>
      <c r="K61" s="83" t="str">
        <f aca="false">IF($C61="","","—")</f>
        <v/>
      </c>
      <c r="L61" s="83" t="str">
        <f aca="false">IF($C61="","","—")</f>
        <v/>
      </c>
      <c r="M61" s="84"/>
      <c r="N61" s="84"/>
      <c r="O61" s="84"/>
      <c r="P61" s="90"/>
      <c r="Q61" s="86"/>
      <c r="R61" s="87"/>
      <c r="S61" s="60" t="str">
        <f aca="true">IF($C61="","",IF($Q61="Cancelada","Cancelada",IF($Q61="Reprovado","Reprovada",IF($Q61="Aprovado","Aprovada",IF($M61&lt;&gt;"","Entregue",IF(TODAY()&gt;$C61,"Atrasada","Pendente"))))))</f>
        <v/>
      </c>
      <c r="T61" s="88"/>
      <c r="U61" s="88"/>
      <c r="V61" s="88"/>
    </row>
    <row r="62" customFormat="false" ht="15" hidden="false" customHeight="false" outlineLevel="0" collapsed="false">
      <c r="A62" s="80" t="str">
        <f aca="false">IF($C62="","",$X$2&amp;"-S"&amp;INT(($C62-WEEKDAY($C62,2)+11-DATE(YEAR($C62+4-WEEKDAY($C62,2)),1,1))/7)&amp;"-VIS-C")</f>
        <v/>
      </c>
      <c r="B62" s="81" t="str">
        <f aca="false">IF($C62="","","S"&amp;INT(($C62-WEEKDAY($C62,2)+11-DATE(YEAR($C62+4-WEEKDAY($C62,2)),1,1))/7))</f>
        <v/>
      </c>
      <c r="C62" s="82" t="str">
        <f aca="false">IF(MONTH(($X$1-WEEKDAY($X$1,3)+35)+2)=MONTH($X$1),($X$1-WEEKDAY($X$1,3)+35)+2,"")</f>
        <v/>
      </c>
      <c r="D62" s="9" t="str">
        <f aca="false">IF($C62="","","Vistoria Setorial (checklist no setor definido pelo gerente)")</f>
        <v/>
      </c>
      <c r="E62" s="9"/>
      <c r="F62" s="9"/>
      <c r="G62" s="81" t="str">
        <f aca="false">IF($C62="","","C")</f>
        <v/>
      </c>
      <c r="H62" s="81" t="str">
        <f aca="false">IF($C62="","",IF($G62="A",CONFIG!$B$5,IF($G62="B",CONFIG!$B$6,IF($G62="C",CONFIG!$B$7,"Gerência + coordenadores"))))</f>
        <v/>
      </c>
      <c r="I62" s="81"/>
      <c r="J62" s="86"/>
      <c r="K62" s="83" t="str">
        <f aca="false">IF($C62="","","—")</f>
        <v/>
      </c>
      <c r="L62" s="83" t="str">
        <f aca="false">IF($C62="","","—")</f>
        <v/>
      </c>
      <c r="M62" s="84"/>
      <c r="N62" s="84"/>
      <c r="O62" s="84"/>
      <c r="P62" s="85"/>
      <c r="Q62" s="86"/>
      <c r="R62" s="87"/>
      <c r="S62" s="81" t="str">
        <f aca="true">IF($C62="","",IF($Q62="Cancelada","Cancelada",IF($Q62="Reprovado","Reprovada",IF($Q62="Aprovado","Aprovada",IF($M62&lt;&gt;"","Entregue",IF(TODAY()&gt;$C62,"Atrasada","Pendente"))))))</f>
        <v/>
      </c>
      <c r="T62" s="88"/>
      <c r="U62" s="88"/>
      <c r="V62" s="88"/>
    </row>
    <row r="63" customFormat="false" ht="15" hidden="false" customHeight="false" outlineLevel="0" collapsed="false">
      <c r="A63" s="89" t="str">
        <f aca="false">IF($C63="","",$X$2&amp;"-S"&amp;INT(($C63-WEEKDAY($C63,2)+11-DATE(YEAR($C63+4-WEEKDAY($C63,2)),1,1))/7)&amp;"-RSC-A")</f>
        <v/>
      </c>
      <c r="B63" s="60" t="str">
        <f aca="false">IF($C63="","","S"&amp;INT(($C63-WEEKDAY($C63,2)+11-DATE(YEAR($C63+4-WEEKDAY($C63,2)),1,1))/7))</f>
        <v/>
      </c>
      <c r="C63" s="82" t="str">
        <f aca="false">IF(MONTH(($X$1-WEEKDAY($X$1,3)+35)+3)=MONTH($X$1),($X$1-WEEKDAY($X$1,3)+35)+3,"")</f>
        <v/>
      </c>
      <c r="D63" s="56" t="str">
        <f aca="false">IF($C63="","","Relatório Semanal Consolidado (erros + metas + faltas + supervisores)")</f>
        <v/>
      </c>
      <c r="E63" s="56"/>
      <c r="F63" s="56"/>
      <c r="G63" s="60" t="str">
        <f aca="false">IF($C63="","","A")</f>
        <v/>
      </c>
      <c r="H63" s="60" t="str">
        <f aca="false">IF($C63="","",IF($G63="A",CONFIG!$B$5,IF($G63="B",CONFIG!$B$6,IF($G63="C",CONFIG!$B$7,"Gerência + coordenadores"))))</f>
        <v/>
      </c>
      <c r="I63" s="60"/>
      <c r="J63" s="81" t="str">
        <f aca="false">IF($C63="","","—")</f>
        <v/>
      </c>
      <c r="K63" s="91" t="str">
        <f aca="false">IF($C63="","",SUMIFS(OCORRÊNCIAS!$E$6:$E$605,OCORRÊNCIAS!$B$6:$B$605,"Falta",OCORRÊNCIAS!$C$6:$C$605,$G63,OCORRÊNCIAS!$H$6:$H$605,$B63,OCORRÊNCIAS!$J$6:$J$605,YEAR($C63+4-WEEKDAY($C63,2))))</f>
        <v/>
      </c>
      <c r="L63" s="91" t="str">
        <f aca="false">IF($C63="","",SUMIFS(OCORRÊNCIAS!$E$6:$E$605,OCORRÊNCIAS!$B$6:$B$605,"Atestado",OCORRÊNCIAS!$C$6:$C$605,$G63,OCORRÊNCIAS!$H$6:$H$605,$B63,OCORRÊNCIAS!$J$6:$J$605,YEAR($C63+4-WEEKDAY($C63,2))))</f>
        <v/>
      </c>
      <c r="M63" s="84"/>
      <c r="N63" s="84"/>
      <c r="O63" s="84"/>
      <c r="P63" s="90"/>
      <c r="Q63" s="86"/>
      <c r="R63" s="87"/>
      <c r="S63" s="60" t="str">
        <f aca="true">IF($C63="","",IF($Q63="Cancelada","Cancelada",IF($Q63="Reprovado","Reprovada",IF($Q63="Aprovado","Aprovada",IF($M63&lt;&gt;"","Entregue",IF(TODAY()&gt;$C63,"Atrasada","Pendente"))))))</f>
        <v/>
      </c>
      <c r="T63" s="88"/>
      <c r="U63" s="88"/>
      <c r="V63" s="88"/>
    </row>
    <row r="64" customFormat="false" ht="15" hidden="false" customHeight="false" outlineLevel="0" collapsed="false">
      <c r="A64" s="80" t="str">
        <f aca="false">IF($C64="","",$X$2&amp;"-S"&amp;INT(($C64-WEEKDAY($C64,2)+11-DATE(YEAR($C64+4-WEEKDAY($C64,2)),1,1))/7)&amp;"-RSC-B")</f>
        <v/>
      </c>
      <c r="B64" s="81" t="str">
        <f aca="false">IF($C64="","","S"&amp;INT(($C64-WEEKDAY($C64,2)+11-DATE(YEAR($C64+4-WEEKDAY($C64,2)),1,1))/7))</f>
        <v/>
      </c>
      <c r="C64" s="82" t="str">
        <f aca="false">IF(MONTH(($X$1-WEEKDAY($X$1,3)+35)+3)=MONTH($X$1),($X$1-WEEKDAY($X$1,3)+35)+3,"")</f>
        <v/>
      </c>
      <c r="D64" s="9" t="str">
        <f aca="false">IF($C64="","","Relatório Semanal Consolidado (erros + metas + faltas + supervisores)")</f>
        <v/>
      </c>
      <c r="E64" s="9"/>
      <c r="F64" s="9"/>
      <c r="G64" s="81" t="str">
        <f aca="false">IF($C64="","","B")</f>
        <v/>
      </c>
      <c r="H64" s="81" t="str">
        <f aca="false">IF($C64="","",IF($G64="A",CONFIG!$B$5,IF($G64="B",CONFIG!$B$6,IF($G64="C",CONFIG!$B$7,"Gerência + coordenadores"))))</f>
        <v/>
      </c>
      <c r="I64" s="81"/>
      <c r="J64" s="81" t="str">
        <f aca="false">IF($C64="","","—")</f>
        <v/>
      </c>
      <c r="K64" s="91" t="str">
        <f aca="false">IF($C64="","",SUMIFS(OCORRÊNCIAS!$E$6:$E$605,OCORRÊNCIAS!$B$6:$B$605,"Falta",OCORRÊNCIAS!$C$6:$C$605,$G64,OCORRÊNCIAS!$H$6:$H$605,$B64,OCORRÊNCIAS!$J$6:$J$605,YEAR($C64+4-WEEKDAY($C64,2))))</f>
        <v/>
      </c>
      <c r="L64" s="91" t="str">
        <f aca="false">IF($C64="","",SUMIFS(OCORRÊNCIAS!$E$6:$E$605,OCORRÊNCIAS!$B$6:$B$605,"Atestado",OCORRÊNCIAS!$C$6:$C$605,$G64,OCORRÊNCIAS!$H$6:$H$605,$B64,OCORRÊNCIAS!$J$6:$J$605,YEAR($C64+4-WEEKDAY($C64,2))))</f>
        <v/>
      </c>
      <c r="M64" s="84"/>
      <c r="N64" s="84"/>
      <c r="O64" s="84"/>
      <c r="P64" s="85"/>
      <c r="Q64" s="86"/>
      <c r="R64" s="87"/>
      <c r="S64" s="81" t="str">
        <f aca="true">IF($C64="","",IF($Q64="Cancelada","Cancelada",IF($Q64="Reprovado","Reprovada",IF($Q64="Aprovado","Aprovada",IF($M64&lt;&gt;"","Entregue",IF(TODAY()&gt;$C64,"Atrasada","Pendente"))))))</f>
        <v/>
      </c>
      <c r="T64" s="88"/>
      <c r="U64" s="88"/>
      <c r="V64" s="88"/>
    </row>
    <row r="65" customFormat="false" ht="15" hidden="false" customHeight="false" outlineLevel="0" collapsed="false">
      <c r="A65" s="89" t="str">
        <f aca="false">IF($C65="","",$X$2&amp;"-S"&amp;INT(($C65-WEEKDAY($C65,2)+11-DATE(YEAR($C65+4-WEEKDAY($C65,2)),1,1))/7)&amp;"-RSC-C")</f>
        <v/>
      </c>
      <c r="B65" s="60" t="str">
        <f aca="false">IF($C65="","","S"&amp;INT(($C65-WEEKDAY($C65,2)+11-DATE(YEAR($C65+4-WEEKDAY($C65,2)),1,1))/7))</f>
        <v/>
      </c>
      <c r="C65" s="82" t="str">
        <f aca="false">IF(MONTH(($X$1-WEEKDAY($X$1,3)+35)+3)=MONTH($X$1),($X$1-WEEKDAY($X$1,3)+35)+3,"")</f>
        <v/>
      </c>
      <c r="D65" s="56" t="str">
        <f aca="false">IF($C65="","","Relatório Semanal Consolidado (erros + metas + faltas + supervisores)")</f>
        <v/>
      </c>
      <c r="E65" s="56"/>
      <c r="F65" s="56"/>
      <c r="G65" s="60" t="str">
        <f aca="false">IF($C65="","","C")</f>
        <v/>
      </c>
      <c r="H65" s="60" t="str">
        <f aca="false">IF($C65="","",IF($G65="A",CONFIG!$B$5,IF($G65="B",CONFIG!$B$6,IF($G65="C",CONFIG!$B$7,"Gerência + coordenadores"))))</f>
        <v/>
      </c>
      <c r="I65" s="60"/>
      <c r="J65" s="81" t="str">
        <f aca="false">IF($C65="","","—")</f>
        <v/>
      </c>
      <c r="K65" s="91" t="str">
        <f aca="false">IF($C65="","",SUMIFS(OCORRÊNCIAS!$E$6:$E$605,OCORRÊNCIAS!$B$6:$B$605,"Falta",OCORRÊNCIAS!$C$6:$C$605,$G65,OCORRÊNCIAS!$H$6:$H$605,$B65,OCORRÊNCIAS!$J$6:$J$605,YEAR($C65+4-WEEKDAY($C65,2))))</f>
        <v/>
      </c>
      <c r="L65" s="91" t="str">
        <f aca="false">IF($C65="","",SUMIFS(OCORRÊNCIAS!$E$6:$E$605,OCORRÊNCIAS!$B$6:$B$605,"Atestado",OCORRÊNCIAS!$C$6:$C$605,$G65,OCORRÊNCIAS!$H$6:$H$605,$B65,OCORRÊNCIAS!$J$6:$J$605,YEAR($C65+4-WEEKDAY($C65,2))))</f>
        <v/>
      </c>
      <c r="M65" s="84"/>
      <c r="N65" s="84"/>
      <c r="O65" s="84"/>
      <c r="P65" s="90"/>
      <c r="Q65" s="86"/>
      <c r="R65" s="87"/>
      <c r="S65" s="60" t="str">
        <f aca="true">IF($C65="","",IF($Q65="Cancelada","Cancelada",IF($Q65="Reprovado","Reprovada",IF($Q65="Aprovado","Aprovada",IF($M65&lt;&gt;"","Entregue",IF(TODAY()&gt;$C65,"Atrasada","Pendente"))))))</f>
        <v/>
      </c>
      <c r="T65" s="88"/>
      <c r="U65" s="88"/>
      <c r="V65" s="88"/>
    </row>
    <row r="66" customFormat="false" ht="15" hidden="false" customHeight="false" outlineLevel="0" collapsed="false">
      <c r="A66" s="80" t="str">
        <f aca="false">IF($C66="","",$X$2&amp;"-S"&amp;INT(($C66-WEEKDAY($C66,2)+11-DATE(YEAR($C66+4-WEEKDAY($C66,2)),1,1))/7)&amp;"-REU-T")</f>
        <v/>
      </c>
      <c r="B66" s="81" t="str">
        <f aca="false">IF($C66="","","S"&amp;INT(($C66-WEEKDAY($C66,2)+11-DATE(YEAR($C66+4-WEEKDAY($C66,2)),1,1))/7))</f>
        <v/>
      </c>
      <c r="C66" s="82" t="str">
        <f aca="false">IF(MONTH(($X$1-WEEKDAY($X$1,3)+35)+4)=MONTH($X$1),($X$1-WEEKDAY($X$1,3)+35)+4,"")</f>
        <v/>
      </c>
      <c r="D66" s="9" t="str">
        <f aca="false">IF($C66="","","Reunião Semanal com a Gerência")</f>
        <v/>
      </c>
      <c r="E66" s="9"/>
      <c r="F66" s="9"/>
      <c r="G66" s="81" t="str">
        <f aca="false">IF($C66="","","Todos")</f>
        <v/>
      </c>
      <c r="H66" s="81" t="str">
        <f aca="false">IF($C66="","",IF($G66="A",CONFIG!$B$5,IF($G66="B",CONFIG!$B$6,IF($G66="C",CONFIG!$B$7,"Gerência + coordenadores"))))</f>
        <v/>
      </c>
      <c r="I66" s="81"/>
      <c r="J66" s="81" t="str">
        <f aca="false">IF($C66="","","—")</f>
        <v/>
      </c>
      <c r="K66" s="83" t="str">
        <f aca="false">IF($C66="","","—")</f>
        <v/>
      </c>
      <c r="L66" s="83" t="str">
        <f aca="false">IF($C66="","","—")</f>
        <v/>
      </c>
      <c r="M66" s="84"/>
      <c r="N66" s="84"/>
      <c r="O66" s="84"/>
      <c r="P66" s="85"/>
      <c r="Q66" s="86"/>
      <c r="R66" s="87"/>
      <c r="S66" s="81" t="str">
        <f aca="true">IF($C66="","",IF($Q66="Cancelada","Cancelada",IF($Q66="Reprovado","Reprovada",IF($Q66="Aprovado","Aprovada",IF($M66&lt;&gt;"","Entregue",IF(TODAY()&gt;$C66,"Atrasada","Pendente"))))))</f>
        <v/>
      </c>
      <c r="T66" s="88"/>
      <c r="U66" s="88"/>
      <c r="V66" s="88"/>
    </row>
    <row r="67" customFormat="false" ht="22.35" hidden="false" customHeight="false" outlineLevel="0" collapsed="false">
      <c r="A67" s="89" t="str">
        <f aca="false">IF($C67="","",$X$2&amp;"-S"&amp;INT(($C67-WEEKDAY($C67,2)+11-DATE(YEAR($C67+4-WEEKDAY($C67,2)),1,1))/7)&amp;"-MDF-T")</f>
        <v>OUT-S44-MDF-T</v>
      </c>
      <c r="B67" s="60" t="str">
        <f aca="false">IF($C67="","","S"&amp;INT(($C67-WEEKDAY($C67,2)+11-DATE(YEAR($C67+4-WEEKDAY($C67,2)),1,1))/7))</f>
        <v>S44</v>
      </c>
      <c r="C67" s="82" t="n">
        <f aca="false">EOMONTH($X$1,0)-MOD(WEEKDAY(EOMONTH($X$1,0),2)-5,7)</f>
        <v>46325</v>
      </c>
      <c r="D67" s="56" t="str">
        <f aca="false">IF($C67="","","Mudança de Função — reunião mensal")</f>
        <v>Mudança de Função — reunião mensal</v>
      </c>
      <c r="E67" s="56"/>
      <c r="F67" s="56"/>
      <c r="G67" s="60" t="str">
        <f aca="false">IF($C67="","","Todos")</f>
        <v>Todos</v>
      </c>
      <c r="H67" s="60" t="str">
        <f aca="false">IF($C67="","",IF($G67="A",CONFIG!$B$5,IF($G67="B",CONFIG!$B$6,IF($G67="C",CONFIG!$B$7,"Gerência + coordenadores"))))</f>
        <v>Gerência + coordenadores</v>
      </c>
      <c r="I67" s="60"/>
      <c r="J67" s="81" t="str">
        <f aca="false">IF($C67="","","—")</f>
        <v>—</v>
      </c>
      <c r="K67" s="83" t="str">
        <f aca="false">IF($C67="","","—")</f>
        <v>—</v>
      </c>
      <c r="L67" s="83" t="str">
        <f aca="false">IF($C67="","","—")</f>
        <v>—</v>
      </c>
      <c r="M67" s="84"/>
      <c r="N67" s="84"/>
      <c r="O67" s="84"/>
      <c r="P67" s="90"/>
      <c r="Q67" s="86"/>
      <c r="R67" s="87"/>
      <c r="S67" s="60" t="str">
        <f aca="true">IF($C67="","",IF($Q67="Cancelada","Cancelada",IF($Q67="Reprovado","Reprovada",IF($Q67="Aprovado","Aprovada",IF($M67&lt;&gt;"","Entregue",IF(TODAY()&gt;$C67,"Atrasada","Pendente"))))))</f>
        <v>Pendente</v>
      </c>
      <c r="T67" s="88"/>
      <c r="U67" s="88"/>
      <c r="V67" s="88"/>
    </row>
    <row r="69" customFormat="false" ht="15" hidden="false" customHeight="true" outlineLevel="0" collapsed="false">
      <c r="A69" s="92" t="s">
        <v>229</v>
      </c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customFormat="false" ht="22.35" hidden="false" customHeight="true" outlineLevel="0" collapsed="false">
      <c r="A70" s="80" t="str">
        <f aca="false">$X$2&amp;"-TRE-1"</f>
        <v>OUT-TRE-1</v>
      </c>
      <c r="B70" s="31" t="str">
        <f aca="false">IF($C70="","","S"&amp;INT(($C70-WEEKDAY($C70,2)+11-DATE(YEAR($C70+4-WEEKDAY($C70,2)),1,1))/7))</f>
        <v/>
      </c>
      <c r="C70" s="82"/>
      <c r="D70" s="87" t="s">
        <v>230</v>
      </c>
      <c r="E70" s="87"/>
      <c r="F70" s="87"/>
      <c r="G70" s="31" t="s">
        <v>231</v>
      </c>
      <c r="H70" s="81" t="s">
        <v>232</v>
      </c>
      <c r="I70" s="81"/>
      <c r="J70" s="31" t="s">
        <v>233</v>
      </c>
      <c r="K70" s="83" t="s">
        <v>233</v>
      </c>
      <c r="L70" s="83" t="s">
        <v>233</v>
      </c>
      <c r="M70" s="84"/>
      <c r="N70" s="84"/>
      <c r="O70" s="84"/>
      <c r="P70" s="85"/>
      <c r="Q70" s="86"/>
      <c r="R70" s="87"/>
      <c r="S70" s="81" t="str">
        <f aca="true">IF($C70="","Não agendado",IF($Q70="Cancelada","Cancelada",IF($Q70="Reprovado","Reprovada",IF($Q70="Aprovado","Aprovada",IF($M70&lt;&gt;"","Entregue",IF(TODAY()&gt;$C70,"Atrasada","Pendente"))))))</f>
        <v>Não agendado</v>
      </c>
      <c r="T70" s="88"/>
      <c r="U70" s="88"/>
      <c r="V70" s="88"/>
    </row>
    <row r="71" customFormat="false" ht="22.35" hidden="false" customHeight="true" outlineLevel="0" collapsed="false">
      <c r="A71" s="80" t="str">
        <f aca="false">$X$2&amp;"-TRE-2"</f>
        <v>OUT-TRE-2</v>
      </c>
      <c r="B71" s="31" t="str">
        <f aca="false">IF($C71="","","S"&amp;INT(($C71-WEEKDAY($C71,2)+11-DATE(YEAR($C71+4-WEEKDAY($C71,2)),1,1))/7))</f>
        <v/>
      </c>
      <c r="C71" s="82"/>
      <c r="D71" s="87" t="s">
        <v>230</v>
      </c>
      <c r="E71" s="87"/>
      <c r="F71" s="87"/>
      <c r="G71" s="31" t="s">
        <v>231</v>
      </c>
      <c r="H71" s="81" t="s">
        <v>232</v>
      </c>
      <c r="I71" s="81"/>
      <c r="J71" s="31" t="s">
        <v>233</v>
      </c>
      <c r="K71" s="83" t="s">
        <v>233</v>
      </c>
      <c r="L71" s="83" t="s">
        <v>233</v>
      </c>
      <c r="M71" s="84"/>
      <c r="N71" s="84"/>
      <c r="O71" s="84"/>
      <c r="P71" s="85"/>
      <c r="Q71" s="86"/>
      <c r="R71" s="87"/>
      <c r="S71" s="81" t="str">
        <f aca="true">IF($C71="","Não agendado",IF($Q71="Cancelada","Cancelada",IF($Q71="Reprovado","Reprovada",IF($Q71="Aprovado","Aprovada",IF($M71&lt;&gt;"","Entregue",IF(TODAY()&gt;$C71,"Atrasada","Pendente"))))))</f>
        <v>Não agendado</v>
      </c>
      <c r="T71" s="88"/>
      <c r="U71" s="88"/>
      <c r="V71" s="88"/>
    </row>
    <row r="72" customFormat="false" ht="22.35" hidden="false" customHeight="true" outlineLevel="0" collapsed="false">
      <c r="A72" s="80" t="str">
        <f aca="false">$X$2&amp;"-TRE-3"</f>
        <v>OUT-TRE-3</v>
      </c>
      <c r="B72" s="31" t="str">
        <f aca="false">IF($C72="","","S"&amp;INT(($C72-WEEKDAY($C72,2)+11-DATE(YEAR($C72+4-WEEKDAY($C72,2)),1,1))/7))</f>
        <v/>
      </c>
      <c r="C72" s="82"/>
      <c r="D72" s="87" t="s">
        <v>230</v>
      </c>
      <c r="E72" s="87"/>
      <c r="F72" s="87"/>
      <c r="G72" s="31" t="s">
        <v>231</v>
      </c>
      <c r="H72" s="81" t="s">
        <v>232</v>
      </c>
      <c r="I72" s="81"/>
      <c r="J72" s="31" t="s">
        <v>233</v>
      </c>
      <c r="K72" s="83" t="s">
        <v>233</v>
      </c>
      <c r="L72" s="83" t="s">
        <v>233</v>
      </c>
      <c r="M72" s="84"/>
      <c r="N72" s="84"/>
      <c r="O72" s="84"/>
      <c r="P72" s="85"/>
      <c r="Q72" s="86"/>
      <c r="R72" s="87"/>
      <c r="S72" s="81" t="str">
        <f aca="true">IF($C72="","Não agendado",IF($Q72="Cancelada","Cancelada",IF($Q72="Reprovado","Reprovada",IF($Q72="Aprovado","Aprovada",IF($M72&lt;&gt;"","Entregue",IF(TODAY()&gt;$C72,"Atrasada","Pendente"))))))</f>
        <v>Não agendado</v>
      </c>
      <c r="T72" s="88"/>
      <c r="U72" s="88"/>
      <c r="V72" s="88"/>
    </row>
    <row r="73" customFormat="false" ht="22.35" hidden="false" customHeight="true" outlineLevel="0" collapsed="false">
      <c r="A73" s="80" t="str">
        <f aca="false">$X$2&amp;"-TRE-4"</f>
        <v>OUT-TRE-4</v>
      </c>
      <c r="B73" s="31" t="str">
        <f aca="false">IF($C73="","","S"&amp;INT(($C73-WEEKDAY($C73,2)+11-DATE(YEAR($C73+4-WEEKDAY($C73,2)),1,1))/7))</f>
        <v/>
      </c>
      <c r="C73" s="82"/>
      <c r="D73" s="87" t="s">
        <v>230</v>
      </c>
      <c r="E73" s="87"/>
      <c r="F73" s="87"/>
      <c r="G73" s="31" t="s">
        <v>231</v>
      </c>
      <c r="H73" s="81" t="s">
        <v>232</v>
      </c>
      <c r="I73" s="81"/>
      <c r="J73" s="31" t="s">
        <v>233</v>
      </c>
      <c r="K73" s="83" t="s">
        <v>233</v>
      </c>
      <c r="L73" s="83" t="s">
        <v>233</v>
      </c>
      <c r="M73" s="84"/>
      <c r="N73" s="84"/>
      <c r="O73" s="84"/>
      <c r="P73" s="85"/>
      <c r="Q73" s="86"/>
      <c r="R73" s="87"/>
      <c r="S73" s="81" t="str">
        <f aca="true">IF($C73="","Não agendado",IF($Q73="Cancelada","Cancelada",IF($Q73="Reprovado","Reprovada",IF($Q73="Aprovado","Aprovada",IF($M73&lt;&gt;"","Entregue",IF(TODAY()&gt;$C73,"Atrasada","Pendente"))))))</f>
        <v>Não agendado</v>
      </c>
      <c r="T73" s="88"/>
      <c r="U73" s="88"/>
      <c r="V73" s="88"/>
    </row>
    <row r="74" customFormat="false" ht="22.35" hidden="false" customHeight="true" outlineLevel="0" collapsed="false">
      <c r="A74" s="80" t="str">
        <f aca="false">$X$2&amp;"-TRE-5"</f>
        <v>OUT-TRE-5</v>
      </c>
      <c r="B74" s="31" t="str">
        <f aca="false">IF($C74="","","S"&amp;INT(($C74-WEEKDAY($C74,2)+11-DATE(YEAR($C74+4-WEEKDAY($C74,2)),1,1))/7))</f>
        <v/>
      </c>
      <c r="C74" s="82"/>
      <c r="D74" s="87" t="s">
        <v>230</v>
      </c>
      <c r="E74" s="87"/>
      <c r="F74" s="87"/>
      <c r="G74" s="31" t="s">
        <v>231</v>
      </c>
      <c r="H74" s="81" t="s">
        <v>232</v>
      </c>
      <c r="I74" s="81"/>
      <c r="J74" s="31" t="s">
        <v>233</v>
      </c>
      <c r="K74" s="83" t="s">
        <v>233</v>
      </c>
      <c r="L74" s="83" t="s">
        <v>233</v>
      </c>
      <c r="M74" s="84"/>
      <c r="N74" s="84"/>
      <c r="O74" s="84"/>
      <c r="P74" s="85"/>
      <c r="Q74" s="86"/>
      <c r="R74" s="87"/>
      <c r="S74" s="81" t="str">
        <f aca="true">IF($C74="","Não agendado",IF($Q74="Cancelada","Cancelada",IF($Q74="Reprovado","Reprovada",IF($Q74="Aprovado","Aprovada",IF($M74&lt;&gt;"","Entregue",IF(TODAY()&gt;$C74,"Atrasada","Pendente"))))))</f>
        <v>Não agendado</v>
      </c>
      <c r="T74" s="88"/>
      <c r="U74" s="88"/>
      <c r="V74" s="88"/>
    </row>
    <row r="75" customFormat="false" ht="22.35" hidden="false" customHeight="true" outlineLevel="0" collapsed="false">
      <c r="A75" s="80" t="str">
        <f aca="false">$X$2&amp;"-TRE-6"</f>
        <v>OUT-TRE-6</v>
      </c>
      <c r="B75" s="31" t="str">
        <f aca="false">IF($C75="","","S"&amp;INT(($C75-WEEKDAY($C75,2)+11-DATE(YEAR($C75+4-WEEKDAY($C75,2)),1,1))/7))</f>
        <v/>
      </c>
      <c r="C75" s="82"/>
      <c r="D75" s="87" t="s">
        <v>230</v>
      </c>
      <c r="E75" s="87"/>
      <c r="F75" s="87"/>
      <c r="G75" s="31" t="s">
        <v>231</v>
      </c>
      <c r="H75" s="81" t="s">
        <v>232</v>
      </c>
      <c r="I75" s="81"/>
      <c r="J75" s="31" t="s">
        <v>233</v>
      </c>
      <c r="K75" s="83" t="s">
        <v>233</v>
      </c>
      <c r="L75" s="83" t="s">
        <v>233</v>
      </c>
      <c r="M75" s="84"/>
      <c r="N75" s="84"/>
      <c r="O75" s="84"/>
      <c r="P75" s="85"/>
      <c r="Q75" s="86"/>
      <c r="R75" s="87"/>
      <c r="S75" s="81" t="str">
        <f aca="true">IF($C75="","Não agendado",IF($Q75="Cancelada","Cancelada",IF($Q75="Reprovado","Reprovada",IF($Q75="Aprovado","Aprovada",IF($M75&lt;&gt;"","Entregue",IF(TODAY()&gt;$C75,"Atrasada","Pendente"))))))</f>
        <v>Não agendado</v>
      </c>
      <c r="T75" s="88"/>
      <c r="U75" s="88"/>
      <c r="V75" s="88"/>
    </row>
    <row r="77" customFormat="false" ht="15" hidden="false" customHeight="true" outlineLevel="0" collapsed="false">
      <c r="A77" s="46" t="s">
        <v>234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</row>
  </sheetData>
  <mergeCells count="256">
    <mergeCell ref="A1:S1"/>
    <mergeCell ref="A3:O3"/>
    <mergeCell ref="B5:C5"/>
    <mergeCell ref="D5:E5"/>
    <mergeCell ref="F5:G5"/>
    <mergeCell ref="H5:I5"/>
    <mergeCell ref="J5:K5"/>
    <mergeCell ref="L5:M5"/>
    <mergeCell ref="N5:O5"/>
    <mergeCell ref="B6:C6"/>
    <mergeCell ref="D6:E6"/>
    <mergeCell ref="F6:G6"/>
    <mergeCell ref="H6:I6"/>
    <mergeCell ref="J6:K6"/>
    <mergeCell ref="L6:M6"/>
    <mergeCell ref="N6:O6"/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O18"/>
    <mergeCell ref="A20:V20"/>
    <mergeCell ref="D21:F21"/>
    <mergeCell ref="H21:I21"/>
    <mergeCell ref="M21:O21"/>
    <mergeCell ref="D22:F22"/>
    <mergeCell ref="H22:I22"/>
    <mergeCell ref="M22:O22"/>
    <mergeCell ref="D23:F23"/>
    <mergeCell ref="H23:I23"/>
    <mergeCell ref="M23:O23"/>
    <mergeCell ref="D24:F24"/>
    <mergeCell ref="H24:I24"/>
    <mergeCell ref="M24:O24"/>
    <mergeCell ref="D25:F25"/>
    <mergeCell ref="H25:I25"/>
    <mergeCell ref="M25:O25"/>
    <mergeCell ref="D26:F26"/>
    <mergeCell ref="H26:I26"/>
    <mergeCell ref="M26:O26"/>
    <mergeCell ref="D27:F27"/>
    <mergeCell ref="H27:I27"/>
    <mergeCell ref="M27:O27"/>
    <mergeCell ref="D28:F28"/>
    <mergeCell ref="H28:I28"/>
    <mergeCell ref="M28:O28"/>
    <mergeCell ref="D29:F29"/>
    <mergeCell ref="H29:I29"/>
    <mergeCell ref="M29:O29"/>
    <mergeCell ref="D30:F30"/>
    <mergeCell ref="H30:I30"/>
    <mergeCell ref="M30:O30"/>
    <mergeCell ref="D31:F31"/>
    <mergeCell ref="H31:I31"/>
    <mergeCell ref="M31:O31"/>
    <mergeCell ref="D32:F32"/>
    <mergeCell ref="H32:I32"/>
    <mergeCell ref="M32:O32"/>
    <mergeCell ref="D33:F33"/>
    <mergeCell ref="H33:I33"/>
    <mergeCell ref="M33:O33"/>
    <mergeCell ref="D34:F34"/>
    <mergeCell ref="H34:I34"/>
    <mergeCell ref="M34:O34"/>
    <mergeCell ref="D35:F35"/>
    <mergeCell ref="H35:I35"/>
    <mergeCell ref="M35:O35"/>
    <mergeCell ref="D36:F36"/>
    <mergeCell ref="H36:I36"/>
    <mergeCell ref="M36:O36"/>
    <mergeCell ref="D37:F37"/>
    <mergeCell ref="H37:I37"/>
    <mergeCell ref="M37:O37"/>
    <mergeCell ref="D38:F38"/>
    <mergeCell ref="H38:I38"/>
    <mergeCell ref="M38:O38"/>
    <mergeCell ref="D39:F39"/>
    <mergeCell ref="H39:I39"/>
    <mergeCell ref="M39:O39"/>
    <mergeCell ref="D40:F40"/>
    <mergeCell ref="H40:I40"/>
    <mergeCell ref="M40:O40"/>
    <mergeCell ref="D41:F41"/>
    <mergeCell ref="H41:I41"/>
    <mergeCell ref="M41:O41"/>
    <mergeCell ref="D42:F42"/>
    <mergeCell ref="H42:I42"/>
    <mergeCell ref="M42:O42"/>
    <mergeCell ref="D43:F43"/>
    <mergeCell ref="H43:I43"/>
    <mergeCell ref="M43:O43"/>
    <mergeCell ref="D44:F44"/>
    <mergeCell ref="H44:I44"/>
    <mergeCell ref="M44:O44"/>
    <mergeCell ref="D45:F45"/>
    <mergeCell ref="H45:I45"/>
    <mergeCell ref="M45:O45"/>
    <mergeCell ref="D46:F46"/>
    <mergeCell ref="H46:I46"/>
    <mergeCell ref="M46:O46"/>
    <mergeCell ref="D47:F47"/>
    <mergeCell ref="H47:I47"/>
    <mergeCell ref="M47:O47"/>
    <mergeCell ref="D48:F48"/>
    <mergeCell ref="H48:I48"/>
    <mergeCell ref="M48:O48"/>
    <mergeCell ref="D49:F49"/>
    <mergeCell ref="H49:I49"/>
    <mergeCell ref="M49:O49"/>
    <mergeCell ref="D50:F50"/>
    <mergeCell ref="H50:I50"/>
    <mergeCell ref="M50:O50"/>
    <mergeCell ref="D51:F51"/>
    <mergeCell ref="H51:I51"/>
    <mergeCell ref="M51:O51"/>
    <mergeCell ref="D52:F52"/>
    <mergeCell ref="H52:I52"/>
    <mergeCell ref="M52:O52"/>
    <mergeCell ref="D53:F53"/>
    <mergeCell ref="H53:I53"/>
    <mergeCell ref="M53:O53"/>
    <mergeCell ref="D54:F54"/>
    <mergeCell ref="H54:I54"/>
    <mergeCell ref="M54:O54"/>
    <mergeCell ref="D55:F55"/>
    <mergeCell ref="H55:I55"/>
    <mergeCell ref="M55:O55"/>
    <mergeCell ref="D56:F56"/>
    <mergeCell ref="H56:I56"/>
    <mergeCell ref="M56:O56"/>
    <mergeCell ref="D57:F57"/>
    <mergeCell ref="H57:I57"/>
    <mergeCell ref="M57:O57"/>
    <mergeCell ref="D58:F58"/>
    <mergeCell ref="H58:I58"/>
    <mergeCell ref="M58:O58"/>
    <mergeCell ref="D59:F59"/>
    <mergeCell ref="H59:I59"/>
    <mergeCell ref="M59:O59"/>
    <mergeCell ref="D60:F60"/>
    <mergeCell ref="H60:I60"/>
    <mergeCell ref="M60:O60"/>
    <mergeCell ref="D61:F61"/>
    <mergeCell ref="H61:I61"/>
    <mergeCell ref="M61:O61"/>
    <mergeCell ref="D62:F62"/>
    <mergeCell ref="H62:I62"/>
    <mergeCell ref="M62:O62"/>
    <mergeCell ref="D63:F63"/>
    <mergeCell ref="H63:I63"/>
    <mergeCell ref="M63:O63"/>
    <mergeCell ref="D64:F64"/>
    <mergeCell ref="H64:I64"/>
    <mergeCell ref="M64:O64"/>
    <mergeCell ref="D65:F65"/>
    <mergeCell ref="H65:I65"/>
    <mergeCell ref="M65:O65"/>
    <mergeCell ref="D66:F66"/>
    <mergeCell ref="H66:I66"/>
    <mergeCell ref="M66:O66"/>
    <mergeCell ref="D67:F67"/>
    <mergeCell ref="H67:I67"/>
    <mergeCell ref="M67:O67"/>
    <mergeCell ref="A69:V69"/>
    <mergeCell ref="D70:F70"/>
    <mergeCell ref="H70:I70"/>
    <mergeCell ref="M70:O70"/>
    <mergeCell ref="D71:F71"/>
    <mergeCell ref="H71:I71"/>
    <mergeCell ref="M71:O71"/>
    <mergeCell ref="D72:F72"/>
    <mergeCell ref="H72:I72"/>
    <mergeCell ref="M72:O72"/>
    <mergeCell ref="D73:F73"/>
    <mergeCell ref="H73:I73"/>
    <mergeCell ref="M73:O73"/>
    <mergeCell ref="D74:F74"/>
    <mergeCell ref="H74:I74"/>
    <mergeCell ref="M74:O74"/>
    <mergeCell ref="D75:F75"/>
    <mergeCell ref="H75:I75"/>
    <mergeCell ref="M75:O75"/>
    <mergeCell ref="A77:V77"/>
  </mergeCells>
  <conditionalFormatting sqref="A3">
    <cfRule type="expression" priority="2" aboveAverage="0" equalAverage="0" bottom="0" percent="0" rank="0" text="" dxfId="11">
      <formula>LEFT($A$3,3)="MÊS"</formula>
    </cfRule>
  </conditionalFormatting>
  <conditionalFormatting sqref="B6:C7">
    <cfRule type="expression" priority="3" aboveAverage="0" equalAverage="0" bottom="0" percent="0" rank="0" text="" dxfId="12">
      <formula>AND(B6&lt;&gt;"",B6=TODAY())</formula>
    </cfRule>
    <cfRule type="expression" priority="4" aboveAverage="0" equalAverage="0" bottom="0" percent="0" rank="0" text="" dxfId="13">
      <formula>AND(B6&lt;&gt;"",COUNTIFS($C$22:$C$150,B6,$S$22:$S$150,"Atrasada")&gt;0)</formula>
    </cfRule>
    <cfRule type="expression" priority="5" aboveAverage="0" equalAverage="0" bottom="0" percent="0" rank="0" text="" dxfId="14">
      <formula>AND(B6&lt;&gt;"",COUNTIFS($C$22:$C$150,B6,$Q$22:$Q$150,"&lt;&gt;Cancelada")&gt;0)</formula>
    </cfRule>
  </conditionalFormatting>
  <conditionalFormatting sqref="D6:E7">
    <cfRule type="expression" priority="6" aboveAverage="0" equalAverage="0" bottom="0" percent="0" rank="0" text="" dxfId="12">
      <formula>AND(D6&lt;&gt;"",D6=TODAY())</formula>
    </cfRule>
    <cfRule type="expression" priority="7" aboveAverage="0" equalAverage="0" bottom="0" percent="0" rank="0" text="" dxfId="13">
      <formula>AND(D6&lt;&gt;"",COUNTIFS($C$22:$C$150,D6,$S$22:$S$150,"Atrasada")&gt;0)</formula>
    </cfRule>
    <cfRule type="expression" priority="8" aboveAverage="0" equalAverage="0" bottom="0" percent="0" rank="0" text="" dxfId="14">
      <formula>AND(D6&lt;&gt;"",COUNTIFS($C$22:$C$150,D6,$Q$22:$Q$150,"&lt;&gt;Cancelada")&gt;0)</formula>
    </cfRule>
  </conditionalFormatting>
  <conditionalFormatting sqref="F6:G7">
    <cfRule type="expression" priority="9" aboveAverage="0" equalAverage="0" bottom="0" percent="0" rank="0" text="" dxfId="12">
      <formula>AND(F6&lt;&gt;"",F6=TODAY())</formula>
    </cfRule>
    <cfRule type="expression" priority="10" aboveAverage="0" equalAverage="0" bottom="0" percent="0" rank="0" text="" dxfId="13">
      <formula>AND(F6&lt;&gt;"",COUNTIFS($C$22:$C$150,F6,$S$22:$S$150,"Atrasada")&gt;0)</formula>
    </cfRule>
    <cfRule type="expression" priority="11" aboveAverage="0" equalAverage="0" bottom="0" percent="0" rank="0" text="" dxfId="14">
      <formula>AND(F6&lt;&gt;"",COUNTIFS($C$22:$C$150,F6,$Q$22:$Q$150,"&lt;&gt;Cancelada")&gt;0)</formula>
    </cfRule>
  </conditionalFormatting>
  <conditionalFormatting sqref="H6:I7">
    <cfRule type="expression" priority="12" aboveAverage="0" equalAverage="0" bottom="0" percent="0" rank="0" text="" dxfId="12">
      <formula>AND(H6&lt;&gt;"",H6=TODAY())</formula>
    </cfRule>
    <cfRule type="expression" priority="13" aboveAverage="0" equalAverage="0" bottom="0" percent="0" rank="0" text="" dxfId="13">
      <formula>AND(H6&lt;&gt;"",COUNTIFS($C$22:$C$150,H6,$S$22:$S$150,"Atrasada")&gt;0)</formula>
    </cfRule>
    <cfRule type="expression" priority="14" aboveAverage="0" equalAverage="0" bottom="0" percent="0" rank="0" text="" dxfId="14">
      <formula>AND(H6&lt;&gt;"",COUNTIFS($C$22:$C$150,H6,$Q$22:$Q$150,"&lt;&gt;Cancelada")&gt;0)</formula>
    </cfRule>
  </conditionalFormatting>
  <conditionalFormatting sqref="J6:K7">
    <cfRule type="expression" priority="15" aboveAverage="0" equalAverage="0" bottom="0" percent="0" rank="0" text="" dxfId="12">
      <formula>AND(J6&lt;&gt;"",J6=TODAY())</formula>
    </cfRule>
    <cfRule type="expression" priority="16" aboveAverage="0" equalAverage="0" bottom="0" percent="0" rank="0" text="" dxfId="13">
      <formula>AND(J6&lt;&gt;"",COUNTIFS($C$22:$C$150,J6,$S$22:$S$150,"Atrasada")&gt;0)</formula>
    </cfRule>
    <cfRule type="expression" priority="17" aboveAverage="0" equalAverage="0" bottom="0" percent="0" rank="0" text="" dxfId="14">
      <formula>AND(J6&lt;&gt;"",COUNTIFS($C$22:$C$150,J6,$Q$22:$Q$150,"&lt;&gt;Cancelada")&gt;0)</formula>
    </cfRule>
  </conditionalFormatting>
  <conditionalFormatting sqref="L6:M7">
    <cfRule type="expression" priority="18" aboveAverage="0" equalAverage="0" bottom="0" percent="0" rank="0" text="" dxfId="12">
      <formula>AND(L6&lt;&gt;"",L6=TODAY())</formula>
    </cfRule>
    <cfRule type="expression" priority="19" aboveAverage="0" equalAverage="0" bottom="0" percent="0" rank="0" text="" dxfId="13">
      <formula>AND(L6&lt;&gt;"",COUNTIFS($C$22:$C$150,L6,$S$22:$S$150,"Atrasada")&gt;0)</formula>
    </cfRule>
    <cfRule type="expression" priority="20" aboveAverage="0" equalAverage="0" bottom="0" percent="0" rank="0" text="" dxfId="14">
      <formula>AND(L6&lt;&gt;"",COUNTIFS($C$22:$C$150,L6,$Q$22:$Q$150,"&lt;&gt;Cancelada")&gt;0)</formula>
    </cfRule>
  </conditionalFormatting>
  <conditionalFormatting sqref="N6:O7">
    <cfRule type="expression" priority="21" aboveAverage="0" equalAverage="0" bottom="0" percent="0" rank="0" text="" dxfId="12">
      <formula>AND(N6&lt;&gt;"",N6=TODAY())</formula>
    </cfRule>
    <cfRule type="expression" priority="22" aboveAverage="0" equalAverage="0" bottom="0" percent="0" rank="0" text="" dxfId="13">
      <formula>AND(N6&lt;&gt;"",COUNTIFS($C$22:$C$150,N6,$S$22:$S$150,"Atrasada")&gt;0)</formula>
    </cfRule>
    <cfRule type="expression" priority="23" aboveAverage="0" equalAverage="0" bottom="0" percent="0" rank="0" text="" dxfId="14">
      <formula>AND(N6&lt;&gt;"",COUNTIFS($C$22:$C$150,N6,$Q$22:$Q$150,"&lt;&gt;Cancelada")&gt;0)</formula>
    </cfRule>
  </conditionalFormatting>
  <conditionalFormatting sqref="B8:C9">
    <cfRule type="expression" priority="24" aboveAverage="0" equalAverage="0" bottom="0" percent="0" rank="0" text="" dxfId="12">
      <formula>AND(B8&lt;&gt;"",B8=TODAY())</formula>
    </cfRule>
    <cfRule type="expression" priority="25" aboveAverage="0" equalAverage="0" bottom="0" percent="0" rank="0" text="" dxfId="13">
      <formula>AND(B8&lt;&gt;"",COUNTIFS($C$22:$C$150,B8,$S$22:$S$150,"Atrasada")&gt;0)</formula>
    </cfRule>
    <cfRule type="expression" priority="26" aboveAverage="0" equalAverage="0" bottom="0" percent="0" rank="0" text="" dxfId="14">
      <formula>AND(B8&lt;&gt;"",COUNTIFS($C$22:$C$150,B8,$Q$22:$Q$150,"&lt;&gt;Cancelada")&gt;0)</formula>
    </cfRule>
  </conditionalFormatting>
  <conditionalFormatting sqref="D8:E9">
    <cfRule type="expression" priority="27" aboveAverage="0" equalAverage="0" bottom="0" percent="0" rank="0" text="" dxfId="12">
      <formula>AND(D8&lt;&gt;"",D8=TODAY())</formula>
    </cfRule>
    <cfRule type="expression" priority="28" aboveAverage="0" equalAverage="0" bottom="0" percent="0" rank="0" text="" dxfId="13">
      <formula>AND(D8&lt;&gt;"",COUNTIFS($C$22:$C$150,D8,$S$22:$S$150,"Atrasada")&gt;0)</formula>
    </cfRule>
    <cfRule type="expression" priority="29" aboveAverage="0" equalAverage="0" bottom="0" percent="0" rank="0" text="" dxfId="14">
      <formula>AND(D8&lt;&gt;"",COUNTIFS($C$22:$C$150,D8,$Q$22:$Q$150,"&lt;&gt;Cancelada")&gt;0)</formula>
    </cfRule>
  </conditionalFormatting>
  <conditionalFormatting sqref="F8:G9">
    <cfRule type="expression" priority="30" aboveAverage="0" equalAverage="0" bottom="0" percent="0" rank="0" text="" dxfId="12">
      <formula>AND(F8&lt;&gt;"",F8=TODAY())</formula>
    </cfRule>
    <cfRule type="expression" priority="31" aboveAverage="0" equalAverage="0" bottom="0" percent="0" rank="0" text="" dxfId="13">
      <formula>AND(F8&lt;&gt;"",COUNTIFS($C$22:$C$150,F8,$S$22:$S$150,"Atrasada")&gt;0)</formula>
    </cfRule>
    <cfRule type="expression" priority="32" aboveAverage="0" equalAverage="0" bottom="0" percent="0" rank="0" text="" dxfId="14">
      <formula>AND(F8&lt;&gt;"",COUNTIFS($C$22:$C$150,F8,$Q$22:$Q$150,"&lt;&gt;Cancelada")&gt;0)</formula>
    </cfRule>
  </conditionalFormatting>
  <conditionalFormatting sqref="H8:I9">
    <cfRule type="expression" priority="33" aboveAverage="0" equalAverage="0" bottom="0" percent="0" rank="0" text="" dxfId="12">
      <formula>AND(H8&lt;&gt;"",H8=TODAY())</formula>
    </cfRule>
    <cfRule type="expression" priority="34" aboveAverage="0" equalAverage="0" bottom="0" percent="0" rank="0" text="" dxfId="13">
      <formula>AND(H8&lt;&gt;"",COUNTIFS($C$22:$C$150,H8,$S$22:$S$150,"Atrasada")&gt;0)</formula>
    </cfRule>
    <cfRule type="expression" priority="35" aboveAverage="0" equalAverage="0" bottom="0" percent="0" rank="0" text="" dxfId="14">
      <formula>AND(H8&lt;&gt;"",COUNTIFS($C$22:$C$150,H8,$Q$22:$Q$150,"&lt;&gt;Cancelada")&gt;0)</formula>
    </cfRule>
  </conditionalFormatting>
  <conditionalFormatting sqref="J8:K9">
    <cfRule type="expression" priority="36" aboveAverage="0" equalAverage="0" bottom="0" percent="0" rank="0" text="" dxfId="12">
      <formula>AND(J8&lt;&gt;"",J8=TODAY())</formula>
    </cfRule>
    <cfRule type="expression" priority="37" aboveAverage="0" equalAverage="0" bottom="0" percent="0" rank="0" text="" dxfId="13">
      <formula>AND(J8&lt;&gt;"",COUNTIFS($C$22:$C$150,J8,$S$22:$S$150,"Atrasada")&gt;0)</formula>
    </cfRule>
    <cfRule type="expression" priority="38" aboveAverage="0" equalAverage="0" bottom="0" percent="0" rank="0" text="" dxfId="14">
      <formula>AND(J8&lt;&gt;"",COUNTIFS($C$22:$C$150,J8,$Q$22:$Q$150,"&lt;&gt;Cancelada")&gt;0)</formula>
    </cfRule>
  </conditionalFormatting>
  <conditionalFormatting sqref="L8:M9">
    <cfRule type="expression" priority="39" aboveAverage="0" equalAverage="0" bottom="0" percent="0" rank="0" text="" dxfId="12">
      <formula>AND(L8&lt;&gt;"",L8=TODAY())</formula>
    </cfRule>
    <cfRule type="expression" priority="40" aboveAverage="0" equalAverage="0" bottom="0" percent="0" rank="0" text="" dxfId="13">
      <formula>AND(L8&lt;&gt;"",COUNTIFS($C$22:$C$150,L8,$S$22:$S$150,"Atrasada")&gt;0)</formula>
    </cfRule>
    <cfRule type="expression" priority="41" aboveAverage="0" equalAverage="0" bottom="0" percent="0" rank="0" text="" dxfId="14">
      <formula>AND(L8&lt;&gt;"",COUNTIFS($C$22:$C$150,L8,$Q$22:$Q$150,"&lt;&gt;Cancelada")&gt;0)</formula>
    </cfRule>
  </conditionalFormatting>
  <conditionalFormatting sqref="N8:O9">
    <cfRule type="expression" priority="42" aboveAverage="0" equalAverage="0" bottom="0" percent="0" rank="0" text="" dxfId="12">
      <formula>AND(N8&lt;&gt;"",N8=TODAY())</formula>
    </cfRule>
    <cfRule type="expression" priority="43" aboveAverage="0" equalAverage="0" bottom="0" percent="0" rank="0" text="" dxfId="13">
      <formula>AND(N8&lt;&gt;"",COUNTIFS($C$22:$C$150,N8,$S$22:$S$150,"Atrasada")&gt;0)</formula>
    </cfRule>
    <cfRule type="expression" priority="44" aboveAverage="0" equalAverage="0" bottom="0" percent="0" rank="0" text="" dxfId="14">
      <formula>AND(N8&lt;&gt;"",COUNTIFS($C$22:$C$150,N8,$Q$22:$Q$150,"&lt;&gt;Cancelada")&gt;0)</formula>
    </cfRule>
  </conditionalFormatting>
  <conditionalFormatting sqref="B10:C11">
    <cfRule type="expression" priority="45" aboveAverage="0" equalAverage="0" bottom="0" percent="0" rank="0" text="" dxfId="12">
      <formula>AND(B10&lt;&gt;"",B10=TODAY())</formula>
    </cfRule>
    <cfRule type="expression" priority="46" aboveAverage="0" equalAverage="0" bottom="0" percent="0" rank="0" text="" dxfId="13">
      <formula>AND(B10&lt;&gt;"",COUNTIFS($C$22:$C$150,B10,$S$22:$S$150,"Atrasada")&gt;0)</formula>
    </cfRule>
    <cfRule type="expression" priority="47" aboveAverage="0" equalAverage="0" bottom="0" percent="0" rank="0" text="" dxfId="14">
      <formula>AND(B10&lt;&gt;"",COUNTIFS($C$22:$C$150,B10,$Q$22:$Q$150,"&lt;&gt;Cancelada")&gt;0)</formula>
    </cfRule>
  </conditionalFormatting>
  <conditionalFormatting sqref="D10:E11">
    <cfRule type="expression" priority="48" aboveAverage="0" equalAverage="0" bottom="0" percent="0" rank="0" text="" dxfId="12">
      <formula>AND(D10&lt;&gt;"",D10=TODAY())</formula>
    </cfRule>
    <cfRule type="expression" priority="49" aboveAverage="0" equalAverage="0" bottom="0" percent="0" rank="0" text="" dxfId="13">
      <formula>AND(D10&lt;&gt;"",COUNTIFS($C$22:$C$150,D10,$S$22:$S$150,"Atrasada")&gt;0)</formula>
    </cfRule>
    <cfRule type="expression" priority="50" aboveAverage="0" equalAverage="0" bottom="0" percent="0" rank="0" text="" dxfId="14">
      <formula>AND(D10&lt;&gt;"",COUNTIFS($C$22:$C$150,D10,$Q$22:$Q$150,"&lt;&gt;Cancelada")&gt;0)</formula>
    </cfRule>
  </conditionalFormatting>
  <conditionalFormatting sqref="F10:G11">
    <cfRule type="expression" priority="51" aboveAverage="0" equalAverage="0" bottom="0" percent="0" rank="0" text="" dxfId="12">
      <formula>AND(F10&lt;&gt;"",F10=TODAY())</formula>
    </cfRule>
    <cfRule type="expression" priority="52" aboveAverage="0" equalAverage="0" bottom="0" percent="0" rank="0" text="" dxfId="13">
      <formula>AND(F10&lt;&gt;"",COUNTIFS($C$22:$C$150,F10,$S$22:$S$150,"Atrasada")&gt;0)</formula>
    </cfRule>
    <cfRule type="expression" priority="53" aboveAverage="0" equalAverage="0" bottom="0" percent="0" rank="0" text="" dxfId="14">
      <formula>AND(F10&lt;&gt;"",COUNTIFS($C$22:$C$150,F10,$Q$22:$Q$150,"&lt;&gt;Cancelada")&gt;0)</formula>
    </cfRule>
  </conditionalFormatting>
  <conditionalFormatting sqref="H10:I11">
    <cfRule type="expression" priority="54" aboveAverage="0" equalAverage="0" bottom="0" percent="0" rank="0" text="" dxfId="12">
      <formula>AND(H10&lt;&gt;"",H10=TODAY())</formula>
    </cfRule>
    <cfRule type="expression" priority="55" aboveAverage="0" equalAverage="0" bottom="0" percent="0" rank="0" text="" dxfId="13">
      <formula>AND(H10&lt;&gt;"",COUNTIFS($C$22:$C$150,H10,$S$22:$S$150,"Atrasada")&gt;0)</formula>
    </cfRule>
    <cfRule type="expression" priority="56" aboveAverage="0" equalAverage="0" bottom="0" percent="0" rank="0" text="" dxfId="14">
      <formula>AND(H10&lt;&gt;"",COUNTIFS($C$22:$C$150,H10,$Q$22:$Q$150,"&lt;&gt;Cancelada")&gt;0)</formula>
    </cfRule>
  </conditionalFormatting>
  <conditionalFormatting sqref="J10:K11">
    <cfRule type="expression" priority="57" aboveAverage="0" equalAverage="0" bottom="0" percent="0" rank="0" text="" dxfId="12">
      <formula>AND(J10&lt;&gt;"",J10=TODAY())</formula>
    </cfRule>
    <cfRule type="expression" priority="58" aboveAverage="0" equalAverage="0" bottom="0" percent="0" rank="0" text="" dxfId="13">
      <formula>AND(J10&lt;&gt;"",COUNTIFS($C$22:$C$150,J10,$S$22:$S$150,"Atrasada")&gt;0)</formula>
    </cfRule>
    <cfRule type="expression" priority="59" aboveAverage="0" equalAverage="0" bottom="0" percent="0" rank="0" text="" dxfId="14">
      <formula>AND(J10&lt;&gt;"",COUNTIFS($C$22:$C$150,J10,$Q$22:$Q$150,"&lt;&gt;Cancelada")&gt;0)</formula>
    </cfRule>
  </conditionalFormatting>
  <conditionalFormatting sqref="L10:M11">
    <cfRule type="expression" priority="60" aboveAverage="0" equalAverage="0" bottom="0" percent="0" rank="0" text="" dxfId="12">
      <formula>AND(L10&lt;&gt;"",L10=TODAY())</formula>
    </cfRule>
    <cfRule type="expression" priority="61" aboveAverage="0" equalAverage="0" bottom="0" percent="0" rank="0" text="" dxfId="13">
      <formula>AND(L10&lt;&gt;"",COUNTIFS($C$22:$C$150,L10,$S$22:$S$150,"Atrasada")&gt;0)</formula>
    </cfRule>
    <cfRule type="expression" priority="62" aboveAverage="0" equalAverage="0" bottom="0" percent="0" rank="0" text="" dxfId="14">
      <formula>AND(L10&lt;&gt;"",COUNTIFS($C$22:$C$150,L10,$Q$22:$Q$150,"&lt;&gt;Cancelada")&gt;0)</formula>
    </cfRule>
  </conditionalFormatting>
  <conditionalFormatting sqref="N10:O11">
    <cfRule type="expression" priority="63" aboveAverage="0" equalAverage="0" bottom="0" percent="0" rank="0" text="" dxfId="12">
      <formula>AND(N10&lt;&gt;"",N10=TODAY())</formula>
    </cfRule>
    <cfRule type="expression" priority="64" aboveAverage="0" equalAverage="0" bottom="0" percent="0" rank="0" text="" dxfId="13">
      <formula>AND(N10&lt;&gt;"",COUNTIFS($C$22:$C$150,N10,$S$22:$S$150,"Atrasada")&gt;0)</formula>
    </cfRule>
    <cfRule type="expression" priority="65" aboveAverage="0" equalAverage="0" bottom="0" percent="0" rank="0" text="" dxfId="14">
      <formula>AND(N10&lt;&gt;"",COUNTIFS($C$22:$C$150,N10,$Q$22:$Q$150,"&lt;&gt;Cancelada")&gt;0)</formula>
    </cfRule>
  </conditionalFormatting>
  <conditionalFormatting sqref="B12:C13">
    <cfRule type="expression" priority="66" aboveAverage="0" equalAverage="0" bottom="0" percent="0" rank="0" text="" dxfId="12">
      <formula>AND(B12&lt;&gt;"",B12=TODAY())</formula>
    </cfRule>
    <cfRule type="expression" priority="67" aboveAverage="0" equalAverage="0" bottom="0" percent="0" rank="0" text="" dxfId="13">
      <formula>AND(B12&lt;&gt;"",COUNTIFS($C$22:$C$150,B12,$S$22:$S$150,"Atrasada")&gt;0)</formula>
    </cfRule>
    <cfRule type="expression" priority="68" aboveAverage="0" equalAverage="0" bottom="0" percent="0" rank="0" text="" dxfId="14">
      <formula>AND(B12&lt;&gt;"",COUNTIFS($C$22:$C$150,B12,$Q$22:$Q$150,"&lt;&gt;Cancelada")&gt;0)</formula>
    </cfRule>
  </conditionalFormatting>
  <conditionalFormatting sqref="D12:E13">
    <cfRule type="expression" priority="69" aboveAverage="0" equalAverage="0" bottom="0" percent="0" rank="0" text="" dxfId="12">
      <formula>AND(D12&lt;&gt;"",D12=TODAY())</formula>
    </cfRule>
    <cfRule type="expression" priority="70" aboveAverage="0" equalAverage="0" bottom="0" percent="0" rank="0" text="" dxfId="13">
      <formula>AND(D12&lt;&gt;"",COUNTIFS($C$22:$C$150,D12,$S$22:$S$150,"Atrasada")&gt;0)</formula>
    </cfRule>
    <cfRule type="expression" priority="71" aboveAverage="0" equalAverage="0" bottom="0" percent="0" rank="0" text="" dxfId="14">
      <formula>AND(D12&lt;&gt;"",COUNTIFS($C$22:$C$150,D12,$Q$22:$Q$150,"&lt;&gt;Cancelada")&gt;0)</formula>
    </cfRule>
  </conditionalFormatting>
  <conditionalFormatting sqref="F12:G13">
    <cfRule type="expression" priority="72" aboveAverage="0" equalAverage="0" bottom="0" percent="0" rank="0" text="" dxfId="12">
      <formula>AND(F12&lt;&gt;"",F12=TODAY())</formula>
    </cfRule>
    <cfRule type="expression" priority="73" aboveAverage="0" equalAverage="0" bottom="0" percent="0" rank="0" text="" dxfId="13">
      <formula>AND(F12&lt;&gt;"",COUNTIFS($C$22:$C$150,F12,$S$22:$S$150,"Atrasada")&gt;0)</formula>
    </cfRule>
    <cfRule type="expression" priority="74" aboveAverage="0" equalAverage="0" bottom="0" percent="0" rank="0" text="" dxfId="14">
      <formula>AND(F12&lt;&gt;"",COUNTIFS($C$22:$C$150,F12,$Q$22:$Q$150,"&lt;&gt;Cancelada")&gt;0)</formula>
    </cfRule>
  </conditionalFormatting>
  <conditionalFormatting sqref="H12:I13">
    <cfRule type="expression" priority="75" aboveAverage="0" equalAverage="0" bottom="0" percent="0" rank="0" text="" dxfId="12">
      <formula>AND(H12&lt;&gt;"",H12=TODAY())</formula>
    </cfRule>
    <cfRule type="expression" priority="76" aboveAverage="0" equalAverage="0" bottom="0" percent="0" rank="0" text="" dxfId="13">
      <formula>AND(H12&lt;&gt;"",COUNTIFS($C$22:$C$150,H12,$S$22:$S$150,"Atrasada")&gt;0)</formula>
    </cfRule>
    <cfRule type="expression" priority="77" aboveAverage="0" equalAverage="0" bottom="0" percent="0" rank="0" text="" dxfId="14">
      <formula>AND(H12&lt;&gt;"",COUNTIFS($C$22:$C$150,H12,$Q$22:$Q$150,"&lt;&gt;Cancelada")&gt;0)</formula>
    </cfRule>
  </conditionalFormatting>
  <conditionalFormatting sqref="J12:K13">
    <cfRule type="expression" priority="78" aboveAverage="0" equalAverage="0" bottom="0" percent="0" rank="0" text="" dxfId="12">
      <formula>AND(J12&lt;&gt;"",J12=TODAY())</formula>
    </cfRule>
    <cfRule type="expression" priority="79" aboveAverage="0" equalAverage="0" bottom="0" percent="0" rank="0" text="" dxfId="13">
      <formula>AND(J12&lt;&gt;"",COUNTIFS($C$22:$C$150,J12,$S$22:$S$150,"Atrasada")&gt;0)</formula>
    </cfRule>
    <cfRule type="expression" priority="80" aboveAverage="0" equalAverage="0" bottom="0" percent="0" rank="0" text="" dxfId="14">
      <formula>AND(J12&lt;&gt;"",COUNTIFS($C$22:$C$150,J12,$Q$22:$Q$150,"&lt;&gt;Cancelada")&gt;0)</formula>
    </cfRule>
  </conditionalFormatting>
  <conditionalFormatting sqref="L12:M13">
    <cfRule type="expression" priority="81" aboveAverage="0" equalAverage="0" bottom="0" percent="0" rank="0" text="" dxfId="12">
      <formula>AND(L12&lt;&gt;"",L12=TODAY())</formula>
    </cfRule>
    <cfRule type="expression" priority="82" aboveAverage="0" equalAverage="0" bottom="0" percent="0" rank="0" text="" dxfId="13">
      <formula>AND(L12&lt;&gt;"",COUNTIFS($C$22:$C$150,L12,$S$22:$S$150,"Atrasada")&gt;0)</formula>
    </cfRule>
    <cfRule type="expression" priority="83" aboveAverage="0" equalAverage="0" bottom="0" percent="0" rank="0" text="" dxfId="14">
      <formula>AND(L12&lt;&gt;"",COUNTIFS($C$22:$C$150,L12,$Q$22:$Q$150,"&lt;&gt;Cancelada")&gt;0)</formula>
    </cfRule>
  </conditionalFormatting>
  <conditionalFormatting sqref="N12:O13">
    <cfRule type="expression" priority="84" aboveAverage="0" equalAverage="0" bottom="0" percent="0" rank="0" text="" dxfId="12">
      <formula>AND(N12&lt;&gt;"",N12=TODAY())</formula>
    </cfRule>
    <cfRule type="expression" priority="85" aboveAverage="0" equalAverage="0" bottom="0" percent="0" rank="0" text="" dxfId="13">
      <formula>AND(N12&lt;&gt;"",COUNTIFS($C$22:$C$150,N12,$S$22:$S$150,"Atrasada")&gt;0)</formula>
    </cfRule>
    <cfRule type="expression" priority="86" aboveAverage="0" equalAverage="0" bottom="0" percent="0" rank="0" text="" dxfId="14">
      <formula>AND(N12&lt;&gt;"",COUNTIFS($C$22:$C$150,N12,$Q$22:$Q$150,"&lt;&gt;Cancelada")&gt;0)</formula>
    </cfRule>
  </conditionalFormatting>
  <conditionalFormatting sqref="B14:C15">
    <cfRule type="expression" priority="87" aboveAverage="0" equalAverage="0" bottom="0" percent="0" rank="0" text="" dxfId="12">
      <formula>AND(B14&lt;&gt;"",B14=TODAY())</formula>
    </cfRule>
    <cfRule type="expression" priority="88" aboveAverage="0" equalAverage="0" bottom="0" percent="0" rank="0" text="" dxfId="13">
      <formula>AND(B14&lt;&gt;"",COUNTIFS($C$22:$C$150,B14,$S$22:$S$150,"Atrasada")&gt;0)</formula>
    </cfRule>
    <cfRule type="expression" priority="89" aboveAverage="0" equalAverage="0" bottom="0" percent="0" rank="0" text="" dxfId="14">
      <formula>AND(B14&lt;&gt;"",COUNTIFS($C$22:$C$150,B14,$Q$22:$Q$150,"&lt;&gt;Cancelada")&gt;0)</formula>
    </cfRule>
  </conditionalFormatting>
  <conditionalFormatting sqref="D14:E15">
    <cfRule type="expression" priority="90" aboveAverage="0" equalAverage="0" bottom="0" percent="0" rank="0" text="" dxfId="12">
      <formula>AND(D14&lt;&gt;"",D14=TODAY())</formula>
    </cfRule>
    <cfRule type="expression" priority="91" aboveAverage="0" equalAverage="0" bottom="0" percent="0" rank="0" text="" dxfId="13">
      <formula>AND(D14&lt;&gt;"",COUNTIFS($C$22:$C$150,D14,$S$22:$S$150,"Atrasada")&gt;0)</formula>
    </cfRule>
    <cfRule type="expression" priority="92" aboveAverage="0" equalAverage="0" bottom="0" percent="0" rank="0" text="" dxfId="14">
      <formula>AND(D14&lt;&gt;"",COUNTIFS($C$22:$C$150,D14,$Q$22:$Q$150,"&lt;&gt;Cancelada")&gt;0)</formula>
    </cfRule>
  </conditionalFormatting>
  <conditionalFormatting sqref="F14:G15">
    <cfRule type="expression" priority="93" aboveAverage="0" equalAverage="0" bottom="0" percent="0" rank="0" text="" dxfId="12">
      <formula>AND(F14&lt;&gt;"",F14=TODAY())</formula>
    </cfRule>
    <cfRule type="expression" priority="94" aboveAverage="0" equalAverage="0" bottom="0" percent="0" rank="0" text="" dxfId="13">
      <formula>AND(F14&lt;&gt;"",COUNTIFS($C$22:$C$150,F14,$S$22:$S$150,"Atrasada")&gt;0)</formula>
    </cfRule>
    <cfRule type="expression" priority="95" aboveAverage="0" equalAverage="0" bottom="0" percent="0" rank="0" text="" dxfId="14">
      <formula>AND(F14&lt;&gt;"",COUNTIFS($C$22:$C$150,F14,$Q$22:$Q$150,"&lt;&gt;Cancelada")&gt;0)</formula>
    </cfRule>
  </conditionalFormatting>
  <conditionalFormatting sqref="H14:I15">
    <cfRule type="expression" priority="96" aboveAverage="0" equalAverage="0" bottom="0" percent="0" rank="0" text="" dxfId="12">
      <formula>AND(H14&lt;&gt;"",H14=TODAY())</formula>
    </cfRule>
    <cfRule type="expression" priority="97" aboveAverage="0" equalAverage="0" bottom="0" percent="0" rank="0" text="" dxfId="13">
      <formula>AND(H14&lt;&gt;"",COUNTIFS($C$22:$C$150,H14,$S$22:$S$150,"Atrasada")&gt;0)</formula>
    </cfRule>
    <cfRule type="expression" priority="98" aboveAverage="0" equalAverage="0" bottom="0" percent="0" rank="0" text="" dxfId="14">
      <formula>AND(H14&lt;&gt;"",COUNTIFS($C$22:$C$150,H14,$Q$22:$Q$150,"&lt;&gt;Cancelada")&gt;0)</formula>
    </cfRule>
  </conditionalFormatting>
  <conditionalFormatting sqref="J14:K15">
    <cfRule type="expression" priority="99" aboveAverage="0" equalAverage="0" bottom="0" percent="0" rank="0" text="" dxfId="12">
      <formula>AND(J14&lt;&gt;"",J14=TODAY())</formula>
    </cfRule>
    <cfRule type="expression" priority="100" aboveAverage="0" equalAverage="0" bottom="0" percent="0" rank="0" text="" dxfId="13">
      <formula>AND(J14&lt;&gt;"",COUNTIFS($C$22:$C$150,J14,$S$22:$S$150,"Atrasada")&gt;0)</formula>
    </cfRule>
    <cfRule type="expression" priority="101" aboveAverage="0" equalAverage="0" bottom="0" percent="0" rank="0" text="" dxfId="14">
      <formula>AND(J14&lt;&gt;"",COUNTIFS($C$22:$C$150,J14,$Q$22:$Q$150,"&lt;&gt;Cancelada")&gt;0)</formula>
    </cfRule>
  </conditionalFormatting>
  <conditionalFormatting sqref="L14:M15">
    <cfRule type="expression" priority="102" aboveAverage="0" equalAverage="0" bottom="0" percent="0" rank="0" text="" dxfId="12">
      <formula>AND(L14&lt;&gt;"",L14=TODAY())</formula>
    </cfRule>
    <cfRule type="expression" priority="103" aboveAverage="0" equalAverage="0" bottom="0" percent="0" rank="0" text="" dxfId="13">
      <formula>AND(L14&lt;&gt;"",COUNTIFS($C$22:$C$150,L14,$S$22:$S$150,"Atrasada")&gt;0)</formula>
    </cfRule>
    <cfRule type="expression" priority="104" aboveAverage="0" equalAverage="0" bottom="0" percent="0" rank="0" text="" dxfId="14">
      <formula>AND(L14&lt;&gt;"",COUNTIFS($C$22:$C$150,L14,$Q$22:$Q$150,"&lt;&gt;Cancelada")&gt;0)</formula>
    </cfRule>
  </conditionalFormatting>
  <conditionalFormatting sqref="N14:O15">
    <cfRule type="expression" priority="105" aboveAverage="0" equalAverage="0" bottom="0" percent="0" rank="0" text="" dxfId="12">
      <formula>AND(N14&lt;&gt;"",N14=TODAY())</formula>
    </cfRule>
    <cfRule type="expression" priority="106" aboveAverage="0" equalAverage="0" bottom="0" percent="0" rank="0" text="" dxfId="13">
      <formula>AND(N14&lt;&gt;"",COUNTIFS($C$22:$C$150,N14,$S$22:$S$150,"Atrasada")&gt;0)</formula>
    </cfRule>
    <cfRule type="expression" priority="107" aboveAverage="0" equalAverage="0" bottom="0" percent="0" rank="0" text="" dxfId="14">
      <formula>AND(N14&lt;&gt;"",COUNTIFS($C$22:$C$150,N14,$Q$22:$Q$150,"&lt;&gt;Cancelada")&gt;0)</formula>
    </cfRule>
  </conditionalFormatting>
  <conditionalFormatting sqref="B16:C17">
    <cfRule type="expression" priority="108" aboveAverage="0" equalAverage="0" bottom="0" percent="0" rank="0" text="" dxfId="12">
      <formula>AND(B16&lt;&gt;"",B16=TODAY())</formula>
    </cfRule>
    <cfRule type="expression" priority="109" aboveAverage="0" equalAverage="0" bottom="0" percent="0" rank="0" text="" dxfId="13">
      <formula>AND(B16&lt;&gt;"",COUNTIFS($C$22:$C$150,B16,$S$22:$S$150,"Atrasada")&gt;0)</formula>
    </cfRule>
    <cfRule type="expression" priority="110" aboveAverage="0" equalAverage="0" bottom="0" percent="0" rank="0" text="" dxfId="14">
      <formula>AND(B16&lt;&gt;"",COUNTIFS($C$22:$C$150,B16,$Q$22:$Q$150,"&lt;&gt;Cancelada")&gt;0)</formula>
    </cfRule>
  </conditionalFormatting>
  <conditionalFormatting sqref="D16:E17">
    <cfRule type="expression" priority="111" aboveAverage="0" equalAverage="0" bottom="0" percent="0" rank="0" text="" dxfId="12">
      <formula>AND(D16&lt;&gt;"",D16=TODAY())</formula>
    </cfRule>
    <cfRule type="expression" priority="112" aboveAverage="0" equalAverage="0" bottom="0" percent="0" rank="0" text="" dxfId="13">
      <formula>AND(D16&lt;&gt;"",COUNTIFS($C$22:$C$150,D16,$S$22:$S$150,"Atrasada")&gt;0)</formula>
    </cfRule>
    <cfRule type="expression" priority="113" aboveAverage="0" equalAverage="0" bottom="0" percent="0" rank="0" text="" dxfId="14">
      <formula>AND(D16&lt;&gt;"",COUNTIFS($C$22:$C$150,D16,$Q$22:$Q$150,"&lt;&gt;Cancelada")&gt;0)</formula>
    </cfRule>
  </conditionalFormatting>
  <conditionalFormatting sqref="F16:G17">
    <cfRule type="expression" priority="114" aboveAverage="0" equalAverage="0" bottom="0" percent="0" rank="0" text="" dxfId="12">
      <formula>AND(F16&lt;&gt;"",F16=TODAY())</formula>
    </cfRule>
    <cfRule type="expression" priority="115" aboveAverage="0" equalAverage="0" bottom="0" percent="0" rank="0" text="" dxfId="13">
      <formula>AND(F16&lt;&gt;"",COUNTIFS($C$22:$C$150,F16,$S$22:$S$150,"Atrasada")&gt;0)</formula>
    </cfRule>
    <cfRule type="expression" priority="116" aboveAverage="0" equalAverage="0" bottom="0" percent="0" rank="0" text="" dxfId="14">
      <formula>AND(F16&lt;&gt;"",COUNTIFS($C$22:$C$150,F16,$Q$22:$Q$150,"&lt;&gt;Cancelada")&gt;0)</formula>
    </cfRule>
  </conditionalFormatting>
  <conditionalFormatting sqref="H16:I17">
    <cfRule type="expression" priority="117" aboveAverage="0" equalAverage="0" bottom="0" percent="0" rank="0" text="" dxfId="12">
      <formula>AND(H16&lt;&gt;"",H16=TODAY())</formula>
    </cfRule>
    <cfRule type="expression" priority="118" aboveAverage="0" equalAverage="0" bottom="0" percent="0" rank="0" text="" dxfId="13">
      <formula>AND(H16&lt;&gt;"",COUNTIFS($C$22:$C$150,H16,$S$22:$S$150,"Atrasada")&gt;0)</formula>
    </cfRule>
    <cfRule type="expression" priority="119" aboveAverage="0" equalAverage="0" bottom="0" percent="0" rank="0" text="" dxfId="14">
      <formula>AND(H16&lt;&gt;"",COUNTIFS($C$22:$C$150,H16,$Q$22:$Q$150,"&lt;&gt;Cancelada")&gt;0)</formula>
    </cfRule>
  </conditionalFormatting>
  <conditionalFormatting sqref="J16:K17">
    <cfRule type="expression" priority="120" aboveAverage="0" equalAverage="0" bottom="0" percent="0" rank="0" text="" dxfId="12">
      <formula>AND(J16&lt;&gt;"",J16=TODAY())</formula>
    </cfRule>
    <cfRule type="expression" priority="121" aboveAverage="0" equalAverage="0" bottom="0" percent="0" rank="0" text="" dxfId="13">
      <formula>AND(J16&lt;&gt;"",COUNTIFS($C$22:$C$150,J16,$S$22:$S$150,"Atrasada")&gt;0)</formula>
    </cfRule>
    <cfRule type="expression" priority="122" aboveAverage="0" equalAverage="0" bottom="0" percent="0" rank="0" text="" dxfId="14">
      <formula>AND(J16&lt;&gt;"",COUNTIFS($C$22:$C$150,J16,$Q$22:$Q$150,"&lt;&gt;Cancelada")&gt;0)</formula>
    </cfRule>
  </conditionalFormatting>
  <conditionalFormatting sqref="L16:M17">
    <cfRule type="expression" priority="123" aboveAverage="0" equalAverage="0" bottom="0" percent="0" rank="0" text="" dxfId="12">
      <formula>AND(L16&lt;&gt;"",L16=TODAY())</formula>
    </cfRule>
    <cfRule type="expression" priority="124" aboveAverage="0" equalAverage="0" bottom="0" percent="0" rank="0" text="" dxfId="13">
      <formula>AND(L16&lt;&gt;"",COUNTIFS($C$22:$C$150,L16,$S$22:$S$150,"Atrasada")&gt;0)</formula>
    </cfRule>
    <cfRule type="expression" priority="125" aboveAverage="0" equalAverage="0" bottom="0" percent="0" rank="0" text="" dxfId="14">
      <formula>AND(L16&lt;&gt;"",COUNTIFS($C$22:$C$150,L16,$Q$22:$Q$150,"&lt;&gt;Cancelada")&gt;0)</formula>
    </cfRule>
  </conditionalFormatting>
  <conditionalFormatting sqref="N16:O17">
    <cfRule type="expression" priority="126" aboveAverage="0" equalAverage="0" bottom="0" percent="0" rank="0" text="" dxfId="12">
      <formula>AND(N16&lt;&gt;"",N16=TODAY())</formula>
    </cfRule>
    <cfRule type="expression" priority="127" aboveAverage="0" equalAverage="0" bottom="0" percent="0" rank="0" text="" dxfId="13">
      <formula>AND(N16&lt;&gt;"",COUNTIFS($C$22:$C$150,N16,$S$22:$S$150,"Atrasada")&gt;0)</formula>
    </cfRule>
    <cfRule type="expression" priority="128" aboveAverage="0" equalAverage="0" bottom="0" percent="0" rank="0" text="" dxfId="14">
      <formula>AND(N16&lt;&gt;"",COUNTIFS($C$22:$C$150,N16,$Q$22:$Q$150,"&lt;&gt;Cancelada")&gt;0)</formula>
    </cfRule>
  </conditionalFormatting>
  <conditionalFormatting sqref="A22:I67">
    <cfRule type="expression" priority="129" aboveAverage="0" equalAverage="0" bottom="0" percent="0" rank="0" text="" dxfId="15">
      <formula>ISNUMBER(SEARCH("-REU-",$A22))</formula>
    </cfRule>
  </conditionalFormatting>
  <conditionalFormatting sqref="S22:S150">
    <cfRule type="expression" priority="130" aboveAverage="0" equalAverage="0" bottom="0" percent="0" rank="0" text="" dxfId="16">
      <formula>$S22="Aprovada"</formula>
    </cfRule>
    <cfRule type="expression" priority="131" aboveAverage="0" equalAverage="0" bottom="0" percent="0" rank="0" text="" dxfId="17">
      <formula>$S22="Entregue"</formula>
    </cfRule>
    <cfRule type="expression" priority="132" aboveAverage="0" equalAverage="0" bottom="0" percent="0" rank="0" text="" dxfId="18">
      <formula>$S22="Atrasada"</formula>
    </cfRule>
    <cfRule type="expression" priority="133" aboveAverage="0" equalAverage="0" bottom="0" percent="0" rank="0" text="" dxfId="19">
      <formula>$S22="Reprovada"</formula>
    </cfRule>
    <cfRule type="expression" priority="134" aboveAverage="0" equalAverage="0" bottom="0" percent="0" rank="0" text="" dxfId="20">
      <formula>$S22="Pendente"</formula>
    </cfRule>
    <cfRule type="expression" priority="135" aboveAverage="0" equalAverage="0" bottom="0" percent="0" rank="0" text="" dxfId="21">
      <formula>$S22="Cancelada"</formula>
    </cfRule>
  </conditionalFormatting>
  <dataValidations count="2">
    <dataValidation allowBlank="true" errorStyle="stop" operator="between" showDropDown="false" showErrorMessage="false" showInputMessage="false" sqref="Q22:Q150" type="list">
      <formula1>"Aprovado,Reprovado,Cancelada"</formula1>
      <formula2>0</formula2>
    </dataValidation>
    <dataValidation allowBlank="true" errorStyle="stop" operator="between" showDropDown="false" showErrorMessage="false" showInputMessage="false" sqref="J22:J67" type="list">
      <formula1>CONFIG!$A$12:$A$40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.51"/>
    <col collapsed="false" customWidth="true" hidden="false" outlineLevel="0" max="3" min="3" style="0" width="10.51"/>
    <col collapsed="false" customWidth="true" hidden="false" outlineLevel="0" max="6" min="4" style="0" width="12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9.51"/>
    <col collapsed="false" customWidth="true" hidden="false" outlineLevel="0" max="16" min="13" style="0" width="12"/>
    <col collapsed="false" customWidth="true" hidden="false" outlineLevel="0" max="17" min="17" style="0" width="11.5"/>
    <col collapsed="false" customWidth="true" hidden="false" outlineLevel="0" max="18" min="18" style="0" width="17"/>
    <col collapsed="false" customWidth="true" hidden="false" outlineLevel="0" max="19" min="19" style="0" width="12.5"/>
    <col collapsed="false" customWidth="true" hidden="false" outlineLevel="0" max="22" min="20" style="0" width="3.5"/>
    <col collapsed="false" customWidth="true" hidden="true" outlineLevel="0" max="24" min="24" style="0" width="4"/>
  </cols>
  <sheetData>
    <row r="1" customFormat="false" ht="45.75" hidden="false" customHeight="true" outlineLevel="0" collapsed="false">
      <c r="A1" s="1" t="s">
        <v>241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"/>
      <c r="U1" s="2"/>
      <c r="V1" s="2"/>
      <c r="X1" s="73" t="n">
        <v>46327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X2" s="74" t="s">
        <v>242</v>
      </c>
    </row>
    <row r="3" customFormat="false" ht="15" hidden="false" customHeight="false" outlineLevel="0" collapsed="false">
      <c r="A3" s="5" t="str">
        <f aca="false">IF((COUNTIF($S$22:$S$150,"Aprovada")+COUNTIF($S$22:$S$150,"Entregue")+COUNTIF($S$22:$S$150,"Pendente")+COUNTIF($S$22:$S$150,"Atrasada")+COUNTIF($S$22:$S$150,"Reprovada"))=0,"",IF(COUNTIF($S$22:$S$150,"Aprovada")=(COUNTIF($S$22:$S$150,"Aprovada")+COUNTIF($S$22:$S$150,"Entregue")+COUNTIF($S$22:$S$150,"Pendente")+COUNTIF($S$22:$S$150,"Atrasada")+COUNTIF($S$22:$S$150,"Reprovada")),"MÊS CONCLUÍDO — todas as atividades aprovadas","EM ANDAMENTO — "&amp;COUNTIF($S$22:$S$150,"Aprovada")&amp;" de "&amp;(COUNTIF($S$22:$S$150,"Aprovada")+COUNTIF($S$22:$S$150,"Entregue")+COUNTIF($S$22:$S$150,"Pendente")+COUNTIF($S$22:$S$150,"Atrasada")+COUNTIF($S$22:$S$150,"Reprovada"))&amp;" atividades aprovadas · "&amp;COUNTIF($S$22:$S$150,"Atrasada")&amp;" em atraso"))</f>
        <v>EM ANDAMENTO — 0 de 32 atividades aprovadas · 0 em atraso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5" customFormat="false" ht="18" hidden="false" customHeight="true" outlineLevel="0" collapsed="false">
      <c r="B5" s="70" t="s">
        <v>209</v>
      </c>
      <c r="C5" s="70"/>
      <c r="D5" s="70" t="s">
        <v>210</v>
      </c>
      <c r="E5" s="70"/>
      <c r="F5" s="70" t="s">
        <v>211</v>
      </c>
      <c r="G5" s="70"/>
      <c r="H5" s="70" t="s">
        <v>3</v>
      </c>
      <c r="I5" s="70"/>
      <c r="J5" s="70" t="s">
        <v>6</v>
      </c>
      <c r="K5" s="70"/>
      <c r="L5" s="75" t="s">
        <v>9</v>
      </c>
      <c r="M5" s="75"/>
      <c r="N5" s="70" t="s">
        <v>212</v>
      </c>
      <c r="O5" s="70"/>
    </row>
    <row r="6" customFormat="false" ht="15" hidden="false" customHeight="true" outlineLevel="0" collapsed="false">
      <c r="B6" s="76" t="n">
        <f aca="false">IF(MONTH($X$1-WEEKDAY($X$1)+1+0)=MONTH($X$1),$X$1-WEEKDAY($X$1)+1+0,"")</f>
        <v>46327</v>
      </c>
      <c r="C6" s="76"/>
      <c r="D6" s="76" t="n">
        <f aca="false">IF(MONTH($X$1-WEEKDAY($X$1)+1+1)=MONTH($X$1),$X$1-WEEKDAY($X$1)+1+1,"")</f>
        <v>46328</v>
      </c>
      <c r="E6" s="76"/>
      <c r="F6" s="76" t="n">
        <f aca="false">IF(MONTH($X$1-WEEKDAY($X$1)+1+2)=MONTH($X$1),$X$1-WEEKDAY($X$1)+1+2,"")</f>
        <v>46329</v>
      </c>
      <c r="G6" s="76"/>
      <c r="H6" s="76" t="n">
        <f aca="false">IF(MONTH($X$1-WEEKDAY($X$1)+1+3)=MONTH($X$1),$X$1-WEEKDAY($X$1)+1+3,"")</f>
        <v>46330</v>
      </c>
      <c r="I6" s="76"/>
      <c r="J6" s="76" t="n">
        <f aca="false">IF(MONTH($X$1-WEEKDAY($X$1)+1+4)=MONTH($X$1),$X$1-WEEKDAY($X$1)+1+4,"")</f>
        <v>46331</v>
      </c>
      <c r="K6" s="76"/>
      <c r="L6" s="76" t="n">
        <f aca="false">IF(MONTH($X$1-WEEKDAY($X$1)+1+5)=MONTH($X$1),$X$1-WEEKDAY($X$1)+1+5,"")</f>
        <v>46332</v>
      </c>
      <c r="M6" s="76"/>
      <c r="N6" s="76" t="n">
        <f aca="false">IF(MONTH($X$1-WEEKDAY($X$1)+1+6)=MONTH($X$1),$X$1-WEEKDAY($X$1)+1+6,"")</f>
        <v>46333</v>
      </c>
      <c r="O6" s="76"/>
    </row>
    <row r="7" customFormat="false" ht="25.5" hidden="false" customHeight="true" outlineLevel="0" collapsed="false">
      <c r="B7" s="77" t="str">
        <f aca="false">IF(B6="","",TRIM(IF(COUNTIFS($C$22:$C$150,B6,$D$22:$D$150,"*Vistoria*",$Q$22:$Q$150,"&lt;&gt;Cancelada")&gt;0,"Vistoria ","")&amp;IF(COUNTIFS($C$22:$C$150,B6,$D$22:$D$150,"*Relatório*",$Q$22:$Q$150,"&lt;&gt;Cancelada")&gt;0,"Relatório ","")&amp;IF(COUNTIFS($C$22:$C$150,B6,$D$22:$D$150,"*Reunião*",$Q$22:$Q$150,"&lt;&gt;Cancelada")&gt;0,"REUNIÃO ","")&amp;IF(COUNTIFS($C$22:$C$150,B6,$D$22:$D$150,"*Férias*",$Q$22:$Q$150,"&lt;&gt;Cancelada")&gt;0,"Férias ","")&amp;IF(COUNTIFS($C$22:$C$150,B6,$D$22:$D$150,"*Mudança*",$Q$22:$Q$150,"&lt;&gt;Cancelada")&gt;0,"M.Função ","")&amp;IF(COUNTIFS($C$22:$C$150,B6,$D$22:$D$150,"*Treinamento*",$Q$22:$Q$150,"&lt;&gt;Cancelada")&gt;0,"Trein. ","")))</f>
        <v/>
      </c>
      <c r="C7" s="77"/>
      <c r="D7" s="77" t="str">
        <f aca="false">IF(D6="","",TRIM(IF(COUNTIFS($C$22:$C$150,D6,$D$22:$D$150,"*Vistoria*",$Q$22:$Q$150,"&lt;&gt;Cancelada")&gt;0,"Vistoria ","")&amp;IF(COUNTIFS($C$22:$C$150,D6,$D$22:$D$150,"*Relatório*",$Q$22:$Q$150,"&lt;&gt;Cancelada")&gt;0,"Relatório ","")&amp;IF(COUNTIFS($C$22:$C$150,D6,$D$22:$D$150,"*Reunião*",$Q$22:$Q$150,"&lt;&gt;Cancelada")&gt;0,"REUNIÃO ","")&amp;IF(COUNTIFS($C$22:$C$150,D6,$D$22:$D$150,"*Férias*",$Q$22:$Q$150,"&lt;&gt;Cancelada")&gt;0,"Férias ","")&amp;IF(COUNTIFS($C$22:$C$150,D6,$D$22:$D$150,"*Mudança*",$Q$22:$Q$150,"&lt;&gt;Cancelada")&gt;0,"M.Função ","")&amp;IF(COUNTIFS($C$22:$C$150,D6,$D$22:$D$150,"*Treinamento*",$Q$22:$Q$150,"&lt;&gt;Cancelada")&gt;0,"Trein. ","")))</f>
        <v>Férias</v>
      </c>
      <c r="E7" s="77"/>
      <c r="F7" s="77" t="str">
        <f aca="false">IF(F6="","",TRIM(IF(COUNTIFS($C$22:$C$150,F6,$D$22:$D$150,"*Vistoria*",$Q$22:$Q$150,"&lt;&gt;Cancelada")&gt;0,"Vistoria ","")&amp;IF(COUNTIFS($C$22:$C$150,F6,$D$22:$D$150,"*Relatório*",$Q$22:$Q$150,"&lt;&gt;Cancelada")&gt;0,"Relatório ","")&amp;IF(COUNTIFS($C$22:$C$150,F6,$D$22:$D$150,"*Reunião*",$Q$22:$Q$150,"&lt;&gt;Cancelada")&gt;0,"REUNIÃO ","")&amp;IF(COUNTIFS($C$22:$C$150,F6,$D$22:$D$150,"*Férias*",$Q$22:$Q$150,"&lt;&gt;Cancelada")&gt;0,"Férias ","")&amp;IF(COUNTIFS($C$22:$C$150,F6,$D$22:$D$150,"*Mudança*",$Q$22:$Q$150,"&lt;&gt;Cancelada")&gt;0,"M.Função ","")&amp;IF(COUNTIFS($C$22:$C$150,F6,$D$22:$D$150,"*Treinamento*",$Q$22:$Q$150,"&lt;&gt;Cancelada")&gt;0,"Trein. ","")))</f>
        <v/>
      </c>
      <c r="G7" s="77"/>
      <c r="H7" s="77" t="str">
        <f aca="false">IF(H6="","",TRIM(IF(COUNTIFS($C$22:$C$150,H6,$D$22:$D$150,"*Vistoria*",$Q$22:$Q$150,"&lt;&gt;Cancelada")&gt;0,"Vistoria ","")&amp;IF(COUNTIFS($C$22:$C$150,H6,$D$22:$D$150,"*Relatório*",$Q$22:$Q$150,"&lt;&gt;Cancelada")&gt;0,"Relatório ","")&amp;IF(COUNTIFS($C$22:$C$150,H6,$D$22:$D$150,"*Reunião*",$Q$22:$Q$150,"&lt;&gt;Cancelada")&gt;0,"REUNIÃO ","")&amp;IF(COUNTIFS($C$22:$C$150,H6,$D$22:$D$150,"*Férias*",$Q$22:$Q$150,"&lt;&gt;Cancelada")&gt;0,"Férias ","")&amp;IF(COUNTIFS($C$22:$C$150,H6,$D$22:$D$150,"*Mudança*",$Q$22:$Q$150,"&lt;&gt;Cancelada")&gt;0,"M.Função ","")&amp;IF(COUNTIFS($C$22:$C$150,H6,$D$22:$D$150,"*Treinamento*",$Q$22:$Q$150,"&lt;&gt;Cancelada")&gt;0,"Trein. ","")))</f>
        <v>Vistoria</v>
      </c>
      <c r="I7" s="77"/>
      <c r="J7" s="77" t="str">
        <f aca="false">IF(J6="","",TRIM(IF(COUNTIFS($C$22:$C$150,J6,$D$22:$D$150,"*Vistoria*",$Q$22:$Q$150,"&lt;&gt;Cancelada")&gt;0,"Vistoria ","")&amp;IF(COUNTIFS($C$22:$C$150,J6,$D$22:$D$150,"*Relatório*",$Q$22:$Q$150,"&lt;&gt;Cancelada")&gt;0,"Relatório ","")&amp;IF(COUNTIFS($C$22:$C$150,J6,$D$22:$D$150,"*Reunião*",$Q$22:$Q$150,"&lt;&gt;Cancelada")&gt;0,"REUNIÃO ","")&amp;IF(COUNTIFS($C$22:$C$150,J6,$D$22:$D$150,"*Férias*",$Q$22:$Q$150,"&lt;&gt;Cancelada")&gt;0,"Férias ","")&amp;IF(COUNTIFS($C$22:$C$150,J6,$D$22:$D$150,"*Mudança*",$Q$22:$Q$150,"&lt;&gt;Cancelada")&gt;0,"M.Função ","")&amp;IF(COUNTIFS($C$22:$C$150,J6,$D$22:$D$150,"*Treinamento*",$Q$22:$Q$150,"&lt;&gt;Cancelada")&gt;0,"Trein. ","")))</f>
        <v>Relatório</v>
      </c>
      <c r="K7" s="77"/>
      <c r="L7" s="77" t="str">
        <f aca="false">IF(L6="","",TRIM(IF(COUNTIFS($C$22:$C$150,L6,$D$22:$D$150,"*Vistoria*",$Q$22:$Q$150,"&lt;&gt;Cancelada")&gt;0,"Vistoria ","")&amp;IF(COUNTIFS($C$22:$C$150,L6,$D$22:$D$150,"*Relatório*",$Q$22:$Q$150,"&lt;&gt;Cancelada")&gt;0,"Relatório ","")&amp;IF(COUNTIFS($C$22:$C$150,L6,$D$22:$D$150,"*Reunião*",$Q$22:$Q$150,"&lt;&gt;Cancelada")&gt;0,"REUNIÃO ","")&amp;IF(COUNTIFS($C$22:$C$150,L6,$D$22:$D$150,"*Férias*",$Q$22:$Q$150,"&lt;&gt;Cancelada")&gt;0,"Férias ","")&amp;IF(COUNTIFS($C$22:$C$150,L6,$D$22:$D$150,"*Mudança*",$Q$22:$Q$150,"&lt;&gt;Cancelada")&gt;0,"M.Função ","")&amp;IF(COUNTIFS($C$22:$C$150,L6,$D$22:$D$150,"*Treinamento*",$Q$22:$Q$150,"&lt;&gt;Cancelada")&gt;0,"Trein. ","")))</f>
        <v>REUNIÃO</v>
      </c>
      <c r="M7" s="77"/>
      <c r="N7" s="77" t="str">
        <f aca="false">IF(N6="","",TRIM(IF(COUNTIFS($C$22:$C$150,N6,$D$22:$D$150,"*Vistoria*",$Q$22:$Q$150,"&lt;&gt;Cancelada")&gt;0,"Vistoria ","")&amp;IF(COUNTIFS($C$22:$C$150,N6,$D$22:$D$150,"*Relatório*",$Q$22:$Q$150,"&lt;&gt;Cancelada")&gt;0,"Relatório ","")&amp;IF(COUNTIFS($C$22:$C$150,N6,$D$22:$D$150,"*Reunião*",$Q$22:$Q$150,"&lt;&gt;Cancelada")&gt;0,"REUNIÃO ","")&amp;IF(COUNTIFS($C$22:$C$150,N6,$D$22:$D$150,"*Férias*",$Q$22:$Q$150,"&lt;&gt;Cancelada")&gt;0,"Férias ","")&amp;IF(COUNTIFS($C$22:$C$150,N6,$D$22:$D$150,"*Mudança*",$Q$22:$Q$150,"&lt;&gt;Cancelada")&gt;0,"M.Função ","")&amp;IF(COUNTIFS($C$22:$C$150,N6,$D$22:$D$150,"*Treinamento*",$Q$22:$Q$150,"&lt;&gt;Cancelada")&gt;0,"Trein. ","")))</f>
        <v/>
      </c>
      <c r="O7" s="77"/>
    </row>
    <row r="8" customFormat="false" ht="15" hidden="false" customHeight="true" outlineLevel="0" collapsed="false">
      <c r="B8" s="76" t="n">
        <f aca="false">IF(MONTH($X$1-WEEKDAY($X$1)+1+7)=MONTH($X$1),$X$1-WEEKDAY($X$1)+1+7,"")</f>
        <v>46334</v>
      </c>
      <c r="C8" s="76"/>
      <c r="D8" s="76" t="n">
        <f aca="false">IF(MONTH($X$1-WEEKDAY($X$1)+1+8)=MONTH($X$1),$X$1-WEEKDAY($X$1)+1+8,"")</f>
        <v>46335</v>
      </c>
      <c r="E8" s="76"/>
      <c r="F8" s="76" t="n">
        <f aca="false">IF(MONTH($X$1-WEEKDAY($X$1)+1+9)=MONTH($X$1),$X$1-WEEKDAY($X$1)+1+9,"")</f>
        <v>46336</v>
      </c>
      <c r="G8" s="76"/>
      <c r="H8" s="76" t="n">
        <f aca="false">IF(MONTH($X$1-WEEKDAY($X$1)+1+10)=MONTH($X$1),$X$1-WEEKDAY($X$1)+1+10,"")</f>
        <v>46337</v>
      </c>
      <c r="I8" s="76"/>
      <c r="J8" s="76" t="n">
        <f aca="false">IF(MONTH($X$1-WEEKDAY($X$1)+1+11)=MONTH($X$1),$X$1-WEEKDAY($X$1)+1+11,"")</f>
        <v>46338</v>
      </c>
      <c r="K8" s="76"/>
      <c r="L8" s="76" t="n">
        <f aca="false">IF(MONTH($X$1-WEEKDAY($X$1)+1+12)=MONTH($X$1),$X$1-WEEKDAY($X$1)+1+12,"")</f>
        <v>46339</v>
      </c>
      <c r="M8" s="76"/>
      <c r="N8" s="76" t="n">
        <f aca="false">IF(MONTH($X$1-WEEKDAY($X$1)+1+13)=MONTH($X$1),$X$1-WEEKDAY($X$1)+1+13,"")</f>
        <v>46340</v>
      </c>
      <c r="O8" s="76"/>
    </row>
    <row r="9" customFormat="false" ht="25.5" hidden="false" customHeight="true" outlineLevel="0" collapsed="false">
      <c r="B9" s="77" t="str">
        <f aca="false">IF(B8="","",TRIM(IF(COUNTIFS($C$22:$C$150,B8,$D$22:$D$150,"*Vistoria*",$Q$22:$Q$150,"&lt;&gt;Cancelada")&gt;0,"Vistoria ","")&amp;IF(COUNTIFS($C$22:$C$150,B8,$D$22:$D$150,"*Relatório*",$Q$22:$Q$150,"&lt;&gt;Cancelada")&gt;0,"Relatório ","")&amp;IF(COUNTIFS($C$22:$C$150,B8,$D$22:$D$150,"*Reunião*",$Q$22:$Q$150,"&lt;&gt;Cancelada")&gt;0,"REUNIÃO ","")&amp;IF(COUNTIFS($C$22:$C$150,B8,$D$22:$D$150,"*Férias*",$Q$22:$Q$150,"&lt;&gt;Cancelada")&gt;0,"Férias ","")&amp;IF(COUNTIFS($C$22:$C$150,B8,$D$22:$D$150,"*Mudança*",$Q$22:$Q$150,"&lt;&gt;Cancelada")&gt;0,"M.Função ","")&amp;IF(COUNTIFS($C$22:$C$150,B8,$D$22:$D$150,"*Treinamento*",$Q$22:$Q$150,"&lt;&gt;Cancelada")&gt;0,"Trein. ","")))</f>
        <v/>
      </c>
      <c r="C9" s="77"/>
      <c r="D9" s="77" t="str">
        <f aca="false">IF(D8="","",TRIM(IF(COUNTIFS($C$22:$C$150,D8,$D$22:$D$150,"*Vistoria*",$Q$22:$Q$150,"&lt;&gt;Cancelada")&gt;0,"Vistoria ","")&amp;IF(COUNTIFS($C$22:$C$150,D8,$D$22:$D$150,"*Relatório*",$Q$22:$Q$150,"&lt;&gt;Cancelada")&gt;0,"Relatório ","")&amp;IF(COUNTIFS($C$22:$C$150,D8,$D$22:$D$150,"*Reunião*",$Q$22:$Q$150,"&lt;&gt;Cancelada")&gt;0,"REUNIÃO ","")&amp;IF(COUNTIFS($C$22:$C$150,D8,$D$22:$D$150,"*Férias*",$Q$22:$Q$150,"&lt;&gt;Cancelada")&gt;0,"Férias ","")&amp;IF(COUNTIFS($C$22:$C$150,D8,$D$22:$D$150,"*Mudança*",$Q$22:$Q$150,"&lt;&gt;Cancelada")&gt;0,"M.Função ","")&amp;IF(COUNTIFS($C$22:$C$150,D8,$D$22:$D$150,"*Treinamento*",$Q$22:$Q$150,"&lt;&gt;Cancelada")&gt;0,"Trein. ","")))</f>
        <v/>
      </c>
      <c r="E9" s="77"/>
      <c r="F9" s="77" t="str">
        <f aca="false">IF(F8="","",TRIM(IF(COUNTIFS($C$22:$C$150,F8,$D$22:$D$150,"*Vistoria*",$Q$22:$Q$150,"&lt;&gt;Cancelada")&gt;0,"Vistoria ","")&amp;IF(COUNTIFS($C$22:$C$150,F8,$D$22:$D$150,"*Relatório*",$Q$22:$Q$150,"&lt;&gt;Cancelada")&gt;0,"Relatório ","")&amp;IF(COUNTIFS($C$22:$C$150,F8,$D$22:$D$150,"*Reunião*",$Q$22:$Q$150,"&lt;&gt;Cancelada")&gt;0,"REUNIÃO ","")&amp;IF(COUNTIFS($C$22:$C$150,F8,$D$22:$D$150,"*Férias*",$Q$22:$Q$150,"&lt;&gt;Cancelada")&gt;0,"Férias ","")&amp;IF(COUNTIFS($C$22:$C$150,F8,$D$22:$D$150,"*Mudança*",$Q$22:$Q$150,"&lt;&gt;Cancelada")&gt;0,"M.Função ","")&amp;IF(COUNTIFS($C$22:$C$150,F8,$D$22:$D$150,"*Treinamento*",$Q$22:$Q$150,"&lt;&gt;Cancelada")&gt;0,"Trein. ","")))</f>
        <v/>
      </c>
      <c r="G9" s="77"/>
      <c r="H9" s="77" t="str">
        <f aca="false">IF(H8="","",TRIM(IF(COUNTIFS($C$22:$C$150,H8,$D$22:$D$150,"*Vistoria*",$Q$22:$Q$150,"&lt;&gt;Cancelada")&gt;0,"Vistoria ","")&amp;IF(COUNTIFS($C$22:$C$150,H8,$D$22:$D$150,"*Relatório*",$Q$22:$Q$150,"&lt;&gt;Cancelada")&gt;0,"Relatório ","")&amp;IF(COUNTIFS($C$22:$C$150,H8,$D$22:$D$150,"*Reunião*",$Q$22:$Q$150,"&lt;&gt;Cancelada")&gt;0,"REUNIÃO ","")&amp;IF(COUNTIFS($C$22:$C$150,H8,$D$22:$D$150,"*Férias*",$Q$22:$Q$150,"&lt;&gt;Cancelada")&gt;0,"Férias ","")&amp;IF(COUNTIFS($C$22:$C$150,H8,$D$22:$D$150,"*Mudança*",$Q$22:$Q$150,"&lt;&gt;Cancelada")&gt;0,"M.Função ","")&amp;IF(COUNTIFS($C$22:$C$150,H8,$D$22:$D$150,"*Treinamento*",$Q$22:$Q$150,"&lt;&gt;Cancelada")&gt;0,"Trein. ","")))</f>
        <v>Vistoria</v>
      </c>
      <c r="I9" s="77"/>
      <c r="J9" s="77" t="str">
        <f aca="false">IF(J8="","",TRIM(IF(COUNTIFS($C$22:$C$150,J8,$D$22:$D$150,"*Vistoria*",$Q$22:$Q$150,"&lt;&gt;Cancelada")&gt;0,"Vistoria ","")&amp;IF(COUNTIFS($C$22:$C$150,J8,$D$22:$D$150,"*Relatório*",$Q$22:$Q$150,"&lt;&gt;Cancelada")&gt;0,"Relatório ","")&amp;IF(COUNTIFS($C$22:$C$150,J8,$D$22:$D$150,"*Reunião*",$Q$22:$Q$150,"&lt;&gt;Cancelada")&gt;0,"REUNIÃO ","")&amp;IF(COUNTIFS($C$22:$C$150,J8,$D$22:$D$150,"*Férias*",$Q$22:$Q$150,"&lt;&gt;Cancelada")&gt;0,"Férias ","")&amp;IF(COUNTIFS($C$22:$C$150,J8,$D$22:$D$150,"*Mudança*",$Q$22:$Q$150,"&lt;&gt;Cancelada")&gt;0,"M.Função ","")&amp;IF(COUNTIFS($C$22:$C$150,J8,$D$22:$D$150,"*Treinamento*",$Q$22:$Q$150,"&lt;&gt;Cancelada")&gt;0,"Trein. ","")))</f>
        <v>Relatório</v>
      </c>
      <c r="K9" s="77"/>
      <c r="L9" s="77" t="str">
        <f aca="false">IF(L8="","",TRIM(IF(COUNTIFS($C$22:$C$150,L8,$D$22:$D$150,"*Vistoria*",$Q$22:$Q$150,"&lt;&gt;Cancelada")&gt;0,"Vistoria ","")&amp;IF(COUNTIFS($C$22:$C$150,L8,$D$22:$D$150,"*Relatório*",$Q$22:$Q$150,"&lt;&gt;Cancelada")&gt;0,"Relatório ","")&amp;IF(COUNTIFS($C$22:$C$150,L8,$D$22:$D$150,"*Reunião*",$Q$22:$Q$150,"&lt;&gt;Cancelada")&gt;0,"REUNIÃO ","")&amp;IF(COUNTIFS($C$22:$C$150,L8,$D$22:$D$150,"*Férias*",$Q$22:$Q$150,"&lt;&gt;Cancelada")&gt;0,"Férias ","")&amp;IF(COUNTIFS($C$22:$C$150,L8,$D$22:$D$150,"*Mudança*",$Q$22:$Q$150,"&lt;&gt;Cancelada")&gt;0,"M.Função ","")&amp;IF(COUNTIFS($C$22:$C$150,L8,$D$22:$D$150,"*Treinamento*",$Q$22:$Q$150,"&lt;&gt;Cancelada")&gt;0,"Trein. ","")))</f>
        <v>REUNIÃO</v>
      </c>
      <c r="M9" s="77"/>
      <c r="N9" s="77" t="str">
        <f aca="false">IF(N8="","",TRIM(IF(COUNTIFS($C$22:$C$150,N8,$D$22:$D$150,"*Vistoria*",$Q$22:$Q$150,"&lt;&gt;Cancelada")&gt;0,"Vistoria ","")&amp;IF(COUNTIFS($C$22:$C$150,N8,$D$22:$D$150,"*Relatório*",$Q$22:$Q$150,"&lt;&gt;Cancelada")&gt;0,"Relatório ","")&amp;IF(COUNTIFS($C$22:$C$150,N8,$D$22:$D$150,"*Reunião*",$Q$22:$Q$150,"&lt;&gt;Cancelada")&gt;0,"REUNIÃO ","")&amp;IF(COUNTIFS($C$22:$C$150,N8,$D$22:$D$150,"*Férias*",$Q$22:$Q$150,"&lt;&gt;Cancelada")&gt;0,"Férias ","")&amp;IF(COUNTIFS($C$22:$C$150,N8,$D$22:$D$150,"*Mudança*",$Q$22:$Q$150,"&lt;&gt;Cancelada")&gt;0,"M.Função ","")&amp;IF(COUNTIFS($C$22:$C$150,N8,$D$22:$D$150,"*Treinamento*",$Q$22:$Q$150,"&lt;&gt;Cancelada")&gt;0,"Trein. ","")))</f>
        <v/>
      </c>
      <c r="O9" s="77"/>
    </row>
    <row r="10" customFormat="false" ht="15" hidden="false" customHeight="true" outlineLevel="0" collapsed="false">
      <c r="B10" s="76" t="n">
        <f aca="false">IF(MONTH($X$1-WEEKDAY($X$1)+1+14)=MONTH($X$1),$X$1-WEEKDAY($X$1)+1+14,"")</f>
        <v>46341</v>
      </c>
      <c r="C10" s="76"/>
      <c r="D10" s="76" t="n">
        <f aca="false">IF(MONTH($X$1-WEEKDAY($X$1)+1+15)=MONTH($X$1),$X$1-WEEKDAY($X$1)+1+15,"")</f>
        <v>46342</v>
      </c>
      <c r="E10" s="76"/>
      <c r="F10" s="76" t="n">
        <f aca="false">IF(MONTH($X$1-WEEKDAY($X$1)+1+16)=MONTH($X$1),$X$1-WEEKDAY($X$1)+1+16,"")</f>
        <v>46343</v>
      </c>
      <c r="G10" s="76"/>
      <c r="H10" s="76" t="n">
        <f aca="false">IF(MONTH($X$1-WEEKDAY($X$1)+1+17)=MONTH($X$1),$X$1-WEEKDAY($X$1)+1+17,"")</f>
        <v>46344</v>
      </c>
      <c r="I10" s="76"/>
      <c r="J10" s="76" t="n">
        <f aca="false">IF(MONTH($X$1-WEEKDAY($X$1)+1+18)=MONTH($X$1),$X$1-WEEKDAY($X$1)+1+18,"")</f>
        <v>46345</v>
      </c>
      <c r="K10" s="76"/>
      <c r="L10" s="76" t="n">
        <f aca="false">IF(MONTH($X$1-WEEKDAY($X$1)+1+19)=MONTH($X$1),$X$1-WEEKDAY($X$1)+1+19,"")</f>
        <v>46346</v>
      </c>
      <c r="M10" s="76"/>
      <c r="N10" s="76" t="n">
        <f aca="false">IF(MONTH($X$1-WEEKDAY($X$1)+1+20)=MONTH($X$1),$X$1-WEEKDAY($X$1)+1+20,"")</f>
        <v>46347</v>
      </c>
      <c r="O10" s="76"/>
    </row>
    <row r="11" customFormat="false" ht="25.5" hidden="false" customHeight="true" outlineLevel="0" collapsed="false">
      <c r="B11" s="77" t="str">
        <f aca="false">IF(B10="","",TRIM(IF(COUNTIFS($C$22:$C$150,B10,$D$22:$D$150,"*Vistoria*",$Q$22:$Q$150,"&lt;&gt;Cancelada")&gt;0,"Vistoria ","")&amp;IF(COUNTIFS($C$22:$C$150,B10,$D$22:$D$150,"*Relatório*",$Q$22:$Q$150,"&lt;&gt;Cancelada")&gt;0,"Relatório ","")&amp;IF(COUNTIFS($C$22:$C$150,B10,$D$22:$D$150,"*Reunião*",$Q$22:$Q$150,"&lt;&gt;Cancelada")&gt;0,"REUNIÃO ","")&amp;IF(COUNTIFS($C$22:$C$150,B10,$D$22:$D$150,"*Férias*",$Q$22:$Q$150,"&lt;&gt;Cancelada")&gt;0,"Férias ","")&amp;IF(COUNTIFS($C$22:$C$150,B10,$D$22:$D$150,"*Mudança*",$Q$22:$Q$150,"&lt;&gt;Cancelada")&gt;0,"M.Função ","")&amp;IF(COUNTIFS($C$22:$C$150,B10,$D$22:$D$150,"*Treinamento*",$Q$22:$Q$150,"&lt;&gt;Cancelada")&gt;0,"Trein. ","")))</f>
        <v/>
      </c>
      <c r="C11" s="77"/>
      <c r="D11" s="77" t="str">
        <f aca="false">IF(D10="","",TRIM(IF(COUNTIFS($C$22:$C$150,D10,$D$22:$D$150,"*Vistoria*",$Q$22:$Q$150,"&lt;&gt;Cancelada")&gt;0,"Vistoria ","")&amp;IF(COUNTIFS($C$22:$C$150,D10,$D$22:$D$150,"*Relatório*",$Q$22:$Q$150,"&lt;&gt;Cancelada")&gt;0,"Relatório ","")&amp;IF(COUNTIFS($C$22:$C$150,D10,$D$22:$D$150,"*Reunião*",$Q$22:$Q$150,"&lt;&gt;Cancelada")&gt;0,"REUNIÃO ","")&amp;IF(COUNTIFS($C$22:$C$150,D10,$D$22:$D$150,"*Férias*",$Q$22:$Q$150,"&lt;&gt;Cancelada")&gt;0,"Férias ","")&amp;IF(COUNTIFS($C$22:$C$150,D10,$D$22:$D$150,"*Mudança*",$Q$22:$Q$150,"&lt;&gt;Cancelada")&gt;0,"M.Função ","")&amp;IF(COUNTIFS($C$22:$C$150,D10,$D$22:$D$150,"*Treinamento*",$Q$22:$Q$150,"&lt;&gt;Cancelada")&gt;0,"Trein. ","")))</f>
        <v/>
      </c>
      <c r="E11" s="77"/>
      <c r="F11" s="77" t="str">
        <f aca="false">IF(F10="","",TRIM(IF(COUNTIFS($C$22:$C$150,F10,$D$22:$D$150,"*Vistoria*",$Q$22:$Q$150,"&lt;&gt;Cancelada")&gt;0,"Vistoria ","")&amp;IF(COUNTIFS($C$22:$C$150,F10,$D$22:$D$150,"*Relatório*",$Q$22:$Q$150,"&lt;&gt;Cancelada")&gt;0,"Relatório ","")&amp;IF(COUNTIFS($C$22:$C$150,F10,$D$22:$D$150,"*Reunião*",$Q$22:$Q$150,"&lt;&gt;Cancelada")&gt;0,"REUNIÃO ","")&amp;IF(COUNTIFS($C$22:$C$150,F10,$D$22:$D$150,"*Férias*",$Q$22:$Q$150,"&lt;&gt;Cancelada")&gt;0,"Férias ","")&amp;IF(COUNTIFS($C$22:$C$150,F10,$D$22:$D$150,"*Mudança*",$Q$22:$Q$150,"&lt;&gt;Cancelada")&gt;0,"M.Função ","")&amp;IF(COUNTIFS($C$22:$C$150,F10,$D$22:$D$150,"*Treinamento*",$Q$22:$Q$150,"&lt;&gt;Cancelada")&gt;0,"Trein. ","")))</f>
        <v/>
      </c>
      <c r="G11" s="77"/>
      <c r="H11" s="77" t="str">
        <f aca="false">IF(H10="","",TRIM(IF(COUNTIFS($C$22:$C$150,H10,$D$22:$D$150,"*Vistoria*",$Q$22:$Q$150,"&lt;&gt;Cancelada")&gt;0,"Vistoria ","")&amp;IF(COUNTIFS($C$22:$C$150,H10,$D$22:$D$150,"*Relatório*",$Q$22:$Q$150,"&lt;&gt;Cancelada")&gt;0,"Relatório ","")&amp;IF(COUNTIFS($C$22:$C$150,H10,$D$22:$D$150,"*Reunião*",$Q$22:$Q$150,"&lt;&gt;Cancelada")&gt;0,"REUNIÃO ","")&amp;IF(COUNTIFS($C$22:$C$150,H10,$D$22:$D$150,"*Férias*",$Q$22:$Q$150,"&lt;&gt;Cancelada")&gt;0,"Férias ","")&amp;IF(COUNTIFS($C$22:$C$150,H10,$D$22:$D$150,"*Mudança*",$Q$22:$Q$150,"&lt;&gt;Cancelada")&gt;0,"M.Função ","")&amp;IF(COUNTIFS($C$22:$C$150,H10,$D$22:$D$150,"*Treinamento*",$Q$22:$Q$150,"&lt;&gt;Cancelada")&gt;0,"Trein. ","")))</f>
        <v>Vistoria</v>
      </c>
      <c r="I11" s="77"/>
      <c r="J11" s="77" t="str">
        <f aca="false">IF(J10="","",TRIM(IF(COUNTIFS($C$22:$C$150,J10,$D$22:$D$150,"*Vistoria*",$Q$22:$Q$150,"&lt;&gt;Cancelada")&gt;0,"Vistoria ","")&amp;IF(COUNTIFS($C$22:$C$150,J10,$D$22:$D$150,"*Relatório*",$Q$22:$Q$150,"&lt;&gt;Cancelada")&gt;0,"Relatório ","")&amp;IF(COUNTIFS($C$22:$C$150,J10,$D$22:$D$150,"*Reunião*",$Q$22:$Q$150,"&lt;&gt;Cancelada")&gt;0,"REUNIÃO ","")&amp;IF(COUNTIFS($C$22:$C$150,J10,$D$22:$D$150,"*Férias*",$Q$22:$Q$150,"&lt;&gt;Cancelada")&gt;0,"Férias ","")&amp;IF(COUNTIFS($C$22:$C$150,J10,$D$22:$D$150,"*Mudança*",$Q$22:$Q$150,"&lt;&gt;Cancelada")&gt;0,"M.Função ","")&amp;IF(COUNTIFS($C$22:$C$150,J10,$D$22:$D$150,"*Treinamento*",$Q$22:$Q$150,"&lt;&gt;Cancelada")&gt;0,"Trein. ","")))</f>
        <v>Relatório</v>
      </c>
      <c r="K11" s="77"/>
      <c r="L11" s="77" t="str">
        <f aca="false">IF(L10="","",TRIM(IF(COUNTIFS($C$22:$C$150,L10,$D$22:$D$150,"*Vistoria*",$Q$22:$Q$150,"&lt;&gt;Cancelada")&gt;0,"Vistoria ","")&amp;IF(COUNTIFS($C$22:$C$150,L10,$D$22:$D$150,"*Relatório*",$Q$22:$Q$150,"&lt;&gt;Cancelada")&gt;0,"Relatório ","")&amp;IF(COUNTIFS($C$22:$C$150,L10,$D$22:$D$150,"*Reunião*",$Q$22:$Q$150,"&lt;&gt;Cancelada")&gt;0,"REUNIÃO ","")&amp;IF(COUNTIFS($C$22:$C$150,L10,$D$22:$D$150,"*Férias*",$Q$22:$Q$150,"&lt;&gt;Cancelada")&gt;0,"Férias ","")&amp;IF(COUNTIFS($C$22:$C$150,L10,$D$22:$D$150,"*Mudança*",$Q$22:$Q$150,"&lt;&gt;Cancelada")&gt;0,"M.Função ","")&amp;IF(COUNTIFS($C$22:$C$150,L10,$D$22:$D$150,"*Treinamento*",$Q$22:$Q$150,"&lt;&gt;Cancelada")&gt;0,"Trein. ","")))</f>
        <v>REUNIÃO</v>
      </c>
      <c r="M11" s="77"/>
      <c r="N11" s="77" t="str">
        <f aca="false">IF(N10="","",TRIM(IF(COUNTIFS($C$22:$C$150,N10,$D$22:$D$150,"*Vistoria*",$Q$22:$Q$150,"&lt;&gt;Cancelada")&gt;0,"Vistoria ","")&amp;IF(COUNTIFS($C$22:$C$150,N10,$D$22:$D$150,"*Relatório*",$Q$22:$Q$150,"&lt;&gt;Cancelada")&gt;0,"Relatório ","")&amp;IF(COUNTIFS($C$22:$C$150,N10,$D$22:$D$150,"*Reunião*",$Q$22:$Q$150,"&lt;&gt;Cancelada")&gt;0,"REUNIÃO ","")&amp;IF(COUNTIFS($C$22:$C$150,N10,$D$22:$D$150,"*Férias*",$Q$22:$Q$150,"&lt;&gt;Cancelada")&gt;0,"Férias ","")&amp;IF(COUNTIFS($C$22:$C$150,N10,$D$22:$D$150,"*Mudança*",$Q$22:$Q$150,"&lt;&gt;Cancelada")&gt;0,"M.Função ","")&amp;IF(COUNTIFS($C$22:$C$150,N10,$D$22:$D$150,"*Treinamento*",$Q$22:$Q$150,"&lt;&gt;Cancelada")&gt;0,"Trein. ","")))</f>
        <v/>
      </c>
      <c r="O11" s="77"/>
    </row>
    <row r="12" customFormat="false" ht="15" hidden="false" customHeight="true" outlineLevel="0" collapsed="false">
      <c r="B12" s="76" t="n">
        <f aca="false">IF(MONTH($X$1-WEEKDAY($X$1)+1+21)=MONTH($X$1),$X$1-WEEKDAY($X$1)+1+21,"")</f>
        <v>46348</v>
      </c>
      <c r="C12" s="76"/>
      <c r="D12" s="76" t="n">
        <f aca="false">IF(MONTH($X$1-WEEKDAY($X$1)+1+22)=MONTH($X$1),$X$1-WEEKDAY($X$1)+1+22,"")</f>
        <v>46349</v>
      </c>
      <c r="E12" s="76"/>
      <c r="F12" s="76" t="n">
        <f aca="false">IF(MONTH($X$1-WEEKDAY($X$1)+1+23)=MONTH($X$1),$X$1-WEEKDAY($X$1)+1+23,"")</f>
        <v>46350</v>
      </c>
      <c r="G12" s="76"/>
      <c r="H12" s="76" t="n">
        <f aca="false">IF(MONTH($X$1-WEEKDAY($X$1)+1+24)=MONTH($X$1),$X$1-WEEKDAY($X$1)+1+24,"")</f>
        <v>46351</v>
      </c>
      <c r="I12" s="76"/>
      <c r="J12" s="76" t="n">
        <f aca="false">IF(MONTH($X$1-WEEKDAY($X$1)+1+25)=MONTH($X$1),$X$1-WEEKDAY($X$1)+1+25,"")</f>
        <v>46352</v>
      </c>
      <c r="K12" s="76"/>
      <c r="L12" s="76" t="n">
        <f aca="false">IF(MONTH($X$1-WEEKDAY($X$1)+1+26)=MONTH($X$1),$X$1-WEEKDAY($X$1)+1+26,"")</f>
        <v>46353</v>
      </c>
      <c r="M12" s="76"/>
      <c r="N12" s="76" t="n">
        <f aca="false">IF(MONTH($X$1-WEEKDAY($X$1)+1+27)=MONTH($X$1),$X$1-WEEKDAY($X$1)+1+27,"")</f>
        <v>46354</v>
      </c>
      <c r="O12" s="76"/>
    </row>
    <row r="13" customFormat="false" ht="25.5" hidden="false" customHeight="true" outlineLevel="0" collapsed="false">
      <c r="B13" s="77" t="str">
        <f aca="false">IF(B12="","",TRIM(IF(COUNTIFS($C$22:$C$150,B12,$D$22:$D$150,"*Vistoria*",$Q$22:$Q$150,"&lt;&gt;Cancelada")&gt;0,"Vistoria ","")&amp;IF(COUNTIFS($C$22:$C$150,B12,$D$22:$D$150,"*Relatório*",$Q$22:$Q$150,"&lt;&gt;Cancelada")&gt;0,"Relatório ","")&amp;IF(COUNTIFS($C$22:$C$150,B12,$D$22:$D$150,"*Reunião*",$Q$22:$Q$150,"&lt;&gt;Cancelada")&gt;0,"REUNIÃO ","")&amp;IF(COUNTIFS($C$22:$C$150,B12,$D$22:$D$150,"*Férias*",$Q$22:$Q$150,"&lt;&gt;Cancelada")&gt;0,"Férias ","")&amp;IF(COUNTIFS($C$22:$C$150,B12,$D$22:$D$150,"*Mudança*",$Q$22:$Q$150,"&lt;&gt;Cancelada")&gt;0,"M.Função ","")&amp;IF(COUNTIFS($C$22:$C$150,B12,$D$22:$D$150,"*Treinamento*",$Q$22:$Q$150,"&lt;&gt;Cancelada")&gt;0,"Trein. ","")))</f>
        <v/>
      </c>
      <c r="C13" s="77"/>
      <c r="D13" s="77" t="str">
        <f aca="false">IF(D12="","",TRIM(IF(COUNTIFS($C$22:$C$150,D12,$D$22:$D$150,"*Vistoria*",$Q$22:$Q$150,"&lt;&gt;Cancelada")&gt;0,"Vistoria ","")&amp;IF(COUNTIFS($C$22:$C$150,D12,$D$22:$D$150,"*Relatório*",$Q$22:$Q$150,"&lt;&gt;Cancelada")&gt;0,"Relatório ","")&amp;IF(COUNTIFS($C$22:$C$150,D12,$D$22:$D$150,"*Reunião*",$Q$22:$Q$150,"&lt;&gt;Cancelada")&gt;0,"REUNIÃO ","")&amp;IF(COUNTIFS($C$22:$C$150,D12,$D$22:$D$150,"*Férias*",$Q$22:$Q$150,"&lt;&gt;Cancelada")&gt;0,"Férias ","")&amp;IF(COUNTIFS($C$22:$C$150,D12,$D$22:$D$150,"*Mudança*",$Q$22:$Q$150,"&lt;&gt;Cancelada")&gt;0,"M.Função ","")&amp;IF(COUNTIFS($C$22:$C$150,D12,$D$22:$D$150,"*Treinamento*",$Q$22:$Q$150,"&lt;&gt;Cancelada")&gt;0,"Trein. ","")))</f>
        <v/>
      </c>
      <c r="E13" s="77"/>
      <c r="F13" s="77" t="str">
        <f aca="false">IF(F12="","",TRIM(IF(COUNTIFS($C$22:$C$150,F12,$D$22:$D$150,"*Vistoria*",$Q$22:$Q$150,"&lt;&gt;Cancelada")&gt;0,"Vistoria ","")&amp;IF(COUNTIFS($C$22:$C$150,F12,$D$22:$D$150,"*Relatório*",$Q$22:$Q$150,"&lt;&gt;Cancelada")&gt;0,"Relatório ","")&amp;IF(COUNTIFS($C$22:$C$150,F12,$D$22:$D$150,"*Reunião*",$Q$22:$Q$150,"&lt;&gt;Cancelada")&gt;0,"REUNIÃO ","")&amp;IF(COUNTIFS($C$22:$C$150,F12,$D$22:$D$150,"*Férias*",$Q$22:$Q$150,"&lt;&gt;Cancelada")&gt;0,"Férias ","")&amp;IF(COUNTIFS($C$22:$C$150,F12,$D$22:$D$150,"*Mudança*",$Q$22:$Q$150,"&lt;&gt;Cancelada")&gt;0,"M.Função ","")&amp;IF(COUNTIFS($C$22:$C$150,F12,$D$22:$D$150,"*Treinamento*",$Q$22:$Q$150,"&lt;&gt;Cancelada")&gt;0,"Trein. ","")))</f>
        <v/>
      </c>
      <c r="G13" s="77"/>
      <c r="H13" s="77" t="str">
        <f aca="false">IF(H12="","",TRIM(IF(COUNTIFS($C$22:$C$150,H12,$D$22:$D$150,"*Vistoria*",$Q$22:$Q$150,"&lt;&gt;Cancelada")&gt;0,"Vistoria ","")&amp;IF(COUNTIFS($C$22:$C$150,H12,$D$22:$D$150,"*Relatório*",$Q$22:$Q$150,"&lt;&gt;Cancelada")&gt;0,"Relatório ","")&amp;IF(COUNTIFS($C$22:$C$150,H12,$D$22:$D$150,"*Reunião*",$Q$22:$Q$150,"&lt;&gt;Cancelada")&gt;0,"REUNIÃO ","")&amp;IF(COUNTIFS($C$22:$C$150,H12,$D$22:$D$150,"*Férias*",$Q$22:$Q$150,"&lt;&gt;Cancelada")&gt;0,"Férias ","")&amp;IF(COUNTIFS($C$22:$C$150,H12,$D$22:$D$150,"*Mudança*",$Q$22:$Q$150,"&lt;&gt;Cancelada")&gt;0,"M.Função ","")&amp;IF(COUNTIFS($C$22:$C$150,H12,$D$22:$D$150,"*Treinamento*",$Q$22:$Q$150,"&lt;&gt;Cancelada")&gt;0,"Trein. ","")))</f>
        <v>Vistoria</v>
      </c>
      <c r="I13" s="77"/>
      <c r="J13" s="77" t="str">
        <f aca="false">IF(J12="","",TRIM(IF(COUNTIFS($C$22:$C$150,J12,$D$22:$D$150,"*Vistoria*",$Q$22:$Q$150,"&lt;&gt;Cancelada")&gt;0,"Vistoria ","")&amp;IF(COUNTIFS($C$22:$C$150,J12,$D$22:$D$150,"*Relatório*",$Q$22:$Q$150,"&lt;&gt;Cancelada")&gt;0,"Relatório ","")&amp;IF(COUNTIFS($C$22:$C$150,J12,$D$22:$D$150,"*Reunião*",$Q$22:$Q$150,"&lt;&gt;Cancelada")&gt;0,"REUNIÃO ","")&amp;IF(COUNTIFS($C$22:$C$150,J12,$D$22:$D$150,"*Férias*",$Q$22:$Q$150,"&lt;&gt;Cancelada")&gt;0,"Férias ","")&amp;IF(COUNTIFS($C$22:$C$150,J12,$D$22:$D$150,"*Mudança*",$Q$22:$Q$150,"&lt;&gt;Cancelada")&gt;0,"M.Função ","")&amp;IF(COUNTIFS($C$22:$C$150,J12,$D$22:$D$150,"*Treinamento*",$Q$22:$Q$150,"&lt;&gt;Cancelada")&gt;0,"Trein. ","")))</f>
        <v>Relatório</v>
      </c>
      <c r="K13" s="77"/>
      <c r="L13" s="77" t="str">
        <f aca="false">IF(L12="","",TRIM(IF(COUNTIFS($C$22:$C$150,L12,$D$22:$D$150,"*Vistoria*",$Q$22:$Q$150,"&lt;&gt;Cancelada")&gt;0,"Vistoria ","")&amp;IF(COUNTIFS($C$22:$C$150,L12,$D$22:$D$150,"*Relatório*",$Q$22:$Q$150,"&lt;&gt;Cancelada")&gt;0,"Relatório ","")&amp;IF(COUNTIFS($C$22:$C$150,L12,$D$22:$D$150,"*Reunião*",$Q$22:$Q$150,"&lt;&gt;Cancelada")&gt;0,"REUNIÃO ","")&amp;IF(COUNTIFS($C$22:$C$150,L12,$D$22:$D$150,"*Férias*",$Q$22:$Q$150,"&lt;&gt;Cancelada")&gt;0,"Férias ","")&amp;IF(COUNTIFS($C$22:$C$150,L12,$D$22:$D$150,"*Mudança*",$Q$22:$Q$150,"&lt;&gt;Cancelada")&gt;0,"M.Função ","")&amp;IF(COUNTIFS($C$22:$C$150,L12,$D$22:$D$150,"*Treinamento*",$Q$22:$Q$150,"&lt;&gt;Cancelada")&gt;0,"Trein. ","")))</f>
        <v>REUNIÃO M.Função</v>
      </c>
      <c r="M13" s="77"/>
      <c r="N13" s="77" t="str">
        <f aca="false">IF(N12="","",TRIM(IF(COUNTIFS($C$22:$C$150,N12,$D$22:$D$150,"*Vistoria*",$Q$22:$Q$150,"&lt;&gt;Cancelada")&gt;0,"Vistoria ","")&amp;IF(COUNTIFS($C$22:$C$150,N12,$D$22:$D$150,"*Relatório*",$Q$22:$Q$150,"&lt;&gt;Cancelada")&gt;0,"Relatório ","")&amp;IF(COUNTIFS($C$22:$C$150,N12,$D$22:$D$150,"*Reunião*",$Q$22:$Q$150,"&lt;&gt;Cancelada")&gt;0,"REUNIÃO ","")&amp;IF(COUNTIFS($C$22:$C$150,N12,$D$22:$D$150,"*Férias*",$Q$22:$Q$150,"&lt;&gt;Cancelada")&gt;0,"Férias ","")&amp;IF(COUNTIFS($C$22:$C$150,N12,$D$22:$D$150,"*Mudança*",$Q$22:$Q$150,"&lt;&gt;Cancelada")&gt;0,"M.Função ","")&amp;IF(COUNTIFS($C$22:$C$150,N12,$D$22:$D$150,"*Treinamento*",$Q$22:$Q$150,"&lt;&gt;Cancelada")&gt;0,"Trein. ","")))</f>
        <v/>
      </c>
      <c r="O13" s="77"/>
    </row>
    <row r="14" customFormat="false" ht="15" hidden="false" customHeight="true" outlineLevel="0" collapsed="false">
      <c r="B14" s="76" t="n">
        <f aca="false">IF(MONTH($X$1-WEEKDAY($X$1)+1+28)=MONTH($X$1),$X$1-WEEKDAY($X$1)+1+28,"")</f>
        <v>46355</v>
      </c>
      <c r="C14" s="76"/>
      <c r="D14" s="76" t="n">
        <f aca="false">IF(MONTH($X$1-WEEKDAY($X$1)+1+29)=MONTH($X$1),$X$1-WEEKDAY($X$1)+1+29,"")</f>
        <v>46356</v>
      </c>
      <c r="E14" s="76"/>
      <c r="F14" s="76" t="str">
        <f aca="false">IF(MONTH($X$1-WEEKDAY($X$1)+1+30)=MONTH($X$1),$X$1-WEEKDAY($X$1)+1+30,"")</f>
        <v/>
      </c>
      <c r="G14" s="76"/>
      <c r="H14" s="76" t="str">
        <f aca="false">IF(MONTH($X$1-WEEKDAY($X$1)+1+31)=MONTH($X$1),$X$1-WEEKDAY($X$1)+1+31,"")</f>
        <v/>
      </c>
      <c r="I14" s="76"/>
      <c r="J14" s="76" t="str">
        <f aca="false">IF(MONTH($X$1-WEEKDAY($X$1)+1+32)=MONTH($X$1),$X$1-WEEKDAY($X$1)+1+32,"")</f>
        <v/>
      </c>
      <c r="K14" s="76"/>
      <c r="L14" s="76" t="str">
        <f aca="false">IF(MONTH($X$1-WEEKDAY($X$1)+1+33)=MONTH($X$1),$X$1-WEEKDAY($X$1)+1+33,"")</f>
        <v/>
      </c>
      <c r="M14" s="76"/>
      <c r="N14" s="76" t="str">
        <f aca="false">IF(MONTH($X$1-WEEKDAY($X$1)+1+34)=MONTH($X$1),$X$1-WEEKDAY($X$1)+1+34,"")</f>
        <v/>
      </c>
      <c r="O14" s="76"/>
    </row>
    <row r="15" customFormat="false" ht="25.5" hidden="false" customHeight="true" outlineLevel="0" collapsed="false">
      <c r="B15" s="77" t="str">
        <f aca="false">IF(B14="","",TRIM(IF(COUNTIFS($C$22:$C$150,B14,$D$22:$D$150,"*Vistoria*",$Q$22:$Q$150,"&lt;&gt;Cancelada")&gt;0,"Vistoria ","")&amp;IF(COUNTIFS($C$22:$C$150,B14,$D$22:$D$150,"*Relatório*",$Q$22:$Q$150,"&lt;&gt;Cancelada")&gt;0,"Relatório ","")&amp;IF(COUNTIFS($C$22:$C$150,B14,$D$22:$D$150,"*Reunião*",$Q$22:$Q$150,"&lt;&gt;Cancelada")&gt;0,"REUNIÃO ","")&amp;IF(COUNTIFS($C$22:$C$150,B14,$D$22:$D$150,"*Férias*",$Q$22:$Q$150,"&lt;&gt;Cancelada")&gt;0,"Férias ","")&amp;IF(COUNTIFS($C$22:$C$150,B14,$D$22:$D$150,"*Mudança*",$Q$22:$Q$150,"&lt;&gt;Cancelada")&gt;0,"M.Função ","")&amp;IF(COUNTIFS($C$22:$C$150,B14,$D$22:$D$150,"*Treinamento*",$Q$22:$Q$150,"&lt;&gt;Cancelada")&gt;0,"Trein. ","")))</f>
        <v/>
      </c>
      <c r="C15" s="77"/>
      <c r="D15" s="77" t="str">
        <f aca="false">IF(D14="","",TRIM(IF(COUNTIFS($C$22:$C$150,D14,$D$22:$D$150,"*Vistoria*",$Q$22:$Q$150,"&lt;&gt;Cancelada")&gt;0,"Vistoria ","")&amp;IF(COUNTIFS($C$22:$C$150,D14,$D$22:$D$150,"*Relatório*",$Q$22:$Q$150,"&lt;&gt;Cancelada")&gt;0,"Relatório ","")&amp;IF(COUNTIFS($C$22:$C$150,D14,$D$22:$D$150,"*Reunião*",$Q$22:$Q$150,"&lt;&gt;Cancelada")&gt;0,"REUNIÃO ","")&amp;IF(COUNTIFS($C$22:$C$150,D14,$D$22:$D$150,"*Férias*",$Q$22:$Q$150,"&lt;&gt;Cancelada")&gt;0,"Férias ","")&amp;IF(COUNTIFS($C$22:$C$150,D14,$D$22:$D$150,"*Mudança*",$Q$22:$Q$150,"&lt;&gt;Cancelada")&gt;0,"M.Função ","")&amp;IF(COUNTIFS($C$22:$C$150,D14,$D$22:$D$150,"*Treinamento*",$Q$22:$Q$150,"&lt;&gt;Cancelada")&gt;0,"Trein. ","")))</f>
        <v/>
      </c>
      <c r="E15" s="77"/>
      <c r="F15" s="77" t="str">
        <f aca="false">IF(F14="","",TRIM(IF(COUNTIFS($C$22:$C$150,F14,$D$22:$D$150,"*Vistoria*",$Q$22:$Q$150,"&lt;&gt;Cancelada")&gt;0,"Vistoria ","")&amp;IF(COUNTIFS($C$22:$C$150,F14,$D$22:$D$150,"*Relatório*",$Q$22:$Q$150,"&lt;&gt;Cancelada")&gt;0,"Relatório ","")&amp;IF(COUNTIFS($C$22:$C$150,F14,$D$22:$D$150,"*Reunião*",$Q$22:$Q$150,"&lt;&gt;Cancelada")&gt;0,"REUNIÃO ","")&amp;IF(COUNTIFS($C$22:$C$150,F14,$D$22:$D$150,"*Férias*",$Q$22:$Q$150,"&lt;&gt;Cancelada")&gt;0,"Férias ","")&amp;IF(COUNTIFS($C$22:$C$150,F14,$D$22:$D$150,"*Mudança*",$Q$22:$Q$150,"&lt;&gt;Cancelada")&gt;0,"M.Função ","")&amp;IF(COUNTIFS($C$22:$C$150,F14,$D$22:$D$150,"*Treinamento*",$Q$22:$Q$150,"&lt;&gt;Cancelada")&gt;0,"Trein. ","")))</f>
        <v/>
      </c>
      <c r="G15" s="77"/>
      <c r="H15" s="77" t="str">
        <f aca="false">IF(H14="","",TRIM(IF(COUNTIFS($C$22:$C$150,H14,$D$22:$D$150,"*Vistoria*",$Q$22:$Q$150,"&lt;&gt;Cancelada")&gt;0,"Vistoria ","")&amp;IF(COUNTIFS($C$22:$C$150,H14,$D$22:$D$150,"*Relatório*",$Q$22:$Q$150,"&lt;&gt;Cancelada")&gt;0,"Relatório ","")&amp;IF(COUNTIFS($C$22:$C$150,H14,$D$22:$D$150,"*Reunião*",$Q$22:$Q$150,"&lt;&gt;Cancelada")&gt;0,"REUNIÃO ","")&amp;IF(COUNTIFS($C$22:$C$150,H14,$D$22:$D$150,"*Férias*",$Q$22:$Q$150,"&lt;&gt;Cancelada")&gt;0,"Férias ","")&amp;IF(COUNTIFS($C$22:$C$150,H14,$D$22:$D$150,"*Mudança*",$Q$22:$Q$150,"&lt;&gt;Cancelada")&gt;0,"M.Função ","")&amp;IF(COUNTIFS($C$22:$C$150,H14,$D$22:$D$150,"*Treinamento*",$Q$22:$Q$150,"&lt;&gt;Cancelada")&gt;0,"Trein. ","")))</f>
        <v/>
      </c>
      <c r="I15" s="77"/>
      <c r="J15" s="77" t="str">
        <f aca="false">IF(J14="","",TRIM(IF(COUNTIFS($C$22:$C$150,J14,$D$22:$D$150,"*Vistoria*",$Q$22:$Q$150,"&lt;&gt;Cancelada")&gt;0,"Vistoria ","")&amp;IF(COUNTIFS($C$22:$C$150,J14,$D$22:$D$150,"*Relatório*",$Q$22:$Q$150,"&lt;&gt;Cancelada")&gt;0,"Relatório ","")&amp;IF(COUNTIFS($C$22:$C$150,J14,$D$22:$D$150,"*Reunião*",$Q$22:$Q$150,"&lt;&gt;Cancelada")&gt;0,"REUNIÃO ","")&amp;IF(COUNTIFS($C$22:$C$150,J14,$D$22:$D$150,"*Férias*",$Q$22:$Q$150,"&lt;&gt;Cancelada")&gt;0,"Férias ","")&amp;IF(COUNTIFS($C$22:$C$150,J14,$D$22:$D$150,"*Mudança*",$Q$22:$Q$150,"&lt;&gt;Cancelada")&gt;0,"M.Função ","")&amp;IF(COUNTIFS($C$22:$C$150,J14,$D$22:$D$150,"*Treinamento*",$Q$22:$Q$150,"&lt;&gt;Cancelada")&gt;0,"Trein. ","")))</f>
        <v/>
      </c>
      <c r="K15" s="77"/>
      <c r="L15" s="77" t="str">
        <f aca="false">IF(L14="","",TRIM(IF(COUNTIFS($C$22:$C$150,L14,$D$22:$D$150,"*Vistoria*",$Q$22:$Q$150,"&lt;&gt;Cancelada")&gt;0,"Vistoria ","")&amp;IF(COUNTIFS($C$22:$C$150,L14,$D$22:$D$150,"*Relatório*",$Q$22:$Q$150,"&lt;&gt;Cancelada")&gt;0,"Relatório ","")&amp;IF(COUNTIFS($C$22:$C$150,L14,$D$22:$D$150,"*Reunião*",$Q$22:$Q$150,"&lt;&gt;Cancelada")&gt;0,"REUNIÃO ","")&amp;IF(COUNTIFS($C$22:$C$150,L14,$D$22:$D$150,"*Férias*",$Q$22:$Q$150,"&lt;&gt;Cancelada")&gt;0,"Férias ","")&amp;IF(COUNTIFS($C$22:$C$150,L14,$D$22:$D$150,"*Mudança*",$Q$22:$Q$150,"&lt;&gt;Cancelada")&gt;0,"M.Função ","")&amp;IF(COUNTIFS($C$22:$C$150,L14,$D$22:$D$150,"*Treinamento*",$Q$22:$Q$150,"&lt;&gt;Cancelada")&gt;0,"Trein. ","")))</f>
        <v/>
      </c>
      <c r="M15" s="77"/>
      <c r="N15" s="77" t="str">
        <f aca="false">IF(N14="","",TRIM(IF(COUNTIFS($C$22:$C$150,N14,$D$22:$D$150,"*Vistoria*",$Q$22:$Q$150,"&lt;&gt;Cancelada")&gt;0,"Vistoria ","")&amp;IF(COUNTIFS($C$22:$C$150,N14,$D$22:$D$150,"*Relatório*",$Q$22:$Q$150,"&lt;&gt;Cancelada")&gt;0,"Relatório ","")&amp;IF(COUNTIFS($C$22:$C$150,N14,$D$22:$D$150,"*Reunião*",$Q$22:$Q$150,"&lt;&gt;Cancelada")&gt;0,"REUNIÃO ","")&amp;IF(COUNTIFS($C$22:$C$150,N14,$D$22:$D$150,"*Férias*",$Q$22:$Q$150,"&lt;&gt;Cancelada")&gt;0,"Férias ","")&amp;IF(COUNTIFS($C$22:$C$150,N14,$D$22:$D$150,"*Mudança*",$Q$22:$Q$150,"&lt;&gt;Cancelada")&gt;0,"M.Função ","")&amp;IF(COUNTIFS($C$22:$C$150,N14,$D$22:$D$150,"*Treinamento*",$Q$22:$Q$150,"&lt;&gt;Cancelada")&gt;0,"Trein. ","")))</f>
        <v/>
      </c>
      <c r="O15" s="77"/>
    </row>
    <row r="16" customFormat="false" ht="15" hidden="false" customHeight="true" outlineLevel="0" collapsed="false">
      <c r="B16" s="76" t="str">
        <f aca="false">IF(MONTH($X$1-WEEKDAY($X$1)+1+35)=MONTH($X$1),$X$1-WEEKDAY($X$1)+1+35,"")</f>
        <v/>
      </c>
      <c r="C16" s="76"/>
      <c r="D16" s="76" t="str">
        <f aca="false">IF(MONTH($X$1-WEEKDAY($X$1)+1+36)=MONTH($X$1),$X$1-WEEKDAY($X$1)+1+36,"")</f>
        <v/>
      </c>
      <c r="E16" s="76"/>
      <c r="F16" s="76" t="str">
        <f aca="false">IF(MONTH($X$1-WEEKDAY($X$1)+1+37)=MONTH($X$1),$X$1-WEEKDAY($X$1)+1+37,"")</f>
        <v/>
      </c>
      <c r="G16" s="76"/>
      <c r="H16" s="76" t="str">
        <f aca="false">IF(MONTH($X$1-WEEKDAY($X$1)+1+38)=MONTH($X$1),$X$1-WEEKDAY($X$1)+1+38,"")</f>
        <v/>
      </c>
      <c r="I16" s="76"/>
      <c r="J16" s="76" t="str">
        <f aca="false">IF(MONTH($X$1-WEEKDAY($X$1)+1+39)=MONTH($X$1),$X$1-WEEKDAY($X$1)+1+39,"")</f>
        <v/>
      </c>
      <c r="K16" s="76"/>
      <c r="L16" s="76" t="str">
        <f aca="false">IF(MONTH($X$1-WEEKDAY($X$1)+1+40)=MONTH($X$1),$X$1-WEEKDAY($X$1)+1+40,"")</f>
        <v/>
      </c>
      <c r="M16" s="76"/>
      <c r="N16" s="76" t="str">
        <f aca="false">IF(MONTH($X$1-WEEKDAY($X$1)+1+41)=MONTH($X$1),$X$1-WEEKDAY($X$1)+1+41,"")</f>
        <v/>
      </c>
      <c r="O16" s="76"/>
    </row>
    <row r="17" customFormat="false" ht="25.5" hidden="false" customHeight="true" outlineLevel="0" collapsed="false">
      <c r="B17" s="77" t="str">
        <f aca="false">IF(B16="","",TRIM(IF(COUNTIFS($C$22:$C$150,B16,$D$22:$D$150,"*Vistoria*",$Q$22:$Q$150,"&lt;&gt;Cancelada")&gt;0,"Vistoria ","")&amp;IF(COUNTIFS($C$22:$C$150,B16,$D$22:$D$150,"*Relatório*",$Q$22:$Q$150,"&lt;&gt;Cancelada")&gt;0,"Relatório ","")&amp;IF(COUNTIFS($C$22:$C$150,B16,$D$22:$D$150,"*Reunião*",$Q$22:$Q$150,"&lt;&gt;Cancelada")&gt;0,"REUNIÃO ","")&amp;IF(COUNTIFS($C$22:$C$150,B16,$D$22:$D$150,"*Férias*",$Q$22:$Q$150,"&lt;&gt;Cancelada")&gt;0,"Férias ","")&amp;IF(COUNTIFS($C$22:$C$150,B16,$D$22:$D$150,"*Mudança*",$Q$22:$Q$150,"&lt;&gt;Cancelada")&gt;0,"M.Função ","")&amp;IF(COUNTIFS($C$22:$C$150,B16,$D$22:$D$150,"*Treinamento*",$Q$22:$Q$150,"&lt;&gt;Cancelada")&gt;0,"Trein. ","")))</f>
        <v/>
      </c>
      <c r="C17" s="77"/>
      <c r="D17" s="77" t="str">
        <f aca="false">IF(D16="","",TRIM(IF(COUNTIFS($C$22:$C$150,D16,$D$22:$D$150,"*Vistoria*",$Q$22:$Q$150,"&lt;&gt;Cancelada")&gt;0,"Vistoria ","")&amp;IF(COUNTIFS($C$22:$C$150,D16,$D$22:$D$150,"*Relatório*",$Q$22:$Q$150,"&lt;&gt;Cancelada")&gt;0,"Relatório ","")&amp;IF(COUNTIFS($C$22:$C$150,D16,$D$22:$D$150,"*Reunião*",$Q$22:$Q$150,"&lt;&gt;Cancelada")&gt;0,"REUNIÃO ","")&amp;IF(COUNTIFS($C$22:$C$150,D16,$D$22:$D$150,"*Férias*",$Q$22:$Q$150,"&lt;&gt;Cancelada")&gt;0,"Férias ","")&amp;IF(COUNTIFS($C$22:$C$150,D16,$D$22:$D$150,"*Mudança*",$Q$22:$Q$150,"&lt;&gt;Cancelada")&gt;0,"M.Função ","")&amp;IF(COUNTIFS($C$22:$C$150,D16,$D$22:$D$150,"*Treinamento*",$Q$22:$Q$150,"&lt;&gt;Cancelada")&gt;0,"Trein. ","")))</f>
        <v/>
      </c>
      <c r="E17" s="77"/>
      <c r="F17" s="77" t="str">
        <f aca="false">IF(F16="","",TRIM(IF(COUNTIFS($C$22:$C$150,F16,$D$22:$D$150,"*Vistoria*",$Q$22:$Q$150,"&lt;&gt;Cancelada")&gt;0,"Vistoria ","")&amp;IF(COUNTIFS($C$22:$C$150,F16,$D$22:$D$150,"*Relatório*",$Q$22:$Q$150,"&lt;&gt;Cancelada")&gt;0,"Relatório ","")&amp;IF(COUNTIFS($C$22:$C$150,F16,$D$22:$D$150,"*Reunião*",$Q$22:$Q$150,"&lt;&gt;Cancelada")&gt;0,"REUNIÃO ","")&amp;IF(COUNTIFS($C$22:$C$150,F16,$D$22:$D$150,"*Férias*",$Q$22:$Q$150,"&lt;&gt;Cancelada")&gt;0,"Férias ","")&amp;IF(COUNTIFS($C$22:$C$150,F16,$D$22:$D$150,"*Mudança*",$Q$22:$Q$150,"&lt;&gt;Cancelada")&gt;0,"M.Função ","")&amp;IF(COUNTIFS($C$22:$C$150,F16,$D$22:$D$150,"*Treinamento*",$Q$22:$Q$150,"&lt;&gt;Cancelada")&gt;0,"Trein. ","")))</f>
        <v/>
      </c>
      <c r="G17" s="77"/>
      <c r="H17" s="77" t="str">
        <f aca="false">IF(H16="","",TRIM(IF(COUNTIFS($C$22:$C$150,H16,$D$22:$D$150,"*Vistoria*",$Q$22:$Q$150,"&lt;&gt;Cancelada")&gt;0,"Vistoria ","")&amp;IF(COUNTIFS($C$22:$C$150,H16,$D$22:$D$150,"*Relatório*",$Q$22:$Q$150,"&lt;&gt;Cancelada")&gt;0,"Relatório ","")&amp;IF(COUNTIFS($C$22:$C$150,H16,$D$22:$D$150,"*Reunião*",$Q$22:$Q$150,"&lt;&gt;Cancelada")&gt;0,"REUNIÃO ","")&amp;IF(COUNTIFS($C$22:$C$150,H16,$D$22:$D$150,"*Férias*",$Q$22:$Q$150,"&lt;&gt;Cancelada")&gt;0,"Férias ","")&amp;IF(COUNTIFS($C$22:$C$150,H16,$D$22:$D$150,"*Mudança*",$Q$22:$Q$150,"&lt;&gt;Cancelada")&gt;0,"M.Função ","")&amp;IF(COUNTIFS($C$22:$C$150,H16,$D$22:$D$150,"*Treinamento*",$Q$22:$Q$150,"&lt;&gt;Cancelada")&gt;0,"Trein. ","")))</f>
        <v/>
      </c>
      <c r="I17" s="77"/>
      <c r="J17" s="77" t="str">
        <f aca="false">IF(J16="","",TRIM(IF(COUNTIFS($C$22:$C$150,J16,$D$22:$D$150,"*Vistoria*",$Q$22:$Q$150,"&lt;&gt;Cancelada")&gt;0,"Vistoria ","")&amp;IF(COUNTIFS($C$22:$C$150,J16,$D$22:$D$150,"*Relatório*",$Q$22:$Q$150,"&lt;&gt;Cancelada")&gt;0,"Relatório ","")&amp;IF(COUNTIFS($C$22:$C$150,J16,$D$22:$D$150,"*Reunião*",$Q$22:$Q$150,"&lt;&gt;Cancelada")&gt;0,"REUNIÃO ","")&amp;IF(COUNTIFS($C$22:$C$150,J16,$D$22:$D$150,"*Férias*",$Q$22:$Q$150,"&lt;&gt;Cancelada")&gt;0,"Férias ","")&amp;IF(COUNTIFS($C$22:$C$150,J16,$D$22:$D$150,"*Mudança*",$Q$22:$Q$150,"&lt;&gt;Cancelada")&gt;0,"M.Função ","")&amp;IF(COUNTIFS($C$22:$C$150,J16,$D$22:$D$150,"*Treinamento*",$Q$22:$Q$150,"&lt;&gt;Cancelada")&gt;0,"Trein. ","")))</f>
        <v/>
      </c>
      <c r="K17" s="77"/>
      <c r="L17" s="77" t="str">
        <f aca="false">IF(L16="","",TRIM(IF(COUNTIFS($C$22:$C$150,L16,$D$22:$D$150,"*Vistoria*",$Q$22:$Q$150,"&lt;&gt;Cancelada")&gt;0,"Vistoria ","")&amp;IF(COUNTIFS($C$22:$C$150,L16,$D$22:$D$150,"*Relatório*",$Q$22:$Q$150,"&lt;&gt;Cancelada")&gt;0,"Relatório ","")&amp;IF(COUNTIFS($C$22:$C$150,L16,$D$22:$D$150,"*Reunião*",$Q$22:$Q$150,"&lt;&gt;Cancelada")&gt;0,"REUNIÃO ","")&amp;IF(COUNTIFS($C$22:$C$150,L16,$D$22:$D$150,"*Férias*",$Q$22:$Q$150,"&lt;&gt;Cancelada")&gt;0,"Férias ","")&amp;IF(COUNTIFS($C$22:$C$150,L16,$D$22:$D$150,"*Mudança*",$Q$22:$Q$150,"&lt;&gt;Cancelada")&gt;0,"M.Função ","")&amp;IF(COUNTIFS($C$22:$C$150,L16,$D$22:$D$150,"*Treinamento*",$Q$22:$Q$150,"&lt;&gt;Cancelada")&gt;0,"Trein. ","")))</f>
        <v/>
      </c>
      <c r="M17" s="77"/>
      <c r="N17" s="77" t="str">
        <f aca="false">IF(N16="","",TRIM(IF(COUNTIFS($C$22:$C$150,N16,$D$22:$D$150,"*Vistoria*",$Q$22:$Q$150,"&lt;&gt;Cancelada")&gt;0,"Vistoria ","")&amp;IF(COUNTIFS($C$22:$C$150,N16,$D$22:$D$150,"*Relatório*",$Q$22:$Q$150,"&lt;&gt;Cancelada")&gt;0,"Relatório ","")&amp;IF(COUNTIFS($C$22:$C$150,N16,$D$22:$D$150,"*Reunião*",$Q$22:$Q$150,"&lt;&gt;Cancelada")&gt;0,"REUNIÃO ","")&amp;IF(COUNTIFS($C$22:$C$150,N16,$D$22:$D$150,"*Férias*",$Q$22:$Q$150,"&lt;&gt;Cancelada")&gt;0,"Férias ","")&amp;IF(COUNTIFS($C$22:$C$150,N16,$D$22:$D$150,"*Mudança*",$Q$22:$Q$150,"&lt;&gt;Cancelada")&gt;0,"M.Função ","")&amp;IF(COUNTIFS($C$22:$C$150,N16,$D$22:$D$150,"*Treinamento*",$Q$22:$Q$150,"&lt;&gt;Cancelada")&gt;0,"Trein. ","")))</f>
        <v/>
      </c>
      <c r="O17" s="77"/>
    </row>
    <row r="18" customFormat="false" ht="15" hidden="false" customHeight="true" outlineLevel="0" collapsed="false">
      <c r="B18" s="46" t="s">
        <v>213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</row>
    <row r="20" customFormat="false" ht="15" hidden="false" customHeight="true" outlineLevel="0" collapsed="false">
      <c r="A20" s="78" t="s">
        <v>214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</row>
    <row r="21" customFormat="false" ht="24" hidden="false" customHeight="true" outlineLevel="0" collapsed="false">
      <c r="A21" s="79" t="s">
        <v>215</v>
      </c>
      <c r="B21" s="79" t="s">
        <v>157</v>
      </c>
      <c r="C21" s="79" t="s">
        <v>216</v>
      </c>
      <c r="D21" s="79" t="s">
        <v>217</v>
      </c>
      <c r="E21" s="79"/>
      <c r="F21" s="79"/>
      <c r="G21" s="79" t="s">
        <v>58</v>
      </c>
      <c r="H21" s="79" t="s">
        <v>218</v>
      </c>
      <c r="I21" s="79"/>
      <c r="J21" s="79" t="s">
        <v>219</v>
      </c>
      <c r="K21" s="79" t="s">
        <v>61</v>
      </c>
      <c r="L21" s="79" t="s">
        <v>220</v>
      </c>
      <c r="M21" s="79" t="s">
        <v>221</v>
      </c>
      <c r="N21" s="79"/>
      <c r="O21" s="79"/>
      <c r="P21" s="79" t="s">
        <v>222</v>
      </c>
      <c r="Q21" s="79" t="s">
        <v>223</v>
      </c>
      <c r="R21" s="79" t="s">
        <v>224</v>
      </c>
      <c r="S21" s="79" t="s">
        <v>225</v>
      </c>
      <c r="T21" s="79" t="s">
        <v>226</v>
      </c>
      <c r="U21" s="79" t="s">
        <v>227</v>
      </c>
      <c r="V21" s="79" t="s">
        <v>228</v>
      </c>
    </row>
    <row r="22" customFormat="false" ht="15" hidden="false" customHeight="false" outlineLevel="0" collapsed="false">
      <c r="A22" s="80" t="str">
        <f aca="false">IF($C22="","",$X$2&amp;"-S"&amp;INT(($C22-WEEKDAY($C22,2)+11-DATE(YEAR($C22+4-WEEKDAY($C22,2)),1,1))/7)&amp;"-FER-A")</f>
        <v>NOV-S45-FER-A</v>
      </c>
      <c r="B22" s="81" t="str">
        <f aca="false">IF($C22="","","S"&amp;INT(($C22-WEEKDAY($C22,2)+11-DATE(YEAR($C22+4-WEEKDAY($C22,2)),1,1))/7))</f>
        <v>S45</v>
      </c>
      <c r="C22" s="82" t="n">
        <f aca="false">$X$1+MOD(8-WEEKDAY($X$1,2),7)</f>
        <v>46328</v>
      </c>
      <c r="D22" s="9" t="str">
        <f aca="false">IF($C22="","","Programação de Férias (mensal)")</f>
        <v>Programação de Férias (mensal)</v>
      </c>
      <c r="E22" s="9"/>
      <c r="F22" s="9"/>
      <c r="G22" s="81" t="str">
        <f aca="false">IF($C22="","","A")</f>
        <v>A</v>
      </c>
      <c r="H22" s="81" t="str">
        <f aca="false">IF($C22="","",IF($G22="A",CONFIG!$B$5,IF($G22="B",CONFIG!$B$6,IF($G22="C",CONFIG!$B$7,"Gerência + coordenadores"))))</f>
        <v>(preencha o nome)</v>
      </c>
      <c r="I22" s="81"/>
      <c r="J22" s="81" t="str">
        <f aca="false">IF($C22="","","—")</f>
        <v>—</v>
      </c>
      <c r="K22" s="83" t="str">
        <f aca="false">IF($C22="","","—")</f>
        <v>—</v>
      </c>
      <c r="L22" s="83" t="str">
        <f aca="false">IF($C22="","","—")</f>
        <v>—</v>
      </c>
      <c r="M22" s="84"/>
      <c r="N22" s="84"/>
      <c r="O22" s="84"/>
      <c r="P22" s="85"/>
      <c r="Q22" s="86"/>
      <c r="R22" s="87"/>
      <c r="S22" s="81" t="str">
        <f aca="true">IF($C22="","",IF($Q22="Cancelada","Cancelada",IF($Q22="Reprovado","Reprovada",IF($Q22="Aprovado","Aprovada",IF($M22&lt;&gt;"","Entregue",IF(TODAY()&gt;$C22,"Atrasada","Pendente"))))))</f>
        <v>Pendente</v>
      </c>
      <c r="T22" s="88"/>
      <c r="U22" s="88"/>
      <c r="V22" s="88"/>
    </row>
    <row r="23" customFormat="false" ht="15" hidden="false" customHeight="false" outlineLevel="0" collapsed="false">
      <c r="A23" s="89" t="str">
        <f aca="false">IF($C23="","",$X$2&amp;"-S"&amp;INT(($C23-WEEKDAY($C23,2)+11-DATE(YEAR($C23+4-WEEKDAY($C23,2)),1,1))/7)&amp;"-FER-B")</f>
        <v>NOV-S45-FER-B</v>
      </c>
      <c r="B23" s="60" t="str">
        <f aca="false">IF($C23="","","S"&amp;INT(($C23-WEEKDAY($C23,2)+11-DATE(YEAR($C23+4-WEEKDAY($C23,2)),1,1))/7))</f>
        <v>S45</v>
      </c>
      <c r="C23" s="82" t="n">
        <f aca="false">$X$1+MOD(8-WEEKDAY($X$1,2),7)</f>
        <v>46328</v>
      </c>
      <c r="D23" s="56" t="str">
        <f aca="false">IF($C23="","","Programação de Férias (mensal)")</f>
        <v>Programação de Férias (mensal)</v>
      </c>
      <c r="E23" s="56"/>
      <c r="F23" s="56"/>
      <c r="G23" s="60" t="str">
        <f aca="false">IF($C23="","","B")</f>
        <v>B</v>
      </c>
      <c r="H23" s="60" t="str">
        <f aca="false">IF($C23="","",IF($G23="A",CONFIG!$B$5,IF($G23="B",CONFIG!$B$6,IF($G23="C",CONFIG!$B$7,"Gerência + coordenadores"))))</f>
        <v>(preencha o nome)</v>
      </c>
      <c r="I23" s="60"/>
      <c r="J23" s="81" t="str">
        <f aca="false">IF($C23="","","—")</f>
        <v>—</v>
      </c>
      <c r="K23" s="83" t="str">
        <f aca="false">IF($C23="","","—")</f>
        <v>—</v>
      </c>
      <c r="L23" s="83" t="str">
        <f aca="false">IF($C23="","","—")</f>
        <v>—</v>
      </c>
      <c r="M23" s="84"/>
      <c r="N23" s="84"/>
      <c r="O23" s="84"/>
      <c r="P23" s="90"/>
      <c r="Q23" s="86"/>
      <c r="R23" s="87"/>
      <c r="S23" s="60" t="str">
        <f aca="true">IF($C23="","",IF($Q23="Cancelada","Cancelada",IF($Q23="Reprovado","Reprovada",IF($Q23="Aprovado","Aprovada",IF($M23&lt;&gt;"","Entregue",IF(TODAY()&gt;$C23,"Atrasada","Pendente"))))))</f>
        <v>Pendente</v>
      </c>
      <c r="T23" s="88"/>
      <c r="U23" s="88"/>
      <c r="V23" s="88"/>
    </row>
    <row r="24" customFormat="false" ht="15" hidden="false" customHeight="false" outlineLevel="0" collapsed="false">
      <c r="A24" s="80" t="str">
        <f aca="false">IF($C24="","",$X$2&amp;"-S"&amp;INT(($C24-WEEKDAY($C24,2)+11-DATE(YEAR($C24+4-WEEKDAY($C24,2)),1,1))/7)&amp;"-FER-C")</f>
        <v>NOV-S45-FER-C</v>
      </c>
      <c r="B24" s="81" t="str">
        <f aca="false">IF($C24="","","S"&amp;INT(($C24-WEEKDAY($C24,2)+11-DATE(YEAR($C24+4-WEEKDAY($C24,2)),1,1))/7))</f>
        <v>S45</v>
      </c>
      <c r="C24" s="82" t="n">
        <f aca="false">$X$1+MOD(8-WEEKDAY($X$1,2),7)</f>
        <v>46328</v>
      </c>
      <c r="D24" s="9" t="str">
        <f aca="false">IF($C24="","","Programação de Férias (mensal)")</f>
        <v>Programação de Férias (mensal)</v>
      </c>
      <c r="E24" s="9"/>
      <c r="F24" s="9"/>
      <c r="G24" s="81" t="str">
        <f aca="false">IF($C24="","","C")</f>
        <v>C</v>
      </c>
      <c r="H24" s="81" t="str">
        <f aca="false">IF($C24="","",IF($G24="A",CONFIG!$B$5,IF($G24="B",CONFIG!$B$6,IF($G24="C",CONFIG!$B$7,"Gerência + coordenadores"))))</f>
        <v>(preencha o nome)</v>
      </c>
      <c r="I24" s="81"/>
      <c r="J24" s="81" t="str">
        <f aca="false">IF($C24="","","—")</f>
        <v>—</v>
      </c>
      <c r="K24" s="83" t="str">
        <f aca="false">IF($C24="","","—")</f>
        <v>—</v>
      </c>
      <c r="L24" s="83" t="str">
        <f aca="false">IF($C24="","","—")</f>
        <v>—</v>
      </c>
      <c r="M24" s="84"/>
      <c r="N24" s="84"/>
      <c r="O24" s="84"/>
      <c r="P24" s="85"/>
      <c r="Q24" s="86"/>
      <c r="R24" s="87"/>
      <c r="S24" s="81" t="str">
        <f aca="true">IF($C24="","",IF($Q24="Cancelada","Cancelada",IF($Q24="Reprovado","Reprovada",IF($Q24="Aprovado","Aprovada",IF($M24&lt;&gt;"","Entregue",IF(TODAY()&gt;$C24,"Atrasada","Pendente"))))))</f>
        <v>Pendente</v>
      </c>
      <c r="T24" s="88"/>
      <c r="U24" s="88"/>
      <c r="V24" s="88"/>
    </row>
    <row r="25" customFormat="false" ht="15" hidden="false" customHeight="false" outlineLevel="0" collapsed="false">
      <c r="A25" s="89" t="str">
        <f aca="false">IF($C25="","",$X$2&amp;"-S"&amp;INT(($C25-WEEKDAY($C25,2)+11-DATE(YEAR($C25+4-WEEKDAY($C25,2)),1,1))/7)&amp;"-VIS-A")</f>
        <v/>
      </c>
      <c r="B25" s="60" t="str">
        <f aca="false">IF($C25="","","S"&amp;INT(($C25-WEEKDAY($C25,2)+11-DATE(YEAR($C25+4-WEEKDAY($C25,2)),1,1))/7))</f>
        <v/>
      </c>
      <c r="C25" s="82" t="str">
        <f aca="false">IF(MONTH(($X$1-WEEKDAY($X$1,3)+0)+2)=MONTH($X$1),($X$1-WEEKDAY($X$1,3)+0)+2,"")</f>
        <v/>
      </c>
      <c r="D25" s="56" t="str">
        <f aca="false">IF($C25="","","Vistoria Setorial (checklist no setor definido pelo gerente)")</f>
        <v/>
      </c>
      <c r="E25" s="56"/>
      <c r="F25" s="56"/>
      <c r="G25" s="60" t="str">
        <f aca="false">IF($C25="","","A")</f>
        <v/>
      </c>
      <c r="H25" s="60" t="str">
        <f aca="false">IF($C25="","",IF($G25="A",CONFIG!$B$5,IF($G25="B",CONFIG!$B$6,IF($G25="C",CONFIG!$B$7,"Gerência + coordenadores"))))</f>
        <v/>
      </c>
      <c r="I25" s="60"/>
      <c r="J25" s="86"/>
      <c r="K25" s="83" t="str">
        <f aca="false">IF($C25="","","—")</f>
        <v/>
      </c>
      <c r="L25" s="83" t="str">
        <f aca="false">IF($C25="","","—")</f>
        <v/>
      </c>
      <c r="M25" s="84"/>
      <c r="N25" s="84"/>
      <c r="O25" s="84"/>
      <c r="P25" s="90"/>
      <c r="Q25" s="86"/>
      <c r="R25" s="87"/>
      <c r="S25" s="60" t="str">
        <f aca="true">IF($C25="","",IF($Q25="Cancelada","Cancelada",IF($Q25="Reprovado","Reprovada",IF($Q25="Aprovado","Aprovada",IF($M25&lt;&gt;"","Entregue",IF(TODAY()&gt;$C25,"Atrasada","Pendente"))))))</f>
        <v/>
      </c>
      <c r="T25" s="88"/>
      <c r="U25" s="88"/>
      <c r="V25" s="88"/>
    </row>
    <row r="26" customFormat="false" ht="15" hidden="false" customHeight="false" outlineLevel="0" collapsed="false">
      <c r="A26" s="80" t="str">
        <f aca="false">IF($C26="","",$X$2&amp;"-S"&amp;INT(($C26-WEEKDAY($C26,2)+11-DATE(YEAR($C26+4-WEEKDAY($C26,2)),1,1))/7)&amp;"-VIS-B")</f>
        <v/>
      </c>
      <c r="B26" s="81" t="str">
        <f aca="false">IF($C26="","","S"&amp;INT(($C26-WEEKDAY($C26,2)+11-DATE(YEAR($C26+4-WEEKDAY($C26,2)),1,1))/7))</f>
        <v/>
      </c>
      <c r="C26" s="82" t="str">
        <f aca="false">IF(MONTH(($X$1-WEEKDAY($X$1,3)+0)+2)=MONTH($X$1),($X$1-WEEKDAY($X$1,3)+0)+2,"")</f>
        <v/>
      </c>
      <c r="D26" s="9" t="str">
        <f aca="false">IF($C26="","","Vistoria Setorial (checklist no setor definido pelo gerente)")</f>
        <v/>
      </c>
      <c r="E26" s="9"/>
      <c r="F26" s="9"/>
      <c r="G26" s="81" t="str">
        <f aca="false">IF($C26="","","B")</f>
        <v/>
      </c>
      <c r="H26" s="81" t="str">
        <f aca="false">IF($C26="","",IF($G26="A",CONFIG!$B$5,IF($G26="B",CONFIG!$B$6,IF($G26="C",CONFIG!$B$7,"Gerência + coordenadores"))))</f>
        <v/>
      </c>
      <c r="I26" s="81"/>
      <c r="J26" s="86"/>
      <c r="K26" s="83" t="str">
        <f aca="false">IF($C26="","","—")</f>
        <v/>
      </c>
      <c r="L26" s="83" t="str">
        <f aca="false">IF($C26="","","—")</f>
        <v/>
      </c>
      <c r="M26" s="84"/>
      <c r="N26" s="84"/>
      <c r="O26" s="84"/>
      <c r="P26" s="85"/>
      <c r="Q26" s="86"/>
      <c r="R26" s="87"/>
      <c r="S26" s="81" t="str">
        <f aca="true">IF($C26="","",IF($Q26="Cancelada","Cancelada",IF($Q26="Reprovado","Reprovada",IF($Q26="Aprovado","Aprovada",IF($M26&lt;&gt;"","Entregue",IF(TODAY()&gt;$C26,"Atrasada","Pendente"))))))</f>
        <v/>
      </c>
      <c r="T26" s="88"/>
      <c r="U26" s="88"/>
      <c r="V26" s="88"/>
    </row>
    <row r="27" customFormat="false" ht="15" hidden="false" customHeight="false" outlineLevel="0" collapsed="false">
      <c r="A27" s="89" t="str">
        <f aca="false">IF($C27="","",$X$2&amp;"-S"&amp;INT(($C27-WEEKDAY($C27,2)+11-DATE(YEAR($C27+4-WEEKDAY($C27,2)),1,1))/7)&amp;"-VIS-C")</f>
        <v/>
      </c>
      <c r="B27" s="60" t="str">
        <f aca="false">IF($C27="","","S"&amp;INT(($C27-WEEKDAY($C27,2)+11-DATE(YEAR($C27+4-WEEKDAY($C27,2)),1,1))/7))</f>
        <v/>
      </c>
      <c r="C27" s="82" t="str">
        <f aca="false">IF(MONTH(($X$1-WEEKDAY($X$1,3)+0)+2)=MONTH($X$1),($X$1-WEEKDAY($X$1,3)+0)+2,"")</f>
        <v/>
      </c>
      <c r="D27" s="56" t="str">
        <f aca="false">IF($C27="","","Vistoria Setorial (checklist no setor definido pelo gerente)")</f>
        <v/>
      </c>
      <c r="E27" s="56"/>
      <c r="F27" s="56"/>
      <c r="G27" s="60" t="str">
        <f aca="false">IF($C27="","","C")</f>
        <v/>
      </c>
      <c r="H27" s="60" t="str">
        <f aca="false">IF($C27="","",IF($G27="A",CONFIG!$B$5,IF($G27="B",CONFIG!$B$6,IF($G27="C",CONFIG!$B$7,"Gerência + coordenadores"))))</f>
        <v/>
      </c>
      <c r="I27" s="60"/>
      <c r="J27" s="86"/>
      <c r="K27" s="83" t="str">
        <f aca="false">IF($C27="","","—")</f>
        <v/>
      </c>
      <c r="L27" s="83" t="str">
        <f aca="false">IF($C27="","","—")</f>
        <v/>
      </c>
      <c r="M27" s="84"/>
      <c r="N27" s="84"/>
      <c r="O27" s="84"/>
      <c r="P27" s="90"/>
      <c r="Q27" s="86"/>
      <c r="R27" s="87"/>
      <c r="S27" s="60" t="str">
        <f aca="true">IF($C27="","",IF($Q27="Cancelada","Cancelada",IF($Q27="Reprovado","Reprovada",IF($Q27="Aprovado","Aprovada",IF($M27&lt;&gt;"","Entregue",IF(TODAY()&gt;$C27,"Atrasada","Pendente"))))))</f>
        <v/>
      </c>
      <c r="T27" s="88"/>
      <c r="U27" s="88"/>
      <c r="V27" s="88"/>
    </row>
    <row r="28" customFormat="false" ht="15" hidden="false" customHeight="false" outlineLevel="0" collapsed="false">
      <c r="A28" s="80" t="str">
        <f aca="false">IF($C28="","",$X$2&amp;"-S"&amp;INT(($C28-WEEKDAY($C28,2)+11-DATE(YEAR($C28+4-WEEKDAY($C28,2)),1,1))/7)&amp;"-RSC-A")</f>
        <v/>
      </c>
      <c r="B28" s="81" t="str">
        <f aca="false">IF($C28="","","S"&amp;INT(($C28-WEEKDAY($C28,2)+11-DATE(YEAR($C28+4-WEEKDAY($C28,2)),1,1))/7))</f>
        <v/>
      </c>
      <c r="C28" s="82" t="str">
        <f aca="false">IF(MONTH(($X$1-WEEKDAY($X$1,3)+0)+3)=MONTH($X$1),($X$1-WEEKDAY($X$1,3)+0)+3,"")</f>
        <v/>
      </c>
      <c r="D28" s="9" t="str">
        <f aca="false">IF($C28="","","Relatório Semanal Consolidado (erros + metas + faltas + supervisores)")</f>
        <v/>
      </c>
      <c r="E28" s="9"/>
      <c r="F28" s="9"/>
      <c r="G28" s="81" t="str">
        <f aca="false">IF($C28="","","A")</f>
        <v/>
      </c>
      <c r="H28" s="81" t="str">
        <f aca="false">IF($C28="","",IF($G28="A",CONFIG!$B$5,IF($G28="B",CONFIG!$B$6,IF($G28="C",CONFIG!$B$7,"Gerência + coordenadores"))))</f>
        <v/>
      </c>
      <c r="I28" s="81"/>
      <c r="J28" s="81" t="str">
        <f aca="false">IF($C28="","","—")</f>
        <v/>
      </c>
      <c r="K28" s="91" t="str">
        <f aca="false">IF($C28="","",SUMIFS(OCORRÊNCIAS!$E$6:$E$605,OCORRÊNCIAS!$B$6:$B$605,"Falta",OCORRÊNCIAS!$C$6:$C$605,$G28,OCORRÊNCIAS!$H$6:$H$605,$B28,OCORRÊNCIAS!$J$6:$J$605,YEAR($C28+4-WEEKDAY($C28,2))))</f>
        <v/>
      </c>
      <c r="L28" s="91" t="str">
        <f aca="false">IF($C28="","",SUMIFS(OCORRÊNCIAS!$E$6:$E$605,OCORRÊNCIAS!$B$6:$B$605,"Atestado",OCORRÊNCIAS!$C$6:$C$605,$G28,OCORRÊNCIAS!$H$6:$H$605,$B28,OCORRÊNCIAS!$J$6:$J$605,YEAR($C28+4-WEEKDAY($C28,2))))</f>
        <v/>
      </c>
      <c r="M28" s="84"/>
      <c r="N28" s="84"/>
      <c r="O28" s="84"/>
      <c r="P28" s="85"/>
      <c r="Q28" s="86"/>
      <c r="R28" s="87"/>
      <c r="S28" s="81" t="str">
        <f aca="true">IF($C28="","",IF($Q28="Cancelada","Cancelada",IF($Q28="Reprovado","Reprovada",IF($Q28="Aprovado","Aprovada",IF($M28&lt;&gt;"","Entregue",IF(TODAY()&gt;$C28,"Atrasada","Pendente"))))))</f>
        <v/>
      </c>
      <c r="T28" s="88"/>
      <c r="U28" s="88"/>
      <c r="V28" s="88"/>
    </row>
    <row r="29" customFormat="false" ht="15" hidden="false" customHeight="false" outlineLevel="0" collapsed="false">
      <c r="A29" s="89" t="str">
        <f aca="false">IF($C29="","",$X$2&amp;"-S"&amp;INT(($C29-WEEKDAY($C29,2)+11-DATE(YEAR($C29+4-WEEKDAY($C29,2)),1,1))/7)&amp;"-RSC-B")</f>
        <v/>
      </c>
      <c r="B29" s="60" t="str">
        <f aca="false">IF($C29="","","S"&amp;INT(($C29-WEEKDAY($C29,2)+11-DATE(YEAR($C29+4-WEEKDAY($C29,2)),1,1))/7))</f>
        <v/>
      </c>
      <c r="C29" s="82" t="str">
        <f aca="false">IF(MONTH(($X$1-WEEKDAY($X$1,3)+0)+3)=MONTH($X$1),($X$1-WEEKDAY($X$1,3)+0)+3,"")</f>
        <v/>
      </c>
      <c r="D29" s="56" t="str">
        <f aca="false">IF($C29="","","Relatório Semanal Consolidado (erros + metas + faltas + supervisores)")</f>
        <v/>
      </c>
      <c r="E29" s="56"/>
      <c r="F29" s="56"/>
      <c r="G29" s="60" t="str">
        <f aca="false">IF($C29="","","B")</f>
        <v/>
      </c>
      <c r="H29" s="60" t="str">
        <f aca="false">IF($C29="","",IF($G29="A",CONFIG!$B$5,IF($G29="B",CONFIG!$B$6,IF($G29="C",CONFIG!$B$7,"Gerência + coordenadores"))))</f>
        <v/>
      </c>
      <c r="I29" s="60"/>
      <c r="J29" s="81" t="str">
        <f aca="false">IF($C29="","","—")</f>
        <v/>
      </c>
      <c r="K29" s="91" t="str">
        <f aca="false">IF($C29="","",SUMIFS(OCORRÊNCIAS!$E$6:$E$605,OCORRÊNCIAS!$B$6:$B$605,"Falta",OCORRÊNCIAS!$C$6:$C$605,$G29,OCORRÊNCIAS!$H$6:$H$605,$B29,OCORRÊNCIAS!$J$6:$J$605,YEAR($C29+4-WEEKDAY($C29,2))))</f>
        <v/>
      </c>
      <c r="L29" s="91" t="str">
        <f aca="false">IF($C29="","",SUMIFS(OCORRÊNCIAS!$E$6:$E$605,OCORRÊNCIAS!$B$6:$B$605,"Atestado",OCORRÊNCIAS!$C$6:$C$605,$G29,OCORRÊNCIAS!$H$6:$H$605,$B29,OCORRÊNCIAS!$J$6:$J$605,YEAR($C29+4-WEEKDAY($C29,2))))</f>
        <v/>
      </c>
      <c r="M29" s="84"/>
      <c r="N29" s="84"/>
      <c r="O29" s="84"/>
      <c r="P29" s="90"/>
      <c r="Q29" s="86"/>
      <c r="R29" s="87"/>
      <c r="S29" s="60" t="str">
        <f aca="true">IF($C29="","",IF($Q29="Cancelada","Cancelada",IF($Q29="Reprovado","Reprovada",IF($Q29="Aprovado","Aprovada",IF($M29&lt;&gt;"","Entregue",IF(TODAY()&gt;$C29,"Atrasada","Pendente"))))))</f>
        <v/>
      </c>
      <c r="T29" s="88"/>
      <c r="U29" s="88"/>
      <c r="V29" s="88"/>
    </row>
    <row r="30" customFormat="false" ht="15" hidden="false" customHeight="false" outlineLevel="0" collapsed="false">
      <c r="A30" s="80" t="str">
        <f aca="false">IF($C30="","",$X$2&amp;"-S"&amp;INT(($C30-WEEKDAY($C30,2)+11-DATE(YEAR($C30+4-WEEKDAY($C30,2)),1,1))/7)&amp;"-RSC-C")</f>
        <v/>
      </c>
      <c r="B30" s="81" t="str">
        <f aca="false">IF($C30="","","S"&amp;INT(($C30-WEEKDAY($C30,2)+11-DATE(YEAR($C30+4-WEEKDAY($C30,2)),1,1))/7))</f>
        <v/>
      </c>
      <c r="C30" s="82" t="str">
        <f aca="false">IF(MONTH(($X$1-WEEKDAY($X$1,3)+0)+3)=MONTH($X$1),($X$1-WEEKDAY($X$1,3)+0)+3,"")</f>
        <v/>
      </c>
      <c r="D30" s="9" t="str">
        <f aca="false">IF($C30="","","Relatório Semanal Consolidado (erros + metas + faltas + supervisores)")</f>
        <v/>
      </c>
      <c r="E30" s="9"/>
      <c r="F30" s="9"/>
      <c r="G30" s="81" t="str">
        <f aca="false">IF($C30="","","C")</f>
        <v/>
      </c>
      <c r="H30" s="81" t="str">
        <f aca="false">IF($C30="","",IF($G30="A",CONFIG!$B$5,IF($G30="B",CONFIG!$B$6,IF($G30="C",CONFIG!$B$7,"Gerência + coordenadores"))))</f>
        <v/>
      </c>
      <c r="I30" s="81"/>
      <c r="J30" s="81" t="str">
        <f aca="false">IF($C30="","","—")</f>
        <v/>
      </c>
      <c r="K30" s="91" t="str">
        <f aca="false">IF($C30="","",SUMIFS(OCORRÊNCIAS!$E$6:$E$605,OCORRÊNCIAS!$B$6:$B$605,"Falta",OCORRÊNCIAS!$C$6:$C$605,$G30,OCORRÊNCIAS!$H$6:$H$605,$B30,OCORRÊNCIAS!$J$6:$J$605,YEAR($C30+4-WEEKDAY($C30,2))))</f>
        <v/>
      </c>
      <c r="L30" s="91" t="str">
        <f aca="false">IF($C30="","",SUMIFS(OCORRÊNCIAS!$E$6:$E$605,OCORRÊNCIAS!$B$6:$B$605,"Atestado",OCORRÊNCIAS!$C$6:$C$605,$G30,OCORRÊNCIAS!$H$6:$H$605,$B30,OCORRÊNCIAS!$J$6:$J$605,YEAR($C30+4-WEEKDAY($C30,2))))</f>
        <v/>
      </c>
      <c r="M30" s="84"/>
      <c r="N30" s="84"/>
      <c r="O30" s="84"/>
      <c r="P30" s="85"/>
      <c r="Q30" s="86"/>
      <c r="R30" s="87"/>
      <c r="S30" s="81" t="str">
        <f aca="true">IF($C30="","",IF($Q30="Cancelada","Cancelada",IF($Q30="Reprovado","Reprovada",IF($Q30="Aprovado","Aprovada",IF($M30&lt;&gt;"","Entregue",IF(TODAY()&gt;$C30,"Atrasada","Pendente"))))))</f>
        <v/>
      </c>
      <c r="T30" s="88"/>
      <c r="U30" s="88"/>
      <c r="V30" s="88"/>
    </row>
    <row r="31" customFormat="false" ht="15" hidden="false" customHeight="false" outlineLevel="0" collapsed="false">
      <c r="A31" s="89" t="str">
        <f aca="false">IF($C31="","",$X$2&amp;"-S"&amp;INT(($C31-WEEKDAY($C31,2)+11-DATE(YEAR($C31+4-WEEKDAY($C31,2)),1,1))/7)&amp;"-REU-T")</f>
        <v/>
      </c>
      <c r="B31" s="60" t="str">
        <f aca="false">IF($C31="","","S"&amp;INT(($C31-WEEKDAY($C31,2)+11-DATE(YEAR($C31+4-WEEKDAY($C31,2)),1,1))/7))</f>
        <v/>
      </c>
      <c r="C31" s="82" t="str">
        <f aca="false">IF(MONTH(($X$1-WEEKDAY($X$1,3)+0)+4)=MONTH($X$1),($X$1-WEEKDAY($X$1,3)+0)+4,"")</f>
        <v/>
      </c>
      <c r="D31" s="56" t="str">
        <f aca="false">IF($C31="","","Reunião Semanal com a Gerência")</f>
        <v/>
      </c>
      <c r="E31" s="56"/>
      <c r="F31" s="56"/>
      <c r="G31" s="60" t="str">
        <f aca="false">IF($C31="","","Todos")</f>
        <v/>
      </c>
      <c r="H31" s="60" t="str">
        <f aca="false">IF($C31="","",IF($G31="A",CONFIG!$B$5,IF($G31="B",CONFIG!$B$6,IF($G31="C",CONFIG!$B$7,"Gerência + coordenadores"))))</f>
        <v/>
      </c>
      <c r="I31" s="60"/>
      <c r="J31" s="81" t="str">
        <f aca="false">IF($C31="","","—")</f>
        <v/>
      </c>
      <c r="K31" s="83" t="str">
        <f aca="false">IF($C31="","","—")</f>
        <v/>
      </c>
      <c r="L31" s="83" t="str">
        <f aca="false">IF($C31="","","—")</f>
        <v/>
      </c>
      <c r="M31" s="84"/>
      <c r="N31" s="84"/>
      <c r="O31" s="84"/>
      <c r="P31" s="90"/>
      <c r="Q31" s="86"/>
      <c r="R31" s="87"/>
      <c r="S31" s="60" t="str">
        <f aca="true">IF($C31="","",IF($Q31="Cancelada","Cancelada",IF($Q31="Reprovado","Reprovada",IF($Q31="Aprovado","Aprovada",IF($M31&lt;&gt;"","Entregue",IF(TODAY()&gt;$C31,"Atrasada","Pendente"))))))</f>
        <v/>
      </c>
      <c r="T31" s="88"/>
      <c r="U31" s="88"/>
      <c r="V31" s="88"/>
    </row>
    <row r="32" customFormat="false" ht="22.35" hidden="false" customHeight="false" outlineLevel="0" collapsed="false">
      <c r="A32" s="80" t="str">
        <f aca="false">IF($C32="","",$X$2&amp;"-S"&amp;INT(($C32-WEEKDAY($C32,2)+11-DATE(YEAR($C32+4-WEEKDAY($C32,2)),1,1))/7)&amp;"-VIS-A")</f>
        <v>NOV-S45-VIS-A</v>
      </c>
      <c r="B32" s="81" t="str">
        <f aca="false">IF($C32="","","S"&amp;INT(($C32-WEEKDAY($C32,2)+11-DATE(YEAR($C32+4-WEEKDAY($C32,2)),1,1))/7))</f>
        <v>S45</v>
      </c>
      <c r="C32" s="82" t="n">
        <f aca="false">IF(MONTH(($X$1-WEEKDAY($X$1,3)+7)+2)=MONTH($X$1),($X$1-WEEKDAY($X$1,3)+7)+2,"")</f>
        <v>46330</v>
      </c>
      <c r="D32" s="9" t="str">
        <f aca="false">IF($C32="","","Vistoria Setorial (checklist no setor definido pelo gerente)")</f>
        <v>Vistoria Setorial (checklist no setor definido pelo gerente)</v>
      </c>
      <c r="E32" s="9"/>
      <c r="F32" s="9"/>
      <c r="G32" s="81" t="str">
        <f aca="false">IF($C32="","","A")</f>
        <v>A</v>
      </c>
      <c r="H32" s="81" t="str">
        <f aca="false">IF($C32="","",IF($G32="A",CONFIG!$B$5,IF($G32="B",CONFIG!$B$6,IF($G32="C",CONFIG!$B$7,"Gerência + coordenadores"))))</f>
        <v>(preencha o nome)</v>
      </c>
      <c r="I32" s="81"/>
      <c r="J32" s="86"/>
      <c r="K32" s="83" t="str">
        <f aca="false">IF($C32="","","—")</f>
        <v>—</v>
      </c>
      <c r="L32" s="83" t="str">
        <f aca="false">IF($C32="","","—")</f>
        <v>—</v>
      </c>
      <c r="M32" s="84"/>
      <c r="N32" s="84"/>
      <c r="O32" s="84"/>
      <c r="P32" s="85"/>
      <c r="Q32" s="86"/>
      <c r="R32" s="87"/>
      <c r="S32" s="81" t="str">
        <f aca="true">IF($C32="","",IF($Q32="Cancelada","Cancelada",IF($Q32="Reprovado","Reprovada",IF($Q32="Aprovado","Aprovada",IF($M32&lt;&gt;"","Entregue",IF(TODAY()&gt;$C32,"Atrasada","Pendente"))))))</f>
        <v>Pendente</v>
      </c>
      <c r="T32" s="88"/>
      <c r="U32" s="88"/>
      <c r="V32" s="88"/>
    </row>
    <row r="33" customFormat="false" ht="22.35" hidden="false" customHeight="false" outlineLevel="0" collapsed="false">
      <c r="A33" s="89" t="str">
        <f aca="false">IF($C33="","",$X$2&amp;"-S"&amp;INT(($C33-WEEKDAY($C33,2)+11-DATE(YEAR($C33+4-WEEKDAY($C33,2)),1,1))/7)&amp;"-VIS-B")</f>
        <v>NOV-S45-VIS-B</v>
      </c>
      <c r="B33" s="60" t="str">
        <f aca="false">IF($C33="","","S"&amp;INT(($C33-WEEKDAY($C33,2)+11-DATE(YEAR($C33+4-WEEKDAY($C33,2)),1,1))/7))</f>
        <v>S45</v>
      </c>
      <c r="C33" s="82" t="n">
        <f aca="false">IF(MONTH(($X$1-WEEKDAY($X$1,3)+7)+2)=MONTH($X$1),($X$1-WEEKDAY($X$1,3)+7)+2,"")</f>
        <v>46330</v>
      </c>
      <c r="D33" s="56" t="str">
        <f aca="false">IF($C33="","","Vistoria Setorial (checklist no setor definido pelo gerente)")</f>
        <v>Vistoria Setorial (checklist no setor definido pelo gerente)</v>
      </c>
      <c r="E33" s="56"/>
      <c r="F33" s="56"/>
      <c r="G33" s="60" t="str">
        <f aca="false">IF($C33="","","B")</f>
        <v>B</v>
      </c>
      <c r="H33" s="60" t="str">
        <f aca="false">IF($C33="","",IF($G33="A",CONFIG!$B$5,IF($G33="B",CONFIG!$B$6,IF($G33="C",CONFIG!$B$7,"Gerência + coordenadores"))))</f>
        <v>(preencha o nome)</v>
      </c>
      <c r="I33" s="60"/>
      <c r="J33" s="86"/>
      <c r="K33" s="83" t="str">
        <f aca="false">IF($C33="","","—")</f>
        <v>—</v>
      </c>
      <c r="L33" s="83" t="str">
        <f aca="false">IF($C33="","","—")</f>
        <v>—</v>
      </c>
      <c r="M33" s="84"/>
      <c r="N33" s="84"/>
      <c r="O33" s="84"/>
      <c r="P33" s="90"/>
      <c r="Q33" s="86"/>
      <c r="R33" s="87"/>
      <c r="S33" s="60" t="str">
        <f aca="true">IF($C33="","",IF($Q33="Cancelada","Cancelada",IF($Q33="Reprovado","Reprovada",IF($Q33="Aprovado","Aprovada",IF($M33&lt;&gt;"","Entregue",IF(TODAY()&gt;$C33,"Atrasada","Pendente"))))))</f>
        <v>Pendente</v>
      </c>
      <c r="T33" s="88"/>
      <c r="U33" s="88"/>
      <c r="V33" s="88"/>
    </row>
    <row r="34" customFormat="false" ht="22.35" hidden="false" customHeight="false" outlineLevel="0" collapsed="false">
      <c r="A34" s="80" t="str">
        <f aca="false">IF($C34="","",$X$2&amp;"-S"&amp;INT(($C34-WEEKDAY($C34,2)+11-DATE(YEAR($C34+4-WEEKDAY($C34,2)),1,1))/7)&amp;"-VIS-C")</f>
        <v>NOV-S45-VIS-C</v>
      </c>
      <c r="B34" s="81" t="str">
        <f aca="false">IF($C34="","","S"&amp;INT(($C34-WEEKDAY($C34,2)+11-DATE(YEAR($C34+4-WEEKDAY($C34,2)),1,1))/7))</f>
        <v>S45</v>
      </c>
      <c r="C34" s="82" t="n">
        <f aca="false">IF(MONTH(($X$1-WEEKDAY($X$1,3)+7)+2)=MONTH($X$1),($X$1-WEEKDAY($X$1,3)+7)+2,"")</f>
        <v>46330</v>
      </c>
      <c r="D34" s="9" t="str">
        <f aca="false">IF($C34="","","Vistoria Setorial (checklist no setor definido pelo gerente)")</f>
        <v>Vistoria Setorial (checklist no setor definido pelo gerente)</v>
      </c>
      <c r="E34" s="9"/>
      <c r="F34" s="9"/>
      <c r="G34" s="81" t="str">
        <f aca="false">IF($C34="","","C")</f>
        <v>C</v>
      </c>
      <c r="H34" s="81" t="str">
        <f aca="false">IF($C34="","",IF($G34="A",CONFIG!$B$5,IF($G34="B",CONFIG!$B$6,IF($G34="C",CONFIG!$B$7,"Gerência + coordenadores"))))</f>
        <v>(preencha o nome)</v>
      </c>
      <c r="I34" s="81"/>
      <c r="J34" s="86"/>
      <c r="K34" s="83" t="str">
        <f aca="false">IF($C34="","","—")</f>
        <v>—</v>
      </c>
      <c r="L34" s="83" t="str">
        <f aca="false">IF($C34="","","—")</f>
        <v>—</v>
      </c>
      <c r="M34" s="84"/>
      <c r="N34" s="84"/>
      <c r="O34" s="84"/>
      <c r="P34" s="85"/>
      <c r="Q34" s="86"/>
      <c r="R34" s="87"/>
      <c r="S34" s="81" t="str">
        <f aca="true">IF($C34="","",IF($Q34="Cancelada","Cancelada",IF($Q34="Reprovado","Reprovada",IF($Q34="Aprovado","Aprovada",IF($M34&lt;&gt;"","Entregue",IF(TODAY()&gt;$C34,"Atrasada","Pendente"))))))</f>
        <v>Pendente</v>
      </c>
      <c r="T34" s="88"/>
      <c r="U34" s="88"/>
      <c r="V34" s="88"/>
    </row>
    <row r="35" customFormat="false" ht="22.35" hidden="false" customHeight="false" outlineLevel="0" collapsed="false">
      <c r="A35" s="89" t="str">
        <f aca="false">IF($C35="","",$X$2&amp;"-S"&amp;INT(($C35-WEEKDAY($C35,2)+11-DATE(YEAR($C35+4-WEEKDAY($C35,2)),1,1))/7)&amp;"-RSC-A")</f>
        <v>NOV-S45-RSC-A</v>
      </c>
      <c r="B35" s="60" t="str">
        <f aca="false">IF($C35="","","S"&amp;INT(($C35-WEEKDAY($C35,2)+11-DATE(YEAR($C35+4-WEEKDAY($C35,2)),1,1))/7))</f>
        <v>S45</v>
      </c>
      <c r="C35" s="82" t="n">
        <f aca="false">IF(MONTH(($X$1-WEEKDAY($X$1,3)+7)+3)=MONTH($X$1),($X$1-WEEKDAY($X$1,3)+7)+3,"")</f>
        <v>46331</v>
      </c>
      <c r="D35" s="56" t="str">
        <f aca="false">IF($C35="","","Relatório Semanal Consolidado (erros + metas + faltas + supervisores)")</f>
        <v>Relatório Semanal Consolidado (erros + metas + faltas + supervisores)</v>
      </c>
      <c r="E35" s="56"/>
      <c r="F35" s="56"/>
      <c r="G35" s="60" t="str">
        <f aca="false">IF($C35="","","A")</f>
        <v>A</v>
      </c>
      <c r="H35" s="60" t="str">
        <f aca="false">IF($C35="","",IF($G35="A",CONFIG!$B$5,IF($G35="B",CONFIG!$B$6,IF($G35="C",CONFIG!$B$7,"Gerência + coordenadores"))))</f>
        <v>(preencha o nome)</v>
      </c>
      <c r="I35" s="60"/>
      <c r="J35" s="81" t="str">
        <f aca="false">IF($C35="","","—")</f>
        <v>—</v>
      </c>
      <c r="K35" s="91" t="n">
        <f aca="false">IF($C35="","",SUMIFS(OCORRÊNCIAS!$E$6:$E$605,OCORRÊNCIAS!$B$6:$B$605,"Falta",OCORRÊNCIAS!$C$6:$C$605,$G35,OCORRÊNCIAS!$H$6:$H$605,$B35,OCORRÊNCIAS!$J$6:$J$605,YEAR($C35+4-WEEKDAY($C35,2))))</f>
        <v>0</v>
      </c>
      <c r="L35" s="91" t="n">
        <f aca="false">IF($C35="","",SUMIFS(OCORRÊNCIAS!$E$6:$E$605,OCORRÊNCIAS!$B$6:$B$605,"Atestado",OCORRÊNCIAS!$C$6:$C$605,$G35,OCORRÊNCIAS!$H$6:$H$605,$B35,OCORRÊNCIAS!$J$6:$J$605,YEAR($C35+4-WEEKDAY($C35,2))))</f>
        <v>0</v>
      </c>
      <c r="M35" s="84"/>
      <c r="N35" s="84"/>
      <c r="O35" s="84"/>
      <c r="P35" s="90"/>
      <c r="Q35" s="86"/>
      <c r="R35" s="87"/>
      <c r="S35" s="60" t="str">
        <f aca="true">IF($C35="","",IF($Q35="Cancelada","Cancelada",IF($Q35="Reprovado","Reprovada",IF($Q35="Aprovado","Aprovada",IF($M35&lt;&gt;"","Entregue",IF(TODAY()&gt;$C35,"Atrasada","Pendente"))))))</f>
        <v>Pendente</v>
      </c>
      <c r="T35" s="88"/>
      <c r="U35" s="88"/>
      <c r="V35" s="88"/>
    </row>
    <row r="36" customFormat="false" ht="22.35" hidden="false" customHeight="false" outlineLevel="0" collapsed="false">
      <c r="A36" s="80" t="str">
        <f aca="false">IF($C36="","",$X$2&amp;"-S"&amp;INT(($C36-WEEKDAY($C36,2)+11-DATE(YEAR($C36+4-WEEKDAY($C36,2)),1,1))/7)&amp;"-RSC-B")</f>
        <v>NOV-S45-RSC-B</v>
      </c>
      <c r="B36" s="81" t="str">
        <f aca="false">IF($C36="","","S"&amp;INT(($C36-WEEKDAY($C36,2)+11-DATE(YEAR($C36+4-WEEKDAY($C36,2)),1,1))/7))</f>
        <v>S45</v>
      </c>
      <c r="C36" s="82" t="n">
        <f aca="false">IF(MONTH(($X$1-WEEKDAY($X$1,3)+7)+3)=MONTH($X$1),($X$1-WEEKDAY($X$1,3)+7)+3,"")</f>
        <v>46331</v>
      </c>
      <c r="D36" s="9" t="str">
        <f aca="false">IF($C36="","","Relatório Semanal Consolidado (erros + metas + faltas + supervisores)")</f>
        <v>Relatório Semanal Consolidado (erros + metas + faltas + supervisores)</v>
      </c>
      <c r="E36" s="9"/>
      <c r="F36" s="9"/>
      <c r="G36" s="81" t="str">
        <f aca="false">IF($C36="","","B")</f>
        <v>B</v>
      </c>
      <c r="H36" s="81" t="str">
        <f aca="false">IF($C36="","",IF($G36="A",CONFIG!$B$5,IF($G36="B",CONFIG!$B$6,IF($G36="C",CONFIG!$B$7,"Gerência + coordenadores"))))</f>
        <v>(preencha o nome)</v>
      </c>
      <c r="I36" s="81"/>
      <c r="J36" s="81" t="str">
        <f aca="false">IF($C36="","","—")</f>
        <v>—</v>
      </c>
      <c r="K36" s="91" t="n">
        <f aca="false">IF($C36="","",SUMIFS(OCORRÊNCIAS!$E$6:$E$605,OCORRÊNCIAS!$B$6:$B$605,"Falta",OCORRÊNCIAS!$C$6:$C$605,$G36,OCORRÊNCIAS!$H$6:$H$605,$B36,OCORRÊNCIAS!$J$6:$J$605,YEAR($C36+4-WEEKDAY($C36,2))))</f>
        <v>0</v>
      </c>
      <c r="L36" s="91" t="n">
        <f aca="false">IF($C36="","",SUMIFS(OCORRÊNCIAS!$E$6:$E$605,OCORRÊNCIAS!$B$6:$B$605,"Atestado",OCORRÊNCIAS!$C$6:$C$605,$G36,OCORRÊNCIAS!$H$6:$H$605,$B36,OCORRÊNCIAS!$J$6:$J$605,YEAR($C36+4-WEEKDAY($C36,2))))</f>
        <v>0</v>
      </c>
      <c r="M36" s="84"/>
      <c r="N36" s="84"/>
      <c r="O36" s="84"/>
      <c r="P36" s="85"/>
      <c r="Q36" s="86"/>
      <c r="R36" s="87"/>
      <c r="S36" s="81" t="str">
        <f aca="true">IF($C36="","",IF($Q36="Cancelada","Cancelada",IF($Q36="Reprovado","Reprovada",IF($Q36="Aprovado","Aprovada",IF($M36&lt;&gt;"","Entregue",IF(TODAY()&gt;$C36,"Atrasada","Pendente"))))))</f>
        <v>Pendente</v>
      </c>
      <c r="T36" s="88"/>
      <c r="U36" s="88"/>
      <c r="V36" s="88"/>
    </row>
    <row r="37" customFormat="false" ht="22.35" hidden="false" customHeight="false" outlineLevel="0" collapsed="false">
      <c r="A37" s="89" t="str">
        <f aca="false">IF($C37="","",$X$2&amp;"-S"&amp;INT(($C37-WEEKDAY($C37,2)+11-DATE(YEAR($C37+4-WEEKDAY($C37,2)),1,1))/7)&amp;"-RSC-C")</f>
        <v>NOV-S45-RSC-C</v>
      </c>
      <c r="B37" s="60" t="str">
        <f aca="false">IF($C37="","","S"&amp;INT(($C37-WEEKDAY($C37,2)+11-DATE(YEAR($C37+4-WEEKDAY($C37,2)),1,1))/7))</f>
        <v>S45</v>
      </c>
      <c r="C37" s="82" t="n">
        <f aca="false">IF(MONTH(($X$1-WEEKDAY($X$1,3)+7)+3)=MONTH($X$1),($X$1-WEEKDAY($X$1,3)+7)+3,"")</f>
        <v>46331</v>
      </c>
      <c r="D37" s="56" t="str">
        <f aca="false">IF($C37="","","Relatório Semanal Consolidado (erros + metas + faltas + supervisores)")</f>
        <v>Relatório Semanal Consolidado (erros + metas + faltas + supervisores)</v>
      </c>
      <c r="E37" s="56"/>
      <c r="F37" s="56"/>
      <c r="G37" s="60" t="str">
        <f aca="false">IF($C37="","","C")</f>
        <v>C</v>
      </c>
      <c r="H37" s="60" t="str">
        <f aca="false">IF($C37="","",IF($G37="A",CONFIG!$B$5,IF($G37="B",CONFIG!$B$6,IF($G37="C",CONFIG!$B$7,"Gerência + coordenadores"))))</f>
        <v>(preencha o nome)</v>
      </c>
      <c r="I37" s="60"/>
      <c r="J37" s="81" t="str">
        <f aca="false">IF($C37="","","—")</f>
        <v>—</v>
      </c>
      <c r="K37" s="91" t="n">
        <f aca="false">IF($C37="","",SUMIFS(OCORRÊNCIAS!$E$6:$E$605,OCORRÊNCIAS!$B$6:$B$605,"Falta",OCORRÊNCIAS!$C$6:$C$605,$G37,OCORRÊNCIAS!$H$6:$H$605,$B37,OCORRÊNCIAS!$J$6:$J$605,YEAR($C37+4-WEEKDAY($C37,2))))</f>
        <v>0</v>
      </c>
      <c r="L37" s="91" t="n">
        <f aca="false">IF($C37="","",SUMIFS(OCORRÊNCIAS!$E$6:$E$605,OCORRÊNCIAS!$B$6:$B$605,"Atestado",OCORRÊNCIAS!$C$6:$C$605,$G37,OCORRÊNCIAS!$H$6:$H$605,$B37,OCORRÊNCIAS!$J$6:$J$605,YEAR($C37+4-WEEKDAY($C37,2))))</f>
        <v>0</v>
      </c>
      <c r="M37" s="84"/>
      <c r="N37" s="84"/>
      <c r="O37" s="84"/>
      <c r="P37" s="90"/>
      <c r="Q37" s="86"/>
      <c r="R37" s="87"/>
      <c r="S37" s="60" t="str">
        <f aca="true">IF($C37="","",IF($Q37="Cancelada","Cancelada",IF($Q37="Reprovado","Reprovada",IF($Q37="Aprovado","Aprovada",IF($M37&lt;&gt;"","Entregue",IF(TODAY()&gt;$C37,"Atrasada","Pendente"))))))</f>
        <v>Pendente</v>
      </c>
      <c r="T37" s="88"/>
      <c r="U37" s="88"/>
      <c r="V37" s="88"/>
    </row>
    <row r="38" customFormat="false" ht="22.35" hidden="false" customHeight="false" outlineLevel="0" collapsed="false">
      <c r="A38" s="80" t="str">
        <f aca="false">IF($C38="","",$X$2&amp;"-S"&amp;INT(($C38-WEEKDAY($C38,2)+11-DATE(YEAR($C38+4-WEEKDAY($C38,2)),1,1))/7)&amp;"-REU-T")</f>
        <v>NOV-S45-REU-T</v>
      </c>
      <c r="B38" s="81" t="str">
        <f aca="false">IF($C38="","","S"&amp;INT(($C38-WEEKDAY($C38,2)+11-DATE(YEAR($C38+4-WEEKDAY($C38,2)),1,1))/7))</f>
        <v>S45</v>
      </c>
      <c r="C38" s="82" t="n">
        <f aca="false">IF(MONTH(($X$1-WEEKDAY($X$1,3)+7)+4)=MONTH($X$1),($X$1-WEEKDAY($X$1,3)+7)+4,"")</f>
        <v>46332</v>
      </c>
      <c r="D38" s="9" t="str">
        <f aca="false">IF($C38="","","Reunião Semanal com a Gerência")</f>
        <v>Reunião Semanal com a Gerência</v>
      </c>
      <c r="E38" s="9"/>
      <c r="F38" s="9"/>
      <c r="G38" s="81" t="str">
        <f aca="false">IF($C38="","","Todos")</f>
        <v>Todos</v>
      </c>
      <c r="H38" s="81" t="str">
        <f aca="false">IF($C38="","",IF($G38="A",CONFIG!$B$5,IF($G38="B",CONFIG!$B$6,IF($G38="C",CONFIG!$B$7,"Gerência + coordenadores"))))</f>
        <v>Gerência + coordenadores</v>
      </c>
      <c r="I38" s="81"/>
      <c r="J38" s="81" t="str">
        <f aca="false">IF($C38="","","—")</f>
        <v>—</v>
      </c>
      <c r="K38" s="83" t="str">
        <f aca="false">IF($C38="","","—")</f>
        <v>—</v>
      </c>
      <c r="L38" s="83" t="str">
        <f aca="false">IF($C38="","","—")</f>
        <v>—</v>
      </c>
      <c r="M38" s="84"/>
      <c r="N38" s="84"/>
      <c r="O38" s="84"/>
      <c r="P38" s="85"/>
      <c r="Q38" s="86"/>
      <c r="R38" s="87"/>
      <c r="S38" s="81" t="str">
        <f aca="true">IF($C38="","",IF($Q38="Cancelada","Cancelada",IF($Q38="Reprovado","Reprovada",IF($Q38="Aprovado","Aprovada",IF($M38&lt;&gt;"","Entregue",IF(TODAY()&gt;$C38,"Atrasada","Pendente"))))))</f>
        <v>Pendente</v>
      </c>
      <c r="T38" s="88"/>
      <c r="U38" s="88"/>
      <c r="V38" s="88"/>
    </row>
    <row r="39" customFormat="false" ht="22.35" hidden="false" customHeight="false" outlineLevel="0" collapsed="false">
      <c r="A39" s="89" t="str">
        <f aca="false">IF($C39="","",$X$2&amp;"-S"&amp;INT(($C39-WEEKDAY($C39,2)+11-DATE(YEAR($C39+4-WEEKDAY($C39,2)),1,1))/7)&amp;"-VIS-A")</f>
        <v>NOV-S46-VIS-A</v>
      </c>
      <c r="B39" s="60" t="str">
        <f aca="false">IF($C39="","","S"&amp;INT(($C39-WEEKDAY($C39,2)+11-DATE(YEAR($C39+4-WEEKDAY($C39,2)),1,1))/7))</f>
        <v>S46</v>
      </c>
      <c r="C39" s="82" t="n">
        <f aca="false">IF(MONTH(($X$1-WEEKDAY($X$1,3)+14)+2)=MONTH($X$1),($X$1-WEEKDAY($X$1,3)+14)+2,"")</f>
        <v>46337</v>
      </c>
      <c r="D39" s="56" t="str">
        <f aca="false">IF($C39="","","Vistoria Setorial (checklist no setor definido pelo gerente)")</f>
        <v>Vistoria Setorial (checklist no setor definido pelo gerente)</v>
      </c>
      <c r="E39" s="56"/>
      <c r="F39" s="56"/>
      <c r="G39" s="60" t="str">
        <f aca="false">IF($C39="","","A")</f>
        <v>A</v>
      </c>
      <c r="H39" s="60" t="str">
        <f aca="false">IF($C39="","",IF($G39="A",CONFIG!$B$5,IF($G39="B",CONFIG!$B$6,IF($G39="C",CONFIG!$B$7,"Gerência + coordenadores"))))</f>
        <v>(preencha o nome)</v>
      </c>
      <c r="I39" s="60"/>
      <c r="J39" s="86"/>
      <c r="K39" s="83" t="str">
        <f aca="false">IF($C39="","","—")</f>
        <v>—</v>
      </c>
      <c r="L39" s="83" t="str">
        <f aca="false">IF($C39="","","—")</f>
        <v>—</v>
      </c>
      <c r="M39" s="84"/>
      <c r="N39" s="84"/>
      <c r="O39" s="84"/>
      <c r="P39" s="90"/>
      <c r="Q39" s="86"/>
      <c r="R39" s="87"/>
      <c r="S39" s="60" t="str">
        <f aca="true">IF($C39="","",IF($Q39="Cancelada","Cancelada",IF($Q39="Reprovado","Reprovada",IF($Q39="Aprovado","Aprovada",IF($M39&lt;&gt;"","Entregue",IF(TODAY()&gt;$C39,"Atrasada","Pendente"))))))</f>
        <v>Pendente</v>
      </c>
      <c r="T39" s="88"/>
      <c r="U39" s="88"/>
      <c r="V39" s="88"/>
    </row>
    <row r="40" customFormat="false" ht="22.35" hidden="false" customHeight="false" outlineLevel="0" collapsed="false">
      <c r="A40" s="80" t="str">
        <f aca="false">IF($C40="","",$X$2&amp;"-S"&amp;INT(($C40-WEEKDAY($C40,2)+11-DATE(YEAR($C40+4-WEEKDAY($C40,2)),1,1))/7)&amp;"-VIS-B")</f>
        <v>NOV-S46-VIS-B</v>
      </c>
      <c r="B40" s="81" t="str">
        <f aca="false">IF($C40="","","S"&amp;INT(($C40-WEEKDAY($C40,2)+11-DATE(YEAR($C40+4-WEEKDAY($C40,2)),1,1))/7))</f>
        <v>S46</v>
      </c>
      <c r="C40" s="82" t="n">
        <f aca="false">IF(MONTH(($X$1-WEEKDAY($X$1,3)+14)+2)=MONTH($X$1),($X$1-WEEKDAY($X$1,3)+14)+2,"")</f>
        <v>46337</v>
      </c>
      <c r="D40" s="9" t="str">
        <f aca="false">IF($C40="","","Vistoria Setorial (checklist no setor definido pelo gerente)")</f>
        <v>Vistoria Setorial (checklist no setor definido pelo gerente)</v>
      </c>
      <c r="E40" s="9"/>
      <c r="F40" s="9"/>
      <c r="G40" s="81" t="str">
        <f aca="false">IF($C40="","","B")</f>
        <v>B</v>
      </c>
      <c r="H40" s="81" t="str">
        <f aca="false">IF($C40="","",IF($G40="A",CONFIG!$B$5,IF($G40="B",CONFIG!$B$6,IF($G40="C",CONFIG!$B$7,"Gerência + coordenadores"))))</f>
        <v>(preencha o nome)</v>
      </c>
      <c r="I40" s="81"/>
      <c r="J40" s="86"/>
      <c r="K40" s="83" t="str">
        <f aca="false">IF($C40="","","—")</f>
        <v>—</v>
      </c>
      <c r="L40" s="83" t="str">
        <f aca="false">IF($C40="","","—")</f>
        <v>—</v>
      </c>
      <c r="M40" s="84"/>
      <c r="N40" s="84"/>
      <c r="O40" s="84"/>
      <c r="P40" s="85"/>
      <c r="Q40" s="86"/>
      <c r="R40" s="87"/>
      <c r="S40" s="81" t="str">
        <f aca="true">IF($C40="","",IF($Q40="Cancelada","Cancelada",IF($Q40="Reprovado","Reprovada",IF($Q40="Aprovado","Aprovada",IF($M40&lt;&gt;"","Entregue",IF(TODAY()&gt;$C40,"Atrasada","Pendente"))))))</f>
        <v>Pendente</v>
      </c>
      <c r="T40" s="88"/>
      <c r="U40" s="88"/>
      <c r="V40" s="88"/>
    </row>
    <row r="41" customFormat="false" ht="22.35" hidden="false" customHeight="false" outlineLevel="0" collapsed="false">
      <c r="A41" s="89" t="str">
        <f aca="false">IF($C41="","",$X$2&amp;"-S"&amp;INT(($C41-WEEKDAY($C41,2)+11-DATE(YEAR($C41+4-WEEKDAY($C41,2)),1,1))/7)&amp;"-VIS-C")</f>
        <v>NOV-S46-VIS-C</v>
      </c>
      <c r="B41" s="60" t="str">
        <f aca="false">IF($C41="","","S"&amp;INT(($C41-WEEKDAY($C41,2)+11-DATE(YEAR($C41+4-WEEKDAY($C41,2)),1,1))/7))</f>
        <v>S46</v>
      </c>
      <c r="C41" s="82" t="n">
        <f aca="false">IF(MONTH(($X$1-WEEKDAY($X$1,3)+14)+2)=MONTH($X$1),($X$1-WEEKDAY($X$1,3)+14)+2,"")</f>
        <v>46337</v>
      </c>
      <c r="D41" s="56" t="str">
        <f aca="false">IF($C41="","","Vistoria Setorial (checklist no setor definido pelo gerente)")</f>
        <v>Vistoria Setorial (checklist no setor definido pelo gerente)</v>
      </c>
      <c r="E41" s="56"/>
      <c r="F41" s="56"/>
      <c r="G41" s="60" t="str">
        <f aca="false">IF($C41="","","C")</f>
        <v>C</v>
      </c>
      <c r="H41" s="60" t="str">
        <f aca="false">IF($C41="","",IF($G41="A",CONFIG!$B$5,IF($G41="B",CONFIG!$B$6,IF($G41="C",CONFIG!$B$7,"Gerência + coordenadores"))))</f>
        <v>(preencha o nome)</v>
      </c>
      <c r="I41" s="60"/>
      <c r="J41" s="86"/>
      <c r="K41" s="83" t="str">
        <f aca="false">IF($C41="","","—")</f>
        <v>—</v>
      </c>
      <c r="L41" s="83" t="str">
        <f aca="false">IF($C41="","","—")</f>
        <v>—</v>
      </c>
      <c r="M41" s="84"/>
      <c r="N41" s="84"/>
      <c r="O41" s="84"/>
      <c r="P41" s="90"/>
      <c r="Q41" s="86"/>
      <c r="R41" s="87"/>
      <c r="S41" s="60" t="str">
        <f aca="true">IF($C41="","",IF($Q41="Cancelada","Cancelada",IF($Q41="Reprovado","Reprovada",IF($Q41="Aprovado","Aprovada",IF($M41&lt;&gt;"","Entregue",IF(TODAY()&gt;$C41,"Atrasada","Pendente"))))))</f>
        <v>Pendente</v>
      </c>
      <c r="T41" s="88"/>
      <c r="U41" s="88"/>
      <c r="V41" s="88"/>
    </row>
    <row r="42" customFormat="false" ht="22.35" hidden="false" customHeight="false" outlineLevel="0" collapsed="false">
      <c r="A42" s="80" t="str">
        <f aca="false">IF($C42="","",$X$2&amp;"-S"&amp;INT(($C42-WEEKDAY($C42,2)+11-DATE(YEAR($C42+4-WEEKDAY($C42,2)),1,1))/7)&amp;"-RSC-A")</f>
        <v>NOV-S46-RSC-A</v>
      </c>
      <c r="B42" s="81" t="str">
        <f aca="false">IF($C42="","","S"&amp;INT(($C42-WEEKDAY($C42,2)+11-DATE(YEAR($C42+4-WEEKDAY($C42,2)),1,1))/7))</f>
        <v>S46</v>
      </c>
      <c r="C42" s="82" t="n">
        <f aca="false">IF(MONTH(($X$1-WEEKDAY($X$1,3)+14)+3)=MONTH($X$1),($X$1-WEEKDAY($X$1,3)+14)+3,"")</f>
        <v>46338</v>
      </c>
      <c r="D42" s="9" t="str">
        <f aca="false">IF($C42="","","Relatório Semanal Consolidado (erros + metas + faltas + supervisores)")</f>
        <v>Relatório Semanal Consolidado (erros + metas + faltas + supervisores)</v>
      </c>
      <c r="E42" s="9"/>
      <c r="F42" s="9"/>
      <c r="G42" s="81" t="str">
        <f aca="false">IF($C42="","","A")</f>
        <v>A</v>
      </c>
      <c r="H42" s="81" t="str">
        <f aca="false">IF($C42="","",IF($G42="A",CONFIG!$B$5,IF($G42="B",CONFIG!$B$6,IF($G42="C",CONFIG!$B$7,"Gerência + coordenadores"))))</f>
        <v>(preencha o nome)</v>
      </c>
      <c r="I42" s="81"/>
      <c r="J42" s="81" t="str">
        <f aca="false">IF($C42="","","—")</f>
        <v>—</v>
      </c>
      <c r="K42" s="91" t="n">
        <f aca="false">IF($C42="","",SUMIFS(OCORRÊNCIAS!$E$6:$E$605,OCORRÊNCIAS!$B$6:$B$605,"Falta",OCORRÊNCIAS!$C$6:$C$605,$G42,OCORRÊNCIAS!$H$6:$H$605,$B42,OCORRÊNCIAS!$J$6:$J$605,YEAR($C42+4-WEEKDAY($C42,2))))</f>
        <v>0</v>
      </c>
      <c r="L42" s="91" t="n">
        <f aca="false">IF($C42="","",SUMIFS(OCORRÊNCIAS!$E$6:$E$605,OCORRÊNCIAS!$B$6:$B$605,"Atestado",OCORRÊNCIAS!$C$6:$C$605,$G42,OCORRÊNCIAS!$H$6:$H$605,$B42,OCORRÊNCIAS!$J$6:$J$605,YEAR($C42+4-WEEKDAY($C42,2))))</f>
        <v>0</v>
      </c>
      <c r="M42" s="84"/>
      <c r="N42" s="84"/>
      <c r="O42" s="84"/>
      <c r="P42" s="85"/>
      <c r="Q42" s="86"/>
      <c r="R42" s="87"/>
      <c r="S42" s="81" t="str">
        <f aca="true">IF($C42="","",IF($Q42="Cancelada","Cancelada",IF($Q42="Reprovado","Reprovada",IF($Q42="Aprovado","Aprovada",IF($M42&lt;&gt;"","Entregue",IF(TODAY()&gt;$C42,"Atrasada","Pendente"))))))</f>
        <v>Pendente</v>
      </c>
      <c r="T42" s="88"/>
      <c r="U42" s="88"/>
      <c r="V42" s="88"/>
    </row>
    <row r="43" customFormat="false" ht="22.35" hidden="false" customHeight="false" outlineLevel="0" collapsed="false">
      <c r="A43" s="89" t="str">
        <f aca="false">IF($C43="","",$X$2&amp;"-S"&amp;INT(($C43-WEEKDAY($C43,2)+11-DATE(YEAR($C43+4-WEEKDAY($C43,2)),1,1))/7)&amp;"-RSC-B")</f>
        <v>NOV-S46-RSC-B</v>
      </c>
      <c r="B43" s="60" t="str">
        <f aca="false">IF($C43="","","S"&amp;INT(($C43-WEEKDAY($C43,2)+11-DATE(YEAR($C43+4-WEEKDAY($C43,2)),1,1))/7))</f>
        <v>S46</v>
      </c>
      <c r="C43" s="82" t="n">
        <f aca="false">IF(MONTH(($X$1-WEEKDAY($X$1,3)+14)+3)=MONTH($X$1),($X$1-WEEKDAY($X$1,3)+14)+3,"")</f>
        <v>46338</v>
      </c>
      <c r="D43" s="56" t="str">
        <f aca="false">IF($C43="","","Relatório Semanal Consolidado (erros + metas + faltas + supervisores)")</f>
        <v>Relatório Semanal Consolidado (erros + metas + faltas + supervisores)</v>
      </c>
      <c r="E43" s="56"/>
      <c r="F43" s="56"/>
      <c r="G43" s="60" t="str">
        <f aca="false">IF($C43="","","B")</f>
        <v>B</v>
      </c>
      <c r="H43" s="60" t="str">
        <f aca="false">IF($C43="","",IF($G43="A",CONFIG!$B$5,IF($G43="B",CONFIG!$B$6,IF($G43="C",CONFIG!$B$7,"Gerência + coordenadores"))))</f>
        <v>(preencha o nome)</v>
      </c>
      <c r="I43" s="60"/>
      <c r="J43" s="81" t="str">
        <f aca="false">IF($C43="","","—")</f>
        <v>—</v>
      </c>
      <c r="K43" s="91" t="n">
        <f aca="false">IF($C43="","",SUMIFS(OCORRÊNCIAS!$E$6:$E$605,OCORRÊNCIAS!$B$6:$B$605,"Falta",OCORRÊNCIAS!$C$6:$C$605,$G43,OCORRÊNCIAS!$H$6:$H$605,$B43,OCORRÊNCIAS!$J$6:$J$605,YEAR($C43+4-WEEKDAY($C43,2))))</f>
        <v>0</v>
      </c>
      <c r="L43" s="91" t="n">
        <f aca="false">IF($C43="","",SUMIFS(OCORRÊNCIAS!$E$6:$E$605,OCORRÊNCIAS!$B$6:$B$605,"Atestado",OCORRÊNCIAS!$C$6:$C$605,$G43,OCORRÊNCIAS!$H$6:$H$605,$B43,OCORRÊNCIAS!$J$6:$J$605,YEAR($C43+4-WEEKDAY($C43,2))))</f>
        <v>0</v>
      </c>
      <c r="M43" s="84"/>
      <c r="N43" s="84"/>
      <c r="O43" s="84"/>
      <c r="P43" s="90"/>
      <c r="Q43" s="86"/>
      <c r="R43" s="87"/>
      <c r="S43" s="60" t="str">
        <f aca="true">IF($C43="","",IF($Q43="Cancelada","Cancelada",IF($Q43="Reprovado","Reprovada",IF($Q43="Aprovado","Aprovada",IF($M43&lt;&gt;"","Entregue",IF(TODAY()&gt;$C43,"Atrasada","Pendente"))))))</f>
        <v>Pendente</v>
      </c>
      <c r="T43" s="88"/>
      <c r="U43" s="88"/>
      <c r="V43" s="88"/>
    </row>
    <row r="44" customFormat="false" ht="22.35" hidden="false" customHeight="false" outlineLevel="0" collapsed="false">
      <c r="A44" s="80" t="str">
        <f aca="false">IF($C44="","",$X$2&amp;"-S"&amp;INT(($C44-WEEKDAY($C44,2)+11-DATE(YEAR($C44+4-WEEKDAY($C44,2)),1,1))/7)&amp;"-RSC-C")</f>
        <v>NOV-S46-RSC-C</v>
      </c>
      <c r="B44" s="81" t="str">
        <f aca="false">IF($C44="","","S"&amp;INT(($C44-WEEKDAY($C44,2)+11-DATE(YEAR($C44+4-WEEKDAY($C44,2)),1,1))/7))</f>
        <v>S46</v>
      </c>
      <c r="C44" s="82" t="n">
        <f aca="false">IF(MONTH(($X$1-WEEKDAY($X$1,3)+14)+3)=MONTH($X$1),($X$1-WEEKDAY($X$1,3)+14)+3,"")</f>
        <v>46338</v>
      </c>
      <c r="D44" s="9" t="str">
        <f aca="false">IF($C44="","","Relatório Semanal Consolidado (erros + metas + faltas + supervisores)")</f>
        <v>Relatório Semanal Consolidado (erros + metas + faltas + supervisores)</v>
      </c>
      <c r="E44" s="9"/>
      <c r="F44" s="9"/>
      <c r="G44" s="81" t="str">
        <f aca="false">IF($C44="","","C")</f>
        <v>C</v>
      </c>
      <c r="H44" s="81" t="str">
        <f aca="false">IF($C44="","",IF($G44="A",CONFIG!$B$5,IF($G44="B",CONFIG!$B$6,IF($G44="C",CONFIG!$B$7,"Gerência + coordenadores"))))</f>
        <v>(preencha o nome)</v>
      </c>
      <c r="I44" s="81"/>
      <c r="J44" s="81" t="str">
        <f aca="false">IF($C44="","","—")</f>
        <v>—</v>
      </c>
      <c r="K44" s="91" t="n">
        <f aca="false">IF($C44="","",SUMIFS(OCORRÊNCIAS!$E$6:$E$605,OCORRÊNCIAS!$B$6:$B$605,"Falta",OCORRÊNCIAS!$C$6:$C$605,$G44,OCORRÊNCIAS!$H$6:$H$605,$B44,OCORRÊNCIAS!$J$6:$J$605,YEAR($C44+4-WEEKDAY($C44,2))))</f>
        <v>0</v>
      </c>
      <c r="L44" s="91" t="n">
        <f aca="false">IF($C44="","",SUMIFS(OCORRÊNCIAS!$E$6:$E$605,OCORRÊNCIAS!$B$6:$B$605,"Atestado",OCORRÊNCIAS!$C$6:$C$605,$G44,OCORRÊNCIAS!$H$6:$H$605,$B44,OCORRÊNCIAS!$J$6:$J$605,YEAR($C44+4-WEEKDAY($C44,2))))</f>
        <v>0</v>
      </c>
      <c r="M44" s="84"/>
      <c r="N44" s="84"/>
      <c r="O44" s="84"/>
      <c r="P44" s="85"/>
      <c r="Q44" s="86"/>
      <c r="R44" s="87"/>
      <c r="S44" s="81" t="str">
        <f aca="true">IF($C44="","",IF($Q44="Cancelada","Cancelada",IF($Q44="Reprovado","Reprovada",IF($Q44="Aprovado","Aprovada",IF($M44&lt;&gt;"","Entregue",IF(TODAY()&gt;$C44,"Atrasada","Pendente"))))))</f>
        <v>Pendente</v>
      </c>
      <c r="T44" s="88"/>
      <c r="U44" s="88"/>
      <c r="V44" s="88"/>
    </row>
    <row r="45" customFormat="false" ht="22.35" hidden="false" customHeight="false" outlineLevel="0" collapsed="false">
      <c r="A45" s="89" t="str">
        <f aca="false">IF($C45="","",$X$2&amp;"-S"&amp;INT(($C45-WEEKDAY($C45,2)+11-DATE(YEAR($C45+4-WEEKDAY($C45,2)),1,1))/7)&amp;"-REU-T")</f>
        <v>NOV-S46-REU-T</v>
      </c>
      <c r="B45" s="60" t="str">
        <f aca="false">IF($C45="","","S"&amp;INT(($C45-WEEKDAY($C45,2)+11-DATE(YEAR($C45+4-WEEKDAY($C45,2)),1,1))/7))</f>
        <v>S46</v>
      </c>
      <c r="C45" s="82" t="n">
        <f aca="false">IF(MONTH(($X$1-WEEKDAY($X$1,3)+14)+4)=MONTH($X$1),($X$1-WEEKDAY($X$1,3)+14)+4,"")</f>
        <v>46339</v>
      </c>
      <c r="D45" s="56" t="str">
        <f aca="false">IF($C45="","","Reunião Semanal com a Gerência")</f>
        <v>Reunião Semanal com a Gerência</v>
      </c>
      <c r="E45" s="56"/>
      <c r="F45" s="56"/>
      <c r="G45" s="60" t="str">
        <f aca="false">IF($C45="","","Todos")</f>
        <v>Todos</v>
      </c>
      <c r="H45" s="60" t="str">
        <f aca="false">IF($C45="","",IF($G45="A",CONFIG!$B$5,IF($G45="B",CONFIG!$B$6,IF($G45="C",CONFIG!$B$7,"Gerência + coordenadores"))))</f>
        <v>Gerência + coordenadores</v>
      </c>
      <c r="I45" s="60"/>
      <c r="J45" s="81" t="str">
        <f aca="false">IF($C45="","","—")</f>
        <v>—</v>
      </c>
      <c r="K45" s="83" t="str">
        <f aca="false">IF($C45="","","—")</f>
        <v>—</v>
      </c>
      <c r="L45" s="83" t="str">
        <f aca="false">IF($C45="","","—")</f>
        <v>—</v>
      </c>
      <c r="M45" s="84"/>
      <c r="N45" s="84"/>
      <c r="O45" s="84"/>
      <c r="P45" s="90"/>
      <c r="Q45" s="86"/>
      <c r="R45" s="87"/>
      <c r="S45" s="60" t="str">
        <f aca="true">IF($C45="","",IF($Q45="Cancelada","Cancelada",IF($Q45="Reprovado","Reprovada",IF($Q45="Aprovado","Aprovada",IF($M45&lt;&gt;"","Entregue",IF(TODAY()&gt;$C45,"Atrasada","Pendente"))))))</f>
        <v>Pendente</v>
      </c>
      <c r="T45" s="88"/>
      <c r="U45" s="88"/>
      <c r="V45" s="88"/>
    </row>
    <row r="46" customFormat="false" ht="22.35" hidden="false" customHeight="false" outlineLevel="0" collapsed="false">
      <c r="A46" s="80" t="str">
        <f aca="false">IF($C46="","",$X$2&amp;"-S"&amp;INT(($C46-WEEKDAY($C46,2)+11-DATE(YEAR($C46+4-WEEKDAY($C46,2)),1,1))/7)&amp;"-VIS-A")</f>
        <v>NOV-S47-VIS-A</v>
      </c>
      <c r="B46" s="81" t="str">
        <f aca="false">IF($C46="","","S"&amp;INT(($C46-WEEKDAY($C46,2)+11-DATE(YEAR($C46+4-WEEKDAY($C46,2)),1,1))/7))</f>
        <v>S47</v>
      </c>
      <c r="C46" s="82" t="n">
        <f aca="false">IF(MONTH(($X$1-WEEKDAY($X$1,3)+21)+2)=MONTH($X$1),($X$1-WEEKDAY($X$1,3)+21)+2,"")</f>
        <v>46344</v>
      </c>
      <c r="D46" s="9" t="str">
        <f aca="false">IF($C46="","","Vistoria Setorial (checklist no setor definido pelo gerente)")</f>
        <v>Vistoria Setorial (checklist no setor definido pelo gerente)</v>
      </c>
      <c r="E46" s="9"/>
      <c r="F46" s="9"/>
      <c r="G46" s="81" t="str">
        <f aca="false">IF($C46="","","A")</f>
        <v>A</v>
      </c>
      <c r="H46" s="81" t="str">
        <f aca="false">IF($C46="","",IF($G46="A",CONFIG!$B$5,IF($G46="B",CONFIG!$B$6,IF($G46="C",CONFIG!$B$7,"Gerência + coordenadores"))))</f>
        <v>(preencha o nome)</v>
      </c>
      <c r="I46" s="81"/>
      <c r="J46" s="86"/>
      <c r="K46" s="83" t="str">
        <f aca="false">IF($C46="","","—")</f>
        <v>—</v>
      </c>
      <c r="L46" s="83" t="str">
        <f aca="false">IF($C46="","","—")</f>
        <v>—</v>
      </c>
      <c r="M46" s="84"/>
      <c r="N46" s="84"/>
      <c r="O46" s="84"/>
      <c r="P46" s="85"/>
      <c r="Q46" s="86"/>
      <c r="R46" s="87"/>
      <c r="S46" s="81" t="str">
        <f aca="true">IF($C46="","",IF($Q46="Cancelada","Cancelada",IF($Q46="Reprovado","Reprovada",IF($Q46="Aprovado","Aprovada",IF($M46&lt;&gt;"","Entregue",IF(TODAY()&gt;$C46,"Atrasada","Pendente"))))))</f>
        <v>Pendente</v>
      </c>
      <c r="T46" s="88"/>
      <c r="U46" s="88"/>
      <c r="V46" s="88"/>
    </row>
    <row r="47" customFormat="false" ht="22.35" hidden="false" customHeight="false" outlineLevel="0" collapsed="false">
      <c r="A47" s="89" t="str">
        <f aca="false">IF($C47="","",$X$2&amp;"-S"&amp;INT(($C47-WEEKDAY($C47,2)+11-DATE(YEAR($C47+4-WEEKDAY($C47,2)),1,1))/7)&amp;"-VIS-B")</f>
        <v>NOV-S47-VIS-B</v>
      </c>
      <c r="B47" s="60" t="str">
        <f aca="false">IF($C47="","","S"&amp;INT(($C47-WEEKDAY($C47,2)+11-DATE(YEAR($C47+4-WEEKDAY($C47,2)),1,1))/7))</f>
        <v>S47</v>
      </c>
      <c r="C47" s="82" t="n">
        <f aca="false">IF(MONTH(($X$1-WEEKDAY($X$1,3)+21)+2)=MONTH($X$1),($X$1-WEEKDAY($X$1,3)+21)+2,"")</f>
        <v>46344</v>
      </c>
      <c r="D47" s="56" t="str">
        <f aca="false">IF($C47="","","Vistoria Setorial (checklist no setor definido pelo gerente)")</f>
        <v>Vistoria Setorial (checklist no setor definido pelo gerente)</v>
      </c>
      <c r="E47" s="56"/>
      <c r="F47" s="56"/>
      <c r="G47" s="60" t="str">
        <f aca="false">IF($C47="","","B")</f>
        <v>B</v>
      </c>
      <c r="H47" s="60" t="str">
        <f aca="false">IF($C47="","",IF($G47="A",CONFIG!$B$5,IF($G47="B",CONFIG!$B$6,IF($G47="C",CONFIG!$B$7,"Gerência + coordenadores"))))</f>
        <v>(preencha o nome)</v>
      </c>
      <c r="I47" s="60"/>
      <c r="J47" s="86"/>
      <c r="K47" s="83" t="str">
        <f aca="false">IF($C47="","","—")</f>
        <v>—</v>
      </c>
      <c r="L47" s="83" t="str">
        <f aca="false">IF($C47="","","—")</f>
        <v>—</v>
      </c>
      <c r="M47" s="84"/>
      <c r="N47" s="84"/>
      <c r="O47" s="84"/>
      <c r="P47" s="90"/>
      <c r="Q47" s="86"/>
      <c r="R47" s="87"/>
      <c r="S47" s="60" t="str">
        <f aca="true">IF($C47="","",IF($Q47="Cancelada","Cancelada",IF($Q47="Reprovado","Reprovada",IF($Q47="Aprovado","Aprovada",IF($M47&lt;&gt;"","Entregue",IF(TODAY()&gt;$C47,"Atrasada","Pendente"))))))</f>
        <v>Pendente</v>
      </c>
      <c r="T47" s="88"/>
      <c r="U47" s="88"/>
      <c r="V47" s="88"/>
    </row>
    <row r="48" customFormat="false" ht="22.35" hidden="false" customHeight="false" outlineLevel="0" collapsed="false">
      <c r="A48" s="80" t="str">
        <f aca="false">IF($C48="","",$X$2&amp;"-S"&amp;INT(($C48-WEEKDAY($C48,2)+11-DATE(YEAR($C48+4-WEEKDAY($C48,2)),1,1))/7)&amp;"-VIS-C")</f>
        <v>NOV-S47-VIS-C</v>
      </c>
      <c r="B48" s="81" t="str">
        <f aca="false">IF($C48="","","S"&amp;INT(($C48-WEEKDAY($C48,2)+11-DATE(YEAR($C48+4-WEEKDAY($C48,2)),1,1))/7))</f>
        <v>S47</v>
      </c>
      <c r="C48" s="82" t="n">
        <f aca="false">IF(MONTH(($X$1-WEEKDAY($X$1,3)+21)+2)=MONTH($X$1),($X$1-WEEKDAY($X$1,3)+21)+2,"")</f>
        <v>46344</v>
      </c>
      <c r="D48" s="9" t="str">
        <f aca="false">IF($C48="","","Vistoria Setorial (checklist no setor definido pelo gerente)")</f>
        <v>Vistoria Setorial (checklist no setor definido pelo gerente)</v>
      </c>
      <c r="E48" s="9"/>
      <c r="F48" s="9"/>
      <c r="G48" s="81" t="str">
        <f aca="false">IF($C48="","","C")</f>
        <v>C</v>
      </c>
      <c r="H48" s="81" t="str">
        <f aca="false">IF($C48="","",IF($G48="A",CONFIG!$B$5,IF($G48="B",CONFIG!$B$6,IF($G48="C",CONFIG!$B$7,"Gerência + coordenadores"))))</f>
        <v>(preencha o nome)</v>
      </c>
      <c r="I48" s="81"/>
      <c r="J48" s="86"/>
      <c r="K48" s="83" t="str">
        <f aca="false">IF($C48="","","—")</f>
        <v>—</v>
      </c>
      <c r="L48" s="83" t="str">
        <f aca="false">IF($C48="","","—")</f>
        <v>—</v>
      </c>
      <c r="M48" s="84"/>
      <c r="N48" s="84"/>
      <c r="O48" s="84"/>
      <c r="P48" s="85"/>
      <c r="Q48" s="86"/>
      <c r="R48" s="87"/>
      <c r="S48" s="81" t="str">
        <f aca="true">IF($C48="","",IF($Q48="Cancelada","Cancelada",IF($Q48="Reprovado","Reprovada",IF($Q48="Aprovado","Aprovada",IF($M48&lt;&gt;"","Entregue",IF(TODAY()&gt;$C48,"Atrasada","Pendente"))))))</f>
        <v>Pendente</v>
      </c>
      <c r="T48" s="88"/>
      <c r="U48" s="88"/>
      <c r="V48" s="88"/>
    </row>
    <row r="49" customFormat="false" ht="22.35" hidden="false" customHeight="false" outlineLevel="0" collapsed="false">
      <c r="A49" s="89" t="str">
        <f aca="false">IF($C49="","",$X$2&amp;"-S"&amp;INT(($C49-WEEKDAY($C49,2)+11-DATE(YEAR($C49+4-WEEKDAY($C49,2)),1,1))/7)&amp;"-RSC-A")</f>
        <v>NOV-S47-RSC-A</v>
      </c>
      <c r="B49" s="60" t="str">
        <f aca="false">IF($C49="","","S"&amp;INT(($C49-WEEKDAY($C49,2)+11-DATE(YEAR($C49+4-WEEKDAY($C49,2)),1,1))/7))</f>
        <v>S47</v>
      </c>
      <c r="C49" s="82" t="n">
        <f aca="false">IF(MONTH(($X$1-WEEKDAY($X$1,3)+21)+3)=MONTH($X$1),($X$1-WEEKDAY($X$1,3)+21)+3,"")</f>
        <v>46345</v>
      </c>
      <c r="D49" s="56" t="str">
        <f aca="false">IF($C49="","","Relatório Semanal Consolidado (erros + metas + faltas + supervisores)")</f>
        <v>Relatório Semanal Consolidado (erros + metas + faltas + supervisores)</v>
      </c>
      <c r="E49" s="56"/>
      <c r="F49" s="56"/>
      <c r="G49" s="60" t="str">
        <f aca="false">IF($C49="","","A")</f>
        <v>A</v>
      </c>
      <c r="H49" s="60" t="str">
        <f aca="false">IF($C49="","",IF($G49="A",CONFIG!$B$5,IF($G49="B",CONFIG!$B$6,IF($G49="C",CONFIG!$B$7,"Gerência + coordenadores"))))</f>
        <v>(preencha o nome)</v>
      </c>
      <c r="I49" s="60"/>
      <c r="J49" s="81" t="str">
        <f aca="false">IF($C49="","","—")</f>
        <v>—</v>
      </c>
      <c r="K49" s="91" t="n">
        <f aca="false">IF($C49="","",SUMIFS(OCORRÊNCIAS!$E$6:$E$605,OCORRÊNCIAS!$B$6:$B$605,"Falta",OCORRÊNCIAS!$C$6:$C$605,$G49,OCORRÊNCIAS!$H$6:$H$605,$B49,OCORRÊNCIAS!$J$6:$J$605,YEAR($C49+4-WEEKDAY($C49,2))))</f>
        <v>0</v>
      </c>
      <c r="L49" s="91" t="n">
        <f aca="false">IF($C49="","",SUMIFS(OCORRÊNCIAS!$E$6:$E$605,OCORRÊNCIAS!$B$6:$B$605,"Atestado",OCORRÊNCIAS!$C$6:$C$605,$G49,OCORRÊNCIAS!$H$6:$H$605,$B49,OCORRÊNCIAS!$J$6:$J$605,YEAR($C49+4-WEEKDAY($C49,2))))</f>
        <v>0</v>
      </c>
      <c r="M49" s="84"/>
      <c r="N49" s="84"/>
      <c r="O49" s="84"/>
      <c r="P49" s="90"/>
      <c r="Q49" s="86"/>
      <c r="R49" s="87"/>
      <c r="S49" s="60" t="str">
        <f aca="true">IF($C49="","",IF($Q49="Cancelada","Cancelada",IF($Q49="Reprovado","Reprovada",IF($Q49="Aprovado","Aprovada",IF($M49&lt;&gt;"","Entregue",IF(TODAY()&gt;$C49,"Atrasada","Pendente"))))))</f>
        <v>Pendente</v>
      </c>
      <c r="T49" s="88"/>
      <c r="U49" s="88"/>
      <c r="V49" s="88"/>
    </row>
    <row r="50" customFormat="false" ht="22.35" hidden="false" customHeight="false" outlineLevel="0" collapsed="false">
      <c r="A50" s="80" t="str">
        <f aca="false">IF($C50="","",$X$2&amp;"-S"&amp;INT(($C50-WEEKDAY($C50,2)+11-DATE(YEAR($C50+4-WEEKDAY($C50,2)),1,1))/7)&amp;"-RSC-B")</f>
        <v>NOV-S47-RSC-B</v>
      </c>
      <c r="B50" s="81" t="str">
        <f aca="false">IF($C50="","","S"&amp;INT(($C50-WEEKDAY($C50,2)+11-DATE(YEAR($C50+4-WEEKDAY($C50,2)),1,1))/7))</f>
        <v>S47</v>
      </c>
      <c r="C50" s="82" t="n">
        <f aca="false">IF(MONTH(($X$1-WEEKDAY($X$1,3)+21)+3)=MONTH($X$1),($X$1-WEEKDAY($X$1,3)+21)+3,"")</f>
        <v>46345</v>
      </c>
      <c r="D50" s="9" t="str">
        <f aca="false">IF($C50="","","Relatório Semanal Consolidado (erros + metas + faltas + supervisores)")</f>
        <v>Relatório Semanal Consolidado (erros + metas + faltas + supervisores)</v>
      </c>
      <c r="E50" s="9"/>
      <c r="F50" s="9"/>
      <c r="G50" s="81" t="str">
        <f aca="false">IF($C50="","","B")</f>
        <v>B</v>
      </c>
      <c r="H50" s="81" t="str">
        <f aca="false">IF($C50="","",IF($G50="A",CONFIG!$B$5,IF($G50="B",CONFIG!$B$6,IF($G50="C",CONFIG!$B$7,"Gerência + coordenadores"))))</f>
        <v>(preencha o nome)</v>
      </c>
      <c r="I50" s="81"/>
      <c r="J50" s="81" t="str">
        <f aca="false">IF($C50="","","—")</f>
        <v>—</v>
      </c>
      <c r="K50" s="91" t="n">
        <f aca="false">IF($C50="","",SUMIFS(OCORRÊNCIAS!$E$6:$E$605,OCORRÊNCIAS!$B$6:$B$605,"Falta",OCORRÊNCIAS!$C$6:$C$605,$G50,OCORRÊNCIAS!$H$6:$H$605,$B50,OCORRÊNCIAS!$J$6:$J$605,YEAR($C50+4-WEEKDAY($C50,2))))</f>
        <v>0</v>
      </c>
      <c r="L50" s="91" t="n">
        <f aca="false">IF($C50="","",SUMIFS(OCORRÊNCIAS!$E$6:$E$605,OCORRÊNCIAS!$B$6:$B$605,"Atestado",OCORRÊNCIAS!$C$6:$C$605,$G50,OCORRÊNCIAS!$H$6:$H$605,$B50,OCORRÊNCIAS!$J$6:$J$605,YEAR($C50+4-WEEKDAY($C50,2))))</f>
        <v>0</v>
      </c>
      <c r="M50" s="84"/>
      <c r="N50" s="84"/>
      <c r="O50" s="84"/>
      <c r="P50" s="85"/>
      <c r="Q50" s="86"/>
      <c r="R50" s="87"/>
      <c r="S50" s="81" t="str">
        <f aca="true">IF($C50="","",IF($Q50="Cancelada","Cancelada",IF($Q50="Reprovado","Reprovada",IF($Q50="Aprovado","Aprovada",IF($M50&lt;&gt;"","Entregue",IF(TODAY()&gt;$C50,"Atrasada","Pendente"))))))</f>
        <v>Pendente</v>
      </c>
      <c r="T50" s="88"/>
      <c r="U50" s="88"/>
      <c r="V50" s="88"/>
    </row>
    <row r="51" customFormat="false" ht="22.35" hidden="false" customHeight="false" outlineLevel="0" collapsed="false">
      <c r="A51" s="89" t="str">
        <f aca="false">IF($C51="","",$X$2&amp;"-S"&amp;INT(($C51-WEEKDAY($C51,2)+11-DATE(YEAR($C51+4-WEEKDAY($C51,2)),1,1))/7)&amp;"-RSC-C")</f>
        <v>NOV-S47-RSC-C</v>
      </c>
      <c r="B51" s="60" t="str">
        <f aca="false">IF($C51="","","S"&amp;INT(($C51-WEEKDAY($C51,2)+11-DATE(YEAR($C51+4-WEEKDAY($C51,2)),1,1))/7))</f>
        <v>S47</v>
      </c>
      <c r="C51" s="82" t="n">
        <f aca="false">IF(MONTH(($X$1-WEEKDAY($X$1,3)+21)+3)=MONTH($X$1),($X$1-WEEKDAY($X$1,3)+21)+3,"")</f>
        <v>46345</v>
      </c>
      <c r="D51" s="56" t="str">
        <f aca="false">IF($C51="","","Relatório Semanal Consolidado (erros + metas + faltas + supervisores)")</f>
        <v>Relatório Semanal Consolidado (erros + metas + faltas + supervisores)</v>
      </c>
      <c r="E51" s="56"/>
      <c r="F51" s="56"/>
      <c r="G51" s="60" t="str">
        <f aca="false">IF($C51="","","C")</f>
        <v>C</v>
      </c>
      <c r="H51" s="60" t="str">
        <f aca="false">IF($C51="","",IF($G51="A",CONFIG!$B$5,IF($G51="B",CONFIG!$B$6,IF($G51="C",CONFIG!$B$7,"Gerência + coordenadores"))))</f>
        <v>(preencha o nome)</v>
      </c>
      <c r="I51" s="60"/>
      <c r="J51" s="81" t="str">
        <f aca="false">IF($C51="","","—")</f>
        <v>—</v>
      </c>
      <c r="K51" s="91" t="n">
        <f aca="false">IF($C51="","",SUMIFS(OCORRÊNCIAS!$E$6:$E$605,OCORRÊNCIAS!$B$6:$B$605,"Falta",OCORRÊNCIAS!$C$6:$C$605,$G51,OCORRÊNCIAS!$H$6:$H$605,$B51,OCORRÊNCIAS!$J$6:$J$605,YEAR($C51+4-WEEKDAY($C51,2))))</f>
        <v>0</v>
      </c>
      <c r="L51" s="91" t="n">
        <f aca="false">IF($C51="","",SUMIFS(OCORRÊNCIAS!$E$6:$E$605,OCORRÊNCIAS!$B$6:$B$605,"Atestado",OCORRÊNCIAS!$C$6:$C$605,$G51,OCORRÊNCIAS!$H$6:$H$605,$B51,OCORRÊNCIAS!$J$6:$J$605,YEAR($C51+4-WEEKDAY($C51,2))))</f>
        <v>0</v>
      </c>
      <c r="M51" s="84"/>
      <c r="N51" s="84"/>
      <c r="O51" s="84"/>
      <c r="P51" s="90"/>
      <c r="Q51" s="86"/>
      <c r="R51" s="87"/>
      <c r="S51" s="60" t="str">
        <f aca="true">IF($C51="","",IF($Q51="Cancelada","Cancelada",IF($Q51="Reprovado","Reprovada",IF($Q51="Aprovado","Aprovada",IF($M51&lt;&gt;"","Entregue",IF(TODAY()&gt;$C51,"Atrasada","Pendente"))))))</f>
        <v>Pendente</v>
      </c>
      <c r="T51" s="88"/>
      <c r="U51" s="88"/>
      <c r="V51" s="88"/>
    </row>
    <row r="52" customFormat="false" ht="22.35" hidden="false" customHeight="false" outlineLevel="0" collapsed="false">
      <c r="A52" s="80" t="str">
        <f aca="false">IF($C52="","",$X$2&amp;"-S"&amp;INT(($C52-WEEKDAY($C52,2)+11-DATE(YEAR($C52+4-WEEKDAY($C52,2)),1,1))/7)&amp;"-REU-T")</f>
        <v>NOV-S47-REU-T</v>
      </c>
      <c r="B52" s="81" t="str">
        <f aca="false">IF($C52="","","S"&amp;INT(($C52-WEEKDAY($C52,2)+11-DATE(YEAR($C52+4-WEEKDAY($C52,2)),1,1))/7))</f>
        <v>S47</v>
      </c>
      <c r="C52" s="82" t="n">
        <f aca="false">IF(MONTH(($X$1-WEEKDAY($X$1,3)+21)+4)=MONTH($X$1),($X$1-WEEKDAY($X$1,3)+21)+4,"")</f>
        <v>46346</v>
      </c>
      <c r="D52" s="9" t="str">
        <f aca="false">IF($C52="","","Reunião Semanal com a Gerência")</f>
        <v>Reunião Semanal com a Gerência</v>
      </c>
      <c r="E52" s="9"/>
      <c r="F52" s="9"/>
      <c r="G52" s="81" t="str">
        <f aca="false">IF($C52="","","Todos")</f>
        <v>Todos</v>
      </c>
      <c r="H52" s="81" t="str">
        <f aca="false">IF($C52="","",IF($G52="A",CONFIG!$B$5,IF($G52="B",CONFIG!$B$6,IF($G52="C",CONFIG!$B$7,"Gerência + coordenadores"))))</f>
        <v>Gerência + coordenadores</v>
      </c>
      <c r="I52" s="81"/>
      <c r="J52" s="81" t="str">
        <f aca="false">IF($C52="","","—")</f>
        <v>—</v>
      </c>
      <c r="K52" s="83" t="str">
        <f aca="false">IF($C52="","","—")</f>
        <v>—</v>
      </c>
      <c r="L52" s="83" t="str">
        <f aca="false">IF($C52="","","—")</f>
        <v>—</v>
      </c>
      <c r="M52" s="84"/>
      <c r="N52" s="84"/>
      <c r="O52" s="84"/>
      <c r="P52" s="85"/>
      <c r="Q52" s="86"/>
      <c r="R52" s="87"/>
      <c r="S52" s="81" t="str">
        <f aca="true">IF($C52="","",IF($Q52="Cancelada","Cancelada",IF($Q52="Reprovado","Reprovada",IF($Q52="Aprovado","Aprovada",IF($M52&lt;&gt;"","Entregue",IF(TODAY()&gt;$C52,"Atrasada","Pendente"))))))</f>
        <v>Pendente</v>
      </c>
      <c r="T52" s="88"/>
      <c r="U52" s="88"/>
      <c r="V52" s="88"/>
    </row>
    <row r="53" customFormat="false" ht="22.35" hidden="false" customHeight="false" outlineLevel="0" collapsed="false">
      <c r="A53" s="89" t="str">
        <f aca="false">IF($C53="","",$X$2&amp;"-S"&amp;INT(($C53-WEEKDAY($C53,2)+11-DATE(YEAR($C53+4-WEEKDAY($C53,2)),1,1))/7)&amp;"-VIS-A")</f>
        <v>NOV-S48-VIS-A</v>
      </c>
      <c r="B53" s="60" t="str">
        <f aca="false">IF($C53="","","S"&amp;INT(($C53-WEEKDAY($C53,2)+11-DATE(YEAR($C53+4-WEEKDAY($C53,2)),1,1))/7))</f>
        <v>S48</v>
      </c>
      <c r="C53" s="82" t="n">
        <f aca="false">IF(MONTH(($X$1-WEEKDAY($X$1,3)+28)+2)=MONTH($X$1),($X$1-WEEKDAY($X$1,3)+28)+2,"")</f>
        <v>46351</v>
      </c>
      <c r="D53" s="56" t="str">
        <f aca="false">IF($C53="","","Vistoria Setorial (checklist no setor definido pelo gerente)")</f>
        <v>Vistoria Setorial (checklist no setor definido pelo gerente)</v>
      </c>
      <c r="E53" s="56"/>
      <c r="F53" s="56"/>
      <c r="G53" s="60" t="str">
        <f aca="false">IF($C53="","","A")</f>
        <v>A</v>
      </c>
      <c r="H53" s="60" t="str">
        <f aca="false">IF($C53="","",IF($G53="A",CONFIG!$B$5,IF($G53="B",CONFIG!$B$6,IF($G53="C",CONFIG!$B$7,"Gerência + coordenadores"))))</f>
        <v>(preencha o nome)</v>
      </c>
      <c r="I53" s="60"/>
      <c r="J53" s="86"/>
      <c r="K53" s="83" t="str">
        <f aca="false">IF($C53="","","—")</f>
        <v>—</v>
      </c>
      <c r="L53" s="83" t="str">
        <f aca="false">IF($C53="","","—")</f>
        <v>—</v>
      </c>
      <c r="M53" s="84"/>
      <c r="N53" s="84"/>
      <c r="O53" s="84"/>
      <c r="P53" s="90"/>
      <c r="Q53" s="86"/>
      <c r="R53" s="87"/>
      <c r="S53" s="60" t="str">
        <f aca="true">IF($C53="","",IF($Q53="Cancelada","Cancelada",IF($Q53="Reprovado","Reprovada",IF($Q53="Aprovado","Aprovada",IF($M53&lt;&gt;"","Entregue",IF(TODAY()&gt;$C53,"Atrasada","Pendente"))))))</f>
        <v>Pendente</v>
      </c>
      <c r="T53" s="88"/>
      <c r="U53" s="88"/>
      <c r="V53" s="88"/>
    </row>
    <row r="54" customFormat="false" ht="22.35" hidden="false" customHeight="false" outlineLevel="0" collapsed="false">
      <c r="A54" s="80" t="str">
        <f aca="false">IF($C54="","",$X$2&amp;"-S"&amp;INT(($C54-WEEKDAY($C54,2)+11-DATE(YEAR($C54+4-WEEKDAY($C54,2)),1,1))/7)&amp;"-VIS-B")</f>
        <v>NOV-S48-VIS-B</v>
      </c>
      <c r="B54" s="81" t="str">
        <f aca="false">IF($C54="","","S"&amp;INT(($C54-WEEKDAY($C54,2)+11-DATE(YEAR($C54+4-WEEKDAY($C54,2)),1,1))/7))</f>
        <v>S48</v>
      </c>
      <c r="C54" s="82" t="n">
        <f aca="false">IF(MONTH(($X$1-WEEKDAY($X$1,3)+28)+2)=MONTH($X$1),($X$1-WEEKDAY($X$1,3)+28)+2,"")</f>
        <v>46351</v>
      </c>
      <c r="D54" s="9" t="str">
        <f aca="false">IF($C54="","","Vistoria Setorial (checklist no setor definido pelo gerente)")</f>
        <v>Vistoria Setorial (checklist no setor definido pelo gerente)</v>
      </c>
      <c r="E54" s="9"/>
      <c r="F54" s="9"/>
      <c r="G54" s="81" t="str">
        <f aca="false">IF($C54="","","B")</f>
        <v>B</v>
      </c>
      <c r="H54" s="81" t="str">
        <f aca="false">IF($C54="","",IF($G54="A",CONFIG!$B$5,IF($G54="B",CONFIG!$B$6,IF($G54="C",CONFIG!$B$7,"Gerência + coordenadores"))))</f>
        <v>(preencha o nome)</v>
      </c>
      <c r="I54" s="81"/>
      <c r="J54" s="86"/>
      <c r="K54" s="83" t="str">
        <f aca="false">IF($C54="","","—")</f>
        <v>—</v>
      </c>
      <c r="L54" s="83" t="str">
        <f aca="false">IF($C54="","","—")</f>
        <v>—</v>
      </c>
      <c r="M54" s="84"/>
      <c r="N54" s="84"/>
      <c r="O54" s="84"/>
      <c r="P54" s="85"/>
      <c r="Q54" s="86"/>
      <c r="R54" s="87"/>
      <c r="S54" s="81" t="str">
        <f aca="true">IF($C54="","",IF($Q54="Cancelada","Cancelada",IF($Q54="Reprovado","Reprovada",IF($Q54="Aprovado","Aprovada",IF($M54&lt;&gt;"","Entregue",IF(TODAY()&gt;$C54,"Atrasada","Pendente"))))))</f>
        <v>Pendente</v>
      </c>
      <c r="T54" s="88"/>
      <c r="U54" s="88"/>
      <c r="V54" s="88"/>
    </row>
    <row r="55" customFormat="false" ht="22.35" hidden="false" customHeight="false" outlineLevel="0" collapsed="false">
      <c r="A55" s="89" t="str">
        <f aca="false">IF($C55="","",$X$2&amp;"-S"&amp;INT(($C55-WEEKDAY($C55,2)+11-DATE(YEAR($C55+4-WEEKDAY($C55,2)),1,1))/7)&amp;"-VIS-C")</f>
        <v>NOV-S48-VIS-C</v>
      </c>
      <c r="B55" s="60" t="str">
        <f aca="false">IF($C55="","","S"&amp;INT(($C55-WEEKDAY($C55,2)+11-DATE(YEAR($C55+4-WEEKDAY($C55,2)),1,1))/7))</f>
        <v>S48</v>
      </c>
      <c r="C55" s="82" t="n">
        <f aca="false">IF(MONTH(($X$1-WEEKDAY($X$1,3)+28)+2)=MONTH($X$1),($X$1-WEEKDAY($X$1,3)+28)+2,"")</f>
        <v>46351</v>
      </c>
      <c r="D55" s="56" t="str">
        <f aca="false">IF($C55="","","Vistoria Setorial (checklist no setor definido pelo gerente)")</f>
        <v>Vistoria Setorial (checklist no setor definido pelo gerente)</v>
      </c>
      <c r="E55" s="56"/>
      <c r="F55" s="56"/>
      <c r="G55" s="60" t="str">
        <f aca="false">IF($C55="","","C")</f>
        <v>C</v>
      </c>
      <c r="H55" s="60" t="str">
        <f aca="false">IF($C55="","",IF($G55="A",CONFIG!$B$5,IF($G55="B",CONFIG!$B$6,IF($G55="C",CONFIG!$B$7,"Gerência + coordenadores"))))</f>
        <v>(preencha o nome)</v>
      </c>
      <c r="I55" s="60"/>
      <c r="J55" s="86"/>
      <c r="K55" s="83" t="str">
        <f aca="false">IF($C55="","","—")</f>
        <v>—</v>
      </c>
      <c r="L55" s="83" t="str">
        <f aca="false">IF($C55="","","—")</f>
        <v>—</v>
      </c>
      <c r="M55" s="84"/>
      <c r="N55" s="84"/>
      <c r="O55" s="84"/>
      <c r="P55" s="90"/>
      <c r="Q55" s="86"/>
      <c r="R55" s="87"/>
      <c r="S55" s="60" t="str">
        <f aca="true">IF($C55="","",IF($Q55="Cancelada","Cancelada",IF($Q55="Reprovado","Reprovada",IF($Q55="Aprovado","Aprovada",IF($M55&lt;&gt;"","Entregue",IF(TODAY()&gt;$C55,"Atrasada","Pendente"))))))</f>
        <v>Pendente</v>
      </c>
      <c r="T55" s="88"/>
      <c r="U55" s="88"/>
      <c r="V55" s="88"/>
    </row>
    <row r="56" customFormat="false" ht="22.35" hidden="false" customHeight="false" outlineLevel="0" collapsed="false">
      <c r="A56" s="80" t="str">
        <f aca="false">IF($C56="","",$X$2&amp;"-S"&amp;INT(($C56-WEEKDAY($C56,2)+11-DATE(YEAR($C56+4-WEEKDAY($C56,2)),1,1))/7)&amp;"-RSC-A")</f>
        <v>NOV-S48-RSC-A</v>
      </c>
      <c r="B56" s="81" t="str">
        <f aca="false">IF($C56="","","S"&amp;INT(($C56-WEEKDAY($C56,2)+11-DATE(YEAR($C56+4-WEEKDAY($C56,2)),1,1))/7))</f>
        <v>S48</v>
      </c>
      <c r="C56" s="82" t="n">
        <f aca="false">IF(MONTH(($X$1-WEEKDAY($X$1,3)+28)+3)=MONTH($X$1),($X$1-WEEKDAY($X$1,3)+28)+3,"")</f>
        <v>46352</v>
      </c>
      <c r="D56" s="9" t="str">
        <f aca="false">IF($C56="","","Relatório Semanal Consolidado (erros + metas + faltas + supervisores)")</f>
        <v>Relatório Semanal Consolidado (erros + metas + faltas + supervisores)</v>
      </c>
      <c r="E56" s="9"/>
      <c r="F56" s="9"/>
      <c r="G56" s="81" t="str">
        <f aca="false">IF($C56="","","A")</f>
        <v>A</v>
      </c>
      <c r="H56" s="81" t="str">
        <f aca="false">IF($C56="","",IF($G56="A",CONFIG!$B$5,IF($G56="B",CONFIG!$B$6,IF($G56="C",CONFIG!$B$7,"Gerência + coordenadores"))))</f>
        <v>(preencha o nome)</v>
      </c>
      <c r="I56" s="81"/>
      <c r="J56" s="81" t="str">
        <f aca="false">IF($C56="","","—")</f>
        <v>—</v>
      </c>
      <c r="K56" s="91" t="n">
        <f aca="false">IF($C56="","",SUMIFS(OCORRÊNCIAS!$E$6:$E$605,OCORRÊNCIAS!$B$6:$B$605,"Falta",OCORRÊNCIAS!$C$6:$C$605,$G56,OCORRÊNCIAS!$H$6:$H$605,$B56,OCORRÊNCIAS!$J$6:$J$605,YEAR($C56+4-WEEKDAY($C56,2))))</f>
        <v>0</v>
      </c>
      <c r="L56" s="91" t="n">
        <f aca="false">IF($C56="","",SUMIFS(OCORRÊNCIAS!$E$6:$E$605,OCORRÊNCIAS!$B$6:$B$605,"Atestado",OCORRÊNCIAS!$C$6:$C$605,$G56,OCORRÊNCIAS!$H$6:$H$605,$B56,OCORRÊNCIAS!$J$6:$J$605,YEAR($C56+4-WEEKDAY($C56,2))))</f>
        <v>0</v>
      </c>
      <c r="M56" s="84"/>
      <c r="N56" s="84"/>
      <c r="O56" s="84"/>
      <c r="P56" s="85"/>
      <c r="Q56" s="86"/>
      <c r="R56" s="87"/>
      <c r="S56" s="81" t="str">
        <f aca="true">IF($C56="","",IF($Q56="Cancelada","Cancelada",IF($Q56="Reprovado","Reprovada",IF($Q56="Aprovado","Aprovada",IF($M56&lt;&gt;"","Entregue",IF(TODAY()&gt;$C56,"Atrasada","Pendente"))))))</f>
        <v>Pendente</v>
      </c>
      <c r="T56" s="88"/>
      <c r="U56" s="88"/>
      <c r="V56" s="88"/>
    </row>
    <row r="57" customFormat="false" ht="22.35" hidden="false" customHeight="false" outlineLevel="0" collapsed="false">
      <c r="A57" s="89" t="str">
        <f aca="false">IF($C57="","",$X$2&amp;"-S"&amp;INT(($C57-WEEKDAY($C57,2)+11-DATE(YEAR($C57+4-WEEKDAY($C57,2)),1,1))/7)&amp;"-RSC-B")</f>
        <v>NOV-S48-RSC-B</v>
      </c>
      <c r="B57" s="60" t="str">
        <f aca="false">IF($C57="","","S"&amp;INT(($C57-WEEKDAY($C57,2)+11-DATE(YEAR($C57+4-WEEKDAY($C57,2)),1,1))/7))</f>
        <v>S48</v>
      </c>
      <c r="C57" s="82" t="n">
        <f aca="false">IF(MONTH(($X$1-WEEKDAY($X$1,3)+28)+3)=MONTH($X$1),($X$1-WEEKDAY($X$1,3)+28)+3,"")</f>
        <v>46352</v>
      </c>
      <c r="D57" s="56" t="str">
        <f aca="false">IF($C57="","","Relatório Semanal Consolidado (erros + metas + faltas + supervisores)")</f>
        <v>Relatório Semanal Consolidado (erros + metas + faltas + supervisores)</v>
      </c>
      <c r="E57" s="56"/>
      <c r="F57" s="56"/>
      <c r="G57" s="60" t="str">
        <f aca="false">IF($C57="","","B")</f>
        <v>B</v>
      </c>
      <c r="H57" s="60" t="str">
        <f aca="false">IF($C57="","",IF($G57="A",CONFIG!$B$5,IF($G57="B",CONFIG!$B$6,IF($G57="C",CONFIG!$B$7,"Gerência + coordenadores"))))</f>
        <v>(preencha o nome)</v>
      </c>
      <c r="I57" s="60"/>
      <c r="J57" s="81" t="str">
        <f aca="false">IF($C57="","","—")</f>
        <v>—</v>
      </c>
      <c r="K57" s="91" t="n">
        <f aca="false">IF($C57="","",SUMIFS(OCORRÊNCIAS!$E$6:$E$605,OCORRÊNCIAS!$B$6:$B$605,"Falta",OCORRÊNCIAS!$C$6:$C$605,$G57,OCORRÊNCIAS!$H$6:$H$605,$B57,OCORRÊNCIAS!$J$6:$J$605,YEAR($C57+4-WEEKDAY($C57,2))))</f>
        <v>0</v>
      </c>
      <c r="L57" s="91" t="n">
        <f aca="false">IF($C57="","",SUMIFS(OCORRÊNCIAS!$E$6:$E$605,OCORRÊNCIAS!$B$6:$B$605,"Atestado",OCORRÊNCIAS!$C$6:$C$605,$G57,OCORRÊNCIAS!$H$6:$H$605,$B57,OCORRÊNCIAS!$J$6:$J$605,YEAR($C57+4-WEEKDAY($C57,2))))</f>
        <v>0</v>
      </c>
      <c r="M57" s="84"/>
      <c r="N57" s="84"/>
      <c r="O57" s="84"/>
      <c r="P57" s="90"/>
      <c r="Q57" s="86"/>
      <c r="R57" s="87"/>
      <c r="S57" s="60" t="str">
        <f aca="true">IF($C57="","",IF($Q57="Cancelada","Cancelada",IF($Q57="Reprovado","Reprovada",IF($Q57="Aprovado","Aprovada",IF($M57&lt;&gt;"","Entregue",IF(TODAY()&gt;$C57,"Atrasada","Pendente"))))))</f>
        <v>Pendente</v>
      </c>
      <c r="T57" s="88"/>
      <c r="U57" s="88"/>
      <c r="V57" s="88"/>
    </row>
    <row r="58" customFormat="false" ht="22.35" hidden="false" customHeight="false" outlineLevel="0" collapsed="false">
      <c r="A58" s="80" t="str">
        <f aca="false">IF($C58="","",$X$2&amp;"-S"&amp;INT(($C58-WEEKDAY($C58,2)+11-DATE(YEAR($C58+4-WEEKDAY($C58,2)),1,1))/7)&amp;"-RSC-C")</f>
        <v>NOV-S48-RSC-C</v>
      </c>
      <c r="B58" s="81" t="str">
        <f aca="false">IF($C58="","","S"&amp;INT(($C58-WEEKDAY($C58,2)+11-DATE(YEAR($C58+4-WEEKDAY($C58,2)),1,1))/7))</f>
        <v>S48</v>
      </c>
      <c r="C58" s="82" t="n">
        <f aca="false">IF(MONTH(($X$1-WEEKDAY($X$1,3)+28)+3)=MONTH($X$1),($X$1-WEEKDAY($X$1,3)+28)+3,"")</f>
        <v>46352</v>
      </c>
      <c r="D58" s="9" t="str">
        <f aca="false">IF($C58="","","Relatório Semanal Consolidado (erros + metas + faltas + supervisores)")</f>
        <v>Relatório Semanal Consolidado (erros + metas + faltas + supervisores)</v>
      </c>
      <c r="E58" s="9"/>
      <c r="F58" s="9"/>
      <c r="G58" s="81" t="str">
        <f aca="false">IF($C58="","","C")</f>
        <v>C</v>
      </c>
      <c r="H58" s="81" t="str">
        <f aca="false">IF($C58="","",IF($G58="A",CONFIG!$B$5,IF($G58="B",CONFIG!$B$6,IF($G58="C",CONFIG!$B$7,"Gerência + coordenadores"))))</f>
        <v>(preencha o nome)</v>
      </c>
      <c r="I58" s="81"/>
      <c r="J58" s="81" t="str">
        <f aca="false">IF($C58="","","—")</f>
        <v>—</v>
      </c>
      <c r="K58" s="91" t="n">
        <f aca="false">IF($C58="","",SUMIFS(OCORRÊNCIAS!$E$6:$E$605,OCORRÊNCIAS!$B$6:$B$605,"Falta",OCORRÊNCIAS!$C$6:$C$605,$G58,OCORRÊNCIAS!$H$6:$H$605,$B58,OCORRÊNCIAS!$J$6:$J$605,YEAR($C58+4-WEEKDAY($C58,2))))</f>
        <v>0</v>
      </c>
      <c r="L58" s="91" t="n">
        <f aca="false">IF($C58="","",SUMIFS(OCORRÊNCIAS!$E$6:$E$605,OCORRÊNCIAS!$B$6:$B$605,"Atestado",OCORRÊNCIAS!$C$6:$C$605,$G58,OCORRÊNCIAS!$H$6:$H$605,$B58,OCORRÊNCIAS!$J$6:$J$605,YEAR($C58+4-WEEKDAY($C58,2))))</f>
        <v>0</v>
      </c>
      <c r="M58" s="84"/>
      <c r="N58" s="84"/>
      <c r="O58" s="84"/>
      <c r="P58" s="85"/>
      <c r="Q58" s="86"/>
      <c r="R58" s="87"/>
      <c r="S58" s="81" t="str">
        <f aca="true">IF($C58="","",IF($Q58="Cancelada","Cancelada",IF($Q58="Reprovado","Reprovada",IF($Q58="Aprovado","Aprovada",IF($M58&lt;&gt;"","Entregue",IF(TODAY()&gt;$C58,"Atrasada","Pendente"))))))</f>
        <v>Pendente</v>
      </c>
      <c r="T58" s="88"/>
      <c r="U58" s="88"/>
      <c r="V58" s="88"/>
    </row>
    <row r="59" customFormat="false" ht="22.35" hidden="false" customHeight="false" outlineLevel="0" collapsed="false">
      <c r="A59" s="89" t="str">
        <f aca="false">IF($C59="","",$X$2&amp;"-S"&amp;INT(($C59-WEEKDAY($C59,2)+11-DATE(YEAR($C59+4-WEEKDAY($C59,2)),1,1))/7)&amp;"-REU-T")</f>
        <v>NOV-S48-REU-T</v>
      </c>
      <c r="B59" s="60" t="str">
        <f aca="false">IF($C59="","","S"&amp;INT(($C59-WEEKDAY($C59,2)+11-DATE(YEAR($C59+4-WEEKDAY($C59,2)),1,1))/7))</f>
        <v>S48</v>
      </c>
      <c r="C59" s="82" t="n">
        <f aca="false">IF(MONTH(($X$1-WEEKDAY($X$1,3)+28)+4)=MONTH($X$1),($X$1-WEEKDAY($X$1,3)+28)+4,"")</f>
        <v>46353</v>
      </c>
      <c r="D59" s="56" t="str">
        <f aca="false">IF($C59="","","Reunião Semanal com a Gerência")</f>
        <v>Reunião Semanal com a Gerência</v>
      </c>
      <c r="E59" s="56"/>
      <c r="F59" s="56"/>
      <c r="G59" s="60" t="str">
        <f aca="false">IF($C59="","","Todos")</f>
        <v>Todos</v>
      </c>
      <c r="H59" s="60" t="str">
        <f aca="false">IF($C59="","",IF($G59="A",CONFIG!$B$5,IF($G59="B",CONFIG!$B$6,IF($G59="C",CONFIG!$B$7,"Gerência + coordenadores"))))</f>
        <v>Gerência + coordenadores</v>
      </c>
      <c r="I59" s="60"/>
      <c r="J59" s="81" t="str">
        <f aca="false">IF($C59="","","—")</f>
        <v>—</v>
      </c>
      <c r="K59" s="83" t="str">
        <f aca="false">IF($C59="","","—")</f>
        <v>—</v>
      </c>
      <c r="L59" s="83" t="str">
        <f aca="false">IF($C59="","","—")</f>
        <v>—</v>
      </c>
      <c r="M59" s="84"/>
      <c r="N59" s="84"/>
      <c r="O59" s="84"/>
      <c r="P59" s="90"/>
      <c r="Q59" s="86"/>
      <c r="R59" s="87"/>
      <c r="S59" s="60" t="str">
        <f aca="true">IF($C59="","",IF($Q59="Cancelada","Cancelada",IF($Q59="Reprovado","Reprovada",IF($Q59="Aprovado","Aprovada",IF($M59&lt;&gt;"","Entregue",IF(TODAY()&gt;$C59,"Atrasada","Pendente"))))))</f>
        <v>Pendente</v>
      </c>
      <c r="T59" s="88"/>
      <c r="U59" s="88"/>
      <c r="V59" s="88"/>
    </row>
    <row r="60" customFormat="false" ht="15" hidden="false" customHeight="false" outlineLevel="0" collapsed="false">
      <c r="A60" s="80" t="str">
        <f aca="false">IF($C60="","",$X$2&amp;"-S"&amp;INT(($C60-WEEKDAY($C60,2)+11-DATE(YEAR($C60+4-WEEKDAY($C60,2)),1,1))/7)&amp;"-VIS-A")</f>
        <v/>
      </c>
      <c r="B60" s="81" t="str">
        <f aca="false">IF($C60="","","S"&amp;INT(($C60-WEEKDAY($C60,2)+11-DATE(YEAR($C60+4-WEEKDAY($C60,2)),1,1))/7))</f>
        <v/>
      </c>
      <c r="C60" s="82" t="str">
        <f aca="false">IF(MONTH(($X$1-WEEKDAY($X$1,3)+35)+2)=MONTH($X$1),($X$1-WEEKDAY($X$1,3)+35)+2,"")</f>
        <v/>
      </c>
      <c r="D60" s="9" t="str">
        <f aca="false">IF($C60="","","Vistoria Setorial (checklist no setor definido pelo gerente)")</f>
        <v/>
      </c>
      <c r="E60" s="9"/>
      <c r="F60" s="9"/>
      <c r="G60" s="81" t="str">
        <f aca="false">IF($C60="","","A")</f>
        <v/>
      </c>
      <c r="H60" s="81" t="str">
        <f aca="false">IF($C60="","",IF($G60="A",CONFIG!$B$5,IF($G60="B",CONFIG!$B$6,IF($G60="C",CONFIG!$B$7,"Gerência + coordenadores"))))</f>
        <v/>
      </c>
      <c r="I60" s="81"/>
      <c r="J60" s="86"/>
      <c r="K60" s="83" t="str">
        <f aca="false">IF($C60="","","—")</f>
        <v/>
      </c>
      <c r="L60" s="83" t="str">
        <f aca="false">IF($C60="","","—")</f>
        <v/>
      </c>
      <c r="M60" s="84"/>
      <c r="N60" s="84"/>
      <c r="O60" s="84"/>
      <c r="P60" s="85"/>
      <c r="Q60" s="86"/>
      <c r="R60" s="87"/>
      <c r="S60" s="81" t="str">
        <f aca="true">IF($C60="","",IF($Q60="Cancelada","Cancelada",IF($Q60="Reprovado","Reprovada",IF($Q60="Aprovado","Aprovada",IF($M60&lt;&gt;"","Entregue",IF(TODAY()&gt;$C60,"Atrasada","Pendente"))))))</f>
        <v/>
      </c>
      <c r="T60" s="88"/>
      <c r="U60" s="88"/>
      <c r="V60" s="88"/>
    </row>
    <row r="61" customFormat="false" ht="15" hidden="false" customHeight="false" outlineLevel="0" collapsed="false">
      <c r="A61" s="89" t="str">
        <f aca="false">IF($C61="","",$X$2&amp;"-S"&amp;INT(($C61-WEEKDAY($C61,2)+11-DATE(YEAR($C61+4-WEEKDAY($C61,2)),1,1))/7)&amp;"-VIS-B")</f>
        <v/>
      </c>
      <c r="B61" s="60" t="str">
        <f aca="false">IF($C61="","","S"&amp;INT(($C61-WEEKDAY($C61,2)+11-DATE(YEAR($C61+4-WEEKDAY($C61,2)),1,1))/7))</f>
        <v/>
      </c>
      <c r="C61" s="82" t="str">
        <f aca="false">IF(MONTH(($X$1-WEEKDAY($X$1,3)+35)+2)=MONTH($X$1),($X$1-WEEKDAY($X$1,3)+35)+2,"")</f>
        <v/>
      </c>
      <c r="D61" s="56" t="str">
        <f aca="false">IF($C61="","","Vistoria Setorial (checklist no setor definido pelo gerente)")</f>
        <v/>
      </c>
      <c r="E61" s="56"/>
      <c r="F61" s="56"/>
      <c r="G61" s="60" t="str">
        <f aca="false">IF($C61="","","B")</f>
        <v/>
      </c>
      <c r="H61" s="60" t="str">
        <f aca="false">IF($C61="","",IF($G61="A",CONFIG!$B$5,IF($G61="B",CONFIG!$B$6,IF($G61="C",CONFIG!$B$7,"Gerência + coordenadores"))))</f>
        <v/>
      </c>
      <c r="I61" s="60"/>
      <c r="J61" s="86"/>
      <c r="K61" s="83" t="str">
        <f aca="false">IF($C61="","","—")</f>
        <v/>
      </c>
      <c r="L61" s="83" t="str">
        <f aca="false">IF($C61="","","—")</f>
        <v/>
      </c>
      <c r="M61" s="84"/>
      <c r="N61" s="84"/>
      <c r="O61" s="84"/>
      <c r="P61" s="90"/>
      <c r="Q61" s="86"/>
      <c r="R61" s="87"/>
      <c r="S61" s="60" t="str">
        <f aca="true">IF($C61="","",IF($Q61="Cancelada","Cancelada",IF($Q61="Reprovado","Reprovada",IF($Q61="Aprovado","Aprovada",IF($M61&lt;&gt;"","Entregue",IF(TODAY()&gt;$C61,"Atrasada","Pendente"))))))</f>
        <v/>
      </c>
      <c r="T61" s="88"/>
      <c r="U61" s="88"/>
      <c r="V61" s="88"/>
    </row>
    <row r="62" customFormat="false" ht="15" hidden="false" customHeight="false" outlineLevel="0" collapsed="false">
      <c r="A62" s="80" t="str">
        <f aca="false">IF($C62="","",$X$2&amp;"-S"&amp;INT(($C62-WEEKDAY($C62,2)+11-DATE(YEAR($C62+4-WEEKDAY($C62,2)),1,1))/7)&amp;"-VIS-C")</f>
        <v/>
      </c>
      <c r="B62" s="81" t="str">
        <f aca="false">IF($C62="","","S"&amp;INT(($C62-WEEKDAY($C62,2)+11-DATE(YEAR($C62+4-WEEKDAY($C62,2)),1,1))/7))</f>
        <v/>
      </c>
      <c r="C62" s="82" t="str">
        <f aca="false">IF(MONTH(($X$1-WEEKDAY($X$1,3)+35)+2)=MONTH($X$1),($X$1-WEEKDAY($X$1,3)+35)+2,"")</f>
        <v/>
      </c>
      <c r="D62" s="9" t="str">
        <f aca="false">IF($C62="","","Vistoria Setorial (checklist no setor definido pelo gerente)")</f>
        <v/>
      </c>
      <c r="E62" s="9"/>
      <c r="F62" s="9"/>
      <c r="G62" s="81" t="str">
        <f aca="false">IF($C62="","","C")</f>
        <v/>
      </c>
      <c r="H62" s="81" t="str">
        <f aca="false">IF($C62="","",IF($G62="A",CONFIG!$B$5,IF($G62="B",CONFIG!$B$6,IF($G62="C",CONFIG!$B$7,"Gerência + coordenadores"))))</f>
        <v/>
      </c>
      <c r="I62" s="81"/>
      <c r="J62" s="86"/>
      <c r="K62" s="83" t="str">
        <f aca="false">IF($C62="","","—")</f>
        <v/>
      </c>
      <c r="L62" s="83" t="str">
        <f aca="false">IF($C62="","","—")</f>
        <v/>
      </c>
      <c r="M62" s="84"/>
      <c r="N62" s="84"/>
      <c r="O62" s="84"/>
      <c r="P62" s="85"/>
      <c r="Q62" s="86"/>
      <c r="R62" s="87"/>
      <c r="S62" s="81" t="str">
        <f aca="true">IF($C62="","",IF($Q62="Cancelada","Cancelada",IF($Q62="Reprovado","Reprovada",IF($Q62="Aprovado","Aprovada",IF($M62&lt;&gt;"","Entregue",IF(TODAY()&gt;$C62,"Atrasada","Pendente"))))))</f>
        <v/>
      </c>
      <c r="T62" s="88"/>
      <c r="U62" s="88"/>
      <c r="V62" s="88"/>
    </row>
    <row r="63" customFormat="false" ht="15" hidden="false" customHeight="false" outlineLevel="0" collapsed="false">
      <c r="A63" s="89" t="str">
        <f aca="false">IF($C63="","",$X$2&amp;"-S"&amp;INT(($C63-WEEKDAY($C63,2)+11-DATE(YEAR($C63+4-WEEKDAY($C63,2)),1,1))/7)&amp;"-RSC-A")</f>
        <v/>
      </c>
      <c r="B63" s="60" t="str">
        <f aca="false">IF($C63="","","S"&amp;INT(($C63-WEEKDAY($C63,2)+11-DATE(YEAR($C63+4-WEEKDAY($C63,2)),1,1))/7))</f>
        <v/>
      </c>
      <c r="C63" s="82" t="str">
        <f aca="false">IF(MONTH(($X$1-WEEKDAY($X$1,3)+35)+3)=MONTH($X$1),($X$1-WEEKDAY($X$1,3)+35)+3,"")</f>
        <v/>
      </c>
      <c r="D63" s="56" t="str">
        <f aca="false">IF($C63="","","Relatório Semanal Consolidado (erros + metas + faltas + supervisores)")</f>
        <v/>
      </c>
      <c r="E63" s="56"/>
      <c r="F63" s="56"/>
      <c r="G63" s="60" t="str">
        <f aca="false">IF($C63="","","A")</f>
        <v/>
      </c>
      <c r="H63" s="60" t="str">
        <f aca="false">IF($C63="","",IF($G63="A",CONFIG!$B$5,IF($G63="B",CONFIG!$B$6,IF($G63="C",CONFIG!$B$7,"Gerência + coordenadores"))))</f>
        <v/>
      </c>
      <c r="I63" s="60"/>
      <c r="J63" s="81" t="str">
        <f aca="false">IF($C63="","","—")</f>
        <v/>
      </c>
      <c r="K63" s="91" t="str">
        <f aca="false">IF($C63="","",SUMIFS(OCORRÊNCIAS!$E$6:$E$605,OCORRÊNCIAS!$B$6:$B$605,"Falta",OCORRÊNCIAS!$C$6:$C$605,$G63,OCORRÊNCIAS!$H$6:$H$605,$B63,OCORRÊNCIAS!$J$6:$J$605,YEAR($C63+4-WEEKDAY($C63,2))))</f>
        <v/>
      </c>
      <c r="L63" s="91" t="str">
        <f aca="false">IF($C63="","",SUMIFS(OCORRÊNCIAS!$E$6:$E$605,OCORRÊNCIAS!$B$6:$B$605,"Atestado",OCORRÊNCIAS!$C$6:$C$605,$G63,OCORRÊNCIAS!$H$6:$H$605,$B63,OCORRÊNCIAS!$J$6:$J$605,YEAR($C63+4-WEEKDAY($C63,2))))</f>
        <v/>
      </c>
      <c r="M63" s="84"/>
      <c r="N63" s="84"/>
      <c r="O63" s="84"/>
      <c r="P63" s="90"/>
      <c r="Q63" s="86"/>
      <c r="R63" s="87"/>
      <c r="S63" s="60" t="str">
        <f aca="true">IF($C63="","",IF($Q63="Cancelada","Cancelada",IF($Q63="Reprovado","Reprovada",IF($Q63="Aprovado","Aprovada",IF($M63&lt;&gt;"","Entregue",IF(TODAY()&gt;$C63,"Atrasada","Pendente"))))))</f>
        <v/>
      </c>
      <c r="T63" s="88"/>
      <c r="U63" s="88"/>
      <c r="V63" s="88"/>
    </row>
    <row r="64" customFormat="false" ht="15" hidden="false" customHeight="false" outlineLevel="0" collapsed="false">
      <c r="A64" s="80" t="str">
        <f aca="false">IF($C64="","",$X$2&amp;"-S"&amp;INT(($C64-WEEKDAY($C64,2)+11-DATE(YEAR($C64+4-WEEKDAY($C64,2)),1,1))/7)&amp;"-RSC-B")</f>
        <v/>
      </c>
      <c r="B64" s="81" t="str">
        <f aca="false">IF($C64="","","S"&amp;INT(($C64-WEEKDAY($C64,2)+11-DATE(YEAR($C64+4-WEEKDAY($C64,2)),1,1))/7))</f>
        <v/>
      </c>
      <c r="C64" s="82" t="str">
        <f aca="false">IF(MONTH(($X$1-WEEKDAY($X$1,3)+35)+3)=MONTH($X$1),($X$1-WEEKDAY($X$1,3)+35)+3,"")</f>
        <v/>
      </c>
      <c r="D64" s="9" t="str">
        <f aca="false">IF($C64="","","Relatório Semanal Consolidado (erros + metas + faltas + supervisores)")</f>
        <v/>
      </c>
      <c r="E64" s="9"/>
      <c r="F64" s="9"/>
      <c r="G64" s="81" t="str">
        <f aca="false">IF($C64="","","B")</f>
        <v/>
      </c>
      <c r="H64" s="81" t="str">
        <f aca="false">IF($C64="","",IF($G64="A",CONFIG!$B$5,IF($G64="B",CONFIG!$B$6,IF($G64="C",CONFIG!$B$7,"Gerência + coordenadores"))))</f>
        <v/>
      </c>
      <c r="I64" s="81"/>
      <c r="J64" s="81" t="str">
        <f aca="false">IF($C64="","","—")</f>
        <v/>
      </c>
      <c r="K64" s="91" t="str">
        <f aca="false">IF($C64="","",SUMIFS(OCORRÊNCIAS!$E$6:$E$605,OCORRÊNCIAS!$B$6:$B$605,"Falta",OCORRÊNCIAS!$C$6:$C$605,$G64,OCORRÊNCIAS!$H$6:$H$605,$B64,OCORRÊNCIAS!$J$6:$J$605,YEAR($C64+4-WEEKDAY($C64,2))))</f>
        <v/>
      </c>
      <c r="L64" s="91" t="str">
        <f aca="false">IF($C64="","",SUMIFS(OCORRÊNCIAS!$E$6:$E$605,OCORRÊNCIAS!$B$6:$B$605,"Atestado",OCORRÊNCIAS!$C$6:$C$605,$G64,OCORRÊNCIAS!$H$6:$H$605,$B64,OCORRÊNCIAS!$J$6:$J$605,YEAR($C64+4-WEEKDAY($C64,2))))</f>
        <v/>
      </c>
      <c r="M64" s="84"/>
      <c r="N64" s="84"/>
      <c r="O64" s="84"/>
      <c r="P64" s="85"/>
      <c r="Q64" s="86"/>
      <c r="R64" s="87"/>
      <c r="S64" s="81" t="str">
        <f aca="true">IF($C64="","",IF($Q64="Cancelada","Cancelada",IF($Q64="Reprovado","Reprovada",IF($Q64="Aprovado","Aprovada",IF($M64&lt;&gt;"","Entregue",IF(TODAY()&gt;$C64,"Atrasada","Pendente"))))))</f>
        <v/>
      </c>
      <c r="T64" s="88"/>
      <c r="U64" s="88"/>
      <c r="V64" s="88"/>
    </row>
    <row r="65" customFormat="false" ht="15" hidden="false" customHeight="false" outlineLevel="0" collapsed="false">
      <c r="A65" s="89" t="str">
        <f aca="false">IF($C65="","",$X$2&amp;"-S"&amp;INT(($C65-WEEKDAY($C65,2)+11-DATE(YEAR($C65+4-WEEKDAY($C65,2)),1,1))/7)&amp;"-RSC-C")</f>
        <v/>
      </c>
      <c r="B65" s="60" t="str">
        <f aca="false">IF($C65="","","S"&amp;INT(($C65-WEEKDAY($C65,2)+11-DATE(YEAR($C65+4-WEEKDAY($C65,2)),1,1))/7))</f>
        <v/>
      </c>
      <c r="C65" s="82" t="str">
        <f aca="false">IF(MONTH(($X$1-WEEKDAY($X$1,3)+35)+3)=MONTH($X$1),($X$1-WEEKDAY($X$1,3)+35)+3,"")</f>
        <v/>
      </c>
      <c r="D65" s="56" t="str">
        <f aca="false">IF($C65="","","Relatório Semanal Consolidado (erros + metas + faltas + supervisores)")</f>
        <v/>
      </c>
      <c r="E65" s="56"/>
      <c r="F65" s="56"/>
      <c r="G65" s="60" t="str">
        <f aca="false">IF($C65="","","C")</f>
        <v/>
      </c>
      <c r="H65" s="60" t="str">
        <f aca="false">IF($C65="","",IF($G65="A",CONFIG!$B$5,IF($G65="B",CONFIG!$B$6,IF($G65="C",CONFIG!$B$7,"Gerência + coordenadores"))))</f>
        <v/>
      </c>
      <c r="I65" s="60"/>
      <c r="J65" s="81" t="str">
        <f aca="false">IF($C65="","","—")</f>
        <v/>
      </c>
      <c r="K65" s="91" t="str">
        <f aca="false">IF($C65="","",SUMIFS(OCORRÊNCIAS!$E$6:$E$605,OCORRÊNCIAS!$B$6:$B$605,"Falta",OCORRÊNCIAS!$C$6:$C$605,$G65,OCORRÊNCIAS!$H$6:$H$605,$B65,OCORRÊNCIAS!$J$6:$J$605,YEAR($C65+4-WEEKDAY($C65,2))))</f>
        <v/>
      </c>
      <c r="L65" s="91" t="str">
        <f aca="false">IF($C65="","",SUMIFS(OCORRÊNCIAS!$E$6:$E$605,OCORRÊNCIAS!$B$6:$B$605,"Atestado",OCORRÊNCIAS!$C$6:$C$605,$G65,OCORRÊNCIAS!$H$6:$H$605,$B65,OCORRÊNCIAS!$J$6:$J$605,YEAR($C65+4-WEEKDAY($C65,2))))</f>
        <v/>
      </c>
      <c r="M65" s="84"/>
      <c r="N65" s="84"/>
      <c r="O65" s="84"/>
      <c r="P65" s="90"/>
      <c r="Q65" s="86"/>
      <c r="R65" s="87"/>
      <c r="S65" s="60" t="str">
        <f aca="true">IF($C65="","",IF($Q65="Cancelada","Cancelada",IF($Q65="Reprovado","Reprovada",IF($Q65="Aprovado","Aprovada",IF($M65&lt;&gt;"","Entregue",IF(TODAY()&gt;$C65,"Atrasada","Pendente"))))))</f>
        <v/>
      </c>
      <c r="T65" s="88"/>
      <c r="U65" s="88"/>
      <c r="V65" s="88"/>
    </row>
    <row r="66" customFormat="false" ht="15" hidden="false" customHeight="false" outlineLevel="0" collapsed="false">
      <c r="A66" s="80" t="str">
        <f aca="false">IF($C66="","",$X$2&amp;"-S"&amp;INT(($C66-WEEKDAY($C66,2)+11-DATE(YEAR($C66+4-WEEKDAY($C66,2)),1,1))/7)&amp;"-REU-T")</f>
        <v/>
      </c>
      <c r="B66" s="81" t="str">
        <f aca="false">IF($C66="","","S"&amp;INT(($C66-WEEKDAY($C66,2)+11-DATE(YEAR($C66+4-WEEKDAY($C66,2)),1,1))/7))</f>
        <v/>
      </c>
      <c r="C66" s="82" t="str">
        <f aca="false">IF(MONTH(($X$1-WEEKDAY($X$1,3)+35)+4)=MONTH($X$1),($X$1-WEEKDAY($X$1,3)+35)+4,"")</f>
        <v/>
      </c>
      <c r="D66" s="9" t="str">
        <f aca="false">IF($C66="","","Reunião Semanal com a Gerência")</f>
        <v/>
      </c>
      <c r="E66" s="9"/>
      <c r="F66" s="9"/>
      <c r="G66" s="81" t="str">
        <f aca="false">IF($C66="","","Todos")</f>
        <v/>
      </c>
      <c r="H66" s="81" t="str">
        <f aca="false">IF($C66="","",IF($G66="A",CONFIG!$B$5,IF($G66="B",CONFIG!$B$6,IF($G66="C",CONFIG!$B$7,"Gerência + coordenadores"))))</f>
        <v/>
      </c>
      <c r="I66" s="81"/>
      <c r="J66" s="81" t="str">
        <f aca="false">IF($C66="","","—")</f>
        <v/>
      </c>
      <c r="K66" s="83" t="str">
        <f aca="false">IF($C66="","","—")</f>
        <v/>
      </c>
      <c r="L66" s="83" t="str">
        <f aca="false">IF($C66="","","—")</f>
        <v/>
      </c>
      <c r="M66" s="84"/>
      <c r="N66" s="84"/>
      <c r="O66" s="84"/>
      <c r="P66" s="85"/>
      <c r="Q66" s="86"/>
      <c r="R66" s="87"/>
      <c r="S66" s="81" t="str">
        <f aca="true">IF($C66="","",IF($Q66="Cancelada","Cancelada",IF($Q66="Reprovado","Reprovada",IF($Q66="Aprovado","Aprovada",IF($M66&lt;&gt;"","Entregue",IF(TODAY()&gt;$C66,"Atrasada","Pendente"))))))</f>
        <v/>
      </c>
      <c r="T66" s="88"/>
      <c r="U66" s="88"/>
      <c r="V66" s="88"/>
    </row>
    <row r="67" customFormat="false" ht="22.35" hidden="false" customHeight="false" outlineLevel="0" collapsed="false">
      <c r="A67" s="89" t="str">
        <f aca="false">IF($C67="","",$X$2&amp;"-S"&amp;INT(($C67-WEEKDAY($C67,2)+11-DATE(YEAR($C67+4-WEEKDAY($C67,2)),1,1))/7)&amp;"-MDF-T")</f>
        <v>NOV-S48-MDF-T</v>
      </c>
      <c r="B67" s="60" t="str">
        <f aca="false">IF($C67="","","S"&amp;INT(($C67-WEEKDAY($C67,2)+11-DATE(YEAR($C67+4-WEEKDAY($C67,2)),1,1))/7))</f>
        <v>S48</v>
      </c>
      <c r="C67" s="82" t="n">
        <f aca="false">EOMONTH($X$1,0)-MOD(WEEKDAY(EOMONTH($X$1,0),2)-5,7)</f>
        <v>46353</v>
      </c>
      <c r="D67" s="56" t="str">
        <f aca="false">IF($C67="","","Mudança de Função — reunião mensal")</f>
        <v>Mudança de Função — reunião mensal</v>
      </c>
      <c r="E67" s="56"/>
      <c r="F67" s="56"/>
      <c r="G67" s="60" t="str">
        <f aca="false">IF($C67="","","Todos")</f>
        <v>Todos</v>
      </c>
      <c r="H67" s="60" t="str">
        <f aca="false">IF($C67="","",IF($G67="A",CONFIG!$B$5,IF($G67="B",CONFIG!$B$6,IF($G67="C",CONFIG!$B$7,"Gerência + coordenadores"))))</f>
        <v>Gerência + coordenadores</v>
      </c>
      <c r="I67" s="60"/>
      <c r="J67" s="81" t="str">
        <f aca="false">IF($C67="","","—")</f>
        <v>—</v>
      </c>
      <c r="K67" s="83" t="str">
        <f aca="false">IF($C67="","","—")</f>
        <v>—</v>
      </c>
      <c r="L67" s="83" t="str">
        <f aca="false">IF($C67="","","—")</f>
        <v>—</v>
      </c>
      <c r="M67" s="84"/>
      <c r="N67" s="84"/>
      <c r="O67" s="84"/>
      <c r="P67" s="90"/>
      <c r="Q67" s="86"/>
      <c r="R67" s="87"/>
      <c r="S67" s="60" t="str">
        <f aca="true">IF($C67="","",IF($Q67="Cancelada","Cancelada",IF($Q67="Reprovado","Reprovada",IF($Q67="Aprovado","Aprovada",IF($M67&lt;&gt;"","Entregue",IF(TODAY()&gt;$C67,"Atrasada","Pendente"))))))</f>
        <v>Pendente</v>
      </c>
      <c r="T67" s="88"/>
      <c r="U67" s="88"/>
      <c r="V67" s="88"/>
    </row>
    <row r="69" customFormat="false" ht="15" hidden="false" customHeight="true" outlineLevel="0" collapsed="false">
      <c r="A69" s="92" t="s">
        <v>229</v>
      </c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customFormat="false" ht="22.35" hidden="false" customHeight="true" outlineLevel="0" collapsed="false">
      <c r="A70" s="80" t="str">
        <f aca="false">$X$2&amp;"-TRE-1"</f>
        <v>NOV-TRE-1</v>
      </c>
      <c r="B70" s="31" t="str">
        <f aca="false">IF($C70="","","S"&amp;INT(($C70-WEEKDAY($C70,2)+11-DATE(YEAR($C70+4-WEEKDAY($C70,2)),1,1))/7))</f>
        <v/>
      </c>
      <c r="C70" s="82"/>
      <c r="D70" s="87" t="s">
        <v>230</v>
      </c>
      <c r="E70" s="87"/>
      <c r="F70" s="87"/>
      <c r="G70" s="31" t="s">
        <v>231</v>
      </c>
      <c r="H70" s="81" t="s">
        <v>232</v>
      </c>
      <c r="I70" s="81"/>
      <c r="J70" s="31" t="s">
        <v>233</v>
      </c>
      <c r="K70" s="83" t="s">
        <v>233</v>
      </c>
      <c r="L70" s="83" t="s">
        <v>233</v>
      </c>
      <c r="M70" s="84"/>
      <c r="N70" s="84"/>
      <c r="O70" s="84"/>
      <c r="P70" s="85"/>
      <c r="Q70" s="86"/>
      <c r="R70" s="87"/>
      <c r="S70" s="81" t="str">
        <f aca="true">IF($C70="","Não agendado",IF($Q70="Cancelada","Cancelada",IF($Q70="Reprovado","Reprovada",IF($Q70="Aprovado","Aprovada",IF($M70&lt;&gt;"","Entregue",IF(TODAY()&gt;$C70,"Atrasada","Pendente"))))))</f>
        <v>Não agendado</v>
      </c>
      <c r="T70" s="88"/>
      <c r="U70" s="88"/>
      <c r="V70" s="88"/>
    </row>
    <row r="71" customFormat="false" ht="22.35" hidden="false" customHeight="true" outlineLevel="0" collapsed="false">
      <c r="A71" s="80" t="str">
        <f aca="false">$X$2&amp;"-TRE-2"</f>
        <v>NOV-TRE-2</v>
      </c>
      <c r="B71" s="31" t="str">
        <f aca="false">IF($C71="","","S"&amp;INT(($C71-WEEKDAY($C71,2)+11-DATE(YEAR($C71+4-WEEKDAY($C71,2)),1,1))/7))</f>
        <v/>
      </c>
      <c r="C71" s="82"/>
      <c r="D71" s="87" t="s">
        <v>230</v>
      </c>
      <c r="E71" s="87"/>
      <c r="F71" s="87"/>
      <c r="G71" s="31" t="s">
        <v>231</v>
      </c>
      <c r="H71" s="81" t="s">
        <v>232</v>
      </c>
      <c r="I71" s="81"/>
      <c r="J71" s="31" t="s">
        <v>233</v>
      </c>
      <c r="K71" s="83" t="s">
        <v>233</v>
      </c>
      <c r="L71" s="83" t="s">
        <v>233</v>
      </c>
      <c r="M71" s="84"/>
      <c r="N71" s="84"/>
      <c r="O71" s="84"/>
      <c r="P71" s="85"/>
      <c r="Q71" s="86"/>
      <c r="R71" s="87"/>
      <c r="S71" s="81" t="str">
        <f aca="true">IF($C71="","Não agendado",IF($Q71="Cancelada","Cancelada",IF($Q71="Reprovado","Reprovada",IF($Q71="Aprovado","Aprovada",IF($M71&lt;&gt;"","Entregue",IF(TODAY()&gt;$C71,"Atrasada","Pendente"))))))</f>
        <v>Não agendado</v>
      </c>
      <c r="T71" s="88"/>
      <c r="U71" s="88"/>
      <c r="V71" s="88"/>
    </row>
    <row r="72" customFormat="false" ht="22.35" hidden="false" customHeight="true" outlineLevel="0" collapsed="false">
      <c r="A72" s="80" t="str">
        <f aca="false">$X$2&amp;"-TRE-3"</f>
        <v>NOV-TRE-3</v>
      </c>
      <c r="B72" s="31" t="str">
        <f aca="false">IF($C72="","","S"&amp;INT(($C72-WEEKDAY($C72,2)+11-DATE(YEAR($C72+4-WEEKDAY($C72,2)),1,1))/7))</f>
        <v/>
      </c>
      <c r="C72" s="82"/>
      <c r="D72" s="87" t="s">
        <v>230</v>
      </c>
      <c r="E72" s="87"/>
      <c r="F72" s="87"/>
      <c r="G72" s="31" t="s">
        <v>231</v>
      </c>
      <c r="H72" s="81" t="s">
        <v>232</v>
      </c>
      <c r="I72" s="81"/>
      <c r="J72" s="31" t="s">
        <v>233</v>
      </c>
      <c r="K72" s="83" t="s">
        <v>233</v>
      </c>
      <c r="L72" s="83" t="s">
        <v>233</v>
      </c>
      <c r="M72" s="84"/>
      <c r="N72" s="84"/>
      <c r="O72" s="84"/>
      <c r="P72" s="85"/>
      <c r="Q72" s="86"/>
      <c r="R72" s="87"/>
      <c r="S72" s="81" t="str">
        <f aca="true">IF($C72="","Não agendado",IF($Q72="Cancelada","Cancelada",IF($Q72="Reprovado","Reprovada",IF($Q72="Aprovado","Aprovada",IF($M72&lt;&gt;"","Entregue",IF(TODAY()&gt;$C72,"Atrasada","Pendente"))))))</f>
        <v>Não agendado</v>
      </c>
      <c r="T72" s="88"/>
      <c r="U72" s="88"/>
      <c r="V72" s="88"/>
    </row>
    <row r="73" customFormat="false" ht="22.35" hidden="false" customHeight="true" outlineLevel="0" collapsed="false">
      <c r="A73" s="80" t="str">
        <f aca="false">$X$2&amp;"-TRE-4"</f>
        <v>NOV-TRE-4</v>
      </c>
      <c r="B73" s="31" t="str">
        <f aca="false">IF($C73="","","S"&amp;INT(($C73-WEEKDAY($C73,2)+11-DATE(YEAR($C73+4-WEEKDAY($C73,2)),1,1))/7))</f>
        <v/>
      </c>
      <c r="C73" s="82"/>
      <c r="D73" s="87" t="s">
        <v>230</v>
      </c>
      <c r="E73" s="87"/>
      <c r="F73" s="87"/>
      <c r="G73" s="31" t="s">
        <v>231</v>
      </c>
      <c r="H73" s="81" t="s">
        <v>232</v>
      </c>
      <c r="I73" s="81"/>
      <c r="J73" s="31" t="s">
        <v>233</v>
      </c>
      <c r="K73" s="83" t="s">
        <v>233</v>
      </c>
      <c r="L73" s="83" t="s">
        <v>233</v>
      </c>
      <c r="M73" s="84"/>
      <c r="N73" s="84"/>
      <c r="O73" s="84"/>
      <c r="P73" s="85"/>
      <c r="Q73" s="86"/>
      <c r="R73" s="87"/>
      <c r="S73" s="81" t="str">
        <f aca="true">IF($C73="","Não agendado",IF($Q73="Cancelada","Cancelada",IF($Q73="Reprovado","Reprovada",IF($Q73="Aprovado","Aprovada",IF($M73&lt;&gt;"","Entregue",IF(TODAY()&gt;$C73,"Atrasada","Pendente"))))))</f>
        <v>Não agendado</v>
      </c>
      <c r="T73" s="88"/>
      <c r="U73" s="88"/>
      <c r="V73" s="88"/>
    </row>
    <row r="74" customFormat="false" ht="22.35" hidden="false" customHeight="true" outlineLevel="0" collapsed="false">
      <c r="A74" s="80" t="str">
        <f aca="false">$X$2&amp;"-TRE-5"</f>
        <v>NOV-TRE-5</v>
      </c>
      <c r="B74" s="31" t="str">
        <f aca="false">IF($C74="","","S"&amp;INT(($C74-WEEKDAY($C74,2)+11-DATE(YEAR($C74+4-WEEKDAY($C74,2)),1,1))/7))</f>
        <v/>
      </c>
      <c r="C74" s="82"/>
      <c r="D74" s="87" t="s">
        <v>230</v>
      </c>
      <c r="E74" s="87"/>
      <c r="F74" s="87"/>
      <c r="G74" s="31" t="s">
        <v>231</v>
      </c>
      <c r="H74" s="81" t="s">
        <v>232</v>
      </c>
      <c r="I74" s="81"/>
      <c r="J74" s="31" t="s">
        <v>233</v>
      </c>
      <c r="K74" s="83" t="s">
        <v>233</v>
      </c>
      <c r="L74" s="83" t="s">
        <v>233</v>
      </c>
      <c r="M74" s="84"/>
      <c r="N74" s="84"/>
      <c r="O74" s="84"/>
      <c r="P74" s="85"/>
      <c r="Q74" s="86"/>
      <c r="R74" s="87"/>
      <c r="S74" s="81" t="str">
        <f aca="true">IF($C74="","Não agendado",IF($Q74="Cancelada","Cancelada",IF($Q74="Reprovado","Reprovada",IF($Q74="Aprovado","Aprovada",IF($M74&lt;&gt;"","Entregue",IF(TODAY()&gt;$C74,"Atrasada","Pendente"))))))</f>
        <v>Não agendado</v>
      </c>
      <c r="T74" s="88"/>
      <c r="U74" s="88"/>
      <c r="V74" s="88"/>
    </row>
    <row r="75" customFormat="false" ht="22.35" hidden="false" customHeight="true" outlineLevel="0" collapsed="false">
      <c r="A75" s="80" t="str">
        <f aca="false">$X$2&amp;"-TRE-6"</f>
        <v>NOV-TRE-6</v>
      </c>
      <c r="B75" s="31" t="str">
        <f aca="false">IF($C75="","","S"&amp;INT(($C75-WEEKDAY($C75,2)+11-DATE(YEAR($C75+4-WEEKDAY($C75,2)),1,1))/7))</f>
        <v/>
      </c>
      <c r="C75" s="82"/>
      <c r="D75" s="87" t="s">
        <v>230</v>
      </c>
      <c r="E75" s="87"/>
      <c r="F75" s="87"/>
      <c r="G75" s="31" t="s">
        <v>231</v>
      </c>
      <c r="H75" s="81" t="s">
        <v>232</v>
      </c>
      <c r="I75" s="81"/>
      <c r="J75" s="31" t="s">
        <v>233</v>
      </c>
      <c r="K75" s="83" t="s">
        <v>233</v>
      </c>
      <c r="L75" s="83" t="s">
        <v>233</v>
      </c>
      <c r="M75" s="84"/>
      <c r="N75" s="84"/>
      <c r="O75" s="84"/>
      <c r="P75" s="85"/>
      <c r="Q75" s="86"/>
      <c r="R75" s="87"/>
      <c r="S75" s="81" t="str">
        <f aca="true">IF($C75="","Não agendado",IF($Q75="Cancelada","Cancelada",IF($Q75="Reprovado","Reprovada",IF($Q75="Aprovado","Aprovada",IF($M75&lt;&gt;"","Entregue",IF(TODAY()&gt;$C75,"Atrasada","Pendente"))))))</f>
        <v>Não agendado</v>
      </c>
      <c r="T75" s="88"/>
      <c r="U75" s="88"/>
      <c r="V75" s="88"/>
    </row>
    <row r="77" customFormat="false" ht="15" hidden="false" customHeight="true" outlineLevel="0" collapsed="false">
      <c r="A77" s="46" t="s">
        <v>234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</row>
  </sheetData>
  <mergeCells count="256">
    <mergeCell ref="A1:S1"/>
    <mergeCell ref="A3:O3"/>
    <mergeCell ref="B5:C5"/>
    <mergeCell ref="D5:E5"/>
    <mergeCell ref="F5:G5"/>
    <mergeCell ref="H5:I5"/>
    <mergeCell ref="J5:K5"/>
    <mergeCell ref="L5:M5"/>
    <mergeCell ref="N5:O5"/>
    <mergeCell ref="B6:C6"/>
    <mergeCell ref="D6:E6"/>
    <mergeCell ref="F6:G6"/>
    <mergeCell ref="H6:I6"/>
    <mergeCell ref="J6:K6"/>
    <mergeCell ref="L6:M6"/>
    <mergeCell ref="N6:O6"/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O18"/>
    <mergeCell ref="A20:V20"/>
    <mergeCell ref="D21:F21"/>
    <mergeCell ref="H21:I21"/>
    <mergeCell ref="M21:O21"/>
    <mergeCell ref="D22:F22"/>
    <mergeCell ref="H22:I22"/>
    <mergeCell ref="M22:O22"/>
    <mergeCell ref="D23:F23"/>
    <mergeCell ref="H23:I23"/>
    <mergeCell ref="M23:O23"/>
    <mergeCell ref="D24:F24"/>
    <mergeCell ref="H24:I24"/>
    <mergeCell ref="M24:O24"/>
    <mergeCell ref="D25:F25"/>
    <mergeCell ref="H25:I25"/>
    <mergeCell ref="M25:O25"/>
    <mergeCell ref="D26:F26"/>
    <mergeCell ref="H26:I26"/>
    <mergeCell ref="M26:O26"/>
    <mergeCell ref="D27:F27"/>
    <mergeCell ref="H27:I27"/>
    <mergeCell ref="M27:O27"/>
    <mergeCell ref="D28:F28"/>
    <mergeCell ref="H28:I28"/>
    <mergeCell ref="M28:O28"/>
    <mergeCell ref="D29:F29"/>
    <mergeCell ref="H29:I29"/>
    <mergeCell ref="M29:O29"/>
    <mergeCell ref="D30:F30"/>
    <mergeCell ref="H30:I30"/>
    <mergeCell ref="M30:O30"/>
    <mergeCell ref="D31:F31"/>
    <mergeCell ref="H31:I31"/>
    <mergeCell ref="M31:O31"/>
    <mergeCell ref="D32:F32"/>
    <mergeCell ref="H32:I32"/>
    <mergeCell ref="M32:O32"/>
    <mergeCell ref="D33:F33"/>
    <mergeCell ref="H33:I33"/>
    <mergeCell ref="M33:O33"/>
    <mergeCell ref="D34:F34"/>
    <mergeCell ref="H34:I34"/>
    <mergeCell ref="M34:O34"/>
    <mergeCell ref="D35:F35"/>
    <mergeCell ref="H35:I35"/>
    <mergeCell ref="M35:O35"/>
    <mergeCell ref="D36:F36"/>
    <mergeCell ref="H36:I36"/>
    <mergeCell ref="M36:O36"/>
    <mergeCell ref="D37:F37"/>
    <mergeCell ref="H37:I37"/>
    <mergeCell ref="M37:O37"/>
    <mergeCell ref="D38:F38"/>
    <mergeCell ref="H38:I38"/>
    <mergeCell ref="M38:O38"/>
    <mergeCell ref="D39:F39"/>
    <mergeCell ref="H39:I39"/>
    <mergeCell ref="M39:O39"/>
    <mergeCell ref="D40:F40"/>
    <mergeCell ref="H40:I40"/>
    <mergeCell ref="M40:O40"/>
    <mergeCell ref="D41:F41"/>
    <mergeCell ref="H41:I41"/>
    <mergeCell ref="M41:O41"/>
    <mergeCell ref="D42:F42"/>
    <mergeCell ref="H42:I42"/>
    <mergeCell ref="M42:O42"/>
    <mergeCell ref="D43:F43"/>
    <mergeCell ref="H43:I43"/>
    <mergeCell ref="M43:O43"/>
    <mergeCell ref="D44:F44"/>
    <mergeCell ref="H44:I44"/>
    <mergeCell ref="M44:O44"/>
    <mergeCell ref="D45:F45"/>
    <mergeCell ref="H45:I45"/>
    <mergeCell ref="M45:O45"/>
    <mergeCell ref="D46:F46"/>
    <mergeCell ref="H46:I46"/>
    <mergeCell ref="M46:O46"/>
    <mergeCell ref="D47:F47"/>
    <mergeCell ref="H47:I47"/>
    <mergeCell ref="M47:O47"/>
    <mergeCell ref="D48:F48"/>
    <mergeCell ref="H48:I48"/>
    <mergeCell ref="M48:O48"/>
    <mergeCell ref="D49:F49"/>
    <mergeCell ref="H49:I49"/>
    <mergeCell ref="M49:O49"/>
    <mergeCell ref="D50:F50"/>
    <mergeCell ref="H50:I50"/>
    <mergeCell ref="M50:O50"/>
    <mergeCell ref="D51:F51"/>
    <mergeCell ref="H51:I51"/>
    <mergeCell ref="M51:O51"/>
    <mergeCell ref="D52:F52"/>
    <mergeCell ref="H52:I52"/>
    <mergeCell ref="M52:O52"/>
    <mergeCell ref="D53:F53"/>
    <mergeCell ref="H53:I53"/>
    <mergeCell ref="M53:O53"/>
    <mergeCell ref="D54:F54"/>
    <mergeCell ref="H54:I54"/>
    <mergeCell ref="M54:O54"/>
    <mergeCell ref="D55:F55"/>
    <mergeCell ref="H55:I55"/>
    <mergeCell ref="M55:O55"/>
    <mergeCell ref="D56:F56"/>
    <mergeCell ref="H56:I56"/>
    <mergeCell ref="M56:O56"/>
    <mergeCell ref="D57:F57"/>
    <mergeCell ref="H57:I57"/>
    <mergeCell ref="M57:O57"/>
    <mergeCell ref="D58:F58"/>
    <mergeCell ref="H58:I58"/>
    <mergeCell ref="M58:O58"/>
    <mergeCell ref="D59:F59"/>
    <mergeCell ref="H59:I59"/>
    <mergeCell ref="M59:O59"/>
    <mergeCell ref="D60:F60"/>
    <mergeCell ref="H60:I60"/>
    <mergeCell ref="M60:O60"/>
    <mergeCell ref="D61:F61"/>
    <mergeCell ref="H61:I61"/>
    <mergeCell ref="M61:O61"/>
    <mergeCell ref="D62:F62"/>
    <mergeCell ref="H62:I62"/>
    <mergeCell ref="M62:O62"/>
    <mergeCell ref="D63:F63"/>
    <mergeCell ref="H63:I63"/>
    <mergeCell ref="M63:O63"/>
    <mergeCell ref="D64:F64"/>
    <mergeCell ref="H64:I64"/>
    <mergeCell ref="M64:O64"/>
    <mergeCell ref="D65:F65"/>
    <mergeCell ref="H65:I65"/>
    <mergeCell ref="M65:O65"/>
    <mergeCell ref="D66:F66"/>
    <mergeCell ref="H66:I66"/>
    <mergeCell ref="M66:O66"/>
    <mergeCell ref="D67:F67"/>
    <mergeCell ref="H67:I67"/>
    <mergeCell ref="M67:O67"/>
    <mergeCell ref="A69:V69"/>
    <mergeCell ref="D70:F70"/>
    <mergeCell ref="H70:I70"/>
    <mergeCell ref="M70:O70"/>
    <mergeCell ref="D71:F71"/>
    <mergeCell ref="H71:I71"/>
    <mergeCell ref="M71:O71"/>
    <mergeCell ref="D72:F72"/>
    <mergeCell ref="H72:I72"/>
    <mergeCell ref="M72:O72"/>
    <mergeCell ref="D73:F73"/>
    <mergeCell ref="H73:I73"/>
    <mergeCell ref="M73:O73"/>
    <mergeCell ref="D74:F74"/>
    <mergeCell ref="H74:I74"/>
    <mergeCell ref="M74:O74"/>
    <mergeCell ref="D75:F75"/>
    <mergeCell ref="H75:I75"/>
    <mergeCell ref="M75:O75"/>
    <mergeCell ref="A77:V77"/>
  </mergeCells>
  <conditionalFormatting sqref="A3">
    <cfRule type="expression" priority="2" aboveAverage="0" equalAverage="0" bottom="0" percent="0" rank="0" text="" dxfId="11">
      <formula>LEFT($A$3,3)="MÊS"</formula>
    </cfRule>
  </conditionalFormatting>
  <conditionalFormatting sqref="B6:C7">
    <cfRule type="expression" priority="3" aboveAverage="0" equalAverage="0" bottom="0" percent="0" rank="0" text="" dxfId="12">
      <formula>AND(B6&lt;&gt;"",B6=TODAY())</formula>
    </cfRule>
    <cfRule type="expression" priority="4" aboveAverage="0" equalAverage="0" bottom="0" percent="0" rank="0" text="" dxfId="13">
      <formula>AND(B6&lt;&gt;"",COUNTIFS($C$22:$C$150,B6,$S$22:$S$150,"Atrasada")&gt;0)</formula>
    </cfRule>
    <cfRule type="expression" priority="5" aboveAverage="0" equalAverage="0" bottom="0" percent="0" rank="0" text="" dxfId="14">
      <formula>AND(B6&lt;&gt;"",COUNTIFS($C$22:$C$150,B6,$Q$22:$Q$150,"&lt;&gt;Cancelada")&gt;0)</formula>
    </cfRule>
  </conditionalFormatting>
  <conditionalFormatting sqref="D6:E7">
    <cfRule type="expression" priority="6" aboveAverage="0" equalAverage="0" bottom="0" percent="0" rank="0" text="" dxfId="12">
      <formula>AND(D6&lt;&gt;"",D6=TODAY())</formula>
    </cfRule>
    <cfRule type="expression" priority="7" aboveAverage="0" equalAverage="0" bottom="0" percent="0" rank="0" text="" dxfId="13">
      <formula>AND(D6&lt;&gt;"",COUNTIFS($C$22:$C$150,D6,$S$22:$S$150,"Atrasada")&gt;0)</formula>
    </cfRule>
    <cfRule type="expression" priority="8" aboveAverage="0" equalAverage="0" bottom="0" percent="0" rank="0" text="" dxfId="14">
      <formula>AND(D6&lt;&gt;"",COUNTIFS($C$22:$C$150,D6,$Q$22:$Q$150,"&lt;&gt;Cancelada")&gt;0)</formula>
    </cfRule>
  </conditionalFormatting>
  <conditionalFormatting sqref="F6:G7">
    <cfRule type="expression" priority="9" aboveAverage="0" equalAverage="0" bottom="0" percent="0" rank="0" text="" dxfId="12">
      <formula>AND(F6&lt;&gt;"",F6=TODAY())</formula>
    </cfRule>
    <cfRule type="expression" priority="10" aboveAverage="0" equalAverage="0" bottom="0" percent="0" rank="0" text="" dxfId="13">
      <formula>AND(F6&lt;&gt;"",COUNTIFS($C$22:$C$150,F6,$S$22:$S$150,"Atrasada")&gt;0)</formula>
    </cfRule>
    <cfRule type="expression" priority="11" aboveAverage="0" equalAverage="0" bottom="0" percent="0" rank="0" text="" dxfId="14">
      <formula>AND(F6&lt;&gt;"",COUNTIFS($C$22:$C$150,F6,$Q$22:$Q$150,"&lt;&gt;Cancelada")&gt;0)</formula>
    </cfRule>
  </conditionalFormatting>
  <conditionalFormatting sqref="H6:I7">
    <cfRule type="expression" priority="12" aboveAverage="0" equalAverage="0" bottom="0" percent="0" rank="0" text="" dxfId="12">
      <formula>AND(H6&lt;&gt;"",H6=TODAY())</formula>
    </cfRule>
    <cfRule type="expression" priority="13" aboveAverage="0" equalAverage="0" bottom="0" percent="0" rank="0" text="" dxfId="13">
      <formula>AND(H6&lt;&gt;"",COUNTIFS($C$22:$C$150,H6,$S$22:$S$150,"Atrasada")&gt;0)</formula>
    </cfRule>
    <cfRule type="expression" priority="14" aboveAverage="0" equalAverage="0" bottom="0" percent="0" rank="0" text="" dxfId="14">
      <formula>AND(H6&lt;&gt;"",COUNTIFS($C$22:$C$150,H6,$Q$22:$Q$150,"&lt;&gt;Cancelada")&gt;0)</formula>
    </cfRule>
  </conditionalFormatting>
  <conditionalFormatting sqref="J6:K7">
    <cfRule type="expression" priority="15" aboveAverage="0" equalAverage="0" bottom="0" percent="0" rank="0" text="" dxfId="12">
      <formula>AND(J6&lt;&gt;"",J6=TODAY())</formula>
    </cfRule>
    <cfRule type="expression" priority="16" aboveAverage="0" equalAverage="0" bottom="0" percent="0" rank="0" text="" dxfId="13">
      <formula>AND(J6&lt;&gt;"",COUNTIFS($C$22:$C$150,J6,$S$22:$S$150,"Atrasada")&gt;0)</formula>
    </cfRule>
    <cfRule type="expression" priority="17" aboveAverage="0" equalAverage="0" bottom="0" percent="0" rank="0" text="" dxfId="14">
      <formula>AND(J6&lt;&gt;"",COUNTIFS($C$22:$C$150,J6,$Q$22:$Q$150,"&lt;&gt;Cancelada")&gt;0)</formula>
    </cfRule>
  </conditionalFormatting>
  <conditionalFormatting sqref="L6:M7">
    <cfRule type="expression" priority="18" aboveAverage="0" equalAverage="0" bottom="0" percent="0" rank="0" text="" dxfId="12">
      <formula>AND(L6&lt;&gt;"",L6=TODAY())</formula>
    </cfRule>
    <cfRule type="expression" priority="19" aboveAverage="0" equalAverage="0" bottom="0" percent="0" rank="0" text="" dxfId="13">
      <formula>AND(L6&lt;&gt;"",COUNTIFS($C$22:$C$150,L6,$S$22:$S$150,"Atrasada")&gt;0)</formula>
    </cfRule>
    <cfRule type="expression" priority="20" aboveAverage="0" equalAverage="0" bottom="0" percent="0" rank="0" text="" dxfId="14">
      <formula>AND(L6&lt;&gt;"",COUNTIFS($C$22:$C$150,L6,$Q$22:$Q$150,"&lt;&gt;Cancelada")&gt;0)</formula>
    </cfRule>
  </conditionalFormatting>
  <conditionalFormatting sqref="N6:O7">
    <cfRule type="expression" priority="21" aboveAverage="0" equalAverage="0" bottom="0" percent="0" rank="0" text="" dxfId="12">
      <formula>AND(N6&lt;&gt;"",N6=TODAY())</formula>
    </cfRule>
    <cfRule type="expression" priority="22" aboveAverage="0" equalAverage="0" bottom="0" percent="0" rank="0" text="" dxfId="13">
      <formula>AND(N6&lt;&gt;"",COUNTIFS($C$22:$C$150,N6,$S$22:$S$150,"Atrasada")&gt;0)</formula>
    </cfRule>
    <cfRule type="expression" priority="23" aboveAverage="0" equalAverage="0" bottom="0" percent="0" rank="0" text="" dxfId="14">
      <formula>AND(N6&lt;&gt;"",COUNTIFS($C$22:$C$150,N6,$Q$22:$Q$150,"&lt;&gt;Cancelada")&gt;0)</formula>
    </cfRule>
  </conditionalFormatting>
  <conditionalFormatting sqref="B8:C9">
    <cfRule type="expression" priority="24" aboveAverage="0" equalAverage="0" bottom="0" percent="0" rank="0" text="" dxfId="12">
      <formula>AND(B8&lt;&gt;"",B8=TODAY())</formula>
    </cfRule>
    <cfRule type="expression" priority="25" aboveAverage="0" equalAverage="0" bottom="0" percent="0" rank="0" text="" dxfId="13">
      <formula>AND(B8&lt;&gt;"",COUNTIFS($C$22:$C$150,B8,$S$22:$S$150,"Atrasada")&gt;0)</formula>
    </cfRule>
    <cfRule type="expression" priority="26" aboveAverage="0" equalAverage="0" bottom="0" percent="0" rank="0" text="" dxfId="14">
      <formula>AND(B8&lt;&gt;"",COUNTIFS($C$22:$C$150,B8,$Q$22:$Q$150,"&lt;&gt;Cancelada")&gt;0)</formula>
    </cfRule>
  </conditionalFormatting>
  <conditionalFormatting sqref="D8:E9">
    <cfRule type="expression" priority="27" aboveAverage="0" equalAverage="0" bottom="0" percent="0" rank="0" text="" dxfId="12">
      <formula>AND(D8&lt;&gt;"",D8=TODAY())</formula>
    </cfRule>
    <cfRule type="expression" priority="28" aboveAverage="0" equalAverage="0" bottom="0" percent="0" rank="0" text="" dxfId="13">
      <formula>AND(D8&lt;&gt;"",COUNTIFS($C$22:$C$150,D8,$S$22:$S$150,"Atrasada")&gt;0)</formula>
    </cfRule>
    <cfRule type="expression" priority="29" aboveAverage="0" equalAverage="0" bottom="0" percent="0" rank="0" text="" dxfId="14">
      <formula>AND(D8&lt;&gt;"",COUNTIFS($C$22:$C$150,D8,$Q$22:$Q$150,"&lt;&gt;Cancelada")&gt;0)</formula>
    </cfRule>
  </conditionalFormatting>
  <conditionalFormatting sqref="F8:G9">
    <cfRule type="expression" priority="30" aboveAverage="0" equalAverage="0" bottom="0" percent="0" rank="0" text="" dxfId="12">
      <formula>AND(F8&lt;&gt;"",F8=TODAY())</formula>
    </cfRule>
    <cfRule type="expression" priority="31" aboveAverage="0" equalAverage="0" bottom="0" percent="0" rank="0" text="" dxfId="13">
      <formula>AND(F8&lt;&gt;"",COUNTIFS($C$22:$C$150,F8,$S$22:$S$150,"Atrasada")&gt;0)</formula>
    </cfRule>
    <cfRule type="expression" priority="32" aboveAverage="0" equalAverage="0" bottom="0" percent="0" rank="0" text="" dxfId="14">
      <formula>AND(F8&lt;&gt;"",COUNTIFS($C$22:$C$150,F8,$Q$22:$Q$150,"&lt;&gt;Cancelada")&gt;0)</formula>
    </cfRule>
  </conditionalFormatting>
  <conditionalFormatting sqref="H8:I9">
    <cfRule type="expression" priority="33" aboveAverage="0" equalAverage="0" bottom="0" percent="0" rank="0" text="" dxfId="12">
      <formula>AND(H8&lt;&gt;"",H8=TODAY())</formula>
    </cfRule>
    <cfRule type="expression" priority="34" aboveAverage="0" equalAverage="0" bottom="0" percent="0" rank="0" text="" dxfId="13">
      <formula>AND(H8&lt;&gt;"",COUNTIFS($C$22:$C$150,H8,$S$22:$S$150,"Atrasada")&gt;0)</formula>
    </cfRule>
    <cfRule type="expression" priority="35" aboveAverage="0" equalAverage="0" bottom="0" percent="0" rank="0" text="" dxfId="14">
      <formula>AND(H8&lt;&gt;"",COUNTIFS($C$22:$C$150,H8,$Q$22:$Q$150,"&lt;&gt;Cancelada")&gt;0)</formula>
    </cfRule>
  </conditionalFormatting>
  <conditionalFormatting sqref="J8:K9">
    <cfRule type="expression" priority="36" aboveAverage="0" equalAverage="0" bottom="0" percent="0" rank="0" text="" dxfId="12">
      <formula>AND(J8&lt;&gt;"",J8=TODAY())</formula>
    </cfRule>
    <cfRule type="expression" priority="37" aboveAverage="0" equalAverage="0" bottom="0" percent="0" rank="0" text="" dxfId="13">
      <formula>AND(J8&lt;&gt;"",COUNTIFS($C$22:$C$150,J8,$S$22:$S$150,"Atrasada")&gt;0)</formula>
    </cfRule>
    <cfRule type="expression" priority="38" aboveAverage="0" equalAverage="0" bottom="0" percent="0" rank="0" text="" dxfId="14">
      <formula>AND(J8&lt;&gt;"",COUNTIFS($C$22:$C$150,J8,$Q$22:$Q$150,"&lt;&gt;Cancelada")&gt;0)</formula>
    </cfRule>
  </conditionalFormatting>
  <conditionalFormatting sqref="L8:M9">
    <cfRule type="expression" priority="39" aboveAverage="0" equalAverage="0" bottom="0" percent="0" rank="0" text="" dxfId="12">
      <formula>AND(L8&lt;&gt;"",L8=TODAY())</formula>
    </cfRule>
    <cfRule type="expression" priority="40" aboveAverage="0" equalAverage="0" bottom="0" percent="0" rank="0" text="" dxfId="13">
      <formula>AND(L8&lt;&gt;"",COUNTIFS($C$22:$C$150,L8,$S$22:$S$150,"Atrasada")&gt;0)</formula>
    </cfRule>
    <cfRule type="expression" priority="41" aboveAverage="0" equalAverage="0" bottom="0" percent="0" rank="0" text="" dxfId="14">
      <formula>AND(L8&lt;&gt;"",COUNTIFS($C$22:$C$150,L8,$Q$22:$Q$150,"&lt;&gt;Cancelada")&gt;0)</formula>
    </cfRule>
  </conditionalFormatting>
  <conditionalFormatting sqref="N8:O9">
    <cfRule type="expression" priority="42" aboveAverage="0" equalAverage="0" bottom="0" percent="0" rank="0" text="" dxfId="12">
      <formula>AND(N8&lt;&gt;"",N8=TODAY())</formula>
    </cfRule>
    <cfRule type="expression" priority="43" aboveAverage="0" equalAverage="0" bottom="0" percent="0" rank="0" text="" dxfId="13">
      <formula>AND(N8&lt;&gt;"",COUNTIFS($C$22:$C$150,N8,$S$22:$S$150,"Atrasada")&gt;0)</formula>
    </cfRule>
    <cfRule type="expression" priority="44" aboveAverage="0" equalAverage="0" bottom="0" percent="0" rank="0" text="" dxfId="14">
      <formula>AND(N8&lt;&gt;"",COUNTIFS($C$22:$C$150,N8,$Q$22:$Q$150,"&lt;&gt;Cancelada")&gt;0)</formula>
    </cfRule>
  </conditionalFormatting>
  <conditionalFormatting sqref="B10:C11">
    <cfRule type="expression" priority="45" aboveAverage="0" equalAverage="0" bottom="0" percent="0" rank="0" text="" dxfId="12">
      <formula>AND(B10&lt;&gt;"",B10=TODAY())</formula>
    </cfRule>
    <cfRule type="expression" priority="46" aboveAverage="0" equalAverage="0" bottom="0" percent="0" rank="0" text="" dxfId="13">
      <formula>AND(B10&lt;&gt;"",COUNTIFS($C$22:$C$150,B10,$S$22:$S$150,"Atrasada")&gt;0)</formula>
    </cfRule>
    <cfRule type="expression" priority="47" aboveAverage="0" equalAverage="0" bottom="0" percent="0" rank="0" text="" dxfId="14">
      <formula>AND(B10&lt;&gt;"",COUNTIFS($C$22:$C$150,B10,$Q$22:$Q$150,"&lt;&gt;Cancelada")&gt;0)</formula>
    </cfRule>
  </conditionalFormatting>
  <conditionalFormatting sqref="D10:E11">
    <cfRule type="expression" priority="48" aboveAverage="0" equalAverage="0" bottom="0" percent="0" rank="0" text="" dxfId="12">
      <formula>AND(D10&lt;&gt;"",D10=TODAY())</formula>
    </cfRule>
    <cfRule type="expression" priority="49" aboveAverage="0" equalAverage="0" bottom="0" percent="0" rank="0" text="" dxfId="13">
      <formula>AND(D10&lt;&gt;"",COUNTIFS($C$22:$C$150,D10,$S$22:$S$150,"Atrasada")&gt;0)</formula>
    </cfRule>
    <cfRule type="expression" priority="50" aboveAverage="0" equalAverage="0" bottom="0" percent="0" rank="0" text="" dxfId="14">
      <formula>AND(D10&lt;&gt;"",COUNTIFS($C$22:$C$150,D10,$Q$22:$Q$150,"&lt;&gt;Cancelada")&gt;0)</formula>
    </cfRule>
  </conditionalFormatting>
  <conditionalFormatting sqref="F10:G11">
    <cfRule type="expression" priority="51" aboveAverage="0" equalAverage="0" bottom="0" percent="0" rank="0" text="" dxfId="12">
      <formula>AND(F10&lt;&gt;"",F10=TODAY())</formula>
    </cfRule>
    <cfRule type="expression" priority="52" aboveAverage="0" equalAverage="0" bottom="0" percent="0" rank="0" text="" dxfId="13">
      <formula>AND(F10&lt;&gt;"",COUNTIFS($C$22:$C$150,F10,$S$22:$S$150,"Atrasada")&gt;0)</formula>
    </cfRule>
    <cfRule type="expression" priority="53" aboveAverage="0" equalAverage="0" bottom="0" percent="0" rank="0" text="" dxfId="14">
      <formula>AND(F10&lt;&gt;"",COUNTIFS($C$22:$C$150,F10,$Q$22:$Q$150,"&lt;&gt;Cancelada")&gt;0)</formula>
    </cfRule>
  </conditionalFormatting>
  <conditionalFormatting sqref="H10:I11">
    <cfRule type="expression" priority="54" aboveAverage="0" equalAverage="0" bottom="0" percent="0" rank="0" text="" dxfId="12">
      <formula>AND(H10&lt;&gt;"",H10=TODAY())</formula>
    </cfRule>
    <cfRule type="expression" priority="55" aboveAverage="0" equalAverage="0" bottom="0" percent="0" rank="0" text="" dxfId="13">
      <formula>AND(H10&lt;&gt;"",COUNTIFS($C$22:$C$150,H10,$S$22:$S$150,"Atrasada")&gt;0)</formula>
    </cfRule>
    <cfRule type="expression" priority="56" aboveAverage="0" equalAverage="0" bottom="0" percent="0" rank="0" text="" dxfId="14">
      <formula>AND(H10&lt;&gt;"",COUNTIFS($C$22:$C$150,H10,$Q$22:$Q$150,"&lt;&gt;Cancelada")&gt;0)</formula>
    </cfRule>
  </conditionalFormatting>
  <conditionalFormatting sqref="J10:K11">
    <cfRule type="expression" priority="57" aboveAverage="0" equalAverage="0" bottom="0" percent="0" rank="0" text="" dxfId="12">
      <formula>AND(J10&lt;&gt;"",J10=TODAY())</formula>
    </cfRule>
    <cfRule type="expression" priority="58" aboveAverage="0" equalAverage="0" bottom="0" percent="0" rank="0" text="" dxfId="13">
      <formula>AND(J10&lt;&gt;"",COUNTIFS($C$22:$C$150,J10,$S$22:$S$150,"Atrasada")&gt;0)</formula>
    </cfRule>
    <cfRule type="expression" priority="59" aboveAverage="0" equalAverage="0" bottom="0" percent="0" rank="0" text="" dxfId="14">
      <formula>AND(J10&lt;&gt;"",COUNTIFS($C$22:$C$150,J10,$Q$22:$Q$150,"&lt;&gt;Cancelada")&gt;0)</formula>
    </cfRule>
  </conditionalFormatting>
  <conditionalFormatting sqref="L10:M11">
    <cfRule type="expression" priority="60" aboveAverage="0" equalAverage="0" bottom="0" percent="0" rank="0" text="" dxfId="12">
      <formula>AND(L10&lt;&gt;"",L10=TODAY())</formula>
    </cfRule>
    <cfRule type="expression" priority="61" aboveAverage="0" equalAverage="0" bottom="0" percent="0" rank="0" text="" dxfId="13">
      <formula>AND(L10&lt;&gt;"",COUNTIFS($C$22:$C$150,L10,$S$22:$S$150,"Atrasada")&gt;0)</formula>
    </cfRule>
    <cfRule type="expression" priority="62" aboveAverage="0" equalAverage="0" bottom="0" percent="0" rank="0" text="" dxfId="14">
      <formula>AND(L10&lt;&gt;"",COUNTIFS($C$22:$C$150,L10,$Q$22:$Q$150,"&lt;&gt;Cancelada")&gt;0)</formula>
    </cfRule>
  </conditionalFormatting>
  <conditionalFormatting sqref="N10:O11">
    <cfRule type="expression" priority="63" aboveAverage="0" equalAverage="0" bottom="0" percent="0" rank="0" text="" dxfId="12">
      <formula>AND(N10&lt;&gt;"",N10=TODAY())</formula>
    </cfRule>
    <cfRule type="expression" priority="64" aboveAverage="0" equalAverage="0" bottom="0" percent="0" rank="0" text="" dxfId="13">
      <formula>AND(N10&lt;&gt;"",COUNTIFS($C$22:$C$150,N10,$S$22:$S$150,"Atrasada")&gt;0)</formula>
    </cfRule>
    <cfRule type="expression" priority="65" aboveAverage="0" equalAverage="0" bottom="0" percent="0" rank="0" text="" dxfId="14">
      <formula>AND(N10&lt;&gt;"",COUNTIFS($C$22:$C$150,N10,$Q$22:$Q$150,"&lt;&gt;Cancelada")&gt;0)</formula>
    </cfRule>
  </conditionalFormatting>
  <conditionalFormatting sqref="B12:C13">
    <cfRule type="expression" priority="66" aboveAverage="0" equalAverage="0" bottom="0" percent="0" rank="0" text="" dxfId="12">
      <formula>AND(B12&lt;&gt;"",B12=TODAY())</formula>
    </cfRule>
    <cfRule type="expression" priority="67" aboveAverage="0" equalAverage="0" bottom="0" percent="0" rank="0" text="" dxfId="13">
      <formula>AND(B12&lt;&gt;"",COUNTIFS($C$22:$C$150,B12,$S$22:$S$150,"Atrasada")&gt;0)</formula>
    </cfRule>
    <cfRule type="expression" priority="68" aboveAverage="0" equalAverage="0" bottom="0" percent="0" rank="0" text="" dxfId="14">
      <formula>AND(B12&lt;&gt;"",COUNTIFS($C$22:$C$150,B12,$Q$22:$Q$150,"&lt;&gt;Cancelada")&gt;0)</formula>
    </cfRule>
  </conditionalFormatting>
  <conditionalFormatting sqref="D12:E13">
    <cfRule type="expression" priority="69" aboveAverage="0" equalAverage="0" bottom="0" percent="0" rank="0" text="" dxfId="12">
      <formula>AND(D12&lt;&gt;"",D12=TODAY())</formula>
    </cfRule>
    <cfRule type="expression" priority="70" aboveAverage="0" equalAverage="0" bottom="0" percent="0" rank="0" text="" dxfId="13">
      <formula>AND(D12&lt;&gt;"",COUNTIFS($C$22:$C$150,D12,$S$22:$S$150,"Atrasada")&gt;0)</formula>
    </cfRule>
    <cfRule type="expression" priority="71" aboveAverage="0" equalAverage="0" bottom="0" percent="0" rank="0" text="" dxfId="14">
      <formula>AND(D12&lt;&gt;"",COUNTIFS($C$22:$C$150,D12,$Q$22:$Q$150,"&lt;&gt;Cancelada")&gt;0)</formula>
    </cfRule>
  </conditionalFormatting>
  <conditionalFormatting sqref="F12:G13">
    <cfRule type="expression" priority="72" aboveAverage="0" equalAverage="0" bottom="0" percent="0" rank="0" text="" dxfId="12">
      <formula>AND(F12&lt;&gt;"",F12=TODAY())</formula>
    </cfRule>
    <cfRule type="expression" priority="73" aboveAverage="0" equalAverage="0" bottom="0" percent="0" rank="0" text="" dxfId="13">
      <formula>AND(F12&lt;&gt;"",COUNTIFS($C$22:$C$150,F12,$S$22:$S$150,"Atrasada")&gt;0)</formula>
    </cfRule>
    <cfRule type="expression" priority="74" aboveAverage="0" equalAverage="0" bottom="0" percent="0" rank="0" text="" dxfId="14">
      <formula>AND(F12&lt;&gt;"",COUNTIFS($C$22:$C$150,F12,$Q$22:$Q$150,"&lt;&gt;Cancelada")&gt;0)</formula>
    </cfRule>
  </conditionalFormatting>
  <conditionalFormatting sqref="H12:I13">
    <cfRule type="expression" priority="75" aboveAverage="0" equalAverage="0" bottom="0" percent="0" rank="0" text="" dxfId="12">
      <formula>AND(H12&lt;&gt;"",H12=TODAY())</formula>
    </cfRule>
    <cfRule type="expression" priority="76" aboveAverage="0" equalAverage="0" bottom="0" percent="0" rank="0" text="" dxfId="13">
      <formula>AND(H12&lt;&gt;"",COUNTIFS($C$22:$C$150,H12,$S$22:$S$150,"Atrasada")&gt;0)</formula>
    </cfRule>
    <cfRule type="expression" priority="77" aboveAverage="0" equalAverage="0" bottom="0" percent="0" rank="0" text="" dxfId="14">
      <formula>AND(H12&lt;&gt;"",COUNTIFS($C$22:$C$150,H12,$Q$22:$Q$150,"&lt;&gt;Cancelada")&gt;0)</formula>
    </cfRule>
  </conditionalFormatting>
  <conditionalFormatting sqref="J12:K13">
    <cfRule type="expression" priority="78" aboveAverage="0" equalAverage="0" bottom="0" percent="0" rank="0" text="" dxfId="12">
      <formula>AND(J12&lt;&gt;"",J12=TODAY())</formula>
    </cfRule>
    <cfRule type="expression" priority="79" aboveAverage="0" equalAverage="0" bottom="0" percent="0" rank="0" text="" dxfId="13">
      <formula>AND(J12&lt;&gt;"",COUNTIFS($C$22:$C$150,J12,$S$22:$S$150,"Atrasada")&gt;0)</formula>
    </cfRule>
    <cfRule type="expression" priority="80" aboveAverage="0" equalAverage="0" bottom="0" percent="0" rank="0" text="" dxfId="14">
      <formula>AND(J12&lt;&gt;"",COUNTIFS($C$22:$C$150,J12,$Q$22:$Q$150,"&lt;&gt;Cancelada")&gt;0)</formula>
    </cfRule>
  </conditionalFormatting>
  <conditionalFormatting sqref="L12:M13">
    <cfRule type="expression" priority="81" aboveAverage="0" equalAverage="0" bottom="0" percent="0" rank="0" text="" dxfId="12">
      <formula>AND(L12&lt;&gt;"",L12=TODAY())</formula>
    </cfRule>
    <cfRule type="expression" priority="82" aboveAverage="0" equalAverage="0" bottom="0" percent="0" rank="0" text="" dxfId="13">
      <formula>AND(L12&lt;&gt;"",COUNTIFS($C$22:$C$150,L12,$S$22:$S$150,"Atrasada")&gt;0)</formula>
    </cfRule>
    <cfRule type="expression" priority="83" aboveAverage="0" equalAverage="0" bottom="0" percent="0" rank="0" text="" dxfId="14">
      <formula>AND(L12&lt;&gt;"",COUNTIFS($C$22:$C$150,L12,$Q$22:$Q$150,"&lt;&gt;Cancelada")&gt;0)</formula>
    </cfRule>
  </conditionalFormatting>
  <conditionalFormatting sqref="N12:O13">
    <cfRule type="expression" priority="84" aboveAverage="0" equalAverage="0" bottom="0" percent="0" rank="0" text="" dxfId="12">
      <formula>AND(N12&lt;&gt;"",N12=TODAY())</formula>
    </cfRule>
    <cfRule type="expression" priority="85" aboveAverage="0" equalAverage="0" bottom="0" percent="0" rank="0" text="" dxfId="13">
      <formula>AND(N12&lt;&gt;"",COUNTIFS($C$22:$C$150,N12,$S$22:$S$150,"Atrasada")&gt;0)</formula>
    </cfRule>
    <cfRule type="expression" priority="86" aboveAverage="0" equalAverage="0" bottom="0" percent="0" rank="0" text="" dxfId="14">
      <formula>AND(N12&lt;&gt;"",COUNTIFS($C$22:$C$150,N12,$Q$22:$Q$150,"&lt;&gt;Cancelada")&gt;0)</formula>
    </cfRule>
  </conditionalFormatting>
  <conditionalFormatting sqref="B14:C15">
    <cfRule type="expression" priority="87" aboveAverage="0" equalAverage="0" bottom="0" percent="0" rank="0" text="" dxfId="12">
      <formula>AND(B14&lt;&gt;"",B14=TODAY())</formula>
    </cfRule>
    <cfRule type="expression" priority="88" aboveAverage="0" equalAverage="0" bottom="0" percent="0" rank="0" text="" dxfId="13">
      <formula>AND(B14&lt;&gt;"",COUNTIFS($C$22:$C$150,B14,$S$22:$S$150,"Atrasada")&gt;0)</formula>
    </cfRule>
    <cfRule type="expression" priority="89" aboveAverage="0" equalAverage="0" bottom="0" percent="0" rank="0" text="" dxfId="14">
      <formula>AND(B14&lt;&gt;"",COUNTIFS($C$22:$C$150,B14,$Q$22:$Q$150,"&lt;&gt;Cancelada")&gt;0)</formula>
    </cfRule>
  </conditionalFormatting>
  <conditionalFormatting sqref="D14:E15">
    <cfRule type="expression" priority="90" aboveAverage="0" equalAverage="0" bottom="0" percent="0" rank="0" text="" dxfId="12">
      <formula>AND(D14&lt;&gt;"",D14=TODAY())</formula>
    </cfRule>
    <cfRule type="expression" priority="91" aboveAverage="0" equalAverage="0" bottom="0" percent="0" rank="0" text="" dxfId="13">
      <formula>AND(D14&lt;&gt;"",COUNTIFS($C$22:$C$150,D14,$S$22:$S$150,"Atrasada")&gt;0)</formula>
    </cfRule>
    <cfRule type="expression" priority="92" aboveAverage="0" equalAverage="0" bottom="0" percent="0" rank="0" text="" dxfId="14">
      <formula>AND(D14&lt;&gt;"",COUNTIFS($C$22:$C$150,D14,$Q$22:$Q$150,"&lt;&gt;Cancelada")&gt;0)</formula>
    </cfRule>
  </conditionalFormatting>
  <conditionalFormatting sqref="F14:G15">
    <cfRule type="expression" priority="93" aboveAverage="0" equalAverage="0" bottom="0" percent="0" rank="0" text="" dxfId="12">
      <formula>AND(F14&lt;&gt;"",F14=TODAY())</formula>
    </cfRule>
    <cfRule type="expression" priority="94" aboveAverage="0" equalAverage="0" bottom="0" percent="0" rank="0" text="" dxfId="13">
      <formula>AND(F14&lt;&gt;"",COUNTIFS($C$22:$C$150,F14,$S$22:$S$150,"Atrasada")&gt;0)</formula>
    </cfRule>
    <cfRule type="expression" priority="95" aboveAverage="0" equalAverage="0" bottom="0" percent="0" rank="0" text="" dxfId="14">
      <formula>AND(F14&lt;&gt;"",COUNTIFS($C$22:$C$150,F14,$Q$22:$Q$150,"&lt;&gt;Cancelada")&gt;0)</formula>
    </cfRule>
  </conditionalFormatting>
  <conditionalFormatting sqref="H14:I15">
    <cfRule type="expression" priority="96" aboveAverage="0" equalAverage="0" bottom="0" percent="0" rank="0" text="" dxfId="12">
      <formula>AND(H14&lt;&gt;"",H14=TODAY())</formula>
    </cfRule>
    <cfRule type="expression" priority="97" aboveAverage="0" equalAverage="0" bottom="0" percent="0" rank="0" text="" dxfId="13">
      <formula>AND(H14&lt;&gt;"",COUNTIFS($C$22:$C$150,H14,$S$22:$S$150,"Atrasada")&gt;0)</formula>
    </cfRule>
    <cfRule type="expression" priority="98" aboveAverage="0" equalAverage="0" bottom="0" percent="0" rank="0" text="" dxfId="14">
      <formula>AND(H14&lt;&gt;"",COUNTIFS($C$22:$C$150,H14,$Q$22:$Q$150,"&lt;&gt;Cancelada")&gt;0)</formula>
    </cfRule>
  </conditionalFormatting>
  <conditionalFormatting sqref="J14:K15">
    <cfRule type="expression" priority="99" aboveAverage="0" equalAverage="0" bottom="0" percent="0" rank="0" text="" dxfId="12">
      <formula>AND(J14&lt;&gt;"",J14=TODAY())</formula>
    </cfRule>
    <cfRule type="expression" priority="100" aboveAverage="0" equalAverage="0" bottom="0" percent="0" rank="0" text="" dxfId="13">
      <formula>AND(J14&lt;&gt;"",COUNTIFS($C$22:$C$150,J14,$S$22:$S$150,"Atrasada")&gt;0)</formula>
    </cfRule>
    <cfRule type="expression" priority="101" aboveAverage="0" equalAverage="0" bottom="0" percent="0" rank="0" text="" dxfId="14">
      <formula>AND(J14&lt;&gt;"",COUNTIFS($C$22:$C$150,J14,$Q$22:$Q$150,"&lt;&gt;Cancelada")&gt;0)</formula>
    </cfRule>
  </conditionalFormatting>
  <conditionalFormatting sqref="L14:M15">
    <cfRule type="expression" priority="102" aboveAverage="0" equalAverage="0" bottom="0" percent="0" rank="0" text="" dxfId="12">
      <formula>AND(L14&lt;&gt;"",L14=TODAY())</formula>
    </cfRule>
    <cfRule type="expression" priority="103" aboveAverage="0" equalAverage="0" bottom="0" percent="0" rank="0" text="" dxfId="13">
      <formula>AND(L14&lt;&gt;"",COUNTIFS($C$22:$C$150,L14,$S$22:$S$150,"Atrasada")&gt;0)</formula>
    </cfRule>
    <cfRule type="expression" priority="104" aboveAverage="0" equalAverage="0" bottom="0" percent="0" rank="0" text="" dxfId="14">
      <formula>AND(L14&lt;&gt;"",COUNTIFS($C$22:$C$150,L14,$Q$22:$Q$150,"&lt;&gt;Cancelada")&gt;0)</formula>
    </cfRule>
  </conditionalFormatting>
  <conditionalFormatting sqref="N14:O15">
    <cfRule type="expression" priority="105" aboveAverage="0" equalAverage="0" bottom="0" percent="0" rank="0" text="" dxfId="12">
      <formula>AND(N14&lt;&gt;"",N14=TODAY())</formula>
    </cfRule>
    <cfRule type="expression" priority="106" aboveAverage="0" equalAverage="0" bottom="0" percent="0" rank="0" text="" dxfId="13">
      <formula>AND(N14&lt;&gt;"",COUNTIFS($C$22:$C$150,N14,$S$22:$S$150,"Atrasada")&gt;0)</formula>
    </cfRule>
    <cfRule type="expression" priority="107" aboveAverage="0" equalAverage="0" bottom="0" percent="0" rank="0" text="" dxfId="14">
      <formula>AND(N14&lt;&gt;"",COUNTIFS($C$22:$C$150,N14,$Q$22:$Q$150,"&lt;&gt;Cancelada")&gt;0)</formula>
    </cfRule>
  </conditionalFormatting>
  <conditionalFormatting sqref="B16:C17">
    <cfRule type="expression" priority="108" aboveAverage="0" equalAverage="0" bottom="0" percent="0" rank="0" text="" dxfId="12">
      <formula>AND(B16&lt;&gt;"",B16=TODAY())</formula>
    </cfRule>
    <cfRule type="expression" priority="109" aboveAverage="0" equalAverage="0" bottom="0" percent="0" rank="0" text="" dxfId="13">
      <formula>AND(B16&lt;&gt;"",COUNTIFS($C$22:$C$150,B16,$S$22:$S$150,"Atrasada")&gt;0)</formula>
    </cfRule>
    <cfRule type="expression" priority="110" aboveAverage="0" equalAverage="0" bottom="0" percent="0" rank="0" text="" dxfId="14">
      <formula>AND(B16&lt;&gt;"",COUNTIFS($C$22:$C$150,B16,$Q$22:$Q$150,"&lt;&gt;Cancelada")&gt;0)</formula>
    </cfRule>
  </conditionalFormatting>
  <conditionalFormatting sqref="D16:E17">
    <cfRule type="expression" priority="111" aboveAverage="0" equalAverage="0" bottom="0" percent="0" rank="0" text="" dxfId="12">
      <formula>AND(D16&lt;&gt;"",D16=TODAY())</formula>
    </cfRule>
    <cfRule type="expression" priority="112" aboveAverage="0" equalAverage="0" bottom="0" percent="0" rank="0" text="" dxfId="13">
      <formula>AND(D16&lt;&gt;"",COUNTIFS($C$22:$C$150,D16,$S$22:$S$150,"Atrasada")&gt;0)</formula>
    </cfRule>
    <cfRule type="expression" priority="113" aboveAverage="0" equalAverage="0" bottom="0" percent="0" rank="0" text="" dxfId="14">
      <formula>AND(D16&lt;&gt;"",COUNTIFS($C$22:$C$150,D16,$Q$22:$Q$150,"&lt;&gt;Cancelada")&gt;0)</formula>
    </cfRule>
  </conditionalFormatting>
  <conditionalFormatting sqref="F16:G17">
    <cfRule type="expression" priority="114" aboveAverage="0" equalAverage="0" bottom="0" percent="0" rank="0" text="" dxfId="12">
      <formula>AND(F16&lt;&gt;"",F16=TODAY())</formula>
    </cfRule>
    <cfRule type="expression" priority="115" aboveAverage="0" equalAverage="0" bottom="0" percent="0" rank="0" text="" dxfId="13">
      <formula>AND(F16&lt;&gt;"",COUNTIFS($C$22:$C$150,F16,$S$22:$S$150,"Atrasada")&gt;0)</formula>
    </cfRule>
    <cfRule type="expression" priority="116" aboveAverage="0" equalAverage="0" bottom="0" percent="0" rank="0" text="" dxfId="14">
      <formula>AND(F16&lt;&gt;"",COUNTIFS($C$22:$C$150,F16,$Q$22:$Q$150,"&lt;&gt;Cancelada")&gt;0)</formula>
    </cfRule>
  </conditionalFormatting>
  <conditionalFormatting sqref="H16:I17">
    <cfRule type="expression" priority="117" aboveAverage="0" equalAverage="0" bottom="0" percent="0" rank="0" text="" dxfId="12">
      <formula>AND(H16&lt;&gt;"",H16=TODAY())</formula>
    </cfRule>
    <cfRule type="expression" priority="118" aboveAverage="0" equalAverage="0" bottom="0" percent="0" rank="0" text="" dxfId="13">
      <formula>AND(H16&lt;&gt;"",COUNTIFS($C$22:$C$150,H16,$S$22:$S$150,"Atrasada")&gt;0)</formula>
    </cfRule>
    <cfRule type="expression" priority="119" aboveAverage="0" equalAverage="0" bottom="0" percent="0" rank="0" text="" dxfId="14">
      <formula>AND(H16&lt;&gt;"",COUNTIFS($C$22:$C$150,H16,$Q$22:$Q$150,"&lt;&gt;Cancelada")&gt;0)</formula>
    </cfRule>
  </conditionalFormatting>
  <conditionalFormatting sqref="J16:K17">
    <cfRule type="expression" priority="120" aboveAverage="0" equalAverage="0" bottom="0" percent="0" rank="0" text="" dxfId="12">
      <formula>AND(J16&lt;&gt;"",J16=TODAY())</formula>
    </cfRule>
    <cfRule type="expression" priority="121" aboveAverage="0" equalAverage="0" bottom="0" percent="0" rank="0" text="" dxfId="13">
      <formula>AND(J16&lt;&gt;"",COUNTIFS($C$22:$C$150,J16,$S$22:$S$150,"Atrasada")&gt;0)</formula>
    </cfRule>
    <cfRule type="expression" priority="122" aboveAverage="0" equalAverage="0" bottom="0" percent="0" rank="0" text="" dxfId="14">
      <formula>AND(J16&lt;&gt;"",COUNTIFS($C$22:$C$150,J16,$Q$22:$Q$150,"&lt;&gt;Cancelada")&gt;0)</formula>
    </cfRule>
  </conditionalFormatting>
  <conditionalFormatting sqref="L16:M17">
    <cfRule type="expression" priority="123" aboveAverage="0" equalAverage="0" bottom="0" percent="0" rank="0" text="" dxfId="12">
      <formula>AND(L16&lt;&gt;"",L16=TODAY())</formula>
    </cfRule>
    <cfRule type="expression" priority="124" aboveAverage="0" equalAverage="0" bottom="0" percent="0" rank="0" text="" dxfId="13">
      <formula>AND(L16&lt;&gt;"",COUNTIFS($C$22:$C$150,L16,$S$22:$S$150,"Atrasada")&gt;0)</formula>
    </cfRule>
    <cfRule type="expression" priority="125" aboveAverage="0" equalAverage="0" bottom="0" percent="0" rank="0" text="" dxfId="14">
      <formula>AND(L16&lt;&gt;"",COUNTIFS($C$22:$C$150,L16,$Q$22:$Q$150,"&lt;&gt;Cancelada")&gt;0)</formula>
    </cfRule>
  </conditionalFormatting>
  <conditionalFormatting sqref="N16:O17">
    <cfRule type="expression" priority="126" aboveAverage="0" equalAverage="0" bottom="0" percent="0" rank="0" text="" dxfId="12">
      <formula>AND(N16&lt;&gt;"",N16=TODAY())</formula>
    </cfRule>
    <cfRule type="expression" priority="127" aboveAverage="0" equalAverage="0" bottom="0" percent="0" rank="0" text="" dxfId="13">
      <formula>AND(N16&lt;&gt;"",COUNTIFS($C$22:$C$150,N16,$S$22:$S$150,"Atrasada")&gt;0)</formula>
    </cfRule>
    <cfRule type="expression" priority="128" aboveAverage="0" equalAverage="0" bottom="0" percent="0" rank="0" text="" dxfId="14">
      <formula>AND(N16&lt;&gt;"",COUNTIFS($C$22:$C$150,N16,$Q$22:$Q$150,"&lt;&gt;Cancelada")&gt;0)</formula>
    </cfRule>
  </conditionalFormatting>
  <conditionalFormatting sqref="A22:I67">
    <cfRule type="expression" priority="129" aboveAverage="0" equalAverage="0" bottom="0" percent="0" rank="0" text="" dxfId="15">
      <formula>ISNUMBER(SEARCH("-REU-",$A22))</formula>
    </cfRule>
  </conditionalFormatting>
  <conditionalFormatting sqref="S22:S150">
    <cfRule type="expression" priority="130" aboveAverage="0" equalAverage="0" bottom="0" percent="0" rank="0" text="" dxfId="16">
      <formula>$S22="Aprovada"</formula>
    </cfRule>
    <cfRule type="expression" priority="131" aboveAverage="0" equalAverage="0" bottom="0" percent="0" rank="0" text="" dxfId="17">
      <formula>$S22="Entregue"</formula>
    </cfRule>
    <cfRule type="expression" priority="132" aboveAverage="0" equalAverage="0" bottom="0" percent="0" rank="0" text="" dxfId="18">
      <formula>$S22="Atrasada"</formula>
    </cfRule>
    <cfRule type="expression" priority="133" aboveAverage="0" equalAverage="0" bottom="0" percent="0" rank="0" text="" dxfId="19">
      <formula>$S22="Reprovada"</formula>
    </cfRule>
    <cfRule type="expression" priority="134" aboveAverage="0" equalAverage="0" bottom="0" percent="0" rank="0" text="" dxfId="20">
      <formula>$S22="Pendente"</formula>
    </cfRule>
    <cfRule type="expression" priority="135" aboveAverage="0" equalAverage="0" bottom="0" percent="0" rank="0" text="" dxfId="21">
      <formula>$S22="Cancelada"</formula>
    </cfRule>
  </conditionalFormatting>
  <dataValidations count="2">
    <dataValidation allowBlank="true" errorStyle="stop" operator="between" showDropDown="false" showErrorMessage="false" showInputMessage="false" sqref="Q22:Q150" type="list">
      <formula1>"Aprovado,Reprovado,Cancelada"</formula1>
      <formula2>0</formula2>
    </dataValidation>
    <dataValidation allowBlank="true" errorStyle="stop" operator="between" showDropDown="false" showErrorMessage="false" showInputMessage="false" sqref="J22:J67" type="list">
      <formula1>CONFIG!$A$12:$A$40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.51"/>
    <col collapsed="false" customWidth="true" hidden="false" outlineLevel="0" max="3" min="3" style="0" width="10.51"/>
    <col collapsed="false" customWidth="true" hidden="false" outlineLevel="0" max="6" min="4" style="0" width="12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9.51"/>
    <col collapsed="false" customWidth="true" hidden="false" outlineLevel="0" max="16" min="13" style="0" width="12"/>
    <col collapsed="false" customWidth="true" hidden="false" outlineLevel="0" max="17" min="17" style="0" width="11.5"/>
    <col collapsed="false" customWidth="true" hidden="false" outlineLevel="0" max="18" min="18" style="0" width="17"/>
    <col collapsed="false" customWidth="true" hidden="false" outlineLevel="0" max="19" min="19" style="0" width="12.5"/>
    <col collapsed="false" customWidth="true" hidden="false" outlineLevel="0" max="22" min="20" style="0" width="3.5"/>
    <col collapsed="false" customWidth="true" hidden="true" outlineLevel="0" max="24" min="24" style="0" width="4"/>
  </cols>
  <sheetData>
    <row r="1" customFormat="false" ht="45.75" hidden="false" customHeight="true" outlineLevel="0" collapsed="false">
      <c r="A1" s="1" t="s">
        <v>243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"/>
      <c r="U1" s="2"/>
      <c r="V1" s="2"/>
      <c r="X1" s="73" t="n">
        <v>46357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X2" s="74" t="s">
        <v>244</v>
      </c>
    </row>
    <row r="3" customFormat="false" ht="15" hidden="false" customHeight="false" outlineLevel="0" collapsed="false">
      <c r="A3" s="5" t="str">
        <f aca="false">IF((COUNTIF($S$22:$S$150,"Aprovada")+COUNTIF($S$22:$S$150,"Entregue")+COUNTIF($S$22:$S$150,"Pendente")+COUNTIF($S$22:$S$150,"Atrasada")+COUNTIF($S$22:$S$150,"Reprovada"))=0,"",IF(COUNTIF($S$22:$S$150,"Aprovada")=(COUNTIF($S$22:$S$150,"Aprovada")+COUNTIF($S$22:$S$150,"Entregue")+COUNTIF($S$22:$S$150,"Pendente")+COUNTIF($S$22:$S$150,"Atrasada")+COUNTIF($S$22:$S$150,"Reprovada")),"MÊS CONCLUÍDO — todas as atividades aprovadas","EM ANDAMENTO — "&amp;COUNTIF($S$22:$S$150,"Aprovada")&amp;" de "&amp;(COUNTIF($S$22:$S$150,"Aprovada")+COUNTIF($S$22:$S$150,"Entregue")+COUNTIF($S$22:$S$150,"Pendente")+COUNTIF($S$22:$S$150,"Atrasada")+COUNTIF($S$22:$S$150,"Reprovada"))&amp;" atividades aprovadas · "&amp;COUNTIF($S$22:$S$150,"Atrasada")&amp;" em atraso"))</f>
        <v>EM ANDAMENTO — 0 de 38 atividades aprovadas · 0 em atraso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5" customFormat="false" ht="18" hidden="false" customHeight="true" outlineLevel="0" collapsed="false">
      <c r="B5" s="70" t="s">
        <v>209</v>
      </c>
      <c r="C5" s="70"/>
      <c r="D5" s="70" t="s">
        <v>210</v>
      </c>
      <c r="E5" s="70"/>
      <c r="F5" s="70" t="s">
        <v>211</v>
      </c>
      <c r="G5" s="70"/>
      <c r="H5" s="70" t="s">
        <v>3</v>
      </c>
      <c r="I5" s="70"/>
      <c r="J5" s="70" t="s">
        <v>6</v>
      </c>
      <c r="K5" s="70"/>
      <c r="L5" s="75" t="s">
        <v>9</v>
      </c>
      <c r="M5" s="75"/>
      <c r="N5" s="70" t="s">
        <v>212</v>
      </c>
      <c r="O5" s="70"/>
    </row>
    <row r="6" customFormat="false" ht="15" hidden="false" customHeight="true" outlineLevel="0" collapsed="false">
      <c r="B6" s="76" t="str">
        <f aca="false">IF(MONTH($X$1-WEEKDAY($X$1)+1+0)=MONTH($X$1),$X$1-WEEKDAY($X$1)+1+0,"")</f>
        <v/>
      </c>
      <c r="C6" s="76"/>
      <c r="D6" s="76" t="str">
        <f aca="false">IF(MONTH($X$1-WEEKDAY($X$1)+1+1)=MONTH($X$1),$X$1-WEEKDAY($X$1)+1+1,"")</f>
        <v/>
      </c>
      <c r="E6" s="76"/>
      <c r="F6" s="76" t="n">
        <f aca="false">IF(MONTH($X$1-WEEKDAY($X$1)+1+2)=MONTH($X$1),$X$1-WEEKDAY($X$1)+1+2,"")</f>
        <v>46357</v>
      </c>
      <c r="G6" s="76"/>
      <c r="H6" s="76" t="n">
        <f aca="false">IF(MONTH($X$1-WEEKDAY($X$1)+1+3)=MONTH($X$1),$X$1-WEEKDAY($X$1)+1+3,"")</f>
        <v>46358</v>
      </c>
      <c r="I6" s="76"/>
      <c r="J6" s="76" t="n">
        <f aca="false">IF(MONTH($X$1-WEEKDAY($X$1)+1+4)=MONTH($X$1),$X$1-WEEKDAY($X$1)+1+4,"")</f>
        <v>46359</v>
      </c>
      <c r="K6" s="76"/>
      <c r="L6" s="76" t="n">
        <f aca="false">IF(MONTH($X$1-WEEKDAY($X$1)+1+5)=MONTH($X$1),$X$1-WEEKDAY($X$1)+1+5,"")</f>
        <v>46360</v>
      </c>
      <c r="M6" s="76"/>
      <c r="N6" s="76" t="n">
        <f aca="false">IF(MONTH($X$1-WEEKDAY($X$1)+1+6)=MONTH($X$1),$X$1-WEEKDAY($X$1)+1+6,"")</f>
        <v>46361</v>
      </c>
      <c r="O6" s="76"/>
    </row>
    <row r="7" customFormat="false" ht="25.5" hidden="false" customHeight="true" outlineLevel="0" collapsed="false">
      <c r="B7" s="77" t="str">
        <f aca="false">IF(B6="","",TRIM(IF(COUNTIFS($C$22:$C$150,B6,$D$22:$D$150,"*Vistoria*",$Q$22:$Q$150,"&lt;&gt;Cancelada")&gt;0,"Vistoria ","")&amp;IF(COUNTIFS($C$22:$C$150,B6,$D$22:$D$150,"*Relatório*",$Q$22:$Q$150,"&lt;&gt;Cancelada")&gt;0,"Relatório ","")&amp;IF(COUNTIFS($C$22:$C$150,B6,$D$22:$D$150,"*Reunião*",$Q$22:$Q$150,"&lt;&gt;Cancelada")&gt;0,"REUNIÃO ","")&amp;IF(COUNTIFS($C$22:$C$150,B6,$D$22:$D$150,"*Férias*",$Q$22:$Q$150,"&lt;&gt;Cancelada")&gt;0,"Férias ","")&amp;IF(COUNTIFS($C$22:$C$150,B6,$D$22:$D$150,"*Mudança*",$Q$22:$Q$150,"&lt;&gt;Cancelada")&gt;0,"M.Função ","")&amp;IF(COUNTIFS($C$22:$C$150,B6,$D$22:$D$150,"*Treinamento*",$Q$22:$Q$150,"&lt;&gt;Cancelada")&gt;0,"Trein. ","")))</f>
        <v/>
      </c>
      <c r="C7" s="77"/>
      <c r="D7" s="77" t="str">
        <f aca="false">IF(D6="","",TRIM(IF(COUNTIFS($C$22:$C$150,D6,$D$22:$D$150,"*Vistoria*",$Q$22:$Q$150,"&lt;&gt;Cancelada")&gt;0,"Vistoria ","")&amp;IF(COUNTIFS($C$22:$C$150,D6,$D$22:$D$150,"*Relatório*",$Q$22:$Q$150,"&lt;&gt;Cancelada")&gt;0,"Relatório ","")&amp;IF(COUNTIFS($C$22:$C$150,D6,$D$22:$D$150,"*Reunião*",$Q$22:$Q$150,"&lt;&gt;Cancelada")&gt;0,"REUNIÃO ","")&amp;IF(COUNTIFS($C$22:$C$150,D6,$D$22:$D$150,"*Férias*",$Q$22:$Q$150,"&lt;&gt;Cancelada")&gt;0,"Férias ","")&amp;IF(COUNTIFS($C$22:$C$150,D6,$D$22:$D$150,"*Mudança*",$Q$22:$Q$150,"&lt;&gt;Cancelada")&gt;0,"M.Função ","")&amp;IF(COUNTIFS($C$22:$C$150,D6,$D$22:$D$150,"*Treinamento*",$Q$22:$Q$150,"&lt;&gt;Cancelada")&gt;0,"Trein. ","")))</f>
        <v/>
      </c>
      <c r="E7" s="77"/>
      <c r="F7" s="77" t="str">
        <f aca="false">IF(F6="","",TRIM(IF(COUNTIFS($C$22:$C$150,F6,$D$22:$D$150,"*Vistoria*",$Q$22:$Q$150,"&lt;&gt;Cancelada")&gt;0,"Vistoria ","")&amp;IF(COUNTIFS($C$22:$C$150,F6,$D$22:$D$150,"*Relatório*",$Q$22:$Q$150,"&lt;&gt;Cancelada")&gt;0,"Relatório ","")&amp;IF(COUNTIFS($C$22:$C$150,F6,$D$22:$D$150,"*Reunião*",$Q$22:$Q$150,"&lt;&gt;Cancelada")&gt;0,"REUNIÃO ","")&amp;IF(COUNTIFS($C$22:$C$150,F6,$D$22:$D$150,"*Férias*",$Q$22:$Q$150,"&lt;&gt;Cancelada")&gt;0,"Férias ","")&amp;IF(COUNTIFS($C$22:$C$150,F6,$D$22:$D$150,"*Mudança*",$Q$22:$Q$150,"&lt;&gt;Cancelada")&gt;0,"M.Função ","")&amp;IF(COUNTIFS($C$22:$C$150,F6,$D$22:$D$150,"*Treinamento*",$Q$22:$Q$150,"&lt;&gt;Cancelada")&gt;0,"Trein. ","")))</f>
        <v/>
      </c>
      <c r="G7" s="77"/>
      <c r="H7" s="77" t="str">
        <f aca="false">IF(H6="","",TRIM(IF(COUNTIFS($C$22:$C$150,H6,$D$22:$D$150,"*Vistoria*",$Q$22:$Q$150,"&lt;&gt;Cancelada")&gt;0,"Vistoria ","")&amp;IF(COUNTIFS($C$22:$C$150,H6,$D$22:$D$150,"*Relatório*",$Q$22:$Q$150,"&lt;&gt;Cancelada")&gt;0,"Relatório ","")&amp;IF(COUNTIFS($C$22:$C$150,H6,$D$22:$D$150,"*Reunião*",$Q$22:$Q$150,"&lt;&gt;Cancelada")&gt;0,"REUNIÃO ","")&amp;IF(COUNTIFS($C$22:$C$150,H6,$D$22:$D$150,"*Férias*",$Q$22:$Q$150,"&lt;&gt;Cancelada")&gt;0,"Férias ","")&amp;IF(COUNTIFS($C$22:$C$150,H6,$D$22:$D$150,"*Mudança*",$Q$22:$Q$150,"&lt;&gt;Cancelada")&gt;0,"M.Função ","")&amp;IF(COUNTIFS($C$22:$C$150,H6,$D$22:$D$150,"*Treinamento*",$Q$22:$Q$150,"&lt;&gt;Cancelada")&gt;0,"Trein. ","")))</f>
        <v>Vistoria</v>
      </c>
      <c r="I7" s="77"/>
      <c r="J7" s="77" t="str">
        <f aca="false">IF(J6="","",TRIM(IF(COUNTIFS($C$22:$C$150,J6,$D$22:$D$150,"*Vistoria*",$Q$22:$Q$150,"&lt;&gt;Cancelada")&gt;0,"Vistoria ","")&amp;IF(COUNTIFS($C$22:$C$150,J6,$D$22:$D$150,"*Relatório*",$Q$22:$Q$150,"&lt;&gt;Cancelada")&gt;0,"Relatório ","")&amp;IF(COUNTIFS($C$22:$C$150,J6,$D$22:$D$150,"*Reunião*",$Q$22:$Q$150,"&lt;&gt;Cancelada")&gt;0,"REUNIÃO ","")&amp;IF(COUNTIFS($C$22:$C$150,J6,$D$22:$D$150,"*Férias*",$Q$22:$Q$150,"&lt;&gt;Cancelada")&gt;0,"Férias ","")&amp;IF(COUNTIFS($C$22:$C$150,J6,$D$22:$D$150,"*Mudança*",$Q$22:$Q$150,"&lt;&gt;Cancelada")&gt;0,"M.Função ","")&amp;IF(COUNTIFS($C$22:$C$150,J6,$D$22:$D$150,"*Treinamento*",$Q$22:$Q$150,"&lt;&gt;Cancelada")&gt;0,"Trein. ","")))</f>
        <v>Relatório</v>
      </c>
      <c r="K7" s="77"/>
      <c r="L7" s="77" t="str">
        <f aca="false">IF(L6="","",TRIM(IF(COUNTIFS($C$22:$C$150,L6,$D$22:$D$150,"*Vistoria*",$Q$22:$Q$150,"&lt;&gt;Cancelada")&gt;0,"Vistoria ","")&amp;IF(COUNTIFS($C$22:$C$150,L6,$D$22:$D$150,"*Relatório*",$Q$22:$Q$150,"&lt;&gt;Cancelada")&gt;0,"Relatório ","")&amp;IF(COUNTIFS($C$22:$C$150,L6,$D$22:$D$150,"*Reunião*",$Q$22:$Q$150,"&lt;&gt;Cancelada")&gt;0,"REUNIÃO ","")&amp;IF(COUNTIFS($C$22:$C$150,L6,$D$22:$D$150,"*Férias*",$Q$22:$Q$150,"&lt;&gt;Cancelada")&gt;0,"Férias ","")&amp;IF(COUNTIFS($C$22:$C$150,L6,$D$22:$D$150,"*Mudança*",$Q$22:$Q$150,"&lt;&gt;Cancelada")&gt;0,"M.Função ","")&amp;IF(COUNTIFS($C$22:$C$150,L6,$D$22:$D$150,"*Treinamento*",$Q$22:$Q$150,"&lt;&gt;Cancelada")&gt;0,"Trein. ","")))</f>
        <v>REUNIÃO</v>
      </c>
      <c r="M7" s="77"/>
      <c r="N7" s="77" t="str">
        <f aca="false">IF(N6="","",TRIM(IF(COUNTIFS($C$22:$C$150,N6,$D$22:$D$150,"*Vistoria*",$Q$22:$Q$150,"&lt;&gt;Cancelada")&gt;0,"Vistoria ","")&amp;IF(COUNTIFS($C$22:$C$150,N6,$D$22:$D$150,"*Relatório*",$Q$22:$Q$150,"&lt;&gt;Cancelada")&gt;0,"Relatório ","")&amp;IF(COUNTIFS($C$22:$C$150,N6,$D$22:$D$150,"*Reunião*",$Q$22:$Q$150,"&lt;&gt;Cancelada")&gt;0,"REUNIÃO ","")&amp;IF(COUNTIFS($C$22:$C$150,N6,$D$22:$D$150,"*Férias*",$Q$22:$Q$150,"&lt;&gt;Cancelada")&gt;0,"Férias ","")&amp;IF(COUNTIFS($C$22:$C$150,N6,$D$22:$D$150,"*Mudança*",$Q$22:$Q$150,"&lt;&gt;Cancelada")&gt;0,"M.Função ","")&amp;IF(COUNTIFS($C$22:$C$150,N6,$D$22:$D$150,"*Treinamento*",$Q$22:$Q$150,"&lt;&gt;Cancelada")&gt;0,"Trein. ","")))</f>
        <v/>
      </c>
      <c r="O7" s="77"/>
    </row>
    <row r="8" customFormat="false" ht="15" hidden="false" customHeight="true" outlineLevel="0" collapsed="false">
      <c r="B8" s="76" t="n">
        <f aca="false">IF(MONTH($X$1-WEEKDAY($X$1)+1+7)=MONTH($X$1),$X$1-WEEKDAY($X$1)+1+7,"")</f>
        <v>46362</v>
      </c>
      <c r="C8" s="76"/>
      <c r="D8" s="76" t="n">
        <f aca="false">IF(MONTH($X$1-WEEKDAY($X$1)+1+8)=MONTH($X$1),$X$1-WEEKDAY($X$1)+1+8,"")</f>
        <v>46363</v>
      </c>
      <c r="E8" s="76"/>
      <c r="F8" s="76" t="n">
        <f aca="false">IF(MONTH($X$1-WEEKDAY($X$1)+1+9)=MONTH($X$1),$X$1-WEEKDAY($X$1)+1+9,"")</f>
        <v>46364</v>
      </c>
      <c r="G8" s="76"/>
      <c r="H8" s="76" t="n">
        <f aca="false">IF(MONTH($X$1-WEEKDAY($X$1)+1+10)=MONTH($X$1),$X$1-WEEKDAY($X$1)+1+10,"")</f>
        <v>46365</v>
      </c>
      <c r="I8" s="76"/>
      <c r="J8" s="76" t="n">
        <f aca="false">IF(MONTH($X$1-WEEKDAY($X$1)+1+11)=MONTH($X$1),$X$1-WEEKDAY($X$1)+1+11,"")</f>
        <v>46366</v>
      </c>
      <c r="K8" s="76"/>
      <c r="L8" s="76" t="n">
        <f aca="false">IF(MONTH($X$1-WEEKDAY($X$1)+1+12)=MONTH($X$1),$X$1-WEEKDAY($X$1)+1+12,"")</f>
        <v>46367</v>
      </c>
      <c r="M8" s="76"/>
      <c r="N8" s="76" t="n">
        <f aca="false">IF(MONTH($X$1-WEEKDAY($X$1)+1+13)=MONTH($X$1),$X$1-WEEKDAY($X$1)+1+13,"")</f>
        <v>46368</v>
      </c>
      <c r="O8" s="76"/>
    </row>
    <row r="9" customFormat="false" ht="25.5" hidden="false" customHeight="true" outlineLevel="0" collapsed="false">
      <c r="B9" s="77" t="str">
        <f aca="false">IF(B8="","",TRIM(IF(COUNTIFS($C$22:$C$150,B8,$D$22:$D$150,"*Vistoria*",$Q$22:$Q$150,"&lt;&gt;Cancelada")&gt;0,"Vistoria ","")&amp;IF(COUNTIFS($C$22:$C$150,B8,$D$22:$D$150,"*Relatório*",$Q$22:$Q$150,"&lt;&gt;Cancelada")&gt;0,"Relatório ","")&amp;IF(COUNTIFS($C$22:$C$150,B8,$D$22:$D$150,"*Reunião*",$Q$22:$Q$150,"&lt;&gt;Cancelada")&gt;0,"REUNIÃO ","")&amp;IF(COUNTIFS($C$22:$C$150,B8,$D$22:$D$150,"*Férias*",$Q$22:$Q$150,"&lt;&gt;Cancelada")&gt;0,"Férias ","")&amp;IF(COUNTIFS($C$22:$C$150,B8,$D$22:$D$150,"*Mudança*",$Q$22:$Q$150,"&lt;&gt;Cancelada")&gt;0,"M.Função ","")&amp;IF(COUNTIFS($C$22:$C$150,B8,$D$22:$D$150,"*Treinamento*",$Q$22:$Q$150,"&lt;&gt;Cancelada")&gt;0,"Trein. ","")))</f>
        <v/>
      </c>
      <c r="C9" s="77"/>
      <c r="D9" s="77" t="str">
        <f aca="false">IF(D8="","",TRIM(IF(COUNTIFS($C$22:$C$150,D8,$D$22:$D$150,"*Vistoria*",$Q$22:$Q$150,"&lt;&gt;Cancelada")&gt;0,"Vistoria ","")&amp;IF(COUNTIFS($C$22:$C$150,D8,$D$22:$D$150,"*Relatório*",$Q$22:$Q$150,"&lt;&gt;Cancelada")&gt;0,"Relatório ","")&amp;IF(COUNTIFS($C$22:$C$150,D8,$D$22:$D$150,"*Reunião*",$Q$22:$Q$150,"&lt;&gt;Cancelada")&gt;0,"REUNIÃO ","")&amp;IF(COUNTIFS($C$22:$C$150,D8,$D$22:$D$150,"*Férias*",$Q$22:$Q$150,"&lt;&gt;Cancelada")&gt;0,"Férias ","")&amp;IF(COUNTIFS($C$22:$C$150,D8,$D$22:$D$150,"*Mudança*",$Q$22:$Q$150,"&lt;&gt;Cancelada")&gt;0,"M.Função ","")&amp;IF(COUNTIFS($C$22:$C$150,D8,$D$22:$D$150,"*Treinamento*",$Q$22:$Q$150,"&lt;&gt;Cancelada")&gt;0,"Trein. ","")))</f>
        <v>Férias</v>
      </c>
      <c r="E9" s="77"/>
      <c r="F9" s="77" t="str">
        <f aca="false">IF(F8="","",TRIM(IF(COUNTIFS($C$22:$C$150,F8,$D$22:$D$150,"*Vistoria*",$Q$22:$Q$150,"&lt;&gt;Cancelada")&gt;0,"Vistoria ","")&amp;IF(COUNTIFS($C$22:$C$150,F8,$D$22:$D$150,"*Relatório*",$Q$22:$Q$150,"&lt;&gt;Cancelada")&gt;0,"Relatório ","")&amp;IF(COUNTIFS($C$22:$C$150,F8,$D$22:$D$150,"*Reunião*",$Q$22:$Q$150,"&lt;&gt;Cancelada")&gt;0,"REUNIÃO ","")&amp;IF(COUNTIFS($C$22:$C$150,F8,$D$22:$D$150,"*Férias*",$Q$22:$Q$150,"&lt;&gt;Cancelada")&gt;0,"Férias ","")&amp;IF(COUNTIFS($C$22:$C$150,F8,$D$22:$D$150,"*Mudança*",$Q$22:$Q$150,"&lt;&gt;Cancelada")&gt;0,"M.Função ","")&amp;IF(COUNTIFS($C$22:$C$150,F8,$D$22:$D$150,"*Treinamento*",$Q$22:$Q$150,"&lt;&gt;Cancelada")&gt;0,"Trein. ","")))</f>
        <v/>
      </c>
      <c r="G9" s="77"/>
      <c r="H9" s="77" t="str">
        <f aca="false">IF(H8="","",TRIM(IF(COUNTIFS($C$22:$C$150,H8,$D$22:$D$150,"*Vistoria*",$Q$22:$Q$150,"&lt;&gt;Cancelada")&gt;0,"Vistoria ","")&amp;IF(COUNTIFS($C$22:$C$150,H8,$D$22:$D$150,"*Relatório*",$Q$22:$Q$150,"&lt;&gt;Cancelada")&gt;0,"Relatório ","")&amp;IF(COUNTIFS($C$22:$C$150,H8,$D$22:$D$150,"*Reunião*",$Q$22:$Q$150,"&lt;&gt;Cancelada")&gt;0,"REUNIÃO ","")&amp;IF(COUNTIFS($C$22:$C$150,H8,$D$22:$D$150,"*Férias*",$Q$22:$Q$150,"&lt;&gt;Cancelada")&gt;0,"Férias ","")&amp;IF(COUNTIFS($C$22:$C$150,H8,$D$22:$D$150,"*Mudança*",$Q$22:$Q$150,"&lt;&gt;Cancelada")&gt;0,"M.Função ","")&amp;IF(COUNTIFS($C$22:$C$150,H8,$D$22:$D$150,"*Treinamento*",$Q$22:$Q$150,"&lt;&gt;Cancelada")&gt;0,"Trein. ","")))</f>
        <v>Vistoria</v>
      </c>
      <c r="I9" s="77"/>
      <c r="J9" s="77" t="str">
        <f aca="false">IF(J8="","",TRIM(IF(COUNTIFS($C$22:$C$150,J8,$D$22:$D$150,"*Vistoria*",$Q$22:$Q$150,"&lt;&gt;Cancelada")&gt;0,"Vistoria ","")&amp;IF(COUNTIFS($C$22:$C$150,J8,$D$22:$D$150,"*Relatório*",$Q$22:$Q$150,"&lt;&gt;Cancelada")&gt;0,"Relatório ","")&amp;IF(COUNTIFS($C$22:$C$150,J8,$D$22:$D$150,"*Reunião*",$Q$22:$Q$150,"&lt;&gt;Cancelada")&gt;0,"REUNIÃO ","")&amp;IF(COUNTIFS($C$22:$C$150,J8,$D$22:$D$150,"*Férias*",$Q$22:$Q$150,"&lt;&gt;Cancelada")&gt;0,"Férias ","")&amp;IF(COUNTIFS($C$22:$C$150,J8,$D$22:$D$150,"*Mudança*",$Q$22:$Q$150,"&lt;&gt;Cancelada")&gt;0,"M.Função ","")&amp;IF(COUNTIFS($C$22:$C$150,J8,$D$22:$D$150,"*Treinamento*",$Q$22:$Q$150,"&lt;&gt;Cancelada")&gt;0,"Trein. ","")))</f>
        <v>Relatório</v>
      </c>
      <c r="K9" s="77"/>
      <c r="L9" s="77" t="str">
        <f aca="false">IF(L8="","",TRIM(IF(COUNTIFS($C$22:$C$150,L8,$D$22:$D$150,"*Vistoria*",$Q$22:$Q$150,"&lt;&gt;Cancelada")&gt;0,"Vistoria ","")&amp;IF(COUNTIFS($C$22:$C$150,L8,$D$22:$D$150,"*Relatório*",$Q$22:$Q$150,"&lt;&gt;Cancelada")&gt;0,"Relatório ","")&amp;IF(COUNTIFS($C$22:$C$150,L8,$D$22:$D$150,"*Reunião*",$Q$22:$Q$150,"&lt;&gt;Cancelada")&gt;0,"REUNIÃO ","")&amp;IF(COUNTIFS($C$22:$C$150,L8,$D$22:$D$150,"*Férias*",$Q$22:$Q$150,"&lt;&gt;Cancelada")&gt;0,"Férias ","")&amp;IF(COUNTIFS($C$22:$C$150,L8,$D$22:$D$150,"*Mudança*",$Q$22:$Q$150,"&lt;&gt;Cancelada")&gt;0,"M.Função ","")&amp;IF(COUNTIFS($C$22:$C$150,L8,$D$22:$D$150,"*Treinamento*",$Q$22:$Q$150,"&lt;&gt;Cancelada")&gt;0,"Trein. ","")))</f>
        <v>REUNIÃO</v>
      </c>
      <c r="M9" s="77"/>
      <c r="N9" s="77" t="str">
        <f aca="false">IF(N8="","",TRIM(IF(COUNTIFS($C$22:$C$150,N8,$D$22:$D$150,"*Vistoria*",$Q$22:$Q$150,"&lt;&gt;Cancelada")&gt;0,"Vistoria ","")&amp;IF(COUNTIFS($C$22:$C$150,N8,$D$22:$D$150,"*Relatório*",$Q$22:$Q$150,"&lt;&gt;Cancelada")&gt;0,"Relatório ","")&amp;IF(COUNTIFS($C$22:$C$150,N8,$D$22:$D$150,"*Reunião*",$Q$22:$Q$150,"&lt;&gt;Cancelada")&gt;0,"REUNIÃO ","")&amp;IF(COUNTIFS($C$22:$C$150,N8,$D$22:$D$150,"*Férias*",$Q$22:$Q$150,"&lt;&gt;Cancelada")&gt;0,"Férias ","")&amp;IF(COUNTIFS($C$22:$C$150,N8,$D$22:$D$150,"*Mudança*",$Q$22:$Q$150,"&lt;&gt;Cancelada")&gt;0,"M.Função ","")&amp;IF(COUNTIFS($C$22:$C$150,N8,$D$22:$D$150,"*Treinamento*",$Q$22:$Q$150,"&lt;&gt;Cancelada")&gt;0,"Trein. ","")))</f>
        <v/>
      </c>
      <c r="O9" s="77"/>
    </row>
    <row r="10" customFormat="false" ht="15" hidden="false" customHeight="true" outlineLevel="0" collapsed="false">
      <c r="B10" s="76" t="n">
        <f aca="false">IF(MONTH($X$1-WEEKDAY($X$1)+1+14)=MONTH($X$1),$X$1-WEEKDAY($X$1)+1+14,"")</f>
        <v>46369</v>
      </c>
      <c r="C10" s="76"/>
      <c r="D10" s="76" t="n">
        <f aca="false">IF(MONTH($X$1-WEEKDAY($X$1)+1+15)=MONTH($X$1),$X$1-WEEKDAY($X$1)+1+15,"")</f>
        <v>46370</v>
      </c>
      <c r="E10" s="76"/>
      <c r="F10" s="76" t="n">
        <f aca="false">IF(MONTH($X$1-WEEKDAY($X$1)+1+16)=MONTH($X$1),$X$1-WEEKDAY($X$1)+1+16,"")</f>
        <v>46371</v>
      </c>
      <c r="G10" s="76"/>
      <c r="H10" s="76" t="n">
        <f aca="false">IF(MONTH($X$1-WEEKDAY($X$1)+1+17)=MONTH($X$1),$X$1-WEEKDAY($X$1)+1+17,"")</f>
        <v>46372</v>
      </c>
      <c r="I10" s="76"/>
      <c r="J10" s="76" t="n">
        <f aca="false">IF(MONTH($X$1-WEEKDAY($X$1)+1+18)=MONTH($X$1),$X$1-WEEKDAY($X$1)+1+18,"")</f>
        <v>46373</v>
      </c>
      <c r="K10" s="76"/>
      <c r="L10" s="76" t="n">
        <f aca="false">IF(MONTH($X$1-WEEKDAY($X$1)+1+19)=MONTH($X$1),$X$1-WEEKDAY($X$1)+1+19,"")</f>
        <v>46374</v>
      </c>
      <c r="M10" s="76"/>
      <c r="N10" s="76" t="n">
        <f aca="false">IF(MONTH($X$1-WEEKDAY($X$1)+1+20)=MONTH($X$1),$X$1-WEEKDAY($X$1)+1+20,"")</f>
        <v>46375</v>
      </c>
      <c r="O10" s="76"/>
    </row>
    <row r="11" customFormat="false" ht="25.5" hidden="false" customHeight="true" outlineLevel="0" collapsed="false">
      <c r="B11" s="77" t="str">
        <f aca="false">IF(B10="","",TRIM(IF(COUNTIFS($C$22:$C$150,B10,$D$22:$D$150,"*Vistoria*",$Q$22:$Q$150,"&lt;&gt;Cancelada")&gt;0,"Vistoria ","")&amp;IF(COUNTIFS($C$22:$C$150,B10,$D$22:$D$150,"*Relatório*",$Q$22:$Q$150,"&lt;&gt;Cancelada")&gt;0,"Relatório ","")&amp;IF(COUNTIFS($C$22:$C$150,B10,$D$22:$D$150,"*Reunião*",$Q$22:$Q$150,"&lt;&gt;Cancelada")&gt;0,"REUNIÃO ","")&amp;IF(COUNTIFS($C$22:$C$150,B10,$D$22:$D$150,"*Férias*",$Q$22:$Q$150,"&lt;&gt;Cancelada")&gt;0,"Férias ","")&amp;IF(COUNTIFS($C$22:$C$150,B10,$D$22:$D$150,"*Mudança*",$Q$22:$Q$150,"&lt;&gt;Cancelada")&gt;0,"M.Função ","")&amp;IF(COUNTIFS($C$22:$C$150,B10,$D$22:$D$150,"*Treinamento*",$Q$22:$Q$150,"&lt;&gt;Cancelada")&gt;0,"Trein. ","")))</f>
        <v/>
      </c>
      <c r="C11" s="77"/>
      <c r="D11" s="77" t="str">
        <f aca="false">IF(D10="","",TRIM(IF(COUNTIFS($C$22:$C$150,D10,$D$22:$D$150,"*Vistoria*",$Q$22:$Q$150,"&lt;&gt;Cancelada")&gt;0,"Vistoria ","")&amp;IF(COUNTIFS($C$22:$C$150,D10,$D$22:$D$150,"*Relatório*",$Q$22:$Q$150,"&lt;&gt;Cancelada")&gt;0,"Relatório ","")&amp;IF(COUNTIFS($C$22:$C$150,D10,$D$22:$D$150,"*Reunião*",$Q$22:$Q$150,"&lt;&gt;Cancelada")&gt;0,"REUNIÃO ","")&amp;IF(COUNTIFS($C$22:$C$150,D10,$D$22:$D$150,"*Férias*",$Q$22:$Q$150,"&lt;&gt;Cancelada")&gt;0,"Férias ","")&amp;IF(COUNTIFS($C$22:$C$150,D10,$D$22:$D$150,"*Mudança*",$Q$22:$Q$150,"&lt;&gt;Cancelada")&gt;0,"M.Função ","")&amp;IF(COUNTIFS($C$22:$C$150,D10,$D$22:$D$150,"*Treinamento*",$Q$22:$Q$150,"&lt;&gt;Cancelada")&gt;0,"Trein. ","")))</f>
        <v/>
      </c>
      <c r="E11" s="77"/>
      <c r="F11" s="77" t="str">
        <f aca="false">IF(F10="","",TRIM(IF(COUNTIFS($C$22:$C$150,F10,$D$22:$D$150,"*Vistoria*",$Q$22:$Q$150,"&lt;&gt;Cancelada")&gt;0,"Vistoria ","")&amp;IF(COUNTIFS($C$22:$C$150,F10,$D$22:$D$150,"*Relatório*",$Q$22:$Q$150,"&lt;&gt;Cancelada")&gt;0,"Relatório ","")&amp;IF(COUNTIFS($C$22:$C$150,F10,$D$22:$D$150,"*Reunião*",$Q$22:$Q$150,"&lt;&gt;Cancelada")&gt;0,"REUNIÃO ","")&amp;IF(COUNTIFS($C$22:$C$150,F10,$D$22:$D$150,"*Férias*",$Q$22:$Q$150,"&lt;&gt;Cancelada")&gt;0,"Férias ","")&amp;IF(COUNTIFS($C$22:$C$150,F10,$D$22:$D$150,"*Mudança*",$Q$22:$Q$150,"&lt;&gt;Cancelada")&gt;0,"M.Função ","")&amp;IF(COUNTIFS($C$22:$C$150,F10,$D$22:$D$150,"*Treinamento*",$Q$22:$Q$150,"&lt;&gt;Cancelada")&gt;0,"Trein. ","")))</f>
        <v/>
      </c>
      <c r="G11" s="77"/>
      <c r="H11" s="77" t="str">
        <f aca="false">IF(H10="","",TRIM(IF(COUNTIFS($C$22:$C$150,H10,$D$22:$D$150,"*Vistoria*",$Q$22:$Q$150,"&lt;&gt;Cancelada")&gt;0,"Vistoria ","")&amp;IF(COUNTIFS($C$22:$C$150,H10,$D$22:$D$150,"*Relatório*",$Q$22:$Q$150,"&lt;&gt;Cancelada")&gt;0,"Relatório ","")&amp;IF(COUNTIFS($C$22:$C$150,H10,$D$22:$D$150,"*Reunião*",$Q$22:$Q$150,"&lt;&gt;Cancelada")&gt;0,"REUNIÃO ","")&amp;IF(COUNTIFS($C$22:$C$150,H10,$D$22:$D$150,"*Férias*",$Q$22:$Q$150,"&lt;&gt;Cancelada")&gt;0,"Férias ","")&amp;IF(COUNTIFS($C$22:$C$150,H10,$D$22:$D$150,"*Mudança*",$Q$22:$Q$150,"&lt;&gt;Cancelada")&gt;0,"M.Função ","")&amp;IF(COUNTIFS($C$22:$C$150,H10,$D$22:$D$150,"*Treinamento*",$Q$22:$Q$150,"&lt;&gt;Cancelada")&gt;0,"Trein. ","")))</f>
        <v>Vistoria</v>
      </c>
      <c r="I11" s="77"/>
      <c r="J11" s="77" t="str">
        <f aca="false">IF(J10="","",TRIM(IF(COUNTIFS($C$22:$C$150,J10,$D$22:$D$150,"*Vistoria*",$Q$22:$Q$150,"&lt;&gt;Cancelada")&gt;0,"Vistoria ","")&amp;IF(COUNTIFS($C$22:$C$150,J10,$D$22:$D$150,"*Relatório*",$Q$22:$Q$150,"&lt;&gt;Cancelada")&gt;0,"Relatório ","")&amp;IF(COUNTIFS($C$22:$C$150,J10,$D$22:$D$150,"*Reunião*",$Q$22:$Q$150,"&lt;&gt;Cancelada")&gt;0,"REUNIÃO ","")&amp;IF(COUNTIFS($C$22:$C$150,J10,$D$22:$D$150,"*Férias*",$Q$22:$Q$150,"&lt;&gt;Cancelada")&gt;0,"Férias ","")&amp;IF(COUNTIFS($C$22:$C$150,J10,$D$22:$D$150,"*Mudança*",$Q$22:$Q$150,"&lt;&gt;Cancelada")&gt;0,"M.Função ","")&amp;IF(COUNTIFS($C$22:$C$150,J10,$D$22:$D$150,"*Treinamento*",$Q$22:$Q$150,"&lt;&gt;Cancelada")&gt;0,"Trein. ","")))</f>
        <v>Relatório</v>
      </c>
      <c r="K11" s="77"/>
      <c r="L11" s="77" t="str">
        <f aca="false">IF(L10="","",TRIM(IF(COUNTIFS($C$22:$C$150,L10,$D$22:$D$150,"*Vistoria*",$Q$22:$Q$150,"&lt;&gt;Cancelada")&gt;0,"Vistoria ","")&amp;IF(COUNTIFS($C$22:$C$150,L10,$D$22:$D$150,"*Relatório*",$Q$22:$Q$150,"&lt;&gt;Cancelada")&gt;0,"Relatório ","")&amp;IF(COUNTIFS($C$22:$C$150,L10,$D$22:$D$150,"*Reunião*",$Q$22:$Q$150,"&lt;&gt;Cancelada")&gt;0,"REUNIÃO ","")&amp;IF(COUNTIFS($C$22:$C$150,L10,$D$22:$D$150,"*Férias*",$Q$22:$Q$150,"&lt;&gt;Cancelada")&gt;0,"Férias ","")&amp;IF(COUNTIFS($C$22:$C$150,L10,$D$22:$D$150,"*Mudança*",$Q$22:$Q$150,"&lt;&gt;Cancelada")&gt;0,"M.Função ","")&amp;IF(COUNTIFS($C$22:$C$150,L10,$D$22:$D$150,"*Treinamento*",$Q$22:$Q$150,"&lt;&gt;Cancelada")&gt;0,"Trein. ","")))</f>
        <v>REUNIÃO</v>
      </c>
      <c r="M11" s="77"/>
      <c r="N11" s="77" t="str">
        <f aca="false">IF(N10="","",TRIM(IF(COUNTIFS($C$22:$C$150,N10,$D$22:$D$150,"*Vistoria*",$Q$22:$Q$150,"&lt;&gt;Cancelada")&gt;0,"Vistoria ","")&amp;IF(COUNTIFS($C$22:$C$150,N10,$D$22:$D$150,"*Relatório*",$Q$22:$Q$150,"&lt;&gt;Cancelada")&gt;0,"Relatório ","")&amp;IF(COUNTIFS($C$22:$C$150,N10,$D$22:$D$150,"*Reunião*",$Q$22:$Q$150,"&lt;&gt;Cancelada")&gt;0,"REUNIÃO ","")&amp;IF(COUNTIFS($C$22:$C$150,N10,$D$22:$D$150,"*Férias*",$Q$22:$Q$150,"&lt;&gt;Cancelada")&gt;0,"Férias ","")&amp;IF(COUNTIFS($C$22:$C$150,N10,$D$22:$D$150,"*Mudança*",$Q$22:$Q$150,"&lt;&gt;Cancelada")&gt;0,"M.Função ","")&amp;IF(COUNTIFS($C$22:$C$150,N10,$D$22:$D$150,"*Treinamento*",$Q$22:$Q$150,"&lt;&gt;Cancelada")&gt;0,"Trein. ","")))</f>
        <v/>
      </c>
      <c r="O11" s="77"/>
    </row>
    <row r="12" customFormat="false" ht="15" hidden="false" customHeight="true" outlineLevel="0" collapsed="false">
      <c r="B12" s="76" t="n">
        <f aca="false">IF(MONTH($X$1-WEEKDAY($X$1)+1+21)=MONTH($X$1),$X$1-WEEKDAY($X$1)+1+21,"")</f>
        <v>46376</v>
      </c>
      <c r="C12" s="76"/>
      <c r="D12" s="76" t="n">
        <f aca="false">IF(MONTH($X$1-WEEKDAY($X$1)+1+22)=MONTH($X$1),$X$1-WEEKDAY($X$1)+1+22,"")</f>
        <v>46377</v>
      </c>
      <c r="E12" s="76"/>
      <c r="F12" s="76" t="n">
        <f aca="false">IF(MONTH($X$1-WEEKDAY($X$1)+1+23)=MONTH($X$1),$X$1-WEEKDAY($X$1)+1+23,"")</f>
        <v>46378</v>
      </c>
      <c r="G12" s="76"/>
      <c r="H12" s="76" t="n">
        <f aca="false">IF(MONTH($X$1-WEEKDAY($X$1)+1+24)=MONTH($X$1),$X$1-WEEKDAY($X$1)+1+24,"")</f>
        <v>46379</v>
      </c>
      <c r="I12" s="76"/>
      <c r="J12" s="76" t="n">
        <f aca="false">IF(MONTH($X$1-WEEKDAY($X$1)+1+25)=MONTH($X$1),$X$1-WEEKDAY($X$1)+1+25,"")</f>
        <v>46380</v>
      </c>
      <c r="K12" s="76"/>
      <c r="L12" s="76" t="n">
        <f aca="false">IF(MONTH($X$1-WEEKDAY($X$1)+1+26)=MONTH($X$1),$X$1-WEEKDAY($X$1)+1+26,"")</f>
        <v>46381</v>
      </c>
      <c r="M12" s="76"/>
      <c r="N12" s="76" t="n">
        <f aca="false">IF(MONTH($X$1-WEEKDAY($X$1)+1+27)=MONTH($X$1),$X$1-WEEKDAY($X$1)+1+27,"")</f>
        <v>46382</v>
      </c>
      <c r="O12" s="76"/>
    </row>
    <row r="13" customFormat="false" ht="25.5" hidden="false" customHeight="true" outlineLevel="0" collapsed="false">
      <c r="B13" s="77" t="str">
        <f aca="false">IF(B12="","",TRIM(IF(COUNTIFS($C$22:$C$150,B12,$D$22:$D$150,"*Vistoria*",$Q$22:$Q$150,"&lt;&gt;Cancelada")&gt;0,"Vistoria ","")&amp;IF(COUNTIFS($C$22:$C$150,B12,$D$22:$D$150,"*Relatório*",$Q$22:$Q$150,"&lt;&gt;Cancelada")&gt;0,"Relatório ","")&amp;IF(COUNTIFS($C$22:$C$150,B12,$D$22:$D$150,"*Reunião*",$Q$22:$Q$150,"&lt;&gt;Cancelada")&gt;0,"REUNIÃO ","")&amp;IF(COUNTIFS($C$22:$C$150,B12,$D$22:$D$150,"*Férias*",$Q$22:$Q$150,"&lt;&gt;Cancelada")&gt;0,"Férias ","")&amp;IF(COUNTIFS($C$22:$C$150,B12,$D$22:$D$150,"*Mudança*",$Q$22:$Q$150,"&lt;&gt;Cancelada")&gt;0,"M.Função ","")&amp;IF(COUNTIFS($C$22:$C$150,B12,$D$22:$D$150,"*Treinamento*",$Q$22:$Q$150,"&lt;&gt;Cancelada")&gt;0,"Trein. ","")))</f>
        <v/>
      </c>
      <c r="C13" s="77"/>
      <c r="D13" s="77" t="str">
        <f aca="false">IF(D12="","",TRIM(IF(COUNTIFS($C$22:$C$150,D12,$D$22:$D$150,"*Vistoria*",$Q$22:$Q$150,"&lt;&gt;Cancelada")&gt;0,"Vistoria ","")&amp;IF(COUNTIFS($C$22:$C$150,D12,$D$22:$D$150,"*Relatório*",$Q$22:$Q$150,"&lt;&gt;Cancelada")&gt;0,"Relatório ","")&amp;IF(COUNTIFS($C$22:$C$150,D12,$D$22:$D$150,"*Reunião*",$Q$22:$Q$150,"&lt;&gt;Cancelada")&gt;0,"REUNIÃO ","")&amp;IF(COUNTIFS($C$22:$C$150,D12,$D$22:$D$150,"*Férias*",$Q$22:$Q$150,"&lt;&gt;Cancelada")&gt;0,"Férias ","")&amp;IF(COUNTIFS($C$22:$C$150,D12,$D$22:$D$150,"*Mudança*",$Q$22:$Q$150,"&lt;&gt;Cancelada")&gt;0,"M.Função ","")&amp;IF(COUNTIFS($C$22:$C$150,D12,$D$22:$D$150,"*Treinamento*",$Q$22:$Q$150,"&lt;&gt;Cancelada")&gt;0,"Trein. ","")))</f>
        <v/>
      </c>
      <c r="E13" s="77"/>
      <c r="F13" s="77" t="str">
        <f aca="false">IF(F12="","",TRIM(IF(COUNTIFS($C$22:$C$150,F12,$D$22:$D$150,"*Vistoria*",$Q$22:$Q$150,"&lt;&gt;Cancelada")&gt;0,"Vistoria ","")&amp;IF(COUNTIFS($C$22:$C$150,F12,$D$22:$D$150,"*Relatório*",$Q$22:$Q$150,"&lt;&gt;Cancelada")&gt;0,"Relatório ","")&amp;IF(COUNTIFS($C$22:$C$150,F12,$D$22:$D$150,"*Reunião*",$Q$22:$Q$150,"&lt;&gt;Cancelada")&gt;0,"REUNIÃO ","")&amp;IF(COUNTIFS($C$22:$C$150,F12,$D$22:$D$150,"*Férias*",$Q$22:$Q$150,"&lt;&gt;Cancelada")&gt;0,"Férias ","")&amp;IF(COUNTIFS($C$22:$C$150,F12,$D$22:$D$150,"*Mudança*",$Q$22:$Q$150,"&lt;&gt;Cancelada")&gt;0,"M.Função ","")&amp;IF(COUNTIFS($C$22:$C$150,F12,$D$22:$D$150,"*Treinamento*",$Q$22:$Q$150,"&lt;&gt;Cancelada")&gt;0,"Trein. ","")))</f>
        <v/>
      </c>
      <c r="G13" s="77"/>
      <c r="H13" s="77" t="str">
        <f aca="false">IF(H12="","",TRIM(IF(COUNTIFS($C$22:$C$150,H12,$D$22:$D$150,"*Vistoria*",$Q$22:$Q$150,"&lt;&gt;Cancelada")&gt;0,"Vistoria ","")&amp;IF(COUNTIFS($C$22:$C$150,H12,$D$22:$D$150,"*Relatório*",$Q$22:$Q$150,"&lt;&gt;Cancelada")&gt;0,"Relatório ","")&amp;IF(COUNTIFS($C$22:$C$150,H12,$D$22:$D$150,"*Reunião*",$Q$22:$Q$150,"&lt;&gt;Cancelada")&gt;0,"REUNIÃO ","")&amp;IF(COUNTIFS($C$22:$C$150,H12,$D$22:$D$150,"*Férias*",$Q$22:$Q$150,"&lt;&gt;Cancelada")&gt;0,"Férias ","")&amp;IF(COUNTIFS($C$22:$C$150,H12,$D$22:$D$150,"*Mudança*",$Q$22:$Q$150,"&lt;&gt;Cancelada")&gt;0,"M.Função ","")&amp;IF(COUNTIFS($C$22:$C$150,H12,$D$22:$D$150,"*Treinamento*",$Q$22:$Q$150,"&lt;&gt;Cancelada")&gt;0,"Trein. ","")))</f>
        <v>Vistoria</v>
      </c>
      <c r="I13" s="77"/>
      <c r="J13" s="77" t="str">
        <f aca="false">IF(J12="","",TRIM(IF(COUNTIFS($C$22:$C$150,J12,$D$22:$D$150,"*Vistoria*",$Q$22:$Q$150,"&lt;&gt;Cancelada")&gt;0,"Vistoria ","")&amp;IF(COUNTIFS($C$22:$C$150,J12,$D$22:$D$150,"*Relatório*",$Q$22:$Q$150,"&lt;&gt;Cancelada")&gt;0,"Relatório ","")&amp;IF(COUNTIFS($C$22:$C$150,J12,$D$22:$D$150,"*Reunião*",$Q$22:$Q$150,"&lt;&gt;Cancelada")&gt;0,"REUNIÃO ","")&amp;IF(COUNTIFS($C$22:$C$150,J12,$D$22:$D$150,"*Férias*",$Q$22:$Q$150,"&lt;&gt;Cancelada")&gt;0,"Férias ","")&amp;IF(COUNTIFS($C$22:$C$150,J12,$D$22:$D$150,"*Mudança*",$Q$22:$Q$150,"&lt;&gt;Cancelada")&gt;0,"M.Função ","")&amp;IF(COUNTIFS($C$22:$C$150,J12,$D$22:$D$150,"*Treinamento*",$Q$22:$Q$150,"&lt;&gt;Cancelada")&gt;0,"Trein. ","")))</f>
        <v>Relatório</v>
      </c>
      <c r="K13" s="77"/>
      <c r="L13" s="77" t="str">
        <f aca="false">IF(L12="","",TRIM(IF(COUNTIFS($C$22:$C$150,L12,$D$22:$D$150,"*Vistoria*",$Q$22:$Q$150,"&lt;&gt;Cancelada")&gt;0,"Vistoria ","")&amp;IF(COUNTIFS($C$22:$C$150,L12,$D$22:$D$150,"*Relatório*",$Q$22:$Q$150,"&lt;&gt;Cancelada")&gt;0,"Relatório ","")&amp;IF(COUNTIFS($C$22:$C$150,L12,$D$22:$D$150,"*Reunião*",$Q$22:$Q$150,"&lt;&gt;Cancelada")&gt;0,"REUNIÃO ","")&amp;IF(COUNTIFS($C$22:$C$150,L12,$D$22:$D$150,"*Férias*",$Q$22:$Q$150,"&lt;&gt;Cancelada")&gt;0,"Férias ","")&amp;IF(COUNTIFS($C$22:$C$150,L12,$D$22:$D$150,"*Mudança*",$Q$22:$Q$150,"&lt;&gt;Cancelada")&gt;0,"M.Função ","")&amp;IF(COUNTIFS($C$22:$C$150,L12,$D$22:$D$150,"*Treinamento*",$Q$22:$Q$150,"&lt;&gt;Cancelada")&gt;0,"Trein. ","")))</f>
        <v>REUNIÃO M.Função</v>
      </c>
      <c r="M13" s="77"/>
      <c r="N13" s="77" t="str">
        <f aca="false">IF(N12="","",TRIM(IF(COUNTIFS($C$22:$C$150,N12,$D$22:$D$150,"*Vistoria*",$Q$22:$Q$150,"&lt;&gt;Cancelada")&gt;0,"Vistoria ","")&amp;IF(COUNTIFS($C$22:$C$150,N12,$D$22:$D$150,"*Relatório*",$Q$22:$Q$150,"&lt;&gt;Cancelada")&gt;0,"Relatório ","")&amp;IF(COUNTIFS($C$22:$C$150,N12,$D$22:$D$150,"*Reunião*",$Q$22:$Q$150,"&lt;&gt;Cancelada")&gt;0,"REUNIÃO ","")&amp;IF(COUNTIFS($C$22:$C$150,N12,$D$22:$D$150,"*Férias*",$Q$22:$Q$150,"&lt;&gt;Cancelada")&gt;0,"Férias ","")&amp;IF(COUNTIFS($C$22:$C$150,N12,$D$22:$D$150,"*Mudança*",$Q$22:$Q$150,"&lt;&gt;Cancelada")&gt;0,"M.Função ","")&amp;IF(COUNTIFS($C$22:$C$150,N12,$D$22:$D$150,"*Treinamento*",$Q$22:$Q$150,"&lt;&gt;Cancelada")&gt;0,"Trein. ","")))</f>
        <v/>
      </c>
      <c r="O13" s="77"/>
    </row>
    <row r="14" customFormat="false" ht="15" hidden="false" customHeight="true" outlineLevel="0" collapsed="false">
      <c r="B14" s="76" t="n">
        <f aca="false">IF(MONTH($X$1-WEEKDAY($X$1)+1+28)=MONTH($X$1),$X$1-WEEKDAY($X$1)+1+28,"")</f>
        <v>46383</v>
      </c>
      <c r="C14" s="76"/>
      <c r="D14" s="76" t="n">
        <f aca="false">IF(MONTH($X$1-WEEKDAY($X$1)+1+29)=MONTH($X$1),$X$1-WEEKDAY($X$1)+1+29,"")</f>
        <v>46384</v>
      </c>
      <c r="E14" s="76"/>
      <c r="F14" s="76" t="n">
        <f aca="false">IF(MONTH($X$1-WEEKDAY($X$1)+1+30)=MONTH($X$1),$X$1-WEEKDAY($X$1)+1+30,"")</f>
        <v>46385</v>
      </c>
      <c r="G14" s="76"/>
      <c r="H14" s="76" t="n">
        <f aca="false">IF(MONTH($X$1-WEEKDAY($X$1)+1+31)=MONTH($X$1),$X$1-WEEKDAY($X$1)+1+31,"")</f>
        <v>46386</v>
      </c>
      <c r="I14" s="76"/>
      <c r="J14" s="76" t="n">
        <f aca="false">IF(MONTH($X$1-WEEKDAY($X$1)+1+32)=MONTH($X$1),$X$1-WEEKDAY($X$1)+1+32,"")</f>
        <v>46387</v>
      </c>
      <c r="K14" s="76"/>
      <c r="L14" s="76" t="str">
        <f aca="false">IF(MONTH($X$1-WEEKDAY($X$1)+1+33)=MONTH($X$1),$X$1-WEEKDAY($X$1)+1+33,"")</f>
        <v/>
      </c>
      <c r="M14" s="76"/>
      <c r="N14" s="76" t="str">
        <f aca="false">IF(MONTH($X$1-WEEKDAY($X$1)+1+34)=MONTH($X$1),$X$1-WEEKDAY($X$1)+1+34,"")</f>
        <v/>
      </c>
      <c r="O14" s="76"/>
    </row>
    <row r="15" customFormat="false" ht="25.5" hidden="false" customHeight="true" outlineLevel="0" collapsed="false">
      <c r="B15" s="77" t="str">
        <f aca="false">IF(B14="","",TRIM(IF(COUNTIFS($C$22:$C$150,B14,$D$22:$D$150,"*Vistoria*",$Q$22:$Q$150,"&lt;&gt;Cancelada")&gt;0,"Vistoria ","")&amp;IF(COUNTIFS($C$22:$C$150,B14,$D$22:$D$150,"*Relatório*",$Q$22:$Q$150,"&lt;&gt;Cancelada")&gt;0,"Relatório ","")&amp;IF(COUNTIFS($C$22:$C$150,B14,$D$22:$D$150,"*Reunião*",$Q$22:$Q$150,"&lt;&gt;Cancelada")&gt;0,"REUNIÃO ","")&amp;IF(COUNTIFS($C$22:$C$150,B14,$D$22:$D$150,"*Férias*",$Q$22:$Q$150,"&lt;&gt;Cancelada")&gt;0,"Férias ","")&amp;IF(COUNTIFS($C$22:$C$150,B14,$D$22:$D$150,"*Mudança*",$Q$22:$Q$150,"&lt;&gt;Cancelada")&gt;0,"M.Função ","")&amp;IF(COUNTIFS($C$22:$C$150,B14,$D$22:$D$150,"*Treinamento*",$Q$22:$Q$150,"&lt;&gt;Cancelada")&gt;0,"Trein. ","")))</f>
        <v/>
      </c>
      <c r="C15" s="77"/>
      <c r="D15" s="77" t="str">
        <f aca="false">IF(D14="","",TRIM(IF(COUNTIFS($C$22:$C$150,D14,$D$22:$D$150,"*Vistoria*",$Q$22:$Q$150,"&lt;&gt;Cancelada")&gt;0,"Vistoria ","")&amp;IF(COUNTIFS($C$22:$C$150,D14,$D$22:$D$150,"*Relatório*",$Q$22:$Q$150,"&lt;&gt;Cancelada")&gt;0,"Relatório ","")&amp;IF(COUNTIFS($C$22:$C$150,D14,$D$22:$D$150,"*Reunião*",$Q$22:$Q$150,"&lt;&gt;Cancelada")&gt;0,"REUNIÃO ","")&amp;IF(COUNTIFS($C$22:$C$150,D14,$D$22:$D$150,"*Férias*",$Q$22:$Q$150,"&lt;&gt;Cancelada")&gt;0,"Férias ","")&amp;IF(COUNTIFS($C$22:$C$150,D14,$D$22:$D$150,"*Mudança*",$Q$22:$Q$150,"&lt;&gt;Cancelada")&gt;0,"M.Função ","")&amp;IF(COUNTIFS($C$22:$C$150,D14,$D$22:$D$150,"*Treinamento*",$Q$22:$Q$150,"&lt;&gt;Cancelada")&gt;0,"Trein. ","")))</f>
        <v/>
      </c>
      <c r="E15" s="77"/>
      <c r="F15" s="77" t="str">
        <f aca="false">IF(F14="","",TRIM(IF(COUNTIFS($C$22:$C$150,F14,$D$22:$D$150,"*Vistoria*",$Q$22:$Q$150,"&lt;&gt;Cancelada")&gt;0,"Vistoria ","")&amp;IF(COUNTIFS($C$22:$C$150,F14,$D$22:$D$150,"*Relatório*",$Q$22:$Q$150,"&lt;&gt;Cancelada")&gt;0,"Relatório ","")&amp;IF(COUNTIFS($C$22:$C$150,F14,$D$22:$D$150,"*Reunião*",$Q$22:$Q$150,"&lt;&gt;Cancelada")&gt;0,"REUNIÃO ","")&amp;IF(COUNTIFS($C$22:$C$150,F14,$D$22:$D$150,"*Férias*",$Q$22:$Q$150,"&lt;&gt;Cancelada")&gt;0,"Férias ","")&amp;IF(COUNTIFS($C$22:$C$150,F14,$D$22:$D$150,"*Mudança*",$Q$22:$Q$150,"&lt;&gt;Cancelada")&gt;0,"M.Função ","")&amp;IF(COUNTIFS($C$22:$C$150,F14,$D$22:$D$150,"*Treinamento*",$Q$22:$Q$150,"&lt;&gt;Cancelada")&gt;0,"Trein. ","")))</f>
        <v/>
      </c>
      <c r="G15" s="77"/>
      <c r="H15" s="77" t="str">
        <f aca="false">IF(H14="","",TRIM(IF(COUNTIFS($C$22:$C$150,H14,$D$22:$D$150,"*Vistoria*",$Q$22:$Q$150,"&lt;&gt;Cancelada")&gt;0,"Vistoria ","")&amp;IF(COUNTIFS($C$22:$C$150,H14,$D$22:$D$150,"*Relatório*",$Q$22:$Q$150,"&lt;&gt;Cancelada")&gt;0,"Relatório ","")&amp;IF(COUNTIFS($C$22:$C$150,H14,$D$22:$D$150,"*Reunião*",$Q$22:$Q$150,"&lt;&gt;Cancelada")&gt;0,"REUNIÃO ","")&amp;IF(COUNTIFS($C$22:$C$150,H14,$D$22:$D$150,"*Férias*",$Q$22:$Q$150,"&lt;&gt;Cancelada")&gt;0,"Férias ","")&amp;IF(COUNTIFS($C$22:$C$150,H14,$D$22:$D$150,"*Mudança*",$Q$22:$Q$150,"&lt;&gt;Cancelada")&gt;0,"M.Função ","")&amp;IF(COUNTIFS($C$22:$C$150,H14,$D$22:$D$150,"*Treinamento*",$Q$22:$Q$150,"&lt;&gt;Cancelada")&gt;0,"Trein. ","")))</f>
        <v>Vistoria</v>
      </c>
      <c r="I15" s="77"/>
      <c r="J15" s="77" t="str">
        <f aca="false">IF(J14="","",TRIM(IF(COUNTIFS($C$22:$C$150,J14,$D$22:$D$150,"*Vistoria*",$Q$22:$Q$150,"&lt;&gt;Cancelada")&gt;0,"Vistoria ","")&amp;IF(COUNTIFS($C$22:$C$150,J14,$D$22:$D$150,"*Relatório*",$Q$22:$Q$150,"&lt;&gt;Cancelada")&gt;0,"Relatório ","")&amp;IF(COUNTIFS($C$22:$C$150,J14,$D$22:$D$150,"*Reunião*",$Q$22:$Q$150,"&lt;&gt;Cancelada")&gt;0,"REUNIÃO ","")&amp;IF(COUNTIFS($C$22:$C$150,J14,$D$22:$D$150,"*Férias*",$Q$22:$Q$150,"&lt;&gt;Cancelada")&gt;0,"Férias ","")&amp;IF(COUNTIFS($C$22:$C$150,J14,$D$22:$D$150,"*Mudança*",$Q$22:$Q$150,"&lt;&gt;Cancelada")&gt;0,"M.Função ","")&amp;IF(COUNTIFS($C$22:$C$150,J14,$D$22:$D$150,"*Treinamento*",$Q$22:$Q$150,"&lt;&gt;Cancelada")&gt;0,"Trein. ","")))</f>
        <v>Relatório</v>
      </c>
      <c r="K15" s="77"/>
      <c r="L15" s="77" t="str">
        <f aca="false">IF(L14="","",TRIM(IF(COUNTIFS($C$22:$C$150,L14,$D$22:$D$150,"*Vistoria*",$Q$22:$Q$150,"&lt;&gt;Cancelada")&gt;0,"Vistoria ","")&amp;IF(COUNTIFS($C$22:$C$150,L14,$D$22:$D$150,"*Relatório*",$Q$22:$Q$150,"&lt;&gt;Cancelada")&gt;0,"Relatório ","")&amp;IF(COUNTIFS($C$22:$C$150,L14,$D$22:$D$150,"*Reunião*",$Q$22:$Q$150,"&lt;&gt;Cancelada")&gt;0,"REUNIÃO ","")&amp;IF(COUNTIFS($C$22:$C$150,L14,$D$22:$D$150,"*Férias*",$Q$22:$Q$150,"&lt;&gt;Cancelada")&gt;0,"Férias ","")&amp;IF(COUNTIFS($C$22:$C$150,L14,$D$22:$D$150,"*Mudança*",$Q$22:$Q$150,"&lt;&gt;Cancelada")&gt;0,"M.Função ","")&amp;IF(COUNTIFS($C$22:$C$150,L14,$D$22:$D$150,"*Treinamento*",$Q$22:$Q$150,"&lt;&gt;Cancelada")&gt;0,"Trein. ","")))</f>
        <v/>
      </c>
      <c r="M15" s="77"/>
      <c r="N15" s="77" t="str">
        <f aca="false">IF(N14="","",TRIM(IF(COUNTIFS($C$22:$C$150,N14,$D$22:$D$150,"*Vistoria*",$Q$22:$Q$150,"&lt;&gt;Cancelada")&gt;0,"Vistoria ","")&amp;IF(COUNTIFS($C$22:$C$150,N14,$D$22:$D$150,"*Relatório*",$Q$22:$Q$150,"&lt;&gt;Cancelada")&gt;0,"Relatório ","")&amp;IF(COUNTIFS($C$22:$C$150,N14,$D$22:$D$150,"*Reunião*",$Q$22:$Q$150,"&lt;&gt;Cancelada")&gt;0,"REUNIÃO ","")&amp;IF(COUNTIFS($C$22:$C$150,N14,$D$22:$D$150,"*Férias*",$Q$22:$Q$150,"&lt;&gt;Cancelada")&gt;0,"Férias ","")&amp;IF(COUNTIFS($C$22:$C$150,N14,$D$22:$D$150,"*Mudança*",$Q$22:$Q$150,"&lt;&gt;Cancelada")&gt;0,"M.Função ","")&amp;IF(COUNTIFS($C$22:$C$150,N14,$D$22:$D$150,"*Treinamento*",$Q$22:$Q$150,"&lt;&gt;Cancelada")&gt;0,"Trein. ","")))</f>
        <v/>
      </c>
      <c r="O15" s="77"/>
    </row>
    <row r="16" customFormat="false" ht="15" hidden="false" customHeight="true" outlineLevel="0" collapsed="false">
      <c r="B16" s="76" t="str">
        <f aca="false">IF(MONTH($X$1-WEEKDAY($X$1)+1+35)=MONTH($X$1),$X$1-WEEKDAY($X$1)+1+35,"")</f>
        <v/>
      </c>
      <c r="C16" s="76"/>
      <c r="D16" s="76" t="str">
        <f aca="false">IF(MONTH($X$1-WEEKDAY($X$1)+1+36)=MONTH($X$1),$X$1-WEEKDAY($X$1)+1+36,"")</f>
        <v/>
      </c>
      <c r="E16" s="76"/>
      <c r="F16" s="76" t="str">
        <f aca="false">IF(MONTH($X$1-WEEKDAY($X$1)+1+37)=MONTH($X$1),$X$1-WEEKDAY($X$1)+1+37,"")</f>
        <v/>
      </c>
      <c r="G16" s="76"/>
      <c r="H16" s="76" t="str">
        <f aca="false">IF(MONTH($X$1-WEEKDAY($X$1)+1+38)=MONTH($X$1),$X$1-WEEKDAY($X$1)+1+38,"")</f>
        <v/>
      </c>
      <c r="I16" s="76"/>
      <c r="J16" s="76" t="str">
        <f aca="false">IF(MONTH($X$1-WEEKDAY($X$1)+1+39)=MONTH($X$1),$X$1-WEEKDAY($X$1)+1+39,"")</f>
        <v/>
      </c>
      <c r="K16" s="76"/>
      <c r="L16" s="76" t="str">
        <f aca="false">IF(MONTH($X$1-WEEKDAY($X$1)+1+40)=MONTH($X$1),$X$1-WEEKDAY($X$1)+1+40,"")</f>
        <v/>
      </c>
      <c r="M16" s="76"/>
      <c r="N16" s="76" t="str">
        <f aca="false">IF(MONTH($X$1-WEEKDAY($X$1)+1+41)=MONTH($X$1),$X$1-WEEKDAY($X$1)+1+41,"")</f>
        <v/>
      </c>
      <c r="O16" s="76"/>
    </row>
    <row r="17" customFormat="false" ht="25.5" hidden="false" customHeight="true" outlineLevel="0" collapsed="false">
      <c r="B17" s="77" t="str">
        <f aca="false">IF(B16="","",TRIM(IF(COUNTIFS($C$22:$C$150,B16,$D$22:$D$150,"*Vistoria*",$Q$22:$Q$150,"&lt;&gt;Cancelada")&gt;0,"Vistoria ","")&amp;IF(COUNTIFS($C$22:$C$150,B16,$D$22:$D$150,"*Relatório*",$Q$22:$Q$150,"&lt;&gt;Cancelada")&gt;0,"Relatório ","")&amp;IF(COUNTIFS($C$22:$C$150,B16,$D$22:$D$150,"*Reunião*",$Q$22:$Q$150,"&lt;&gt;Cancelada")&gt;0,"REUNIÃO ","")&amp;IF(COUNTIFS($C$22:$C$150,B16,$D$22:$D$150,"*Férias*",$Q$22:$Q$150,"&lt;&gt;Cancelada")&gt;0,"Férias ","")&amp;IF(COUNTIFS($C$22:$C$150,B16,$D$22:$D$150,"*Mudança*",$Q$22:$Q$150,"&lt;&gt;Cancelada")&gt;0,"M.Função ","")&amp;IF(COUNTIFS($C$22:$C$150,B16,$D$22:$D$150,"*Treinamento*",$Q$22:$Q$150,"&lt;&gt;Cancelada")&gt;0,"Trein. ","")))</f>
        <v/>
      </c>
      <c r="C17" s="77"/>
      <c r="D17" s="77" t="str">
        <f aca="false">IF(D16="","",TRIM(IF(COUNTIFS($C$22:$C$150,D16,$D$22:$D$150,"*Vistoria*",$Q$22:$Q$150,"&lt;&gt;Cancelada")&gt;0,"Vistoria ","")&amp;IF(COUNTIFS($C$22:$C$150,D16,$D$22:$D$150,"*Relatório*",$Q$22:$Q$150,"&lt;&gt;Cancelada")&gt;0,"Relatório ","")&amp;IF(COUNTIFS($C$22:$C$150,D16,$D$22:$D$150,"*Reunião*",$Q$22:$Q$150,"&lt;&gt;Cancelada")&gt;0,"REUNIÃO ","")&amp;IF(COUNTIFS($C$22:$C$150,D16,$D$22:$D$150,"*Férias*",$Q$22:$Q$150,"&lt;&gt;Cancelada")&gt;0,"Férias ","")&amp;IF(COUNTIFS($C$22:$C$150,D16,$D$22:$D$150,"*Mudança*",$Q$22:$Q$150,"&lt;&gt;Cancelada")&gt;0,"M.Função ","")&amp;IF(COUNTIFS($C$22:$C$150,D16,$D$22:$D$150,"*Treinamento*",$Q$22:$Q$150,"&lt;&gt;Cancelada")&gt;0,"Trein. ","")))</f>
        <v/>
      </c>
      <c r="E17" s="77"/>
      <c r="F17" s="77" t="str">
        <f aca="false">IF(F16="","",TRIM(IF(COUNTIFS($C$22:$C$150,F16,$D$22:$D$150,"*Vistoria*",$Q$22:$Q$150,"&lt;&gt;Cancelada")&gt;0,"Vistoria ","")&amp;IF(COUNTIFS($C$22:$C$150,F16,$D$22:$D$150,"*Relatório*",$Q$22:$Q$150,"&lt;&gt;Cancelada")&gt;0,"Relatório ","")&amp;IF(COUNTIFS($C$22:$C$150,F16,$D$22:$D$150,"*Reunião*",$Q$22:$Q$150,"&lt;&gt;Cancelada")&gt;0,"REUNIÃO ","")&amp;IF(COUNTIFS($C$22:$C$150,F16,$D$22:$D$150,"*Férias*",$Q$22:$Q$150,"&lt;&gt;Cancelada")&gt;0,"Férias ","")&amp;IF(COUNTIFS($C$22:$C$150,F16,$D$22:$D$150,"*Mudança*",$Q$22:$Q$150,"&lt;&gt;Cancelada")&gt;0,"M.Função ","")&amp;IF(COUNTIFS($C$22:$C$150,F16,$D$22:$D$150,"*Treinamento*",$Q$22:$Q$150,"&lt;&gt;Cancelada")&gt;0,"Trein. ","")))</f>
        <v/>
      </c>
      <c r="G17" s="77"/>
      <c r="H17" s="77" t="str">
        <f aca="false">IF(H16="","",TRIM(IF(COUNTIFS($C$22:$C$150,H16,$D$22:$D$150,"*Vistoria*",$Q$22:$Q$150,"&lt;&gt;Cancelada")&gt;0,"Vistoria ","")&amp;IF(COUNTIFS($C$22:$C$150,H16,$D$22:$D$150,"*Relatório*",$Q$22:$Q$150,"&lt;&gt;Cancelada")&gt;0,"Relatório ","")&amp;IF(COUNTIFS($C$22:$C$150,H16,$D$22:$D$150,"*Reunião*",$Q$22:$Q$150,"&lt;&gt;Cancelada")&gt;0,"REUNIÃO ","")&amp;IF(COUNTIFS($C$22:$C$150,H16,$D$22:$D$150,"*Férias*",$Q$22:$Q$150,"&lt;&gt;Cancelada")&gt;0,"Férias ","")&amp;IF(COUNTIFS($C$22:$C$150,H16,$D$22:$D$150,"*Mudança*",$Q$22:$Q$150,"&lt;&gt;Cancelada")&gt;0,"M.Função ","")&amp;IF(COUNTIFS($C$22:$C$150,H16,$D$22:$D$150,"*Treinamento*",$Q$22:$Q$150,"&lt;&gt;Cancelada")&gt;0,"Trein. ","")))</f>
        <v/>
      </c>
      <c r="I17" s="77"/>
      <c r="J17" s="77" t="str">
        <f aca="false">IF(J16="","",TRIM(IF(COUNTIFS($C$22:$C$150,J16,$D$22:$D$150,"*Vistoria*",$Q$22:$Q$150,"&lt;&gt;Cancelada")&gt;0,"Vistoria ","")&amp;IF(COUNTIFS($C$22:$C$150,J16,$D$22:$D$150,"*Relatório*",$Q$22:$Q$150,"&lt;&gt;Cancelada")&gt;0,"Relatório ","")&amp;IF(COUNTIFS($C$22:$C$150,J16,$D$22:$D$150,"*Reunião*",$Q$22:$Q$150,"&lt;&gt;Cancelada")&gt;0,"REUNIÃO ","")&amp;IF(COUNTIFS($C$22:$C$150,J16,$D$22:$D$150,"*Férias*",$Q$22:$Q$150,"&lt;&gt;Cancelada")&gt;0,"Férias ","")&amp;IF(COUNTIFS($C$22:$C$150,J16,$D$22:$D$150,"*Mudança*",$Q$22:$Q$150,"&lt;&gt;Cancelada")&gt;0,"M.Função ","")&amp;IF(COUNTIFS($C$22:$C$150,J16,$D$22:$D$150,"*Treinamento*",$Q$22:$Q$150,"&lt;&gt;Cancelada")&gt;0,"Trein. ","")))</f>
        <v/>
      </c>
      <c r="K17" s="77"/>
      <c r="L17" s="77" t="str">
        <f aca="false">IF(L16="","",TRIM(IF(COUNTIFS($C$22:$C$150,L16,$D$22:$D$150,"*Vistoria*",$Q$22:$Q$150,"&lt;&gt;Cancelada")&gt;0,"Vistoria ","")&amp;IF(COUNTIFS($C$22:$C$150,L16,$D$22:$D$150,"*Relatório*",$Q$22:$Q$150,"&lt;&gt;Cancelada")&gt;0,"Relatório ","")&amp;IF(COUNTIFS($C$22:$C$150,L16,$D$22:$D$150,"*Reunião*",$Q$22:$Q$150,"&lt;&gt;Cancelada")&gt;0,"REUNIÃO ","")&amp;IF(COUNTIFS($C$22:$C$150,L16,$D$22:$D$150,"*Férias*",$Q$22:$Q$150,"&lt;&gt;Cancelada")&gt;0,"Férias ","")&amp;IF(COUNTIFS($C$22:$C$150,L16,$D$22:$D$150,"*Mudança*",$Q$22:$Q$150,"&lt;&gt;Cancelada")&gt;0,"M.Função ","")&amp;IF(COUNTIFS($C$22:$C$150,L16,$D$22:$D$150,"*Treinamento*",$Q$22:$Q$150,"&lt;&gt;Cancelada")&gt;0,"Trein. ","")))</f>
        <v/>
      </c>
      <c r="M17" s="77"/>
      <c r="N17" s="77" t="str">
        <f aca="false">IF(N16="","",TRIM(IF(COUNTIFS($C$22:$C$150,N16,$D$22:$D$150,"*Vistoria*",$Q$22:$Q$150,"&lt;&gt;Cancelada")&gt;0,"Vistoria ","")&amp;IF(COUNTIFS($C$22:$C$150,N16,$D$22:$D$150,"*Relatório*",$Q$22:$Q$150,"&lt;&gt;Cancelada")&gt;0,"Relatório ","")&amp;IF(COUNTIFS($C$22:$C$150,N16,$D$22:$D$150,"*Reunião*",$Q$22:$Q$150,"&lt;&gt;Cancelada")&gt;0,"REUNIÃO ","")&amp;IF(COUNTIFS($C$22:$C$150,N16,$D$22:$D$150,"*Férias*",$Q$22:$Q$150,"&lt;&gt;Cancelada")&gt;0,"Férias ","")&amp;IF(COUNTIFS($C$22:$C$150,N16,$D$22:$D$150,"*Mudança*",$Q$22:$Q$150,"&lt;&gt;Cancelada")&gt;0,"M.Função ","")&amp;IF(COUNTIFS($C$22:$C$150,N16,$D$22:$D$150,"*Treinamento*",$Q$22:$Q$150,"&lt;&gt;Cancelada")&gt;0,"Trein. ","")))</f>
        <v/>
      </c>
      <c r="O17" s="77"/>
    </row>
    <row r="18" customFormat="false" ht="15" hidden="false" customHeight="true" outlineLevel="0" collapsed="false">
      <c r="B18" s="46" t="s">
        <v>213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</row>
    <row r="20" customFormat="false" ht="15" hidden="false" customHeight="true" outlineLevel="0" collapsed="false">
      <c r="A20" s="78" t="s">
        <v>214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</row>
    <row r="21" customFormat="false" ht="24" hidden="false" customHeight="true" outlineLevel="0" collapsed="false">
      <c r="A21" s="79" t="s">
        <v>215</v>
      </c>
      <c r="B21" s="79" t="s">
        <v>157</v>
      </c>
      <c r="C21" s="79" t="s">
        <v>216</v>
      </c>
      <c r="D21" s="79" t="s">
        <v>217</v>
      </c>
      <c r="E21" s="79"/>
      <c r="F21" s="79"/>
      <c r="G21" s="79" t="s">
        <v>58</v>
      </c>
      <c r="H21" s="79" t="s">
        <v>218</v>
      </c>
      <c r="I21" s="79"/>
      <c r="J21" s="79" t="s">
        <v>219</v>
      </c>
      <c r="K21" s="79" t="s">
        <v>61</v>
      </c>
      <c r="L21" s="79" t="s">
        <v>220</v>
      </c>
      <c r="M21" s="79" t="s">
        <v>221</v>
      </c>
      <c r="N21" s="79"/>
      <c r="O21" s="79"/>
      <c r="P21" s="79" t="s">
        <v>222</v>
      </c>
      <c r="Q21" s="79" t="s">
        <v>223</v>
      </c>
      <c r="R21" s="79" t="s">
        <v>224</v>
      </c>
      <c r="S21" s="79" t="s">
        <v>225</v>
      </c>
      <c r="T21" s="79" t="s">
        <v>226</v>
      </c>
      <c r="U21" s="79" t="s">
        <v>227</v>
      </c>
      <c r="V21" s="79" t="s">
        <v>228</v>
      </c>
    </row>
    <row r="22" customFormat="false" ht="15" hidden="false" customHeight="false" outlineLevel="0" collapsed="false">
      <c r="A22" s="80" t="str">
        <f aca="false">IF($C22="","",$X$2&amp;"-S"&amp;INT(($C22-WEEKDAY($C22,2)+11-DATE(YEAR($C22+4-WEEKDAY($C22,2)),1,1))/7)&amp;"-FER-A")</f>
        <v>DEZ-S50-FER-A</v>
      </c>
      <c r="B22" s="81" t="str">
        <f aca="false">IF($C22="","","S"&amp;INT(($C22-WEEKDAY($C22,2)+11-DATE(YEAR($C22+4-WEEKDAY($C22,2)),1,1))/7))</f>
        <v>S50</v>
      </c>
      <c r="C22" s="82" t="n">
        <f aca="false">$X$1+MOD(8-WEEKDAY($X$1,2),7)</f>
        <v>46363</v>
      </c>
      <c r="D22" s="9" t="str">
        <f aca="false">IF($C22="","","Programação de Férias (mensal)")</f>
        <v>Programação de Férias (mensal)</v>
      </c>
      <c r="E22" s="9"/>
      <c r="F22" s="9"/>
      <c r="G22" s="81" t="str">
        <f aca="false">IF($C22="","","A")</f>
        <v>A</v>
      </c>
      <c r="H22" s="81" t="str">
        <f aca="false">IF($C22="","",IF($G22="A",CONFIG!$B$5,IF($G22="B",CONFIG!$B$6,IF($G22="C",CONFIG!$B$7,"Gerência + coordenadores"))))</f>
        <v>(preencha o nome)</v>
      </c>
      <c r="I22" s="81"/>
      <c r="J22" s="81" t="str">
        <f aca="false">IF($C22="","","—")</f>
        <v>—</v>
      </c>
      <c r="K22" s="83" t="str">
        <f aca="false">IF($C22="","","—")</f>
        <v>—</v>
      </c>
      <c r="L22" s="83" t="str">
        <f aca="false">IF($C22="","","—")</f>
        <v>—</v>
      </c>
      <c r="M22" s="84"/>
      <c r="N22" s="84"/>
      <c r="O22" s="84"/>
      <c r="P22" s="85"/>
      <c r="Q22" s="86"/>
      <c r="R22" s="87"/>
      <c r="S22" s="81" t="str">
        <f aca="true">IF($C22="","",IF($Q22="Cancelada","Cancelada",IF($Q22="Reprovado","Reprovada",IF($Q22="Aprovado","Aprovada",IF($M22&lt;&gt;"","Entregue",IF(TODAY()&gt;$C22,"Atrasada","Pendente"))))))</f>
        <v>Pendente</v>
      </c>
      <c r="T22" s="88"/>
      <c r="U22" s="88"/>
      <c r="V22" s="88"/>
    </row>
    <row r="23" customFormat="false" ht="15" hidden="false" customHeight="false" outlineLevel="0" collapsed="false">
      <c r="A23" s="89" t="str">
        <f aca="false">IF($C23="","",$X$2&amp;"-S"&amp;INT(($C23-WEEKDAY($C23,2)+11-DATE(YEAR($C23+4-WEEKDAY($C23,2)),1,1))/7)&amp;"-FER-B")</f>
        <v>DEZ-S50-FER-B</v>
      </c>
      <c r="B23" s="60" t="str">
        <f aca="false">IF($C23="","","S"&amp;INT(($C23-WEEKDAY($C23,2)+11-DATE(YEAR($C23+4-WEEKDAY($C23,2)),1,1))/7))</f>
        <v>S50</v>
      </c>
      <c r="C23" s="82" t="n">
        <f aca="false">$X$1+MOD(8-WEEKDAY($X$1,2),7)</f>
        <v>46363</v>
      </c>
      <c r="D23" s="56" t="str">
        <f aca="false">IF($C23="","","Programação de Férias (mensal)")</f>
        <v>Programação de Férias (mensal)</v>
      </c>
      <c r="E23" s="56"/>
      <c r="F23" s="56"/>
      <c r="G23" s="60" t="str">
        <f aca="false">IF($C23="","","B")</f>
        <v>B</v>
      </c>
      <c r="H23" s="60" t="str">
        <f aca="false">IF($C23="","",IF($G23="A",CONFIG!$B$5,IF($G23="B",CONFIG!$B$6,IF($G23="C",CONFIG!$B$7,"Gerência + coordenadores"))))</f>
        <v>(preencha o nome)</v>
      </c>
      <c r="I23" s="60"/>
      <c r="J23" s="81" t="str">
        <f aca="false">IF($C23="","","—")</f>
        <v>—</v>
      </c>
      <c r="K23" s="83" t="str">
        <f aca="false">IF($C23="","","—")</f>
        <v>—</v>
      </c>
      <c r="L23" s="83" t="str">
        <f aca="false">IF($C23="","","—")</f>
        <v>—</v>
      </c>
      <c r="M23" s="84"/>
      <c r="N23" s="84"/>
      <c r="O23" s="84"/>
      <c r="P23" s="90"/>
      <c r="Q23" s="86"/>
      <c r="R23" s="87"/>
      <c r="S23" s="60" t="str">
        <f aca="true">IF($C23="","",IF($Q23="Cancelada","Cancelada",IF($Q23="Reprovado","Reprovada",IF($Q23="Aprovado","Aprovada",IF($M23&lt;&gt;"","Entregue",IF(TODAY()&gt;$C23,"Atrasada","Pendente"))))))</f>
        <v>Pendente</v>
      </c>
      <c r="T23" s="88"/>
      <c r="U23" s="88"/>
      <c r="V23" s="88"/>
    </row>
    <row r="24" customFormat="false" ht="15" hidden="false" customHeight="false" outlineLevel="0" collapsed="false">
      <c r="A24" s="80" t="str">
        <f aca="false">IF($C24="","",$X$2&amp;"-S"&amp;INT(($C24-WEEKDAY($C24,2)+11-DATE(YEAR($C24+4-WEEKDAY($C24,2)),1,1))/7)&amp;"-FER-C")</f>
        <v>DEZ-S50-FER-C</v>
      </c>
      <c r="B24" s="81" t="str">
        <f aca="false">IF($C24="","","S"&amp;INT(($C24-WEEKDAY($C24,2)+11-DATE(YEAR($C24+4-WEEKDAY($C24,2)),1,1))/7))</f>
        <v>S50</v>
      </c>
      <c r="C24" s="82" t="n">
        <f aca="false">$X$1+MOD(8-WEEKDAY($X$1,2),7)</f>
        <v>46363</v>
      </c>
      <c r="D24" s="9" t="str">
        <f aca="false">IF($C24="","","Programação de Férias (mensal)")</f>
        <v>Programação de Férias (mensal)</v>
      </c>
      <c r="E24" s="9"/>
      <c r="F24" s="9"/>
      <c r="G24" s="81" t="str">
        <f aca="false">IF($C24="","","C")</f>
        <v>C</v>
      </c>
      <c r="H24" s="81" t="str">
        <f aca="false">IF($C24="","",IF($G24="A",CONFIG!$B$5,IF($G24="B",CONFIG!$B$6,IF($G24="C",CONFIG!$B$7,"Gerência + coordenadores"))))</f>
        <v>(preencha o nome)</v>
      </c>
      <c r="I24" s="81"/>
      <c r="J24" s="81" t="str">
        <f aca="false">IF($C24="","","—")</f>
        <v>—</v>
      </c>
      <c r="K24" s="83" t="str">
        <f aca="false">IF($C24="","","—")</f>
        <v>—</v>
      </c>
      <c r="L24" s="83" t="str">
        <f aca="false">IF($C24="","","—")</f>
        <v>—</v>
      </c>
      <c r="M24" s="84"/>
      <c r="N24" s="84"/>
      <c r="O24" s="84"/>
      <c r="P24" s="85"/>
      <c r="Q24" s="86"/>
      <c r="R24" s="87"/>
      <c r="S24" s="81" t="str">
        <f aca="true">IF($C24="","",IF($Q24="Cancelada","Cancelada",IF($Q24="Reprovado","Reprovada",IF($Q24="Aprovado","Aprovada",IF($M24&lt;&gt;"","Entregue",IF(TODAY()&gt;$C24,"Atrasada","Pendente"))))))</f>
        <v>Pendente</v>
      </c>
      <c r="T24" s="88"/>
      <c r="U24" s="88"/>
      <c r="V24" s="88"/>
    </row>
    <row r="25" customFormat="false" ht="22.35" hidden="false" customHeight="false" outlineLevel="0" collapsed="false">
      <c r="A25" s="89" t="str">
        <f aca="false">IF($C25="","",$X$2&amp;"-S"&amp;INT(($C25-WEEKDAY($C25,2)+11-DATE(YEAR($C25+4-WEEKDAY($C25,2)),1,1))/7)&amp;"-VIS-A")</f>
        <v>DEZ-S49-VIS-A</v>
      </c>
      <c r="B25" s="60" t="str">
        <f aca="false">IF($C25="","","S"&amp;INT(($C25-WEEKDAY($C25,2)+11-DATE(YEAR($C25+4-WEEKDAY($C25,2)),1,1))/7))</f>
        <v>S49</v>
      </c>
      <c r="C25" s="82" t="n">
        <f aca="false">IF(MONTH(($X$1-WEEKDAY($X$1,3)+0)+2)=MONTH($X$1),($X$1-WEEKDAY($X$1,3)+0)+2,"")</f>
        <v>46358</v>
      </c>
      <c r="D25" s="56" t="str">
        <f aca="false">IF($C25="","","Vistoria Setorial (checklist no setor definido pelo gerente)")</f>
        <v>Vistoria Setorial (checklist no setor definido pelo gerente)</v>
      </c>
      <c r="E25" s="56"/>
      <c r="F25" s="56"/>
      <c r="G25" s="60" t="str">
        <f aca="false">IF($C25="","","A")</f>
        <v>A</v>
      </c>
      <c r="H25" s="60" t="str">
        <f aca="false">IF($C25="","",IF($G25="A",CONFIG!$B$5,IF($G25="B",CONFIG!$B$6,IF($G25="C",CONFIG!$B$7,"Gerência + coordenadores"))))</f>
        <v>(preencha o nome)</v>
      </c>
      <c r="I25" s="60"/>
      <c r="J25" s="86"/>
      <c r="K25" s="83" t="str">
        <f aca="false">IF($C25="","","—")</f>
        <v>—</v>
      </c>
      <c r="L25" s="83" t="str">
        <f aca="false">IF($C25="","","—")</f>
        <v>—</v>
      </c>
      <c r="M25" s="84"/>
      <c r="N25" s="84"/>
      <c r="O25" s="84"/>
      <c r="P25" s="90"/>
      <c r="Q25" s="86"/>
      <c r="R25" s="87"/>
      <c r="S25" s="60" t="str">
        <f aca="true">IF($C25="","",IF($Q25="Cancelada","Cancelada",IF($Q25="Reprovado","Reprovada",IF($Q25="Aprovado","Aprovada",IF($M25&lt;&gt;"","Entregue",IF(TODAY()&gt;$C25,"Atrasada","Pendente"))))))</f>
        <v>Pendente</v>
      </c>
      <c r="T25" s="88"/>
      <c r="U25" s="88"/>
      <c r="V25" s="88"/>
    </row>
    <row r="26" customFormat="false" ht="22.35" hidden="false" customHeight="false" outlineLevel="0" collapsed="false">
      <c r="A26" s="80" t="str">
        <f aca="false">IF($C26="","",$X$2&amp;"-S"&amp;INT(($C26-WEEKDAY($C26,2)+11-DATE(YEAR($C26+4-WEEKDAY($C26,2)),1,1))/7)&amp;"-VIS-B")</f>
        <v>DEZ-S49-VIS-B</v>
      </c>
      <c r="B26" s="81" t="str">
        <f aca="false">IF($C26="","","S"&amp;INT(($C26-WEEKDAY($C26,2)+11-DATE(YEAR($C26+4-WEEKDAY($C26,2)),1,1))/7))</f>
        <v>S49</v>
      </c>
      <c r="C26" s="82" t="n">
        <f aca="false">IF(MONTH(($X$1-WEEKDAY($X$1,3)+0)+2)=MONTH($X$1),($X$1-WEEKDAY($X$1,3)+0)+2,"")</f>
        <v>46358</v>
      </c>
      <c r="D26" s="9" t="str">
        <f aca="false">IF($C26="","","Vistoria Setorial (checklist no setor definido pelo gerente)")</f>
        <v>Vistoria Setorial (checklist no setor definido pelo gerente)</v>
      </c>
      <c r="E26" s="9"/>
      <c r="F26" s="9"/>
      <c r="G26" s="81" t="str">
        <f aca="false">IF($C26="","","B")</f>
        <v>B</v>
      </c>
      <c r="H26" s="81" t="str">
        <f aca="false">IF($C26="","",IF($G26="A",CONFIG!$B$5,IF($G26="B",CONFIG!$B$6,IF($G26="C",CONFIG!$B$7,"Gerência + coordenadores"))))</f>
        <v>(preencha o nome)</v>
      </c>
      <c r="I26" s="81"/>
      <c r="J26" s="86"/>
      <c r="K26" s="83" t="str">
        <f aca="false">IF($C26="","","—")</f>
        <v>—</v>
      </c>
      <c r="L26" s="83" t="str">
        <f aca="false">IF($C26="","","—")</f>
        <v>—</v>
      </c>
      <c r="M26" s="84"/>
      <c r="N26" s="84"/>
      <c r="O26" s="84"/>
      <c r="P26" s="85"/>
      <c r="Q26" s="86"/>
      <c r="R26" s="87"/>
      <c r="S26" s="81" t="str">
        <f aca="true">IF($C26="","",IF($Q26="Cancelada","Cancelada",IF($Q26="Reprovado","Reprovada",IF($Q26="Aprovado","Aprovada",IF($M26&lt;&gt;"","Entregue",IF(TODAY()&gt;$C26,"Atrasada","Pendente"))))))</f>
        <v>Pendente</v>
      </c>
      <c r="T26" s="88"/>
      <c r="U26" s="88"/>
      <c r="V26" s="88"/>
    </row>
    <row r="27" customFormat="false" ht="22.35" hidden="false" customHeight="false" outlineLevel="0" collapsed="false">
      <c r="A27" s="89" t="str">
        <f aca="false">IF($C27="","",$X$2&amp;"-S"&amp;INT(($C27-WEEKDAY($C27,2)+11-DATE(YEAR($C27+4-WEEKDAY($C27,2)),1,1))/7)&amp;"-VIS-C")</f>
        <v>DEZ-S49-VIS-C</v>
      </c>
      <c r="B27" s="60" t="str">
        <f aca="false">IF($C27="","","S"&amp;INT(($C27-WEEKDAY($C27,2)+11-DATE(YEAR($C27+4-WEEKDAY($C27,2)),1,1))/7))</f>
        <v>S49</v>
      </c>
      <c r="C27" s="82" t="n">
        <f aca="false">IF(MONTH(($X$1-WEEKDAY($X$1,3)+0)+2)=MONTH($X$1),($X$1-WEEKDAY($X$1,3)+0)+2,"")</f>
        <v>46358</v>
      </c>
      <c r="D27" s="56" t="str">
        <f aca="false">IF($C27="","","Vistoria Setorial (checklist no setor definido pelo gerente)")</f>
        <v>Vistoria Setorial (checklist no setor definido pelo gerente)</v>
      </c>
      <c r="E27" s="56"/>
      <c r="F27" s="56"/>
      <c r="G27" s="60" t="str">
        <f aca="false">IF($C27="","","C")</f>
        <v>C</v>
      </c>
      <c r="H27" s="60" t="str">
        <f aca="false">IF($C27="","",IF($G27="A",CONFIG!$B$5,IF($G27="B",CONFIG!$B$6,IF($G27="C",CONFIG!$B$7,"Gerência + coordenadores"))))</f>
        <v>(preencha o nome)</v>
      </c>
      <c r="I27" s="60"/>
      <c r="J27" s="86"/>
      <c r="K27" s="83" t="str">
        <f aca="false">IF($C27="","","—")</f>
        <v>—</v>
      </c>
      <c r="L27" s="83" t="str">
        <f aca="false">IF($C27="","","—")</f>
        <v>—</v>
      </c>
      <c r="M27" s="84"/>
      <c r="N27" s="84"/>
      <c r="O27" s="84"/>
      <c r="P27" s="90"/>
      <c r="Q27" s="86"/>
      <c r="R27" s="87"/>
      <c r="S27" s="60" t="str">
        <f aca="true">IF($C27="","",IF($Q27="Cancelada","Cancelada",IF($Q27="Reprovado","Reprovada",IF($Q27="Aprovado","Aprovada",IF($M27&lt;&gt;"","Entregue",IF(TODAY()&gt;$C27,"Atrasada","Pendente"))))))</f>
        <v>Pendente</v>
      </c>
      <c r="T27" s="88"/>
      <c r="U27" s="88"/>
      <c r="V27" s="88"/>
    </row>
    <row r="28" customFormat="false" ht="22.35" hidden="false" customHeight="false" outlineLevel="0" collapsed="false">
      <c r="A28" s="80" t="str">
        <f aca="false">IF($C28="","",$X$2&amp;"-S"&amp;INT(($C28-WEEKDAY($C28,2)+11-DATE(YEAR($C28+4-WEEKDAY($C28,2)),1,1))/7)&amp;"-RSC-A")</f>
        <v>DEZ-S49-RSC-A</v>
      </c>
      <c r="B28" s="81" t="str">
        <f aca="false">IF($C28="","","S"&amp;INT(($C28-WEEKDAY($C28,2)+11-DATE(YEAR($C28+4-WEEKDAY($C28,2)),1,1))/7))</f>
        <v>S49</v>
      </c>
      <c r="C28" s="82" t="n">
        <f aca="false">IF(MONTH(($X$1-WEEKDAY($X$1,3)+0)+3)=MONTH($X$1),($X$1-WEEKDAY($X$1,3)+0)+3,"")</f>
        <v>46359</v>
      </c>
      <c r="D28" s="9" t="str">
        <f aca="false">IF($C28="","","Relatório Semanal Consolidado (erros + metas + faltas + supervisores)")</f>
        <v>Relatório Semanal Consolidado (erros + metas + faltas + supervisores)</v>
      </c>
      <c r="E28" s="9"/>
      <c r="F28" s="9"/>
      <c r="G28" s="81" t="str">
        <f aca="false">IF($C28="","","A")</f>
        <v>A</v>
      </c>
      <c r="H28" s="81" t="str">
        <f aca="false">IF($C28="","",IF($G28="A",CONFIG!$B$5,IF($G28="B",CONFIG!$B$6,IF($G28="C",CONFIG!$B$7,"Gerência + coordenadores"))))</f>
        <v>(preencha o nome)</v>
      </c>
      <c r="I28" s="81"/>
      <c r="J28" s="81" t="str">
        <f aca="false">IF($C28="","","—")</f>
        <v>—</v>
      </c>
      <c r="K28" s="91" t="n">
        <f aca="false">IF($C28="","",SUMIFS(OCORRÊNCIAS!$E$6:$E$605,OCORRÊNCIAS!$B$6:$B$605,"Falta",OCORRÊNCIAS!$C$6:$C$605,$G28,OCORRÊNCIAS!$H$6:$H$605,$B28,OCORRÊNCIAS!$J$6:$J$605,YEAR($C28+4-WEEKDAY($C28,2))))</f>
        <v>0</v>
      </c>
      <c r="L28" s="91" t="n">
        <f aca="false">IF($C28="","",SUMIFS(OCORRÊNCIAS!$E$6:$E$605,OCORRÊNCIAS!$B$6:$B$605,"Atestado",OCORRÊNCIAS!$C$6:$C$605,$G28,OCORRÊNCIAS!$H$6:$H$605,$B28,OCORRÊNCIAS!$J$6:$J$605,YEAR($C28+4-WEEKDAY($C28,2))))</f>
        <v>0</v>
      </c>
      <c r="M28" s="84"/>
      <c r="N28" s="84"/>
      <c r="O28" s="84"/>
      <c r="P28" s="85"/>
      <c r="Q28" s="86"/>
      <c r="R28" s="87"/>
      <c r="S28" s="81" t="str">
        <f aca="true">IF($C28="","",IF($Q28="Cancelada","Cancelada",IF($Q28="Reprovado","Reprovada",IF($Q28="Aprovado","Aprovada",IF($M28&lt;&gt;"","Entregue",IF(TODAY()&gt;$C28,"Atrasada","Pendente"))))))</f>
        <v>Pendente</v>
      </c>
      <c r="T28" s="88"/>
      <c r="U28" s="88"/>
      <c r="V28" s="88"/>
    </row>
    <row r="29" customFormat="false" ht="22.35" hidden="false" customHeight="false" outlineLevel="0" collapsed="false">
      <c r="A29" s="89" t="str">
        <f aca="false">IF($C29="","",$X$2&amp;"-S"&amp;INT(($C29-WEEKDAY($C29,2)+11-DATE(YEAR($C29+4-WEEKDAY($C29,2)),1,1))/7)&amp;"-RSC-B")</f>
        <v>DEZ-S49-RSC-B</v>
      </c>
      <c r="B29" s="60" t="str">
        <f aca="false">IF($C29="","","S"&amp;INT(($C29-WEEKDAY($C29,2)+11-DATE(YEAR($C29+4-WEEKDAY($C29,2)),1,1))/7))</f>
        <v>S49</v>
      </c>
      <c r="C29" s="82" t="n">
        <f aca="false">IF(MONTH(($X$1-WEEKDAY($X$1,3)+0)+3)=MONTH($X$1),($X$1-WEEKDAY($X$1,3)+0)+3,"")</f>
        <v>46359</v>
      </c>
      <c r="D29" s="56" t="str">
        <f aca="false">IF($C29="","","Relatório Semanal Consolidado (erros + metas + faltas + supervisores)")</f>
        <v>Relatório Semanal Consolidado (erros + metas + faltas + supervisores)</v>
      </c>
      <c r="E29" s="56"/>
      <c r="F29" s="56"/>
      <c r="G29" s="60" t="str">
        <f aca="false">IF($C29="","","B")</f>
        <v>B</v>
      </c>
      <c r="H29" s="60" t="str">
        <f aca="false">IF($C29="","",IF($G29="A",CONFIG!$B$5,IF($G29="B",CONFIG!$B$6,IF($G29="C",CONFIG!$B$7,"Gerência + coordenadores"))))</f>
        <v>(preencha o nome)</v>
      </c>
      <c r="I29" s="60"/>
      <c r="J29" s="81" t="str">
        <f aca="false">IF($C29="","","—")</f>
        <v>—</v>
      </c>
      <c r="K29" s="91" t="n">
        <f aca="false">IF($C29="","",SUMIFS(OCORRÊNCIAS!$E$6:$E$605,OCORRÊNCIAS!$B$6:$B$605,"Falta",OCORRÊNCIAS!$C$6:$C$605,$G29,OCORRÊNCIAS!$H$6:$H$605,$B29,OCORRÊNCIAS!$J$6:$J$605,YEAR($C29+4-WEEKDAY($C29,2))))</f>
        <v>0</v>
      </c>
      <c r="L29" s="91" t="n">
        <f aca="false">IF($C29="","",SUMIFS(OCORRÊNCIAS!$E$6:$E$605,OCORRÊNCIAS!$B$6:$B$605,"Atestado",OCORRÊNCIAS!$C$6:$C$605,$G29,OCORRÊNCIAS!$H$6:$H$605,$B29,OCORRÊNCIAS!$J$6:$J$605,YEAR($C29+4-WEEKDAY($C29,2))))</f>
        <v>0</v>
      </c>
      <c r="M29" s="84"/>
      <c r="N29" s="84"/>
      <c r="O29" s="84"/>
      <c r="P29" s="90"/>
      <c r="Q29" s="86"/>
      <c r="R29" s="87"/>
      <c r="S29" s="60" t="str">
        <f aca="true">IF($C29="","",IF($Q29="Cancelada","Cancelada",IF($Q29="Reprovado","Reprovada",IF($Q29="Aprovado","Aprovada",IF($M29&lt;&gt;"","Entregue",IF(TODAY()&gt;$C29,"Atrasada","Pendente"))))))</f>
        <v>Pendente</v>
      </c>
      <c r="T29" s="88"/>
      <c r="U29" s="88"/>
      <c r="V29" s="88"/>
    </row>
    <row r="30" customFormat="false" ht="22.35" hidden="false" customHeight="false" outlineLevel="0" collapsed="false">
      <c r="A30" s="80" t="str">
        <f aca="false">IF($C30="","",$X$2&amp;"-S"&amp;INT(($C30-WEEKDAY($C30,2)+11-DATE(YEAR($C30+4-WEEKDAY($C30,2)),1,1))/7)&amp;"-RSC-C")</f>
        <v>DEZ-S49-RSC-C</v>
      </c>
      <c r="B30" s="81" t="str">
        <f aca="false">IF($C30="","","S"&amp;INT(($C30-WEEKDAY($C30,2)+11-DATE(YEAR($C30+4-WEEKDAY($C30,2)),1,1))/7))</f>
        <v>S49</v>
      </c>
      <c r="C30" s="82" t="n">
        <f aca="false">IF(MONTH(($X$1-WEEKDAY($X$1,3)+0)+3)=MONTH($X$1),($X$1-WEEKDAY($X$1,3)+0)+3,"")</f>
        <v>46359</v>
      </c>
      <c r="D30" s="9" t="str">
        <f aca="false">IF($C30="","","Relatório Semanal Consolidado (erros + metas + faltas + supervisores)")</f>
        <v>Relatório Semanal Consolidado (erros + metas + faltas + supervisores)</v>
      </c>
      <c r="E30" s="9"/>
      <c r="F30" s="9"/>
      <c r="G30" s="81" t="str">
        <f aca="false">IF($C30="","","C")</f>
        <v>C</v>
      </c>
      <c r="H30" s="81" t="str">
        <f aca="false">IF($C30="","",IF($G30="A",CONFIG!$B$5,IF($G30="B",CONFIG!$B$6,IF($G30="C",CONFIG!$B$7,"Gerência + coordenadores"))))</f>
        <v>(preencha o nome)</v>
      </c>
      <c r="I30" s="81"/>
      <c r="J30" s="81" t="str">
        <f aca="false">IF($C30="","","—")</f>
        <v>—</v>
      </c>
      <c r="K30" s="91" t="n">
        <f aca="false">IF($C30="","",SUMIFS(OCORRÊNCIAS!$E$6:$E$605,OCORRÊNCIAS!$B$6:$B$605,"Falta",OCORRÊNCIAS!$C$6:$C$605,$G30,OCORRÊNCIAS!$H$6:$H$605,$B30,OCORRÊNCIAS!$J$6:$J$605,YEAR($C30+4-WEEKDAY($C30,2))))</f>
        <v>0</v>
      </c>
      <c r="L30" s="91" t="n">
        <f aca="false">IF($C30="","",SUMIFS(OCORRÊNCIAS!$E$6:$E$605,OCORRÊNCIAS!$B$6:$B$605,"Atestado",OCORRÊNCIAS!$C$6:$C$605,$G30,OCORRÊNCIAS!$H$6:$H$605,$B30,OCORRÊNCIAS!$J$6:$J$605,YEAR($C30+4-WEEKDAY($C30,2))))</f>
        <v>0</v>
      </c>
      <c r="M30" s="84"/>
      <c r="N30" s="84"/>
      <c r="O30" s="84"/>
      <c r="P30" s="85"/>
      <c r="Q30" s="86"/>
      <c r="R30" s="87"/>
      <c r="S30" s="81" t="str">
        <f aca="true">IF($C30="","",IF($Q30="Cancelada","Cancelada",IF($Q30="Reprovado","Reprovada",IF($Q30="Aprovado","Aprovada",IF($M30&lt;&gt;"","Entregue",IF(TODAY()&gt;$C30,"Atrasada","Pendente"))))))</f>
        <v>Pendente</v>
      </c>
      <c r="T30" s="88"/>
      <c r="U30" s="88"/>
      <c r="V30" s="88"/>
    </row>
    <row r="31" customFormat="false" ht="22.35" hidden="false" customHeight="false" outlineLevel="0" collapsed="false">
      <c r="A31" s="89" t="str">
        <f aca="false">IF($C31="","",$X$2&amp;"-S"&amp;INT(($C31-WEEKDAY($C31,2)+11-DATE(YEAR($C31+4-WEEKDAY($C31,2)),1,1))/7)&amp;"-REU-T")</f>
        <v>DEZ-S49-REU-T</v>
      </c>
      <c r="B31" s="60" t="str">
        <f aca="false">IF($C31="","","S"&amp;INT(($C31-WEEKDAY($C31,2)+11-DATE(YEAR($C31+4-WEEKDAY($C31,2)),1,1))/7))</f>
        <v>S49</v>
      </c>
      <c r="C31" s="82" t="n">
        <f aca="false">IF(MONTH(($X$1-WEEKDAY($X$1,3)+0)+4)=MONTH($X$1),($X$1-WEEKDAY($X$1,3)+0)+4,"")</f>
        <v>46360</v>
      </c>
      <c r="D31" s="56" t="str">
        <f aca="false">IF($C31="","","Reunião Semanal com a Gerência")</f>
        <v>Reunião Semanal com a Gerência</v>
      </c>
      <c r="E31" s="56"/>
      <c r="F31" s="56"/>
      <c r="G31" s="60" t="str">
        <f aca="false">IF($C31="","","Todos")</f>
        <v>Todos</v>
      </c>
      <c r="H31" s="60" t="str">
        <f aca="false">IF($C31="","",IF($G31="A",CONFIG!$B$5,IF($G31="B",CONFIG!$B$6,IF($G31="C",CONFIG!$B$7,"Gerência + coordenadores"))))</f>
        <v>Gerência + coordenadores</v>
      </c>
      <c r="I31" s="60"/>
      <c r="J31" s="81" t="str">
        <f aca="false">IF($C31="","","—")</f>
        <v>—</v>
      </c>
      <c r="K31" s="83" t="str">
        <f aca="false">IF($C31="","","—")</f>
        <v>—</v>
      </c>
      <c r="L31" s="83" t="str">
        <f aca="false">IF($C31="","","—")</f>
        <v>—</v>
      </c>
      <c r="M31" s="84"/>
      <c r="N31" s="84"/>
      <c r="O31" s="84"/>
      <c r="P31" s="90"/>
      <c r="Q31" s="86"/>
      <c r="R31" s="87"/>
      <c r="S31" s="60" t="str">
        <f aca="true">IF($C31="","",IF($Q31="Cancelada","Cancelada",IF($Q31="Reprovado","Reprovada",IF($Q31="Aprovado","Aprovada",IF($M31&lt;&gt;"","Entregue",IF(TODAY()&gt;$C31,"Atrasada","Pendente"))))))</f>
        <v>Pendente</v>
      </c>
      <c r="T31" s="88"/>
      <c r="U31" s="88"/>
      <c r="V31" s="88"/>
    </row>
    <row r="32" customFormat="false" ht="22.35" hidden="false" customHeight="false" outlineLevel="0" collapsed="false">
      <c r="A32" s="80" t="str">
        <f aca="false">IF($C32="","",$X$2&amp;"-S"&amp;INT(($C32-WEEKDAY($C32,2)+11-DATE(YEAR($C32+4-WEEKDAY($C32,2)),1,1))/7)&amp;"-VIS-A")</f>
        <v>DEZ-S50-VIS-A</v>
      </c>
      <c r="B32" s="81" t="str">
        <f aca="false">IF($C32="","","S"&amp;INT(($C32-WEEKDAY($C32,2)+11-DATE(YEAR($C32+4-WEEKDAY($C32,2)),1,1))/7))</f>
        <v>S50</v>
      </c>
      <c r="C32" s="82" t="n">
        <f aca="false">IF(MONTH(($X$1-WEEKDAY($X$1,3)+7)+2)=MONTH($X$1),($X$1-WEEKDAY($X$1,3)+7)+2,"")</f>
        <v>46365</v>
      </c>
      <c r="D32" s="9" t="str">
        <f aca="false">IF($C32="","","Vistoria Setorial (checklist no setor definido pelo gerente)")</f>
        <v>Vistoria Setorial (checklist no setor definido pelo gerente)</v>
      </c>
      <c r="E32" s="9"/>
      <c r="F32" s="9"/>
      <c r="G32" s="81" t="str">
        <f aca="false">IF($C32="","","A")</f>
        <v>A</v>
      </c>
      <c r="H32" s="81" t="str">
        <f aca="false">IF($C32="","",IF($G32="A",CONFIG!$B$5,IF($G32="B",CONFIG!$B$6,IF($G32="C",CONFIG!$B$7,"Gerência + coordenadores"))))</f>
        <v>(preencha o nome)</v>
      </c>
      <c r="I32" s="81"/>
      <c r="J32" s="86"/>
      <c r="K32" s="83" t="str">
        <f aca="false">IF($C32="","","—")</f>
        <v>—</v>
      </c>
      <c r="L32" s="83" t="str">
        <f aca="false">IF($C32="","","—")</f>
        <v>—</v>
      </c>
      <c r="M32" s="84"/>
      <c r="N32" s="84"/>
      <c r="O32" s="84"/>
      <c r="P32" s="85"/>
      <c r="Q32" s="86"/>
      <c r="R32" s="87"/>
      <c r="S32" s="81" t="str">
        <f aca="true">IF($C32="","",IF($Q32="Cancelada","Cancelada",IF($Q32="Reprovado","Reprovada",IF($Q32="Aprovado","Aprovada",IF($M32&lt;&gt;"","Entregue",IF(TODAY()&gt;$C32,"Atrasada","Pendente"))))))</f>
        <v>Pendente</v>
      </c>
      <c r="T32" s="88"/>
      <c r="U32" s="88"/>
      <c r="V32" s="88"/>
    </row>
    <row r="33" customFormat="false" ht="22.35" hidden="false" customHeight="false" outlineLevel="0" collapsed="false">
      <c r="A33" s="89" t="str">
        <f aca="false">IF($C33="","",$X$2&amp;"-S"&amp;INT(($C33-WEEKDAY($C33,2)+11-DATE(YEAR($C33+4-WEEKDAY($C33,2)),1,1))/7)&amp;"-VIS-B")</f>
        <v>DEZ-S50-VIS-B</v>
      </c>
      <c r="B33" s="60" t="str">
        <f aca="false">IF($C33="","","S"&amp;INT(($C33-WEEKDAY($C33,2)+11-DATE(YEAR($C33+4-WEEKDAY($C33,2)),1,1))/7))</f>
        <v>S50</v>
      </c>
      <c r="C33" s="82" t="n">
        <f aca="false">IF(MONTH(($X$1-WEEKDAY($X$1,3)+7)+2)=MONTH($X$1),($X$1-WEEKDAY($X$1,3)+7)+2,"")</f>
        <v>46365</v>
      </c>
      <c r="D33" s="56" t="str">
        <f aca="false">IF($C33="","","Vistoria Setorial (checklist no setor definido pelo gerente)")</f>
        <v>Vistoria Setorial (checklist no setor definido pelo gerente)</v>
      </c>
      <c r="E33" s="56"/>
      <c r="F33" s="56"/>
      <c r="G33" s="60" t="str">
        <f aca="false">IF($C33="","","B")</f>
        <v>B</v>
      </c>
      <c r="H33" s="60" t="str">
        <f aca="false">IF($C33="","",IF($G33="A",CONFIG!$B$5,IF($G33="B",CONFIG!$B$6,IF($G33="C",CONFIG!$B$7,"Gerência + coordenadores"))))</f>
        <v>(preencha o nome)</v>
      </c>
      <c r="I33" s="60"/>
      <c r="J33" s="86"/>
      <c r="K33" s="83" t="str">
        <f aca="false">IF($C33="","","—")</f>
        <v>—</v>
      </c>
      <c r="L33" s="83" t="str">
        <f aca="false">IF($C33="","","—")</f>
        <v>—</v>
      </c>
      <c r="M33" s="84"/>
      <c r="N33" s="84"/>
      <c r="O33" s="84"/>
      <c r="P33" s="90"/>
      <c r="Q33" s="86"/>
      <c r="R33" s="87"/>
      <c r="S33" s="60" t="str">
        <f aca="true">IF($C33="","",IF($Q33="Cancelada","Cancelada",IF($Q33="Reprovado","Reprovada",IF($Q33="Aprovado","Aprovada",IF($M33&lt;&gt;"","Entregue",IF(TODAY()&gt;$C33,"Atrasada","Pendente"))))))</f>
        <v>Pendente</v>
      </c>
      <c r="T33" s="88"/>
      <c r="U33" s="88"/>
      <c r="V33" s="88"/>
    </row>
    <row r="34" customFormat="false" ht="22.35" hidden="false" customHeight="false" outlineLevel="0" collapsed="false">
      <c r="A34" s="80" t="str">
        <f aca="false">IF($C34="","",$X$2&amp;"-S"&amp;INT(($C34-WEEKDAY($C34,2)+11-DATE(YEAR($C34+4-WEEKDAY($C34,2)),1,1))/7)&amp;"-VIS-C")</f>
        <v>DEZ-S50-VIS-C</v>
      </c>
      <c r="B34" s="81" t="str">
        <f aca="false">IF($C34="","","S"&amp;INT(($C34-WEEKDAY($C34,2)+11-DATE(YEAR($C34+4-WEEKDAY($C34,2)),1,1))/7))</f>
        <v>S50</v>
      </c>
      <c r="C34" s="82" t="n">
        <f aca="false">IF(MONTH(($X$1-WEEKDAY($X$1,3)+7)+2)=MONTH($X$1),($X$1-WEEKDAY($X$1,3)+7)+2,"")</f>
        <v>46365</v>
      </c>
      <c r="D34" s="9" t="str">
        <f aca="false">IF($C34="","","Vistoria Setorial (checklist no setor definido pelo gerente)")</f>
        <v>Vistoria Setorial (checklist no setor definido pelo gerente)</v>
      </c>
      <c r="E34" s="9"/>
      <c r="F34" s="9"/>
      <c r="G34" s="81" t="str">
        <f aca="false">IF($C34="","","C")</f>
        <v>C</v>
      </c>
      <c r="H34" s="81" t="str">
        <f aca="false">IF($C34="","",IF($G34="A",CONFIG!$B$5,IF($G34="B",CONFIG!$B$6,IF($G34="C",CONFIG!$B$7,"Gerência + coordenadores"))))</f>
        <v>(preencha o nome)</v>
      </c>
      <c r="I34" s="81"/>
      <c r="J34" s="86"/>
      <c r="K34" s="83" t="str">
        <f aca="false">IF($C34="","","—")</f>
        <v>—</v>
      </c>
      <c r="L34" s="83" t="str">
        <f aca="false">IF($C34="","","—")</f>
        <v>—</v>
      </c>
      <c r="M34" s="84"/>
      <c r="N34" s="84"/>
      <c r="O34" s="84"/>
      <c r="P34" s="85"/>
      <c r="Q34" s="86"/>
      <c r="R34" s="87"/>
      <c r="S34" s="81" t="str">
        <f aca="true">IF($C34="","",IF($Q34="Cancelada","Cancelada",IF($Q34="Reprovado","Reprovada",IF($Q34="Aprovado","Aprovada",IF($M34&lt;&gt;"","Entregue",IF(TODAY()&gt;$C34,"Atrasada","Pendente"))))))</f>
        <v>Pendente</v>
      </c>
      <c r="T34" s="88"/>
      <c r="U34" s="88"/>
      <c r="V34" s="88"/>
    </row>
    <row r="35" customFormat="false" ht="22.35" hidden="false" customHeight="false" outlineLevel="0" collapsed="false">
      <c r="A35" s="89" t="str">
        <f aca="false">IF($C35="","",$X$2&amp;"-S"&amp;INT(($C35-WEEKDAY($C35,2)+11-DATE(YEAR($C35+4-WEEKDAY($C35,2)),1,1))/7)&amp;"-RSC-A")</f>
        <v>DEZ-S50-RSC-A</v>
      </c>
      <c r="B35" s="60" t="str">
        <f aca="false">IF($C35="","","S"&amp;INT(($C35-WEEKDAY($C35,2)+11-DATE(YEAR($C35+4-WEEKDAY($C35,2)),1,1))/7))</f>
        <v>S50</v>
      </c>
      <c r="C35" s="82" t="n">
        <f aca="false">IF(MONTH(($X$1-WEEKDAY($X$1,3)+7)+3)=MONTH($X$1),($X$1-WEEKDAY($X$1,3)+7)+3,"")</f>
        <v>46366</v>
      </c>
      <c r="D35" s="56" t="str">
        <f aca="false">IF($C35="","","Relatório Semanal Consolidado (erros + metas + faltas + supervisores)")</f>
        <v>Relatório Semanal Consolidado (erros + metas + faltas + supervisores)</v>
      </c>
      <c r="E35" s="56"/>
      <c r="F35" s="56"/>
      <c r="G35" s="60" t="str">
        <f aca="false">IF($C35="","","A")</f>
        <v>A</v>
      </c>
      <c r="H35" s="60" t="str">
        <f aca="false">IF($C35="","",IF($G35="A",CONFIG!$B$5,IF($G35="B",CONFIG!$B$6,IF($G35="C",CONFIG!$B$7,"Gerência + coordenadores"))))</f>
        <v>(preencha o nome)</v>
      </c>
      <c r="I35" s="60"/>
      <c r="J35" s="81" t="str">
        <f aca="false">IF($C35="","","—")</f>
        <v>—</v>
      </c>
      <c r="K35" s="91" t="n">
        <f aca="false">IF($C35="","",SUMIFS(OCORRÊNCIAS!$E$6:$E$605,OCORRÊNCIAS!$B$6:$B$605,"Falta",OCORRÊNCIAS!$C$6:$C$605,$G35,OCORRÊNCIAS!$H$6:$H$605,$B35,OCORRÊNCIAS!$J$6:$J$605,YEAR($C35+4-WEEKDAY($C35,2))))</f>
        <v>0</v>
      </c>
      <c r="L35" s="91" t="n">
        <f aca="false">IF($C35="","",SUMIFS(OCORRÊNCIAS!$E$6:$E$605,OCORRÊNCIAS!$B$6:$B$605,"Atestado",OCORRÊNCIAS!$C$6:$C$605,$G35,OCORRÊNCIAS!$H$6:$H$605,$B35,OCORRÊNCIAS!$J$6:$J$605,YEAR($C35+4-WEEKDAY($C35,2))))</f>
        <v>0</v>
      </c>
      <c r="M35" s="84"/>
      <c r="N35" s="84"/>
      <c r="O35" s="84"/>
      <c r="P35" s="90"/>
      <c r="Q35" s="86"/>
      <c r="R35" s="87"/>
      <c r="S35" s="60" t="str">
        <f aca="true">IF($C35="","",IF($Q35="Cancelada","Cancelada",IF($Q35="Reprovado","Reprovada",IF($Q35="Aprovado","Aprovada",IF($M35&lt;&gt;"","Entregue",IF(TODAY()&gt;$C35,"Atrasada","Pendente"))))))</f>
        <v>Pendente</v>
      </c>
      <c r="T35" s="88"/>
      <c r="U35" s="88"/>
      <c r="V35" s="88"/>
    </row>
    <row r="36" customFormat="false" ht="22.35" hidden="false" customHeight="false" outlineLevel="0" collapsed="false">
      <c r="A36" s="80" t="str">
        <f aca="false">IF($C36="","",$X$2&amp;"-S"&amp;INT(($C36-WEEKDAY($C36,2)+11-DATE(YEAR($C36+4-WEEKDAY($C36,2)),1,1))/7)&amp;"-RSC-B")</f>
        <v>DEZ-S50-RSC-B</v>
      </c>
      <c r="B36" s="81" t="str">
        <f aca="false">IF($C36="","","S"&amp;INT(($C36-WEEKDAY($C36,2)+11-DATE(YEAR($C36+4-WEEKDAY($C36,2)),1,1))/7))</f>
        <v>S50</v>
      </c>
      <c r="C36" s="82" t="n">
        <f aca="false">IF(MONTH(($X$1-WEEKDAY($X$1,3)+7)+3)=MONTH($X$1),($X$1-WEEKDAY($X$1,3)+7)+3,"")</f>
        <v>46366</v>
      </c>
      <c r="D36" s="9" t="str">
        <f aca="false">IF($C36="","","Relatório Semanal Consolidado (erros + metas + faltas + supervisores)")</f>
        <v>Relatório Semanal Consolidado (erros + metas + faltas + supervisores)</v>
      </c>
      <c r="E36" s="9"/>
      <c r="F36" s="9"/>
      <c r="G36" s="81" t="str">
        <f aca="false">IF($C36="","","B")</f>
        <v>B</v>
      </c>
      <c r="H36" s="81" t="str">
        <f aca="false">IF($C36="","",IF($G36="A",CONFIG!$B$5,IF($G36="B",CONFIG!$B$6,IF($G36="C",CONFIG!$B$7,"Gerência + coordenadores"))))</f>
        <v>(preencha o nome)</v>
      </c>
      <c r="I36" s="81"/>
      <c r="J36" s="81" t="str">
        <f aca="false">IF($C36="","","—")</f>
        <v>—</v>
      </c>
      <c r="K36" s="91" t="n">
        <f aca="false">IF($C36="","",SUMIFS(OCORRÊNCIAS!$E$6:$E$605,OCORRÊNCIAS!$B$6:$B$605,"Falta",OCORRÊNCIAS!$C$6:$C$605,$G36,OCORRÊNCIAS!$H$6:$H$605,$B36,OCORRÊNCIAS!$J$6:$J$605,YEAR($C36+4-WEEKDAY($C36,2))))</f>
        <v>0</v>
      </c>
      <c r="L36" s="91" t="n">
        <f aca="false">IF($C36="","",SUMIFS(OCORRÊNCIAS!$E$6:$E$605,OCORRÊNCIAS!$B$6:$B$605,"Atestado",OCORRÊNCIAS!$C$6:$C$605,$G36,OCORRÊNCIAS!$H$6:$H$605,$B36,OCORRÊNCIAS!$J$6:$J$605,YEAR($C36+4-WEEKDAY($C36,2))))</f>
        <v>0</v>
      </c>
      <c r="M36" s="84"/>
      <c r="N36" s="84"/>
      <c r="O36" s="84"/>
      <c r="P36" s="85"/>
      <c r="Q36" s="86"/>
      <c r="R36" s="87"/>
      <c r="S36" s="81" t="str">
        <f aca="true">IF($C36="","",IF($Q36="Cancelada","Cancelada",IF($Q36="Reprovado","Reprovada",IF($Q36="Aprovado","Aprovada",IF($M36&lt;&gt;"","Entregue",IF(TODAY()&gt;$C36,"Atrasada","Pendente"))))))</f>
        <v>Pendente</v>
      </c>
      <c r="T36" s="88"/>
      <c r="U36" s="88"/>
      <c r="V36" s="88"/>
    </row>
    <row r="37" customFormat="false" ht="22.35" hidden="false" customHeight="false" outlineLevel="0" collapsed="false">
      <c r="A37" s="89" t="str">
        <f aca="false">IF($C37="","",$X$2&amp;"-S"&amp;INT(($C37-WEEKDAY($C37,2)+11-DATE(YEAR($C37+4-WEEKDAY($C37,2)),1,1))/7)&amp;"-RSC-C")</f>
        <v>DEZ-S50-RSC-C</v>
      </c>
      <c r="B37" s="60" t="str">
        <f aca="false">IF($C37="","","S"&amp;INT(($C37-WEEKDAY($C37,2)+11-DATE(YEAR($C37+4-WEEKDAY($C37,2)),1,1))/7))</f>
        <v>S50</v>
      </c>
      <c r="C37" s="82" t="n">
        <f aca="false">IF(MONTH(($X$1-WEEKDAY($X$1,3)+7)+3)=MONTH($X$1),($X$1-WEEKDAY($X$1,3)+7)+3,"")</f>
        <v>46366</v>
      </c>
      <c r="D37" s="56" t="str">
        <f aca="false">IF($C37="","","Relatório Semanal Consolidado (erros + metas + faltas + supervisores)")</f>
        <v>Relatório Semanal Consolidado (erros + metas + faltas + supervisores)</v>
      </c>
      <c r="E37" s="56"/>
      <c r="F37" s="56"/>
      <c r="G37" s="60" t="str">
        <f aca="false">IF($C37="","","C")</f>
        <v>C</v>
      </c>
      <c r="H37" s="60" t="str">
        <f aca="false">IF($C37="","",IF($G37="A",CONFIG!$B$5,IF($G37="B",CONFIG!$B$6,IF($G37="C",CONFIG!$B$7,"Gerência + coordenadores"))))</f>
        <v>(preencha o nome)</v>
      </c>
      <c r="I37" s="60"/>
      <c r="J37" s="81" t="str">
        <f aca="false">IF($C37="","","—")</f>
        <v>—</v>
      </c>
      <c r="K37" s="91" t="n">
        <f aca="false">IF($C37="","",SUMIFS(OCORRÊNCIAS!$E$6:$E$605,OCORRÊNCIAS!$B$6:$B$605,"Falta",OCORRÊNCIAS!$C$6:$C$605,$G37,OCORRÊNCIAS!$H$6:$H$605,$B37,OCORRÊNCIAS!$J$6:$J$605,YEAR($C37+4-WEEKDAY($C37,2))))</f>
        <v>0</v>
      </c>
      <c r="L37" s="91" t="n">
        <f aca="false">IF($C37="","",SUMIFS(OCORRÊNCIAS!$E$6:$E$605,OCORRÊNCIAS!$B$6:$B$605,"Atestado",OCORRÊNCIAS!$C$6:$C$605,$G37,OCORRÊNCIAS!$H$6:$H$605,$B37,OCORRÊNCIAS!$J$6:$J$605,YEAR($C37+4-WEEKDAY($C37,2))))</f>
        <v>0</v>
      </c>
      <c r="M37" s="84"/>
      <c r="N37" s="84"/>
      <c r="O37" s="84"/>
      <c r="P37" s="90"/>
      <c r="Q37" s="86"/>
      <c r="R37" s="87"/>
      <c r="S37" s="60" t="str">
        <f aca="true">IF($C37="","",IF($Q37="Cancelada","Cancelada",IF($Q37="Reprovado","Reprovada",IF($Q37="Aprovado","Aprovada",IF($M37&lt;&gt;"","Entregue",IF(TODAY()&gt;$C37,"Atrasada","Pendente"))))))</f>
        <v>Pendente</v>
      </c>
      <c r="T37" s="88"/>
      <c r="U37" s="88"/>
      <c r="V37" s="88"/>
    </row>
    <row r="38" customFormat="false" ht="22.35" hidden="false" customHeight="false" outlineLevel="0" collapsed="false">
      <c r="A38" s="80" t="str">
        <f aca="false">IF($C38="","",$X$2&amp;"-S"&amp;INT(($C38-WEEKDAY($C38,2)+11-DATE(YEAR($C38+4-WEEKDAY($C38,2)),1,1))/7)&amp;"-REU-T")</f>
        <v>DEZ-S50-REU-T</v>
      </c>
      <c r="B38" s="81" t="str">
        <f aca="false">IF($C38="","","S"&amp;INT(($C38-WEEKDAY($C38,2)+11-DATE(YEAR($C38+4-WEEKDAY($C38,2)),1,1))/7))</f>
        <v>S50</v>
      </c>
      <c r="C38" s="82" t="n">
        <f aca="false">IF(MONTH(($X$1-WEEKDAY($X$1,3)+7)+4)=MONTH($X$1),($X$1-WEEKDAY($X$1,3)+7)+4,"")</f>
        <v>46367</v>
      </c>
      <c r="D38" s="9" t="str">
        <f aca="false">IF($C38="","","Reunião Semanal com a Gerência")</f>
        <v>Reunião Semanal com a Gerência</v>
      </c>
      <c r="E38" s="9"/>
      <c r="F38" s="9"/>
      <c r="G38" s="81" t="str">
        <f aca="false">IF($C38="","","Todos")</f>
        <v>Todos</v>
      </c>
      <c r="H38" s="81" t="str">
        <f aca="false">IF($C38="","",IF($G38="A",CONFIG!$B$5,IF($G38="B",CONFIG!$B$6,IF($G38="C",CONFIG!$B$7,"Gerência + coordenadores"))))</f>
        <v>Gerência + coordenadores</v>
      </c>
      <c r="I38" s="81"/>
      <c r="J38" s="81" t="str">
        <f aca="false">IF($C38="","","—")</f>
        <v>—</v>
      </c>
      <c r="K38" s="83" t="str">
        <f aca="false">IF($C38="","","—")</f>
        <v>—</v>
      </c>
      <c r="L38" s="83" t="str">
        <f aca="false">IF($C38="","","—")</f>
        <v>—</v>
      </c>
      <c r="M38" s="84"/>
      <c r="N38" s="84"/>
      <c r="O38" s="84"/>
      <c r="P38" s="85"/>
      <c r="Q38" s="86"/>
      <c r="R38" s="87"/>
      <c r="S38" s="81" t="str">
        <f aca="true">IF($C38="","",IF($Q38="Cancelada","Cancelada",IF($Q38="Reprovado","Reprovada",IF($Q38="Aprovado","Aprovada",IF($M38&lt;&gt;"","Entregue",IF(TODAY()&gt;$C38,"Atrasada","Pendente"))))))</f>
        <v>Pendente</v>
      </c>
      <c r="T38" s="88"/>
      <c r="U38" s="88"/>
      <c r="V38" s="88"/>
    </row>
    <row r="39" customFormat="false" ht="22.35" hidden="false" customHeight="false" outlineLevel="0" collapsed="false">
      <c r="A39" s="89" t="str">
        <f aca="false">IF($C39="","",$X$2&amp;"-S"&amp;INT(($C39-WEEKDAY($C39,2)+11-DATE(YEAR($C39+4-WEEKDAY($C39,2)),1,1))/7)&amp;"-VIS-A")</f>
        <v>DEZ-S51-VIS-A</v>
      </c>
      <c r="B39" s="60" t="str">
        <f aca="false">IF($C39="","","S"&amp;INT(($C39-WEEKDAY($C39,2)+11-DATE(YEAR($C39+4-WEEKDAY($C39,2)),1,1))/7))</f>
        <v>S51</v>
      </c>
      <c r="C39" s="82" t="n">
        <f aca="false">IF(MONTH(($X$1-WEEKDAY($X$1,3)+14)+2)=MONTH($X$1),($X$1-WEEKDAY($X$1,3)+14)+2,"")</f>
        <v>46372</v>
      </c>
      <c r="D39" s="56" t="str">
        <f aca="false">IF($C39="","","Vistoria Setorial (checklist no setor definido pelo gerente)")</f>
        <v>Vistoria Setorial (checklist no setor definido pelo gerente)</v>
      </c>
      <c r="E39" s="56"/>
      <c r="F39" s="56"/>
      <c r="G39" s="60" t="str">
        <f aca="false">IF($C39="","","A")</f>
        <v>A</v>
      </c>
      <c r="H39" s="60" t="str">
        <f aca="false">IF($C39="","",IF($G39="A",CONFIG!$B$5,IF($G39="B",CONFIG!$B$6,IF($G39="C",CONFIG!$B$7,"Gerência + coordenadores"))))</f>
        <v>(preencha o nome)</v>
      </c>
      <c r="I39" s="60"/>
      <c r="J39" s="86"/>
      <c r="K39" s="83" t="str">
        <f aca="false">IF($C39="","","—")</f>
        <v>—</v>
      </c>
      <c r="L39" s="83" t="str">
        <f aca="false">IF($C39="","","—")</f>
        <v>—</v>
      </c>
      <c r="M39" s="84"/>
      <c r="N39" s="84"/>
      <c r="O39" s="84"/>
      <c r="P39" s="90"/>
      <c r="Q39" s="86"/>
      <c r="R39" s="87"/>
      <c r="S39" s="60" t="str">
        <f aca="true">IF($C39="","",IF($Q39="Cancelada","Cancelada",IF($Q39="Reprovado","Reprovada",IF($Q39="Aprovado","Aprovada",IF($M39&lt;&gt;"","Entregue",IF(TODAY()&gt;$C39,"Atrasada","Pendente"))))))</f>
        <v>Pendente</v>
      </c>
      <c r="T39" s="88"/>
      <c r="U39" s="88"/>
      <c r="V39" s="88"/>
    </row>
    <row r="40" customFormat="false" ht="22.35" hidden="false" customHeight="false" outlineLevel="0" collapsed="false">
      <c r="A40" s="80" t="str">
        <f aca="false">IF($C40="","",$X$2&amp;"-S"&amp;INT(($C40-WEEKDAY($C40,2)+11-DATE(YEAR($C40+4-WEEKDAY($C40,2)),1,1))/7)&amp;"-VIS-B")</f>
        <v>DEZ-S51-VIS-B</v>
      </c>
      <c r="B40" s="81" t="str">
        <f aca="false">IF($C40="","","S"&amp;INT(($C40-WEEKDAY($C40,2)+11-DATE(YEAR($C40+4-WEEKDAY($C40,2)),1,1))/7))</f>
        <v>S51</v>
      </c>
      <c r="C40" s="82" t="n">
        <f aca="false">IF(MONTH(($X$1-WEEKDAY($X$1,3)+14)+2)=MONTH($X$1),($X$1-WEEKDAY($X$1,3)+14)+2,"")</f>
        <v>46372</v>
      </c>
      <c r="D40" s="9" t="str">
        <f aca="false">IF($C40="","","Vistoria Setorial (checklist no setor definido pelo gerente)")</f>
        <v>Vistoria Setorial (checklist no setor definido pelo gerente)</v>
      </c>
      <c r="E40" s="9"/>
      <c r="F40" s="9"/>
      <c r="G40" s="81" t="str">
        <f aca="false">IF($C40="","","B")</f>
        <v>B</v>
      </c>
      <c r="H40" s="81" t="str">
        <f aca="false">IF($C40="","",IF($G40="A",CONFIG!$B$5,IF($G40="B",CONFIG!$B$6,IF($G40="C",CONFIG!$B$7,"Gerência + coordenadores"))))</f>
        <v>(preencha o nome)</v>
      </c>
      <c r="I40" s="81"/>
      <c r="J40" s="86"/>
      <c r="K40" s="83" t="str">
        <f aca="false">IF($C40="","","—")</f>
        <v>—</v>
      </c>
      <c r="L40" s="83" t="str">
        <f aca="false">IF($C40="","","—")</f>
        <v>—</v>
      </c>
      <c r="M40" s="84"/>
      <c r="N40" s="84"/>
      <c r="O40" s="84"/>
      <c r="P40" s="85"/>
      <c r="Q40" s="86"/>
      <c r="R40" s="87"/>
      <c r="S40" s="81" t="str">
        <f aca="true">IF($C40="","",IF($Q40="Cancelada","Cancelada",IF($Q40="Reprovado","Reprovada",IF($Q40="Aprovado","Aprovada",IF($M40&lt;&gt;"","Entregue",IF(TODAY()&gt;$C40,"Atrasada","Pendente"))))))</f>
        <v>Pendente</v>
      </c>
      <c r="T40" s="88"/>
      <c r="U40" s="88"/>
      <c r="V40" s="88"/>
    </row>
    <row r="41" customFormat="false" ht="22.35" hidden="false" customHeight="false" outlineLevel="0" collapsed="false">
      <c r="A41" s="89" t="str">
        <f aca="false">IF($C41="","",$X$2&amp;"-S"&amp;INT(($C41-WEEKDAY($C41,2)+11-DATE(YEAR($C41+4-WEEKDAY($C41,2)),1,1))/7)&amp;"-VIS-C")</f>
        <v>DEZ-S51-VIS-C</v>
      </c>
      <c r="B41" s="60" t="str">
        <f aca="false">IF($C41="","","S"&amp;INT(($C41-WEEKDAY($C41,2)+11-DATE(YEAR($C41+4-WEEKDAY($C41,2)),1,1))/7))</f>
        <v>S51</v>
      </c>
      <c r="C41" s="82" t="n">
        <f aca="false">IF(MONTH(($X$1-WEEKDAY($X$1,3)+14)+2)=MONTH($X$1),($X$1-WEEKDAY($X$1,3)+14)+2,"")</f>
        <v>46372</v>
      </c>
      <c r="D41" s="56" t="str">
        <f aca="false">IF($C41="","","Vistoria Setorial (checklist no setor definido pelo gerente)")</f>
        <v>Vistoria Setorial (checklist no setor definido pelo gerente)</v>
      </c>
      <c r="E41" s="56"/>
      <c r="F41" s="56"/>
      <c r="G41" s="60" t="str">
        <f aca="false">IF($C41="","","C")</f>
        <v>C</v>
      </c>
      <c r="H41" s="60" t="str">
        <f aca="false">IF($C41="","",IF($G41="A",CONFIG!$B$5,IF($G41="B",CONFIG!$B$6,IF($G41="C",CONFIG!$B$7,"Gerência + coordenadores"))))</f>
        <v>(preencha o nome)</v>
      </c>
      <c r="I41" s="60"/>
      <c r="J41" s="86"/>
      <c r="K41" s="83" t="str">
        <f aca="false">IF($C41="","","—")</f>
        <v>—</v>
      </c>
      <c r="L41" s="83" t="str">
        <f aca="false">IF($C41="","","—")</f>
        <v>—</v>
      </c>
      <c r="M41" s="84"/>
      <c r="N41" s="84"/>
      <c r="O41" s="84"/>
      <c r="P41" s="90"/>
      <c r="Q41" s="86"/>
      <c r="R41" s="87"/>
      <c r="S41" s="60" t="str">
        <f aca="true">IF($C41="","",IF($Q41="Cancelada","Cancelada",IF($Q41="Reprovado","Reprovada",IF($Q41="Aprovado","Aprovada",IF($M41&lt;&gt;"","Entregue",IF(TODAY()&gt;$C41,"Atrasada","Pendente"))))))</f>
        <v>Pendente</v>
      </c>
      <c r="T41" s="88"/>
      <c r="U41" s="88"/>
      <c r="V41" s="88"/>
    </row>
    <row r="42" customFormat="false" ht="22.35" hidden="false" customHeight="false" outlineLevel="0" collapsed="false">
      <c r="A42" s="80" t="str">
        <f aca="false">IF($C42="","",$X$2&amp;"-S"&amp;INT(($C42-WEEKDAY($C42,2)+11-DATE(YEAR($C42+4-WEEKDAY($C42,2)),1,1))/7)&amp;"-RSC-A")</f>
        <v>DEZ-S51-RSC-A</v>
      </c>
      <c r="B42" s="81" t="str">
        <f aca="false">IF($C42="","","S"&amp;INT(($C42-WEEKDAY($C42,2)+11-DATE(YEAR($C42+4-WEEKDAY($C42,2)),1,1))/7))</f>
        <v>S51</v>
      </c>
      <c r="C42" s="82" t="n">
        <f aca="false">IF(MONTH(($X$1-WEEKDAY($X$1,3)+14)+3)=MONTH($X$1),($X$1-WEEKDAY($X$1,3)+14)+3,"")</f>
        <v>46373</v>
      </c>
      <c r="D42" s="9" t="str">
        <f aca="false">IF($C42="","","Relatório Semanal Consolidado (erros + metas + faltas + supervisores)")</f>
        <v>Relatório Semanal Consolidado (erros + metas + faltas + supervisores)</v>
      </c>
      <c r="E42" s="9"/>
      <c r="F42" s="9"/>
      <c r="G42" s="81" t="str">
        <f aca="false">IF($C42="","","A")</f>
        <v>A</v>
      </c>
      <c r="H42" s="81" t="str">
        <f aca="false">IF($C42="","",IF($G42="A",CONFIG!$B$5,IF($G42="B",CONFIG!$B$6,IF($G42="C",CONFIG!$B$7,"Gerência + coordenadores"))))</f>
        <v>(preencha o nome)</v>
      </c>
      <c r="I42" s="81"/>
      <c r="J42" s="81" t="str">
        <f aca="false">IF($C42="","","—")</f>
        <v>—</v>
      </c>
      <c r="K42" s="91" t="n">
        <f aca="false">IF($C42="","",SUMIFS(OCORRÊNCIAS!$E$6:$E$605,OCORRÊNCIAS!$B$6:$B$605,"Falta",OCORRÊNCIAS!$C$6:$C$605,$G42,OCORRÊNCIAS!$H$6:$H$605,$B42,OCORRÊNCIAS!$J$6:$J$605,YEAR($C42+4-WEEKDAY($C42,2))))</f>
        <v>0</v>
      </c>
      <c r="L42" s="91" t="n">
        <f aca="false">IF($C42="","",SUMIFS(OCORRÊNCIAS!$E$6:$E$605,OCORRÊNCIAS!$B$6:$B$605,"Atestado",OCORRÊNCIAS!$C$6:$C$605,$G42,OCORRÊNCIAS!$H$6:$H$605,$B42,OCORRÊNCIAS!$J$6:$J$605,YEAR($C42+4-WEEKDAY($C42,2))))</f>
        <v>0</v>
      </c>
      <c r="M42" s="84"/>
      <c r="N42" s="84"/>
      <c r="O42" s="84"/>
      <c r="P42" s="85"/>
      <c r="Q42" s="86"/>
      <c r="R42" s="87"/>
      <c r="S42" s="81" t="str">
        <f aca="true">IF($C42="","",IF($Q42="Cancelada","Cancelada",IF($Q42="Reprovado","Reprovada",IF($Q42="Aprovado","Aprovada",IF($M42&lt;&gt;"","Entregue",IF(TODAY()&gt;$C42,"Atrasada","Pendente"))))))</f>
        <v>Pendente</v>
      </c>
      <c r="T42" s="88"/>
      <c r="U42" s="88"/>
      <c r="V42" s="88"/>
    </row>
    <row r="43" customFormat="false" ht="22.35" hidden="false" customHeight="false" outlineLevel="0" collapsed="false">
      <c r="A43" s="89" t="str">
        <f aca="false">IF($C43="","",$X$2&amp;"-S"&amp;INT(($C43-WEEKDAY($C43,2)+11-DATE(YEAR($C43+4-WEEKDAY($C43,2)),1,1))/7)&amp;"-RSC-B")</f>
        <v>DEZ-S51-RSC-B</v>
      </c>
      <c r="B43" s="60" t="str">
        <f aca="false">IF($C43="","","S"&amp;INT(($C43-WEEKDAY($C43,2)+11-DATE(YEAR($C43+4-WEEKDAY($C43,2)),1,1))/7))</f>
        <v>S51</v>
      </c>
      <c r="C43" s="82" t="n">
        <f aca="false">IF(MONTH(($X$1-WEEKDAY($X$1,3)+14)+3)=MONTH($X$1),($X$1-WEEKDAY($X$1,3)+14)+3,"")</f>
        <v>46373</v>
      </c>
      <c r="D43" s="56" t="str">
        <f aca="false">IF($C43="","","Relatório Semanal Consolidado (erros + metas + faltas + supervisores)")</f>
        <v>Relatório Semanal Consolidado (erros + metas + faltas + supervisores)</v>
      </c>
      <c r="E43" s="56"/>
      <c r="F43" s="56"/>
      <c r="G43" s="60" t="str">
        <f aca="false">IF($C43="","","B")</f>
        <v>B</v>
      </c>
      <c r="H43" s="60" t="str">
        <f aca="false">IF($C43="","",IF($G43="A",CONFIG!$B$5,IF($G43="B",CONFIG!$B$6,IF($G43="C",CONFIG!$B$7,"Gerência + coordenadores"))))</f>
        <v>(preencha o nome)</v>
      </c>
      <c r="I43" s="60"/>
      <c r="J43" s="81" t="str">
        <f aca="false">IF($C43="","","—")</f>
        <v>—</v>
      </c>
      <c r="K43" s="91" t="n">
        <f aca="false">IF($C43="","",SUMIFS(OCORRÊNCIAS!$E$6:$E$605,OCORRÊNCIAS!$B$6:$B$605,"Falta",OCORRÊNCIAS!$C$6:$C$605,$G43,OCORRÊNCIAS!$H$6:$H$605,$B43,OCORRÊNCIAS!$J$6:$J$605,YEAR($C43+4-WEEKDAY($C43,2))))</f>
        <v>0</v>
      </c>
      <c r="L43" s="91" t="n">
        <f aca="false">IF($C43="","",SUMIFS(OCORRÊNCIAS!$E$6:$E$605,OCORRÊNCIAS!$B$6:$B$605,"Atestado",OCORRÊNCIAS!$C$6:$C$605,$G43,OCORRÊNCIAS!$H$6:$H$605,$B43,OCORRÊNCIAS!$J$6:$J$605,YEAR($C43+4-WEEKDAY($C43,2))))</f>
        <v>0</v>
      </c>
      <c r="M43" s="84"/>
      <c r="N43" s="84"/>
      <c r="O43" s="84"/>
      <c r="P43" s="90"/>
      <c r="Q43" s="86"/>
      <c r="R43" s="87"/>
      <c r="S43" s="60" t="str">
        <f aca="true">IF($C43="","",IF($Q43="Cancelada","Cancelada",IF($Q43="Reprovado","Reprovada",IF($Q43="Aprovado","Aprovada",IF($M43&lt;&gt;"","Entregue",IF(TODAY()&gt;$C43,"Atrasada","Pendente"))))))</f>
        <v>Pendente</v>
      </c>
      <c r="T43" s="88"/>
      <c r="U43" s="88"/>
      <c r="V43" s="88"/>
    </row>
    <row r="44" customFormat="false" ht="22.35" hidden="false" customHeight="false" outlineLevel="0" collapsed="false">
      <c r="A44" s="80" t="str">
        <f aca="false">IF($C44="","",$X$2&amp;"-S"&amp;INT(($C44-WEEKDAY($C44,2)+11-DATE(YEAR($C44+4-WEEKDAY($C44,2)),1,1))/7)&amp;"-RSC-C")</f>
        <v>DEZ-S51-RSC-C</v>
      </c>
      <c r="B44" s="81" t="str">
        <f aca="false">IF($C44="","","S"&amp;INT(($C44-WEEKDAY($C44,2)+11-DATE(YEAR($C44+4-WEEKDAY($C44,2)),1,1))/7))</f>
        <v>S51</v>
      </c>
      <c r="C44" s="82" t="n">
        <f aca="false">IF(MONTH(($X$1-WEEKDAY($X$1,3)+14)+3)=MONTH($X$1),($X$1-WEEKDAY($X$1,3)+14)+3,"")</f>
        <v>46373</v>
      </c>
      <c r="D44" s="9" t="str">
        <f aca="false">IF($C44="","","Relatório Semanal Consolidado (erros + metas + faltas + supervisores)")</f>
        <v>Relatório Semanal Consolidado (erros + metas + faltas + supervisores)</v>
      </c>
      <c r="E44" s="9"/>
      <c r="F44" s="9"/>
      <c r="G44" s="81" t="str">
        <f aca="false">IF($C44="","","C")</f>
        <v>C</v>
      </c>
      <c r="H44" s="81" t="str">
        <f aca="false">IF($C44="","",IF($G44="A",CONFIG!$B$5,IF($G44="B",CONFIG!$B$6,IF($G44="C",CONFIG!$B$7,"Gerência + coordenadores"))))</f>
        <v>(preencha o nome)</v>
      </c>
      <c r="I44" s="81"/>
      <c r="J44" s="81" t="str">
        <f aca="false">IF($C44="","","—")</f>
        <v>—</v>
      </c>
      <c r="K44" s="91" t="n">
        <f aca="false">IF($C44="","",SUMIFS(OCORRÊNCIAS!$E$6:$E$605,OCORRÊNCIAS!$B$6:$B$605,"Falta",OCORRÊNCIAS!$C$6:$C$605,$G44,OCORRÊNCIAS!$H$6:$H$605,$B44,OCORRÊNCIAS!$J$6:$J$605,YEAR($C44+4-WEEKDAY($C44,2))))</f>
        <v>0</v>
      </c>
      <c r="L44" s="91" t="n">
        <f aca="false">IF($C44="","",SUMIFS(OCORRÊNCIAS!$E$6:$E$605,OCORRÊNCIAS!$B$6:$B$605,"Atestado",OCORRÊNCIAS!$C$6:$C$605,$G44,OCORRÊNCIAS!$H$6:$H$605,$B44,OCORRÊNCIAS!$J$6:$J$605,YEAR($C44+4-WEEKDAY($C44,2))))</f>
        <v>0</v>
      </c>
      <c r="M44" s="84"/>
      <c r="N44" s="84"/>
      <c r="O44" s="84"/>
      <c r="P44" s="85"/>
      <c r="Q44" s="86"/>
      <c r="R44" s="87"/>
      <c r="S44" s="81" t="str">
        <f aca="true">IF($C44="","",IF($Q44="Cancelada","Cancelada",IF($Q44="Reprovado","Reprovada",IF($Q44="Aprovado","Aprovada",IF($M44&lt;&gt;"","Entregue",IF(TODAY()&gt;$C44,"Atrasada","Pendente"))))))</f>
        <v>Pendente</v>
      </c>
      <c r="T44" s="88"/>
      <c r="U44" s="88"/>
      <c r="V44" s="88"/>
    </row>
    <row r="45" customFormat="false" ht="22.35" hidden="false" customHeight="false" outlineLevel="0" collapsed="false">
      <c r="A45" s="89" t="str">
        <f aca="false">IF($C45="","",$X$2&amp;"-S"&amp;INT(($C45-WEEKDAY($C45,2)+11-DATE(YEAR($C45+4-WEEKDAY($C45,2)),1,1))/7)&amp;"-REU-T")</f>
        <v>DEZ-S51-REU-T</v>
      </c>
      <c r="B45" s="60" t="str">
        <f aca="false">IF($C45="","","S"&amp;INT(($C45-WEEKDAY($C45,2)+11-DATE(YEAR($C45+4-WEEKDAY($C45,2)),1,1))/7))</f>
        <v>S51</v>
      </c>
      <c r="C45" s="82" t="n">
        <f aca="false">IF(MONTH(($X$1-WEEKDAY($X$1,3)+14)+4)=MONTH($X$1),($X$1-WEEKDAY($X$1,3)+14)+4,"")</f>
        <v>46374</v>
      </c>
      <c r="D45" s="56" t="str">
        <f aca="false">IF($C45="","","Reunião Semanal com a Gerência")</f>
        <v>Reunião Semanal com a Gerência</v>
      </c>
      <c r="E45" s="56"/>
      <c r="F45" s="56"/>
      <c r="G45" s="60" t="str">
        <f aca="false">IF($C45="","","Todos")</f>
        <v>Todos</v>
      </c>
      <c r="H45" s="60" t="str">
        <f aca="false">IF($C45="","",IF($G45="A",CONFIG!$B$5,IF($G45="B",CONFIG!$B$6,IF($G45="C",CONFIG!$B$7,"Gerência + coordenadores"))))</f>
        <v>Gerência + coordenadores</v>
      </c>
      <c r="I45" s="60"/>
      <c r="J45" s="81" t="str">
        <f aca="false">IF($C45="","","—")</f>
        <v>—</v>
      </c>
      <c r="K45" s="83" t="str">
        <f aca="false">IF($C45="","","—")</f>
        <v>—</v>
      </c>
      <c r="L45" s="83" t="str">
        <f aca="false">IF($C45="","","—")</f>
        <v>—</v>
      </c>
      <c r="M45" s="84"/>
      <c r="N45" s="84"/>
      <c r="O45" s="84"/>
      <c r="P45" s="90"/>
      <c r="Q45" s="86"/>
      <c r="R45" s="87"/>
      <c r="S45" s="60" t="str">
        <f aca="true">IF($C45="","",IF($Q45="Cancelada","Cancelada",IF($Q45="Reprovado","Reprovada",IF($Q45="Aprovado","Aprovada",IF($M45&lt;&gt;"","Entregue",IF(TODAY()&gt;$C45,"Atrasada","Pendente"))))))</f>
        <v>Pendente</v>
      </c>
      <c r="T45" s="88"/>
      <c r="U45" s="88"/>
      <c r="V45" s="88"/>
    </row>
    <row r="46" customFormat="false" ht="22.35" hidden="false" customHeight="false" outlineLevel="0" collapsed="false">
      <c r="A46" s="80" t="str">
        <f aca="false">IF($C46="","",$X$2&amp;"-S"&amp;INT(($C46-WEEKDAY($C46,2)+11-DATE(YEAR($C46+4-WEEKDAY($C46,2)),1,1))/7)&amp;"-VIS-A")</f>
        <v>DEZ-S52-VIS-A</v>
      </c>
      <c r="B46" s="81" t="str">
        <f aca="false">IF($C46="","","S"&amp;INT(($C46-WEEKDAY($C46,2)+11-DATE(YEAR($C46+4-WEEKDAY($C46,2)),1,1))/7))</f>
        <v>S52</v>
      </c>
      <c r="C46" s="82" t="n">
        <f aca="false">IF(MONTH(($X$1-WEEKDAY($X$1,3)+21)+2)=MONTH($X$1),($X$1-WEEKDAY($X$1,3)+21)+2,"")</f>
        <v>46379</v>
      </c>
      <c r="D46" s="9" t="str">
        <f aca="false">IF($C46="","","Vistoria Setorial (checklist no setor definido pelo gerente)")</f>
        <v>Vistoria Setorial (checklist no setor definido pelo gerente)</v>
      </c>
      <c r="E46" s="9"/>
      <c r="F46" s="9"/>
      <c r="G46" s="81" t="str">
        <f aca="false">IF($C46="","","A")</f>
        <v>A</v>
      </c>
      <c r="H46" s="81" t="str">
        <f aca="false">IF($C46="","",IF($G46="A",CONFIG!$B$5,IF($G46="B",CONFIG!$B$6,IF($G46="C",CONFIG!$B$7,"Gerência + coordenadores"))))</f>
        <v>(preencha o nome)</v>
      </c>
      <c r="I46" s="81"/>
      <c r="J46" s="86"/>
      <c r="K46" s="83" t="str">
        <f aca="false">IF($C46="","","—")</f>
        <v>—</v>
      </c>
      <c r="L46" s="83" t="str">
        <f aca="false">IF($C46="","","—")</f>
        <v>—</v>
      </c>
      <c r="M46" s="84"/>
      <c r="N46" s="84"/>
      <c r="O46" s="84"/>
      <c r="P46" s="85"/>
      <c r="Q46" s="86"/>
      <c r="R46" s="87"/>
      <c r="S46" s="81" t="str">
        <f aca="true">IF($C46="","",IF($Q46="Cancelada","Cancelada",IF($Q46="Reprovado","Reprovada",IF($Q46="Aprovado","Aprovada",IF($M46&lt;&gt;"","Entregue",IF(TODAY()&gt;$C46,"Atrasada","Pendente"))))))</f>
        <v>Pendente</v>
      </c>
      <c r="T46" s="88"/>
      <c r="U46" s="88"/>
      <c r="V46" s="88"/>
    </row>
    <row r="47" customFormat="false" ht="22.35" hidden="false" customHeight="false" outlineLevel="0" collapsed="false">
      <c r="A47" s="89" t="str">
        <f aca="false">IF($C47="","",$X$2&amp;"-S"&amp;INT(($C47-WEEKDAY($C47,2)+11-DATE(YEAR($C47+4-WEEKDAY($C47,2)),1,1))/7)&amp;"-VIS-B")</f>
        <v>DEZ-S52-VIS-B</v>
      </c>
      <c r="B47" s="60" t="str">
        <f aca="false">IF($C47="","","S"&amp;INT(($C47-WEEKDAY($C47,2)+11-DATE(YEAR($C47+4-WEEKDAY($C47,2)),1,1))/7))</f>
        <v>S52</v>
      </c>
      <c r="C47" s="82" t="n">
        <f aca="false">IF(MONTH(($X$1-WEEKDAY($X$1,3)+21)+2)=MONTH($X$1),($X$1-WEEKDAY($X$1,3)+21)+2,"")</f>
        <v>46379</v>
      </c>
      <c r="D47" s="56" t="str">
        <f aca="false">IF($C47="","","Vistoria Setorial (checklist no setor definido pelo gerente)")</f>
        <v>Vistoria Setorial (checklist no setor definido pelo gerente)</v>
      </c>
      <c r="E47" s="56"/>
      <c r="F47" s="56"/>
      <c r="G47" s="60" t="str">
        <f aca="false">IF($C47="","","B")</f>
        <v>B</v>
      </c>
      <c r="H47" s="60" t="str">
        <f aca="false">IF($C47="","",IF($G47="A",CONFIG!$B$5,IF($G47="B",CONFIG!$B$6,IF($G47="C",CONFIG!$B$7,"Gerência + coordenadores"))))</f>
        <v>(preencha o nome)</v>
      </c>
      <c r="I47" s="60"/>
      <c r="J47" s="86"/>
      <c r="K47" s="83" t="str">
        <f aca="false">IF($C47="","","—")</f>
        <v>—</v>
      </c>
      <c r="L47" s="83" t="str">
        <f aca="false">IF($C47="","","—")</f>
        <v>—</v>
      </c>
      <c r="M47" s="84"/>
      <c r="N47" s="84"/>
      <c r="O47" s="84"/>
      <c r="P47" s="90"/>
      <c r="Q47" s="86"/>
      <c r="R47" s="87"/>
      <c r="S47" s="60" t="str">
        <f aca="true">IF($C47="","",IF($Q47="Cancelada","Cancelada",IF($Q47="Reprovado","Reprovada",IF($Q47="Aprovado","Aprovada",IF($M47&lt;&gt;"","Entregue",IF(TODAY()&gt;$C47,"Atrasada","Pendente"))))))</f>
        <v>Pendente</v>
      </c>
      <c r="T47" s="88"/>
      <c r="U47" s="88"/>
      <c r="V47" s="88"/>
    </row>
    <row r="48" customFormat="false" ht="22.35" hidden="false" customHeight="false" outlineLevel="0" collapsed="false">
      <c r="A48" s="80" t="str">
        <f aca="false">IF($C48="","",$X$2&amp;"-S"&amp;INT(($C48-WEEKDAY($C48,2)+11-DATE(YEAR($C48+4-WEEKDAY($C48,2)),1,1))/7)&amp;"-VIS-C")</f>
        <v>DEZ-S52-VIS-C</v>
      </c>
      <c r="B48" s="81" t="str">
        <f aca="false">IF($C48="","","S"&amp;INT(($C48-WEEKDAY($C48,2)+11-DATE(YEAR($C48+4-WEEKDAY($C48,2)),1,1))/7))</f>
        <v>S52</v>
      </c>
      <c r="C48" s="82" t="n">
        <f aca="false">IF(MONTH(($X$1-WEEKDAY($X$1,3)+21)+2)=MONTH($X$1),($X$1-WEEKDAY($X$1,3)+21)+2,"")</f>
        <v>46379</v>
      </c>
      <c r="D48" s="9" t="str">
        <f aca="false">IF($C48="","","Vistoria Setorial (checklist no setor definido pelo gerente)")</f>
        <v>Vistoria Setorial (checklist no setor definido pelo gerente)</v>
      </c>
      <c r="E48" s="9"/>
      <c r="F48" s="9"/>
      <c r="G48" s="81" t="str">
        <f aca="false">IF($C48="","","C")</f>
        <v>C</v>
      </c>
      <c r="H48" s="81" t="str">
        <f aca="false">IF($C48="","",IF($G48="A",CONFIG!$B$5,IF($G48="B",CONFIG!$B$6,IF($G48="C",CONFIG!$B$7,"Gerência + coordenadores"))))</f>
        <v>(preencha o nome)</v>
      </c>
      <c r="I48" s="81"/>
      <c r="J48" s="86"/>
      <c r="K48" s="83" t="str">
        <f aca="false">IF($C48="","","—")</f>
        <v>—</v>
      </c>
      <c r="L48" s="83" t="str">
        <f aca="false">IF($C48="","","—")</f>
        <v>—</v>
      </c>
      <c r="M48" s="84"/>
      <c r="N48" s="84"/>
      <c r="O48" s="84"/>
      <c r="P48" s="85"/>
      <c r="Q48" s="86"/>
      <c r="R48" s="87"/>
      <c r="S48" s="81" t="str">
        <f aca="true">IF($C48="","",IF($Q48="Cancelada","Cancelada",IF($Q48="Reprovado","Reprovada",IF($Q48="Aprovado","Aprovada",IF($M48&lt;&gt;"","Entregue",IF(TODAY()&gt;$C48,"Atrasada","Pendente"))))))</f>
        <v>Pendente</v>
      </c>
      <c r="T48" s="88"/>
      <c r="U48" s="88"/>
      <c r="V48" s="88"/>
    </row>
    <row r="49" customFormat="false" ht="22.35" hidden="false" customHeight="false" outlineLevel="0" collapsed="false">
      <c r="A49" s="89" t="str">
        <f aca="false">IF($C49="","",$X$2&amp;"-S"&amp;INT(($C49-WEEKDAY($C49,2)+11-DATE(YEAR($C49+4-WEEKDAY($C49,2)),1,1))/7)&amp;"-RSC-A")</f>
        <v>DEZ-S52-RSC-A</v>
      </c>
      <c r="B49" s="60" t="str">
        <f aca="false">IF($C49="","","S"&amp;INT(($C49-WEEKDAY($C49,2)+11-DATE(YEAR($C49+4-WEEKDAY($C49,2)),1,1))/7))</f>
        <v>S52</v>
      </c>
      <c r="C49" s="82" t="n">
        <f aca="false">IF(MONTH(($X$1-WEEKDAY($X$1,3)+21)+3)=MONTH($X$1),($X$1-WEEKDAY($X$1,3)+21)+3,"")</f>
        <v>46380</v>
      </c>
      <c r="D49" s="56" t="str">
        <f aca="false">IF($C49="","","Relatório Semanal Consolidado (erros + metas + faltas + supervisores)")</f>
        <v>Relatório Semanal Consolidado (erros + metas + faltas + supervisores)</v>
      </c>
      <c r="E49" s="56"/>
      <c r="F49" s="56"/>
      <c r="G49" s="60" t="str">
        <f aca="false">IF($C49="","","A")</f>
        <v>A</v>
      </c>
      <c r="H49" s="60" t="str">
        <f aca="false">IF($C49="","",IF($G49="A",CONFIG!$B$5,IF($G49="B",CONFIG!$B$6,IF($G49="C",CONFIG!$B$7,"Gerência + coordenadores"))))</f>
        <v>(preencha o nome)</v>
      </c>
      <c r="I49" s="60"/>
      <c r="J49" s="81" t="str">
        <f aca="false">IF($C49="","","—")</f>
        <v>—</v>
      </c>
      <c r="K49" s="91" t="n">
        <f aca="false">IF($C49="","",SUMIFS(OCORRÊNCIAS!$E$6:$E$605,OCORRÊNCIAS!$B$6:$B$605,"Falta",OCORRÊNCIAS!$C$6:$C$605,$G49,OCORRÊNCIAS!$H$6:$H$605,$B49,OCORRÊNCIAS!$J$6:$J$605,YEAR($C49+4-WEEKDAY($C49,2))))</f>
        <v>0</v>
      </c>
      <c r="L49" s="91" t="n">
        <f aca="false">IF($C49="","",SUMIFS(OCORRÊNCIAS!$E$6:$E$605,OCORRÊNCIAS!$B$6:$B$605,"Atestado",OCORRÊNCIAS!$C$6:$C$605,$G49,OCORRÊNCIAS!$H$6:$H$605,$B49,OCORRÊNCIAS!$J$6:$J$605,YEAR($C49+4-WEEKDAY($C49,2))))</f>
        <v>0</v>
      </c>
      <c r="M49" s="84"/>
      <c r="N49" s="84"/>
      <c r="O49" s="84"/>
      <c r="P49" s="90"/>
      <c r="Q49" s="86"/>
      <c r="R49" s="87"/>
      <c r="S49" s="60" t="str">
        <f aca="true">IF($C49="","",IF($Q49="Cancelada","Cancelada",IF($Q49="Reprovado","Reprovada",IF($Q49="Aprovado","Aprovada",IF($M49&lt;&gt;"","Entregue",IF(TODAY()&gt;$C49,"Atrasada","Pendente"))))))</f>
        <v>Pendente</v>
      </c>
      <c r="T49" s="88"/>
      <c r="U49" s="88"/>
      <c r="V49" s="88"/>
    </row>
    <row r="50" customFormat="false" ht="22.35" hidden="false" customHeight="false" outlineLevel="0" collapsed="false">
      <c r="A50" s="80" t="str">
        <f aca="false">IF($C50="","",$X$2&amp;"-S"&amp;INT(($C50-WEEKDAY($C50,2)+11-DATE(YEAR($C50+4-WEEKDAY($C50,2)),1,1))/7)&amp;"-RSC-B")</f>
        <v>DEZ-S52-RSC-B</v>
      </c>
      <c r="B50" s="81" t="str">
        <f aca="false">IF($C50="","","S"&amp;INT(($C50-WEEKDAY($C50,2)+11-DATE(YEAR($C50+4-WEEKDAY($C50,2)),1,1))/7))</f>
        <v>S52</v>
      </c>
      <c r="C50" s="82" t="n">
        <f aca="false">IF(MONTH(($X$1-WEEKDAY($X$1,3)+21)+3)=MONTH($X$1),($X$1-WEEKDAY($X$1,3)+21)+3,"")</f>
        <v>46380</v>
      </c>
      <c r="D50" s="9" t="str">
        <f aca="false">IF($C50="","","Relatório Semanal Consolidado (erros + metas + faltas + supervisores)")</f>
        <v>Relatório Semanal Consolidado (erros + metas + faltas + supervisores)</v>
      </c>
      <c r="E50" s="9"/>
      <c r="F50" s="9"/>
      <c r="G50" s="81" t="str">
        <f aca="false">IF($C50="","","B")</f>
        <v>B</v>
      </c>
      <c r="H50" s="81" t="str">
        <f aca="false">IF($C50="","",IF($G50="A",CONFIG!$B$5,IF($G50="B",CONFIG!$B$6,IF($G50="C",CONFIG!$B$7,"Gerência + coordenadores"))))</f>
        <v>(preencha o nome)</v>
      </c>
      <c r="I50" s="81"/>
      <c r="J50" s="81" t="str">
        <f aca="false">IF($C50="","","—")</f>
        <v>—</v>
      </c>
      <c r="K50" s="91" t="n">
        <f aca="false">IF($C50="","",SUMIFS(OCORRÊNCIAS!$E$6:$E$605,OCORRÊNCIAS!$B$6:$B$605,"Falta",OCORRÊNCIAS!$C$6:$C$605,$G50,OCORRÊNCIAS!$H$6:$H$605,$B50,OCORRÊNCIAS!$J$6:$J$605,YEAR($C50+4-WEEKDAY($C50,2))))</f>
        <v>0</v>
      </c>
      <c r="L50" s="91" t="n">
        <f aca="false">IF($C50="","",SUMIFS(OCORRÊNCIAS!$E$6:$E$605,OCORRÊNCIAS!$B$6:$B$605,"Atestado",OCORRÊNCIAS!$C$6:$C$605,$G50,OCORRÊNCIAS!$H$6:$H$605,$B50,OCORRÊNCIAS!$J$6:$J$605,YEAR($C50+4-WEEKDAY($C50,2))))</f>
        <v>0</v>
      </c>
      <c r="M50" s="84"/>
      <c r="N50" s="84"/>
      <c r="O50" s="84"/>
      <c r="P50" s="85"/>
      <c r="Q50" s="86"/>
      <c r="R50" s="87"/>
      <c r="S50" s="81" t="str">
        <f aca="true">IF($C50="","",IF($Q50="Cancelada","Cancelada",IF($Q50="Reprovado","Reprovada",IF($Q50="Aprovado","Aprovada",IF($M50&lt;&gt;"","Entregue",IF(TODAY()&gt;$C50,"Atrasada","Pendente"))))))</f>
        <v>Pendente</v>
      </c>
      <c r="T50" s="88"/>
      <c r="U50" s="88"/>
      <c r="V50" s="88"/>
    </row>
    <row r="51" customFormat="false" ht="22.35" hidden="false" customHeight="false" outlineLevel="0" collapsed="false">
      <c r="A51" s="89" t="str">
        <f aca="false">IF($C51="","",$X$2&amp;"-S"&amp;INT(($C51-WEEKDAY($C51,2)+11-DATE(YEAR($C51+4-WEEKDAY($C51,2)),1,1))/7)&amp;"-RSC-C")</f>
        <v>DEZ-S52-RSC-C</v>
      </c>
      <c r="B51" s="60" t="str">
        <f aca="false">IF($C51="","","S"&amp;INT(($C51-WEEKDAY($C51,2)+11-DATE(YEAR($C51+4-WEEKDAY($C51,2)),1,1))/7))</f>
        <v>S52</v>
      </c>
      <c r="C51" s="82" t="n">
        <f aca="false">IF(MONTH(($X$1-WEEKDAY($X$1,3)+21)+3)=MONTH($X$1),($X$1-WEEKDAY($X$1,3)+21)+3,"")</f>
        <v>46380</v>
      </c>
      <c r="D51" s="56" t="str">
        <f aca="false">IF($C51="","","Relatório Semanal Consolidado (erros + metas + faltas + supervisores)")</f>
        <v>Relatório Semanal Consolidado (erros + metas + faltas + supervisores)</v>
      </c>
      <c r="E51" s="56"/>
      <c r="F51" s="56"/>
      <c r="G51" s="60" t="str">
        <f aca="false">IF($C51="","","C")</f>
        <v>C</v>
      </c>
      <c r="H51" s="60" t="str">
        <f aca="false">IF($C51="","",IF($G51="A",CONFIG!$B$5,IF($G51="B",CONFIG!$B$6,IF($G51="C",CONFIG!$B$7,"Gerência + coordenadores"))))</f>
        <v>(preencha o nome)</v>
      </c>
      <c r="I51" s="60"/>
      <c r="J51" s="81" t="str">
        <f aca="false">IF($C51="","","—")</f>
        <v>—</v>
      </c>
      <c r="K51" s="91" t="n">
        <f aca="false">IF($C51="","",SUMIFS(OCORRÊNCIAS!$E$6:$E$605,OCORRÊNCIAS!$B$6:$B$605,"Falta",OCORRÊNCIAS!$C$6:$C$605,$G51,OCORRÊNCIAS!$H$6:$H$605,$B51,OCORRÊNCIAS!$J$6:$J$605,YEAR($C51+4-WEEKDAY($C51,2))))</f>
        <v>0</v>
      </c>
      <c r="L51" s="91" t="n">
        <f aca="false">IF($C51="","",SUMIFS(OCORRÊNCIAS!$E$6:$E$605,OCORRÊNCIAS!$B$6:$B$605,"Atestado",OCORRÊNCIAS!$C$6:$C$605,$G51,OCORRÊNCIAS!$H$6:$H$605,$B51,OCORRÊNCIAS!$J$6:$J$605,YEAR($C51+4-WEEKDAY($C51,2))))</f>
        <v>0</v>
      </c>
      <c r="M51" s="84"/>
      <c r="N51" s="84"/>
      <c r="O51" s="84"/>
      <c r="P51" s="90"/>
      <c r="Q51" s="86"/>
      <c r="R51" s="87"/>
      <c r="S51" s="60" t="str">
        <f aca="true">IF($C51="","",IF($Q51="Cancelada","Cancelada",IF($Q51="Reprovado","Reprovada",IF($Q51="Aprovado","Aprovada",IF($M51&lt;&gt;"","Entregue",IF(TODAY()&gt;$C51,"Atrasada","Pendente"))))))</f>
        <v>Pendente</v>
      </c>
      <c r="T51" s="88"/>
      <c r="U51" s="88"/>
      <c r="V51" s="88"/>
    </row>
    <row r="52" customFormat="false" ht="22.35" hidden="false" customHeight="false" outlineLevel="0" collapsed="false">
      <c r="A52" s="80" t="str">
        <f aca="false">IF($C52="","",$X$2&amp;"-S"&amp;INT(($C52-WEEKDAY($C52,2)+11-DATE(YEAR($C52+4-WEEKDAY($C52,2)),1,1))/7)&amp;"-REU-T")</f>
        <v>DEZ-S52-REU-T</v>
      </c>
      <c r="B52" s="81" t="str">
        <f aca="false">IF($C52="","","S"&amp;INT(($C52-WEEKDAY($C52,2)+11-DATE(YEAR($C52+4-WEEKDAY($C52,2)),1,1))/7))</f>
        <v>S52</v>
      </c>
      <c r="C52" s="82" t="n">
        <f aca="false">IF(MONTH(($X$1-WEEKDAY($X$1,3)+21)+4)=MONTH($X$1),($X$1-WEEKDAY($X$1,3)+21)+4,"")</f>
        <v>46381</v>
      </c>
      <c r="D52" s="9" t="str">
        <f aca="false">IF($C52="","","Reunião Semanal com a Gerência")</f>
        <v>Reunião Semanal com a Gerência</v>
      </c>
      <c r="E52" s="9"/>
      <c r="F52" s="9"/>
      <c r="G52" s="81" t="str">
        <f aca="false">IF($C52="","","Todos")</f>
        <v>Todos</v>
      </c>
      <c r="H52" s="81" t="str">
        <f aca="false">IF($C52="","",IF($G52="A",CONFIG!$B$5,IF($G52="B",CONFIG!$B$6,IF($G52="C",CONFIG!$B$7,"Gerência + coordenadores"))))</f>
        <v>Gerência + coordenadores</v>
      </c>
      <c r="I52" s="81"/>
      <c r="J52" s="81" t="str">
        <f aca="false">IF($C52="","","—")</f>
        <v>—</v>
      </c>
      <c r="K52" s="83" t="str">
        <f aca="false">IF($C52="","","—")</f>
        <v>—</v>
      </c>
      <c r="L52" s="83" t="str">
        <f aca="false">IF($C52="","","—")</f>
        <v>—</v>
      </c>
      <c r="M52" s="84"/>
      <c r="N52" s="84"/>
      <c r="O52" s="84"/>
      <c r="P52" s="85"/>
      <c r="Q52" s="86"/>
      <c r="R52" s="87"/>
      <c r="S52" s="81" t="str">
        <f aca="true">IF($C52="","",IF($Q52="Cancelada","Cancelada",IF($Q52="Reprovado","Reprovada",IF($Q52="Aprovado","Aprovada",IF($M52&lt;&gt;"","Entregue",IF(TODAY()&gt;$C52,"Atrasada","Pendente"))))))</f>
        <v>Pendente</v>
      </c>
      <c r="T52" s="88"/>
      <c r="U52" s="88"/>
      <c r="V52" s="88"/>
    </row>
    <row r="53" customFormat="false" ht="22.35" hidden="false" customHeight="false" outlineLevel="0" collapsed="false">
      <c r="A53" s="89" t="str">
        <f aca="false">IF($C53="","",$X$2&amp;"-S"&amp;INT(($C53-WEEKDAY($C53,2)+11-DATE(YEAR($C53+4-WEEKDAY($C53,2)),1,1))/7)&amp;"-VIS-A")</f>
        <v>DEZ-S53-VIS-A</v>
      </c>
      <c r="B53" s="60" t="str">
        <f aca="false">IF($C53="","","S"&amp;INT(($C53-WEEKDAY($C53,2)+11-DATE(YEAR($C53+4-WEEKDAY($C53,2)),1,1))/7))</f>
        <v>S53</v>
      </c>
      <c r="C53" s="82" t="n">
        <f aca="false">IF(MONTH(($X$1-WEEKDAY($X$1,3)+28)+2)=MONTH($X$1),($X$1-WEEKDAY($X$1,3)+28)+2,"")</f>
        <v>46386</v>
      </c>
      <c r="D53" s="56" t="str">
        <f aca="false">IF($C53="","","Vistoria Setorial (checklist no setor definido pelo gerente)")</f>
        <v>Vistoria Setorial (checklist no setor definido pelo gerente)</v>
      </c>
      <c r="E53" s="56"/>
      <c r="F53" s="56"/>
      <c r="G53" s="60" t="str">
        <f aca="false">IF($C53="","","A")</f>
        <v>A</v>
      </c>
      <c r="H53" s="60" t="str">
        <f aca="false">IF($C53="","",IF($G53="A",CONFIG!$B$5,IF($G53="B",CONFIG!$B$6,IF($G53="C",CONFIG!$B$7,"Gerência + coordenadores"))))</f>
        <v>(preencha o nome)</v>
      </c>
      <c r="I53" s="60"/>
      <c r="J53" s="86"/>
      <c r="K53" s="83" t="str">
        <f aca="false">IF($C53="","","—")</f>
        <v>—</v>
      </c>
      <c r="L53" s="83" t="str">
        <f aca="false">IF($C53="","","—")</f>
        <v>—</v>
      </c>
      <c r="M53" s="84"/>
      <c r="N53" s="84"/>
      <c r="O53" s="84"/>
      <c r="P53" s="90"/>
      <c r="Q53" s="86"/>
      <c r="R53" s="87"/>
      <c r="S53" s="60" t="str">
        <f aca="true">IF($C53="","",IF($Q53="Cancelada","Cancelada",IF($Q53="Reprovado","Reprovada",IF($Q53="Aprovado","Aprovada",IF($M53&lt;&gt;"","Entregue",IF(TODAY()&gt;$C53,"Atrasada","Pendente"))))))</f>
        <v>Pendente</v>
      </c>
      <c r="T53" s="88"/>
      <c r="U53" s="88"/>
      <c r="V53" s="88"/>
    </row>
    <row r="54" customFormat="false" ht="22.35" hidden="false" customHeight="false" outlineLevel="0" collapsed="false">
      <c r="A54" s="80" t="str">
        <f aca="false">IF($C54="","",$X$2&amp;"-S"&amp;INT(($C54-WEEKDAY($C54,2)+11-DATE(YEAR($C54+4-WEEKDAY($C54,2)),1,1))/7)&amp;"-VIS-B")</f>
        <v>DEZ-S53-VIS-B</v>
      </c>
      <c r="B54" s="81" t="str">
        <f aca="false">IF($C54="","","S"&amp;INT(($C54-WEEKDAY($C54,2)+11-DATE(YEAR($C54+4-WEEKDAY($C54,2)),1,1))/7))</f>
        <v>S53</v>
      </c>
      <c r="C54" s="82" t="n">
        <f aca="false">IF(MONTH(($X$1-WEEKDAY($X$1,3)+28)+2)=MONTH($X$1),($X$1-WEEKDAY($X$1,3)+28)+2,"")</f>
        <v>46386</v>
      </c>
      <c r="D54" s="9" t="str">
        <f aca="false">IF($C54="","","Vistoria Setorial (checklist no setor definido pelo gerente)")</f>
        <v>Vistoria Setorial (checklist no setor definido pelo gerente)</v>
      </c>
      <c r="E54" s="9"/>
      <c r="F54" s="9"/>
      <c r="G54" s="81" t="str">
        <f aca="false">IF($C54="","","B")</f>
        <v>B</v>
      </c>
      <c r="H54" s="81" t="str">
        <f aca="false">IF($C54="","",IF($G54="A",CONFIG!$B$5,IF($G54="B",CONFIG!$B$6,IF($G54="C",CONFIG!$B$7,"Gerência + coordenadores"))))</f>
        <v>(preencha o nome)</v>
      </c>
      <c r="I54" s="81"/>
      <c r="J54" s="86"/>
      <c r="K54" s="83" t="str">
        <f aca="false">IF($C54="","","—")</f>
        <v>—</v>
      </c>
      <c r="L54" s="83" t="str">
        <f aca="false">IF($C54="","","—")</f>
        <v>—</v>
      </c>
      <c r="M54" s="84"/>
      <c r="N54" s="84"/>
      <c r="O54" s="84"/>
      <c r="P54" s="85"/>
      <c r="Q54" s="86"/>
      <c r="R54" s="87"/>
      <c r="S54" s="81" t="str">
        <f aca="true">IF($C54="","",IF($Q54="Cancelada","Cancelada",IF($Q54="Reprovado","Reprovada",IF($Q54="Aprovado","Aprovada",IF($M54&lt;&gt;"","Entregue",IF(TODAY()&gt;$C54,"Atrasada","Pendente"))))))</f>
        <v>Pendente</v>
      </c>
      <c r="T54" s="88"/>
      <c r="U54" s="88"/>
      <c r="V54" s="88"/>
    </row>
    <row r="55" customFormat="false" ht="22.35" hidden="false" customHeight="false" outlineLevel="0" collapsed="false">
      <c r="A55" s="89" t="str">
        <f aca="false">IF($C55="","",$X$2&amp;"-S"&amp;INT(($C55-WEEKDAY($C55,2)+11-DATE(YEAR($C55+4-WEEKDAY($C55,2)),1,1))/7)&amp;"-VIS-C")</f>
        <v>DEZ-S53-VIS-C</v>
      </c>
      <c r="B55" s="60" t="str">
        <f aca="false">IF($C55="","","S"&amp;INT(($C55-WEEKDAY($C55,2)+11-DATE(YEAR($C55+4-WEEKDAY($C55,2)),1,1))/7))</f>
        <v>S53</v>
      </c>
      <c r="C55" s="82" t="n">
        <f aca="false">IF(MONTH(($X$1-WEEKDAY($X$1,3)+28)+2)=MONTH($X$1),($X$1-WEEKDAY($X$1,3)+28)+2,"")</f>
        <v>46386</v>
      </c>
      <c r="D55" s="56" t="str">
        <f aca="false">IF($C55="","","Vistoria Setorial (checklist no setor definido pelo gerente)")</f>
        <v>Vistoria Setorial (checklist no setor definido pelo gerente)</v>
      </c>
      <c r="E55" s="56"/>
      <c r="F55" s="56"/>
      <c r="G55" s="60" t="str">
        <f aca="false">IF($C55="","","C")</f>
        <v>C</v>
      </c>
      <c r="H55" s="60" t="str">
        <f aca="false">IF($C55="","",IF($G55="A",CONFIG!$B$5,IF($G55="B",CONFIG!$B$6,IF($G55="C",CONFIG!$B$7,"Gerência + coordenadores"))))</f>
        <v>(preencha o nome)</v>
      </c>
      <c r="I55" s="60"/>
      <c r="J55" s="86"/>
      <c r="K55" s="83" t="str">
        <f aca="false">IF($C55="","","—")</f>
        <v>—</v>
      </c>
      <c r="L55" s="83" t="str">
        <f aca="false">IF($C55="","","—")</f>
        <v>—</v>
      </c>
      <c r="M55" s="84"/>
      <c r="N55" s="84"/>
      <c r="O55" s="84"/>
      <c r="P55" s="90"/>
      <c r="Q55" s="86"/>
      <c r="R55" s="87"/>
      <c r="S55" s="60" t="str">
        <f aca="true">IF($C55="","",IF($Q55="Cancelada","Cancelada",IF($Q55="Reprovado","Reprovada",IF($Q55="Aprovado","Aprovada",IF($M55&lt;&gt;"","Entregue",IF(TODAY()&gt;$C55,"Atrasada","Pendente"))))))</f>
        <v>Pendente</v>
      </c>
      <c r="T55" s="88"/>
      <c r="U55" s="88"/>
      <c r="V55" s="88"/>
    </row>
    <row r="56" customFormat="false" ht="22.35" hidden="false" customHeight="false" outlineLevel="0" collapsed="false">
      <c r="A56" s="80" t="str">
        <f aca="false">IF($C56="","",$X$2&amp;"-S"&amp;INT(($C56-WEEKDAY($C56,2)+11-DATE(YEAR($C56+4-WEEKDAY($C56,2)),1,1))/7)&amp;"-RSC-A")</f>
        <v>DEZ-S53-RSC-A</v>
      </c>
      <c r="B56" s="81" t="str">
        <f aca="false">IF($C56="","","S"&amp;INT(($C56-WEEKDAY($C56,2)+11-DATE(YEAR($C56+4-WEEKDAY($C56,2)),1,1))/7))</f>
        <v>S53</v>
      </c>
      <c r="C56" s="82" t="n">
        <f aca="false">IF(MONTH(($X$1-WEEKDAY($X$1,3)+28)+3)=MONTH($X$1),($X$1-WEEKDAY($X$1,3)+28)+3,"")</f>
        <v>46387</v>
      </c>
      <c r="D56" s="9" t="str">
        <f aca="false">IF($C56="","","Relatório Semanal Consolidado (erros + metas + faltas + supervisores)")</f>
        <v>Relatório Semanal Consolidado (erros + metas + faltas + supervisores)</v>
      </c>
      <c r="E56" s="9"/>
      <c r="F56" s="9"/>
      <c r="G56" s="81" t="str">
        <f aca="false">IF($C56="","","A")</f>
        <v>A</v>
      </c>
      <c r="H56" s="81" t="str">
        <f aca="false">IF($C56="","",IF($G56="A",CONFIG!$B$5,IF($G56="B",CONFIG!$B$6,IF($G56="C",CONFIG!$B$7,"Gerência + coordenadores"))))</f>
        <v>(preencha o nome)</v>
      </c>
      <c r="I56" s="81"/>
      <c r="J56" s="81" t="str">
        <f aca="false">IF($C56="","","—")</f>
        <v>—</v>
      </c>
      <c r="K56" s="91" t="n">
        <f aca="false">IF($C56="","",SUMIFS(OCORRÊNCIAS!$E$6:$E$605,OCORRÊNCIAS!$B$6:$B$605,"Falta",OCORRÊNCIAS!$C$6:$C$605,$G56,OCORRÊNCIAS!$H$6:$H$605,$B56,OCORRÊNCIAS!$J$6:$J$605,YEAR($C56+4-WEEKDAY($C56,2))))</f>
        <v>0</v>
      </c>
      <c r="L56" s="91" t="n">
        <f aca="false">IF($C56="","",SUMIFS(OCORRÊNCIAS!$E$6:$E$605,OCORRÊNCIAS!$B$6:$B$605,"Atestado",OCORRÊNCIAS!$C$6:$C$605,$G56,OCORRÊNCIAS!$H$6:$H$605,$B56,OCORRÊNCIAS!$J$6:$J$605,YEAR($C56+4-WEEKDAY($C56,2))))</f>
        <v>0</v>
      </c>
      <c r="M56" s="84"/>
      <c r="N56" s="84"/>
      <c r="O56" s="84"/>
      <c r="P56" s="85"/>
      <c r="Q56" s="86"/>
      <c r="R56" s="87"/>
      <c r="S56" s="81" t="str">
        <f aca="true">IF($C56="","",IF($Q56="Cancelada","Cancelada",IF($Q56="Reprovado","Reprovada",IF($Q56="Aprovado","Aprovada",IF($M56&lt;&gt;"","Entregue",IF(TODAY()&gt;$C56,"Atrasada","Pendente"))))))</f>
        <v>Pendente</v>
      </c>
      <c r="T56" s="88"/>
      <c r="U56" s="88"/>
      <c r="V56" s="88"/>
    </row>
    <row r="57" customFormat="false" ht="22.35" hidden="false" customHeight="false" outlineLevel="0" collapsed="false">
      <c r="A57" s="89" t="str">
        <f aca="false">IF($C57="","",$X$2&amp;"-S"&amp;INT(($C57-WEEKDAY($C57,2)+11-DATE(YEAR($C57+4-WEEKDAY($C57,2)),1,1))/7)&amp;"-RSC-B")</f>
        <v>DEZ-S53-RSC-B</v>
      </c>
      <c r="B57" s="60" t="str">
        <f aca="false">IF($C57="","","S"&amp;INT(($C57-WEEKDAY($C57,2)+11-DATE(YEAR($C57+4-WEEKDAY($C57,2)),1,1))/7))</f>
        <v>S53</v>
      </c>
      <c r="C57" s="82" t="n">
        <f aca="false">IF(MONTH(($X$1-WEEKDAY($X$1,3)+28)+3)=MONTH($X$1),($X$1-WEEKDAY($X$1,3)+28)+3,"")</f>
        <v>46387</v>
      </c>
      <c r="D57" s="56" t="str">
        <f aca="false">IF($C57="","","Relatório Semanal Consolidado (erros + metas + faltas + supervisores)")</f>
        <v>Relatório Semanal Consolidado (erros + metas + faltas + supervisores)</v>
      </c>
      <c r="E57" s="56"/>
      <c r="F57" s="56"/>
      <c r="G57" s="60" t="str">
        <f aca="false">IF($C57="","","B")</f>
        <v>B</v>
      </c>
      <c r="H57" s="60" t="str">
        <f aca="false">IF($C57="","",IF($G57="A",CONFIG!$B$5,IF($G57="B",CONFIG!$B$6,IF($G57="C",CONFIG!$B$7,"Gerência + coordenadores"))))</f>
        <v>(preencha o nome)</v>
      </c>
      <c r="I57" s="60"/>
      <c r="J57" s="81" t="str">
        <f aca="false">IF($C57="","","—")</f>
        <v>—</v>
      </c>
      <c r="K57" s="91" t="n">
        <f aca="false">IF($C57="","",SUMIFS(OCORRÊNCIAS!$E$6:$E$605,OCORRÊNCIAS!$B$6:$B$605,"Falta",OCORRÊNCIAS!$C$6:$C$605,$G57,OCORRÊNCIAS!$H$6:$H$605,$B57,OCORRÊNCIAS!$J$6:$J$605,YEAR($C57+4-WEEKDAY($C57,2))))</f>
        <v>0</v>
      </c>
      <c r="L57" s="91" t="n">
        <f aca="false">IF($C57="","",SUMIFS(OCORRÊNCIAS!$E$6:$E$605,OCORRÊNCIAS!$B$6:$B$605,"Atestado",OCORRÊNCIAS!$C$6:$C$605,$G57,OCORRÊNCIAS!$H$6:$H$605,$B57,OCORRÊNCIAS!$J$6:$J$605,YEAR($C57+4-WEEKDAY($C57,2))))</f>
        <v>0</v>
      </c>
      <c r="M57" s="84"/>
      <c r="N57" s="84"/>
      <c r="O57" s="84"/>
      <c r="P57" s="90"/>
      <c r="Q57" s="86"/>
      <c r="R57" s="87"/>
      <c r="S57" s="60" t="str">
        <f aca="true">IF($C57="","",IF($Q57="Cancelada","Cancelada",IF($Q57="Reprovado","Reprovada",IF($Q57="Aprovado","Aprovada",IF($M57&lt;&gt;"","Entregue",IF(TODAY()&gt;$C57,"Atrasada","Pendente"))))))</f>
        <v>Pendente</v>
      </c>
      <c r="T57" s="88"/>
      <c r="U57" s="88"/>
      <c r="V57" s="88"/>
    </row>
    <row r="58" customFormat="false" ht="22.35" hidden="false" customHeight="false" outlineLevel="0" collapsed="false">
      <c r="A58" s="80" t="str">
        <f aca="false">IF($C58="","",$X$2&amp;"-S"&amp;INT(($C58-WEEKDAY($C58,2)+11-DATE(YEAR($C58+4-WEEKDAY($C58,2)),1,1))/7)&amp;"-RSC-C")</f>
        <v>DEZ-S53-RSC-C</v>
      </c>
      <c r="B58" s="81" t="str">
        <f aca="false">IF($C58="","","S"&amp;INT(($C58-WEEKDAY($C58,2)+11-DATE(YEAR($C58+4-WEEKDAY($C58,2)),1,1))/7))</f>
        <v>S53</v>
      </c>
      <c r="C58" s="82" t="n">
        <f aca="false">IF(MONTH(($X$1-WEEKDAY($X$1,3)+28)+3)=MONTH($X$1),($X$1-WEEKDAY($X$1,3)+28)+3,"")</f>
        <v>46387</v>
      </c>
      <c r="D58" s="9" t="str">
        <f aca="false">IF($C58="","","Relatório Semanal Consolidado (erros + metas + faltas + supervisores)")</f>
        <v>Relatório Semanal Consolidado (erros + metas + faltas + supervisores)</v>
      </c>
      <c r="E58" s="9"/>
      <c r="F58" s="9"/>
      <c r="G58" s="81" t="str">
        <f aca="false">IF($C58="","","C")</f>
        <v>C</v>
      </c>
      <c r="H58" s="81" t="str">
        <f aca="false">IF($C58="","",IF($G58="A",CONFIG!$B$5,IF($G58="B",CONFIG!$B$6,IF($G58="C",CONFIG!$B$7,"Gerência + coordenadores"))))</f>
        <v>(preencha o nome)</v>
      </c>
      <c r="I58" s="81"/>
      <c r="J58" s="81" t="str">
        <f aca="false">IF($C58="","","—")</f>
        <v>—</v>
      </c>
      <c r="K58" s="91" t="n">
        <f aca="false">IF($C58="","",SUMIFS(OCORRÊNCIAS!$E$6:$E$605,OCORRÊNCIAS!$B$6:$B$605,"Falta",OCORRÊNCIAS!$C$6:$C$605,$G58,OCORRÊNCIAS!$H$6:$H$605,$B58,OCORRÊNCIAS!$J$6:$J$605,YEAR($C58+4-WEEKDAY($C58,2))))</f>
        <v>0</v>
      </c>
      <c r="L58" s="91" t="n">
        <f aca="false">IF($C58="","",SUMIFS(OCORRÊNCIAS!$E$6:$E$605,OCORRÊNCIAS!$B$6:$B$605,"Atestado",OCORRÊNCIAS!$C$6:$C$605,$G58,OCORRÊNCIAS!$H$6:$H$605,$B58,OCORRÊNCIAS!$J$6:$J$605,YEAR($C58+4-WEEKDAY($C58,2))))</f>
        <v>0</v>
      </c>
      <c r="M58" s="84"/>
      <c r="N58" s="84"/>
      <c r="O58" s="84"/>
      <c r="P58" s="85"/>
      <c r="Q58" s="86"/>
      <c r="R58" s="87"/>
      <c r="S58" s="81" t="str">
        <f aca="true">IF($C58="","",IF($Q58="Cancelada","Cancelada",IF($Q58="Reprovado","Reprovada",IF($Q58="Aprovado","Aprovada",IF($M58&lt;&gt;"","Entregue",IF(TODAY()&gt;$C58,"Atrasada","Pendente"))))))</f>
        <v>Pendente</v>
      </c>
      <c r="T58" s="88"/>
      <c r="U58" s="88"/>
      <c r="V58" s="88"/>
    </row>
    <row r="59" customFormat="false" ht="15" hidden="false" customHeight="false" outlineLevel="0" collapsed="false">
      <c r="A59" s="89" t="str">
        <f aca="false">IF($C59="","",$X$2&amp;"-S"&amp;INT(($C59-WEEKDAY($C59,2)+11-DATE(YEAR($C59+4-WEEKDAY($C59,2)),1,1))/7)&amp;"-REU-T")</f>
        <v/>
      </c>
      <c r="B59" s="60" t="str">
        <f aca="false">IF($C59="","","S"&amp;INT(($C59-WEEKDAY($C59,2)+11-DATE(YEAR($C59+4-WEEKDAY($C59,2)),1,1))/7))</f>
        <v/>
      </c>
      <c r="C59" s="82" t="str">
        <f aca="false">IF(MONTH(($X$1-WEEKDAY($X$1,3)+28)+4)=MONTH($X$1),($X$1-WEEKDAY($X$1,3)+28)+4,"")</f>
        <v/>
      </c>
      <c r="D59" s="56" t="str">
        <f aca="false">IF($C59="","","Reunião Semanal com a Gerência")</f>
        <v/>
      </c>
      <c r="E59" s="56"/>
      <c r="F59" s="56"/>
      <c r="G59" s="60" t="str">
        <f aca="false">IF($C59="","","Todos")</f>
        <v/>
      </c>
      <c r="H59" s="60" t="str">
        <f aca="false">IF($C59="","",IF($G59="A",CONFIG!$B$5,IF($G59="B",CONFIG!$B$6,IF($G59="C",CONFIG!$B$7,"Gerência + coordenadores"))))</f>
        <v/>
      </c>
      <c r="I59" s="60"/>
      <c r="J59" s="81" t="str">
        <f aca="false">IF($C59="","","—")</f>
        <v/>
      </c>
      <c r="K59" s="83" t="str">
        <f aca="false">IF($C59="","","—")</f>
        <v/>
      </c>
      <c r="L59" s="83" t="str">
        <f aca="false">IF($C59="","","—")</f>
        <v/>
      </c>
      <c r="M59" s="84"/>
      <c r="N59" s="84"/>
      <c r="O59" s="84"/>
      <c r="P59" s="90"/>
      <c r="Q59" s="86"/>
      <c r="R59" s="87"/>
      <c r="S59" s="60" t="str">
        <f aca="true">IF($C59="","",IF($Q59="Cancelada","Cancelada",IF($Q59="Reprovado","Reprovada",IF($Q59="Aprovado","Aprovada",IF($M59&lt;&gt;"","Entregue",IF(TODAY()&gt;$C59,"Atrasada","Pendente"))))))</f>
        <v/>
      </c>
      <c r="T59" s="88"/>
      <c r="U59" s="88"/>
      <c r="V59" s="88"/>
    </row>
    <row r="60" customFormat="false" ht="15" hidden="false" customHeight="false" outlineLevel="0" collapsed="false">
      <c r="A60" s="80" t="str">
        <f aca="false">IF($C60="","",$X$2&amp;"-S"&amp;INT(($C60-WEEKDAY($C60,2)+11-DATE(YEAR($C60+4-WEEKDAY($C60,2)),1,1))/7)&amp;"-VIS-A")</f>
        <v/>
      </c>
      <c r="B60" s="81" t="str">
        <f aca="false">IF($C60="","","S"&amp;INT(($C60-WEEKDAY($C60,2)+11-DATE(YEAR($C60+4-WEEKDAY($C60,2)),1,1))/7))</f>
        <v/>
      </c>
      <c r="C60" s="82" t="str">
        <f aca="false">IF(MONTH(($X$1-WEEKDAY($X$1,3)+35)+2)=MONTH($X$1),($X$1-WEEKDAY($X$1,3)+35)+2,"")</f>
        <v/>
      </c>
      <c r="D60" s="9" t="str">
        <f aca="false">IF($C60="","","Vistoria Setorial (checklist no setor definido pelo gerente)")</f>
        <v/>
      </c>
      <c r="E60" s="9"/>
      <c r="F60" s="9"/>
      <c r="G60" s="81" t="str">
        <f aca="false">IF($C60="","","A")</f>
        <v/>
      </c>
      <c r="H60" s="81" t="str">
        <f aca="false">IF($C60="","",IF($G60="A",CONFIG!$B$5,IF($G60="B",CONFIG!$B$6,IF($G60="C",CONFIG!$B$7,"Gerência + coordenadores"))))</f>
        <v/>
      </c>
      <c r="I60" s="81"/>
      <c r="J60" s="86"/>
      <c r="K60" s="83" t="str">
        <f aca="false">IF($C60="","","—")</f>
        <v/>
      </c>
      <c r="L60" s="83" t="str">
        <f aca="false">IF($C60="","","—")</f>
        <v/>
      </c>
      <c r="M60" s="84"/>
      <c r="N60" s="84"/>
      <c r="O60" s="84"/>
      <c r="P60" s="85"/>
      <c r="Q60" s="86"/>
      <c r="R60" s="87"/>
      <c r="S60" s="81" t="str">
        <f aca="true">IF($C60="","",IF($Q60="Cancelada","Cancelada",IF($Q60="Reprovado","Reprovada",IF($Q60="Aprovado","Aprovada",IF($M60&lt;&gt;"","Entregue",IF(TODAY()&gt;$C60,"Atrasada","Pendente"))))))</f>
        <v/>
      </c>
      <c r="T60" s="88"/>
      <c r="U60" s="88"/>
      <c r="V60" s="88"/>
    </row>
    <row r="61" customFormat="false" ht="15" hidden="false" customHeight="false" outlineLevel="0" collapsed="false">
      <c r="A61" s="89" t="str">
        <f aca="false">IF($C61="","",$X$2&amp;"-S"&amp;INT(($C61-WEEKDAY($C61,2)+11-DATE(YEAR($C61+4-WEEKDAY($C61,2)),1,1))/7)&amp;"-VIS-B")</f>
        <v/>
      </c>
      <c r="B61" s="60" t="str">
        <f aca="false">IF($C61="","","S"&amp;INT(($C61-WEEKDAY($C61,2)+11-DATE(YEAR($C61+4-WEEKDAY($C61,2)),1,1))/7))</f>
        <v/>
      </c>
      <c r="C61" s="82" t="str">
        <f aca="false">IF(MONTH(($X$1-WEEKDAY($X$1,3)+35)+2)=MONTH($X$1),($X$1-WEEKDAY($X$1,3)+35)+2,"")</f>
        <v/>
      </c>
      <c r="D61" s="56" t="str">
        <f aca="false">IF($C61="","","Vistoria Setorial (checklist no setor definido pelo gerente)")</f>
        <v/>
      </c>
      <c r="E61" s="56"/>
      <c r="F61" s="56"/>
      <c r="G61" s="60" t="str">
        <f aca="false">IF($C61="","","B")</f>
        <v/>
      </c>
      <c r="H61" s="60" t="str">
        <f aca="false">IF($C61="","",IF($G61="A",CONFIG!$B$5,IF($G61="B",CONFIG!$B$6,IF($G61="C",CONFIG!$B$7,"Gerência + coordenadores"))))</f>
        <v/>
      </c>
      <c r="I61" s="60"/>
      <c r="J61" s="86"/>
      <c r="K61" s="83" t="str">
        <f aca="false">IF($C61="","","—")</f>
        <v/>
      </c>
      <c r="L61" s="83" t="str">
        <f aca="false">IF($C61="","","—")</f>
        <v/>
      </c>
      <c r="M61" s="84"/>
      <c r="N61" s="84"/>
      <c r="O61" s="84"/>
      <c r="P61" s="90"/>
      <c r="Q61" s="86"/>
      <c r="R61" s="87"/>
      <c r="S61" s="60" t="str">
        <f aca="true">IF($C61="","",IF($Q61="Cancelada","Cancelada",IF($Q61="Reprovado","Reprovada",IF($Q61="Aprovado","Aprovada",IF($M61&lt;&gt;"","Entregue",IF(TODAY()&gt;$C61,"Atrasada","Pendente"))))))</f>
        <v/>
      </c>
      <c r="T61" s="88"/>
      <c r="U61" s="88"/>
      <c r="V61" s="88"/>
    </row>
    <row r="62" customFormat="false" ht="15" hidden="false" customHeight="false" outlineLevel="0" collapsed="false">
      <c r="A62" s="80" t="str">
        <f aca="false">IF($C62="","",$X$2&amp;"-S"&amp;INT(($C62-WEEKDAY($C62,2)+11-DATE(YEAR($C62+4-WEEKDAY($C62,2)),1,1))/7)&amp;"-VIS-C")</f>
        <v/>
      </c>
      <c r="B62" s="81" t="str">
        <f aca="false">IF($C62="","","S"&amp;INT(($C62-WEEKDAY($C62,2)+11-DATE(YEAR($C62+4-WEEKDAY($C62,2)),1,1))/7))</f>
        <v/>
      </c>
      <c r="C62" s="82" t="str">
        <f aca="false">IF(MONTH(($X$1-WEEKDAY($X$1,3)+35)+2)=MONTH($X$1),($X$1-WEEKDAY($X$1,3)+35)+2,"")</f>
        <v/>
      </c>
      <c r="D62" s="9" t="str">
        <f aca="false">IF($C62="","","Vistoria Setorial (checklist no setor definido pelo gerente)")</f>
        <v/>
      </c>
      <c r="E62" s="9"/>
      <c r="F62" s="9"/>
      <c r="G62" s="81" t="str">
        <f aca="false">IF($C62="","","C")</f>
        <v/>
      </c>
      <c r="H62" s="81" t="str">
        <f aca="false">IF($C62="","",IF($G62="A",CONFIG!$B$5,IF($G62="B",CONFIG!$B$6,IF($G62="C",CONFIG!$B$7,"Gerência + coordenadores"))))</f>
        <v/>
      </c>
      <c r="I62" s="81"/>
      <c r="J62" s="86"/>
      <c r="K62" s="83" t="str">
        <f aca="false">IF($C62="","","—")</f>
        <v/>
      </c>
      <c r="L62" s="83" t="str">
        <f aca="false">IF($C62="","","—")</f>
        <v/>
      </c>
      <c r="M62" s="84"/>
      <c r="N62" s="84"/>
      <c r="O62" s="84"/>
      <c r="P62" s="85"/>
      <c r="Q62" s="86"/>
      <c r="R62" s="87"/>
      <c r="S62" s="81" t="str">
        <f aca="true">IF($C62="","",IF($Q62="Cancelada","Cancelada",IF($Q62="Reprovado","Reprovada",IF($Q62="Aprovado","Aprovada",IF($M62&lt;&gt;"","Entregue",IF(TODAY()&gt;$C62,"Atrasada","Pendente"))))))</f>
        <v/>
      </c>
      <c r="T62" s="88"/>
      <c r="U62" s="88"/>
      <c r="V62" s="88"/>
    </row>
    <row r="63" customFormat="false" ht="15" hidden="false" customHeight="false" outlineLevel="0" collapsed="false">
      <c r="A63" s="89" t="str">
        <f aca="false">IF($C63="","",$X$2&amp;"-S"&amp;INT(($C63-WEEKDAY($C63,2)+11-DATE(YEAR($C63+4-WEEKDAY($C63,2)),1,1))/7)&amp;"-RSC-A")</f>
        <v/>
      </c>
      <c r="B63" s="60" t="str">
        <f aca="false">IF($C63="","","S"&amp;INT(($C63-WEEKDAY($C63,2)+11-DATE(YEAR($C63+4-WEEKDAY($C63,2)),1,1))/7))</f>
        <v/>
      </c>
      <c r="C63" s="82" t="str">
        <f aca="false">IF(MONTH(($X$1-WEEKDAY($X$1,3)+35)+3)=MONTH($X$1),($X$1-WEEKDAY($X$1,3)+35)+3,"")</f>
        <v/>
      </c>
      <c r="D63" s="56" t="str">
        <f aca="false">IF($C63="","","Relatório Semanal Consolidado (erros + metas + faltas + supervisores)")</f>
        <v/>
      </c>
      <c r="E63" s="56"/>
      <c r="F63" s="56"/>
      <c r="G63" s="60" t="str">
        <f aca="false">IF($C63="","","A")</f>
        <v/>
      </c>
      <c r="H63" s="60" t="str">
        <f aca="false">IF($C63="","",IF($G63="A",CONFIG!$B$5,IF($G63="B",CONFIG!$B$6,IF($G63="C",CONFIG!$B$7,"Gerência + coordenadores"))))</f>
        <v/>
      </c>
      <c r="I63" s="60"/>
      <c r="J63" s="81" t="str">
        <f aca="false">IF($C63="","","—")</f>
        <v/>
      </c>
      <c r="K63" s="91" t="str">
        <f aca="false">IF($C63="","",SUMIFS(OCORRÊNCIAS!$E$6:$E$605,OCORRÊNCIAS!$B$6:$B$605,"Falta",OCORRÊNCIAS!$C$6:$C$605,$G63,OCORRÊNCIAS!$H$6:$H$605,$B63,OCORRÊNCIAS!$J$6:$J$605,YEAR($C63+4-WEEKDAY($C63,2))))</f>
        <v/>
      </c>
      <c r="L63" s="91" t="str">
        <f aca="false">IF($C63="","",SUMIFS(OCORRÊNCIAS!$E$6:$E$605,OCORRÊNCIAS!$B$6:$B$605,"Atestado",OCORRÊNCIAS!$C$6:$C$605,$G63,OCORRÊNCIAS!$H$6:$H$605,$B63,OCORRÊNCIAS!$J$6:$J$605,YEAR($C63+4-WEEKDAY($C63,2))))</f>
        <v/>
      </c>
      <c r="M63" s="84"/>
      <c r="N63" s="84"/>
      <c r="O63" s="84"/>
      <c r="P63" s="90"/>
      <c r="Q63" s="86"/>
      <c r="R63" s="87"/>
      <c r="S63" s="60" t="str">
        <f aca="true">IF($C63="","",IF($Q63="Cancelada","Cancelada",IF($Q63="Reprovado","Reprovada",IF($Q63="Aprovado","Aprovada",IF($M63&lt;&gt;"","Entregue",IF(TODAY()&gt;$C63,"Atrasada","Pendente"))))))</f>
        <v/>
      </c>
      <c r="T63" s="88"/>
      <c r="U63" s="88"/>
      <c r="V63" s="88"/>
    </row>
    <row r="64" customFormat="false" ht="15" hidden="false" customHeight="false" outlineLevel="0" collapsed="false">
      <c r="A64" s="80" t="str">
        <f aca="false">IF($C64="","",$X$2&amp;"-S"&amp;INT(($C64-WEEKDAY($C64,2)+11-DATE(YEAR($C64+4-WEEKDAY($C64,2)),1,1))/7)&amp;"-RSC-B")</f>
        <v/>
      </c>
      <c r="B64" s="81" t="str">
        <f aca="false">IF($C64="","","S"&amp;INT(($C64-WEEKDAY($C64,2)+11-DATE(YEAR($C64+4-WEEKDAY($C64,2)),1,1))/7))</f>
        <v/>
      </c>
      <c r="C64" s="82" t="str">
        <f aca="false">IF(MONTH(($X$1-WEEKDAY($X$1,3)+35)+3)=MONTH($X$1),($X$1-WEEKDAY($X$1,3)+35)+3,"")</f>
        <v/>
      </c>
      <c r="D64" s="9" t="str">
        <f aca="false">IF($C64="","","Relatório Semanal Consolidado (erros + metas + faltas + supervisores)")</f>
        <v/>
      </c>
      <c r="E64" s="9"/>
      <c r="F64" s="9"/>
      <c r="G64" s="81" t="str">
        <f aca="false">IF($C64="","","B")</f>
        <v/>
      </c>
      <c r="H64" s="81" t="str">
        <f aca="false">IF($C64="","",IF($G64="A",CONFIG!$B$5,IF($G64="B",CONFIG!$B$6,IF($G64="C",CONFIG!$B$7,"Gerência + coordenadores"))))</f>
        <v/>
      </c>
      <c r="I64" s="81"/>
      <c r="J64" s="81" t="str">
        <f aca="false">IF($C64="","","—")</f>
        <v/>
      </c>
      <c r="K64" s="91" t="str">
        <f aca="false">IF($C64="","",SUMIFS(OCORRÊNCIAS!$E$6:$E$605,OCORRÊNCIAS!$B$6:$B$605,"Falta",OCORRÊNCIAS!$C$6:$C$605,$G64,OCORRÊNCIAS!$H$6:$H$605,$B64,OCORRÊNCIAS!$J$6:$J$605,YEAR($C64+4-WEEKDAY($C64,2))))</f>
        <v/>
      </c>
      <c r="L64" s="91" t="str">
        <f aca="false">IF($C64="","",SUMIFS(OCORRÊNCIAS!$E$6:$E$605,OCORRÊNCIAS!$B$6:$B$605,"Atestado",OCORRÊNCIAS!$C$6:$C$605,$G64,OCORRÊNCIAS!$H$6:$H$605,$B64,OCORRÊNCIAS!$J$6:$J$605,YEAR($C64+4-WEEKDAY($C64,2))))</f>
        <v/>
      </c>
      <c r="M64" s="84"/>
      <c r="N64" s="84"/>
      <c r="O64" s="84"/>
      <c r="P64" s="85"/>
      <c r="Q64" s="86"/>
      <c r="R64" s="87"/>
      <c r="S64" s="81" t="str">
        <f aca="true">IF($C64="","",IF($Q64="Cancelada","Cancelada",IF($Q64="Reprovado","Reprovada",IF($Q64="Aprovado","Aprovada",IF($M64&lt;&gt;"","Entregue",IF(TODAY()&gt;$C64,"Atrasada","Pendente"))))))</f>
        <v/>
      </c>
      <c r="T64" s="88"/>
      <c r="U64" s="88"/>
      <c r="V64" s="88"/>
    </row>
    <row r="65" customFormat="false" ht="15" hidden="false" customHeight="false" outlineLevel="0" collapsed="false">
      <c r="A65" s="89" t="str">
        <f aca="false">IF($C65="","",$X$2&amp;"-S"&amp;INT(($C65-WEEKDAY($C65,2)+11-DATE(YEAR($C65+4-WEEKDAY($C65,2)),1,1))/7)&amp;"-RSC-C")</f>
        <v/>
      </c>
      <c r="B65" s="60" t="str">
        <f aca="false">IF($C65="","","S"&amp;INT(($C65-WEEKDAY($C65,2)+11-DATE(YEAR($C65+4-WEEKDAY($C65,2)),1,1))/7))</f>
        <v/>
      </c>
      <c r="C65" s="82" t="str">
        <f aca="false">IF(MONTH(($X$1-WEEKDAY($X$1,3)+35)+3)=MONTH($X$1),($X$1-WEEKDAY($X$1,3)+35)+3,"")</f>
        <v/>
      </c>
      <c r="D65" s="56" t="str">
        <f aca="false">IF($C65="","","Relatório Semanal Consolidado (erros + metas + faltas + supervisores)")</f>
        <v/>
      </c>
      <c r="E65" s="56"/>
      <c r="F65" s="56"/>
      <c r="G65" s="60" t="str">
        <f aca="false">IF($C65="","","C")</f>
        <v/>
      </c>
      <c r="H65" s="60" t="str">
        <f aca="false">IF($C65="","",IF($G65="A",CONFIG!$B$5,IF($G65="B",CONFIG!$B$6,IF($G65="C",CONFIG!$B$7,"Gerência + coordenadores"))))</f>
        <v/>
      </c>
      <c r="I65" s="60"/>
      <c r="J65" s="81" t="str">
        <f aca="false">IF($C65="","","—")</f>
        <v/>
      </c>
      <c r="K65" s="91" t="str">
        <f aca="false">IF($C65="","",SUMIFS(OCORRÊNCIAS!$E$6:$E$605,OCORRÊNCIAS!$B$6:$B$605,"Falta",OCORRÊNCIAS!$C$6:$C$605,$G65,OCORRÊNCIAS!$H$6:$H$605,$B65,OCORRÊNCIAS!$J$6:$J$605,YEAR($C65+4-WEEKDAY($C65,2))))</f>
        <v/>
      </c>
      <c r="L65" s="91" t="str">
        <f aca="false">IF($C65="","",SUMIFS(OCORRÊNCIAS!$E$6:$E$605,OCORRÊNCIAS!$B$6:$B$605,"Atestado",OCORRÊNCIAS!$C$6:$C$605,$G65,OCORRÊNCIAS!$H$6:$H$605,$B65,OCORRÊNCIAS!$J$6:$J$605,YEAR($C65+4-WEEKDAY($C65,2))))</f>
        <v/>
      </c>
      <c r="M65" s="84"/>
      <c r="N65" s="84"/>
      <c r="O65" s="84"/>
      <c r="P65" s="90"/>
      <c r="Q65" s="86"/>
      <c r="R65" s="87"/>
      <c r="S65" s="60" t="str">
        <f aca="true">IF($C65="","",IF($Q65="Cancelada","Cancelada",IF($Q65="Reprovado","Reprovada",IF($Q65="Aprovado","Aprovada",IF($M65&lt;&gt;"","Entregue",IF(TODAY()&gt;$C65,"Atrasada","Pendente"))))))</f>
        <v/>
      </c>
      <c r="T65" s="88"/>
      <c r="U65" s="88"/>
      <c r="V65" s="88"/>
    </row>
    <row r="66" customFormat="false" ht="15" hidden="false" customHeight="false" outlineLevel="0" collapsed="false">
      <c r="A66" s="80" t="str">
        <f aca="false">IF($C66="","",$X$2&amp;"-S"&amp;INT(($C66-WEEKDAY($C66,2)+11-DATE(YEAR($C66+4-WEEKDAY($C66,2)),1,1))/7)&amp;"-REU-T")</f>
        <v/>
      </c>
      <c r="B66" s="81" t="str">
        <f aca="false">IF($C66="","","S"&amp;INT(($C66-WEEKDAY($C66,2)+11-DATE(YEAR($C66+4-WEEKDAY($C66,2)),1,1))/7))</f>
        <v/>
      </c>
      <c r="C66" s="82" t="str">
        <f aca="false">IF(MONTH(($X$1-WEEKDAY($X$1,3)+35)+4)=MONTH($X$1),($X$1-WEEKDAY($X$1,3)+35)+4,"")</f>
        <v/>
      </c>
      <c r="D66" s="9" t="str">
        <f aca="false">IF($C66="","","Reunião Semanal com a Gerência")</f>
        <v/>
      </c>
      <c r="E66" s="9"/>
      <c r="F66" s="9"/>
      <c r="G66" s="81" t="str">
        <f aca="false">IF($C66="","","Todos")</f>
        <v/>
      </c>
      <c r="H66" s="81" t="str">
        <f aca="false">IF($C66="","",IF($G66="A",CONFIG!$B$5,IF($G66="B",CONFIG!$B$6,IF($G66="C",CONFIG!$B$7,"Gerência + coordenadores"))))</f>
        <v/>
      </c>
      <c r="I66" s="81"/>
      <c r="J66" s="81" t="str">
        <f aca="false">IF($C66="","","—")</f>
        <v/>
      </c>
      <c r="K66" s="83" t="str">
        <f aca="false">IF($C66="","","—")</f>
        <v/>
      </c>
      <c r="L66" s="83" t="str">
        <f aca="false">IF($C66="","","—")</f>
        <v/>
      </c>
      <c r="M66" s="84"/>
      <c r="N66" s="84"/>
      <c r="O66" s="84"/>
      <c r="P66" s="85"/>
      <c r="Q66" s="86"/>
      <c r="R66" s="87"/>
      <c r="S66" s="81" t="str">
        <f aca="true">IF($C66="","",IF($Q66="Cancelada","Cancelada",IF($Q66="Reprovado","Reprovada",IF($Q66="Aprovado","Aprovada",IF($M66&lt;&gt;"","Entregue",IF(TODAY()&gt;$C66,"Atrasada","Pendente"))))))</f>
        <v/>
      </c>
      <c r="T66" s="88"/>
      <c r="U66" s="88"/>
      <c r="V66" s="88"/>
    </row>
    <row r="67" customFormat="false" ht="22.35" hidden="false" customHeight="false" outlineLevel="0" collapsed="false">
      <c r="A67" s="89" t="str">
        <f aca="false">IF($C67="","",$X$2&amp;"-S"&amp;INT(($C67-WEEKDAY($C67,2)+11-DATE(YEAR($C67+4-WEEKDAY($C67,2)),1,1))/7)&amp;"-MDF-T")</f>
        <v>DEZ-S52-MDF-T</v>
      </c>
      <c r="B67" s="60" t="str">
        <f aca="false">IF($C67="","","S"&amp;INT(($C67-WEEKDAY($C67,2)+11-DATE(YEAR($C67+4-WEEKDAY($C67,2)),1,1))/7))</f>
        <v>S52</v>
      </c>
      <c r="C67" s="82" t="n">
        <f aca="false">EOMONTH($X$1,0)-MOD(WEEKDAY(EOMONTH($X$1,0),2)-5,7)</f>
        <v>46381</v>
      </c>
      <c r="D67" s="56" t="str">
        <f aca="false">IF($C67="","","Mudança de Função — reunião mensal")</f>
        <v>Mudança de Função — reunião mensal</v>
      </c>
      <c r="E67" s="56"/>
      <c r="F67" s="56"/>
      <c r="G67" s="60" t="str">
        <f aca="false">IF($C67="","","Todos")</f>
        <v>Todos</v>
      </c>
      <c r="H67" s="60" t="str">
        <f aca="false">IF($C67="","",IF($G67="A",CONFIG!$B$5,IF($G67="B",CONFIG!$B$6,IF($G67="C",CONFIG!$B$7,"Gerência + coordenadores"))))</f>
        <v>Gerência + coordenadores</v>
      </c>
      <c r="I67" s="60"/>
      <c r="J67" s="81" t="str">
        <f aca="false">IF($C67="","","—")</f>
        <v>—</v>
      </c>
      <c r="K67" s="83" t="str">
        <f aca="false">IF($C67="","","—")</f>
        <v>—</v>
      </c>
      <c r="L67" s="83" t="str">
        <f aca="false">IF($C67="","","—")</f>
        <v>—</v>
      </c>
      <c r="M67" s="84"/>
      <c r="N67" s="84"/>
      <c r="O67" s="84"/>
      <c r="P67" s="90"/>
      <c r="Q67" s="86"/>
      <c r="R67" s="87"/>
      <c r="S67" s="60" t="str">
        <f aca="true">IF($C67="","",IF($Q67="Cancelada","Cancelada",IF($Q67="Reprovado","Reprovada",IF($Q67="Aprovado","Aprovada",IF($M67&lt;&gt;"","Entregue",IF(TODAY()&gt;$C67,"Atrasada","Pendente"))))))</f>
        <v>Pendente</v>
      </c>
      <c r="T67" s="88"/>
      <c r="U67" s="88"/>
      <c r="V67" s="88"/>
    </row>
    <row r="69" customFormat="false" ht="15" hidden="false" customHeight="true" outlineLevel="0" collapsed="false">
      <c r="A69" s="92" t="s">
        <v>229</v>
      </c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customFormat="false" ht="22.35" hidden="false" customHeight="true" outlineLevel="0" collapsed="false">
      <c r="A70" s="80" t="str">
        <f aca="false">$X$2&amp;"-TRE-1"</f>
        <v>DEZ-TRE-1</v>
      </c>
      <c r="B70" s="31" t="str">
        <f aca="false">IF($C70="","","S"&amp;INT(($C70-WEEKDAY($C70,2)+11-DATE(YEAR($C70+4-WEEKDAY($C70,2)),1,1))/7))</f>
        <v/>
      </c>
      <c r="C70" s="82"/>
      <c r="D70" s="87" t="s">
        <v>230</v>
      </c>
      <c r="E70" s="87"/>
      <c r="F70" s="87"/>
      <c r="G70" s="31" t="s">
        <v>231</v>
      </c>
      <c r="H70" s="81" t="s">
        <v>232</v>
      </c>
      <c r="I70" s="81"/>
      <c r="J70" s="31" t="s">
        <v>233</v>
      </c>
      <c r="K70" s="83" t="s">
        <v>233</v>
      </c>
      <c r="L70" s="83" t="s">
        <v>233</v>
      </c>
      <c r="M70" s="84"/>
      <c r="N70" s="84"/>
      <c r="O70" s="84"/>
      <c r="P70" s="85"/>
      <c r="Q70" s="86"/>
      <c r="R70" s="87"/>
      <c r="S70" s="81" t="str">
        <f aca="true">IF($C70="","Não agendado",IF($Q70="Cancelada","Cancelada",IF($Q70="Reprovado","Reprovada",IF($Q70="Aprovado","Aprovada",IF($M70&lt;&gt;"","Entregue",IF(TODAY()&gt;$C70,"Atrasada","Pendente"))))))</f>
        <v>Não agendado</v>
      </c>
      <c r="T70" s="88"/>
      <c r="U70" s="88"/>
      <c r="V70" s="88"/>
    </row>
    <row r="71" customFormat="false" ht="22.35" hidden="false" customHeight="true" outlineLevel="0" collapsed="false">
      <c r="A71" s="80" t="str">
        <f aca="false">$X$2&amp;"-TRE-2"</f>
        <v>DEZ-TRE-2</v>
      </c>
      <c r="B71" s="31" t="str">
        <f aca="false">IF($C71="","","S"&amp;INT(($C71-WEEKDAY($C71,2)+11-DATE(YEAR($C71+4-WEEKDAY($C71,2)),1,1))/7))</f>
        <v/>
      </c>
      <c r="C71" s="82"/>
      <c r="D71" s="87" t="s">
        <v>230</v>
      </c>
      <c r="E71" s="87"/>
      <c r="F71" s="87"/>
      <c r="G71" s="31" t="s">
        <v>231</v>
      </c>
      <c r="H71" s="81" t="s">
        <v>232</v>
      </c>
      <c r="I71" s="81"/>
      <c r="J71" s="31" t="s">
        <v>233</v>
      </c>
      <c r="K71" s="83" t="s">
        <v>233</v>
      </c>
      <c r="L71" s="83" t="s">
        <v>233</v>
      </c>
      <c r="M71" s="84"/>
      <c r="N71" s="84"/>
      <c r="O71" s="84"/>
      <c r="P71" s="85"/>
      <c r="Q71" s="86"/>
      <c r="R71" s="87"/>
      <c r="S71" s="81" t="str">
        <f aca="true">IF($C71="","Não agendado",IF($Q71="Cancelada","Cancelada",IF($Q71="Reprovado","Reprovada",IF($Q71="Aprovado","Aprovada",IF($M71&lt;&gt;"","Entregue",IF(TODAY()&gt;$C71,"Atrasada","Pendente"))))))</f>
        <v>Não agendado</v>
      </c>
      <c r="T71" s="88"/>
      <c r="U71" s="88"/>
      <c r="V71" s="88"/>
    </row>
    <row r="72" customFormat="false" ht="22.35" hidden="false" customHeight="true" outlineLevel="0" collapsed="false">
      <c r="A72" s="80" t="str">
        <f aca="false">$X$2&amp;"-TRE-3"</f>
        <v>DEZ-TRE-3</v>
      </c>
      <c r="B72" s="31" t="str">
        <f aca="false">IF($C72="","","S"&amp;INT(($C72-WEEKDAY($C72,2)+11-DATE(YEAR($C72+4-WEEKDAY($C72,2)),1,1))/7))</f>
        <v/>
      </c>
      <c r="C72" s="82"/>
      <c r="D72" s="87" t="s">
        <v>230</v>
      </c>
      <c r="E72" s="87"/>
      <c r="F72" s="87"/>
      <c r="G72" s="31" t="s">
        <v>231</v>
      </c>
      <c r="H72" s="81" t="s">
        <v>232</v>
      </c>
      <c r="I72" s="81"/>
      <c r="J72" s="31" t="s">
        <v>233</v>
      </c>
      <c r="K72" s="83" t="s">
        <v>233</v>
      </c>
      <c r="L72" s="83" t="s">
        <v>233</v>
      </c>
      <c r="M72" s="84"/>
      <c r="N72" s="84"/>
      <c r="O72" s="84"/>
      <c r="P72" s="85"/>
      <c r="Q72" s="86"/>
      <c r="R72" s="87"/>
      <c r="S72" s="81" t="str">
        <f aca="true">IF($C72="","Não agendado",IF($Q72="Cancelada","Cancelada",IF($Q72="Reprovado","Reprovada",IF($Q72="Aprovado","Aprovada",IF($M72&lt;&gt;"","Entregue",IF(TODAY()&gt;$C72,"Atrasada","Pendente"))))))</f>
        <v>Não agendado</v>
      </c>
      <c r="T72" s="88"/>
      <c r="U72" s="88"/>
      <c r="V72" s="88"/>
    </row>
    <row r="73" customFormat="false" ht="22.35" hidden="false" customHeight="true" outlineLevel="0" collapsed="false">
      <c r="A73" s="80" t="str">
        <f aca="false">$X$2&amp;"-TRE-4"</f>
        <v>DEZ-TRE-4</v>
      </c>
      <c r="B73" s="31" t="str">
        <f aca="false">IF($C73="","","S"&amp;INT(($C73-WEEKDAY($C73,2)+11-DATE(YEAR($C73+4-WEEKDAY($C73,2)),1,1))/7))</f>
        <v/>
      </c>
      <c r="C73" s="82"/>
      <c r="D73" s="87" t="s">
        <v>230</v>
      </c>
      <c r="E73" s="87"/>
      <c r="F73" s="87"/>
      <c r="G73" s="31" t="s">
        <v>231</v>
      </c>
      <c r="H73" s="81" t="s">
        <v>232</v>
      </c>
      <c r="I73" s="81"/>
      <c r="J73" s="31" t="s">
        <v>233</v>
      </c>
      <c r="K73" s="83" t="s">
        <v>233</v>
      </c>
      <c r="L73" s="83" t="s">
        <v>233</v>
      </c>
      <c r="M73" s="84"/>
      <c r="N73" s="84"/>
      <c r="O73" s="84"/>
      <c r="P73" s="85"/>
      <c r="Q73" s="86"/>
      <c r="R73" s="87"/>
      <c r="S73" s="81" t="str">
        <f aca="true">IF($C73="","Não agendado",IF($Q73="Cancelada","Cancelada",IF($Q73="Reprovado","Reprovada",IF($Q73="Aprovado","Aprovada",IF($M73&lt;&gt;"","Entregue",IF(TODAY()&gt;$C73,"Atrasada","Pendente"))))))</f>
        <v>Não agendado</v>
      </c>
      <c r="T73" s="88"/>
      <c r="U73" s="88"/>
      <c r="V73" s="88"/>
    </row>
    <row r="74" customFormat="false" ht="22.35" hidden="false" customHeight="true" outlineLevel="0" collapsed="false">
      <c r="A74" s="80" t="str">
        <f aca="false">$X$2&amp;"-TRE-5"</f>
        <v>DEZ-TRE-5</v>
      </c>
      <c r="B74" s="31" t="str">
        <f aca="false">IF($C74="","","S"&amp;INT(($C74-WEEKDAY($C74,2)+11-DATE(YEAR($C74+4-WEEKDAY($C74,2)),1,1))/7))</f>
        <v/>
      </c>
      <c r="C74" s="82"/>
      <c r="D74" s="87" t="s">
        <v>230</v>
      </c>
      <c r="E74" s="87"/>
      <c r="F74" s="87"/>
      <c r="G74" s="31" t="s">
        <v>231</v>
      </c>
      <c r="H74" s="81" t="s">
        <v>232</v>
      </c>
      <c r="I74" s="81"/>
      <c r="J74" s="31" t="s">
        <v>233</v>
      </c>
      <c r="K74" s="83" t="s">
        <v>233</v>
      </c>
      <c r="L74" s="83" t="s">
        <v>233</v>
      </c>
      <c r="M74" s="84"/>
      <c r="N74" s="84"/>
      <c r="O74" s="84"/>
      <c r="P74" s="85"/>
      <c r="Q74" s="86"/>
      <c r="R74" s="87"/>
      <c r="S74" s="81" t="str">
        <f aca="true">IF($C74="","Não agendado",IF($Q74="Cancelada","Cancelada",IF($Q74="Reprovado","Reprovada",IF($Q74="Aprovado","Aprovada",IF($M74&lt;&gt;"","Entregue",IF(TODAY()&gt;$C74,"Atrasada","Pendente"))))))</f>
        <v>Não agendado</v>
      </c>
      <c r="T74" s="88"/>
      <c r="U74" s="88"/>
      <c r="V74" s="88"/>
    </row>
    <row r="75" customFormat="false" ht="22.35" hidden="false" customHeight="true" outlineLevel="0" collapsed="false">
      <c r="A75" s="80" t="str">
        <f aca="false">$X$2&amp;"-TRE-6"</f>
        <v>DEZ-TRE-6</v>
      </c>
      <c r="B75" s="31" t="str">
        <f aca="false">IF($C75="","","S"&amp;INT(($C75-WEEKDAY($C75,2)+11-DATE(YEAR($C75+4-WEEKDAY($C75,2)),1,1))/7))</f>
        <v/>
      </c>
      <c r="C75" s="82"/>
      <c r="D75" s="87" t="s">
        <v>230</v>
      </c>
      <c r="E75" s="87"/>
      <c r="F75" s="87"/>
      <c r="G75" s="31" t="s">
        <v>231</v>
      </c>
      <c r="H75" s="81" t="s">
        <v>232</v>
      </c>
      <c r="I75" s="81"/>
      <c r="J75" s="31" t="s">
        <v>233</v>
      </c>
      <c r="K75" s="83" t="s">
        <v>233</v>
      </c>
      <c r="L75" s="83" t="s">
        <v>233</v>
      </c>
      <c r="M75" s="84"/>
      <c r="N75" s="84"/>
      <c r="O75" s="84"/>
      <c r="P75" s="85"/>
      <c r="Q75" s="86"/>
      <c r="R75" s="87"/>
      <c r="S75" s="81" t="str">
        <f aca="true">IF($C75="","Não agendado",IF($Q75="Cancelada","Cancelada",IF($Q75="Reprovado","Reprovada",IF($Q75="Aprovado","Aprovada",IF($M75&lt;&gt;"","Entregue",IF(TODAY()&gt;$C75,"Atrasada","Pendente"))))))</f>
        <v>Não agendado</v>
      </c>
      <c r="T75" s="88"/>
      <c r="U75" s="88"/>
      <c r="V75" s="88"/>
    </row>
    <row r="77" customFormat="false" ht="15" hidden="false" customHeight="true" outlineLevel="0" collapsed="false">
      <c r="A77" s="46" t="s">
        <v>234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</row>
  </sheetData>
  <mergeCells count="256">
    <mergeCell ref="A1:S1"/>
    <mergeCell ref="A3:O3"/>
    <mergeCell ref="B5:C5"/>
    <mergeCell ref="D5:E5"/>
    <mergeCell ref="F5:G5"/>
    <mergeCell ref="H5:I5"/>
    <mergeCell ref="J5:K5"/>
    <mergeCell ref="L5:M5"/>
    <mergeCell ref="N5:O5"/>
    <mergeCell ref="B6:C6"/>
    <mergeCell ref="D6:E6"/>
    <mergeCell ref="F6:G6"/>
    <mergeCell ref="H6:I6"/>
    <mergeCell ref="J6:K6"/>
    <mergeCell ref="L6:M6"/>
    <mergeCell ref="N6:O6"/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O18"/>
    <mergeCell ref="A20:V20"/>
    <mergeCell ref="D21:F21"/>
    <mergeCell ref="H21:I21"/>
    <mergeCell ref="M21:O21"/>
    <mergeCell ref="D22:F22"/>
    <mergeCell ref="H22:I22"/>
    <mergeCell ref="M22:O22"/>
    <mergeCell ref="D23:F23"/>
    <mergeCell ref="H23:I23"/>
    <mergeCell ref="M23:O23"/>
    <mergeCell ref="D24:F24"/>
    <mergeCell ref="H24:I24"/>
    <mergeCell ref="M24:O24"/>
    <mergeCell ref="D25:F25"/>
    <mergeCell ref="H25:I25"/>
    <mergeCell ref="M25:O25"/>
    <mergeCell ref="D26:F26"/>
    <mergeCell ref="H26:I26"/>
    <mergeCell ref="M26:O26"/>
    <mergeCell ref="D27:F27"/>
    <mergeCell ref="H27:I27"/>
    <mergeCell ref="M27:O27"/>
    <mergeCell ref="D28:F28"/>
    <mergeCell ref="H28:I28"/>
    <mergeCell ref="M28:O28"/>
    <mergeCell ref="D29:F29"/>
    <mergeCell ref="H29:I29"/>
    <mergeCell ref="M29:O29"/>
    <mergeCell ref="D30:F30"/>
    <mergeCell ref="H30:I30"/>
    <mergeCell ref="M30:O30"/>
    <mergeCell ref="D31:F31"/>
    <mergeCell ref="H31:I31"/>
    <mergeCell ref="M31:O31"/>
    <mergeCell ref="D32:F32"/>
    <mergeCell ref="H32:I32"/>
    <mergeCell ref="M32:O32"/>
    <mergeCell ref="D33:F33"/>
    <mergeCell ref="H33:I33"/>
    <mergeCell ref="M33:O33"/>
    <mergeCell ref="D34:F34"/>
    <mergeCell ref="H34:I34"/>
    <mergeCell ref="M34:O34"/>
    <mergeCell ref="D35:F35"/>
    <mergeCell ref="H35:I35"/>
    <mergeCell ref="M35:O35"/>
    <mergeCell ref="D36:F36"/>
    <mergeCell ref="H36:I36"/>
    <mergeCell ref="M36:O36"/>
    <mergeCell ref="D37:F37"/>
    <mergeCell ref="H37:I37"/>
    <mergeCell ref="M37:O37"/>
    <mergeCell ref="D38:F38"/>
    <mergeCell ref="H38:I38"/>
    <mergeCell ref="M38:O38"/>
    <mergeCell ref="D39:F39"/>
    <mergeCell ref="H39:I39"/>
    <mergeCell ref="M39:O39"/>
    <mergeCell ref="D40:F40"/>
    <mergeCell ref="H40:I40"/>
    <mergeCell ref="M40:O40"/>
    <mergeCell ref="D41:F41"/>
    <mergeCell ref="H41:I41"/>
    <mergeCell ref="M41:O41"/>
    <mergeCell ref="D42:F42"/>
    <mergeCell ref="H42:I42"/>
    <mergeCell ref="M42:O42"/>
    <mergeCell ref="D43:F43"/>
    <mergeCell ref="H43:I43"/>
    <mergeCell ref="M43:O43"/>
    <mergeCell ref="D44:F44"/>
    <mergeCell ref="H44:I44"/>
    <mergeCell ref="M44:O44"/>
    <mergeCell ref="D45:F45"/>
    <mergeCell ref="H45:I45"/>
    <mergeCell ref="M45:O45"/>
    <mergeCell ref="D46:F46"/>
    <mergeCell ref="H46:I46"/>
    <mergeCell ref="M46:O46"/>
    <mergeCell ref="D47:F47"/>
    <mergeCell ref="H47:I47"/>
    <mergeCell ref="M47:O47"/>
    <mergeCell ref="D48:F48"/>
    <mergeCell ref="H48:I48"/>
    <mergeCell ref="M48:O48"/>
    <mergeCell ref="D49:F49"/>
    <mergeCell ref="H49:I49"/>
    <mergeCell ref="M49:O49"/>
    <mergeCell ref="D50:F50"/>
    <mergeCell ref="H50:I50"/>
    <mergeCell ref="M50:O50"/>
    <mergeCell ref="D51:F51"/>
    <mergeCell ref="H51:I51"/>
    <mergeCell ref="M51:O51"/>
    <mergeCell ref="D52:F52"/>
    <mergeCell ref="H52:I52"/>
    <mergeCell ref="M52:O52"/>
    <mergeCell ref="D53:F53"/>
    <mergeCell ref="H53:I53"/>
    <mergeCell ref="M53:O53"/>
    <mergeCell ref="D54:F54"/>
    <mergeCell ref="H54:I54"/>
    <mergeCell ref="M54:O54"/>
    <mergeCell ref="D55:F55"/>
    <mergeCell ref="H55:I55"/>
    <mergeCell ref="M55:O55"/>
    <mergeCell ref="D56:F56"/>
    <mergeCell ref="H56:I56"/>
    <mergeCell ref="M56:O56"/>
    <mergeCell ref="D57:F57"/>
    <mergeCell ref="H57:I57"/>
    <mergeCell ref="M57:O57"/>
    <mergeCell ref="D58:F58"/>
    <mergeCell ref="H58:I58"/>
    <mergeCell ref="M58:O58"/>
    <mergeCell ref="D59:F59"/>
    <mergeCell ref="H59:I59"/>
    <mergeCell ref="M59:O59"/>
    <mergeCell ref="D60:F60"/>
    <mergeCell ref="H60:I60"/>
    <mergeCell ref="M60:O60"/>
    <mergeCell ref="D61:F61"/>
    <mergeCell ref="H61:I61"/>
    <mergeCell ref="M61:O61"/>
    <mergeCell ref="D62:F62"/>
    <mergeCell ref="H62:I62"/>
    <mergeCell ref="M62:O62"/>
    <mergeCell ref="D63:F63"/>
    <mergeCell ref="H63:I63"/>
    <mergeCell ref="M63:O63"/>
    <mergeCell ref="D64:F64"/>
    <mergeCell ref="H64:I64"/>
    <mergeCell ref="M64:O64"/>
    <mergeCell ref="D65:F65"/>
    <mergeCell ref="H65:I65"/>
    <mergeCell ref="M65:O65"/>
    <mergeCell ref="D66:F66"/>
    <mergeCell ref="H66:I66"/>
    <mergeCell ref="M66:O66"/>
    <mergeCell ref="D67:F67"/>
    <mergeCell ref="H67:I67"/>
    <mergeCell ref="M67:O67"/>
    <mergeCell ref="A69:V69"/>
    <mergeCell ref="D70:F70"/>
    <mergeCell ref="H70:I70"/>
    <mergeCell ref="M70:O70"/>
    <mergeCell ref="D71:F71"/>
    <mergeCell ref="H71:I71"/>
    <mergeCell ref="M71:O71"/>
    <mergeCell ref="D72:F72"/>
    <mergeCell ref="H72:I72"/>
    <mergeCell ref="M72:O72"/>
    <mergeCell ref="D73:F73"/>
    <mergeCell ref="H73:I73"/>
    <mergeCell ref="M73:O73"/>
    <mergeCell ref="D74:F74"/>
    <mergeCell ref="H74:I74"/>
    <mergeCell ref="M74:O74"/>
    <mergeCell ref="D75:F75"/>
    <mergeCell ref="H75:I75"/>
    <mergeCell ref="M75:O75"/>
    <mergeCell ref="A77:V77"/>
  </mergeCells>
  <conditionalFormatting sqref="A3">
    <cfRule type="expression" priority="2" aboveAverage="0" equalAverage="0" bottom="0" percent="0" rank="0" text="" dxfId="11">
      <formula>LEFT($A$3,3)="MÊS"</formula>
    </cfRule>
  </conditionalFormatting>
  <conditionalFormatting sqref="B6:C7">
    <cfRule type="expression" priority="3" aboveAverage="0" equalAverage="0" bottom="0" percent="0" rank="0" text="" dxfId="12">
      <formula>AND(B6&lt;&gt;"",B6=TODAY())</formula>
    </cfRule>
    <cfRule type="expression" priority="4" aboveAverage="0" equalAverage="0" bottom="0" percent="0" rank="0" text="" dxfId="13">
      <formula>AND(B6&lt;&gt;"",COUNTIFS($C$22:$C$150,B6,$S$22:$S$150,"Atrasada")&gt;0)</formula>
    </cfRule>
    <cfRule type="expression" priority="5" aboveAverage="0" equalAverage="0" bottom="0" percent="0" rank="0" text="" dxfId="14">
      <formula>AND(B6&lt;&gt;"",COUNTIFS($C$22:$C$150,B6,$Q$22:$Q$150,"&lt;&gt;Cancelada")&gt;0)</formula>
    </cfRule>
  </conditionalFormatting>
  <conditionalFormatting sqref="D6:E7">
    <cfRule type="expression" priority="6" aboveAverage="0" equalAverage="0" bottom="0" percent="0" rank="0" text="" dxfId="12">
      <formula>AND(D6&lt;&gt;"",D6=TODAY())</formula>
    </cfRule>
    <cfRule type="expression" priority="7" aboveAverage="0" equalAverage="0" bottom="0" percent="0" rank="0" text="" dxfId="13">
      <formula>AND(D6&lt;&gt;"",COUNTIFS($C$22:$C$150,D6,$S$22:$S$150,"Atrasada")&gt;0)</formula>
    </cfRule>
    <cfRule type="expression" priority="8" aboveAverage="0" equalAverage="0" bottom="0" percent="0" rank="0" text="" dxfId="14">
      <formula>AND(D6&lt;&gt;"",COUNTIFS($C$22:$C$150,D6,$Q$22:$Q$150,"&lt;&gt;Cancelada")&gt;0)</formula>
    </cfRule>
  </conditionalFormatting>
  <conditionalFormatting sqref="F6:G7">
    <cfRule type="expression" priority="9" aboveAverage="0" equalAverage="0" bottom="0" percent="0" rank="0" text="" dxfId="12">
      <formula>AND(F6&lt;&gt;"",F6=TODAY())</formula>
    </cfRule>
    <cfRule type="expression" priority="10" aboveAverage="0" equalAverage="0" bottom="0" percent="0" rank="0" text="" dxfId="13">
      <formula>AND(F6&lt;&gt;"",COUNTIFS($C$22:$C$150,F6,$S$22:$S$150,"Atrasada")&gt;0)</formula>
    </cfRule>
    <cfRule type="expression" priority="11" aboveAverage="0" equalAverage="0" bottom="0" percent="0" rank="0" text="" dxfId="14">
      <formula>AND(F6&lt;&gt;"",COUNTIFS($C$22:$C$150,F6,$Q$22:$Q$150,"&lt;&gt;Cancelada")&gt;0)</formula>
    </cfRule>
  </conditionalFormatting>
  <conditionalFormatting sqref="H6:I7">
    <cfRule type="expression" priority="12" aboveAverage="0" equalAverage="0" bottom="0" percent="0" rank="0" text="" dxfId="12">
      <formula>AND(H6&lt;&gt;"",H6=TODAY())</formula>
    </cfRule>
    <cfRule type="expression" priority="13" aboveAverage="0" equalAverage="0" bottom="0" percent="0" rank="0" text="" dxfId="13">
      <formula>AND(H6&lt;&gt;"",COUNTIFS($C$22:$C$150,H6,$S$22:$S$150,"Atrasada")&gt;0)</formula>
    </cfRule>
    <cfRule type="expression" priority="14" aboveAverage="0" equalAverage="0" bottom="0" percent="0" rank="0" text="" dxfId="14">
      <formula>AND(H6&lt;&gt;"",COUNTIFS($C$22:$C$150,H6,$Q$22:$Q$150,"&lt;&gt;Cancelada")&gt;0)</formula>
    </cfRule>
  </conditionalFormatting>
  <conditionalFormatting sqref="J6:K7">
    <cfRule type="expression" priority="15" aboveAverage="0" equalAverage="0" bottom="0" percent="0" rank="0" text="" dxfId="12">
      <formula>AND(J6&lt;&gt;"",J6=TODAY())</formula>
    </cfRule>
    <cfRule type="expression" priority="16" aboveAverage="0" equalAverage="0" bottom="0" percent="0" rank="0" text="" dxfId="13">
      <formula>AND(J6&lt;&gt;"",COUNTIFS($C$22:$C$150,J6,$S$22:$S$150,"Atrasada")&gt;0)</formula>
    </cfRule>
    <cfRule type="expression" priority="17" aboveAverage="0" equalAverage="0" bottom="0" percent="0" rank="0" text="" dxfId="14">
      <formula>AND(J6&lt;&gt;"",COUNTIFS($C$22:$C$150,J6,$Q$22:$Q$150,"&lt;&gt;Cancelada")&gt;0)</formula>
    </cfRule>
  </conditionalFormatting>
  <conditionalFormatting sqref="L6:M7">
    <cfRule type="expression" priority="18" aboveAverage="0" equalAverage="0" bottom="0" percent="0" rank="0" text="" dxfId="12">
      <formula>AND(L6&lt;&gt;"",L6=TODAY())</formula>
    </cfRule>
    <cfRule type="expression" priority="19" aboveAverage="0" equalAverage="0" bottom="0" percent="0" rank="0" text="" dxfId="13">
      <formula>AND(L6&lt;&gt;"",COUNTIFS($C$22:$C$150,L6,$S$22:$S$150,"Atrasada")&gt;0)</formula>
    </cfRule>
    <cfRule type="expression" priority="20" aboveAverage="0" equalAverage="0" bottom="0" percent="0" rank="0" text="" dxfId="14">
      <formula>AND(L6&lt;&gt;"",COUNTIFS($C$22:$C$150,L6,$Q$22:$Q$150,"&lt;&gt;Cancelada")&gt;0)</formula>
    </cfRule>
  </conditionalFormatting>
  <conditionalFormatting sqref="N6:O7">
    <cfRule type="expression" priority="21" aboveAverage="0" equalAverage="0" bottom="0" percent="0" rank="0" text="" dxfId="12">
      <formula>AND(N6&lt;&gt;"",N6=TODAY())</formula>
    </cfRule>
    <cfRule type="expression" priority="22" aboveAverage="0" equalAverage="0" bottom="0" percent="0" rank="0" text="" dxfId="13">
      <formula>AND(N6&lt;&gt;"",COUNTIFS($C$22:$C$150,N6,$S$22:$S$150,"Atrasada")&gt;0)</formula>
    </cfRule>
    <cfRule type="expression" priority="23" aboveAverage="0" equalAverage="0" bottom="0" percent="0" rank="0" text="" dxfId="14">
      <formula>AND(N6&lt;&gt;"",COUNTIFS($C$22:$C$150,N6,$Q$22:$Q$150,"&lt;&gt;Cancelada")&gt;0)</formula>
    </cfRule>
  </conditionalFormatting>
  <conditionalFormatting sqref="B8:C9">
    <cfRule type="expression" priority="24" aboveAverage="0" equalAverage="0" bottom="0" percent="0" rank="0" text="" dxfId="12">
      <formula>AND(B8&lt;&gt;"",B8=TODAY())</formula>
    </cfRule>
    <cfRule type="expression" priority="25" aboveAverage="0" equalAverage="0" bottom="0" percent="0" rank="0" text="" dxfId="13">
      <formula>AND(B8&lt;&gt;"",COUNTIFS($C$22:$C$150,B8,$S$22:$S$150,"Atrasada")&gt;0)</formula>
    </cfRule>
    <cfRule type="expression" priority="26" aboveAverage="0" equalAverage="0" bottom="0" percent="0" rank="0" text="" dxfId="14">
      <formula>AND(B8&lt;&gt;"",COUNTIFS($C$22:$C$150,B8,$Q$22:$Q$150,"&lt;&gt;Cancelada")&gt;0)</formula>
    </cfRule>
  </conditionalFormatting>
  <conditionalFormatting sqref="D8:E9">
    <cfRule type="expression" priority="27" aboveAverage="0" equalAverage="0" bottom="0" percent="0" rank="0" text="" dxfId="12">
      <formula>AND(D8&lt;&gt;"",D8=TODAY())</formula>
    </cfRule>
    <cfRule type="expression" priority="28" aboveAverage="0" equalAverage="0" bottom="0" percent="0" rank="0" text="" dxfId="13">
      <formula>AND(D8&lt;&gt;"",COUNTIFS($C$22:$C$150,D8,$S$22:$S$150,"Atrasada")&gt;0)</formula>
    </cfRule>
    <cfRule type="expression" priority="29" aboveAverage="0" equalAverage="0" bottom="0" percent="0" rank="0" text="" dxfId="14">
      <formula>AND(D8&lt;&gt;"",COUNTIFS($C$22:$C$150,D8,$Q$22:$Q$150,"&lt;&gt;Cancelada")&gt;0)</formula>
    </cfRule>
  </conditionalFormatting>
  <conditionalFormatting sqref="F8:G9">
    <cfRule type="expression" priority="30" aboveAverage="0" equalAverage="0" bottom="0" percent="0" rank="0" text="" dxfId="12">
      <formula>AND(F8&lt;&gt;"",F8=TODAY())</formula>
    </cfRule>
    <cfRule type="expression" priority="31" aboveAverage="0" equalAverage="0" bottom="0" percent="0" rank="0" text="" dxfId="13">
      <formula>AND(F8&lt;&gt;"",COUNTIFS($C$22:$C$150,F8,$S$22:$S$150,"Atrasada")&gt;0)</formula>
    </cfRule>
    <cfRule type="expression" priority="32" aboveAverage="0" equalAverage="0" bottom="0" percent="0" rank="0" text="" dxfId="14">
      <formula>AND(F8&lt;&gt;"",COUNTIFS($C$22:$C$150,F8,$Q$22:$Q$150,"&lt;&gt;Cancelada")&gt;0)</formula>
    </cfRule>
  </conditionalFormatting>
  <conditionalFormatting sqref="H8:I9">
    <cfRule type="expression" priority="33" aboveAverage="0" equalAverage="0" bottom="0" percent="0" rank="0" text="" dxfId="12">
      <formula>AND(H8&lt;&gt;"",H8=TODAY())</formula>
    </cfRule>
    <cfRule type="expression" priority="34" aboveAverage="0" equalAverage="0" bottom="0" percent="0" rank="0" text="" dxfId="13">
      <formula>AND(H8&lt;&gt;"",COUNTIFS($C$22:$C$150,H8,$S$22:$S$150,"Atrasada")&gt;0)</formula>
    </cfRule>
    <cfRule type="expression" priority="35" aboveAverage="0" equalAverage="0" bottom="0" percent="0" rank="0" text="" dxfId="14">
      <formula>AND(H8&lt;&gt;"",COUNTIFS($C$22:$C$150,H8,$Q$22:$Q$150,"&lt;&gt;Cancelada")&gt;0)</formula>
    </cfRule>
  </conditionalFormatting>
  <conditionalFormatting sqref="J8:K9">
    <cfRule type="expression" priority="36" aboveAverage="0" equalAverage="0" bottom="0" percent="0" rank="0" text="" dxfId="12">
      <formula>AND(J8&lt;&gt;"",J8=TODAY())</formula>
    </cfRule>
    <cfRule type="expression" priority="37" aboveAverage="0" equalAverage="0" bottom="0" percent="0" rank="0" text="" dxfId="13">
      <formula>AND(J8&lt;&gt;"",COUNTIFS($C$22:$C$150,J8,$S$22:$S$150,"Atrasada")&gt;0)</formula>
    </cfRule>
    <cfRule type="expression" priority="38" aboveAverage="0" equalAverage="0" bottom="0" percent="0" rank="0" text="" dxfId="14">
      <formula>AND(J8&lt;&gt;"",COUNTIFS($C$22:$C$150,J8,$Q$22:$Q$150,"&lt;&gt;Cancelada")&gt;0)</formula>
    </cfRule>
  </conditionalFormatting>
  <conditionalFormatting sqref="L8:M9">
    <cfRule type="expression" priority="39" aboveAverage="0" equalAverage="0" bottom="0" percent="0" rank="0" text="" dxfId="12">
      <formula>AND(L8&lt;&gt;"",L8=TODAY())</formula>
    </cfRule>
    <cfRule type="expression" priority="40" aboveAverage="0" equalAverage="0" bottom="0" percent="0" rank="0" text="" dxfId="13">
      <formula>AND(L8&lt;&gt;"",COUNTIFS($C$22:$C$150,L8,$S$22:$S$150,"Atrasada")&gt;0)</formula>
    </cfRule>
    <cfRule type="expression" priority="41" aboveAverage="0" equalAverage="0" bottom="0" percent="0" rank="0" text="" dxfId="14">
      <formula>AND(L8&lt;&gt;"",COUNTIFS($C$22:$C$150,L8,$Q$22:$Q$150,"&lt;&gt;Cancelada")&gt;0)</formula>
    </cfRule>
  </conditionalFormatting>
  <conditionalFormatting sqref="N8:O9">
    <cfRule type="expression" priority="42" aboveAverage="0" equalAverage="0" bottom="0" percent="0" rank="0" text="" dxfId="12">
      <formula>AND(N8&lt;&gt;"",N8=TODAY())</formula>
    </cfRule>
    <cfRule type="expression" priority="43" aboveAverage="0" equalAverage="0" bottom="0" percent="0" rank="0" text="" dxfId="13">
      <formula>AND(N8&lt;&gt;"",COUNTIFS($C$22:$C$150,N8,$S$22:$S$150,"Atrasada")&gt;0)</formula>
    </cfRule>
    <cfRule type="expression" priority="44" aboveAverage="0" equalAverage="0" bottom="0" percent="0" rank="0" text="" dxfId="14">
      <formula>AND(N8&lt;&gt;"",COUNTIFS($C$22:$C$150,N8,$Q$22:$Q$150,"&lt;&gt;Cancelada")&gt;0)</formula>
    </cfRule>
  </conditionalFormatting>
  <conditionalFormatting sqref="B10:C11">
    <cfRule type="expression" priority="45" aboveAverage="0" equalAverage="0" bottom="0" percent="0" rank="0" text="" dxfId="12">
      <formula>AND(B10&lt;&gt;"",B10=TODAY())</formula>
    </cfRule>
    <cfRule type="expression" priority="46" aboveAverage="0" equalAverage="0" bottom="0" percent="0" rank="0" text="" dxfId="13">
      <formula>AND(B10&lt;&gt;"",COUNTIFS($C$22:$C$150,B10,$S$22:$S$150,"Atrasada")&gt;0)</formula>
    </cfRule>
    <cfRule type="expression" priority="47" aboveAverage="0" equalAverage="0" bottom="0" percent="0" rank="0" text="" dxfId="14">
      <formula>AND(B10&lt;&gt;"",COUNTIFS($C$22:$C$150,B10,$Q$22:$Q$150,"&lt;&gt;Cancelada")&gt;0)</formula>
    </cfRule>
  </conditionalFormatting>
  <conditionalFormatting sqref="D10:E11">
    <cfRule type="expression" priority="48" aboveAverage="0" equalAverage="0" bottom="0" percent="0" rank="0" text="" dxfId="12">
      <formula>AND(D10&lt;&gt;"",D10=TODAY())</formula>
    </cfRule>
    <cfRule type="expression" priority="49" aboveAverage="0" equalAverage="0" bottom="0" percent="0" rank="0" text="" dxfId="13">
      <formula>AND(D10&lt;&gt;"",COUNTIFS($C$22:$C$150,D10,$S$22:$S$150,"Atrasada")&gt;0)</formula>
    </cfRule>
    <cfRule type="expression" priority="50" aboveAverage="0" equalAverage="0" bottom="0" percent="0" rank="0" text="" dxfId="14">
      <formula>AND(D10&lt;&gt;"",COUNTIFS($C$22:$C$150,D10,$Q$22:$Q$150,"&lt;&gt;Cancelada")&gt;0)</formula>
    </cfRule>
  </conditionalFormatting>
  <conditionalFormatting sqref="F10:G11">
    <cfRule type="expression" priority="51" aboveAverage="0" equalAverage="0" bottom="0" percent="0" rank="0" text="" dxfId="12">
      <formula>AND(F10&lt;&gt;"",F10=TODAY())</formula>
    </cfRule>
    <cfRule type="expression" priority="52" aboveAverage="0" equalAverage="0" bottom="0" percent="0" rank="0" text="" dxfId="13">
      <formula>AND(F10&lt;&gt;"",COUNTIFS($C$22:$C$150,F10,$S$22:$S$150,"Atrasada")&gt;0)</formula>
    </cfRule>
    <cfRule type="expression" priority="53" aboveAverage="0" equalAverage="0" bottom="0" percent="0" rank="0" text="" dxfId="14">
      <formula>AND(F10&lt;&gt;"",COUNTIFS($C$22:$C$150,F10,$Q$22:$Q$150,"&lt;&gt;Cancelada")&gt;0)</formula>
    </cfRule>
  </conditionalFormatting>
  <conditionalFormatting sqref="H10:I11">
    <cfRule type="expression" priority="54" aboveAverage="0" equalAverage="0" bottom="0" percent="0" rank="0" text="" dxfId="12">
      <formula>AND(H10&lt;&gt;"",H10=TODAY())</formula>
    </cfRule>
    <cfRule type="expression" priority="55" aboveAverage="0" equalAverage="0" bottom="0" percent="0" rank="0" text="" dxfId="13">
      <formula>AND(H10&lt;&gt;"",COUNTIFS($C$22:$C$150,H10,$S$22:$S$150,"Atrasada")&gt;0)</formula>
    </cfRule>
    <cfRule type="expression" priority="56" aboveAverage="0" equalAverage="0" bottom="0" percent="0" rank="0" text="" dxfId="14">
      <formula>AND(H10&lt;&gt;"",COUNTIFS($C$22:$C$150,H10,$Q$22:$Q$150,"&lt;&gt;Cancelada")&gt;0)</formula>
    </cfRule>
  </conditionalFormatting>
  <conditionalFormatting sqref="J10:K11">
    <cfRule type="expression" priority="57" aboveAverage="0" equalAverage="0" bottom="0" percent="0" rank="0" text="" dxfId="12">
      <formula>AND(J10&lt;&gt;"",J10=TODAY())</formula>
    </cfRule>
    <cfRule type="expression" priority="58" aboveAverage="0" equalAverage="0" bottom="0" percent="0" rank="0" text="" dxfId="13">
      <formula>AND(J10&lt;&gt;"",COUNTIFS($C$22:$C$150,J10,$S$22:$S$150,"Atrasada")&gt;0)</formula>
    </cfRule>
    <cfRule type="expression" priority="59" aboveAverage="0" equalAverage="0" bottom="0" percent="0" rank="0" text="" dxfId="14">
      <formula>AND(J10&lt;&gt;"",COUNTIFS($C$22:$C$150,J10,$Q$22:$Q$150,"&lt;&gt;Cancelada")&gt;0)</formula>
    </cfRule>
  </conditionalFormatting>
  <conditionalFormatting sqref="L10:M11">
    <cfRule type="expression" priority="60" aboveAverage="0" equalAverage="0" bottom="0" percent="0" rank="0" text="" dxfId="12">
      <formula>AND(L10&lt;&gt;"",L10=TODAY())</formula>
    </cfRule>
    <cfRule type="expression" priority="61" aboveAverage="0" equalAverage="0" bottom="0" percent="0" rank="0" text="" dxfId="13">
      <formula>AND(L10&lt;&gt;"",COUNTIFS($C$22:$C$150,L10,$S$22:$S$150,"Atrasada")&gt;0)</formula>
    </cfRule>
    <cfRule type="expression" priority="62" aboveAverage="0" equalAverage="0" bottom="0" percent="0" rank="0" text="" dxfId="14">
      <formula>AND(L10&lt;&gt;"",COUNTIFS($C$22:$C$150,L10,$Q$22:$Q$150,"&lt;&gt;Cancelada")&gt;0)</formula>
    </cfRule>
  </conditionalFormatting>
  <conditionalFormatting sqref="N10:O11">
    <cfRule type="expression" priority="63" aboveAverage="0" equalAverage="0" bottom="0" percent="0" rank="0" text="" dxfId="12">
      <formula>AND(N10&lt;&gt;"",N10=TODAY())</formula>
    </cfRule>
    <cfRule type="expression" priority="64" aboveAverage="0" equalAverage="0" bottom="0" percent="0" rank="0" text="" dxfId="13">
      <formula>AND(N10&lt;&gt;"",COUNTIFS($C$22:$C$150,N10,$S$22:$S$150,"Atrasada")&gt;0)</formula>
    </cfRule>
    <cfRule type="expression" priority="65" aboveAverage="0" equalAverage="0" bottom="0" percent="0" rank="0" text="" dxfId="14">
      <formula>AND(N10&lt;&gt;"",COUNTIFS($C$22:$C$150,N10,$Q$22:$Q$150,"&lt;&gt;Cancelada")&gt;0)</formula>
    </cfRule>
  </conditionalFormatting>
  <conditionalFormatting sqref="B12:C13">
    <cfRule type="expression" priority="66" aboveAverage="0" equalAverage="0" bottom="0" percent="0" rank="0" text="" dxfId="12">
      <formula>AND(B12&lt;&gt;"",B12=TODAY())</formula>
    </cfRule>
    <cfRule type="expression" priority="67" aboveAverage="0" equalAverage="0" bottom="0" percent="0" rank="0" text="" dxfId="13">
      <formula>AND(B12&lt;&gt;"",COUNTIFS($C$22:$C$150,B12,$S$22:$S$150,"Atrasada")&gt;0)</formula>
    </cfRule>
    <cfRule type="expression" priority="68" aboveAverage="0" equalAverage="0" bottom="0" percent="0" rank="0" text="" dxfId="14">
      <formula>AND(B12&lt;&gt;"",COUNTIFS($C$22:$C$150,B12,$Q$22:$Q$150,"&lt;&gt;Cancelada")&gt;0)</formula>
    </cfRule>
  </conditionalFormatting>
  <conditionalFormatting sqref="D12:E13">
    <cfRule type="expression" priority="69" aboveAverage="0" equalAverage="0" bottom="0" percent="0" rank="0" text="" dxfId="12">
      <formula>AND(D12&lt;&gt;"",D12=TODAY())</formula>
    </cfRule>
    <cfRule type="expression" priority="70" aboveAverage="0" equalAverage="0" bottom="0" percent="0" rank="0" text="" dxfId="13">
      <formula>AND(D12&lt;&gt;"",COUNTIFS($C$22:$C$150,D12,$S$22:$S$150,"Atrasada")&gt;0)</formula>
    </cfRule>
    <cfRule type="expression" priority="71" aboveAverage="0" equalAverage="0" bottom="0" percent="0" rank="0" text="" dxfId="14">
      <formula>AND(D12&lt;&gt;"",COUNTIFS($C$22:$C$150,D12,$Q$22:$Q$150,"&lt;&gt;Cancelada")&gt;0)</formula>
    </cfRule>
  </conditionalFormatting>
  <conditionalFormatting sqref="F12:G13">
    <cfRule type="expression" priority="72" aboveAverage="0" equalAverage="0" bottom="0" percent="0" rank="0" text="" dxfId="12">
      <formula>AND(F12&lt;&gt;"",F12=TODAY())</formula>
    </cfRule>
    <cfRule type="expression" priority="73" aboveAverage="0" equalAverage="0" bottom="0" percent="0" rank="0" text="" dxfId="13">
      <formula>AND(F12&lt;&gt;"",COUNTIFS($C$22:$C$150,F12,$S$22:$S$150,"Atrasada")&gt;0)</formula>
    </cfRule>
    <cfRule type="expression" priority="74" aboveAverage="0" equalAverage="0" bottom="0" percent="0" rank="0" text="" dxfId="14">
      <formula>AND(F12&lt;&gt;"",COUNTIFS($C$22:$C$150,F12,$Q$22:$Q$150,"&lt;&gt;Cancelada")&gt;0)</formula>
    </cfRule>
  </conditionalFormatting>
  <conditionalFormatting sqref="H12:I13">
    <cfRule type="expression" priority="75" aboveAverage="0" equalAverage="0" bottom="0" percent="0" rank="0" text="" dxfId="12">
      <formula>AND(H12&lt;&gt;"",H12=TODAY())</formula>
    </cfRule>
    <cfRule type="expression" priority="76" aboveAverage="0" equalAverage="0" bottom="0" percent="0" rank="0" text="" dxfId="13">
      <formula>AND(H12&lt;&gt;"",COUNTIFS($C$22:$C$150,H12,$S$22:$S$150,"Atrasada")&gt;0)</formula>
    </cfRule>
    <cfRule type="expression" priority="77" aboveAverage="0" equalAverage="0" bottom="0" percent="0" rank="0" text="" dxfId="14">
      <formula>AND(H12&lt;&gt;"",COUNTIFS($C$22:$C$150,H12,$Q$22:$Q$150,"&lt;&gt;Cancelada")&gt;0)</formula>
    </cfRule>
  </conditionalFormatting>
  <conditionalFormatting sqref="J12:K13">
    <cfRule type="expression" priority="78" aboveAverage="0" equalAverage="0" bottom="0" percent="0" rank="0" text="" dxfId="12">
      <formula>AND(J12&lt;&gt;"",J12=TODAY())</formula>
    </cfRule>
    <cfRule type="expression" priority="79" aboveAverage="0" equalAverage="0" bottom="0" percent="0" rank="0" text="" dxfId="13">
      <formula>AND(J12&lt;&gt;"",COUNTIFS($C$22:$C$150,J12,$S$22:$S$150,"Atrasada")&gt;0)</formula>
    </cfRule>
    <cfRule type="expression" priority="80" aboveAverage="0" equalAverage="0" bottom="0" percent="0" rank="0" text="" dxfId="14">
      <formula>AND(J12&lt;&gt;"",COUNTIFS($C$22:$C$150,J12,$Q$22:$Q$150,"&lt;&gt;Cancelada")&gt;0)</formula>
    </cfRule>
  </conditionalFormatting>
  <conditionalFormatting sqref="L12:M13">
    <cfRule type="expression" priority="81" aboveAverage="0" equalAverage="0" bottom="0" percent="0" rank="0" text="" dxfId="12">
      <formula>AND(L12&lt;&gt;"",L12=TODAY())</formula>
    </cfRule>
    <cfRule type="expression" priority="82" aboveAverage="0" equalAverage="0" bottom="0" percent="0" rank="0" text="" dxfId="13">
      <formula>AND(L12&lt;&gt;"",COUNTIFS($C$22:$C$150,L12,$S$22:$S$150,"Atrasada")&gt;0)</formula>
    </cfRule>
    <cfRule type="expression" priority="83" aboveAverage="0" equalAverage="0" bottom="0" percent="0" rank="0" text="" dxfId="14">
      <formula>AND(L12&lt;&gt;"",COUNTIFS($C$22:$C$150,L12,$Q$22:$Q$150,"&lt;&gt;Cancelada")&gt;0)</formula>
    </cfRule>
  </conditionalFormatting>
  <conditionalFormatting sqref="N12:O13">
    <cfRule type="expression" priority="84" aboveAverage="0" equalAverage="0" bottom="0" percent="0" rank="0" text="" dxfId="12">
      <formula>AND(N12&lt;&gt;"",N12=TODAY())</formula>
    </cfRule>
    <cfRule type="expression" priority="85" aboveAverage="0" equalAverage="0" bottom="0" percent="0" rank="0" text="" dxfId="13">
      <formula>AND(N12&lt;&gt;"",COUNTIFS($C$22:$C$150,N12,$S$22:$S$150,"Atrasada")&gt;0)</formula>
    </cfRule>
    <cfRule type="expression" priority="86" aboveAverage="0" equalAverage="0" bottom="0" percent="0" rank="0" text="" dxfId="14">
      <formula>AND(N12&lt;&gt;"",COUNTIFS($C$22:$C$150,N12,$Q$22:$Q$150,"&lt;&gt;Cancelada")&gt;0)</formula>
    </cfRule>
  </conditionalFormatting>
  <conditionalFormatting sqref="B14:C15">
    <cfRule type="expression" priority="87" aboveAverage="0" equalAverage="0" bottom="0" percent="0" rank="0" text="" dxfId="12">
      <formula>AND(B14&lt;&gt;"",B14=TODAY())</formula>
    </cfRule>
    <cfRule type="expression" priority="88" aboveAverage="0" equalAverage="0" bottom="0" percent="0" rank="0" text="" dxfId="13">
      <formula>AND(B14&lt;&gt;"",COUNTIFS($C$22:$C$150,B14,$S$22:$S$150,"Atrasada")&gt;0)</formula>
    </cfRule>
    <cfRule type="expression" priority="89" aboveAverage="0" equalAverage="0" bottom="0" percent="0" rank="0" text="" dxfId="14">
      <formula>AND(B14&lt;&gt;"",COUNTIFS($C$22:$C$150,B14,$Q$22:$Q$150,"&lt;&gt;Cancelada")&gt;0)</formula>
    </cfRule>
  </conditionalFormatting>
  <conditionalFormatting sqref="D14:E15">
    <cfRule type="expression" priority="90" aboveAverage="0" equalAverage="0" bottom="0" percent="0" rank="0" text="" dxfId="12">
      <formula>AND(D14&lt;&gt;"",D14=TODAY())</formula>
    </cfRule>
    <cfRule type="expression" priority="91" aboveAverage="0" equalAverage="0" bottom="0" percent="0" rank="0" text="" dxfId="13">
      <formula>AND(D14&lt;&gt;"",COUNTIFS($C$22:$C$150,D14,$S$22:$S$150,"Atrasada")&gt;0)</formula>
    </cfRule>
    <cfRule type="expression" priority="92" aboveAverage="0" equalAverage="0" bottom="0" percent="0" rank="0" text="" dxfId="14">
      <formula>AND(D14&lt;&gt;"",COUNTIFS($C$22:$C$150,D14,$Q$22:$Q$150,"&lt;&gt;Cancelada")&gt;0)</formula>
    </cfRule>
  </conditionalFormatting>
  <conditionalFormatting sqref="F14:G15">
    <cfRule type="expression" priority="93" aboveAverage="0" equalAverage="0" bottom="0" percent="0" rank="0" text="" dxfId="12">
      <formula>AND(F14&lt;&gt;"",F14=TODAY())</formula>
    </cfRule>
    <cfRule type="expression" priority="94" aboveAverage="0" equalAverage="0" bottom="0" percent="0" rank="0" text="" dxfId="13">
      <formula>AND(F14&lt;&gt;"",COUNTIFS($C$22:$C$150,F14,$S$22:$S$150,"Atrasada")&gt;0)</formula>
    </cfRule>
    <cfRule type="expression" priority="95" aboveAverage="0" equalAverage="0" bottom="0" percent="0" rank="0" text="" dxfId="14">
      <formula>AND(F14&lt;&gt;"",COUNTIFS($C$22:$C$150,F14,$Q$22:$Q$150,"&lt;&gt;Cancelada")&gt;0)</formula>
    </cfRule>
  </conditionalFormatting>
  <conditionalFormatting sqref="H14:I15">
    <cfRule type="expression" priority="96" aboveAverage="0" equalAverage="0" bottom="0" percent="0" rank="0" text="" dxfId="12">
      <formula>AND(H14&lt;&gt;"",H14=TODAY())</formula>
    </cfRule>
    <cfRule type="expression" priority="97" aboveAverage="0" equalAverage="0" bottom="0" percent="0" rank="0" text="" dxfId="13">
      <formula>AND(H14&lt;&gt;"",COUNTIFS($C$22:$C$150,H14,$S$22:$S$150,"Atrasada")&gt;0)</formula>
    </cfRule>
    <cfRule type="expression" priority="98" aboveAverage="0" equalAverage="0" bottom="0" percent="0" rank="0" text="" dxfId="14">
      <formula>AND(H14&lt;&gt;"",COUNTIFS($C$22:$C$150,H14,$Q$22:$Q$150,"&lt;&gt;Cancelada")&gt;0)</formula>
    </cfRule>
  </conditionalFormatting>
  <conditionalFormatting sqref="J14:K15">
    <cfRule type="expression" priority="99" aboveAverage="0" equalAverage="0" bottom="0" percent="0" rank="0" text="" dxfId="12">
      <formula>AND(J14&lt;&gt;"",J14=TODAY())</formula>
    </cfRule>
    <cfRule type="expression" priority="100" aboveAverage="0" equalAverage="0" bottom="0" percent="0" rank="0" text="" dxfId="13">
      <formula>AND(J14&lt;&gt;"",COUNTIFS($C$22:$C$150,J14,$S$22:$S$150,"Atrasada")&gt;0)</formula>
    </cfRule>
    <cfRule type="expression" priority="101" aboveAverage="0" equalAverage="0" bottom="0" percent="0" rank="0" text="" dxfId="14">
      <formula>AND(J14&lt;&gt;"",COUNTIFS($C$22:$C$150,J14,$Q$22:$Q$150,"&lt;&gt;Cancelada")&gt;0)</formula>
    </cfRule>
  </conditionalFormatting>
  <conditionalFormatting sqref="L14:M15">
    <cfRule type="expression" priority="102" aboveAverage="0" equalAverage="0" bottom="0" percent="0" rank="0" text="" dxfId="12">
      <formula>AND(L14&lt;&gt;"",L14=TODAY())</formula>
    </cfRule>
    <cfRule type="expression" priority="103" aboveAverage="0" equalAverage="0" bottom="0" percent="0" rank="0" text="" dxfId="13">
      <formula>AND(L14&lt;&gt;"",COUNTIFS($C$22:$C$150,L14,$S$22:$S$150,"Atrasada")&gt;0)</formula>
    </cfRule>
    <cfRule type="expression" priority="104" aboveAverage="0" equalAverage="0" bottom="0" percent="0" rank="0" text="" dxfId="14">
      <formula>AND(L14&lt;&gt;"",COUNTIFS($C$22:$C$150,L14,$Q$22:$Q$150,"&lt;&gt;Cancelada")&gt;0)</formula>
    </cfRule>
  </conditionalFormatting>
  <conditionalFormatting sqref="N14:O15">
    <cfRule type="expression" priority="105" aboveAverage="0" equalAverage="0" bottom="0" percent="0" rank="0" text="" dxfId="12">
      <formula>AND(N14&lt;&gt;"",N14=TODAY())</formula>
    </cfRule>
    <cfRule type="expression" priority="106" aboveAverage="0" equalAverage="0" bottom="0" percent="0" rank="0" text="" dxfId="13">
      <formula>AND(N14&lt;&gt;"",COUNTIFS($C$22:$C$150,N14,$S$22:$S$150,"Atrasada")&gt;0)</formula>
    </cfRule>
    <cfRule type="expression" priority="107" aboveAverage="0" equalAverage="0" bottom="0" percent="0" rank="0" text="" dxfId="14">
      <formula>AND(N14&lt;&gt;"",COUNTIFS($C$22:$C$150,N14,$Q$22:$Q$150,"&lt;&gt;Cancelada")&gt;0)</formula>
    </cfRule>
  </conditionalFormatting>
  <conditionalFormatting sqref="B16:C17">
    <cfRule type="expression" priority="108" aboveAverage="0" equalAverage="0" bottom="0" percent="0" rank="0" text="" dxfId="12">
      <formula>AND(B16&lt;&gt;"",B16=TODAY())</formula>
    </cfRule>
    <cfRule type="expression" priority="109" aboveAverage="0" equalAverage="0" bottom="0" percent="0" rank="0" text="" dxfId="13">
      <formula>AND(B16&lt;&gt;"",COUNTIFS($C$22:$C$150,B16,$S$22:$S$150,"Atrasada")&gt;0)</formula>
    </cfRule>
    <cfRule type="expression" priority="110" aboveAverage="0" equalAverage="0" bottom="0" percent="0" rank="0" text="" dxfId="14">
      <formula>AND(B16&lt;&gt;"",COUNTIFS($C$22:$C$150,B16,$Q$22:$Q$150,"&lt;&gt;Cancelada")&gt;0)</formula>
    </cfRule>
  </conditionalFormatting>
  <conditionalFormatting sqref="D16:E17">
    <cfRule type="expression" priority="111" aboveAverage="0" equalAverage="0" bottom="0" percent="0" rank="0" text="" dxfId="12">
      <formula>AND(D16&lt;&gt;"",D16=TODAY())</formula>
    </cfRule>
    <cfRule type="expression" priority="112" aboveAverage="0" equalAverage="0" bottom="0" percent="0" rank="0" text="" dxfId="13">
      <formula>AND(D16&lt;&gt;"",COUNTIFS($C$22:$C$150,D16,$S$22:$S$150,"Atrasada")&gt;0)</formula>
    </cfRule>
    <cfRule type="expression" priority="113" aboveAverage="0" equalAverage="0" bottom="0" percent="0" rank="0" text="" dxfId="14">
      <formula>AND(D16&lt;&gt;"",COUNTIFS($C$22:$C$150,D16,$Q$22:$Q$150,"&lt;&gt;Cancelada")&gt;0)</formula>
    </cfRule>
  </conditionalFormatting>
  <conditionalFormatting sqref="F16:G17">
    <cfRule type="expression" priority="114" aboveAverage="0" equalAverage="0" bottom="0" percent="0" rank="0" text="" dxfId="12">
      <formula>AND(F16&lt;&gt;"",F16=TODAY())</formula>
    </cfRule>
    <cfRule type="expression" priority="115" aboveAverage="0" equalAverage="0" bottom="0" percent="0" rank="0" text="" dxfId="13">
      <formula>AND(F16&lt;&gt;"",COUNTIFS($C$22:$C$150,F16,$S$22:$S$150,"Atrasada")&gt;0)</formula>
    </cfRule>
    <cfRule type="expression" priority="116" aboveAverage="0" equalAverage="0" bottom="0" percent="0" rank="0" text="" dxfId="14">
      <formula>AND(F16&lt;&gt;"",COUNTIFS($C$22:$C$150,F16,$Q$22:$Q$150,"&lt;&gt;Cancelada")&gt;0)</formula>
    </cfRule>
  </conditionalFormatting>
  <conditionalFormatting sqref="H16:I17">
    <cfRule type="expression" priority="117" aboveAverage="0" equalAverage="0" bottom="0" percent="0" rank="0" text="" dxfId="12">
      <formula>AND(H16&lt;&gt;"",H16=TODAY())</formula>
    </cfRule>
    <cfRule type="expression" priority="118" aboveAverage="0" equalAverage="0" bottom="0" percent="0" rank="0" text="" dxfId="13">
      <formula>AND(H16&lt;&gt;"",COUNTIFS($C$22:$C$150,H16,$S$22:$S$150,"Atrasada")&gt;0)</formula>
    </cfRule>
    <cfRule type="expression" priority="119" aboveAverage="0" equalAverage="0" bottom="0" percent="0" rank="0" text="" dxfId="14">
      <formula>AND(H16&lt;&gt;"",COUNTIFS($C$22:$C$150,H16,$Q$22:$Q$150,"&lt;&gt;Cancelada")&gt;0)</formula>
    </cfRule>
  </conditionalFormatting>
  <conditionalFormatting sqref="J16:K17">
    <cfRule type="expression" priority="120" aboveAverage="0" equalAverage="0" bottom="0" percent="0" rank="0" text="" dxfId="12">
      <formula>AND(J16&lt;&gt;"",J16=TODAY())</formula>
    </cfRule>
    <cfRule type="expression" priority="121" aboveAverage="0" equalAverage="0" bottom="0" percent="0" rank="0" text="" dxfId="13">
      <formula>AND(J16&lt;&gt;"",COUNTIFS($C$22:$C$150,J16,$S$22:$S$150,"Atrasada")&gt;0)</formula>
    </cfRule>
    <cfRule type="expression" priority="122" aboveAverage="0" equalAverage="0" bottom="0" percent="0" rank="0" text="" dxfId="14">
      <formula>AND(J16&lt;&gt;"",COUNTIFS($C$22:$C$150,J16,$Q$22:$Q$150,"&lt;&gt;Cancelada")&gt;0)</formula>
    </cfRule>
  </conditionalFormatting>
  <conditionalFormatting sqref="L16:M17">
    <cfRule type="expression" priority="123" aboveAverage="0" equalAverage="0" bottom="0" percent="0" rank="0" text="" dxfId="12">
      <formula>AND(L16&lt;&gt;"",L16=TODAY())</formula>
    </cfRule>
    <cfRule type="expression" priority="124" aboveAverage="0" equalAverage="0" bottom="0" percent="0" rank="0" text="" dxfId="13">
      <formula>AND(L16&lt;&gt;"",COUNTIFS($C$22:$C$150,L16,$S$22:$S$150,"Atrasada")&gt;0)</formula>
    </cfRule>
    <cfRule type="expression" priority="125" aboveAverage="0" equalAverage="0" bottom="0" percent="0" rank="0" text="" dxfId="14">
      <formula>AND(L16&lt;&gt;"",COUNTIFS($C$22:$C$150,L16,$Q$22:$Q$150,"&lt;&gt;Cancelada")&gt;0)</formula>
    </cfRule>
  </conditionalFormatting>
  <conditionalFormatting sqref="N16:O17">
    <cfRule type="expression" priority="126" aboveAverage="0" equalAverage="0" bottom="0" percent="0" rank="0" text="" dxfId="12">
      <formula>AND(N16&lt;&gt;"",N16=TODAY())</formula>
    </cfRule>
    <cfRule type="expression" priority="127" aboveAverage="0" equalAverage="0" bottom="0" percent="0" rank="0" text="" dxfId="13">
      <formula>AND(N16&lt;&gt;"",COUNTIFS($C$22:$C$150,N16,$S$22:$S$150,"Atrasada")&gt;0)</formula>
    </cfRule>
    <cfRule type="expression" priority="128" aboveAverage="0" equalAverage="0" bottom="0" percent="0" rank="0" text="" dxfId="14">
      <formula>AND(N16&lt;&gt;"",COUNTIFS($C$22:$C$150,N16,$Q$22:$Q$150,"&lt;&gt;Cancelada")&gt;0)</formula>
    </cfRule>
  </conditionalFormatting>
  <conditionalFormatting sqref="A22:I67">
    <cfRule type="expression" priority="129" aboveAverage="0" equalAverage="0" bottom="0" percent="0" rank="0" text="" dxfId="15">
      <formula>ISNUMBER(SEARCH("-REU-",$A22))</formula>
    </cfRule>
  </conditionalFormatting>
  <conditionalFormatting sqref="S22:S150">
    <cfRule type="expression" priority="130" aboveAverage="0" equalAverage="0" bottom="0" percent="0" rank="0" text="" dxfId="16">
      <formula>$S22="Aprovada"</formula>
    </cfRule>
    <cfRule type="expression" priority="131" aboveAverage="0" equalAverage="0" bottom="0" percent="0" rank="0" text="" dxfId="17">
      <formula>$S22="Entregue"</formula>
    </cfRule>
    <cfRule type="expression" priority="132" aboveAverage="0" equalAverage="0" bottom="0" percent="0" rank="0" text="" dxfId="18">
      <formula>$S22="Atrasada"</formula>
    </cfRule>
    <cfRule type="expression" priority="133" aboveAverage="0" equalAverage="0" bottom="0" percent="0" rank="0" text="" dxfId="19">
      <formula>$S22="Reprovada"</formula>
    </cfRule>
    <cfRule type="expression" priority="134" aboveAverage="0" equalAverage="0" bottom="0" percent="0" rank="0" text="" dxfId="20">
      <formula>$S22="Pendente"</formula>
    </cfRule>
    <cfRule type="expression" priority="135" aboveAverage="0" equalAverage="0" bottom="0" percent="0" rank="0" text="" dxfId="21">
      <formula>$S22="Cancelada"</formula>
    </cfRule>
  </conditionalFormatting>
  <dataValidations count="2">
    <dataValidation allowBlank="true" errorStyle="stop" operator="between" showDropDown="false" showErrorMessage="false" showInputMessage="false" sqref="Q22:Q150" type="list">
      <formula1>"Aprovado,Reprovado,Cancelada"</formula1>
      <formula2>0</formula2>
    </dataValidation>
    <dataValidation allowBlank="true" errorStyle="stop" operator="between" showDropDown="false" showErrorMessage="false" showInputMessage="false" sqref="J22:J67" type="list">
      <formula1>CONFIG!$A$12:$A$40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.51"/>
    <col collapsed="false" customWidth="true" hidden="false" outlineLevel="0" max="3" min="3" style="0" width="10.51"/>
    <col collapsed="false" customWidth="true" hidden="false" outlineLevel="0" max="6" min="4" style="0" width="12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9.51"/>
    <col collapsed="false" customWidth="true" hidden="false" outlineLevel="0" max="16" min="13" style="0" width="12"/>
    <col collapsed="false" customWidth="true" hidden="false" outlineLevel="0" max="17" min="17" style="0" width="11.5"/>
    <col collapsed="false" customWidth="true" hidden="false" outlineLevel="0" max="18" min="18" style="0" width="17"/>
    <col collapsed="false" customWidth="true" hidden="false" outlineLevel="0" max="19" min="19" style="0" width="12.5"/>
    <col collapsed="false" customWidth="true" hidden="false" outlineLevel="0" max="22" min="20" style="0" width="3.5"/>
    <col collapsed="false" customWidth="true" hidden="true" outlineLevel="0" max="24" min="24" style="0" width="4"/>
  </cols>
  <sheetData>
    <row r="1" customFormat="false" ht="45.75" hidden="false" customHeight="true" outlineLevel="0" collapsed="false">
      <c r="A1" s="1" t="s">
        <v>245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X1" s="73" t="n">
        <v>46023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X2" s="74" t="s">
        <v>246</v>
      </c>
    </row>
    <row r="3" customFormat="false" ht="15" hidden="false" customHeight="false" outlineLevel="0" collapsed="false">
      <c r="A3" s="5" t="str">
        <f aca="false">IF((COUNTIF($S$22:$S$150,"Aprovada")+COUNTIF($S$22:$S$150,"Entregue")+COUNTIF($S$22:$S$150,"Pendente")+COUNTIF($S$22:$S$150,"Atrasada")+COUNTIF($S$22:$S$150,"Reprovada"))=0,"",IF(COUNTIF($S$22:$S$150,"Aprovada")=(COUNTIF($S$22:$S$150,"Aprovada")+COUNTIF($S$22:$S$150,"Entregue")+COUNTIF($S$22:$S$150,"Pendente")+COUNTIF($S$22:$S$150,"Atrasada")+COUNTIF($S$22:$S$150,"Reprovada")),"MÊS CONCLUÍDO — todas as atividades aprovadas","EM ANDAMENTO — "&amp;COUNTIF($S$22:$S$150,"Aprovada")&amp;" de "&amp;(COUNTIF($S$22:$S$150,"Aprovada")+COUNTIF($S$22:$S$150,"Entregue")+COUNTIF($S$22:$S$150,"Pendente")+COUNTIF($S$22:$S$150,"Atrasada")+COUNTIF($S$22:$S$150,"Reprovada"))&amp;" atividades aprovadas · "&amp;COUNTIF($S$22:$S$150,"Atrasada")&amp;" em atraso"))</f>
        <v>EM ANDAMENTO — 0 de 36 atividades aprovadas · 36 em atraso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5" customFormat="false" ht="18" hidden="false" customHeight="true" outlineLevel="0" collapsed="false">
      <c r="B5" s="70" t="s">
        <v>209</v>
      </c>
      <c r="C5" s="70"/>
      <c r="D5" s="70" t="s">
        <v>210</v>
      </c>
      <c r="E5" s="70"/>
      <c r="F5" s="70" t="s">
        <v>211</v>
      </c>
      <c r="G5" s="70"/>
      <c r="H5" s="70" t="s">
        <v>3</v>
      </c>
      <c r="I5" s="70"/>
      <c r="J5" s="70" t="s">
        <v>6</v>
      </c>
      <c r="K5" s="70"/>
      <c r="L5" s="75" t="s">
        <v>9</v>
      </c>
      <c r="M5" s="75"/>
      <c r="N5" s="70" t="s">
        <v>212</v>
      </c>
      <c r="O5" s="70"/>
    </row>
    <row r="6" customFormat="false" ht="15" hidden="false" customHeight="true" outlineLevel="0" collapsed="false">
      <c r="B6" s="76" t="str">
        <f aca="false">IF(MONTH($X$1-WEEKDAY($X$1)+1+0)=MONTH($X$1),$X$1-WEEKDAY($X$1)+1+0,"")</f>
        <v/>
      </c>
      <c r="C6" s="76"/>
      <c r="D6" s="76" t="str">
        <f aca="false">IF(MONTH($X$1-WEEKDAY($X$1)+1+1)=MONTH($X$1),$X$1-WEEKDAY($X$1)+1+1,"")</f>
        <v/>
      </c>
      <c r="E6" s="76"/>
      <c r="F6" s="76" t="str">
        <f aca="false">IF(MONTH($X$1-WEEKDAY($X$1)+1+2)=MONTH($X$1),$X$1-WEEKDAY($X$1)+1+2,"")</f>
        <v/>
      </c>
      <c r="G6" s="76"/>
      <c r="H6" s="76" t="str">
        <f aca="false">IF(MONTH($X$1-WEEKDAY($X$1)+1+3)=MONTH($X$1),$X$1-WEEKDAY($X$1)+1+3,"")</f>
        <v/>
      </c>
      <c r="I6" s="76"/>
      <c r="J6" s="76" t="n">
        <f aca="false">IF(MONTH($X$1-WEEKDAY($X$1)+1+4)=MONTH($X$1),$X$1-WEEKDAY($X$1)+1+4,"")</f>
        <v>46023</v>
      </c>
      <c r="K6" s="76"/>
      <c r="L6" s="76" t="n">
        <f aca="false">IF(MONTH($X$1-WEEKDAY($X$1)+1+5)=MONTH($X$1),$X$1-WEEKDAY($X$1)+1+5,"")</f>
        <v>46024</v>
      </c>
      <c r="M6" s="76"/>
      <c r="N6" s="76" t="n">
        <f aca="false">IF(MONTH($X$1-WEEKDAY($X$1)+1+6)=MONTH($X$1),$X$1-WEEKDAY($X$1)+1+6,"")</f>
        <v>46025</v>
      </c>
      <c r="O6" s="76"/>
    </row>
    <row r="7" customFormat="false" ht="25.5" hidden="false" customHeight="true" outlineLevel="0" collapsed="false">
      <c r="B7" s="77" t="str">
        <f aca="false">IF(B6="","",TRIM(IF(COUNTIFS($C$22:$C$150,B6,$D$22:$D$150,"*Vistoria*",$Q$22:$Q$150,"&lt;&gt;Cancelada")&gt;0,"Vistoria ","")&amp;IF(COUNTIFS($C$22:$C$150,B6,$D$22:$D$150,"*Relatório*",$Q$22:$Q$150,"&lt;&gt;Cancelada")&gt;0,"Relatório ","")&amp;IF(COUNTIFS($C$22:$C$150,B6,$D$22:$D$150,"*Reunião*",$Q$22:$Q$150,"&lt;&gt;Cancelada")&gt;0,"REUNIÃO ","")&amp;IF(COUNTIFS($C$22:$C$150,B6,$D$22:$D$150,"*Férias*",$Q$22:$Q$150,"&lt;&gt;Cancelada")&gt;0,"Férias ","")&amp;IF(COUNTIFS($C$22:$C$150,B6,$D$22:$D$150,"*Mudança*",$Q$22:$Q$150,"&lt;&gt;Cancelada")&gt;0,"M.Função ","")&amp;IF(COUNTIFS($C$22:$C$150,B6,$D$22:$D$150,"*Treinamento*",$Q$22:$Q$150,"&lt;&gt;Cancelada")&gt;0,"Trein. ","")))</f>
        <v/>
      </c>
      <c r="C7" s="77"/>
      <c r="D7" s="77" t="str">
        <f aca="false">IF(D6="","",TRIM(IF(COUNTIFS($C$22:$C$150,D6,$D$22:$D$150,"*Vistoria*",$Q$22:$Q$150,"&lt;&gt;Cancelada")&gt;0,"Vistoria ","")&amp;IF(COUNTIFS($C$22:$C$150,D6,$D$22:$D$150,"*Relatório*",$Q$22:$Q$150,"&lt;&gt;Cancelada")&gt;0,"Relatório ","")&amp;IF(COUNTIFS($C$22:$C$150,D6,$D$22:$D$150,"*Reunião*",$Q$22:$Q$150,"&lt;&gt;Cancelada")&gt;0,"REUNIÃO ","")&amp;IF(COUNTIFS($C$22:$C$150,D6,$D$22:$D$150,"*Férias*",$Q$22:$Q$150,"&lt;&gt;Cancelada")&gt;0,"Férias ","")&amp;IF(COUNTIFS($C$22:$C$150,D6,$D$22:$D$150,"*Mudança*",$Q$22:$Q$150,"&lt;&gt;Cancelada")&gt;0,"M.Função ","")&amp;IF(COUNTIFS($C$22:$C$150,D6,$D$22:$D$150,"*Treinamento*",$Q$22:$Q$150,"&lt;&gt;Cancelada")&gt;0,"Trein. ","")))</f>
        <v/>
      </c>
      <c r="E7" s="77"/>
      <c r="F7" s="77" t="str">
        <f aca="false">IF(F6="","",TRIM(IF(COUNTIFS($C$22:$C$150,F6,$D$22:$D$150,"*Vistoria*",$Q$22:$Q$150,"&lt;&gt;Cancelada")&gt;0,"Vistoria ","")&amp;IF(COUNTIFS($C$22:$C$150,F6,$D$22:$D$150,"*Relatório*",$Q$22:$Q$150,"&lt;&gt;Cancelada")&gt;0,"Relatório ","")&amp;IF(COUNTIFS($C$22:$C$150,F6,$D$22:$D$150,"*Reunião*",$Q$22:$Q$150,"&lt;&gt;Cancelada")&gt;0,"REUNIÃO ","")&amp;IF(COUNTIFS($C$22:$C$150,F6,$D$22:$D$150,"*Férias*",$Q$22:$Q$150,"&lt;&gt;Cancelada")&gt;0,"Férias ","")&amp;IF(COUNTIFS($C$22:$C$150,F6,$D$22:$D$150,"*Mudança*",$Q$22:$Q$150,"&lt;&gt;Cancelada")&gt;0,"M.Função ","")&amp;IF(COUNTIFS($C$22:$C$150,F6,$D$22:$D$150,"*Treinamento*",$Q$22:$Q$150,"&lt;&gt;Cancelada")&gt;0,"Trein. ","")))</f>
        <v/>
      </c>
      <c r="G7" s="77"/>
      <c r="H7" s="77" t="str">
        <f aca="false">IF(H6="","",TRIM(IF(COUNTIFS($C$22:$C$150,H6,$D$22:$D$150,"*Vistoria*",$Q$22:$Q$150,"&lt;&gt;Cancelada")&gt;0,"Vistoria ","")&amp;IF(COUNTIFS($C$22:$C$150,H6,$D$22:$D$150,"*Relatório*",$Q$22:$Q$150,"&lt;&gt;Cancelada")&gt;0,"Relatório ","")&amp;IF(COUNTIFS($C$22:$C$150,H6,$D$22:$D$150,"*Reunião*",$Q$22:$Q$150,"&lt;&gt;Cancelada")&gt;0,"REUNIÃO ","")&amp;IF(COUNTIFS($C$22:$C$150,H6,$D$22:$D$150,"*Férias*",$Q$22:$Q$150,"&lt;&gt;Cancelada")&gt;0,"Férias ","")&amp;IF(COUNTIFS($C$22:$C$150,H6,$D$22:$D$150,"*Mudança*",$Q$22:$Q$150,"&lt;&gt;Cancelada")&gt;0,"M.Função ","")&amp;IF(COUNTIFS($C$22:$C$150,H6,$D$22:$D$150,"*Treinamento*",$Q$22:$Q$150,"&lt;&gt;Cancelada")&gt;0,"Trein. ","")))</f>
        <v/>
      </c>
      <c r="I7" s="77"/>
      <c r="J7" s="77" t="str">
        <f aca="false">IF(J6="","",TRIM(IF(COUNTIFS($C$22:$C$150,J6,$D$22:$D$150,"*Vistoria*",$Q$22:$Q$150,"&lt;&gt;Cancelada")&gt;0,"Vistoria ","")&amp;IF(COUNTIFS($C$22:$C$150,J6,$D$22:$D$150,"*Relatório*",$Q$22:$Q$150,"&lt;&gt;Cancelada")&gt;0,"Relatório ","")&amp;IF(COUNTIFS($C$22:$C$150,J6,$D$22:$D$150,"*Reunião*",$Q$22:$Q$150,"&lt;&gt;Cancelada")&gt;0,"REUNIÃO ","")&amp;IF(COUNTIFS($C$22:$C$150,J6,$D$22:$D$150,"*Férias*",$Q$22:$Q$150,"&lt;&gt;Cancelada")&gt;0,"Férias ","")&amp;IF(COUNTIFS($C$22:$C$150,J6,$D$22:$D$150,"*Mudança*",$Q$22:$Q$150,"&lt;&gt;Cancelada")&gt;0,"M.Função ","")&amp;IF(COUNTIFS($C$22:$C$150,J6,$D$22:$D$150,"*Treinamento*",$Q$22:$Q$150,"&lt;&gt;Cancelada")&gt;0,"Trein. ","")))</f>
        <v>Relatório</v>
      </c>
      <c r="K7" s="77"/>
      <c r="L7" s="77" t="str">
        <f aca="false">IF(L6="","",TRIM(IF(COUNTIFS($C$22:$C$150,L6,$D$22:$D$150,"*Vistoria*",$Q$22:$Q$150,"&lt;&gt;Cancelada")&gt;0,"Vistoria ","")&amp;IF(COUNTIFS($C$22:$C$150,L6,$D$22:$D$150,"*Relatório*",$Q$22:$Q$150,"&lt;&gt;Cancelada")&gt;0,"Relatório ","")&amp;IF(COUNTIFS($C$22:$C$150,L6,$D$22:$D$150,"*Reunião*",$Q$22:$Q$150,"&lt;&gt;Cancelada")&gt;0,"REUNIÃO ","")&amp;IF(COUNTIFS($C$22:$C$150,L6,$D$22:$D$150,"*Férias*",$Q$22:$Q$150,"&lt;&gt;Cancelada")&gt;0,"Férias ","")&amp;IF(COUNTIFS($C$22:$C$150,L6,$D$22:$D$150,"*Mudança*",$Q$22:$Q$150,"&lt;&gt;Cancelada")&gt;0,"M.Função ","")&amp;IF(COUNTIFS($C$22:$C$150,L6,$D$22:$D$150,"*Treinamento*",$Q$22:$Q$150,"&lt;&gt;Cancelada")&gt;0,"Trein. ","")))</f>
        <v>REUNIÃO</v>
      </c>
      <c r="M7" s="77"/>
      <c r="N7" s="77" t="str">
        <f aca="false">IF(N6="","",TRIM(IF(COUNTIFS($C$22:$C$150,N6,$D$22:$D$150,"*Vistoria*",$Q$22:$Q$150,"&lt;&gt;Cancelada")&gt;0,"Vistoria ","")&amp;IF(COUNTIFS($C$22:$C$150,N6,$D$22:$D$150,"*Relatório*",$Q$22:$Q$150,"&lt;&gt;Cancelada")&gt;0,"Relatório ","")&amp;IF(COUNTIFS($C$22:$C$150,N6,$D$22:$D$150,"*Reunião*",$Q$22:$Q$150,"&lt;&gt;Cancelada")&gt;0,"REUNIÃO ","")&amp;IF(COUNTIFS($C$22:$C$150,N6,$D$22:$D$150,"*Férias*",$Q$22:$Q$150,"&lt;&gt;Cancelada")&gt;0,"Férias ","")&amp;IF(COUNTIFS($C$22:$C$150,N6,$D$22:$D$150,"*Mudança*",$Q$22:$Q$150,"&lt;&gt;Cancelada")&gt;0,"M.Função ","")&amp;IF(COUNTIFS($C$22:$C$150,N6,$D$22:$D$150,"*Treinamento*",$Q$22:$Q$150,"&lt;&gt;Cancelada")&gt;0,"Trein. ","")))</f>
        <v/>
      </c>
      <c r="O7" s="77"/>
    </row>
    <row r="8" customFormat="false" ht="15" hidden="false" customHeight="true" outlineLevel="0" collapsed="false">
      <c r="B8" s="76" t="n">
        <f aca="false">IF(MONTH($X$1-WEEKDAY($X$1)+1+7)=MONTH($X$1),$X$1-WEEKDAY($X$1)+1+7,"")</f>
        <v>46026</v>
      </c>
      <c r="C8" s="76"/>
      <c r="D8" s="76" t="n">
        <f aca="false">IF(MONTH($X$1-WEEKDAY($X$1)+1+8)=MONTH($X$1),$X$1-WEEKDAY($X$1)+1+8,"")</f>
        <v>46027</v>
      </c>
      <c r="E8" s="76"/>
      <c r="F8" s="76" t="n">
        <f aca="false">IF(MONTH($X$1-WEEKDAY($X$1)+1+9)=MONTH($X$1),$X$1-WEEKDAY($X$1)+1+9,"")</f>
        <v>46028</v>
      </c>
      <c r="G8" s="76"/>
      <c r="H8" s="76" t="n">
        <f aca="false">IF(MONTH($X$1-WEEKDAY($X$1)+1+10)=MONTH($X$1),$X$1-WEEKDAY($X$1)+1+10,"")</f>
        <v>46029</v>
      </c>
      <c r="I8" s="76"/>
      <c r="J8" s="76" t="n">
        <f aca="false">IF(MONTH($X$1-WEEKDAY($X$1)+1+11)=MONTH($X$1),$X$1-WEEKDAY($X$1)+1+11,"")</f>
        <v>46030</v>
      </c>
      <c r="K8" s="76"/>
      <c r="L8" s="76" t="n">
        <f aca="false">IF(MONTH($X$1-WEEKDAY($X$1)+1+12)=MONTH($X$1),$X$1-WEEKDAY($X$1)+1+12,"")</f>
        <v>46031</v>
      </c>
      <c r="M8" s="76"/>
      <c r="N8" s="76" t="n">
        <f aca="false">IF(MONTH($X$1-WEEKDAY($X$1)+1+13)=MONTH($X$1),$X$1-WEEKDAY($X$1)+1+13,"")</f>
        <v>46032</v>
      </c>
      <c r="O8" s="76"/>
    </row>
    <row r="9" customFormat="false" ht="25.5" hidden="false" customHeight="true" outlineLevel="0" collapsed="false">
      <c r="B9" s="77" t="str">
        <f aca="false">IF(B8="","",TRIM(IF(COUNTIFS($C$22:$C$150,B8,$D$22:$D$150,"*Vistoria*",$Q$22:$Q$150,"&lt;&gt;Cancelada")&gt;0,"Vistoria ","")&amp;IF(COUNTIFS($C$22:$C$150,B8,$D$22:$D$150,"*Relatório*",$Q$22:$Q$150,"&lt;&gt;Cancelada")&gt;0,"Relatório ","")&amp;IF(COUNTIFS($C$22:$C$150,B8,$D$22:$D$150,"*Reunião*",$Q$22:$Q$150,"&lt;&gt;Cancelada")&gt;0,"REUNIÃO ","")&amp;IF(COUNTIFS($C$22:$C$150,B8,$D$22:$D$150,"*Férias*",$Q$22:$Q$150,"&lt;&gt;Cancelada")&gt;0,"Férias ","")&amp;IF(COUNTIFS($C$22:$C$150,B8,$D$22:$D$150,"*Mudança*",$Q$22:$Q$150,"&lt;&gt;Cancelada")&gt;0,"M.Função ","")&amp;IF(COUNTIFS($C$22:$C$150,B8,$D$22:$D$150,"*Treinamento*",$Q$22:$Q$150,"&lt;&gt;Cancelada")&gt;0,"Trein. ","")))</f>
        <v/>
      </c>
      <c r="C9" s="77"/>
      <c r="D9" s="77" t="str">
        <f aca="false">IF(D8="","",TRIM(IF(COUNTIFS($C$22:$C$150,D8,$D$22:$D$150,"*Vistoria*",$Q$22:$Q$150,"&lt;&gt;Cancelada")&gt;0,"Vistoria ","")&amp;IF(COUNTIFS($C$22:$C$150,D8,$D$22:$D$150,"*Relatório*",$Q$22:$Q$150,"&lt;&gt;Cancelada")&gt;0,"Relatório ","")&amp;IF(COUNTIFS($C$22:$C$150,D8,$D$22:$D$150,"*Reunião*",$Q$22:$Q$150,"&lt;&gt;Cancelada")&gt;0,"REUNIÃO ","")&amp;IF(COUNTIFS($C$22:$C$150,D8,$D$22:$D$150,"*Férias*",$Q$22:$Q$150,"&lt;&gt;Cancelada")&gt;0,"Férias ","")&amp;IF(COUNTIFS($C$22:$C$150,D8,$D$22:$D$150,"*Mudança*",$Q$22:$Q$150,"&lt;&gt;Cancelada")&gt;0,"M.Função ","")&amp;IF(COUNTIFS($C$22:$C$150,D8,$D$22:$D$150,"*Treinamento*",$Q$22:$Q$150,"&lt;&gt;Cancelada")&gt;0,"Trein. ","")))</f>
        <v>Férias</v>
      </c>
      <c r="E9" s="77"/>
      <c r="F9" s="77" t="str">
        <f aca="false">IF(F8="","",TRIM(IF(COUNTIFS($C$22:$C$150,F8,$D$22:$D$150,"*Vistoria*",$Q$22:$Q$150,"&lt;&gt;Cancelada")&gt;0,"Vistoria ","")&amp;IF(COUNTIFS($C$22:$C$150,F8,$D$22:$D$150,"*Relatório*",$Q$22:$Q$150,"&lt;&gt;Cancelada")&gt;0,"Relatório ","")&amp;IF(COUNTIFS($C$22:$C$150,F8,$D$22:$D$150,"*Reunião*",$Q$22:$Q$150,"&lt;&gt;Cancelada")&gt;0,"REUNIÃO ","")&amp;IF(COUNTIFS($C$22:$C$150,F8,$D$22:$D$150,"*Férias*",$Q$22:$Q$150,"&lt;&gt;Cancelada")&gt;0,"Férias ","")&amp;IF(COUNTIFS($C$22:$C$150,F8,$D$22:$D$150,"*Mudança*",$Q$22:$Q$150,"&lt;&gt;Cancelada")&gt;0,"M.Função ","")&amp;IF(COUNTIFS($C$22:$C$150,F8,$D$22:$D$150,"*Treinamento*",$Q$22:$Q$150,"&lt;&gt;Cancelada")&gt;0,"Trein. ","")))</f>
        <v/>
      </c>
      <c r="G9" s="77"/>
      <c r="H9" s="77" t="str">
        <f aca="false">IF(H8="","",TRIM(IF(COUNTIFS($C$22:$C$150,H8,$D$22:$D$150,"*Vistoria*",$Q$22:$Q$150,"&lt;&gt;Cancelada")&gt;0,"Vistoria ","")&amp;IF(COUNTIFS($C$22:$C$150,H8,$D$22:$D$150,"*Relatório*",$Q$22:$Q$150,"&lt;&gt;Cancelada")&gt;0,"Relatório ","")&amp;IF(COUNTIFS($C$22:$C$150,H8,$D$22:$D$150,"*Reunião*",$Q$22:$Q$150,"&lt;&gt;Cancelada")&gt;0,"REUNIÃO ","")&amp;IF(COUNTIFS($C$22:$C$150,H8,$D$22:$D$150,"*Férias*",$Q$22:$Q$150,"&lt;&gt;Cancelada")&gt;0,"Férias ","")&amp;IF(COUNTIFS($C$22:$C$150,H8,$D$22:$D$150,"*Mudança*",$Q$22:$Q$150,"&lt;&gt;Cancelada")&gt;0,"M.Função ","")&amp;IF(COUNTIFS($C$22:$C$150,H8,$D$22:$D$150,"*Treinamento*",$Q$22:$Q$150,"&lt;&gt;Cancelada")&gt;0,"Trein. ","")))</f>
        <v>Vistoria</v>
      </c>
      <c r="I9" s="77"/>
      <c r="J9" s="77" t="str">
        <f aca="false">IF(J8="","",TRIM(IF(COUNTIFS($C$22:$C$150,J8,$D$22:$D$150,"*Vistoria*",$Q$22:$Q$150,"&lt;&gt;Cancelada")&gt;0,"Vistoria ","")&amp;IF(COUNTIFS($C$22:$C$150,J8,$D$22:$D$150,"*Relatório*",$Q$22:$Q$150,"&lt;&gt;Cancelada")&gt;0,"Relatório ","")&amp;IF(COUNTIFS($C$22:$C$150,J8,$D$22:$D$150,"*Reunião*",$Q$22:$Q$150,"&lt;&gt;Cancelada")&gt;0,"REUNIÃO ","")&amp;IF(COUNTIFS($C$22:$C$150,J8,$D$22:$D$150,"*Férias*",$Q$22:$Q$150,"&lt;&gt;Cancelada")&gt;0,"Férias ","")&amp;IF(COUNTIFS($C$22:$C$150,J8,$D$22:$D$150,"*Mudança*",$Q$22:$Q$150,"&lt;&gt;Cancelada")&gt;0,"M.Função ","")&amp;IF(COUNTIFS($C$22:$C$150,J8,$D$22:$D$150,"*Treinamento*",$Q$22:$Q$150,"&lt;&gt;Cancelada")&gt;0,"Trein. ","")))</f>
        <v>Relatório</v>
      </c>
      <c r="K9" s="77"/>
      <c r="L9" s="77" t="str">
        <f aca="false">IF(L8="","",TRIM(IF(COUNTIFS($C$22:$C$150,L8,$D$22:$D$150,"*Vistoria*",$Q$22:$Q$150,"&lt;&gt;Cancelada")&gt;0,"Vistoria ","")&amp;IF(COUNTIFS($C$22:$C$150,L8,$D$22:$D$150,"*Relatório*",$Q$22:$Q$150,"&lt;&gt;Cancelada")&gt;0,"Relatório ","")&amp;IF(COUNTIFS($C$22:$C$150,L8,$D$22:$D$150,"*Reunião*",$Q$22:$Q$150,"&lt;&gt;Cancelada")&gt;0,"REUNIÃO ","")&amp;IF(COUNTIFS($C$22:$C$150,L8,$D$22:$D$150,"*Férias*",$Q$22:$Q$150,"&lt;&gt;Cancelada")&gt;0,"Férias ","")&amp;IF(COUNTIFS($C$22:$C$150,L8,$D$22:$D$150,"*Mudança*",$Q$22:$Q$150,"&lt;&gt;Cancelada")&gt;0,"M.Função ","")&amp;IF(COUNTIFS($C$22:$C$150,L8,$D$22:$D$150,"*Treinamento*",$Q$22:$Q$150,"&lt;&gt;Cancelada")&gt;0,"Trein. ","")))</f>
        <v>REUNIÃO</v>
      </c>
      <c r="M9" s="77"/>
      <c r="N9" s="77" t="str">
        <f aca="false">IF(N8="","",TRIM(IF(COUNTIFS($C$22:$C$150,N8,$D$22:$D$150,"*Vistoria*",$Q$22:$Q$150,"&lt;&gt;Cancelada")&gt;0,"Vistoria ","")&amp;IF(COUNTIFS($C$22:$C$150,N8,$D$22:$D$150,"*Relatório*",$Q$22:$Q$150,"&lt;&gt;Cancelada")&gt;0,"Relatório ","")&amp;IF(COUNTIFS($C$22:$C$150,N8,$D$22:$D$150,"*Reunião*",$Q$22:$Q$150,"&lt;&gt;Cancelada")&gt;0,"REUNIÃO ","")&amp;IF(COUNTIFS($C$22:$C$150,N8,$D$22:$D$150,"*Férias*",$Q$22:$Q$150,"&lt;&gt;Cancelada")&gt;0,"Férias ","")&amp;IF(COUNTIFS($C$22:$C$150,N8,$D$22:$D$150,"*Mudança*",$Q$22:$Q$150,"&lt;&gt;Cancelada")&gt;0,"M.Função ","")&amp;IF(COUNTIFS($C$22:$C$150,N8,$D$22:$D$150,"*Treinamento*",$Q$22:$Q$150,"&lt;&gt;Cancelada")&gt;0,"Trein. ","")))</f>
        <v/>
      </c>
      <c r="O9" s="77"/>
    </row>
    <row r="10" customFormat="false" ht="15" hidden="false" customHeight="true" outlineLevel="0" collapsed="false">
      <c r="B10" s="76" t="n">
        <f aca="false">IF(MONTH($X$1-WEEKDAY($X$1)+1+14)=MONTH($X$1),$X$1-WEEKDAY($X$1)+1+14,"")</f>
        <v>46033</v>
      </c>
      <c r="C10" s="76"/>
      <c r="D10" s="76" t="n">
        <f aca="false">IF(MONTH($X$1-WEEKDAY($X$1)+1+15)=MONTH($X$1),$X$1-WEEKDAY($X$1)+1+15,"")</f>
        <v>46034</v>
      </c>
      <c r="E10" s="76"/>
      <c r="F10" s="76" t="n">
        <f aca="false">IF(MONTH($X$1-WEEKDAY($X$1)+1+16)=MONTH($X$1),$X$1-WEEKDAY($X$1)+1+16,"")</f>
        <v>46035</v>
      </c>
      <c r="G10" s="76"/>
      <c r="H10" s="76" t="n">
        <f aca="false">IF(MONTH($X$1-WEEKDAY($X$1)+1+17)=MONTH($X$1),$X$1-WEEKDAY($X$1)+1+17,"")</f>
        <v>46036</v>
      </c>
      <c r="I10" s="76"/>
      <c r="J10" s="76" t="n">
        <f aca="false">IF(MONTH($X$1-WEEKDAY($X$1)+1+18)=MONTH($X$1),$X$1-WEEKDAY($X$1)+1+18,"")</f>
        <v>46037</v>
      </c>
      <c r="K10" s="76"/>
      <c r="L10" s="76" t="n">
        <f aca="false">IF(MONTH($X$1-WEEKDAY($X$1)+1+19)=MONTH($X$1),$X$1-WEEKDAY($X$1)+1+19,"")</f>
        <v>46038</v>
      </c>
      <c r="M10" s="76"/>
      <c r="N10" s="76" t="n">
        <f aca="false">IF(MONTH($X$1-WEEKDAY($X$1)+1+20)=MONTH($X$1),$X$1-WEEKDAY($X$1)+1+20,"")</f>
        <v>46039</v>
      </c>
      <c r="O10" s="76"/>
    </row>
    <row r="11" customFormat="false" ht="25.5" hidden="false" customHeight="true" outlineLevel="0" collapsed="false">
      <c r="B11" s="77" t="str">
        <f aca="false">IF(B10="","",TRIM(IF(COUNTIFS($C$22:$C$150,B10,$D$22:$D$150,"*Vistoria*",$Q$22:$Q$150,"&lt;&gt;Cancelada")&gt;0,"Vistoria ","")&amp;IF(COUNTIFS($C$22:$C$150,B10,$D$22:$D$150,"*Relatório*",$Q$22:$Q$150,"&lt;&gt;Cancelada")&gt;0,"Relatório ","")&amp;IF(COUNTIFS($C$22:$C$150,B10,$D$22:$D$150,"*Reunião*",$Q$22:$Q$150,"&lt;&gt;Cancelada")&gt;0,"REUNIÃO ","")&amp;IF(COUNTIFS($C$22:$C$150,B10,$D$22:$D$150,"*Férias*",$Q$22:$Q$150,"&lt;&gt;Cancelada")&gt;0,"Férias ","")&amp;IF(COUNTIFS($C$22:$C$150,B10,$D$22:$D$150,"*Mudança*",$Q$22:$Q$150,"&lt;&gt;Cancelada")&gt;0,"M.Função ","")&amp;IF(COUNTIFS($C$22:$C$150,B10,$D$22:$D$150,"*Treinamento*",$Q$22:$Q$150,"&lt;&gt;Cancelada")&gt;0,"Trein. ","")))</f>
        <v/>
      </c>
      <c r="C11" s="77"/>
      <c r="D11" s="77" t="str">
        <f aca="false">IF(D10="","",TRIM(IF(COUNTIFS($C$22:$C$150,D10,$D$22:$D$150,"*Vistoria*",$Q$22:$Q$150,"&lt;&gt;Cancelada")&gt;0,"Vistoria ","")&amp;IF(COUNTIFS($C$22:$C$150,D10,$D$22:$D$150,"*Relatório*",$Q$22:$Q$150,"&lt;&gt;Cancelada")&gt;0,"Relatório ","")&amp;IF(COUNTIFS($C$22:$C$150,D10,$D$22:$D$150,"*Reunião*",$Q$22:$Q$150,"&lt;&gt;Cancelada")&gt;0,"REUNIÃO ","")&amp;IF(COUNTIFS($C$22:$C$150,D10,$D$22:$D$150,"*Férias*",$Q$22:$Q$150,"&lt;&gt;Cancelada")&gt;0,"Férias ","")&amp;IF(COUNTIFS($C$22:$C$150,D10,$D$22:$D$150,"*Mudança*",$Q$22:$Q$150,"&lt;&gt;Cancelada")&gt;0,"M.Função ","")&amp;IF(COUNTIFS($C$22:$C$150,D10,$D$22:$D$150,"*Treinamento*",$Q$22:$Q$150,"&lt;&gt;Cancelada")&gt;0,"Trein. ","")))</f>
        <v/>
      </c>
      <c r="E11" s="77"/>
      <c r="F11" s="77" t="str">
        <f aca="false">IF(F10="","",TRIM(IF(COUNTIFS($C$22:$C$150,F10,$D$22:$D$150,"*Vistoria*",$Q$22:$Q$150,"&lt;&gt;Cancelada")&gt;0,"Vistoria ","")&amp;IF(COUNTIFS($C$22:$C$150,F10,$D$22:$D$150,"*Relatório*",$Q$22:$Q$150,"&lt;&gt;Cancelada")&gt;0,"Relatório ","")&amp;IF(COUNTIFS($C$22:$C$150,F10,$D$22:$D$150,"*Reunião*",$Q$22:$Q$150,"&lt;&gt;Cancelada")&gt;0,"REUNIÃO ","")&amp;IF(COUNTIFS($C$22:$C$150,F10,$D$22:$D$150,"*Férias*",$Q$22:$Q$150,"&lt;&gt;Cancelada")&gt;0,"Férias ","")&amp;IF(COUNTIFS($C$22:$C$150,F10,$D$22:$D$150,"*Mudança*",$Q$22:$Q$150,"&lt;&gt;Cancelada")&gt;0,"M.Função ","")&amp;IF(COUNTIFS($C$22:$C$150,F10,$D$22:$D$150,"*Treinamento*",$Q$22:$Q$150,"&lt;&gt;Cancelada")&gt;0,"Trein. ","")))</f>
        <v/>
      </c>
      <c r="G11" s="77"/>
      <c r="H11" s="77" t="str">
        <f aca="false">IF(H10="","",TRIM(IF(COUNTIFS($C$22:$C$150,H10,$D$22:$D$150,"*Vistoria*",$Q$22:$Q$150,"&lt;&gt;Cancelada")&gt;0,"Vistoria ","")&amp;IF(COUNTIFS($C$22:$C$150,H10,$D$22:$D$150,"*Relatório*",$Q$22:$Q$150,"&lt;&gt;Cancelada")&gt;0,"Relatório ","")&amp;IF(COUNTIFS($C$22:$C$150,H10,$D$22:$D$150,"*Reunião*",$Q$22:$Q$150,"&lt;&gt;Cancelada")&gt;0,"REUNIÃO ","")&amp;IF(COUNTIFS($C$22:$C$150,H10,$D$22:$D$150,"*Férias*",$Q$22:$Q$150,"&lt;&gt;Cancelada")&gt;0,"Férias ","")&amp;IF(COUNTIFS($C$22:$C$150,H10,$D$22:$D$150,"*Mudança*",$Q$22:$Q$150,"&lt;&gt;Cancelada")&gt;0,"M.Função ","")&amp;IF(COUNTIFS($C$22:$C$150,H10,$D$22:$D$150,"*Treinamento*",$Q$22:$Q$150,"&lt;&gt;Cancelada")&gt;0,"Trein. ","")))</f>
        <v>Vistoria</v>
      </c>
      <c r="I11" s="77"/>
      <c r="J11" s="77" t="str">
        <f aca="false">IF(J10="","",TRIM(IF(COUNTIFS($C$22:$C$150,J10,$D$22:$D$150,"*Vistoria*",$Q$22:$Q$150,"&lt;&gt;Cancelada")&gt;0,"Vistoria ","")&amp;IF(COUNTIFS($C$22:$C$150,J10,$D$22:$D$150,"*Relatório*",$Q$22:$Q$150,"&lt;&gt;Cancelada")&gt;0,"Relatório ","")&amp;IF(COUNTIFS($C$22:$C$150,J10,$D$22:$D$150,"*Reunião*",$Q$22:$Q$150,"&lt;&gt;Cancelada")&gt;0,"REUNIÃO ","")&amp;IF(COUNTIFS($C$22:$C$150,J10,$D$22:$D$150,"*Férias*",$Q$22:$Q$150,"&lt;&gt;Cancelada")&gt;0,"Férias ","")&amp;IF(COUNTIFS($C$22:$C$150,J10,$D$22:$D$150,"*Mudança*",$Q$22:$Q$150,"&lt;&gt;Cancelada")&gt;0,"M.Função ","")&amp;IF(COUNTIFS($C$22:$C$150,J10,$D$22:$D$150,"*Treinamento*",$Q$22:$Q$150,"&lt;&gt;Cancelada")&gt;0,"Trein. ","")))</f>
        <v>Relatório</v>
      </c>
      <c r="K11" s="77"/>
      <c r="L11" s="77" t="str">
        <f aca="false">IF(L10="","",TRIM(IF(COUNTIFS($C$22:$C$150,L10,$D$22:$D$150,"*Vistoria*",$Q$22:$Q$150,"&lt;&gt;Cancelada")&gt;0,"Vistoria ","")&amp;IF(COUNTIFS($C$22:$C$150,L10,$D$22:$D$150,"*Relatório*",$Q$22:$Q$150,"&lt;&gt;Cancelada")&gt;0,"Relatório ","")&amp;IF(COUNTIFS($C$22:$C$150,L10,$D$22:$D$150,"*Reunião*",$Q$22:$Q$150,"&lt;&gt;Cancelada")&gt;0,"REUNIÃO ","")&amp;IF(COUNTIFS($C$22:$C$150,L10,$D$22:$D$150,"*Férias*",$Q$22:$Q$150,"&lt;&gt;Cancelada")&gt;0,"Férias ","")&amp;IF(COUNTIFS($C$22:$C$150,L10,$D$22:$D$150,"*Mudança*",$Q$22:$Q$150,"&lt;&gt;Cancelada")&gt;0,"M.Função ","")&amp;IF(COUNTIFS($C$22:$C$150,L10,$D$22:$D$150,"*Treinamento*",$Q$22:$Q$150,"&lt;&gt;Cancelada")&gt;0,"Trein. ","")))</f>
        <v>REUNIÃO</v>
      </c>
      <c r="M11" s="77"/>
      <c r="N11" s="77" t="str">
        <f aca="false">IF(N10="","",TRIM(IF(COUNTIFS($C$22:$C$150,N10,$D$22:$D$150,"*Vistoria*",$Q$22:$Q$150,"&lt;&gt;Cancelada")&gt;0,"Vistoria ","")&amp;IF(COUNTIFS($C$22:$C$150,N10,$D$22:$D$150,"*Relatório*",$Q$22:$Q$150,"&lt;&gt;Cancelada")&gt;0,"Relatório ","")&amp;IF(COUNTIFS($C$22:$C$150,N10,$D$22:$D$150,"*Reunião*",$Q$22:$Q$150,"&lt;&gt;Cancelada")&gt;0,"REUNIÃO ","")&amp;IF(COUNTIFS($C$22:$C$150,N10,$D$22:$D$150,"*Férias*",$Q$22:$Q$150,"&lt;&gt;Cancelada")&gt;0,"Férias ","")&amp;IF(COUNTIFS($C$22:$C$150,N10,$D$22:$D$150,"*Mudança*",$Q$22:$Q$150,"&lt;&gt;Cancelada")&gt;0,"M.Função ","")&amp;IF(COUNTIFS($C$22:$C$150,N10,$D$22:$D$150,"*Treinamento*",$Q$22:$Q$150,"&lt;&gt;Cancelada")&gt;0,"Trein. ","")))</f>
        <v/>
      </c>
      <c r="O11" s="77"/>
    </row>
    <row r="12" customFormat="false" ht="15" hidden="false" customHeight="true" outlineLevel="0" collapsed="false">
      <c r="B12" s="76" t="n">
        <f aca="false">IF(MONTH($X$1-WEEKDAY($X$1)+1+21)=MONTH($X$1),$X$1-WEEKDAY($X$1)+1+21,"")</f>
        <v>46040</v>
      </c>
      <c r="C12" s="76"/>
      <c r="D12" s="76" t="n">
        <f aca="false">IF(MONTH($X$1-WEEKDAY($X$1)+1+22)=MONTH($X$1),$X$1-WEEKDAY($X$1)+1+22,"")</f>
        <v>46041</v>
      </c>
      <c r="E12" s="76"/>
      <c r="F12" s="76" t="n">
        <f aca="false">IF(MONTH($X$1-WEEKDAY($X$1)+1+23)=MONTH($X$1),$X$1-WEEKDAY($X$1)+1+23,"")</f>
        <v>46042</v>
      </c>
      <c r="G12" s="76"/>
      <c r="H12" s="76" t="n">
        <f aca="false">IF(MONTH($X$1-WEEKDAY($X$1)+1+24)=MONTH($X$1),$X$1-WEEKDAY($X$1)+1+24,"")</f>
        <v>46043</v>
      </c>
      <c r="I12" s="76"/>
      <c r="J12" s="76" t="n">
        <f aca="false">IF(MONTH($X$1-WEEKDAY($X$1)+1+25)=MONTH($X$1),$X$1-WEEKDAY($X$1)+1+25,"")</f>
        <v>46044</v>
      </c>
      <c r="K12" s="76"/>
      <c r="L12" s="76" t="n">
        <f aca="false">IF(MONTH($X$1-WEEKDAY($X$1)+1+26)=MONTH($X$1),$X$1-WEEKDAY($X$1)+1+26,"")</f>
        <v>46045</v>
      </c>
      <c r="M12" s="76"/>
      <c r="N12" s="76" t="n">
        <f aca="false">IF(MONTH($X$1-WEEKDAY($X$1)+1+27)=MONTH($X$1),$X$1-WEEKDAY($X$1)+1+27,"")</f>
        <v>46046</v>
      </c>
      <c r="O12" s="76"/>
    </row>
    <row r="13" customFormat="false" ht="25.5" hidden="false" customHeight="true" outlineLevel="0" collapsed="false">
      <c r="B13" s="77" t="str">
        <f aca="false">IF(B12="","",TRIM(IF(COUNTIFS($C$22:$C$150,B12,$D$22:$D$150,"*Vistoria*",$Q$22:$Q$150,"&lt;&gt;Cancelada")&gt;0,"Vistoria ","")&amp;IF(COUNTIFS($C$22:$C$150,B12,$D$22:$D$150,"*Relatório*",$Q$22:$Q$150,"&lt;&gt;Cancelada")&gt;0,"Relatório ","")&amp;IF(COUNTIFS($C$22:$C$150,B12,$D$22:$D$150,"*Reunião*",$Q$22:$Q$150,"&lt;&gt;Cancelada")&gt;0,"REUNIÃO ","")&amp;IF(COUNTIFS($C$22:$C$150,B12,$D$22:$D$150,"*Férias*",$Q$22:$Q$150,"&lt;&gt;Cancelada")&gt;0,"Férias ","")&amp;IF(COUNTIFS($C$22:$C$150,B12,$D$22:$D$150,"*Mudança*",$Q$22:$Q$150,"&lt;&gt;Cancelada")&gt;0,"M.Função ","")&amp;IF(COUNTIFS($C$22:$C$150,B12,$D$22:$D$150,"*Treinamento*",$Q$22:$Q$150,"&lt;&gt;Cancelada")&gt;0,"Trein. ","")))</f>
        <v/>
      </c>
      <c r="C13" s="77"/>
      <c r="D13" s="77" t="str">
        <f aca="false">IF(D12="","",TRIM(IF(COUNTIFS($C$22:$C$150,D12,$D$22:$D$150,"*Vistoria*",$Q$22:$Q$150,"&lt;&gt;Cancelada")&gt;0,"Vistoria ","")&amp;IF(COUNTIFS($C$22:$C$150,D12,$D$22:$D$150,"*Relatório*",$Q$22:$Q$150,"&lt;&gt;Cancelada")&gt;0,"Relatório ","")&amp;IF(COUNTIFS($C$22:$C$150,D12,$D$22:$D$150,"*Reunião*",$Q$22:$Q$150,"&lt;&gt;Cancelada")&gt;0,"REUNIÃO ","")&amp;IF(COUNTIFS($C$22:$C$150,D12,$D$22:$D$150,"*Férias*",$Q$22:$Q$150,"&lt;&gt;Cancelada")&gt;0,"Férias ","")&amp;IF(COUNTIFS($C$22:$C$150,D12,$D$22:$D$150,"*Mudança*",$Q$22:$Q$150,"&lt;&gt;Cancelada")&gt;0,"M.Função ","")&amp;IF(COUNTIFS($C$22:$C$150,D12,$D$22:$D$150,"*Treinamento*",$Q$22:$Q$150,"&lt;&gt;Cancelada")&gt;0,"Trein. ","")))</f>
        <v/>
      </c>
      <c r="E13" s="77"/>
      <c r="F13" s="77" t="str">
        <f aca="false">IF(F12="","",TRIM(IF(COUNTIFS($C$22:$C$150,F12,$D$22:$D$150,"*Vistoria*",$Q$22:$Q$150,"&lt;&gt;Cancelada")&gt;0,"Vistoria ","")&amp;IF(COUNTIFS($C$22:$C$150,F12,$D$22:$D$150,"*Relatório*",$Q$22:$Q$150,"&lt;&gt;Cancelada")&gt;0,"Relatório ","")&amp;IF(COUNTIFS($C$22:$C$150,F12,$D$22:$D$150,"*Reunião*",$Q$22:$Q$150,"&lt;&gt;Cancelada")&gt;0,"REUNIÃO ","")&amp;IF(COUNTIFS($C$22:$C$150,F12,$D$22:$D$150,"*Férias*",$Q$22:$Q$150,"&lt;&gt;Cancelada")&gt;0,"Férias ","")&amp;IF(COUNTIFS($C$22:$C$150,F12,$D$22:$D$150,"*Mudança*",$Q$22:$Q$150,"&lt;&gt;Cancelada")&gt;0,"M.Função ","")&amp;IF(COUNTIFS($C$22:$C$150,F12,$D$22:$D$150,"*Treinamento*",$Q$22:$Q$150,"&lt;&gt;Cancelada")&gt;0,"Trein. ","")))</f>
        <v/>
      </c>
      <c r="G13" s="77"/>
      <c r="H13" s="77" t="str">
        <f aca="false">IF(H12="","",TRIM(IF(COUNTIFS($C$22:$C$150,H12,$D$22:$D$150,"*Vistoria*",$Q$22:$Q$150,"&lt;&gt;Cancelada")&gt;0,"Vistoria ","")&amp;IF(COUNTIFS($C$22:$C$150,H12,$D$22:$D$150,"*Relatório*",$Q$22:$Q$150,"&lt;&gt;Cancelada")&gt;0,"Relatório ","")&amp;IF(COUNTIFS($C$22:$C$150,H12,$D$22:$D$150,"*Reunião*",$Q$22:$Q$150,"&lt;&gt;Cancelada")&gt;0,"REUNIÃO ","")&amp;IF(COUNTIFS($C$22:$C$150,H12,$D$22:$D$150,"*Férias*",$Q$22:$Q$150,"&lt;&gt;Cancelada")&gt;0,"Férias ","")&amp;IF(COUNTIFS($C$22:$C$150,H12,$D$22:$D$150,"*Mudança*",$Q$22:$Q$150,"&lt;&gt;Cancelada")&gt;0,"M.Função ","")&amp;IF(COUNTIFS($C$22:$C$150,H12,$D$22:$D$150,"*Treinamento*",$Q$22:$Q$150,"&lt;&gt;Cancelada")&gt;0,"Trein. ","")))</f>
        <v>Vistoria</v>
      </c>
      <c r="I13" s="77"/>
      <c r="J13" s="77" t="str">
        <f aca="false">IF(J12="","",TRIM(IF(COUNTIFS($C$22:$C$150,J12,$D$22:$D$150,"*Vistoria*",$Q$22:$Q$150,"&lt;&gt;Cancelada")&gt;0,"Vistoria ","")&amp;IF(COUNTIFS($C$22:$C$150,J12,$D$22:$D$150,"*Relatório*",$Q$22:$Q$150,"&lt;&gt;Cancelada")&gt;0,"Relatório ","")&amp;IF(COUNTIFS($C$22:$C$150,J12,$D$22:$D$150,"*Reunião*",$Q$22:$Q$150,"&lt;&gt;Cancelada")&gt;0,"REUNIÃO ","")&amp;IF(COUNTIFS($C$22:$C$150,J12,$D$22:$D$150,"*Férias*",$Q$22:$Q$150,"&lt;&gt;Cancelada")&gt;0,"Férias ","")&amp;IF(COUNTIFS($C$22:$C$150,J12,$D$22:$D$150,"*Mudança*",$Q$22:$Q$150,"&lt;&gt;Cancelada")&gt;0,"M.Função ","")&amp;IF(COUNTIFS($C$22:$C$150,J12,$D$22:$D$150,"*Treinamento*",$Q$22:$Q$150,"&lt;&gt;Cancelada")&gt;0,"Trein. ","")))</f>
        <v>Relatório</v>
      </c>
      <c r="K13" s="77"/>
      <c r="L13" s="77" t="str">
        <f aca="false">IF(L12="","",TRIM(IF(COUNTIFS($C$22:$C$150,L12,$D$22:$D$150,"*Vistoria*",$Q$22:$Q$150,"&lt;&gt;Cancelada")&gt;0,"Vistoria ","")&amp;IF(COUNTIFS($C$22:$C$150,L12,$D$22:$D$150,"*Relatório*",$Q$22:$Q$150,"&lt;&gt;Cancelada")&gt;0,"Relatório ","")&amp;IF(COUNTIFS($C$22:$C$150,L12,$D$22:$D$150,"*Reunião*",$Q$22:$Q$150,"&lt;&gt;Cancelada")&gt;0,"REUNIÃO ","")&amp;IF(COUNTIFS($C$22:$C$150,L12,$D$22:$D$150,"*Férias*",$Q$22:$Q$150,"&lt;&gt;Cancelada")&gt;0,"Férias ","")&amp;IF(COUNTIFS($C$22:$C$150,L12,$D$22:$D$150,"*Mudança*",$Q$22:$Q$150,"&lt;&gt;Cancelada")&gt;0,"M.Função ","")&amp;IF(COUNTIFS($C$22:$C$150,L12,$D$22:$D$150,"*Treinamento*",$Q$22:$Q$150,"&lt;&gt;Cancelada")&gt;0,"Trein. ","")))</f>
        <v>REUNIÃO</v>
      </c>
      <c r="M13" s="77"/>
      <c r="N13" s="77" t="str">
        <f aca="false">IF(N12="","",TRIM(IF(COUNTIFS($C$22:$C$150,N12,$D$22:$D$150,"*Vistoria*",$Q$22:$Q$150,"&lt;&gt;Cancelada")&gt;0,"Vistoria ","")&amp;IF(COUNTIFS($C$22:$C$150,N12,$D$22:$D$150,"*Relatório*",$Q$22:$Q$150,"&lt;&gt;Cancelada")&gt;0,"Relatório ","")&amp;IF(COUNTIFS($C$22:$C$150,N12,$D$22:$D$150,"*Reunião*",$Q$22:$Q$150,"&lt;&gt;Cancelada")&gt;0,"REUNIÃO ","")&amp;IF(COUNTIFS($C$22:$C$150,N12,$D$22:$D$150,"*Férias*",$Q$22:$Q$150,"&lt;&gt;Cancelada")&gt;0,"Férias ","")&amp;IF(COUNTIFS($C$22:$C$150,N12,$D$22:$D$150,"*Mudança*",$Q$22:$Q$150,"&lt;&gt;Cancelada")&gt;0,"M.Função ","")&amp;IF(COUNTIFS($C$22:$C$150,N12,$D$22:$D$150,"*Treinamento*",$Q$22:$Q$150,"&lt;&gt;Cancelada")&gt;0,"Trein. ","")))</f>
        <v/>
      </c>
      <c r="O13" s="77"/>
    </row>
    <row r="14" customFormat="false" ht="15" hidden="false" customHeight="true" outlineLevel="0" collapsed="false">
      <c r="B14" s="76" t="n">
        <f aca="false">IF(MONTH($X$1-WEEKDAY($X$1)+1+28)=MONTH($X$1),$X$1-WEEKDAY($X$1)+1+28,"")</f>
        <v>46047</v>
      </c>
      <c r="C14" s="76"/>
      <c r="D14" s="76" t="n">
        <f aca="false">IF(MONTH($X$1-WEEKDAY($X$1)+1+29)=MONTH($X$1),$X$1-WEEKDAY($X$1)+1+29,"")</f>
        <v>46048</v>
      </c>
      <c r="E14" s="76"/>
      <c r="F14" s="76" t="n">
        <f aca="false">IF(MONTH($X$1-WEEKDAY($X$1)+1+30)=MONTH($X$1),$X$1-WEEKDAY($X$1)+1+30,"")</f>
        <v>46049</v>
      </c>
      <c r="G14" s="76"/>
      <c r="H14" s="76" t="n">
        <f aca="false">IF(MONTH($X$1-WEEKDAY($X$1)+1+31)=MONTH($X$1),$X$1-WEEKDAY($X$1)+1+31,"")</f>
        <v>46050</v>
      </c>
      <c r="I14" s="76"/>
      <c r="J14" s="76" t="n">
        <f aca="false">IF(MONTH($X$1-WEEKDAY($X$1)+1+32)=MONTH($X$1),$X$1-WEEKDAY($X$1)+1+32,"")</f>
        <v>46051</v>
      </c>
      <c r="K14" s="76"/>
      <c r="L14" s="76" t="n">
        <f aca="false">IF(MONTH($X$1-WEEKDAY($X$1)+1+33)=MONTH($X$1),$X$1-WEEKDAY($X$1)+1+33,"")</f>
        <v>46052</v>
      </c>
      <c r="M14" s="76"/>
      <c r="N14" s="76" t="n">
        <f aca="false">IF(MONTH($X$1-WEEKDAY($X$1)+1+34)=MONTH($X$1),$X$1-WEEKDAY($X$1)+1+34,"")</f>
        <v>46053</v>
      </c>
      <c r="O14" s="76"/>
    </row>
    <row r="15" customFormat="false" ht="25.5" hidden="false" customHeight="true" outlineLevel="0" collapsed="false">
      <c r="B15" s="77" t="str">
        <f aca="false">IF(B14="","",TRIM(IF(COUNTIFS($C$22:$C$150,B14,$D$22:$D$150,"*Vistoria*",$Q$22:$Q$150,"&lt;&gt;Cancelada")&gt;0,"Vistoria ","")&amp;IF(COUNTIFS($C$22:$C$150,B14,$D$22:$D$150,"*Relatório*",$Q$22:$Q$150,"&lt;&gt;Cancelada")&gt;0,"Relatório ","")&amp;IF(COUNTIFS($C$22:$C$150,B14,$D$22:$D$150,"*Reunião*",$Q$22:$Q$150,"&lt;&gt;Cancelada")&gt;0,"REUNIÃO ","")&amp;IF(COUNTIFS($C$22:$C$150,B14,$D$22:$D$150,"*Férias*",$Q$22:$Q$150,"&lt;&gt;Cancelada")&gt;0,"Férias ","")&amp;IF(COUNTIFS($C$22:$C$150,B14,$D$22:$D$150,"*Mudança*",$Q$22:$Q$150,"&lt;&gt;Cancelada")&gt;0,"M.Função ","")&amp;IF(COUNTIFS($C$22:$C$150,B14,$D$22:$D$150,"*Treinamento*",$Q$22:$Q$150,"&lt;&gt;Cancelada")&gt;0,"Trein. ","")))</f>
        <v/>
      </c>
      <c r="C15" s="77"/>
      <c r="D15" s="77" t="str">
        <f aca="false">IF(D14="","",TRIM(IF(COUNTIFS($C$22:$C$150,D14,$D$22:$D$150,"*Vistoria*",$Q$22:$Q$150,"&lt;&gt;Cancelada")&gt;0,"Vistoria ","")&amp;IF(COUNTIFS($C$22:$C$150,D14,$D$22:$D$150,"*Relatório*",$Q$22:$Q$150,"&lt;&gt;Cancelada")&gt;0,"Relatório ","")&amp;IF(COUNTIFS($C$22:$C$150,D14,$D$22:$D$150,"*Reunião*",$Q$22:$Q$150,"&lt;&gt;Cancelada")&gt;0,"REUNIÃO ","")&amp;IF(COUNTIFS($C$22:$C$150,D14,$D$22:$D$150,"*Férias*",$Q$22:$Q$150,"&lt;&gt;Cancelada")&gt;0,"Férias ","")&amp;IF(COUNTIFS($C$22:$C$150,D14,$D$22:$D$150,"*Mudança*",$Q$22:$Q$150,"&lt;&gt;Cancelada")&gt;0,"M.Função ","")&amp;IF(COUNTIFS($C$22:$C$150,D14,$D$22:$D$150,"*Treinamento*",$Q$22:$Q$150,"&lt;&gt;Cancelada")&gt;0,"Trein. ","")))</f>
        <v/>
      </c>
      <c r="E15" s="77"/>
      <c r="F15" s="77" t="str">
        <f aca="false">IF(F14="","",TRIM(IF(COUNTIFS($C$22:$C$150,F14,$D$22:$D$150,"*Vistoria*",$Q$22:$Q$150,"&lt;&gt;Cancelada")&gt;0,"Vistoria ","")&amp;IF(COUNTIFS($C$22:$C$150,F14,$D$22:$D$150,"*Relatório*",$Q$22:$Q$150,"&lt;&gt;Cancelada")&gt;0,"Relatório ","")&amp;IF(COUNTIFS($C$22:$C$150,F14,$D$22:$D$150,"*Reunião*",$Q$22:$Q$150,"&lt;&gt;Cancelada")&gt;0,"REUNIÃO ","")&amp;IF(COUNTIFS($C$22:$C$150,F14,$D$22:$D$150,"*Férias*",$Q$22:$Q$150,"&lt;&gt;Cancelada")&gt;0,"Férias ","")&amp;IF(COUNTIFS($C$22:$C$150,F14,$D$22:$D$150,"*Mudança*",$Q$22:$Q$150,"&lt;&gt;Cancelada")&gt;0,"M.Função ","")&amp;IF(COUNTIFS($C$22:$C$150,F14,$D$22:$D$150,"*Treinamento*",$Q$22:$Q$150,"&lt;&gt;Cancelada")&gt;0,"Trein. ","")))</f>
        <v/>
      </c>
      <c r="G15" s="77"/>
      <c r="H15" s="77" t="str">
        <f aca="false">IF(H14="","",TRIM(IF(COUNTIFS($C$22:$C$150,H14,$D$22:$D$150,"*Vistoria*",$Q$22:$Q$150,"&lt;&gt;Cancelada")&gt;0,"Vistoria ","")&amp;IF(COUNTIFS($C$22:$C$150,H14,$D$22:$D$150,"*Relatório*",$Q$22:$Q$150,"&lt;&gt;Cancelada")&gt;0,"Relatório ","")&amp;IF(COUNTIFS($C$22:$C$150,H14,$D$22:$D$150,"*Reunião*",$Q$22:$Q$150,"&lt;&gt;Cancelada")&gt;0,"REUNIÃO ","")&amp;IF(COUNTIFS($C$22:$C$150,H14,$D$22:$D$150,"*Férias*",$Q$22:$Q$150,"&lt;&gt;Cancelada")&gt;0,"Férias ","")&amp;IF(COUNTIFS($C$22:$C$150,H14,$D$22:$D$150,"*Mudança*",$Q$22:$Q$150,"&lt;&gt;Cancelada")&gt;0,"M.Função ","")&amp;IF(COUNTIFS($C$22:$C$150,H14,$D$22:$D$150,"*Treinamento*",$Q$22:$Q$150,"&lt;&gt;Cancelada")&gt;0,"Trein. ","")))</f>
        <v>Vistoria</v>
      </c>
      <c r="I15" s="77"/>
      <c r="J15" s="77" t="str">
        <f aca="false">IF(J14="","",TRIM(IF(COUNTIFS($C$22:$C$150,J14,$D$22:$D$150,"*Vistoria*",$Q$22:$Q$150,"&lt;&gt;Cancelada")&gt;0,"Vistoria ","")&amp;IF(COUNTIFS($C$22:$C$150,J14,$D$22:$D$150,"*Relatório*",$Q$22:$Q$150,"&lt;&gt;Cancelada")&gt;0,"Relatório ","")&amp;IF(COUNTIFS($C$22:$C$150,J14,$D$22:$D$150,"*Reunião*",$Q$22:$Q$150,"&lt;&gt;Cancelada")&gt;0,"REUNIÃO ","")&amp;IF(COUNTIFS($C$22:$C$150,J14,$D$22:$D$150,"*Férias*",$Q$22:$Q$150,"&lt;&gt;Cancelada")&gt;0,"Férias ","")&amp;IF(COUNTIFS($C$22:$C$150,J14,$D$22:$D$150,"*Mudança*",$Q$22:$Q$150,"&lt;&gt;Cancelada")&gt;0,"M.Função ","")&amp;IF(COUNTIFS($C$22:$C$150,J14,$D$22:$D$150,"*Treinamento*",$Q$22:$Q$150,"&lt;&gt;Cancelada")&gt;0,"Trein. ","")))</f>
        <v>Relatório</v>
      </c>
      <c r="K15" s="77"/>
      <c r="L15" s="77" t="str">
        <f aca="false">IF(L14="","",TRIM(IF(COUNTIFS($C$22:$C$150,L14,$D$22:$D$150,"*Vistoria*",$Q$22:$Q$150,"&lt;&gt;Cancelada")&gt;0,"Vistoria ","")&amp;IF(COUNTIFS($C$22:$C$150,L14,$D$22:$D$150,"*Relatório*",$Q$22:$Q$150,"&lt;&gt;Cancelada")&gt;0,"Relatório ","")&amp;IF(COUNTIFS($C$22:$C$150,L14,$D$22:$D$150,"*Reunião*",$Q$22:$Q$150,"&lt;&gt;Cancelada")&gt;0,"REUNIÃO ","")&amp;IF(COUNTIFS($C$22:$C$150,L14,$D$22:$D$150,"*Férias*",$Q$22:$Q$150,"&lt;&gt;Cancelada")&gt;0,"Férias ","")&amp;IF(COUNTIFS($C$22:$C$150,L14,$D$22:$D$150,"*Mudança*",$Q$22:$Q$150,"&lt;&gt;Cancelada")&gt;0,"M.Função ","")&amp;IF(COUNTIFS($C$22:$C$150,L14,$D$22:$D$150,"*Treinamento*",$Q$22:$Q$150,"&lt;&gt;Cancelada")&gt;0,"Trein. ","")))</f>
        <v>REUNIÃO M.Função</v>
      </c>
      <c r="M15" s="77"/>
      <c r="N15" s="77" t="str">
        <f aca="false">IF(N14="","",TRIM(IF(COUNTIFS($C$22:$C$150,N14,$D$22:$D$150,"*Vistoria*",$Q$22:$Q$150,"&lt;&gt;Cancelada")&gt;0,"Vistoria ","")&amp;IF(COUNTIFS($C$22:$C$150,N14,$D$22:$D$150,"*Relatório*",$Q$22:$Q$150,"&lt;&gt;Cancelada")&gt;0,"Relatório ","")&amp;IF(COUNTIFS($C$22:$C$150,N14,$D$22:$D$150,"*Reunião*",$Q$22:$Q$150,"&lt;&gt;Cancelada")&gt;0,"REUNIÃO ","")&amp;IF(COUNTIFS($C$22:$C$150,N14,$D$22:$D$150,"*Férias*",$Q$22:$Q$150,"&lt;&gt;Cancelada")&gt;0,"Férias ","")&amp;IF(COUNTIFS($C$22:$C$150,N14,$D$22:$D$150,"*Mudança*",$Q$22:$Q$150,"&lt;&gt;Cancelada")&gt;0,"M.Função ","")&amp;IF(COUNTIFS($C$22:$C$150,N14,$D$22:$D$150,"*Treinamento*",$Q$22:$Q$150,"&lt;&gt;Cancelada")&gt;0,"Trein. ","")))</f>
        <v/>
      </c>
      <c r="O15" s="77"/>
    </row>
    <row r="16" customFormat="false" ht="15" hidden="false" customHeight="true" outlineLevel="0" collapsed="false">
      <c r="B16" s="76" t="str">
        <f aca="false">IF(MONTH($X$1-WEEKDAY($X$1)+1+35)=MONTH($X$1),$X$1-WEEKDAY($X$1)+1+35,"")</f>
        <v/>
      </c>
      <c r="C16" s="76"/>
      <c r="D16" s="76" t="str">
        <f aca="false">IF(MONTH($X$1-WEEKDAY($X$1)+1+36)=MONTH($X$1),$X$1-WEEKDAY($X$1)+1+36,"")</f>
        <v/>
      </c>
      <c r="E16" s="76"/>
      <c r="F16" s="76" t="str">
        <f aca="false">IF(MONTH($X$1-WEEKDAY($X$1)+1+37)=MONTH($X$1),$X$1-WEEKDAY($X$1)+1+37,"")</f>
        <v/>
      </c>
      <c r="G16" s="76"/>
      <c r="H16" s="76" t="str">
        <f aca="false">IF(MONTH($X$1-WEEKDAY($X$1)+1+38)=MONTH($X$1),$X$1-WEEKDAY($X$1)+1+38,"")</f>
        <v/>
      </c>
      <c r="I16" s="76"/>
      <c r="J16" s="76" t="str">
        <f aca="false">IF(MONTH($X$1-WEEKDAY($X$1)+1+39)=MONTH($X$1),$X$1-WEEKDAY($X$1)+1+39,"")</f>
        <v/>
      </c>
      <c r="K16" s="76"/>
      <c r="L16" s="76" t="str">
        <f aca="false">IF(MONTH($X$1-WEEKDAY($X$1)+1+40)=MONTH($X$1),$X$1-WEEKDAY($X$1)+1+40,"")</f>
        <v/>
      </c>
      <c r="M16" s="76"/>
      <c r="N16" s="76" t="str">
        <f aca="false">IF(MONTH($X$1-WEEKDAY($X$1)+1+41)=MONTH($X$1),$X$1-WEEKDAY($X$1)+1+41,"")</f>
        <v/>
      </c>
      <c r="O16" s="76"/>
    </row>
    <row r="17" customFormat="false" ht="25.5" hidden="false" customHeight="true" outlineLevel="0" collapsed="false">
      <c r="B17" s="77" t="str">
        <f aca="false">IF(B16="","",TRIM(IF(COUNTIFS($C$22:$C$150,B16,$D$22:$D$150,"*Vistoria*",$Q$22:$Q$150,"&lt;&gt;Cancelada")&gt;0,"Vistoria ","")&amp;IF(COUNTIFS($C$22:$C$150,B16,$D$22:$D$150,"*Relatório*",$Q$22:$Q$150,"&lt;&gt;Cancelada")&gt;0,"Relatório ","")&amp;IF(COUNTIFS($C$22:$C$150,B16,$D$22:$D$150,"*Reunião*",$Q$22:$Q$150,"&lt;&gt;Cancelada")&gt;0,"REUNIÃO ","")&amp;IF(COUNTIFS($C$22:$C$150,B16,$D$22:$D$150,"*Férias*",$Q$22:$Q$150,"&lt;&gt;Cancelada")&gt;0,"Férias ","")&amp;IF(COUNTIFS($C$22:$C$150,B16,$D$22:$D$150,"*Mudança*",$Q$22:$Q$150,"&lt;&gt;Cancelada")&gt;0,"M.Função ","")&amp;IF(COUNTIFS($C$22:$C$150,B16,$D$22:$D$150,"*Treinamento*",$Q$22:$Q$150,"&lt;&gt;Cancelada")&gt;0,"Trein. ","")))</f>
        <v/>
      </c>
      <c r="C17" s="77"/>
      <c r="D17" s="77" t="str">
        <f aca="false">IF(D16="","",TRIM(IF(COUNTIFS($C$22:$C$150,D16,$D$22:$D$150,"*Vistoria*",$Q$22:$Q$150,"&lt;&gt;Cancelada")&gt;0,"Vistoria ","")&amp;IF(COUNTIFS($C$22:$C$150,D16,$D$22:$D$150,"*Relatório*",$Q$22:$Q$150,"&lt;&gt;Cancelada")&gt;0,"Relatório ","")&amp;IF(COUNTIFS($C$22:$C$150,D16,$D$22:$D$150,"*Reunião*",$Q$22:$Q$150,"&lt;&gt;Cancelada")&gt;0,"REUNIÃO ","")&amp;IF(COUNTIFS($C$22:$C$150,D16,$D$22:$D$150,"*Férias*",$Q$22:$Q$150,"&lt;&gt;Cancelada")&gt;0,"Férias ","")&amp;IF(COUNTIFS($C$22:$C$150,D16,$D$22:$D$150,"*Mudança*",$Q$22:$Q$150,"&lt;&gt;Cancelada")&gt;0,"M.Função ","")&amp;IF(COUNTIFS($C$22:$C$150,D16,$D$22:$D$150,"*Treinamento*",$Q$22:$Q$150,"&lt;&gt;Cancelada")&gt;0,"Trein. ","")))</f>
        <v/>
      </c>
      <c r="E17" s="77"/>
      <c r="F17" s="77" t="str">
        <f aca="false">IF(F16="","",TRIM(IF(COUNTIFS($C$22:$C$150,F16,$D$22:$D$150,"*Vistoria*",$Q$22:$Q$150,"&lt;&gt;Cancelada")&gt;0,"Vistoria ","")&amp;IF(COUNTIFS($C$22:$C$150,F16,$D$22:$D$150,"*Relatório*",$Q$22:$Q$150,"&lt;&gt;Cancelada")&gt;0,"Relatório ","")&amp;IF(COUNTIFS($C$22:$C$150,F16,$D$22:$D$150,"*Reunião*",$Q$22:$Q$150,"&lt;&gt;Cancelada")&gt;0,"REUNIÃO ","")&amp;IF(COUNTIFS($C$22:$C$150,F16,$D$22:$D$150,"*Férias*",$Q$22:$Q$150,"&lt;&gt;Cancelada")&gt;0,"Férias ","")&amp;IF(COUNTIFS($C$22:$C$150,F16,$D$22:$D$150,"*Mudança*",$Q$22:$Q$150,"&lt;&gt;Cancelada")&gt;0,"M.Função ","")&amp;IF(COUNTIFS($C$22:$C$150,F16,$D$22:$D$150,"*Treinamento*",$Q$22:$Q$150,"&lt;&gt;Cancelada")&gt;0,"Trein. ","")))</f>
        <v/>
      </c>
      <c r="G17" s="77"/>
      <c r="H17" s="77" t="str">
        <f aca="false">IF(H16="","",TRIM(IF(COUNTIFS($C$22:$C$150,H16,$D$22:$D$150,"*Vistoria*",$Q$22:$Q$150,"&lt;&gt;Cancelada")&gt;0,"Vistoria ","")&amp;IF(COUNTIFS($C$22:$C$150,H16,$D$22:$D$150,"*Relatório*",$Q$22:$Q$150,"&lt;&gt;Cancelada")&gt;0,"Relatório ","")&amp;IF(COUNTIFS($C$22:$C$150,H16,$D$22:$D$150,"*Reunião*",$Q$22:$Q$150,"&lt;&gt;Cancelada")&gt;0,"REUNIÃO ","")&amp;IF(COUNTIFS($C$22:$C$150,H16,$D$22:$D$150,"*Férias*",$Q$22:$Q$150,"&lt;&gt;Cancelada")&gt;0,"Férias ","")&amp;IF(COUNTIFS($C$22:$C$150,H16,$D$22:$D$150,"*Mudança*",$Q$22:$Q$150,"&lt;&gt;Cancelada")&gt;0,"M.Função ","")&amp;IF(COUNTIFS($C$22:$C$150,H16,$D$22:$D$150,"*Treinamento*",$Q$22:$Q$150,"&lt;&gt;Cancelada")&gt;0,"Trein. ","")))</f>
        <v/>
      </c>
      <c r="I17" s="77"/>
      <c r="J17" s="77" t="str">
        <f aca="false">IF(J16="","",TRIM(IF(COUNTIFS($C$22:$C$150,J16,$D$22:$D$150,"*Vistoria*",$Q$22:$Q$150,"&lt;&gt;Cancelada")&gt;0,"Vistoria ","")&amp;IF(COUNTIFS($C$22:$C$150,J16,$D$22:$D$150,"*Relatório*",$Q$22:$Q$150,"&lt;&gt;Cancelada")&gt;0,"Relatório ","")&amp;IF(COUNTIFS($C$22:$C$150,J16,$D$22:$D$150,"*Reunião*",$Q$22:$Q$150,"&lt;&gt;Cancelada")&gt;0,"REUNIÃO ","")&amp;IF(COUNTIFS($C$22:$C$150,J16,$D$22:$D$150,"*Férias*",$Q$22:$Q$150,"&lt;&gt;Cancelada")&gt;0,"Férias ","")&amp;IF(COUNTIFS($C$22:$C$150,J16,$D$22:$D$150,"*Mudança*",$Q$22:$Q$150,"&lt;&gt;Cancelada")&gt;0,"M.Função ","")&amp;IF(COUNTIFS($C$22:$C$150,J16,$D$22:$D$150,"*Treinamento*",$Q$22:$Q$150,"&lt;&gt;Cancelada")&gt;0,"Trein. ","")))</f>
        <v/>
      </c>
      <c r="K17" s="77"/>
      <c r="L17" s="77" t="str">
        <f aca="false">IF(L16="","",TRIM(IF(COUNTIFS($C$22:$C$150,L16,$D$22:$D$150,"*Vistoria*",$Q$22:$Q$150,"&lt;&gt;Cancelada")&gt;0,"Vistoria ","")&amp;IF(COUNTIFS($C$22:$C$150,L16,$D$22:$D$150,"*Relatório*",$Q$22:$Q$150,"&lt;&gt;Cancelada")&gt;0,"Relatório ","")&amp;IF(COUNTIFS($C$22:$C$150,L16,$D$22:$D$150,"*Reunião*",$Q$22:$Q$150,"&lt;&gt;Cancelada")&gt;0,"REUNIÃO ","")&amp;IF(COUNTIFS($C$22:$C$150,L16,$D$22:$D$150,"*Férias*",$Q$22:$Q$150,"&lt;&gt;Cancelada")&gt;0,"Férias ","")&amp;IF(COUNTIFS($C$22:$C$150,L16,$D$22:$D$150,"*Mudança*",$Q$22:$Q$150,"&lt;&gt;Cancelada")&gt;0,"M.Função ","")&amp;IF(COUNTIFS($C$22:$C$150,L16,$D$22:$D$150,"*Treinamento*",$Q$22:$Q$150,"&lt;&gt;Cancelada")&gt;0,"Trein. ","")))</f>
        <v/>
      </c>
      <c r="M17" s="77"/>
      <c r="N17" s="77" t="str">
        <f aca="false">IF(N16="","",TRIM(IF(COUNTIFS($C$22:$C$150,N16,$D$22:$D$150,"*Vistoria*",$Q$22:$Q$150,"&lt;&gt;Cancelada")&gt;0,"Vistoria ","")&amp;IF(COUNTIFS($C$22:$C$150,N16,$D$22:$D$150,"*Relatório*",$Q$22:$Q$150,"&lt;&gt;Cancelada")&gt;0,"Relatório ","")&amp;IF(COUNTIFS($C$22:$C$150,N16,$D$22:$D$150,"*Reunião*",$Q$22:$Q$150,"&lt;&gt;Cancelada")&gt;0,"REUNIÃO ","")&amp;IF(COUNTIFS($C$22:$C$150,N16,$D$22:$D$150,"*Férias*",$Q$22:$Q$150,"&lt;&gt;Cancelada")&gt;0,"Férias ","")&amp;IF(COUNTIFS($C$22:$C$150,N16,$D$22:$D$150,"*Mudança*",$Q$22:$Q$150,"&lt;&gt;Cancelada")&gt;0,"M.Função ","")&amp;IF(COUNTIFS($C$22:$C$150,N16,$D$22:$D$150,"*Treinamento*",$Q$22:$Q$150,"&lt;&gt;Cancelada")&gt;0,"Trein. ","")))</f>
        <v/>
      </c>
      <c r="O17" s="77"/>
    </row>
    <row r="18" customFormat="false" ht="15" hidden="false" customHeight="true" outlineLevel="0" collapsed="false">
      <c r="B18" s="46" t="s">
        <v>213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</row>
    <row r="20" customFormat="false" ht="15" hidden="false" customHeight="true" outlineLevel="0" collapsed="false">
      <c r="A20" s="78" t="s">
        <v>214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</row>
    <row r="21" customFormat="false" ht="24" hidden="false" customHeight="true" outlineLevel="0" collapsed="false">
      <c r="A21" s="79" t="s">
        <v>215</v>
      </c>
      <c r="B21" s="79" t="s">
        <v>157</v>
      </c>
      <c r="C21" s="79" t="s">
        <v>216</v>
      </c>
      <c r="D21" s="79" t="s">
        <v>217</v>
      </c>
      <c r="E21" s="79"/>
      <c r="F21" s="79"/>
      <c r="G21" s="79" t="s">
        <v>58</v>
      </c>
      <c r="H21" s="79" t="s">
        <v>218</v>
      </c>
      <c r="I21" s="79"/>
      <c r="J21" s="79" t="s">
        <v>219</v>
      </c>
      <c r="K21" s="79" t="s">
        <v>61</v>
      </c>
      <c r="L21" s="79" t="s">
        <v>220</v>
      </c>
      <c r="M21" s="79" t="s">
        <v>221</v>
      </c>
      <c r="N21" s="79"/>
      <c r="O21" s="79"/>
      <c r="P21" s="79" t="s">
        <v>222</v>
      </c>
      <c r="Q21" s="79" t="s">
        <v>223</v>
      </c>
      <c r="R21" s="79" t="s">
        <v>224</v>
      </c>
      <c r="S21" s="79" t="s">
        <v>225</v>
      </c>
      <c r="T21" s="79" t="s">
        <v>226</v>
      </c>
      <c r="U21" s="79" t="s">
        <v>227</v>
      </c>
      <c r="V21" s="79" t="s">
        <v>228</v>
      </c>
    </row>
    <row r="22" customFormat="false" ht="15" hidden="false" customHeight="false" outlineLevel="0" collapsed="false">
      <c r="A22" s="80" t="str">
        <f aca="false">IF($C22="","",$X$2&amp;"-S"&amp;INT(($C22-WEEKDAY($C22,2)+11-DATE(YEAR($C22+4-WEEKDAY($C22,2)),1,1))/7)&amp;"-FER-A")</f>
        <v>JAN-S2-FER-A</v>
      </c>
      <c r="B22" s="81" t="str">
        <f aca="false">IF($C22="","","S"&amp;INT(($C22-WEEKDAY($C22,2)+11-DATE(YEAR($C22+4-WEEKDAY($C22,2)),1,1))/7))</f>
        <v>S2</v>
      </c>
      <c r="C22" s="82" t="n">
        <f aca="false">$X$1+MOD(8-WEEKDAY($X$1,2),7)</f>
        <v>46027</v>
      </c>
      <c r="D22" s="9" t="str">
        <f aca="false">IF($C22="","","Programação de Férias (mensal)")</f>
        <v>Programação de Férias (mensal)</v>
      </c>
      <c r="E22" s="9"/>
      <c r="F22" s="9"/>
      <c r="G22" s="81" t="str">
        <f aca="false">IF($C22="","","A")</f>
        <v>A</v>
      </c>
      <c r="H22" s="81" t="str">
        <f aca="false">IF($C22="","",IF($G22="A",CONFIG!$B$5,IF($G22="B",CONFIG!$B$6,IF($G22="C",CONFIG!$B$7,"Gerência + coordenadores"))))</f>
        <v>(preencha o nome)</v>
      </c>
      <c r="I22" s="81"/>
      <c r="J22" s="81" t="str">
        <f aca="false">IF($C22="","","—")</f>
        <v>—</v>
      </c>
      <c r="K22" s="83" t="str">
        <f aca="false">IF($C22="","","—")</f>
        <v>—</v>
      </c>
      <c r="L22" s="83" t="str">
        <f aca="false">IF($C22="","","—")</f>
        <v>—</v>
      </c>
      <c r="M22" s="84"/>
      <c r="N22" s="84"/>
      <c r="O22" s="84"/>
      <c r="P22" s="85"/>
      <c r="Q22" s="86"/>
      <c r="R22" s="87"/>
      <c r="S22" s="81" t="str">
        <f aca="true">IF($C22="","",IF($Q22="Cancelada","Cancelada",IF($Q22="Reprovado","Reprovada",IF($Q22="Aprovado","Aprovada",IF($M22&lt;&gt;"","Entregue",IF(TODAY()&gt;$C22,"Atrasada","Pendente"))))))</f>
        <v>Atrasada</v>
      </c>
      <c r="T22" s="88"/>
      <c r="U22" s="88"/>
      <c r="V22" s="88"/>
    </row>
    <row r="23" customFormat="false" ht="15" hidden="false" customHeight="false" outlineLevel="0" collapsed="false">
      <c r="A23" s="89" t="str">
        <f aca="false">IF($C23="","",$X$2&amp;"-S"&amp;INT(($C23-WEEKDAY($C23,2)+11-DATE(YEAR($C23+4-WEEKDAY($C23,2)),1,1))/7)&amp;"-FER-B")</f>
        <v>JAN-S2-FER-B</v>
      </c>
      <c r="B23" s="60" t="str">
        <f aca="false">IF($C23="","","S"&amp;INT(($C23-WEEKDAY($C23,2)+11-DATE(YEAR($C23+4-WEEKDAY($C23,2)),1,1))/7))</f>
        <v>S2</v>
      </c>
      <c r="C23" s="82" t="n">
        <f aca="false">$X$1+MOD(8-WEEKDAY($X$1,2),7)</f>
        <v>46027</v>
      </c>
      <c r="D23" s="56" t="str">
        <f aca="false">IF($C23="","","Programação de Férias (mensal)")</f>
        <v>Programação de Férias (mensal)</v>
      </c>
      <c r="E23" s="56"/>
      <c r="F23" s="56"/>
      <c r="G23" s="60" t="str">
        <f aca="false">IF($C23="","","B")</f>
        <v>B</v>
      </c>
      <c r="H23" s="60" t="str">
        <f aca="false">IF($C23="","",IF($G23="A",CONFIG!$B$5,IF($G23="B",CONFIG!$B$6,IF($G23="C",CONFIG!$B$7,"Gerência + coordenadores"))))</f>
        <v>(preencha o nome)</v>
      </c>
      <c r="I23" s="60"/>
      <c r="J23" s="81" t="str">
        <f aca="false">IF($C23="","","—")</f>
        <v>—</v>
      </c>
      <c r="K23" s="83" t="str">
        <f aca="false">IF($C23="","","—")</f>
        <v>—</v>
      </c>
      <c r="L23" s="83" t="str">
        <f aca="false">IF($C23="","","—")</f>
        <v>—</v>
      </c>
      <c r="M23" s="84"/>
      <c r="N23" s="84"/>
      <c r="O23" s="84"/>
      <c r="P23" s="90"/>
      <c r="Q23" s="86"/>
      <c r="R23" s="87"/>
      <c r="S23" s="60" t="str">
        <f aca="true">IF($C23="","",IF($Q23="Cancelada","Cancelada",IF($Q23="Reprovado","Reprovada",IF($Q23="Aprovado","Aprovada",IF($M23&lt;&gt;"","Entregue",IF(TODAY()&gt;$C23,"Atrasada","Pendente"))))))</f>
        <v>Atrasada</v>
      </c>
      <c r="T23" s="88"/>
      <c r="U23" s="88"/>
      <c r="V23" s="88"/>
    </row>
    <row r="24" customFormat="false" ht="15" hidden="false" customHeight="false" outlineLevel="0" collapsed="false">
      <c r="A24" s="80" t="str">
        <f aca="false">IF($C24="","",$X$2&amp;"-S"&amp;INT(($C24-WEEKDAY($C24,2)+11-DATE(YEAR($C24+4-WEEKDAY($C24,2)),1,1))/7)&amp;"-FER-C")</f>
        <v>JAN-S2-FER-C</v>
      </c>
      <c r="B24" s="81" t="str">
        <f aca="false">IF($C24="","","S"&amp;INT(($C24-WEEKDAY($C24,2)+11-DATE(YEAR($C24+4-WEEKDAY($C24,2)),1,1))/7))</f>
        <v>S2</v>
      </c>
      <c r="C24" s="82" t="n">
        <f aca="false">$X$1+MOD(8-WEEKDAY($X$1,2),7)</f>
        <v>46027</v>
      </c>
      <c r="D24" s="9" t="str">
        <f aca="false">IF($C24="","","Programação de Férias (mensal)")</f>
        <v>Programação de Férias (mensal)</v>
      </c>
      <c r="E24" s="9"/>
      <c r="F24" s="9"/>
      <c r="G24" s="81" t="str">
        <f aca="false">IF($C24="","","C")</f>
        <v>C</v>
      </c>
      <c r="H24" s="81" t="str">
        <f aca="false">IF($C24="","",IF($G24="A",CONFIG!$B$5,IF($G24="B",CONFIG!$B$6,IF($G24="C",CONFIG!$B$7,"Gerência + coordenadores"))))</f>
        <v>(preencha o nome)</v>
      </c>
      <c r="I24" s="81"/>
      <c r="J24" s="81" t="str">
        <f aca="false">IF($C24="","","—")</f>
        <v>—</v>
      </c>
      <c r="K24" s="83" t="str">
        <f aca="false">IF($C24="","","—")</f>
        <v>—</v>
      </c>
      <c r="L24" s="83" t="str">
        <f aca="false">IF($C24="","","—")</f>
        <v>—</v>
      </c>
      <c r="M24" s="84"/>
      <c r="N24" s="84"/>
      <c r="O24" s="84"/>
      <c r="P24" s="85"/>
      <c r="Q24" s="86"/>
      <c r="R24" s="87"/>
      <c r="S24" s="81" t="str">
        <f aca="true">IF($C24="","",IF($Q24="Cancelada","Cancelada",IF($Q24="Reprovado","Reprovada",IF($Q24="Aprovado","Aprovada",IF($M24&lt;&gt;"","Entregue",IF(TODAY()&gt;$C24,"Atrasada","Pendente"))))))</f>
        <v>Atrasada</v>
      </c>
      <c r="T24" s="88"/>
      <c r="U24" s="88"/>
      <c r="V24" s="88"/>
    </row>
    <row r="25" customFormat="false" ht="15" hidden="false" customHeight="false" outlineLevel="0" collapsed="false">
      <c r="A25" s="89" t="str">
        <f aca="false">IF($C25="","",$X$2&amp;"-S"&amp;INT(($C25-WEEKDAY($C25,2)+11-DATE(YEAR($C25+4-WEEKDAY($C25,2)),1,1))/7)&amp;"-VIS-A")</f>
        <v/>
      </c>
      <c r="B25" s="60" t="str">
        <f aca="false">IF($C25="","","S"&amp;INT(($C25-WEEKDAY($C25,2)+11-DATE(YEAR($C25+4-WEEKDAY($C25,2)),1,1))/7))</f>
        <v/>
      </c>
      <c r="C25" s="82" t="str">
        <f aca="false">IF(MONTH(($X$1-WEEKDAY($X$1,3)+0)+2)=MONTH($X$1),($X$1-WEEKDAY($X$1,3)+0)+2,"")</f>
        <v/>
      </c>
      <c r="D25" s="56" t="str">
        <f aca="false">IF($C25="","","Vistoria Setorial (checklist no setor definido pelo gerente)")</f>
        <v/>
      </c>
      <c r="E25" s="56"/>
      <c r="F25" s="56"/>
      <c r="G25" s="60" t="str">
        <f aca="false">IF($C25="","","A")</f>
        <v/>
      </c>
      <c r="H25" s="60" t="str">
        <f aca="false">IF($C25="","",IF($G25="A",CONFIG!$B$5,IF($G25="B",CONFIG!$B$6,IF($G25="C",CONFIG!$B$7,"Gerência + coordenadores"))))</f>
        <v/>
      </c>
      <c r="I25" s="60"/>
      <c r="J25" s="86"/>
      <c r="K25" s="83" t="str">
        <f aca="false">IF($C25="","","—")</f>
        <v/>
      </c>
      <c r="L25" s="83" t="str">
        <f aca="false">IF($C25="","","—")</f>
        <v/>
      </c>
      <c r="M25" s="84"/>
      <c r="N25" s="84"/>
      <c r="O25" s="84"/>
      <c r="P25" s="90"/>
      <c r="Q25" s="86"/>
      <c r="R25" s="87"/>
      <c r="S25" s="60" t="str">
        <f aca="true">IF($C25="","",IF($Q25="Cancelada","Cancelada",IF($Q25="Reprovado","Reprovada",IF($Q25="Aprovado","Aprovada",IF($M25&lt;&gt;"","Entregue",IF(TODAY()&gt;$C25,"Atrasada","Pendente"))))))</f>
        <v/>
      </c>
      <c r="T25" s="88"/>
      <c r="U25" s="88"/>
      <c r="V25" s="88"/>
    </row>
    <row r="26" customFormat="false" ht="15" hidden="false" customHeight="false" outlineLevel="0" collapsed="false">
      <c r="A26" s="80" t="str">
        <f aca="false">IF($C26="","",$X$2&amp;"-S"&amp;INT(($C26-WEEKDAY($C26,2)+11-DATE(YEAR($C26+4-WEEKDAY($C26,2)),1,1))/7)&amp;"-VIS-B")</f>
        <v/>
      </c>
      <c r="B26" s="81" t="str">
        <f aca="false">IF($C26="","","S"&amp;INT(($C26-WEEKDAY($C26,2)+11-DATE(YEAR($C26+4-WEEKDAY($C26,2)),1,1))/7))</f>
        <v/>
      </c>
      <c r="C26" s="82" t="str">
        <f aca="false">IF(MONTH(($X$1-WEEKDAY($X$1,3)+0)+2)=MONTH($X$1),($X$1-WEEKDAY($X$1,3)+0)+2,"")</f>
        <v/>
      </c>
      <c r="D26" s="9" t="str">
        <f aca="false">IF($C26="","","Vistoria Setorial (checklist no setor definido pelo gerente)")</f>
        <v/>
      </c>
      <c r="E26" s="9"/>
      <c r="F26" s="9"/>
      <c r="G26" s="81" t="str">
        <f aca="false">IF($C26="","","B")</f>
        <v/>
      </c>
      <c r="H26" s="81" t="str">
        <f aca="false">IF($C26="","",IF($G26="A",CONFIG!$B$5,IF($G26="B",CONFIG!$B$6,IF($G26="C",CONFIG!$B$7,"Gerência + coordenadores"))))</f>
        <v/>
      </c>
      <c r="I26" s="81"/>
      <c r="J26" s="86"/>
      <c r="K26" s="83" t="str">
        <f aca="false">IF($C26="","","—")</f>
        <v/>
      </c>
      <c r="L26" s="83" t="str">
        <f aca="false">IF($C26="","","—")</f>
        <v/>
      </c>
      <c r="M26" s="84"/>
      <c r="N26" s="84"/>
      <c r="O26" s="84"/>
      <c r="P26" s="85"/>
      <c r="Q26" s="86"/>
      <c r="R26" s="87"/>
      <c r="S26" s="81" t="str">
        <f aca="true">IF($C26="","",IF($Q26="Cancelada","Cancelada",IF($Q26="Reprovado","Reprovada",IF($Q26="Aprovado","Aprovada",IF($M26&lt;&gt;"","Entregue",IF(TODAY()&gt;$C26,"Atrasada","Pendente"))))))</f>
        <v/>
      </c>
      <c r="T26" s="88"/>
      <c r="U26" s="88"/>
      <c r="V26" s="88"/>
    </row>
    <row r="27" customFormat="false" ht="15" hidden="false" customHeight="false" outlineLevel="0" collapsed="false">
      <c r="A27" s="89" t="str">
        <f aca="false">IF($C27="","",$X$2&amp;"-S"&amp;INT(($C27-WEEKDAY($C27,2)+11-DATE(YEAR($C27+4-WEEKDAY($C27,2)),1,1))/7)&amp;"-VIS-C")</f>
        <v/>
      </c>
      <c r="B27" s="60" t="str">
        <f aca="false">IF($C27="","","S"&amp;INT(($C27-WEEKDAY($C27,2)+11-DATE(YEAR($C27+4-WEEKDAY($C27,2)),1,1))/7))</f>
        <v/>
      </c>
      <c r="C27" s="82" t="str">
        <f aca="false">IF(MONTH(($X$1-WEEKDAY($X$1,3)+0)+2)=MONTH($X$1),($X$1-WEEKDAY($X$1,3)+0)+2,"")</f>
        <v/>
      </c>
      <c r="D27" s="56" t="str">
        <f aca="false">IF($C27="","","Vistoria Setorial (checklist no setor definido pelo gerente)")</f>
        <v/>
      </c>
      <c r="E27" s="56"/>
      <c r="F27" s="56"/>
      <c r="G27" s="60" t="str">
        <f aca="false">IF($C27="","","C")</f>
        <v/>
      </c>
      <c r="H27" s="60" t="str">
        <f aca="false">IF($C27="","",IF($G27="A",CONFIG!$B$5,IF($G27="B",CONFIG!$B$6,IF($G27="C",CONFIG!$B$7,"Gerência + coordenadores"))))</f>
        <v/>
      </c>
      <c r="I27" s="60"/>
      <c r="J27" s="86"/>
      <c r="K27" s="83" t="str">
        <f aca="false">IF($C27="","","—")</f>
        <v/>
      </c>
      <c r="L27" s="83" t="str">
        <f aca="false">IF($C27="","","—")</f>
        <v/>
      </c>
      <c r="M27" s="84"/>
      <c r="N27" s="84"/>
      <c r="O27" s="84"/>
      <c r="P27" s="90"/>
      <c r="Q27" s="86"/>
      <c r="R27" s="87"/>
      <c r="S27" s="60" t="str">
        <f aca="true">IF($C27="","",IF($Q27="Cancelada","Cancelada",IF($Q27="Reprovado","Reprovada",IF($Q27="Aprovado","Aprovada",IF($M27&lt;&gt;"","Entregue",IF(TODAY()&gt;$C27,"Atrasada","Pendente"))))))</f>
        <v/>
      </c>
      <c r="T27" s="88"/>
      <c r="U27" s="88"/>
      <c r="V27" s="88"/>
    </row>
    <row r="28" customFormat="false" ht="22.35" hidden="false" customHeight="false" outlineLevel="0" collapsed="false">
      <c r="A28" s="80" t="str">
        <f aca="false">IF($C28="","",$X$2&amp;"-S"&amp;INT(($C28-WEEKDAY($C28,2)+11-DATE(YEAR($C28+4-WEEKDAY($C28,2)),1,1))/7)&amp;"-RSC-A")</f>
        <v>JAN-S1-RSC-A</v>
      </c>
      <c r="B28" s="81" t="str">
        <f aca="false">IF($C28="","","S"&amp;INT(($C28-WEEKDAY($C28,2)+11-DATE(YEAR($C28+4-WEEKDAY($C28,2)),1,1))/7))</f>
        <v>S1</v>
      </c>
      <c r="C28" s="82" t="n">
        <f aca="false">IF(MONTH(($X$1-WEEKDAY($X$1,3)+0)+3)=MONTH($X$1),($X$1-WEEKDAY($X$1,3)+0)+3,"")</f>
        <v>46023</v>
      </c>
      <c r="D28" s="9" t="str">
        <f aca="false">IF($C28="","","Relatório Semanal Consolidado (erros + metas + faltas + supervisores)")</f>
        <v>Relatório Semanal Consolidado (erros + metas + faltas + supervisores)</v>
      </c>
      <c r="E28" s="9"/>
      <c r="F28" s="9"/>
      <c r="G28" s="81" t="str">
        <f aca="false">IF($C28="","","A")</f>
        <v>A</v>
      </c>
      <c r="H28" s="81" t="str">
        <f aca="false">IF($C28="","",IF($G28="A",CONFIG!$B$5,IF($G28="B",CONFIG!$B$6,IF($G28="C",CONFIG!$B$7,"Gerência + coordenadores"))))</f>
        <v>(preencha o nome)</v>
      </c>
      <c r="I28" s="81"/>
      <c r="J28" s="81" t="str">
        <f aca="false">IF($C28="","","—")</f>
        <v>—</v>
      </c>
      <c r="K28" s="91" t="n">
        <f aca="false">IF($C28="","",SUMIFS(OCORRÊNCIAS!$E$6:$E$605,OCORRÊNCIAS!$B$6:$B$605,"Falta",OCORRÊNCIAS!$C$6:$C$605,$G28,OCORRÊNCIAS!$H$6:$H$605,$B28,OCORRÊNCIAS!$J$6:$J$605,YEAR($C28+4-WEEKDAY($C28,2))))</f>
        <v>0</v>
      </c>
      <c r="L28" s="91" t="n">
        <f aca="false">IF($C28="","",SUMIFS(OCORRÊNCIAS!$E$6:$E$605,OCORRÊNCIAS!$B$6:$B$605,"Atestado",OCORRÊNCIAS!$C$6:$C$605,$G28,OCORRÊNCIAS!$H$6:$H$605,$B28,OCORRÊNCIAS!$J$6:$J$605,YEAR($C28+4-WEEKDAY($C28,2))))</f>
        <v>0</v>
      </c>
      <c r="M28" s="84"/>
      <c r="N28" s="84"/>
      <c r="O28" s="84"/>
      <c r="P28" s="85"/>
      <c r="Q28" s="86"/>
      <c r="R28" s="87"/>
      <c r="S28" s="81" t="str">
        <f aca="true">IF($C28="","",IF($Q28="Cancelada","Cancelada",IF($Q28="Reprovado","Reprovada",IF($Q28="Aprovado","Aprovada",IF($M28&lt;&gt;"","Entregue",IF(TODAY()&gt;$C28,"Atrasada","Pendente"))))))</f>
        <v>Atrasada</v>
      </c>
      <c r="T28" s="88"/>
      <c r="U28" s="88"/>
      <c r="V28" s="88"/>
    </row>
    <row r="29" customFormat="false" ht="22.35" hidden="false" customHeight="false" outlineLevel="0" collapsed="false">
      <c r="A29" s="89" t="str">
        <f aca="false">IF($C29="","",$X$2&amp;"-S"&amp;INT(($C29-WEEKDAY($C29,2)+11-DATE(YEAR($C29+4-WEEKDAY($C29,2)),1,1))/7)&amp;"-RSC-B")</f>
        <v>JAN-S1-RSC-B</v>
      </c>
      <c r="B29" s="60" t="str">
        <f aca="false">IF($C29="","","S"&amp;INT(($C29-WEEKDAY($C29,2)+11-DATE(YEAR($C29+4-WEEKDAY($C29,2)),1,1))/7))</f>
        <v>S1</v>
      </c>
      <c r="C29" s="82" t="n">
        <f aca="false">IF(MONTH(($X$1-WEEKDAY($X$1,3)+0)+3)=MONTH($X$1),($X$1-WEEKDAY($X$1,3)+0)+3,"")</f>
        <v>46023</v>
      </c>
      <c r="D29" s="56" t="str">
        <f aca="false">IF($C29="","","Relatório Semanal Consolidado (erros + metas + faltas + supervisores)")</f>
        <v>Relatório Semanal Consolidado (erros + metas + faltas + supervisores)</v>
      </c>
      <c r="E29" s="56"/>
      <c r="F29" s="56"/>
      <c r="G29" s="60" t="str">
        <f aca="false">IF($C29="","","B")</f>
        <v>B</v>
      </c>
      <c r="H29" s="60" t="str">
        <f aca="false">IF($C29="","",IF($G29="A",CONFIG!$B$5,IF($G29="B",CONFIG!$B$6,IF($G29="C",CONFIG!$B$7,"Gerência + coordenadores"))))</f>
        <v>(preencha o nome)</v>
      </c>
      <c r="I29" s="60"/>
      <c r="J29" s="81" t="str">
        <f aca="false">IF($C29="","","—")</f>
        <v>—</v>
      </c>
      <c r="K29" s="91" t="n">
        <f aca="false">IF($C29="","",SUMIFS(OCORRÊNCIAS!$E$6:$E$605,OCORRÊNCIAS!$B$6:$B$605,"Falta",OCORRÊNCIAS!$C$6:$C$605,$G29,OCORRÊNCIAS!$H$6:$H$605,$B29,OCORRÊNCIAS!$J$6:$J$605,YEAR($C29+4-WEEKDAY($C29,2))))</f>
        <v>0</v>
      </c>
      <c r="L29" s="91" t="n">
        <f aca="false">IF($C29="","",SUMIFS(OCORRÊNCIAS!$E$6:$E$605,OCORRÊNCIAS!$B$6:$B$605,"Atestado",OCORRÊNCIAS!$C$6:$C$605,$G29,OCORRÊNCIAS!$H$6:$H$605,$B29,OCORRÊNCIAS!$J$6:$J$605,YEAR($C29+4-WEEKDAY($C29,2))))</f>
        <v>0</v>
      </c>
      <c r="M29" s="84"/>
      <c r="N29" s="84"/>
      <c r="O29" s="84"/>
      <c r="P29" s="90"/>
      <c r="Q29" s="86"/>
      <c r="R29" s="87"/>
      <c r="S29" s="60" t="str">
        <f aca="true">IF($C29="","",IF($Q29="Cancelada","Cancelada",IF($Q29="Reprovado","Reprovada",IF($Q29="Aprovado","Aprovada",IF($M29&lt;&gt;"","Entregue",IF(TODAY()&gt;$C29,"Atrasada","Pendente"))))))</f>
        <v>Atrasada</v>
      </c>
      <c r="T29" s="88"/>
      <c r="U29" s="88"/>
      <c r="V29" s="88"/>
    </row>
    <row r="30" customFormat="false" ht="22.35" hidden="false" customHeight="false" outlineLevel="0" collapsed="false">
      <c r="A30" s="80" t="str">
        <f aca="false">IF($C30="","",$X$2&amp;"-S"&amp;INT(($C30-WEEKDAY($C30,2)+11-DATE(YEAR($C30+4-WEEKDAY($C30,2)),1,1))/7)&amp;"-RSC-C")</f>
        <v>JAN-S1-RSC-C</v>
      </c>
      <c r="B30" s="81" t="str">
        <f aca="false">IF($C30="","","S"&amp;INT(($C30-WEEKDAY($C30,2)+11-DATE(YEAR($C30+4-WEEKDAY($C30,2)),1,1))/7))</f>
        <v>S1</v>
      </c>
      <c r="C30" s="82" t="n">
        <f aca="false">IF(MONTH(($X$1-WEEKDAY($X$1,3)+0)+3)=MONTH($X$1),($X$1-WEEKDAY($X$1,3)+0)+3,"")</f>
        <v>46023</v>
      </c>
      <c r="D30" s="9" t="str">
        <f aca="false">IF($C30="","","Relatório Semanal Consolidado (erros + metas + faltas + supervisores)")</f>
        <v>Relatório Semanal Consolidado (erros + metas + faltas + supervisores)</v>
      </c>
      <c r="E30" s="9"/>
      <c r="F30" s="9"/>
      <c r="G30" s="81" t="str">
        <f aca="false">IF($C30="","","C")</f>
        <v>C</v>
      </c>
      <c r="H30" s="81" t="str">
        <f aca="false">IF($C30="","",IF($G30="A",CONFIG!$B$5,IF($G30="B",CONFIG!$B$6,IF($G30="C",CONFIG!$B$7,"Gerência + coordenadores"))))</f>
        <v>(preencha o nome)</v>
      </c>
      <c r="I30" s="81"/>
      <c r="J30" s="81" t="str">
        <f aca="false">IF($C30="","","—")</f>
        <v>—</v>
      </c>
      <c r="K30" s="91" t="n">
        <f aca="false">IF($C30="","",SUMIFS(OCORRÊNCIAS!$E$6:$E$605,OCORRÊNCIAS!$B$6:$B$605,"Falta",OCORRÊNCIAS!$C$6:$C$605,$G30,OCORRÊNCIAS!$H$6:$H$605,$B30,OCORRÊNCIAS!$J$6:$J$605,YEAR($C30+4-WEEKDAY($C30,2))))</f>
        <v>0</v>
      </c>
      <c r="L30" s="91" t="n">
        <f aca="false">IF($C30="","",SUMIFS(OCORRÊNCIAS!$E$6:$E$605,OCORRÊNCIAS!$B$6:$B$605,"Atestado",OCORRÊNCIAS!$C$6:$C$605,$G30,OCORRÊNCIAS!$H$6:$H$605,$B30,OCORRÊNCIAS!$J$6:$J$605,YEAR($C30+4-WEEKDAY($C30,2))))</f>
        <v>0</v>
      </c>
      <c r="M30" s="84"/>
      <c r="N30" s="84"/>
      <c r="O30" s="84"/>
      <c r="P30" s="85"/>
      <c r="Q30" s="86"/>
      <c r="R30" s="87"/>
      <c r="S30" s="81" t="str">
        <f aca="true">IF($C30="","",IF($Q30="Cancelada","Cancelada",IF($Q30="Reprovado","Reprovada",IF($Q30="Aprovado","Aprovada",IF($M30&lt;&gt;"","Entregue",IF(TODAY()&gt;$C30,"Atrasada","Pendente"))))))</f>
        <v>Atrasada</v>
      </c>
      <c r="T30" s="88"/>
      <c r="U30" s="88"/>
      <c r="V30" s="88"/>
    </row>
    <row r="31" customFormat="false" ht="22.35" hidden="false" customHeight="false" outlineLevel="0" collapsed="false">
      <c r="A31" s="89" t="str">
        <f aca="false">IF($C31="","",$X$2&amp;"-S"&amp;INT(($C31-WEEKDAY($C31,2)+11-DATE(YEAR($C31+4-WEEKDAY($C31,2)),1,1))/7)&amp;"-REU-T")</f>
        <v>JAN-S1-REU-T</v>
      </c>
      <c r="B31" s="60" t="str">
        <f aca="false">IF($C31="","","S"&amp;INT(($C31-WEEKDAY($C31,2)+11-DATE(YEAR($C31+4-WEEKDAY($C31,2)),1,1))/7))</f>
        <v>S1</v>
      </c>
      <c r="C31" s="82" t="n">
        <f aca="false">IF(MONTH(($X$1-WEEKDAY($X$1,3)+0)+4)=MONTH($X$1),($X$1-WEEKDAY($X$1,3)+0)+4,"")</f>
        <v>46024</v>
      </c>
      <c r="D31" s="56" t="str">
        <f aca="false">IF($C31="","","Reunião Semanal com a Gerência")</f>
        <v>Reunião Semanal com a Gerência</v>
      </c>
      <c r="E31" s="56"/>
      <c r="F31" s="56"/>
      <c r="G31" s="60" t="str">
        <f aca="false">IF($C31="","","Todos")</f>
        <v>Todos</v>
      </c>
      <c r="H31" s="60" t="str">
        <f aca="false">IF($C31="","",IF($G31="A",CONFIG!$B$5,IF($G31="B",CONFIG!$B$6,IF($G31="C",CONFIG!$B$7,"Gerência + coordenadores"))))</f>
        <v>Gerência + coordenadores</v>
      </c>
      <c r="I31" s="60"/>
      <c r="J31" s="81" t="str">
        <f aca="false">IF($C31="","","—")</f>
        <v>—</v>
      </c>
      <c r="K31" s="83" t="str">
        <f aca="false">IF($C31="","","—")</f>
        <v>—</v>
      </c>
      <c r="L31" s="83" t="str">
        <f aca="false">IF($C31="","","—")</f>
        <v>—</v>
      </c>
      <c r="M31" s="84"/>
      <c r="N31" s="84"/>
      <c r="O31" s="84"/>
      <c r="P31" s="90"/>
      <c r="Q31" s="86"/>
      <c r="R31" s="87"/>
      <c r="S31" s="60" t="str">
        <f aca="true">IF($C31="","",IF($Q31="Cancelada","Cancelada",IF($Q31="Reprovado","Reprovada",IF($Q31="Aprovado","Aprovada",IF($M31&lt;&gt;"","Entregue",IF(TODAY()&gt;$C31,"Atrasada","Pendente"))))))</f>
        <v>Atrasada</v>
      </c>
      <c r="T31" s="88"/>
      <c r="U31" s="88"/>
      <c r="V31" s="88"/>
    </row>
    <row r="32" customFormat="false" ht="22.35" hidden="false" customHeight="false" outlineLevel="0" collapsed="false">
      <c r="A32" s="80" t="str">
        <f aca="false">IF($C32="","",$X$2&amp;"-S"&amp;INT(($C32-WEEKDAY($C32,2)+11-DATE(YEAR($C32+4-WEEKDAY($C32,2)),1,1))/7)&amp;"-VIS-A")</f>
        <v>JAN-S2-VIS-A</v>
      </c>
      <c r="B32" s="81" t="str">
        <f aca="false">IF($C32="","","S"&amp;INT(($C32-WEEKDAY($C32,2)+11-DATE(YEAR($C32+4-WEEKDAY($C32,2)),1,1))/7))</f>
        <v>S2</v>
      </c>
      <c r="C32" s="82" t="n">
        <f aca="false">IF(MONTH(($X$1-WEEKDAY($X$1,3)+7)+2)=MONTH($X$1),($X$1-WEEKDAY($X$1,3)+7)+2,"")</f>
        <v>46029</v>
      </c>
      <c r="D32" s="9" t="str">
        <f aca="false">IF($C32="","","Vistoria Setorial (checklist no setor definido pelo gerente)")</f>
        <v>Vistoria Setorial (checklist no setor definido pelo gerente)</v>
      </c>
      <c r="E32" s="9"/>
      <c r="F32" s="9"/>
      <c r="G32" s="81" t="str">
        <f aca="false">IF($C32="","","A")</f>
        <v>A</v>
      </c>
      <c r="H32" s="81" t="str">
        <f aca="false">IF($C32="","",IF($G32="A",CONFIG!$B$5,IF($G32="B",CONFIG!$B$6,IF($G32="C",CONFIG!$B$7,"Gerência + coordenadores"))))</f>
        <v>(preencha o nome)</v>
      </c>
      <c r="I32" s="81"/>
      <c r="J32" s="86"/>
      <c r="K32" s="83" t="str">
        <f aca="false">IF($C32="","","—")</f>
        <v>—</v>
      </c>
      <c r="L32" s="83" t="str">
        <f aca="false">IF($C32="","","—")</f>
        <v>—</v>
      </c>
      <c r="M32" s="84"/>
      <c r="N32" s="84"/>
      <c r="O32" s="84"/>
      <c r="P32" s="85"/>
      <c r="Q32" s="86"/>
      <c r="R32" s="87"/>
      <c r="S32" s="81" t="str">
        <f aca="true">IF($C32="","",IF($Q32="Cancelada","Cancelada",IF($Q32="Reprovado","Reprovada",IF($Q32="Aprovado","Aprovada",IF($M32&lt;&gt;"","Entregue",IF(TODAY()&gt;$C32,"Atrasada","Pendente"))))))</f>
        <v>Atrasada</v>
      </c>
      <c r="T32" s="88"/>
      <c r="U32" s="88"/>
      <c r="V32" s="88"/>
    </row>
    <row r="33" customFormat="false" ht="22.35" hidden="false" customHeight="false" outlineLevel="0" collapsed="false">
      <c r="A33" s="89" t="str">
        <f aca="false">IF($C33="","",$X$2&amp;"-S"&amp;INT(($C33-WEEKDAY($C33,2)+11-DATE(YEAR($C33+4-WEEKDAY($C33,2)),1,1))/7)&amp;"-VIS-B")</f>
        <v>JAN-S2-VIS-B</v>
      </c>
      <c r="B33" s="60" t="str">
        <f aca="false">IF($C33="","","S"&amp;INT(($C33-WEEKDAY($C33,2)+11-DATE(YEAR($C33+4-WEEKDAY($C33,2)),1,1))/7))</f>
        <v>S2</v>
      </c>
      <c r="C33" s="82" t="n">
        <f aca="false">IF(MONTH(($X$1-WEEKDAY($X$1,3)+7)+2)=MONTH($X$1),($X$1-WEEKDAY($X$1,3)+7)+2,"")</f>
        <v>46029</v>
      </c>
      <c r="D33" s="56" t="str">
        <f aca="false">IF($C33="","","Vistoria Setorial (checklist no setor definido pelo gerente)")</f>
        <v>Vistoria Setorial (checklist no setor definido pelo gerente)</v>
      </c>
      <c r="E33" s="56"/>
      <c r="F33" s="56"/>
      <c r="G33" s="60" t="str">
        <f aca="false">IF($C33="","","B")</f>
        <v>B</v>
      </c>
      <c r="H33" s="60" t="str">
        <f aca="false">IF($C33="","",IF($G33="A",CONFIG!$B$5,IF($G33="B",CONFIG!$B$6,IF($G33="C",CONFIG!$B$7,"Gerência + coordenadores"))))</f>
        <v>(preencha o nome)</v>
      </c>
      <c r="I33" s="60"/>
      <c r="J33" s="86"/>
      <c r="K33" s="83" t="str">
        <f aca="false">IF($C33="","","—")</f>
        <v>—</v>
      </c>
      <c r="L33" s="83" t="str">
        <f aca="false">IF($C33="","","—")</f>
        <v>—</v>
      </c>
      <c r="M33" s="84"/>
      <c r="N33" s="84"/>
      <c r="O33" s="84"/>
      <c r="P33" s="90"/>
      <c r="Q33" s="86"/>
      <c r="R33" s="87"/>
      <c r="S33" s="60" t="str">
        <f aca="true">IF($C33="","",IF($Q33="Cancelada","Cancelada",IF($Q33="Reprovado","Reprovada",IF($Q33="Aprovado","Aprovada",IF($M33&lt;&gt;"","Entregue",IF(TODAY()&gt;$C33,"Atrasada","Pendente"))))))</f>
        <v>Atrasada</v>
      </c>
      <c r="T33" s="88"/>
      <c r="U33" s="88"/>
      <c r="V33" s="88"/>
    </row>
    <row r="34" customFormat="false" ht="22.35" hidden="false" customHeight="false" outlineLevel="0" collapsed="false">
      <c r="A34" s="80" t="str">
        <f aca="false">IF($C34="","",$X$2&amp;"-S"&amp;INT(($C34-WEEKDAY($C34,2)+11-DATE(YEAR($C34+4-WEEKDAY($C34,2)),1,1))/7)&amp;"-VIS-C")</f>
        <v>JAN-S2-VIS-C</v>
      </c>
      <c r="B34" s="81" t="str">
        <f aca="false">IF($C34="","","S"&amp;INT(($C34-WEEKDAY($C34,2)+11-DATE(YEAR($C34+4-WEEKDAY($C34,2)),1,1))/7))</f>
        <v>S2</v>
      </c>
      <c r="C34" s="82" t="n">
        <f aca="false">IF(MONTH(($X$1-WEEKDAY($X$1,3)+7)+2)=MONTH($X$1),($X$1-WEEKDAY($X$1,3)+7)+2,"")</f>
        <v>46029</v>
      </c>
      <c r="D34" s="9" t="str">
        <f aca="false">IF($C34="","","Vistoria Setorial (checklist no setor definido pelo gerente)")</f>
        <v>Vistoria Setorial (checklist no setor definido pelo gerente)</v>
      </c>
      <c r="E34" s="9"/>
      <c r="F34" s="9"/>
      <c r="G34" s="81" t="str">
        <f aca="false">IF($C34="","","C")</f>
        <v>C</v>
      </c>
      <c r="H34" s="81" t="str">
        <f aca="false">IF($C34="","",IF($G34="A",CONFIG!$B$5,IF($G34="B",CONFIG!$B$6,IF($G34="C",CONFIG!$B$7,"Gerência + coordenadores"))))</f>
        <v>(preencha o nome)</v>
      </c>
      <c r="I34" s="81"/>
      <c r="J34" s="86"/>
      <c r="K34" s="83" t="str">
        <f aca="false">IF($C34="","","—")</f>
        <v>—</v>
      </c>
      <c r="L34" s="83" t="str">
        <f aca="false">IF($C34="","","—")</f>
        <v>—</v>
      </c>
      <c r="M34" s="84"/>
      <c r="N34" s="84"/>
      <c r="O34" s="84"/>
      <c r="P34" s="85"/>
      <c r="Q34" s="86"/>
      <c r="R34" s="87"/>
      <c r="S34" s="81" t="str">
        <f aca="true">IF($C34="","",IF($Q34="Cancelada","Cancelada",IF($Q34="Reprovado","Reprovada",IF($Q34="Aprovado","Aprovada",IF($M34&lt;&gt;"","Entregue",IF(TODAY()&gt;$C34,"Atrasada","Pendente"))))))</f>
        <v>Atrasada</v>
      </c>
      <c r="T34" s="88"/>
      <c r="U34" s="88"/>
      <c r="V34" s="88"/>
    </row>
    <row r="35" customFormat="false" ht="22.35" hidden="false" customHeight="false" outlineLevel="0" collapsed="false">
      <c r="A35" s="89" t="str">
        <f aca="false">IF($C35="","",$X$2&amp;"-S"&amp;INT(($C35-WEEKDAY($C35,2)+11-DATE(YEAR($C35+4-WEEKDAY($C35,2)),1,1))/7)&amp;"-RSC-A")</f>
        <v>JAN-S2-RSC-A</v>
      </c>
      <c r="B35" s="60" t="str">
        <f aca="false">IF($C35="","","S"&amp;INT(($C35-WEEKDAY($C35,2)+11-DATE(YEAR($C35+4-WEEKDAY($C35,2)),1,1))/7))</f>
        <v>S2</v>
      </c>
      <c r="C35" s="82" t="n">
        <f aca="false">IF(MONTH(($X$1-WEEKDAY($X$1,3)+7)+3)=MONTH($X$1),($X$1-WEEKDAY($X$1,3)+7)+3,"")</f>
        <v>46030</v>
      </c>
      <c r="D35" s="56" t="str">
        <f aca="false">IF($C35="","","Relatório Semanal Consolidado (erros + metas + faltas + supervisores)")</f>
        <v>Relatório Semanal Consolidado (erros + metas + faltas + supervisores)</v>
      </c>
      <c r="E35" s="56"/>
      <c r="F35" s="56"/>
      <c r="G35" s="60" t="str">
        <f aca="false">IF($C35="","","A")</f>
        <v>A</v>
      </c>
      <c r="H35" s="60" t="str">
        <f aca="false">IF($C35="","",IF($G35="A",CONFIG!$B$5,IF($G35="B",CONFIG!$B$6,IF($G35="C",CONFIG!$B$7,"Gerência + coordenadores"))))</f>
        <v>(preencha o nome)</v>
      </c>
      <c r="I35" s="60"/>
      <c r="J35" s="81" t="str">
        <f aca="false">IF($C35="","","—")</f>
        <v>—</v>
      </c>
      <c r="K35" s="91" t="n">
        <f aca="false">IF($C35="","",SUMIFS(OCORRÊNCIAS!$E$6:$E$605,OCORRÊNCIAS!$B$6:$B$605,"Falta",OCORRÊNCIAS!$C$6:$C$605,$G35,OCORRÊNCIAS!$H$6:$H$605,$B35,OCORRÊNCIAS!$J$6:$J$605,YEAR($C35+4-WEEKDAY($C35,2))))</f>
        <v>0</v>
      </c>
      <c r="L35" s="91" t="n">
        <f aca="false">IF($C35="","",SUMIFS(OCORRÊNCIAS!$E$6:$E$605,OCORRÊNCIAS!$B$6:$B$605,"Atestado",OCORRÊNCIAS!$C$6:$C$605,$G35,OCORRÊNCIAS!$H$6:$H$605,$B35,OCORRÊNCIAS!$J$6:$J$605,YEAR($C35+4-WEEKDAY($C35,2))))</f>
        <v>0</v>
      </c>
      <c r="M35" s="84"/>
      <c r="N35" s="84"/>
      <c r="O35" s="84"/>
      <c r="P35" s="90"/>
      <c r="Q35" s="86"/>
      <c r="R35" s="87"/>
      <c r="S35" s="60" t="str">
        <f aca="true">IF($C35="","",IF($Q35="Cancelada","Cancelada",IF($Q35="Reprovado","Reprovada",IF($Q35="Aprovado","Aprovada",IF($M35&lt;&gt;"","Entregue",IF(TODAY()&gt;$C35,"Atrasada","Pendente"))))))</f>
        <v>Atrasada</v>
      </c>
      <c r="T35" s="88"/>
      <c r="U35" s="88"/>
      <c r="V35" s="88"/>
    </row>
    <row r="36" customFormat="false" ht="22.35" hidden="false" customHeight="false" outlineLevel="0" collapsed="false">
      <c r="A36" s="80" t="str">
        <f aca="false">IF($C36="","",$X$2&amp;"-S"&amp;INT(($C36-WEEKDAY($C36,2)+11-DATE(YEAR($C36+4-WEEKDAY($C36,2)),1,1))/7)&amp;"-RSC-B")</f>
        <v>JAN-S2-RSC-B</v>
      </c>
      <c r="B36" s="81" t="str">
        <f aca="false">IF($C36="","","S"&amp;INT(($C36-WEEKDAY($C36,2)+11-DATE(YEAR($C36+4-WEEKDAY($C36,2)),1,1))/7))</f>
        <v>S2</v>
      </c>
      <c r="C36" s="82" t="n">
        <f aca="false">IF(MONTH(($X$1-WEEKDAY($X$1,3)+7)+3)=MONTH($X$1),($X$1-WEEKDAY($X$1,3)+7)+3,"")</f>
        <v>46030</v>
      </c>
      <c r="D36" s="9" t="str">
        <f aca="false">IF($C36="","","Relatório Semanal Consolidado (erros + metas + faltas + supervisores)")</f>
        <v>Relatório Semanal Consolidado (erros + metas + faltas + supervisores)</v>
      </c>
      <c r="E36" s="9"/>
      <c r="F36" s="9"/>
      <c r="G36" s="81" t="str">
        <f aca="false">IF($C36="","","B")</f>
        <v>B</v>
      </c>
      <c r="H36" s="81" t="str">
        <f aca="false">IF($C36="","",IF($G36="A",CONFIG!$B$5,IF($G36="B",CONFIG!$B$6,IF($G36="C",CONFIG!$B$7,"Gerência + coordenadores"))))</f>
        <v>(preencha o nome)</v>
      </c>
      <c r="I36" s="81"/>
      <c r="J36" s="81" t="str">
        <f aca="false">IF($C36="","","—")</f>
        <v>—</v>
      </c>
      <c r="K36" s="91" t="n">
        <f aca="false">IF($C36="","",SUMIFS(OCORRÊNCIAS!$E$6:$E$605,OCORRÊNCIAS!$B$6:$B$605,"Falta",OCORRÊNCIAS!$C$6:$C$605,$G36,OCORRÊNCIAS!$H$6:$H$605,$B36,OCORRÊNCIAS!$J$6:$J$605,YEAR($C36+4-WEEKDAY($C36,2))))</f>
        <v>0</v>
      </c>
      <c r="L36" s="91" t="n">
        <f aca="false">IF($C36="","",SUMIFS(OCORRÊNCIAS!$E$6:$E$605,OCORRÊNCIAS!$B$6:$B$605,"Atestado",OCORRÊNCIAS!$C$6:$C$605,$G36,OCORRÊNCIAS!$H$6:$H$605,$B36,OCORRÊNCIAS!$J$6:$J$605,YEAR($C36+4-WEEKDAY($C36,2))))</f>
        <v>0</v>
      </c>
      <c r="M36" s="84"/>
      <c r="N36" s="84"/>
      <c r="O36" s="84"/>
      <c r="P36" s="85"/>
      <c r="Q36" s="86"/>
      <c r="R36" s="87"/>
      <c r="S36" s="81" t="str">
        <f aca="true">IF($C36="","",IF($Q36="Cancelada","Cancelada",IF($Q36="Reprovado","Reprovada",IF($Q36="Aprovado","Aprovada",IF($M36&lt;&gt;"","Entregue",IF(TODAY()&gt;$C36,"Atrasada","Pendente"))))))</f>
        <v>Atrasada</v>
      </c>
      <c r="T36" s="88"/>
      <c r="U36" s="88"/>
      <c r="V36" s="88"/>
    </row>
    <row r="37" customFormat="false" ht="22.35" hidden="false" customHeight="false" outlineLevel="0" collapsed="false">
      <c r="A37" s="89" t="str">
        <f aca="false">IF($C37="","",$X$2&amp;"-S"&amp;INT(($C37-WEEKDAY($C37,2)+11-DATE(YEAR($C37+4-WEEKDAY($C37,2)),1,1))/7)&amp;"-RSC-C")</f>
        <v>JAN-S2-RSC-C</v>
      </c>
      <c r="B37" s="60" t="str">
        <f aca="false">IF($C37="","","S"&amp;INT(($C37-WEEKDAY($C37,2)+11-DATE(YEAR($C37+4-WEEKDAY($C37,2)),1,1))/7))</f>
        <v>S2</v>
      </c>
      <c r="C37" s="82" t="n">
        <f aca="false">IF(MONTH(($X$1-WEEKDAY($X$1,3)+7)+3)=MONTH($X$1),($X$1-WEEKDAY($X$1,3)+7)+3,"")</f>
        <v>46030</v>
      </c>
      <c r="D37" s="56" t="str">
        <f aca="false">IF($C37="","","Relatório Semanal Consolidado (erros + metas + faltas + supervisores)")</f>
        <v>Relatório Semanal Consolidado (erros + metas + faltas + supervisores)</v>
      </c>
      <c r="E37" s="56"/>
      <c r="F37" s="56"/>
      <c r="G37" s="60" t="str">
        <f aca="false">IF($C37="","","C")</f>
        <v>C</v>
      </c>
      <c r="H37" s="60" t="str">
        <f aca="false">IF($C37="","",IF($G37="A",CONFIG!$B$5,IF($G37="B",CONFIG!$B$6,IF($G37="C",CONFIG!$B$7,"Gerência + coordenadores"))))</f>
        <v>(preencha o nome)</v>
      </c>
      <c r="I37" s="60"/>
      <c r="J37" s="81" t="str">
        <f aca="false">IF($C37="","","—")</f>
        <v>—</v>
      </c>
      <c r="K37" s="91" t="n">
        <f aca="false">IF($C37="","",SUMIFS(OCORRÊNCIAS!$E$6:$E$605,OCORRÊNCIAS!$B$6:$B$605,"Falta",OCORRÊNCIAS!$C$6:$C$605,$G37,OCORRÊNCIAS!$H$6:$H$605,$B37,OCORRÊNCIAS!$J$6:$J$605,YEAR($C37+4-WEEKDAY($C37,2))))</f>
        <v>0</v>
      </c>
      <c r="L37" s="91" t="n">
        <f aca="false">IF($C37="","",SUMIFS(OCORRÊNCIAS!$E$6:$E$605,OCORRÊNCIAS!$B$6:$B$605,"Atestado",OCORRÊNCIAS!$C$6:$C$605,$G37,OCORRÊNCIAS!$H$6:$H$605,$B37,OCORRÊNCIAS!$J$6:$J$605,YEAR($C37+4-WEEKDAY($C37,2))))</f>
        <v>0</v>
      </c>
      <c r="M37" s="84"/>
      <c r="N37" s="84"/>
      <c r="O37" s="84"/>
      <c r="P37" s="90"/>
      <c r="Q37" s="86"/>
      <c r="R37" s="87"/>
      <c r="S37" s="60" t="str">
        <f aca="true">IF($C37="","",IF($Q37="Cancelada","Cancelada",IF($Q37="Reprovado","Reprovada",IF($Q37="Aprovado","Aprovada",IF($M37&lt;&gt;"","Entregue",IF(TODAY()&gt;$C37,"Atrasada","Pendente"))))))</f>
        <v>Atrasada</v>
      </c>
      <c r="T37" s="88"/>
      <c r="U37" s="88"/>
      <c r="V37" s="88"/>
    </row>
    <row r="38" customFormat="false" ht="22.35" hidden="false" customHeight="false" outlineLevel="0" collapsed="false">
      <c r="A38" s="80" t="str">
        <f aca="false">IF($C38="","",$X$2&amp;"-S"&amp;INT(($C38-WEEKDAY($C38,2)+11-DATE(YEAR($C38+4-WEEKDAY($C38,2)),1,1))/7)&amp;"-REU-T")</f>
        <v>JAN-S2-REU-T</v>
      </c>
      <c r="B38" s="81" t="str">
        <f aca="false">IF($C38="","","S"&amp;INT(($C38-WEEKDAY($C38,2)+11-DATE(YEAR($C38+4-WEEKDAY($C38,2)),1,1))/7))</f>
        <v>S2</v>
      </c>
      <c r="C38" s="82" t="n">
        <f aca="false">IF(MONTH(($X$1-WEEKDAY($X$1,3)+7)+4)=MONTH($X$1),($X$1-WEEKDAY($X$1,3)+7)+4,"")</f>
        <v>46031</v>
      </c>
      <c r="D38" s="9" t="str">
        <f aca="false">IF($C38="","","Reunião Semanal com a Gerência")</f>
        <v>Reunião Semanal com a Gerência</v>
      </c>
      <c r="E38" s="9"/>
      <c r="F38" s="9"/>
      <c r="G38" s="81" t="str">
        <f aca="false">IF($C38="","","Todos")</f>
        <v>Todos</v>
      </c>
      <c r="H38" s="81" t="str">
        <f aca="false">IF($C38="","",IF($G38="A",CONFIG!$B$5,IF($G38="B",CONFIG!$B$6,IF($G38="C",CONFIG!$B$7,"Gerência + coordenadores"))))</f>
        <v>Gerência + coordenadores</v>
      </c>
      <c r="I38" s="81"/>
      <c r="J38" s="81" t="str">
        <f aca="false">IF($C38="","","—")</f>
        <v>—</v>
      </c>
      <c r="K38" s="83" t="str">
        <f aca="false">IF($C38="","","—")</f>
        <v>—</v>
      </c>
      <c r="L38" s="83" t="str">
        <f aca="false">IF($C38="","","—")</f>
        <v>—</v>
      </c>
      <c r="M38" s="84"/>
      <c r="N38" s="84"/>
      <c r="O38" s="84"/>
      <c r="P38" s="85"/>
      <c r="Q38" s="86"/>
      <c r="R38" s="87"/>
      <c r="S38" s="81" t="str">
        <f aca="true">IF($C38="","",IF($Q38="Cancelada","Cancelada",IF($Q38="Reprovado","Reprovada",IF($Q38="Aprovado","Aprovada",IF($M38&lt;&gt;"","Entregue",IF(TODAY()&gt;$C38,"Atrasada","Pendente"))))))</f>
        <v>Atrasada</v>
      </c>
      <c r="T38" s="88"/>
      <c r="U38" s="88"/>
      <c r="V38" s="88"/>
    </row>
    <row r="39" customFormat="false" ht="22.35" hidden="false" customHeight="false" outlineLevel="0" collapsed="false">
      <c r="A39" s="89" t="str">
        <f aca="false">IF($C39="","",$X$2&amp;"-S"&amp;INT(($C39-WEEKDAY($C39,2)+11-DATE(YEAR($C39+4-WEEKDAY($C39,2)),1,1))/7)&amp;"-VIS-A")</f>
        <v>JAN-S3-VIS-A</v>
      </c>
      <c r="B39" s="60" t="str">
        <f aca="false">IF($C39="","","S"&amp;INT(($C39-WEEKDAY($C39,2)+11-DATE(YEAR($C39+4-WEEKDAY($C39,2)),1,1))/7))</f>
        <v>S3</v>
      </c>
      <c r="C39" s="82" t="n">
        <f aca="false">IF(MONTH(($X$1-WEEKDAY($X$1,3)+14)+2)=MONTH($X$1),($X$1-WEEKDAY($X$1,3)+14)+2,"")</f>
        <v>46036</v>
      </c>
      <c r="D39" s="56" t="str">
        <f aca="false">IF($C39="","","Vistoria Setorial (checklist no setor definido pelo gerente)")</f>
        <v>Vistoria Setorial (checklist no setor definido pelo gerente)</v>
      </c>
      <c r="E39" s="56"/>
      <c r="F39" s="56"/>
      <c r="G39" s="60" t="str">
        <f aca="false">IF($C39="","","A")</f>
        <v>A</v>
      </c>
      <c r="H39" s="60" t="str">
        <f aca="false">IF($C39="","",IF($G39="A",CONFIG!$B$5,IF($G39="B",CONFIG!$B$6,IF($G39="C",CONFIG!$B$7,"Gerência + coordenadores"))))</f>
        <v>(preencha o nome)</v>
      </c>
      <c r="I39" s="60"/>
      <c r="J39" s="86"/>
      <c r="K39" s="83" t="str">
        <f aca="false">IF($C39="","","—")</f>
        <v>—</v>
      </c>
      <c r="L39" s="83" t="str">
        <f aca="false">IF($C39="","","—")</f>
        <v>—</v>
      </c>
      <c r="M39" s="84"/>
      <c r="N39" s="84"/>
      <c r="O39" s="84"/>
      <c r="P39" s="90"/>
      <c r="Q39" s="86"/>
      <c r="R39" s="87"/>
      <c r="S39" s="60" t="str">
        <f aca="true">IF($C39="","",IF($Q39="Cancelada","Cancelada",IF($Q39="Reprovado","Reprovada",IF($Q39="Aprovado","Aprovada",IF($M39&lt;&gt;"","Entregue",IF(TODAY()&gt;$C39,"Atrasada","Pendente"))))))</f>
        <v>Atrasada</v>
      </c>
      <c r="T39" s="88"/>
      <c r="U39" s="88"/>
      <c r="V39" s="88"/>
    </row>
    <row r="40" customFormat="false" ht="22.35" hidden="false" customHeight="false" outlineLevel="0" collapsed="false">
      <c r="A40" s="80" t="str">
        <f aca="false">IF($C40="","",$X$2&amp;"-S"&amp;INT(($C40-WEEKDAY($C40,2)+11-DATE(YEAR($C40+4-WEEKDAY($C40,2)),1,1))/7)&amp;"-VIS-B")</f>
        <v>JAN-S3-VIS-B</v>
      </c>
      <c r="B40" s="81" t="str">
        <f aca="false">IF($C40="","","S"&amp;INT(($C40-WEEKDAY($C40,2)+11-DATE(YEAR($C40+4-WEEKDAY($C40,2)),1,1))/7))</f>
        <v>S3</v>
      </c>
      <c r="C40" s="82" t="n">
        <f aca="false">IF(MONTH(($X$1-WEEKDAY($X$1,3)+14)+2)=MONTH($X$1),($X$1-WEEKDAY($X$1,3)+14)+2,"")</f>
        <v>46036</v>
      </c>
      <c r="D40" s="9" t="str">
        <f aca="false">IF($C40="","","Vistoria Setorial (checklist no setor definido pelo gerente)")</f>
        <v>Vistoria Setorial (checklist no setor definido pelo gerente)</v>
      </c>
      <c r="E40" s="9"/>
      <c r="F40" s="9"/>
      <c r="G40" s="81" t="str">
        <f aca="false">IF($C40="","","B")</f>
        <v>B</v>
      </c>
      <c r="H40" s="81" t="str">
        <f aca="false">IF($C40="","",IF($G40="A",CONFIG!$B$5,IF($G40="B",CONFIG!$B$6,IF($G40="C",CONFIG!$B$7,"Gerência + coordenadores"))))</f>
        <v>(preencha o nome)</v>
      </c>
      <c r="I40" s="81"/>
      <c r="J40" s="86"/>
      <c r="K40" s="83" t="str">
        <f aca="false">IF($C40="","","—")</f>
        <v>—</v>
      </c>
      <c r="L40" s="83" t="str">
        <f aca="false">IF($C40="","","—")</f>
        <v>—</v>
      </c>
      <c r="M40" s="84"/>
      <c r="N40" s="84"/>
      <c r="O40" s="84"/>
      <c r="P40" s="85"/>
      <c r="Q40" s="86"/>
      <c r="R40" s="87"/>
      <c r="S40" s="81" t="str">
        <f aca="true">IF($C40="","",IF($Q40="Cancelada","Cancelada",IF($Q40="Reprovado","Reprovada",IF($Q40="Aprovado","Aprovada",IF($M40&lt;&gt;"","Entregue",IF(TODAY()&gt;$C40,"Atrasada","Pendente"))))))</f>
        <v>Atrasada</v>
      </c>
      <c r="T40" s="88"/>
      <c r="U40" s="88"/>
      <c r="V40" s="88"/>
    </row>
    <row r="41" customFormat="false" ht="22.35" hidden="false" customHeight="false" outlineLevel="0" collapsed="false">
      <c r="A41" s="89" t="str">
        <f aca="false">IF($C41="","",$X$2&amp;"-S"&amp;INT(($C41-WEEKDAY($C41,2)+11-DATE(YEAR($C41+4-WEEKDAY($C41,2)),1,1))/7)&amp;"-VIS-C")</f>
        <v>JAN-S3-VIS-C</v>
      </c>
      <c r="B41" s="60" t="str">
        <f aca="false">IF($C41="","","S"&amp;INT(($C41-WEEKDAY($C41,2)+11-DATE(YEAR($C41+4-WEEKDAY($C41,2)),1,1))/7))</f>
        <v>S3</v>
      </c>
      <c r="C41" s="82" t="n">
        <f aca="false">IF(MONTH(($X$1-WEEKDAY($X$1,3)+14)+2)=MONTH($X$1),($X$1-WEEKDAY($X$1,3)+14)+2,"")</f>
        <v>46036</v>
      </c>
      <c r="D41" s="56" t="str">
        <f aca="false">IF($C41="","","Vistoria Setorial (checklist no setor definido pelo gerente)")</f>
        <v>Vistoria Setorial (checklist no setor definido pelo gerente)</v>
      </c>
      <c r="E41" s="56"/>
      <c r="F41" s="56"/>
      <c r="G41" s="60" t="str">
        <f aca="false">IF($C41="","","C")</f>
        <v>C</v>
      </c>
      <c r="H41" s="60" t="str">
        <f aca="false">IF($C41="","",IF($G41="A",CONFIG!$B$5,IF($G41="B",CONFIG!$B$6,IF($G41="C",CONFIG!$B$7,"Gerência + coordenadores"))))</f>
        <v>(preencha o nome)</v>
      </c>
      <c r="I41" s="60"/>
      <c r="J41" s="86"/>
      <c r="K41" s="83" t="str">
        <f aca="false">IF($C41="","","—")</f>
        <v>—</v>
      </c>
      <c r="L41" s="83" t="str">
        <f aca="false">IF($C41="","","—")</f>
        <v>—</v>
      </c>
      <c r="M41" s="84"/>
      <c r="N41" s="84"/>
      <c r="O41" s="84"/>
      <c r="P41" s="90"/>
      <c r="Q41" s="86"/>
      <c r="R41" s="87"/>
      <c r="S41" s="60" t="str">
        <f aca="true">IF($C41="","",IF($Q41="Cancelada","Cancelada",IF($Q41="Reprovado","Reprovada",IF($Q41="Aprovado","Aprovada",IF($M41&lt;&gt;"","Entregue",IF(TODAY()&gt;$C41,"Atrasada","Pendente"))))))</f>
        <v>Atrasada</v>
      </c>
      <c r="T41" s="88"/>
      <c r="U41" s="88"/>
      <c r="V41" s="88"/>
    </row>
    <row r="42" customFormat="false" ht="22.35" hidden="false" customHeight="false" outlineLevel="0" collapsed="false">
      <c r="A42" s="80" t="str">
        <f aca="false">IF($C42="","",$X$2&amp;"-S"&amp;INT(($C42-WEEKDAY($C42,2)+11-DATE(YEAR($C42+4-WEEKDAY($C42,2)),1,1))/7)&amp;"-RSC-A")</f>
        <v>JAN-S3-RSC-A</v>
      </c>
      <c r="B42" s="81" t="str">
        <f aca="false">IF($C42="","","S"&amp;INT(($C42-WEEKDAY($C42,2)+11-DATE(YEAR($C42+4-WEEKDAY($C42,2)),1,1))/7))</f>
        <v>S3</v>
      </c>
      <c r="C42" s="82" t="n">
        <f aca="false">IF(MONTH(($X$1-WEEKDAY($X$1,3)+14)+3)=MONTH($X$1),($X$1-WEEKDAY($X$1,3)+14)+3,"")</f>
        <v>46037</v>
      </c>
      <c r="D42" s="9" t="str">
        <f aca="false">IF($C42="","","Relatório Semanal Consolidado (erros + metas + faltas + supervisores)")</f>
        <v>Relatório Semanal Consolidado (erros + metas + faltas + supervisores)</v>
      </c>
      <c r="E42" s="9"/>
      <c r="F42" s="9"/>
      <c r="G42" s="81" t="str">
        <f aca="false">IF($C42="","","A")</f>
        <v>A</v>
      </c>
      <c r="H42" s="81" t="str">
        <f aca="false">IF($C42="","",IF($G42="A",CONFIG!$B$5,IF($G42="B",CONFIG!$B$6,IF($G42="C",CONFIG!$B$7,"Gerência + coordenadores"))))</f>
        <v>(preencha o nome)</v>
      </c>
      <c r="I42" s="81"/>
      <c r="J42" s="81" t="str">
        <f aca="false">IF($C42="","","—")</f>
        <v>—</v>
      </c>
      <c r="K42" s="91" t="n">
        <f aca="false">IF($C42="","",SUMIFS(OCORRÊNCIAS!$E$6:$E$605,OCORRÊNCIAS!$B$6:$B$605,"Falta",OCORRÊNCIAS!$C$6:$C$605,$G42,OCORRÊNCIAS!$H$6:$H$605,$B42,OCORRÊNCIAS!$J$6:$J$605,YEAR($C42+4-WEEKDAY($C42,2))))</f>
        <v>0</v>
      </c>
      <c r="L42" s="91" t="n">
        <f aca="false">IF($C42="","",SUMIFS(OCORRÊNCIAS!$E$6:$E$605,OCORRÊNCIAS!$B$6:$B$605,"Atestado",OCORRÊNCIAS!$C$6:$C$605,$G42,OCORRÊNCIAS!$H$6:$H$605,$B42,OCORRÊNCIAS!$J$6:$J$605,YEAR($C42+4-WEEKDAY($C42,2))))</f>
        <v>0</v>
      </c>
      <c r="M42" s="84"/>
      <c r="N42" s="84"/>
      <c r="O42" s="84"/>
      <c r="P42" s="85"/>
      <c r="Q42" s="86"/>
      <c r="R42" s="87"/>
      <c r="S42" s="81" t="str">
        <f aca="true">IF($C42="","",IF($Q42="Cancelada","Cancelada",IF($Q42="Reprovado","Reprovada",IF($Q42="Aprovado","Aprovada",IF($M42&lt;&gt;"","Entregue",IF(TODAY()&gt;$C42,"Atrasada","Pendente"))))))</f>
        <v>Atrasada</v>
      </c>
      <c r="T42" s="88"/>
      <c r="U42" s="88"/>
      <c r="V42" s="88"/>
    </row>
    <row r="43" customFormat="false" ht="22.35" hidden="false" customHeight="false" outlineLevel="0" collapsed="false">
      <c r="A43" s="89" t="str">
        <f aca="false">IF($C43="","",$X$2&amp;"-S"&amp;INT(($C43-WEEKDAY($C43,2)+11-DATE(YEAR($C43+4-WEEKDAY($C43,2)),1,1))/7)&amp;"-RSC-B")</f>
        <v>JAN-S3-RSC-B</v>
      </c>
      <c r="B43" s="60" t="str">
        <f aca="false">IF($C43="","","S"&amp;INT(($C43-WEEKDAY($C43,2)+11-DATE(YEAR($C43+4-WEEKDAY($C43,2)),1,1))/7))</f>
        <v>S3</v>
      </c>
      <c r="C43" s="82" t="n">
        <f aca="false">IF(MONTH(($X$1-WEEKDAY($X$1,3)+14)+3)=MONTH($X$1),($X$1-WEEKDAY($X$1,3)+14)+3,"")</f>
        <v>46037</v>
      </c>
      <c r="D43" s="56" t="str">
        <f aca="false">IF($C43="","","Relatório Semanal Consolidado (erros + metas + faltas + supervisores)")</f>
        <v>Relatório Semanal Consolidado (erros + metas + faltas + supervisores)</v>
      </c>
      <c r="E43" s="56"/>
      <c r="F43" s="56"/>
      <c r="G43" s="60" t="str">
        <f aca="false">IF($C43="","","B")</f>
        <v>B</v>
      </c>
      <c r="H43" s="60" t="str">
        <f aca="false">IF($C43="","",IF($G43="A",CONFIG!$B$5,IF($G43="B",CONFIG!$B$6,IF($G43="C",CONFIG!$B$7,"Gerência + coordenadores"))))</f>
        <v>(preencha o nome)</v>
      </c>
      <c r="I43" s="60"/>
      <c r="J43" s="81" t="str">
        <f aca="false">IF($C43="","","—")</f>
        <v>—</v>
      </c>
      <c r="K43" s="91" t="n">
        <f aca="false">IF($C43="","",SUMIFS(OCORRÊNCIAS!$E$6:$E$605,OCORRÊNCIAS!$B$6:$B$605,"Falta",OCORRÊNCIAS!$C$6:$C$605,$G43,OCORRÊNCIAS!$H$6:$H$605,$B43,OCORRÊNCIAS!$J$6:$J$605,YEAR($C43+4-WEEKDAY($C43,2))))</f>
        <v>0</v>
      </c>
      <c r="L43" s="91" t="n">
        <f aca="false">IF($C43="","",SUMIFS(OCORRÊNCIAS!$E$6:$E$605,OCORRÊNCIAS!$B$6:$B$605,"Atestado",OCORRÊNCIAS!$C$6:$C$605,$G43,OCORRÊNCIAS!$H$6:$H$605,$B43,OCORRÊNCIAS!$J$6:$J$605,YEAR($C43+4-WEEKDAY($C43,2))))</f>
        <v>0</v>
      </c>
      <c r="M43" s="84"/>
      <c r="N43" s="84"/>
      <c r="O43" s="84"/>
      <c r="P43" s="90"/>
      <c r="Q43" s="86"/>
      <c r="R43" s="87"/>
      <c r="S43" s="60" t="str">
        <f aca="true">IF($C43="","",IF($Q43="Cancelada","Cancelada",IF($Q43="Reprovado","Reprovada",IF($Q43="Aprovado","Aprovada",IF($M43&lt;&gt;"","Entregue",IF(TODAY()&gt;$C43,"Atrasada","Pendente"))))))</f>
        <v>Atrasada</v>
      </c>
      <c r="T43" s="88"/>
      <c r="U43" s="88"/>
      <c r="V43" s="88"/>
    </row>
    <row r="44" customFormat="false" ht="22.35" hidden="false" customHeight="false" outlineLevel="0" collapsed="false">
      <c r="A44" s="80" t="str">
        <f aca="false">IF($C44="","",$X$2&amp;"-S"&amp;INT(($C44-WEEKDAY($C44,2)+11-DATE(YEAR($C44+4-WEEKDAY($C44,2)),1,1))/7)&amp;"-RSC-C")</f>
        <v>JAN-S3-RSC-C</v>
      </c>
      <c r="B44" s="81" t="str">
        <f aca="false">IF($C44="","","S"&amp;INT(($C44-WEEKDAY($C44,2)+11-DATE(YEAR($C44+4-WEEKDAY($C44,2)),1,1))/7))</f>
        <v>S3</v>
      </c>
      <c r="C44" s="82" t="n">
        <f aca="false">IF(MONTH(($X$1-WEEKDAY($X$1,3)+14)+3)=MONTH($X$1),($X$1-WEEKDAY($X$1,3)+14)+3,"")</f>
        <v>46037</v>
      </c>
      <c r="D44" s="9" t="str">
        <f aca="false">IF($C44="","","Relatório Semanal Consolidado (erros + metas + faltas + supervisores)")</f>
        <v>Relatório Semanal Consolidado (erros + metas + faltas + supervisores)</v>
      </c>
      <c r="E44" s="9"/>
      <c r="F44" s="9"/>
      <c r="G44" s="81" t="str">
        <f aca="false">IF($C44="","","C")</f>
        <v>C</v>
      </c>
      <c r="H44" s="81" t="str">
        <f aca="false">IF($C44="","",IF($G44="A",CONFIG!$B$5,IF($G44="B",CONFIG!$B$6,IF($G44="C",CONFIG!$B$7,"Gerência + coordenadores"))))</f>
        <v>(preencha o nome)</v>
      </c>
      <c r="I44" s="81"/>
      <c r="J44" s="81" t="str">
        <f aca="false">IF($C44="","","—")</f>
        <v>—</v>
      </c>
      <c r="K44" s="91" t="n">
        <f aca="false">IF($C44="","",SUMIFS(OCORRÊNCIAS!$E$6:$E$605,OCORRÊNCIAS!$B$6:$B$605,"Falta",OCORRÊNCIAS!$C$6:$C$605,$G44,OCORRÊNCIAS!$H$6:$H$605,$B44,OCORRÊNCIAS!$J$6:$J$605,YEAR($C44+4-WEEKDAY($C44,2))))</f>
        <v>0</v>
      </c>
      <c r="L44" s="91" t="n">
        <f aca="false">IF($C44="","",SUMIFS(OCORRÊNCIAS!$E$6:$E$605,OCORRÊNCIAS!$B$6:$B$605,"Atestado",OCORRÊNCIAS!$C$6:$C$605,$G44,OCORRÊNCIAS!$H$6:$H$605,$B44,OCORRÊNCIAS!$J$6:$J$605,YEAR($C44+4-WEEKDAY($C44,2))))</f>
        <v>0</v>
      </c>
      <c r="M44" s="84"/>
      <c r="N44" s="84"/>
      <c r="O44" s="84"/>
      <c r="P44" s="85"/>
      <c r="Q44" s="86"/>
      <c r="R44" s="87"/>
      <c r="S44" s="81" t="str">
        <f aca="true">IF($C44="","",IF($Q44="Cancelada","Cancelada",IF($Q44="Reprovado","Reprovada",IF($Q44="Aprovado","Aprovada",IF($M44&lt;&gt;"","Entregue",IF(TODAY()&gt;$C44,"Atrasada","Pendente"))))))</f>
        <v>Atrasada</v>
      </c>
      <c r="T44" s="88"/>
      <c r="U44" s="88"/>
      <c r="V44" s="88"/>
    </row>
    <row r="45" customFormat="false" ht="22.35" hidden="false" customHeight="false" outlineLevel="0" collapsed="false">
      <c r="A45" s="89" t="str">
        <f aca="false">IF($C45="","",$X$2&amp;"-S"&amp;INT(($C45-WEEKDAY($C45,2)+11-DATE(YEAR($C45+4-WEEKDAY($C45,2)),1,1))/7)&amp;"-REU-T")</f>
        <v>JAN-S3-REU-T</v>
      </c>
      <c r="B45" s="60" t="str">
        <f aca="false">IF($C45="","","S"&amp;INT(($C45-WEEKDAY($C45,2)+11-DATE(YEAR($C45+4-WEEKDAY($C45,2)),1,1))/7))</f>
        <v>S3</v>
      </c>
      <c r="C45" s="82" t="n">
        <f aca="false">IF(MONTH(($X$1-WEEKDAY($X$1,3)+14)+4)=MONTH($X$1),($X$1-WEEKDAY($X$1,3)+14)+4,"")</f>
        <v>46038</v>
      </c>
      <c r="D45" s="56" t="str">
        <f aca="false">IF($C45="","","Reunião Semanal com a Gerência")</f>
        <v>Reunião Semanal com a Gerência</v>
      </c>
      <c r="E45" s="56"/>
      <c r="F45" s="56"/>
      <c r="G45" s="60" t="str">
        <f aca="false">IF($C45="","","Todos")</f>
        <v>Todos</v>
      </c>
      <c r="H45" s="60" t="str">
        <f aca="false">IF($C45="","",IF($G45="A",CONFIG!$B$5,IF($G45="B",CONFIG!$B$6,IF($G45="C",CONFIG!$B$7,"Gerência + coordenadores"))))</f>
        <v>Gerência + coordenadores</v>
      </c>
      <c r="I45" s="60"/>
      <c r="J45" s="81" t="str">
        <f aca="false">IF($C45="","","—")</f>
        <v>—</v>
      </c>
      <c r="K45" s="83" t="str">
        <f aca="false">IF($C45="","","—")</f>
        <v>—</v>
      </c>
      <c r="L45" s="83" t="str">
        <f aca="false">IF($C45="","","—")</f>
        <v>—</v>
      </c>
      <c r="M45" s="84"/>
      <c r="N45" s="84"/>
      <c r="O45" s="84"/>
      <c r="P45" s="90"/>
      <c r="Q45" s="86"/>
      <c r="R45" s="87"/>
      <c r="S45" s="60" t="str">
        <f aca="true">IF($C45="","",IF($Q45="Cancelada","Cancelada",IF($Q45="Reprovado","Reprovada",IF($Q45="Aprovado","Aprovada",IF($M45&lt;&gt;"","Entregue",IF(TODAY()&gt;$C45,"Atrasada","Pendente"))))))</f>
        <v>Atrasada</v>
      </c>
      <c r="T45" s="88"/>
      <c r="U45" s="88"/>
      <c r="V45" s="88"/>
    </row>
    <row r="46" customFormat="false" ht="22.35" hidden="false" customHeight="false" outlineLevel="0" collapsed="false">
      <c r="A46" s="80" t="str">
        <f aca="false">IF($C46="","",$X$2&amp;"-S"&amp;INT(($C46-WEEKDAY($C46,2)+11-DATE(YEAR($C46+4-WEEKDAY($C46,2)),1,1))/7)&amp;"-VIS-A")</f>
        <v>JAN-S4-VIS-A</v>
      </c>
      <c r="B46" s="81" t="str">
        <f aca="false">IF($C46="","","S"&amp;INT(($C46-WEEKDAY($C46,2)+11-DATE(YEAR($C46+4-WEEKDAY($C46,2)),1,1))/7))</f>
        <v>S4</v>
      </c>
      <c r="C46" s="82" t="n">
        <f aca="false">IF(MONTH(($X$1-WEEKDAY($X$1,3)+21)+2)=MONTH($X$1),($X$1-WEEKDAY($X$1,3)+21)+2,"")</f>
        <v>46043</v>
      </c>
      <c r="D46" s="9" t="str">
        <f aca="false">IF($C46="","","Vistoria Setorial (checklist no setor definido pelo gerente)")</f>
        <v>Vistoria Setorial (checklist no setor definido pelo gerente)</v>
      </c>
      <c r="E46" s="9"/>
      <c r="F46" s="9"/>
      <c r="G46" s="81" t="str">
        <f aca="false">IF($C46="","","A")</f>
        <v>A</v>
      </c>
      <c r="H46" s="81" t="str">
        <f aca="false">IF($C46="","",IF($G46="A",CONFIG!$B$5,IF($G46="B",CONFIG!$B$6,IF($G46="C",CONFIG!$B$7,"Gerência + coordenadores"))))</f>
        <v>(preencha o nome)</v>
      </c>
      <c r="I46" s="81"/>
      <c r="J46" s="86"/>
      <c r="K46" s="83" t="str">
        <f aca="false">IF($C46="","","—")</f>
        <v>—</v>
      </c>
      <c r="L46" s="83" t="str">
        <f aca="false">IF($C46="","","—")</f>
        <v>—</v>
      </c>
      <c r="M46" s="84"/>
      <c r="N46" s="84"/>
      <c r="O46" s="84"/>
      <c r="P46" s="85"/>
      <c r="Q46" s="86"/>
      <c r="R46" s="87"/>
      <c r="S46" s="81" t="str">
        <f aca="true">IF($C46="","",IF($Q46="Cancelada","Cancelada",IF($Q46="Reprovado","Reprovada",IF($Q46="Aprovado","Aprovada",IF($M46&lt;&gt;"","Entregue",IF(TODAY()&gt;$C46,"Atrasada","Pendente"))))))</f>
        <v>Atrasada</v>
      </c>
      <c r="T46" s="88"/>
      <c r="U46" s="88"/>
      <c r="V46" s="88"/>
    </row>
    <row r="47" customFormat="false" ht="22.35" hidden="false" customHeight="false" outlineLevel="0" collapsed="false">
      <c r="A47" s="89" t="str">
        <f aca="false">IF($C47="","",$X$2&amp;"-S"&amp;INT(($C47-WEEKDAY($C47,2)+11-DATE(YEAR($C47+4-WEEKDAY($C47,2)),1,1))/7)&amp;"-VIS-B")</f>
        <v>JAN-S4-VIS-B</v>
      </c>
      <c r="B47" s="60" t="str">
        <f aca="false">IF($C47="","","S"&amp;INT(($C47-WEEKDAY($C47,2)+11-DATE(YEAR($C47+4-WEEKDAY($C47,2)),1,1))/7))</f>
        <v>S4</v>
      </c>
      <c r="C47" s="82" t="n">
        <f aca="false">IF(MONTH(($X$1-WEEKDAY($X$1,3)+21)+2)=MONTH($X$1),($X$1-WEEKDAY($X$1,3)+21)+2,"")</f>
        <v>46043</v>
      </c>
      <c r="D47" s="56" t="str">
        <f aca="false">IF($C47="","","Vistoria Setorial (checklist no setor definido pelo gerente)")</f>
        <v>Vistoria Setorial (checklist no setor definido pelo gerente)</v>
      </c>
      <c r="E47" s="56"/>
      <c r="F47" s="56"/>
      <c r="G47" s="60" t="str">
        <f aca="false">IF($C47="","","B")</f>
        <v>B</v>
      </c>
      <c r="H47" s="60" t="str">
        <f aca="false">IF($C47="","",IF($G47="A",CONFIG!$B$5,IF($G47="B",CONFIG!$B$6,IF($G47="C",CONFIG!$B$7,"Gerência + coordenadores"))))</f>
        <v>(preencha o nome)</v>
      </c>
      <c r="I47" s="60"/>
      <c r="J47" s="86"/>
      <c r="K47" s="83" t="str">
        <f aca="false">IF($C47="","","—")</f>
        <v>—</v>
      </c>
      <c r="L47" s="83" t="str">
        <f aca="false">IF($C47="","","—")</f>
        <v>—</v>
      </c>
      <c r="M47" s="84"/>
      <c r="N47" s="84"/>
      <c r="O47" s="84"/>
      <c r="P47" s="90"/>
      <c r="Q47" s="86"/>
      <c r="R47" s="87"/>
      <c r="S47" s="60" t="str">
        <f aca="true">IF($C47="","",IF($Q47="Cancelada","Cancelada",IF($Q47="Reprovado","Reprovada",IF($Q47="Aprovado","Aprovada",IF($M47&lt;&gt;"","Entregue",IF(TODAY()&gt;$C47,"Atrasada","Pendente"))))))</f>
        <v>Atrasada</v>
      </c>
      <c r="T47" s="88"/>
      <c r="U47" s="88"/>
      <c r="V47" s="88"/>
    </row>
    <row r="48" customFormat="false" ht="22.35" hidden="false" customHeight="false" outlineLevel="0" collapsed="false">
      <c r="A48" s="80" t="str">
        <f aca="false">IF($C48="","",$X$2&amp;"-S"&amp;INT(($C48-WEEKDAY($C48,2)+11-DATE(YEAR($C48+4-WEEKDAY($C48,2)),1,1))/7)&amp;"-VIS-C")</f>
        <v>JAN-S4-VIS-C</v>
      </c>
      <c r="B48" s="81" t="str">
        <f aca="false">IF($C48="","","S"&amp;INT(($C48-WEEKDAY($C48,2)+11-DATE(YEAR($C48+4-WEEKDAY($C48,2)),1,1))/7))</f>
        <v>S4</v>
      </c>
      <c r="C48" s="82" t="n">
        <f aca="false">IF(MONTH(($X$1-WEEKDAY($X$1,3)+21)+2)=MONTH($X$1),($X$1-WEEKDAY($X$1,3)+21)+2,"")</f>
        <v>46043</v>
      </c>
      <c r="D48" s="9" t="str">
        <f aca="false">IF($C48="","","Vistoria Setorial (checklist no setor definido pelo gerente)")</f>
        <v>Vistoria Setorial (checklist no setor definido pelo gerente)</v>
      </c>
      <c r="E48" s="9"/>
      <c r="F48" s="9"/>
      <c r="G48" s="81" t="str">
        <f aca="false">IF($C48="","","C")</f>
        <v>C</v>
      </c>
      <c r="H48" s="81" t="str">
        <f aca="false">IF($C48="","",IF($G48="A",CONFIG!$B$5,IF($G48="B",CONFIG!$B$6,IF($G48="C",CONFIG!$B$7,"Gerência + coordenadores"))))</f>
        <v>(preencha o nome)</v>
      </c>
      <c r="I48" s="81"/>
      <c r="J48" s="86"/>
      <c r="K48" s="83" t="str">
        <f aca="false">IF($C48="","","—")</f>
        <v>—</v>
      </c>
      <c r="L48" s="83" t="str">
        <f aca="false">IF($C48="","","—")</f>
        <v>—</v>
      </c>
      <c r="M48" s="84"/>
      <c r="N48" s="84"/>
      <c r="O48" s="84"/>
      <c r="P48" s="85"/>
      <c r="Q48" s="86"/>
      <c r="R48" s="87"/>
      <c r="S48" s="81" t="str">
        <f aca="true">IF($C48="","",IF($Q48="Cancelada","Cancelada",IF($Q48="Reprovado","Reprovada",IF($Q48="Aprovado","Aprovada",IF($M48&lt;&gt;"","Entregue",IF(TODAY()&gt;$C48,"Atrasada","Pendente"))))))</f>
        <v>Atrasada</v>
      </c>
      <c r="T48" s="88"/>
      <c r="U48" s="88"/>
      <c r="V48" s="88"/>
    </row>
    <row r="49" customFormat="false" ht="22.35" hidden="false" customHeight="false" outlineLevel="0" collapsed="false">
      <c r="A49" s="89" t="str">
        <f aca="false">IF($C49="","",$X$2&amp;"-S"&amp;INT(($C49-WEEKDAY($C49,2)+11-DATE(YEAR($C49+4-WEEKDAY($C49,2)),1,1))/7)&amp;"-RSC-A")</f>
        <v>JAN-S4-RSC-A</v>
      </c>
      <c r="B49" s="60" t="str">
        <f aca="false">IF($C49="","","S"&amp;INT(($C49-WEEKDAY($C49,2)+11-DATE(YEAR($C49+4-WEEKDAY($C49,2)),1,1))/7))</f>
        <v>S4</v>
      </c>
      <c r="C49" s="82" t="n">
        <f aca="false">IF(MONTH(($X$1-WEEKDAY($X$1,3)+21)+3)=MONTH($X$1),($X$1-WEEKDAY($X$1,3)+21)+3,"")</f>
        <v>46044</v>
      </c>
      <c r="D49" s="56" t="str">
        <f aca="false">IF($C49="","","Relatório Semanal Consolidado (erros + metas + faltas + supervisores)")</f>
        <v>Relatório Semanal Consolidado (erros + metas + faltas + supervisores)</v>
      </c>
      <c r="E49" s="56"/>
      <c r="F49" s="56"/>
      <c r="G49" s="60" t="str">
        <f aca="false">IF($C49="","","A")</f>
        <v>A</v>
      </c>
      <c r="H49" s="60" t="str">
        <f aca="false">IF($C49="","",IF($G49="A",CONFIG!$B$5,IF($G49="B",CONFIG!$B$6,IF($G49="C",CONFIG!$B$7,"Gerência + coordenadores"))))</f>
        <v>(preencha o nome)</v>
      </c>
      <c r="I49" s="60"/>
      <c r="J49" s="81" t="str">
        <f aca="false">IF($C49="","","—")</f>
        <v>—</v>
      </c>
      <c r="K49" s="91" t="n">
        <f aca="false">IF($C49="","",SUMIFS(OCORRÊNCIAS!$E$6:$E$605,OCORRÊNCIAS!$B$6:$B$605,"Falta",OCORRÊNCIAS!$C$6:$C$605,$G49,OCORRÊNCIAS!$H$6:$H$605,$B49,OCORRÊNCIAS!$J$6:$J$605,YEAR($C49+4-WEEKDAY($C49,2))))</f>
        <v>0</v>
      </c>
      <c r="L49" s="91" t="n">
        <f aca="false">IF($C49="","",SUMIFS(OCORRÊNCIAS!$E$6:$E$605,OCORRÊNCIAS!$B$6:$B$605,"Atestado",OCORRÊNCIAS!$C$6:$C$605,$G49,OCORRÊNCIAS!$H$6:$H$605,$B49,OCORRÊNCIAS!$J$6:$J$605,YEAR($C49+4-WEEKDAY($C49,2))))</f>
        <v>0</v>
      </c>
      <c r="M49" s="84"/>
      <c r="N49" s="84"/>
      <c r="O49" s="84"/>
      <c r="P49" s="90"/>
      <c r="Q49" s="86"/>
      <c r="R49" s="87"/>
      <c r="S49" s="60" t="str">
        <f aca="true">IF($C49="","",IF($Q49="Cancelada","Cancelada",IF($Q49="Reprovado","Reprovada",IF($Q49="Aprovado","Aprovada",IF($M49&lt;&gt;"","Entregue",IF(TODAY()&gt;$C49,"Atrasada","Pendente"))))))</f>
        <v>Atrasada</v>
      </c>
      <c r="T49" s="88"/>
      <c r="U49" s="88"/>
      <c r="V49" s="88"/>
    </row>
    <row r="50" customFormat="false" ht="22.35" hidden="false" customHeight="false" outlineLevel="0" collapsed="false">
      <c r="A50" s="80" t="str">
        <f aca="false">IF($C50="","",$X$2&amp;"-S"&amp;INT(($C50-WEEKDAY($C50,2)+11-DATE(YEAR($C50+4-WEEKDAY($C50,2)),1,1))/7)&amp;"-RSC-B")</f>
        <v>JAN-S4-RSC-B</v>
      </c>
      <c r="B50" s="81" t="str">
        <f aca="false">IF($C50="","","S"&amp;INT(($C50-WEEKDAY($C50,2)+11-DATE(YEAR($C50+4-WEEKDAY($C50,2)),1,1))/7))</f>
        <v>S4</v>
      </c>
      <c r="C50" s="82" t="n">
        <f aca="false">IF(MONTH(($X$1-WEEKDAY($X$1,3)+21)+3)=MONTH($X$1),($X$1-WEEKDAY($X$1,3)+21)+3,"")</f>
        <v>46044</v>
      </c>
      <c r="D50" s="9" t="str">
        <f aca="false">IF($C50="","","Relatório Semanal Consolidado (erros + metas + faltas + supervisores)")</f>
        <v>Relatório Semanal Consolidado (erros + metas + faltas + supervisores)</v>
      </c>
      <c r="E50" s="9"/>
      <c r="F50" s="9"/>
      <c r="G50" s="81" t="str">
        <f aca="false">IF($C50="","","B")</f>
        <v>B</v>
      </c>
      <c r="H50" s="81" t="str">
        <f aca="false">IF($C50="","",IF($G50="A",CONFIG!$B$5,IF($G50="B",CONFIG!$B$6,IF($G50="C",CONFIG!$B$7,"Gerência + coordenadores"))))</f>
        <v>(preencha o nome)</v>
      </c>
      <c r="I50" s="81"/>
      <c r="J50" s="81" t="str">
        <f aca="false">IF($C50="","","—")</f>
        <v>—</v>
      </c>
      <c r="K50" s="91" t="n">
        <f aca="false">IF($C50="","",SUMIFS(OCORRÊNCIAS!$E$6:$E$605,OCORRÊNCIAS!$B$6:$B$605,"Falta",OCORRÊNCIAS!$C$6:$C$605,$G50,OCORRÊNCIAS!$H$6:$H$605,$B50,OCORRÊNCIAS!$J$6:$J$605,YEAR($C50+4-WEEKDAY($C50,2))))</f>
        <v>0</v>
      </c>
      <c r="L50" s="91" t="n">
        <f aca="false">IF($C50="","",SUMIFS(OCORRÊNCIAS!$E$6:$E$605,OCORRÊNCIAS!$B$6:$B$605,"Atestado",OCORRÊNCIAS!$C$6:$C$605,$G50,OCORRÊNCIAS!$H$6:$H$605,$B50,OCORRÊNCIAS!$J$6:$J$605,YEAR($C50+4-WEEKDAY($C50,2))))</f>
        <v>0</v>
      </c>
      <c r="M50" s="84"/>
      <c r="N50" s="84"/>
      <c r="O50" s="84"/>
      <c r="P50" s="85"/>
      <c r="Q50" s="86"/>
      <c r="R50" s="87"/>
      <c r="S50" s="81" t="str">
        <f aca="true">IF($C50="","",IF($Q50="Cancelada","Cancelada",IF($Q50="Reprovado","Reprovada",IF($Q50="Aprovado","Aprovada",IF($M50&lt;&gt;"","Entregue",IF(TODAY()&gt;$C50,"Atrasada","Pendente"))))))</f>
        <v>Atrasada</v>
      </c>
      <c r="T50" s="88"/>
      <c r="U50" s="88"/>
      <c r="V50" s="88"/>
    </row>
    <row r="51" customFormat="false" ht="22.35" hidden="false" customHeight="false" outlineLevel="0" collapsed="false">
      <c r="A51" s="89" t="str">
        <f aca="false">IF($C51="","",$X$2&amp;"-S"&amp;INT(($C51-WEEKDAY($C51,2)+11-DATE(YEAR($C51+4-WEEKDAY($C51,2)),1,1))/7)&amp;"-RSC-C")</f>
        <v>JAN-S4-RSC-C</v>
      </c>
      <c r="B51" s="60" t="str">
        <f aca="false">IF($C51="","","S"&amp;INT(($C51-WEEKDAY($C51,2)+11-DATE(YEAR($C51+4-WEEKDAY($C51,2)),1,1))/7))</f>
        <v>S4</v>
      </c>
      <c r="C51" s="82" t="n">
        <f aca="false">IF(MONTH(($X$1-WEEKDAY($X$1,3)+21)+3)=MONTH($X$1),($X$1-WEEKDAY($X$1,3)+21)+3,"")</f>
        <v>46044</v>
      </c>
      <c r="D51" s="56" t="str">
        <f aca="false">IF($C51="","","Relatório Semanal Consolidado (erros + metas + faltas + supervisores)")</f>
        <v>Relatório Semanal Consolidado (erros + metas + faltas + supervisores)</v>
      </c>
      <c r="E51" s="56"/>
      <c r="F51" s="56"/>
      <c r="G51" s="60" t="str">
        <f aca="false">IF($C51="","","C")</f>
        <v>C</v>
      </c>
      <c r="H51" s="60" t="str">
        <f aca="false">IF($C51="","",IF($G51="A",CONFIG!$B$5,IF($G51="B",CONFIG!$B$6,IF($G51="C",CONFIG!$B$7,"Gerência + coordenadores"))))</f>
        <v>(preencha o nome)</v>
      </c>
      <c r="I51" s="60"/>
      <c r="J51" s="81" t="str">
        <f aca="false">IF($C51="","","—")</f>
        <v>—</v>
      </c>
      <c r="K51" s="91" t="n">
        <f aca="false">IF($C51="","",SUMIFS(OCORRÊNCIAS!$E$6:$E$605,OCORRÊNCIAS!$B$6:$B$605,"Falta",OCORRÊNCIAS!$C$6:$C$605,$G51,OCORRÊNCIAS!$H$6:$H$605,$B51,OCORRÊNCIAS!$J$6:$J$605,YEAR($C51+4-WEEKDAY($C51,2))))</f>
        <v>0</v>
      </c>
      <c r="L51" s="91" t="n">
        <f aca="false">IF($C51="","",SUMIFS(OCORRÊNCIAS!$E$6:$E$605,OCORRÊNCIAS!$B$6:$B$605,"Atestado",OCORRÊNCIAS!$C$6:$C$605,$G51,OCORRÊNCIAS!$H$6:$H$605,$B51,OCORRÊNCIAS!$J$6:$J$605,YEAR($C51+4-WEEKDAY($C51,2))))</f>
        <v>0</v>
      </c>
      <c r="M51" s="84"/>
      <c r="N51" s="84"/>
      <c r="O51" s="84"/>
      <c r="P51" s="90"/>
      <c r="Q51" s="86"/>
      <c r="R51" s="87"/>
      <c r="S51" s="60" t="str">
        <f aca="true">IF($C51="","",IF($Q51="Cancelada","Cancelada",IF($Q51="Reprovado","Reprovada",IF($Q51="Aprovado","Aprovada",IF($M51&lt;&gt;"","Entregue",IF(TODAY()&gt;$C51,"Atrasada","Pendente"))))))</f>
        <v>Atrasada</v>
      </c>
      <c r="T51" s="88"/>
      <c r="U51" s="88"/>
      <c r="V51" s="88"/>
    </row>
    <row r="52" customFormat="false" ht="22.35" hidden="false" customHeight="false" outlineLevel="0" collapsed="false">
      <c r="A52" s="80" t="str">
        <f aca="false">IF($C52="","",$X$2&amp;"-S"&amp;INT(($C52-WEEKDAY($C52,2)+11-DATE(YEAR($C52+4-WEEKDAY($C52,2)),1,1))/7)&amp;"-REU-T")</f>
        <v>JAN-S4-REU-T</v>
      </c>
      <c r="B52" s="81" t="str">
        <f aca="false">IF($C52="","","S"&amp;INT(($C52-WEEKDAY($C52,2)+11-DATE(YEAR($C52+4-WEEKDAY($C52,2)),1,1))/7))</f>
        <v>S4</v>
      </c>
      <c r="C52" s="82" t="n">
        <f aca="false">IF(MONTH(($X$1-WEEKDAY($X$1,3)+21)+4)=MONTH($X$1),($X$1-WEEKDAY($X$1,3)+21)+4,"")</f>
        <v>46045</v>
      </c>
      <c r="D52" s="9" t="str">
        <f aca="false">IF($C52="","","Reunião Semanal com a Gerência")</f>
        <v>Reunião Semanal com a Gerência</v>
      </c>
      <c r="E52" s="9"/>
      <c r="F52" s="9"/>
      <c r="G52" s="81" t="str">
        <f aca="false">IF($C52="","","Todos")</f>
        <v>Todos</v>
      </c>
      <c r="H52" s="81" t="str">
        <f aca="false">IF($C52="","",IF($G52="A",CONFIG!$B$5,IF($G52="B",CONFIG!$B$6,IF($G52="C",CONFIG!$B$7,"Gerência + coordenadores"))))</f>
        <v>Gerência + coordenadores</v>
      </c>
      <c r="I52" s="81"/>
      <c r="J52" s="81" t="str">
        <f aca="false">IF($C52="","","—")</f>
        <v>—</v>
      </c>
      <c r="K52" s="83" t="str">
        <f aca="false">IF($C52="","","—")</f>
        <v>—</v>
      </c>
      <c r="L52" s="83" t="str">
        <f aca="false">IF($C52="","","—")</f>
        <v>—</v>
      </c>
      <c r="M52" s="84"/>
      <c r="N52" s="84"/>
      <c r="O52" s="84"/>
      <c r="P52" s="85"/>
      <c r="Q52" s="86"/>
      <c r="R52" s="87"/>
      <c r="S52" s="81" t="str">
        <f aca="true">IF($C52="","",IF($Q52="Cancelada","Cancelada",IF($Q52="Reprovado","Reprovada",IF($Q52="Aprovado","Aprovada",IF($M52&lt;&gt;"","Entregue",IF(TODAY()&gt;$C52,"Atrasada","Pendente"))))))</f>
        <v>Atrasada</v>
      </c>
      <c r="T52" s="88"/>
      <c r="U52" s="88"/>
      <c r="V52" s="88"/>
    </row>
    <row r="53" customFormat="false" ht="22.35" hidden="false" customHeight="false" outlineLevel="0" collapsed="false">
      <c r="A53" s="89" t="str">
        <f aca="false">IF($C53="","",$X$2&amp;"-S"&amp;INT(($C53-WEEKDAY($C53,2)+11-DATE(YEAR($C53+4-WEEKDAY($C53,2)),1,1))/7)&amp;"-VIS-A")</f>
        <v>JAN-S5-VIS-A</v>
      </c>
      <c r="B53" s="60" t="str">
        <f aca="false">IF($C53="","","S"&amp;INT(($C53-WEEKDAY($C53,2)+11-DATE(YEAR($C53+4-WEEKDAY($C53,2)),1,1))/7))</f>
        <v>S5</v>
      </c>
      <c r="C53" s="82" t="n">
        <f aca="false">IF(MONTH(($X$1-WEEKDAY($X$1,3)+28)+2)=MONTH($X$1),($X$1-WEEKDAY($X$1,3)+28)+2,"")</f>
        <v>46050</v>
      </c>
      <c r="D53" s="56" t="str">
        <f aca="false">IF($C53="","","Vistoria Setorial (checklist no setor definido pelo gerente)")</f>
        <v>Vistoria Setorial (checklist no setor definido pelo gerente)</v>
      </c>
      <c r="E53" s="56"/>
      <c r="F53" s="56"/>
      <c r="G53" s="60" t="str">
        <f aca="false">IF($C53="","","A")</f>
        <v>A</v>
      </c>
      <c r="H53" s="60" t="str">
        <f aca="false">IF($C53="","",IF($G53="A",CONFIG!$B$5,IF($G53="B",CONFIG!$B$6,IF($G53="C",CONFIG!$B$7,"Gerência + coordenadores"))))</f>
        <v>(preencha o nome)</v>
      </c>
      <c r="I53" s="60"/>
      <c r="J53" s="86"/>
      <c r="K53" s="83" t="str">
        <f aca="false">IF($C53="","","—")</f>
        <v>—</v>
      </c>
      <c r="L53" s="83" t="str">
        <f aca="false">IF($C53="","","—")</f>
        <v>—</v>
      </c>
      <c r="M53" s="84"/>
      <c r="N53" s="84"/>
      <c r="O53" s="84"/>
      <c r="P53" s="90"/>
      <c r="Q53" s="86"/>
      <c r="R53" s="87"/>
      <c r="S53" s="60" t="str">
        <f aca="true">IF($C53="","",IF($Q53="Cancelada","Cancelada",IF($Q53="Reprovado","Reprovada",IF($Q53="Aprovado","Aprovada",IF($M53&lt;&gt;"","Entregue",IF(TODAY()&gt;$C53,"Atrasada","Pendente"))))))</f>
        <v>Atrasada</v>
      </c>
      <c r="T53" s="88"/>
      <c r="U53" s="88"/>
      <c r="V53" s="88"/>
    </row>
    <row r="54" customFormat="false" ht="22.35" hidden="false" customHeight="false" outlineLevel="0" collapsed="false">
      <c r="A54" s="80" t="str">
        <f aca="false">IF($C54="","",$X$2&amp;"-S"&amp;INT(($C54-WEEKDAY($C54,2)+11-DATE(YEAR($C54+4-WEEKDAY($C54,2)),1,1))/7)&amp;"-VIS-B")</f>
        <v>JAN-S5-VIS-B</v>
      </c>
      <c r="B54" s="81" t="str">
        <f aca="false">IF($C54="","","S"&amp;INT(($C54-WEEKDAY($C54,2)+11-DATE(YEAR($C54+4-WEEKDAY($C54,2)),1,1))/7))</f>
        <v>S5</v>
      </c>
      <c r="C54" s="82" t="n">
        <f aca="false">IF(MONTH(($X$1-WEEKDAY($X$1,3)+28)+2)=MONTH($X$1),($X$1-WEEKDAY($X$1,3)+28)+2,"")</f>
        <v>46050</v>
      </c>
      <c r="D54" s="9" t="str">
        <f aca="false">IF($C54="","","Vistoria Setorial (checklist no setor definido pelo gerente)")</f>
        <v>Vistoria Setorial (checklist no setor definido pelo gerente)</v>
      </c>
      <c r="E54" s="9"/>
      <c r="F54" s="9"/>
      <c r="G54" s="81" t="str">
        <f aca="false">IF($C54="","","B")</f>
        <v>B</v>
      </c>
      <c r="H54" s="81" t="str">
        <f aca="false">IF($C54="","",IF($G54="A",CONFIG!$B$5,IF($G54="B",CONFIG!$B$6,IF($G54="C",CONFIG!$B$7,"Gerência + coordenadores"))))</f>
        <v>(preencha o nome)</v>
      </c>
      <c r="I54" s="81"/>
      <c r="J54" s="86"/>
      <c r="K54" s="83" t="str">
        <f aca="false">IF($C54="","","—")</f>
        <v>—</v>
      </c>
      <c r="L54" s="83" t="str">
        <f aca="false">IF($C54="","","—")</f>
        <v>—</v>
      </c>
      <c r="M54" s="84"/>
      <c r="N54" s="84"/>
      <c r="O54" s="84"/>
      <c r="P54" s="85"/>
      <c r="Q54" s="86"/>
      <c r="R54" s="87"/>
      <c r="S54" s="81" t="str">
        <f aca="true">IF($C54="","",IF($Q54="Cancelada","Cancelada",IF($Q54="Reprovado","Reprovada",IF($Q54="Aprovado","Aprovada",IF($M54&lt;&gt;"","Entregue",IF(TODAY()&gt;$C54,"Atrasada","Pendente"))))))</f>
        <v>Atrasada</v>
      </c>
      <c r="T54" s="88"/>
      <c r="U54" s="88"/>
      <c r="V54" s="88"/>
    </row>
    <row r="55" customFormat="false" ht="22.35" hidden="false" customHeight="false" outlineLevel="0" collapsed="false">
      <c r="A55" s="89" t="str">
        <f aca="false">IF($C55="","",$X$2&amp;"-S"&amp;INT(($C55-WEEKDAY($C55,2)+11-DATE(YEAR($C55+4-WEEKDAY($C55,2)),1,1))/7)&amp;"-VIS-C")</f>
        <v>JAN-S5-VIS-C</v>
      </c>
      <c r="B55" s="60" t="str">
        <f aca="false">IF($C55="","","S"&amp;INT(($C55-WEEKDAY($C55,2)+11-DATE(YEAR($C55+4-WEEKDAY($C55,2)),1,1))/7))</f>
        <v>S5</v>
      </c>
      <c r="C55" s="82" t="n">
        <f aca="false">IF(MONTH(($X$1-WEEKDAY($X$1,3)+28)+2)=MONTH($X$1),($X$1-WEEKDAY($X$1,3)+28)+2,"")</f>
        <v>46050</v>
      </c>
      <c r="D55" s="56" t="str">
        <f aca="false">IF($C55="","","Vistoria Setorial (checklist no setor definido pelo gerente)")</f>
        <v>Vistoria Setorial (checklist no setor definido pelo gerente)</v>
      </c>
      <c r="E55" s="56"/>
      <c r="F55" s="56"/>
      <c r="G55" s="60" t="str">
        <f aca="false">IF($C55="","","C")</f>
        <v>C</v>
      </c>
      <c r="H55" s="60" t="str">
        <f aca="false">IF($C55="","",IF($G55="A",CONFIG!$B$5,IF($G55="B",CONFIG!$B$6,IF($G55="C",CONFIG!$B$7,"Gerência + coordenadores"))))</f>
        <v>(preencha o nome)</v>
      </c>
      <c r="I55" s="60"/>
      <c r="J55" s="86"/>
      <c r="K55" s="83" t="str">
        <f aca="false">IF($C55="","","—")</f>
        <v>—</v>
      </c>
      <c r="L55" s="83" t="str">
        <f aca="false">IF($C55="","","—")</f>
        <v>—</v>
      </c>
      <c r="M55" s="84"/>
      <c r="N55" s="84"/>
      <c r="O55" s="84"/>
      <c r="P55" s="90"/>
      <c r="Q55" s="86"/>
      <c r="R55" s="87"/>
      <c r="S55" s="60" t="str">
        <f aca="true">IF($C55="","",IF($Q55="Cancelada","Cancelada",IF($Q55="Reprovado","Reprovada",IF($Q55="Aprovado","Aprovada",IF($M55&lt;&gt;"","Entregue",IF(TODAY()&gt;$C55,"Atrasada","Pendente"))))))</f>
        <v>Atrasada</v>
      </c>
      <c r="T55" s="88"/>
      <c r="U55" s="88"/>
      <c r="V55" s="88"/>
    </row>
    <row r="56" customFormat="false" ht="22.35" hidden="false" customHeight="false" outlineLevel="0" collapsed="false">
      <c r="A56" s="80" t="str">
        <f aca="false">IF($C56="","",$X$2&amp;"-S"&amp;INT(($C56-WEEKDAY($C56,2)+11-DATE(YEAR($C56+4-WEEKDAY($C56,2)),1,1))/7)&amp;"-RSC-A")</f>
        <v>JAN-S5-RSC-A</v>
      </c>
      <c r="B56" s="81" t="str">
        <f aca="false">IF($C56="","","S"&amp;INT(($C56-WEEKDAY($C56,2)+11-DATE(YEAR($C56+4-WEEKDAY($C56,2)),1,1))/7))</f>
        <v>S5</v>
      </c>
      <c r="C56" s="82" t="n">
        <f aca="false">IF(MONTH(($X$1-WEEKDAY($X$1,3)+28)+3)=MONTH($X$1),($X$1-WEEKDAY($X$1,3)+28)+3,"")</f>
        <v>46051</v>
      </c>
      <c r="D56" s="9" t="str">
        <f aca="false">IF($C56="","","Relatório Semanal Consolidado (erros + metas + faltas + supervisores)")</f>
        <v>Relatório Semanal Consolidado (erros + metas + faltas + supervisores)</v>
      </c>
      <c r="E56" s="9"/>
      <c r="F56" s="9"/>
      <c r="G56" s="81" t="str">
        <f aca="false">IF($C56="","","A")</f>
        <v>A</v>
      </c>
      <c r="H56" s="81" t="str">
        <f aca="false">IF($C56="","",IF($G56="A",CONFIG!$B$5,IF($G56="B",CONFIG!$B$6,IF($G56="C",CONFIG!$B$7,"Gerência + coordenadores"))))</f>
        <v>(preencha o nome)</v>
      </c>
      <c r="I56" s="81"/>
      <c r="J56" s="81" t="str">
        <f aca="false">IF($C56="","","—")</f>
        <v>—</v>
      </c>
      <c r="K56" s="91" t="n">
        <f aca="false">IF($C56="","",SUMIFS(OCORRÊNCIAS!$E$6:$E$605,OCORRÊNCIAS!$B$6:$B$605,"Falta",OCORRÊNCIAS!$C$6:$C$605,$G56,OCORRÊNCIAS!$H$6:$H$605,$B56,OCORRÊNCIAS!$J$6:$J$605,YEAR($C56+4-WEEKDAY($C56,2))))</f>
        <v>0</v>
      </c>
      <c r="L56" s="91" t="n">
        <f aca="false">IF($C56="","",SUMIFS(OCORRÊNCIAS!$E$6:$E$605,OCORRÊNCIAS!$B$6:$B$605,"Atestado",OCORRÊNCIAS!$C$6:$C$605,$G56,OCORRÊNCIAS!$H$6:$H$605,$B56,OCORRÊNCIAS!$J$6:$J$605,YEAR($C56+4-WEEKDAY($C56,2))))</f>
        <v>0</v>
      </c>
      <c r="M56" s="84"/>
      <c r="N56" s="84"/>
      <c r="O56" s="84"/>
      <c r="P56" s="85"/>
      <c r="Q56" s="86"/>
      <c r="R56" s="87"/>
      <c r="S56" s="81" t="str">
        <f aca="true">IF($C56="","",IF($Q56="Cancelada","Cancelada",IF($Q56="Reprovado","Reprovada",IF($Q56="Aprovado","Aprovada",IF($M56&lt;&gt;"","Entregue",IF(TODAY()&gt;$C56,"Atrasada","Pendente"))))))</f>
        <v>Atrasada</v>
      </c>
      <c r="T56" s="88"/>
      <c r="U56" s="88"/>
      <c r="V56" s="88"/>
    </row>
    <row r="57" customFormat="false" ht="22.35" hidden="false" customHeight="false" outlineLevel="0" collapsed="false">
      <c r="A57" s="89" t="str">
        <f aca="false">IF($C57="","",$X$2&amp;"-S"&amp;INT(($C57-WEEKDAY($C57,2)+11-DATE(YEAR($C57+4-WEEKDAY($C57,2)),1,1))/7)&amp;"-RSC-B")</f>
        <v>JAN-S5-RSC-B</v>
      </c>
      <c r="B57" s="60" t="str">
        <f aca="false">IF($C57="","","S"&amp;INT(($C57-WEEKDAY($C57,2)+11-DATE(YEAR($C57+4-WEEKDAY($C57,2)),1,1))/7))</f>
        <v>S5</v>
      </c>
      <c r="C57" s="82" t="n">
        <f aca="false">IF(MONTH(($X$1-WEEKDAY($X$1,3)+28)+3)=MONTH($X$1),($X$1-WEEKDAY($X$1,3)+28)+3,"")</f>
        <v>46051</v>
      </c>
      <c r="D57" s="56" t="str">
        <f aca="false">IF($C57="","","Relatório Semanal Consolidado (erros + metas + faltas + supervisores)")</f>
        <v>Relatório Semanal Consolidado (erros + metas + faltas + supervisores)</v>
      </c>
      <c r="E57" s="56"/>
      <c r="F57" s="56"/>
      <c r="G57" s="60" t="str">
        <f aca="false">IF($C57="","","B")</f>
        <v>B</v>
      </c>
      <c r="H57" s="60" t="str">
        <f aca="false">IF($C57="","",IF($G57="A",CONFIG!$B$5,IF($G57="B",CONFIG!$B$6,IF($G57="C",CONFIG!$B$7,"Gerência + coordenadores"))))</f>
        <v>(preencha o nome)</v>
      </c>
      <c r="I57" s="60"/>
      <c r="J57" s="81" t="str">
        <f aca="false">IF($C57="","","—")</f>
        <v>—</v>
      </c>
      <c r="K57" s="91" t="n">
        <f aca="false">IF($C57="","",SUMIFS(OCORRÊNCIAS!$E$6:$E$605,OCORRÊNCIAS!$B$6:$B$605,"Falta",OCORRÊNCIAS!$C$6:$C$605,$G57,OCORRÊNCIAS!$H$6:$H$605,$B57,OCORRÊNCIAS!$J$6:$J$605,YEAR($C57+4-WEEKDAY($C57,2))))</f>
        <v>0</v>
      </c>
      <c r="L57" s="91" t="n">
        <f aca="false">IF($C57="","",SUMIFS(OCORRÊNCIAS!$E$6:$E$605,OCORRÊNCIAS!$B$6:$B$605,"Atestado",OCORRÊNCIAS!$C$6:$C$605,$G57,OCORRÊNCIAS!$H$6:$H$605,$B57,OCORRÊNCIAS!$J$6:$J$605,YEAR($C57+4-WEEKDAY($C57,2))))</f>
        <v>0</v>
      </c>
      <c r="M57" s="84"/>
      <c r="N57" s="84"/>
      <c r="O57" s="84"/>
      <c r="P57" s="90"/>
      <c r="Q57" s="86"/>
      <c r="R57" s="87"/>
      <c r="S57" s="60" t="str">
        <f aca="true">IF($C57="","",IF($Q57="Cancelada","Cancelada",IF($Q57="Reprovado","Reprovada",IF($Q57="Aprovado","Aprovada",IF($M57&lt;&gt;"","Entregue",IF(TODAY()&gt;$C57,"Atrasada","Pendente"))))))</f>
        <v>Atrasada</v>
      </c>
      <c r="T57" s="88"/>
      <c r="U57" s="88"/>
      <c r="V57" s="88"/>
    </row>
    <row r="58" customFormat="false" ht="22.35" hidden="false" customHeight="false" outlineLevel="0" collapsed="false">
      <c r="A58" s="80" t="str">
        <f aca="false">IF($C58="","",$X$2&amp;"-S"&amp;INT(($C58-WEEKDAY($C58,2)+11-DATE(YEAR($C58+4-WEEKDAY($C58,2)),1,1))/7)&amp;"-RSC-C")</f>
        <v>JAN-S5-RSC-C</v>
      </c>
      <c r="B58" s="81" t="str">
        <f aca="false">IF($C58="","","S"&amp;INT(($C58-WEEKDAY($C58,2)+11-DATE(YEAR($C58+4-WEEKDAY($C58,2)),1,1))/7))</f>
        <v>S5</v>
      </c>
      <c r="C58" s="82" t="n">
        <f aca="false">IF(MONTH(($X$1-WEEKDAY($X$1,3)+28)+3)=MONTH($X$1),($X$1-WEEKDAY($X$1,3)+28)+3,"")</f>
        <v>46051</v>
      </c>
      <c r="D58" s="9" t="str">
        <f aca="false">IF($C58="","","Relatório Semanal Consolidado (erros + metas + faltas + supervisores)")</f>
        <v>Relatório Semanal Consolidado (erros + metas + faltas + supervisores)</v>
      </c>
      <c r="E58" s="9"/>
      <c r="F58" s="9"/>
      <c r="G58" s="81" t="str">
        <f aca="false">IF($C58="","","C")</f>
        <v>C</v>
      </c>
      <c r="H58" s="81" t="str">
        <f aca="false">IF($C58="","",IF($G58="A",CONFIG!$B$5,IF($G58="B",CONFIG!$B$6,IF($G58="C",CONFIG!$B$7,"Gerência + coordenadores"))))</f>
        <v>(preencha o nome)</v>
      </c>
      <c r="I58" s="81"/>
      <c r="J58" s="81" t="str">
        <f aca="false">IF($C58="","","—")</f>
        <v>—</v>
      </c>
      <c r="K58" s="91" t="n">
        <f aca="false">IF($C58="","",SUMIFS(OCORRÊNCIAS!$E$6:$E$605,OCORRÊNCIAS!$B$6:$B$605,"Falta",OCORRÊNCIAS!$C$6:$C$605,$G58,OCORRÊNCIAS!$H$6:$H$605,$B58,OCORRÊNCIAS!$J$6:$J$605,YEAR($C58+4-WEEKDAY($C58,2))))</f>
        <v>0</v>
      </c>
      <c r="L58" s="91" t="n">
        <f aca="false">IF($C58="","",SUMIFS(OCORRÊNCIAS!$E$6:$E$605,OCORRÊNCIAS!$B$6:$B$605,"Atestado",OCORRÊNCIAS!$C$6:$C$605,$G58,OCORRÊNCIAS!$H$6:$H$605,$B58,OCORRÊNCIAS!$J$6:$J$605,YEAR($C58+4-WEEKDAY($C58,2))))</f>
        <v>0</v>
      </c>
      <c r="M58" s="84"/>
      <c r="N58" s="84"/>
      <c r="O58" s="84"/>
      <c r="P58" s="85"/>
      <c r="Q58" s="86"/>
      <c r="R58" s="87"/>
      <c r="S58" s="81" t="str">
        <f aca="true">IF($C58="","",IF($Q58="Cancelada","Cancelada",IF($Q58="Reprovado","Reprovada",IF($Q58="Aprovado","Aprovada",IF($M58&lt;&gt;"","Entregue",IF(TODAY()&gt;$C58,"Atrasada","Pendente"))))))</f>
        <v>Atrasada</v>
      </c>
      <c r="T58" s="88"/>
      <c r="U58" s="88"/>
      <c r="V58" s="88"/>
    </row>
    <row r="59" customFormat="false" ht="22.35" hidden="false" customHeight="false" outlineLevel="0" collapsed="false">
      <c r="A59" s="89" t="str">
        <f aca="false">IF($C59="","",$X$2&amp;"-S"&amp;INT(($C59-WEEKDAY($C59,2)+11-DATE(YEAR($C59+4-WEEKDAY($C59,2)),1,1))/7)&amp;"-REU-T")</f>
        <v>JAN-S5-REU-T</v>
      </c>
      <c r="B59" s="60" t="str">
        <f aca="false">IF($C59="","","S"&amp;INT(($C59-WEEKDAY($C59,2)+11-DATE(YEAR($C59+4-WEEKDAY($C59,2)),1,1))/7))</f>
        <v>S5</v>
      </c>
      <c r="C59" s="82" t="n">
        <f aca="false">IF(MONTH(($X$1-WEEKDAY($X$1,3)+28)+4)=MONTH($X$1),($X$1-WEEKDAY($X$1,3)+28)+4,"")</f>
        <v>46052</v>
      </c>
      <c r="D59" s="56" t="str">
        <f aca="false">IF($C59="","","Reunião Semanal com a Gerência")</f>
        <v>Reunião Semanal com a Gerência</v>
      </c>
      <c r="E59" s="56"/>
      <c r="F59" s="56"/>
      <c r="G59" s="60" t="str">
        <f aca="false">IF($C59="","","Todos")</f>
        <v>Todos</v>
      </c>
      <c r="H59" s="60" t="str">
        <f aca="false">IF($C59="","",IF($G59="A",CONFIG!$B$5,IF($G59="B",CONFIG!$B$6,IF($G59="C",CONFIG!$B$7,"Gerência + coordenadores"))))</f>
        <v>Gerência + coordenadores</v>
      </c>
      <c r="I59" s="60"/>
      <c r="J59" s="81" t="str">
        <f aca="false">IF($C59="","","—")</f>
        <v>—</v>
      </c>
      <c r="K59" s="83" t="str">
        <f aca="false">IF($C59="","","—")</f>
        <v>—</v>
      </c>
      <c r="L59" s="83" t="str">
        <f aca="false">IF($C59="","","—")</f>
        <v>—</v>
      </c>
      <c r="M59" s="84"/>
      <c r="N59" s="84"/>
      <c r="O59" s="84"/>
      <c r="P59" s="90"/>
      <c r="Q59" s="86"/>
      <c r="R59" s="87"/>
      <c r="S59" s="60" t="str">
        <f aca="true">IF($C59="","",IF($Q59="Cancelada","Cancelada",IF($Q59="Reprovado","Reprovada",IF($Q59="Aprovado","Aprovada",IF($M59&lt;&gt;"","Entregue",IF(TODAY()&gt;$C59,"Atrasada","Pendente"))))))</f>
        <v>Atrasada</v>
      </c>
      <c r="T59" s="88"/>
      <c r="U59" s="88"/>
      <c r="V59" s="88"/>
    </row>
    <row r="60" customFormat="false" ht="15" hidden="false" customHeight="false" outlineLevel="0" collapsed="false">
      <c r="A60" s="80" t="str">
        <f aca="false">IF($C60="","",$X$2&amp;"-S"&amp;INT(($C60-WEEKDAY($C60,2)+11-DATE(YEAR($C60+4-WEEKDAY($C60,2)),1,1))/7)&amp;"-VIS-A")</f>
        <v/>
      </c>
      <c r="B60" s="81" t="str">
        <f aca="false">IF($C60="","","S"&amp;INT(($C60-WEEKDAY($C60,2)+11-DATE(YEAR($C60+4-WEEKDAY($C60,2)),1,1))/7))</f>
        <v/>
      </c>
      <c r="C60" s="82" t="str">
        <f aca="false">IF(MONTH(($X$1-WEEKDAY($X$1,3)+35)+2)=MONTH($X$1),($X$1-WEEKDAY($X$1,3)+35)+2,"")</f>
        <v/>
      </c>
      <c r="D60" s="9" t="str">
        <f aca="false">IF($C60="","","Vistoria Setorial (checklist no setor definido pelo gerente)")</f>
        <v/>
      </c>
      <c r="E60" s="9"/>
      <c r="F60" s="9"/>
      <c r="G60" s="81" t="str">
        <f aca="false">IF($C60="","","A")</f>
        <v/>
      </c>
      <c r="H60" s="81" t="str">
        <f aca="false">IF($C60="","",IF($G60="A",CONFIG!$B$5,IF($G60="B",CONFIG!$B$6,IF($G60="C",CONFIG!$B$7,"Gerência + coordenadores"))))</f>
        <v/>
      </c>
      <c r="I60" s="81"/>
      <c r="J60" s="86"/>
      <c r="K60" s="83" t="str">
        <f aca="false">IF($C60="","","—")</f>
        <v/>
      </c>
      <c r="L60" s="83" t="str">
        <f aca="false">IF($C60="","","—")</f>
        <v/>
      </c>
      <c r="M60" s="84"/>
      <c r="N60" s="84"/>
      <c r="O60" s="84"/>
      <c r="P60" s="85"/>
      <c r="Q60" s="86"/>
      <c r="R60" s="87"/>
      <c r="S60" s="81" t="str">
        <f aca="true">IF($C60="","",IF($Q60="Cancelada","Cancelada",IF($Q60="Reprovado","Reprovada",IF($Q60="Aprovado","Aprovada",IF($M60&lt;&gt;"","Entregue",IF(TODAY()&gt;$C60,"Atrasada","Pendente"))))))</f>
        <v/>
      </c>
      <c r="T60" s="88"/>
      <c r="U60" s="88"/>
      <c r="V60" s="88"/>
    </row>
    <row r="61" customFormat="false" ht="15" hidden="false" customHeight="false" outlineLevel="0" collapsed="false">
      <c r="A61" s="89" t="str">
        <f aca="false">IF($C61="","",$X$2&amp;"-S"&amp;INT(($C61-WEEKDAY($C61,2)+11-DATE(YEAR($C61+4-WEEKDAY($C61,2)),1,1))/7)&amp;"-VIS-B")</f>
        <v/>
      </c>
      <c r="B61" s="60" t="str">
        <f aca="false">IF($C61="","","S"&amp;INT(($C61-WEEKDAY($C61,2)+11-DATE(YEAR($C61+4-WEEKDAY($C61,2)),1,1))/7))</f>
        <v/>
      </c>
      <c r="C61" s="82" t="str">
        <f aca="false">IF(MONTH(($X$1-WEEKDAY($X$1,3)+35)+2)=MONTH($X$1),($X$1-WEEKDAY($X$1,3)+35)+2,"")</f>
        <v/>
      </c>
      <c r="D61" s="56" t="str">
        <f aca="false">IF($C61="","","Vistoria Setorial (checklist no setor definido pelo gerente)")</f>
        <v/>
      </c>
      <c r="E61" s="56"/>
      <c r="F61" s="56"/>
      <c r="G61" s="60" t="str">
        <f aca="false">IF($C61="","","B")</f>
        <v/>
      </c>
      <c r="H61" s="60" t="str">
        <f aca="false">IF($C61="","",IF($G61="A",CONFIG!$B$5,IF($G61="B",CONFIG!$B$6,IF($G61="C",CONFIG!$B$7,"Gerência + coordenadores"))))</f>
        <v/>
      </c>
      <c r="I61" s="60"/>
      <c r="J61" s="86"/>
      <c r="K61" s="83" t="str">
        <f aca="false">IF($C61="","","—")</f>
        <v/>
      </c>
      <c r="L61" s="83" t="str">
        <f aca="false">IF($C61="","","—")</f>
        <v/>
      </c>
      <c r="M61" s="84"/>
      <c r="N61" s="84"/>
      <c r="O61" s="84"/>
      <c r="P61" s="90"/>
      <c r="Q61" s="86"/>
      <c r="R61" s="87"/>
      <c r="S61" s="60" t="str">
        <f aca="true">IF($C61="","",IF($Q61="Cancelada","Cancelada",IF($Q61="Reprovado","Reprovada",IF($Q61="Aprovado","Aprovada",IF($M61&lt;&gt;"","Entregue",IF(TODAY()&gt;$C61,"Atrasada","Pendente"))))))</f>
        <v/>
      </c>
      <c r="T61" s="88"/>
      <c r="U61" s="88"/>
      <c r="V61" s="88"/>
    </row>
    <row r="62" customFormat="false" ht="15" hidden="false" customHeight="false" outlineLevel="0" collapsed="false">
      <c r="A62" s="80" t="str">
        <f aca="false">IF($C62="","",$X$2&amp;"-S"&amp;INT(($C62-WEEKDAY($C62,2)+11-DATE(YEAR($C62+4-WEEKDAY($C62,2)),1,1))/7)&amp;"-VIS-C")</f>
        <v/>
      </c>
      <c r="B62" s="81" t="str">
        <f aca="false">IF($C62="","","S"&amp;INT(($C62-WEEKDAY($C62,2)+11-DATE(YEAR($C62+4-WEEKDAY($C62,2)),1,1))/7))</f>
        <v/>
      </c>
      <c r="C62" s="82" t="str">
        <f aca="false">IF(MONTH(($X$1-WEEKDAY($X$1,3)+35)+2)=MONTH($X$1),($X$1-WEEKDAY($X$1,3)+35)+2,"")</f>
        <v/>
      </c>
      <c r="D62" s="9" t="str">
        <f aca="false">IF($C62="","","Vistoria Setorial (checklist no setor definido pelo gerente)")</f>
        <v/>
      </c>
      <c r="E62" s="9"/>
      <c r="F62" s="9"/>
      <c r="G62" s="81" t="str">
        <f aca="false">IF($C62="","","C")</f>
        <v/>
      </c>
      <c r="H62" s="81" t="str">
        <f aca="false">IF($C62="","",IF($G62="A",CONFIG!$B$5,IF($G62="B",CONFIG!$B$6,IF($G62="C",CONFIG!$B$7,"Gerência + coordenadores"))))</f>
        <v/>
      </c>
      <c r="I62" s="81"/>
      <c r="J62" s="86"/>
      <c r="K62" s="83" t="str">
        <f aca="false">IF($C62="","","—")</f>
        <v/>
      </c>
      <c r="L62" s="83" t="str">
        <f aca="false">IF($C62="","","—")</f>
        <v/>
      </c>
      <c r="M62" s="84"/>
      <c r="N62" s="84"/>
      <c r="O62" s="84"/>
      <c r="P62" s="85"/>
      <c r="Q62" s="86"/>
      <c r="R62" s="87"/>
      <c r="S62" s="81" t="str">
        <f aca="true">IF($C62="","",IF($Q62="Cancelada","Cancelada",IF($Q62="Reprovado","Reprovada",IF($Q62="Aprovado","Aprovada",IF($M62&lt;&gt;"","Entregue",IF(TODAY()&gt;$C62,"Atrasada","Pendente"))))))</f>
        <v/>
      </c>
      <c r="T62" s="88"/>
      <c r="U62" s="88"/>
      <c r="V62" s="88"/>
    </row>
    <row r="63" customFormat="false" ht="15" hidden="false" customHeight="false" outlineLevel="0" collapsed="false">
      <c r="A63" s="89" t="str">
        <f aca="false">IF($C63="","",$X$2&amp;"-S"&amp;INT(($C63-WEEKDAY($C63,2)+11-DATE(YEAR($C63+4-WEEKDAY($C63,2)),1,1))/7)&amp;"-RSC-A")</f>
        <v/>
      </c>
      <c r="B63" s="60" t="str">
        <f aca="false">IF($C63="","","S"&amp;INT(($C63-WEEKDAY($C63,2)+11-DATE(YEAR($C63+4-WEEKDAY($C63,2)),1,1))/7))</f>
        <v/>
      </c>
      <c r="C63" s="82" t="str">
        <f aca="false">IF(MONTH(($X$1-WEEKDAY($X$1,3)+35)+3)=MONTH($X$1),($X$1-WEEKDAY($X$1,3)+35)+3,"")</f>
        <v/>
      </c>
      <c r="D63" s="56" t="str">
        <f aca="false">IF($C63="","","Relatório Semanal Consolidado (erros + metas + faltas + supervisores)")</f>
        <v/>
      </c>
      <c r="E63" s="56"/>
      <c r="F63" s="56"/>
      <c r="G63" s="60" t="str">
        <f aca="false">IF($C63="","","A")</f>
        <v/>
      </c>
      <c r="H63" s="60" t="str">
        <f aca="false">IF($C63="","",IF($G63="A",CONFIG!$B$5,IF($G63="B",CONFIG!$B$6,IF($G63="C",CONFIG!$B$7,"Gerência + coordenadores"))))</f>
        <v/>
      </c>
      <c r="I63" s="60"/>
      <c r="J63" s="81" t="str">
        <f aca="false">IF($C63="","","—")</f>
        <v/>
      </c>
      <c r="K63" s="91" t="str">
        <f aca="false">IF($C63="","",SUMIFS(OCORRÊNCIAS!$E$6:$E$605,OCORRÊNCIAS!$B$6:$B$605,"Falta",OCORRÊNCIAS!$C$6:$C$605,$G63,OCORRÊNCIAS!$H$6:$H$605,$B63,OCORRÊNCIAS!$J$6:$J$605,YEAR($C63+4-WEEKDAY($C63,2))))</f>
        <v/>
      </c>
      <c r="L63" s="91" t="str">
        <f aca="false">IF($C63="","",SUMIFS(OCORRÊNCIAS!$E$6:$E$605,OCORRÊNCIAS!$B$6:$B$605,"Atestado",OCORRÊNCIAS!$C$6:$C$605,$G63,OCORRÊNCIAS!$H$6:$H$605,$B63,OCORRÊNCIAS!$J$6:$J$605,YEAR($C63+4-WEEKDAY($C63,2))))</f>
        <v/>
      </c>
      <c r="M63" s="84"/>
      <c r="N63" s="84"/>
      <c r="O63" s="84"/>
      <c r="P63" s="90"/>
      <c r="Q63" s="86"/>
      <c r="R63" s="87"/>
      <c r="S63" s="60" t="str">
        <f aca="true">IF($C63="","",IF($Q63="Cancelada","Cancelada",IF($Q63="Reprovado","Reprovada",IF($Q63="Aprovado","Aprovada",IF($M63&lt;&gt;"","Entregue",IF(TODAY()&gt;$C63,"Atrasada","Pendente"))))))</f>
        <v/>
      </c>
      <c r="T63" s="88"/>
      <c r="U63" s="88"/>
      <c r="V63" s="88"/>
    </row>
    <row r="64" customFormat="false" ht="15" hidden="false" customHeight="false" outlineLevel="0" collapsed="false">
      <c r="A64" s="80" t="str">
        <f aca="false">IF($C64="","",$X$2&amp;"-S"&amp;INT(($C64-WEEKDAY($C64,2)+11-DATE(YEAR($C64+4-WEEKDAY($C64,2)),1,1))/7)&amp;"-RSC-B")</f>
        <v/>
      </c>
      <c r="B64" s="81" t="str">
        <f aca="false">IF($C64="","","S"&amp;INT(($C64-WEEKDAY($C64,2)+11-DATE(YEAR($C64+4-WEEKDAY($C64,2)),1,1))/7))</f>
        <v/>
      </c>
      <c r="C64" s="82" t="str">
        <f aca="false">IF(MONTH(($X$1-WEEKDAY($X$1,3)+35)+3)=MONTH($X$1),($X$1-WEEKDAY($X$1,3)+35)+3,"")</f>
        <v/>
      </c>
      <c r="D64" s="9" t="str">
        <f aca="false">IF($C64="","","Relatório Semanal Consolidado (erros + metas + faltas + supervisores)")</f>
        <v/>
      </c>
      <c r="E64" s="9"/>
      <c r="F64" s="9"/>
      <c r="G64" s="81" t="str">
        <f aca="false">IF($C64="","","B")</f>
        <v/>
      </c>
      <c r="H64" s="81" t="str">
        <f aca="false">IF($C64="","",IF($G64="A",CONFIG!$B$5,IF($G64="B",CONFIG!$B$6,IF($G64="C",CONFIG!$B$7,"Gerência + coordenadores"))))</f>
        <v/>
      </c>
      <c r="I64" s="81"/>
      <c r="J64" s="81" t="str">
        <f aca="false">IF($C64="","","—")</f>
        <v/>
      </c>
      <c r="K64" s="91" t="str">
        <f aca="false">IF($C64="","",SUMIFS(OCORRÊNCIAS!$E$6:$E$605,OCORRÊNCIAS!$B$6:$B$605,"Falta",OCORRÊNCIAS!$C$6:$C$605,$G64,OCORRÊNCIAS!$H$6:$H$605,$B64,OCORRÊNCIAS!$J$6:$J$605,YEAR($C64+4-WEEKDAY($C64,2))))</f>
        <v/>
      </c>
      <c r="L64" s="91" t="str">
        <f aca="false">IF($C64="","",SUMIFS(OCORRÊNCIAS!$E$6:$E$605,OCORRÊNCIAS!$B$6:$B$605,"Atestado",OCORRÊNCIAS!$C$6:$C$605,$G64,OCORRÊNCIAS!$H$6:$H$605,$B64,OCORRÊNCIAS!$J$6:$J$605,YEAR($C64+4-WEEKDAY($C64,2))))</f>
        <v/>
      </c>
      <c r="M64" s="84"/>
      <c r="N64" s="84"/>
      <c r="O64" s="84"/>
      <c r="P64" s="85"/>
      <c r="Q64" s="86"/>
      <c r="R64" s="87"/>
      <c r="S64" s="81" t="str">
        <f aca="true">IF($C64="","",IF($Q64="Cancelada","Cancelada",IF($Q64="Reprovado","Reprovada",IF($Q64="Aprovado","Aprovada",IF($M64&lt;&gt;"","Entregue",IF(TODAY()&gt;$C64,"Atrasada","Pendente"))))))</f>
        <v/>
      </c>
      <c r="T64" s="88"/>
      <c r="U64" s="88"/>
      <c r="V64" s="88"/>
    </row>
    <row r="65" customFormat="false" ht="15" hidden="false" customHeight="false" outlineLevel="0" collapsed="false">
      <c r="A65" s="89" t="str">
        <f aca="false">IF($C65="","",$X$2&amp;"-S"&amp;INT(($C65-WEEKDAY($C65,2)+11-DATE(YEAR($C65+4-WEEKDAY($C65,2)),1,1))/7)&amp;"-RSC-C")</f>
        <v/>
      </c>
      <c r="B65" s="60" t="str">
        <f aca="false">IF($C65="","","S"&amp;INT(($C65-WEEKDAY($C65,2)+11-DATE(YEAR($C65+4-WEEKDAY($C65,2)),1,1))/7))</f>
        <v/>
      </c>
      <c r="C65" s="82" t="str">
        <f aca="false">IF(MONTH(($X$1-WEEKDAY($X$1,3)+35)+3)=MONTH($X$1),($X$1-WEEKDAY($X$1,3)+35)+3,"")</f>
        <v/>
      </c>
      <c r="D65" s="56" t="str">
        <f aca="false">IF($C65="","","Relatório Semanal Consolidado (erros + metas + faltas + supervisores)")</f>
        <v/>
      </c>
      <c r="E65" s="56"/>
      <c r="F65" s="56"/>
      <c r="G65" s="60" t="str">
        <f aca="false">IF($C65="","","C")</f>
        <v/>
      </c>
      <c r="H65" s="60" t="str">
        <f aca="false">IF($C65="","",IF($G65="A",CONFIG!$B$5,IF($G65="B",CONFIG!$B$6,IF($G65="C",CONFIG!$B$7,"Gerência + coordenadores"))))</f>
        <v/>
      </c>
      <c r="I65" s="60"/>
      <c r="J65" s="81" t="str">
        <f aca="false">IF($C65="","","—")</f>
        <v/>
      </c>
      <c r="K65" s="91" t="str">
        <f aca="false">IF($C65="","",SUMIFS(OCORRÊNCIAS!$E$6:$E$605,OCORRÊNCIAS!$B$6:$B$605,"Falta",OCORRÊNCIAS!$C$6:$C$605,$G65,OCORRÊNCIAS!$H$6:$H$605,$B65,OCORRÊNCIAS!$J$6:$J$605,YEAR($C65+4-WEEKDAY($C65,2))))</f>
        <v/>
      </c>
      <c r="L65" s="91" t="str">
        <f aca="false">IF($C65="","",SUMIFS(OCORRÊNCIAS!$E$6:$E$605,OCORRÊNCIAS!$B$6:$B$605,"Atestado",OCORRÊNCIAS!$C$6:$C$605,$G65,OCORRÊNCIAS!$H$6:$H$605,$B65,OCORRÊNCIAS!$J$6:$J$605,YEAR($C65+4-WEEKDAY($C65,2))))</f>
        <v/>
      </c>
      <c r="M65" s="84"/>
      <c r="N65" s="84"/>
      <c r="O65" s="84"/>
      <c r="P65" s="90"/>
      <c r="Q65" s="86"/>
      <c r="R65" s="87"/>
      <c r="S65" s="60" t="str">
        <f aca="true">IF($C65="","",IF($Q65="Cancelada","Cancelada",IF($Q65="Reprovado","Reprovada",IF($Q65="Aprovado","Aprovada",IF($M65&lt;&gt;"","Entregue",IF(TODAY()&gt;$C65,"Atrasada","Pendente"))))))</f>
        <v/>
      </c>
      <c r="T65" s="88"/>
      <c r="U65" s="88"/>
      <c r="V65" s="88"/>
    </row>
    <row r="66" customFormat="false" ht="15" hidden="false" customHeight="false" outlineLevel="0" collapsed="false">
      <c r="A66" s="80" t="str">
        <f aca="false">IF($C66="","",$X$2&amp;"-S"&amp;INT(($C66-WEEKDAY($C66,2)+11-DATE(YEAR($C66+4-WEEKDAY($C66,2)),1,1))/7)&amp;"-REU-T")</f>
        <v/>
      </c>
      <c r="B66" s="81" t="str">
        <f aca="false">IF($C66="","","S"&amp;INT(($C66-WEEKDAY($C66,2)+11-DATE(YEAR($C66+4-WEEKDAY($C66,2)),1,1))/7))</f>
        <v/>
      </c>
      <c r="C66" s="82" t="str">
        <f aca="false">IF(MONTH(($X$1-WEEKDAY($X$1,3)+35)+4)=MONTH($X$1),($X$1-WEEKDAY($X$1,3)+35)+4,"")</f>
        <v/>
      </c>
      <c r="D66" s="9" t="str">
        <f aca="false">IF($C66="","","Reunião Semanal com a Gerência")</f>
        <v/>
      </c>
      <c r="E66" s="9"/>
      <c r="F66" s="9"/>
      <c r="G66" s="81" t="str">
        <f aca="false">IF($C66="","","Todos")</f>
        <v/>
      </c>
      <c r="H66" s="81" t="str">
        <f aca="false">IF($C66="","",IF($G66="A",CONFIG!$B$5,IF($G66="B",CONFIG!$B$6,IF($G66="C",CONFIG!$B$7,"Gerência + coordenadores"))))</f>
        <v/>
      </c>
      <c r="I66" s="81"/>
      <c r="J66" s="81" t="str">
        <f aca="false">IF($C66="","","—")</f>
        <v/>
      </c>
      <c r="K66" s="83" t="str">
        <f aca="false">IF($C66="","","—")</f>
        <v/>
      </c>
      <c r="L66" s="83" t="str">
        <f aca="false">IF($C66="","","—")</f>
        <v/>
      </c>
      <c r="M66" s="84"/>
      <c r="N66" s="84"/>
      <c r="O66" s="84"/>
      <c r="P66" s="85"/>
      <c r="Q66" s="86"/>
      <c r="R66" s="87"/>
      <c r="S66" s="81" t="str">
        <f aca="true">IF($C66="","",IF($Q66="Cancelada","Cancelada",IF($Q66="Reprovado","Reprovada",IF($Q66="Aprovado","Aprovada",IF($M66&lt;&gt;"","Entregue",IF(TODAY()&gt;$C66,"Atrasada","Pendente"))))))</f>
        <v/>
      </c>
      <c r="T66" s="88"/>
      <c r="U66" s="88"/>
      <c r="V66" s="88"/>
    </row>
    <row r="67" customFormat="false" ht="22.35" hidden="false" customHeight="false" outlineLevel="0" collapsed="false">
      <c r="A67" s="89" t="str">
        <f aca="false">IF($C67="","",$X$2&amp;"-S"&amp;INT(($C67-WEEKDAY($C67,2)+11-DATE(YEAR($C67+4-WEEKDAY($C67,2)),1,1))/7)&amp;"-MDF-T")</f>
        <v>JAN-S5-MDF-T</v>
      </c>
      <c r="B67" s="60" t="str">
        <f aca="false">IF($C67="","","S"&amp;INT(($C67-WEEKDAY($C67,2)+11-DATE(YEAR($C67+4-WEEKDAY($C67,2)),1,1))/7))</f>
        <v>S5</v>
      </c>
      <c r="C67" s="82" t="n">
        <f aca="false">EOMONTH($X$1,0)-MOD(WEEKDAY(EOMONTH($X$1,0),2)-5,7)</f>
        <v>46052</v>
      </c>
      <c r="D67" s="56" t="str">
        <f aca="false">IF($C67="","","Mudança de Função — reunião mensal")</f>
        <v>Mudança de Função — reunião mensal</v>
      </c>
      <c r="E67" s="56"/>
      <c r="F67" s="56"/>
      <c r="G67" s="60" t="str">
        <f aca="false">IF($C67="","","Todos")</f>
        <v>Todos</v>
      </c>
      <c r="H67" s="60" t="str">
        <f aca="false">IF($C67="","",IF($G67="A",CONFIG!$B$5,IF($G67="B",CONFIG!$B$6,IF($G67="C",CONFIG!$B$7,"Gerência + coordenadores"))))</f>
        <v>Gerência + coordenadores</v>
      </c>
      <c r="I67" s="60"/>
      <c r="J67" s="81" t="str">
        <f aca="false">IF($C67="","","—")</f>
        <v>—</v>
      </c>
      <c r="K67" s="83" t="str">
        <f aca="false">IF($C67="","","—")</f>
        <v>—</v>
      </c>
      <c r="L67" s="83" t="str">
        <f aca="false">IF($C67="","","—")</f>
        <v>—</v>
      </c>
      <c r="M67" s="84"/>
      <c r="N67" s="84"/>
      <c r="O67" s="84"/>
      <c r="P67" s="90"/>
      <c r="Q67" s="86"/>
      <c r="R67" s="87"/>
      <c r="S67" s="60" t="str">
        <f aca="true">IF($C67="","",IF($Q67="Cancelada","Cancelada",IF($Q67="Reprovado","Reprovada",IF($Q67="Aprovado","Aprovada",IF($M67&lt;&gt;"","Entregue",IF(TODAY()&gt;$C67,"Atrasada","Pendente"))))))</f>
        <v>Atrasada</v>
      </c>
      <c r="T67" s="88"/>
      <c r="U67" s="88"/>
      <c r="V67" s="88"/>
    </row>
    <row r="69" customFormat="false" ht="15" hidden="false" customHeight="true" outlineLevel="0" collapsed="false">
      <c r="A69" s="92" t="s">
        <v>229</v>
      </c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customFormat="false" ht="22.35" hidden="false" customHeight="true" outlineLevel="0" collapsed="false">
      <c r="A70" s="80" t="str">
        <f aca="false">$X$2&amp;"-TRE-1"</f>
        <v>JAN-TRE-1</v>
      </c>
      <c r="B70" s="31" t="str">
        <f aca="false">IF($C70="","","S"&amp;INT(($C70-WEEKDAY($C70,2)+11-DATE(YEAR($C70+4-WEEKDAY($C70,2)),1,1))/7))</f>
        <v/>
      </c>
      <c r="C70" s="82"/>
      <c r="D70" s="87" t="s">
        <v>230</v>
      </c>
      <c r="E70" s="87"/>
      <c r="F70" s="87"/>
      <c r="G70" s="31" t="s">
        <v>231</v>
      </c>
      <c r="H70" s="81" t="s">
        <v>232</v>
      </c>
      <c r="I70" s="81"/>
      <c r="J70" s="31" t="s">
        <v>233</v>
      </c>
      <c r="K70" s="83" t="s">
        <v>233</v>
      </c>
      <c r="L70" s="83" t="s">
        <v>233</v>
      </c>
      <c r="M70" s="84"/>
      <c r="N70" s="84"/>
      <c r="O70" s="84"/>
      <c r="P70" s="85"/>
      <c r="Q70" s="86"/>
      <c r="R70" s="87"/>
      <c r="S70" s="81" t="str">
        <f aca="true">IF($C70="","Não agendado",IF($Q70="Cancelada","Cancelada",IF($Q70="Reprovado","Reprovada",IF($Q70="Aprovado","Aprovada",IF($M70&lt;&gt;"","Entregue",IF(TODAY()&gt;$C70,"Atrasada","Pendente"))))))</f>
        <v>Não agendado</v>
      </c>
      <c r="T70" s="88"/>
      <c r="U70" s="88"/>
      <c r="V70" s="88"/>
    </row>
    <row r="71" customFormat="false" ht="22.35" hidden="false" customHeight="true" outlineLevel="0" collapsed="false">
      <c r="A71" s="80" t="str">
        <f aca="false">$X$2&amp;"-TRE-2"</f>
        <v>JAN-TRE-2</v>
      </c>
      <c r="B71" s="31" t="str">
        <f aca="false">IF($C71="","","S"&amp;INT(($C71-WEEKDAY($C71,2)+11-DATE(YEAR($C71+4-WEEKDAY($C71,2)),1,1))/7))</f>
        <v/>
      </c>
      <c r="C71" s="82"/>
      <c r="D71" s="87" t="s">
        <v>230</v>
      </c>
      <c r="E71" s="87"/>
      <c r="F71" s="87"/>
      <c r="G71" s="31" t="s">
        <v>231</v>
      </c>
      <c r="H71" s="81" t="s">
        <v>232</v>
      </c>
      <c r="I71" s="81"/>
      <c r="J71" s="31" t="s">
        <v>233</v>
      </c>
      <c r="K71" s="83" t="s">
        <v>233</v>
      </c>
      <c r="L71" s="83" t="s">
        <v>233</v>
      </c>
      <c r="M71" s="84"/>
      <c r="N71" s="84"/>
      <c r="O71" s="84"/>
      <c r="P71" s="85"/>
      <c r="Q71" s="86"/>
      <c r="R71" s="87"/>
      <c r="S71" s="81" t="str">
        <f aca="true">IF($C71="","Não agendado",IF($Q71="Cancelada","Cancelada",IF($Q71="Reprovado","Reprovada",IF($Q71="Aprovado","Aprovada",IF($M71&lt;&gt;"","Entregue",IF(TODAY()&gt;$C71,"Atrasada","Pendente"))))))</f>
        <v>Não agendado</v>
      </c>
      <c r="T71" s="88"/>
      <c r="U71" s="88"/>
      <c r="V71" s="88"/>
    </row>
    <row r="72" customFormat="false" ht="22.35" hidden="false" customHeight="true" outlineLevel="0" collapsed="false">
      <c r="A72" s="80" t="str">
        <f aca="false">$X$2&amp;"-TRE-3"</f>
        <v>JAN-TRE-3</v>
      </c>
      <c r="B72" s="31" t="str">
        <f aca="false">IF($C72="","","S"&amp;INT(($C72-WEEKDAY($C72,2)+11-DATE(YEAR($C72+4-WEEKDAY($C72,2)),1,1))/7))</f>
        <v/>
      </c>
      <c r="C72" s="82"/>
      <c r="D72" s="87" t="s">
        <v>230</v>
      </c>
      <c r="E72" s="87"/>
      <c r="F72" s="87"/>
      <c r="G72" s="31" t="s">
        <v>231</v>
      </c>
      <c r="H72" s="81" t="s">
        <v>232</v>
      </c>
      <c r="I72" s="81"/>
      <c r="J72" s="31" t="s">
        <v>233</v>
      </c>
      <c r="K72" s="83" t="s">
        <v>233</v>
      </c>
      <c r="L72" s="83" t="s">
        <v>233</v>
      </c>
      <c r="M72" s="84"/>
      <c r="N72" s="84"/>
      <c r="O72" s="84"/>
      <c r="P72" s="85"/>
      <c r="Q72" s="86"/>
      <c r="R72" s="87"/>
      <c r="S72" s="81" t="str">
        <f aca="true">IF($C72="","Não agendado",IF($Q72="Cancelada","Cancelada",IF($Q72="Reprovado","Reprovada",IF($Q72="Aprovado","Aprovada",IF($M72&lt;&gt;"","Entregue",IF(TODAY()&gt;$C72,"Atrasada","Pendente"))))))</f>
        <v>Não agendado</v>
      </c>
      <c r="T72" s="88"/>
      <c r="U72" s="88"/>
      <c r="V72" s="88"/>
    </row>
    <row r="73" customFormat="false" ht="22.35" hidden="false" customHeight="true" outlineLevel="0" collapsed="false">
      <c r="A73" s="80" t="str">
        <f aca="false">$X$2&amp;"-TRE-4"</f>
        <v>JAN-TRE-4</v>
      </c>
      <c r="B73" s="31" t="str">
        <f aca="false">IF($C73="","","S"&amp;INT(($C73-WEEKDAY($C73,2)+11-DATE(YEAR($C73+4-WEEKDAY($C73,2)),1,1))/7))</f>
        <v/>
      </c>
      <c r="C73" s="82"/>
      <c r="D73" s="87" t="s">
        <v>230</v>
      </c>
      <c r="E73" s="87"/>
      <c r="F73" s="87"/>
      <c r="G73" s="31" t="s">
        <v>231</v>
      </c>
      <c r="H73" s="81" t="s">
        <v>232</v>
      </c>
      <c r="I73" s="81"/>
      <c r="J73" s="31" t="s">
        <v>233</v>
      </c>
      <c r="K73" s="83" t="s">
        <v>233</v>
      </c>
      <c r="L73" s="83" t="s">
        <v>233</v>
      </c>
      <c r="M73" s="84"/>
      <c r="N73" s="84"/>
      <c r="O73" s="84"/>
      <c r="P73" s="85"/>
      <c r="Q73" s="86"/>
      <c r="R73" s="87"/>
      <c r="S73" s="81" t="str">
        <f aca="true">IF($C73="","Não agendado",IF($Q73="Cancelada","Cancelada",IF($Q73="Reprovado","Reprovada",IF($Q73="Aprovado","Aprovada",IF($M73&lt;&gt;"","Entregue",IF(TODAY()&gt;$C73,"Atrasada","Pendente"))))))</f>
        <v>Não agendado</v>
      </c>
      <c r="T73" s="88"/>
      <c r="U73" s="88"/>
      <c r="V73" s="88"/>
    </row>
    <row r="74" customFormat="false" ht="22.35" hidden="false" customHeight="true" outlineLevel="0" collapsed="false">
      <c r="A74" s="80" t="str">
        <f aca="false">$X$2&amp;"-TRE-5"</f>
        <v>JAN-TRE-5</v>
      </c>
      <c r="B74" s="31" t="str">
        <f aca="false">IF($C74="","","S"&amp;INT(($C74-WEEKDAY($C74,2)+11-DATE(YEAR($C74+4-WEEKDAY($C74,2)),1,1))/7))</f>
        <v/>
      </c>
      <c r="C74" s="82"/>
      <c r="D74" s="87" t="s">
        <v>230</v>
      </c>
      <c r="E74" s="87"/>
      <c r="F74" s="87"/>
      <c r="G74" s="31" t="s">
        <v>231</v>
      </c>
      <c r="H74" s="81" t="s">
        <v>232</v>
      </c>
      <c r="I74" s="81"/>
      <c r="J74" s="31" t="s">
        <v>233</v>
      </c>
      <c r="K74" s="83" t="s">
        <v>233</v>
      </c>
      <c r="L74" s="83" t="s">
        <v>233</v>
      </c>
      <c r="M74" s="84"/>
      <c r="N74" s="84"/>
      <c r="O74" s="84"/>
      <c r="P74" s="85"/>
      <c r="Q74" s="86"/>
      <c r="R74" s="87"/>
      <c r="S74" s="81" t="str">
        <f aca="true">IF($C74="","Não agendado",IF($Q74="Cancelada","Cancelada",IF($Q74="Reprovado","Reprovada",IF($Q74="Aprovado","Aprovada",IF($M74&lt;&gt;"","Entregue",IF(TODAY()&gt;$C74,"Atrasada","Pendente"))))))</f>
        <v>Não agendado</v>
      </c>
      <c r="T74" s="88"/>
      <c r="U74" s="88"/>
      <c r="V74" s="88"/>
    </row>
    <row r="75" customFormat="false" ht="22.35" hidden="false" customHeight="true" outlineLevel="0" collapsed="false">
      <c r="A75" s="80" t="str">
        <f aca="false">$X$2&amp;"-TRE-6"</f>
        <v>JAN-TRE-6</v>
      </c>
      <c r="B75" s="31" t="str">
        <f aca="false">IF($C75="","","S"&amp;INT(($C75-WEEKDAY($C75,2)+11-DATE(YEAR($C75+4-WEEKDAY($C75,2)),1,1))/7))</f>
        <v/>
      </c>
      <c r="C75" s="82"/>
      <c r="D75" s="87" t="s">
        <v>230</v>
      </c>
      <c r="E75" s="87"/>
      <c r="F75" s="87"/>
      <c r="G75" s="31" t="s">
        <v>231</v>
      </c>
      <c r="H75" s="81" t="s">
        <v>232</v>
      </c>
      <c r="I75" s="81"/>
      <c r="J75" s="31" t="s">
        <v>233</v>
      </c>
      <c r="K75" s="83" t="s">
        <v>233</v>
      </c>
      <c r="L75" s="83" t="s">
        <v>233</v>
      </c>
      <c r="M75" s="84"/>
      <c r="N75" s="84"/>
      <c r="O75" s="84"/>
      <c r="P75" s="85"/>
      <c r="Q75" s="86"/>
      <c r="R75" s="87"/>
      <c r="S75" s="81" t="str">
        <f aca="true">IF($C75="","Não agendado",IF($Q75="Cancelada","Cancelada",IF($Q75="Reprovado","Reprovada",IF($Q75="Aprovado","Aprovada",IF($M75&lt;&gt;"","Entregue",IF(TODAY()&gt;$C75,"Atrasada","Pendente"))))))</f>
        <v>Não agendado</v>
      </c>
      <c r="T75" s="88"/>
      <c r="U75" s="88"/>
      <c r="V75" s="88"/>
    </row>
    <row r="77" customFormat="false" ht="15" hidden="false" customHeight="true" outlineLevel="0" collapsed="false">
      <c r="A77" s="46" t="s">
        <v>234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</row>
  </sheetData>
  <mergeCells count="256">
    <mergeCell ref="A1:V1"/>
    <mergeCell ref="A3:O3"/>
    <mergeCell ref="B5:C5"/>
    <mergeCell ref="D5:E5"/>
    <mergeCell ref="F5:G5"/>
    <mergeCell ref="H5:I5"/>
    <mergeCell ref="J5:K5"/>
    <mergeCell ref="L5:M5"/>
    <mergeCell ref="N5:O5"/>
    <mergeCell ref="B6:C6"/>
    <mergeCell ref="D6:E6"/>
    <mergeCell ref="F6:G6"/>
    <mergeCell ref="H6:I6"/>
    <mergeCell ref="J6:K6"/>
    <mergeCell ref="L6:M6"/>
    <mergeCell ref="N6:O6"/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O18"/>
    <mergeCell ref="A20:V20"/>
    <mergeCell ref="D21:F21"/>
    <mergeCell ref="H21:I21"/>
    <mergeCell ref="M21:O21"/>
    <mergeCell ref="D22:F22"/>
    <mergeCell ref="H22:I22"/>
    <mergeCell ref="M22:O22"/>
    <mergeCell ref="D23:F23"/>
    <mergeCell ref="H23:I23"/>
    <mergeCell ref="M23:O23"/>
    <mergeCell ref="D24:F24"/>
    <mergeCell ref="H24:I24"/>
    <mergeCell ref="M24:O24"/>
    <mergeCell ref="D25:F25"/>
    <mergeCell ref="H25:I25"/>
    <mergeCell ref="M25:O25"/>
    <mergeCell ref="D26:F26"/>
    <mergeCell ref="H26:I26"/>
    <mergeCell ref="M26:O26"/>
    <mergeCell ref="D27:F27"/>
    <mergeCell ref="H27:I27"/>
    <mergeCell ref="M27:O27"/>
    <mergeCell ref="D28:F28"/>
    <mergeCell ref="H28:I28"/>
    <mergeCell ref="M28:O28"/>
    <mergeCell ref="D29:F29"/>
    <mergeCell ref="H29:I29"/>
    <mergeCell ref="M29:O29"/>
    <mergeCell ref="D30:F30"/>
    <mergeCell ref="H30:I30"/>
    <mergeCell ref="M30:O30"/>
    <mergeCell ref="D31:F31"/>
    <mergeCell ref="H31:I31"/>
    <mergeCell ref="M31:O31"/>
    <mergeCell ref="D32:F32"/>
    <mergeCell ref="H32:I32"/>
    <mergeCell ref="M32:O32"/>
    <mergeCell ref="D33:F33"/>
    <mergeCell ref="H33:I33"/>
    <mergeCell ref="M33:O33"/>
    <mergeCell ref="D34:F34"/>
    <mergeCell ref="H34:I34"/>
    <mergeCell ref="M34:O34"/>
    <mergeCell ref="D35:F35"/>
    <mergeCell ref="H35:I35"/>
    <mergeCell ref="M35:O35"/>
    <mergeCell ref="D36:F36"/>
    <mergeCell ref="H36:I36"/>
    <mergeCell ref="M36:O36"/>
    <mergeCell ref="D37:F37"/>
    <mergeCell ref="H37:I37"/>
    <mergeCell ref="M37:O37"/>
    <mergeCell ref="D38:F38"/>
    <mergeCell ref="H38:I38"/>
    <mergeCell ref="M38:O38"/>
    <mergeCell ref="D39:F39"/>
    <mergeCell ref="H39:I39"/>
    <mergeCell ref="M39:O39"/>
    <mergeCell ref="D40:F40"/>
    <mergeCell ref="H40:I40"/>
    <mergeCell ref="M40:O40"/>
    <mergeCell ref="D41:F41"/>
    <mergeCell ref="H41:I41"/>
    <mergeCell ref="M41:O41"/>
    <mergeCell ref="D42:F42"/>
    <mergeCell ref="H42:I42"/>
    <mergeCell ref="M42:O42"/>
    <mergeCell ref="D43:F43"/>
    <mergeCell ref="H43:I43"/>
    <mergeCell ref="M43:O43"/>
    <mergeCell ref="D44:F44"/>
    <mergeCell ref="H44:I44"/>
    <mergeCell ref="M44:O44"/>
    <mergeCell ref="D45:F45"/>
    <mergeCell ref="H45:I45"/>
    <mergeCell ref="M45:O45"/>
    <mergeCell ref="D46:F46"/>
    <mergeCell ref="H46:I46"/>
    <mergeCell ref="M46:O46"/>
    <mergeCell ref="D47:F47"/>
    <mergeCell ref="H47:I47"/>
    <mergeCell ref="M47:O47"/>
    <mergeCell ref="D48:F48"/>
    <mergeCell ref="H48:I48"/>
    <mergeCell ref="M48:O48"/>
    <mergeCell ref="D49:F49"/>
    <mergeCell ref="H49:I49"/>
    <mergeCell ref="M49:O49"/>
    <mergeCell ref="D50:F50"/>
    <mergeCell ref="H50:I50"/>
    <mergeCell ref="M50:O50"/>
    <mergeCell ref="D51:F51"/>
    <mergeCell ref="H51:I51"/>
    <mergeCell ref="M51:O51"/>
    <mergeCell ref="D52:F52"/>
    <mergeCell ref="H52:I52"/>
    <mergeCell ref="M52:O52"/>
    <mergeCell ref="D53:F53"/>
    <mergeCell ref="H53:I53"/>
    <mergeCell ref="M53:O53"/>
    <mergeCell ref="D54:F54"/>
    <mergeCell ref="H54:I54"/>
    <mergeCell ref="M54:O54"/>
    <mergeCell ref="D55:F55"/>
    <mergeCell ref="H55:I55"/>
    <mergeCell ref="M55:O55"/>
    <mergeCell ref="D56:F56"/>
    <mergeCell ref="H56:I56"/>
    <mergeCell ref="M56:O56"/>
    <mergeCell ref="D57:F57"/>
    <mergeCell ref="H57:I57"/>
    <mergeCell ref="M57:O57"/>
    <mergeCell ref="D58:F58"/>
    <mergeCell ref="H58:I58"/>
    <mergeCell ref="M58:O58"/>
    <mergeCell ref="D59:F59"/>
    <mergeCell ref="H59:I59"/>
    <mergeCell ref="M59:O59"/>
    <mergeCell ref="D60:F60"/>
    <mergeCell ref="H60:I60"/>
    <mergeCell ref="M60:O60"/>
    <mergeCell ref="D61:F61"/>
    <mergeCell ref="H61:I61"/>
    <mergeCell ref="M61:O61"/>
    <mergeCell ref="D62:F62"/>
    <mergeCell ref="H62:I62"/>
    <mergeCell ref="M62:O62"/>
    <mergeCell ref="D63:F63"/>
    <mergeCell ref="H63:I63"/>
    <mergeCell ref="M63:O63"/>
    <mergeCell ref="D64:F64"/>
    <mergeCell ref="H64:I64"/>
    <mergeCell ref="M64:O64"/>
    <mergeCell ref="D65:F65"/>
    <mergeCell ref="H65:I65"/>
    <mergeCell ref="M65:O65"/>
    <mergeCell ref="D66:F66"/>
    <mergeCell ref="H66:I66"/>
    <mergeCell ref="M66:O66"/>
    <mergeCell ref="D67:F67"/>
    <mergeCell ref="H67:I67"/>
    <mergeCell ref="M67:O67"/>
    <mergeCell ref="A69:V69"/>
    <mergeCell ref="D70:F70"/>
    <mergeCell ref="H70:I70"/>
    <mergeCell ref="M70:O70"/>
    <mergeCell ref="D71:F71"/>
    <mergeCell ref="H71:I71"/>
    <mergeCell ref="M71:O71"/>
    <mergeCell ref="D72:F72"/>
    <mergeCell ref="H72:I72"/>
    <mergeCell ref="M72:O72"/>
    <mergeCell ref="D73:F73"/>
    <mergeCell ref="H73:I73"/>
    <mergeCell ref="M73:O73"/>
    <mergeCell ref="D74:F74"/>
    <mergeCell ref="H74:I74"/>
    <mergeCell ref="M74:O74"/>
    <mergeCell ref="D75:F75"/>
    <mergeCell ref="H75:I75"/>
    <mergeCell ref="M75:O75"/>
    <mergeCell ref="A77:V77"/>
  </mergeCells>
  <conditionalFormatting sqref="A3">
    <cfRule type="expression" priority="2" aboveAverage="0" equalAverage="0" bottom="0" percent="0" rank="0" text="" dxfId="11">
      <formula>LEFT($A$3,3)="MÊS"</formula>
    </cfRule>
  </conditionalFormatting>
  <conditionalFormatting sqref="B6:C7">
    <cfRule type="expression" priority="3" aboveAverage="0" equalAverage="0" bottom="0" percent="0" rank="0" text="" dxfId="12">
      <formula>AND(B6&lt;&gt;"",B6=TODAY())</formula>
    </cfRule>
    <cfRule type="expression" priority="4" aboveAverage="0" equalAverage="0" bottom="0" percent="0" rank="0" text="" dxfId="13">
      <formula>AND(B6&lt;&gt;"",COUNTIFS($C$22:$C$150,B6,$S$22:$S$150,"Atrasada")&gt;0)</formula>
    </cfRule>
    <cfRule type="expression" priority="5" aboveAverage="0" equalAverage="0" bottom="0" percent="0" rank="0" text="" dxfId="14">
      <formula>AND(B6&lt;&gt;"",COUNTIFS($C$22:$C$150,B6,$Q$22:$Q$150,"&lt;&gt;Cancelada")&gt;0)</formula>
    </cfRule>
  </conditionalFormatting>
  <conditionalFormatting sqref="D6:E7">
    <cfRule type="expression" priority="6" aboveAverage="0" equalAverage="0" bottom="0" percent="0" rank="0" text="" dxfId="12">
      <formula>AND(D6&lt;&gt;"",D6=TODAY())</formula>
    </cfRule>
    <cfRule type="expression" priority="7" aboveAverage="0" equalAverage="0" bottom="0" percent="0" rank="0" text="" dxfId="13">
      <formula>AND(D6&lt;&gt;"",COUNTIFS($C$22:$C$150,D6,$S$22:$S$150,"Atrasada")&gt;0)</formula>
    </cfRule>
    <cfRule type="expression" priority="8" aboveAverage="0" equalAverage="0" bottom="0" percent="0" rank="0" text="" dxfId="14">
      <formula>AND(D6&lt;&gt;"",COUNTIFS($C$22:$C$150,D6,$Q$22:$Q$150,"&lt;&gt;Cancelada")&gt;0)</formula>
    </cfRule>
  </conditionalFormatting>
  <conditionalFormatting sqref="F6:G7">
    <cfRule type="expression" priority="9" aboveAverage="0" equalAverage="0" bottom="0" percent="0" rank="0" text="" dxfId="12">
      <formula>AND(F6&lt;&gt;"",F6=TODAY())</formula>
    </cfRule>
    <cfRule type="expression" priority="10" aboveAverage="0" equalAverage="0" bottom="0" percent="0" rank="0" text="" dxfId="13">
      <formula>AND(F6&lt;&gt;"",COUNTIFS($C$22:$C$150,F6,$S$22:$S$150,"Atrasada")&gt;0)</formula>
    </cfRule>
    <cfRule type="expression" priority="11" aboveAverage="0" equalAverage="0" bottom="0" percent="0" rank="0" text="" dxfId="14">
      <formula>AND(F6&lt;&gt;"",COUNTIFS($C$22:$C$150,F6,$Q$22:$Q$150,"&lt;&gt;Cancelada")&gt;0)</formula>
    </cfRule>
  </conditionalFormatting>
  <conditionalFormatting sqref="H6:I7">
    <cfRule type="expression" priority="12" aboveAverage="0" equalAverage="0" bottom="0" percent="0" rank="0" text="" dxfId="12">
      <formula>AND(H6&lt;&gt;"",H6=TODAY())</formula>
    </cfRule>
    <cfRule type="expression" priority="13" aboveAverage="0" equalAverage="0" bottom="0" percent="0" rank="0" text="" dxfId="13">
      <formula>AND(H6&lt;&gt;"",COUNTIFS($C$22:$C$150,H6,$S$22:$S$150,"Atrasada")&gt;0)</formula>
    </cfRule>
    <cfRule type="expression" priority="14" aboveAverage="0" equalAverage="0" bottom="0" percent="0" rank="0" text="" dxfId="14">
      <formula>AND(H6&lt;&gt;"",COUNTIFS($C$22:$C$150,H6,$Q$22:$Q$150,"&lt;&gt;Cancelada")&gt;0)</formula>
    </cfRule>
  </conditionalFormatting>
  <conditionalFormatting sqref="J6:K7">
    <cfRule type="expression" priority="15" aboveAverage="0" equalAverage="0" bottom="0" percent="0" rank="0" text="" dxfId="12">
      <formula>AND(J6&lt;&gt;"",J6=TODAY())</formula>
    </cfRule>
    <cfRule type="expression" priority="16" aboveAverage="0" equalAverage="0" bottom="0" percent="0" rank="0" text="" dxfId="13">
      <formula>AND(J6&lt;&gt;"",COUNTIFS($C$22:$C$150,J6,$S$22:$S$150,"Atrasada")&gt;0)</formula>
    </cfRule>
    <cfRule type="expression" priority="17" aboveAverage="0" equalAverage="0" bottom="0" percent="0" rank="0" text="" dxfId="14">
      <formula>AND(J6&lt;&gt;"",COUNTIFS($C$22:$C$150,J6,$Q$22:$Q$150,"&lt;&gt;Cancelada")&gt;0)</formula>
    </cfRule>
  </conditionalFormatting>
  <conditionalFormatting sqref="L6:M7">
    <cfRule type="expression" priority="18" aboveAverage="0" equalAverage="0" bottom="0" percent="0" rank="0" text="" dxfId="12">
      <formula>AND(L6&lt;&gt;"",L6=TODAY())</formula>
    </cfRule>
    <cfRule type="expression" priority="19" aboveAverage="0" equalAverage="0" bottom="0" percent="0" rank="0" text="" dxfId="13">
      <formula>AND(L6&lt;&gt;"",COUNTIFS($C$22:$C$150,L6,$S$22:$S$150,"Atrasada")&gt;0)</formula>
    </cfRule>
    <cfRule type="expression" priority="20" aboveAverage="0" equalAverage="0" bottom="0" percent="0" rank="0" text="" dxfId="14">
      <formula>AND(L6&lt;&gt;"",COUNTIFS($C$22:$C$150,L6,$Q$22:$Q$150,"&lt;&gt;Cancelada")&gt;0)</formula>
    </cfRule>
  </conditionalFormatting>
  <conditionalFormatting sqref="N6:O7">
    <cfRule type="expression" priority="21" aboveAverage="0" equalAverage="0" bottom="0" percent="0" rank="0" text="" dxfId="12">
      <formula>AND(N6&lt;&gt;"",N6=TODAY())</formula>
    </cfRule>
    <cfRule type="expression" priority="22" aboveAverage="0" equalAverage="0" bottom="0" percent="0" rank="0" text="" dxfId="13">
      <formula>AND(N6&lt;&gt;"",COUNTIFS($C$22:$C$150,N6,$S$22:$S$150,"Atrasada")&gt;0)</formula>
    </cfRule>
    <cfRule type="expression" priority="23" aboveAverage="0" equalAverage="0" bottom="0" percent="0" rank="0" text="" dxfId="14">
      <formula>AND(N6&lt;&gt;"",COUNTIFS($C$22:$C$150,N6,$Q$22:$Q$150,"&lt;&gt;Cancelada")&gt;0)</formula>
    </cfRule>
  </conditionalFormatting>
  <conditionalFormatting sqref="B8:C9">
    <cfRule type="expression" priority="24" aboveAverage="0" equalAverage="0" bottom="0" percent="0" rank="0" text="" dxfId="12">
      <formula>AND(B8&lt;&gt;"",B8=TODAY())</formula>
    </cfRule>
    <cfRule type="expression" priority="25" aboveAverage="0" equalAverage="0" bottom="0" percent="0" rank="0" text="" dxfId="13">
      <formula>AND(B8&lt;&gt;"",COUNTIFS($C$22:$C$150,B8,$S$22:$S$150,"Atrasada")&gt;0)</formula>
    </cfRule>
    <cfRule type="expression" priority="26" aboveAverage="0" equalAverage="0" bottom="0" percent="0" rank="0" text="" dxfId="14">
      <formula>AND(B8&lt;&gt;"",COUNTIFS($C$22:$C$150,B8,$Q$22:$Q$150,"&lt;&gt;Cancelada")&gt;0)</formula>
    </cfRule>
  </conditionalFormatting>
  <conditionalFormatting sqref="D8:E9">
    <cfRule type="expression" priority="27" aboveAverage="0" equalAverage="0" bottom="0" percent="0" rank="0" text="" dxfId="12">
      <formula>AND(D8&lt;&gt;"",D8=TODAY())</formula>
    </cfRule>
    <cfRule type="expression" priority="28" aboveAverage="0" equalAverage="0" bottom="0" percent="0" rank="0" text="" dxfId="13">
      <formula>AND(D8&lt;&gt;"",COUNTIFS($C$22:$C$150,D8,$S$22:$S$150,"Atrasada")&gt;0)</formula>
    </cfRule>
    <cfRule type="expression" priority="29" aboveAverage="0" equalAverage="0" bottom="0" percent="0" rank="0" text="" dxfId="14">
      <formula>AND(D8&lt;&gt;"",COUNTIFS($C$22:$C$150,D8,$Q$22:$Q$150,"&lt;&gt;Cancelada")&gt;0)</formula>
    </cfRule>
  </conditionalFormatting>
  <conditionalFormatting sqref="F8:G9">
    <cfRule type="expression" priority="30" aboveAverage="0" equalAverage="0" bottom="0" percent="0" rank="0" text="" dxfId="12">
      <formula>AND(F8&lt;&gt;"",F8=TODAY())</formula>
    </cfRule>
    <cfRule type="expression" priority="31" aboveAverage="0" equalAverage="0" bottom="0" percent="0" rank="0" text="" dxfId="13">
      <formula>AND(F8&lt;&gt;"",COUNTIFS($C$22:$C$150,F8,$S$22:$S$150,"Atrasada")&gt;0)</formula>
    </cfRule>
    <cfRule type="expression" priority="32" aboveAverage="0" equalAverage="0" bottom="0" percent="0" rank="0" text="" dxfId="14">
      <formula>AND(F8&lt;&gt;"",COUNTIFS($C$22:$C$150,F8,$Q$22:$Q$150,"&lt;&gt;Cancelada")&gt;0)</formula>
    </cfRule>
  </conditionalFormatting>
  <conditionalFormatting sqref="H8:I9">
    <cfRule type="expression" priority="33" aboveAverage="0" equalAverage="0" bottom="0" percent="0" rank="0" text="" dxfId="12">
      <formula>AND(H8&lt;&gt;"",H8=TODAY())</formula>
    </cfRule>
    <cfRule type="expression" priority="34" aboveAverage="0" equalAverage="0" bottom="0" percent="0" rank="0" text="" dxfId="13">
      <formula>AND(H8&lt;&gt;"",COUNTIFS($C$22:$C$150,H8,$S$22:$S$150,"Atrasada")&gt;0)</formula>
    </cfRule>
    <cfRule type="expression" priority="35" aboveAverage="0" equalAverage="0" bottom="0" percent="0" rank="0" text="" dxfId="14">
      <formula>AND(H8&lt;&gt;"",COUNTIFS($C$22:$C$150,H8,$Q$22:$Q$150,"&lt;&gt;Cancelada")&gt;0)</formula>
    </cfRule>
  </conditionalFormatting>
  <conditionalFormatting sqref="J8:K9">
    <cfRule type="expression" priority="36" aboveAverage="0" equalAverage="0" bottom="0" percent="0" rank="0" text="" dxfId="12">
      <formula>AND(J8&lt;&gt;"",J8=TODAY())</formula>
    </cfRule>
    <cfRule type="expression" priority="37" aboveAverage="0" equalAverage="0" bottom="0" percent="0" rank="0" text="" dxfId="13">
      <formula>AND(J8&lt;&gt;"",COUNTIFS($C$22:$C$150,J8,$S$22:$S$150,"Atrasada")&gt;0)</formula>
    </cfRule>
    <cfRule type="expression" priority="38" aboveAverage="0" equalAverage="0" bottom="0" percent="0" rank="0" text="" dxfId="14">
      <formula>AND(J8&lt;&gt;"",COUNTIFS($C$22:$C$150,J8,$Q$22:$Q$150,"&lt;&gt;Cancelada")&gt;0)</formula>
    </cfRule>
  </conditionalFormatting>
  <conditionalFormatting sqref="L8:M9">
    <cfRule type="expression" priority="39" aboveAverage="0" equalAverage="0" bottom="0" percent="0" rank="0" text="" dxfId="12">
      <formula>AND(L8&lt;&gt;"",L8=TODAY())</formula>
    </cfRule>
    <cfRule type="expression" priority="40" aboveAverage="0" equalAverage="0" bottom="0" percent="0" rank="0" text="" dxfId="13">
      <formula>AND(L8&lt;&gt;"",COUNTIFS($C$22:$C$150,L8,$S$22:$S$150,"Atrasada")&gt;0)</formula>
    </cfRule>
    <cfRule type="expression" priority="41" aboveAverage="0" equalAverage="0" bottom="0" percent="0" rank="0" text="" dxfId="14">
      <formula>AND(L8&lt;&gt;"",COUNTIFS($C$22:$C$150,L8,$Q$22:$Q$150,"&lt;&gt;Cancelada")&gt;0)</formula>
    </cfRule>
  </conditionalFormatting>
  <conditionalFormatting sqref="N8:O9">
    <cfRule type="expression" priority="42" aboveAverage="0" equalAverage="0" bottom="0" percent="0" rank="0" text="" dxfId="12">
      <formula>AND(N8&lt;&gt;"",N8=TODAY())</formula>
    </cfRule>
    <cfRule type="expression" priority="43" aboveAverage="0" equalAverage="0" bottom="0" percent="0" rank="0" text="" dxfId="13">
      <formula>AND(N8&lt;&gt;"",COUNTIFS($C$22:$C$150,N8,$S$22:$S$150,"Atrasada")&gt;0)</formula>
    </cfRule>
    <cfRule type="expression" priority="44" aboveAverage="0" equalAverage="0" bottom="0" percent="0" rank="0" text="" dxfId="14">
      <formula>AND(N8&lt;&gt;"",COUNTIFS($C$22:$C$150,N8,$Q$22:$Q$150,"&lt;&gt;Cancelada")&gt;0)</formula>
    </cfRule>
  </conditionalFormatting>
  <conditionalFormatting sqref="B10:C11">
    <cfRule type="expression" priority="45" aboveAverage="0" equalAverage="0" bottom="0" percent="0" rank="0" text="" dxfId="12">
      <formula>AND(B10&lt;&gt;"",B10=TODAY())</formula>
    </cfRule>
    <cfRule type="expression" priority="46" aboveAverage="0" equalAverage="0" bottom="0" percent="0" rank="0" text="" dxfId="13">
      <formula>AND(B10&lt;&gt;"",COUNTIFS($C$22:$C$150,B10,$S$22:$S$150,"Atrasada")&gt;0)</formula>
    </cfRule>
    <cfRule type="expression" priority="47" aboveAverage="0" equalAverage="0" bottom="0" percent="0" rank="0" text="" dxfId="14">
      <formula>AND(B10&lt;&gt;"",COUNTIFS($C$22:$C$150,B10,$Q$22:$Q$150,"&lt;&gt;Cancelada")&gt;0)</formula>
    </cfRule>
  </conditionalFormatting>
  <conditionalFormatting sqref="D10:E11">
    <cfRule type="expression" priority="48" aboveAverage="0" equalAverage="0" bottom="0" percent="0" rank="0" text="" dxfId="12">
      <formula>AND(D10&lt;&gt;"",D10=TODAY())</formula>
    </cfRule>
    <cfRule type="expression" priority="49" aboveAverage="0" equalAverage="0" bottom="0" percent="0" rank="0" text="" dxfId="13">
      <formula>AND(D10&lt;&gt;"",COUNTIFS($C$22:$C$150,D10,$S$22:$S$150,"Atrasada")&gt;0)</formula>
    </cfRule>
    <cfRule type="expression" priority="50" aboveAverage="0" equalAverage="0" bottom="0" percent="0" rank="0" text="" dxfId="14">
      <formula>AND(D10&lt;&gt;"",COUNTIFS($C$22:$C$150,D10,$Q$22:$Q$150,"&lt;&gt;Cancelada")&gt;0)</formula>
    </cfRule>
  </conditionalFormatting>
  <conditionalFormatting sqref="F10:G11">
    <cfRule type="expression" priority="51" aboveAverage="0" equalAverage="0" bottom="0" percent="0" rank="0" text="" dxfId="12">
      <formula>AND(F10&lt;&gt;"",F10=TODAY())</formula>
    </cfRule>
    <cfRule type="expression" priority="52" aboveAverage="0" equalAverage="0" bottom="0" percent="0" rank="0" text="" dxfId="13">
      <formula>AND(F10&lt;&gt;"",COUNTIFS($C$22:$C$150,F10,$S$22:$S$150,"Atrasada")&gt;0)</formula>
    </cfRule>
    <cfRule type="expression" priority="53" aboveAverage="0" equalAverage="0" bottom="0" percent="0" rank="0" text="" dxfId="14">
      <formula>AND(F10&lt;&gt;"",COUNTIFS($C$22:$C$150,F10,$Q$22:$Q$150,"&lt;&gt;Cancelada")&gt;0)</formula>
    </cfRule>
  </conditionalFormatting>
  <conditionalFormatting sqref="H10:I11">
    <cfRule type="expression" priority="54" aboveAverage="0" equalAverage="0" bottom="0" percent="0" rank="0" text="" dxfId="12">
      <formula>AND(H10&lt;&gt;"",H10=TODAY())</formula>
    </cfRule>
    <cfRule type="expression" priority="55" aboveAverage="0" equalAverage="0" bottom="0" percent="0" rank="0" text="" dxfId="13">
      <formula>AND(H10&lt;&gt;"",COUNTIFS($C$22:$C$150,H10,$S$22:$S$150,"Atrasada")&gt;0)</formula>
    </cfRule>
    <cfRule type="expression" priority="56" aboveAverage="0" equalAverage="0" bottom="0" percent="0" rank="0" text="" dxfId="14">
      <formula>AND(H10&lt;&gt;"",COUNTIFS($C$22:$C$150,H10,$Q$22:$Q$150,"&lt;&gt;Cancelada")&gt;0)</formula>
    </cfRule>
  </conditionalFormatting>
  <conditionalFormatting sqref="J10:K11">
    <cfRule type="expression" priority="57" aboveAverage="0" equalAverage="0" bottom="0" percent="0" rank="0" text="" dxfId="12">
      <formula>AND(J10&lt;&gt;"",J10=TODAY())</formula>
    </cfRule>
    <cfRule type="expression" priority="58" aboveAverage="0" equalAverage="0" bottom="0" percent="0" rank="0" text="" dxfId="13">
      <formula>AND(J10&lt;&gt;"",COUNTIFS($C$22:$C$150,J10,$S$22:$S$150,"Atrasada")&gt;0)</formula>
    </cfRule>
    <cfRule type="expression" priority="59" aboveAverage="0" equalAverage="0" bottom="0" percent="0" rank="0" text="" dxfId="14">
      <formula>AND(J10&lt;&gt;"",COUNTIFS($C$22:$C$150,J10,$Q$22:$Q$150,"&lt;&gt;Cancelada")&gt;0)</formula>
    </cfRule>
  </conditionalFormatting>
  <conditionalFormatting sqref="L10:M11">
    <cfRule type="expression" priority="60" aboveAverage="0" equalAverage="0" bottom="0" percent="0" rank="0" text="" dxfId="12">
      <formula>AND(L10&lt;&gt;"",L10=TODAY())</formula>
    </cfRule>
    <cfRule type="expression" priority="61" aboveAverage="0" equalAverage="0" bottom="0" percent="0" rank="0" text="" dxfId="13">
      <formula>AND(L10&lt;&gt;"",COUNTIFS($C$22:$C$150,L10,$S$22:$S$150,"Atrasada")&gt;0)</formula>
    </cfRule>
    <cfRule type="expression" priority="62" aboveAverage="0" equalAverage="0" bottom="0" percent="0" rank="0" text="" dxfId="14">
      <formula>AND(L10&lt;&gt;"",COUNTIFS($C$22:$C$150,L10,$Q$22:$Q$150,"&lt;&gt;Cancelada")&gt;0)</formula>
    </cfRule>
  </conditionalFormatting>
  <conditionalFormatting sqref="N10:O11">
    <cfRule type="expression" priority="63" aboveAverage="0" equalAverage="0" bottom="0" percent="0" rank="0" text="" dxfId="12">
      <formula>AND(N10&lt;&gt;"",N10=TODAY())</formula>
    </cfRule>
    <cfRule type="expression" priority="64" aboveAverage="0" equalAverage="0" bottom="0" percent="0" rank="0" text="" dxfId="13">
      <formula>AND(N10&lt;&gt;"",COUNTIFS($C$22:$C$150,N10,$S$22:$S$150,"Atrasada")&gt;0)</formula>
    </cfRule>
    <cfRule type="expression" priority="65" aboveAverage="0" equalAverage="0" bottom="0" percent="0" rank="0" text="" dxfId="14">
      <formula>AND(N10&lt;&gt;"",COUNTIFS($C$22:$C$150,N10,$Q$22:$Q$150,"&lt;&gt;Cancelada")&gt;0)</formula>
    </cfRule>
  </conditionalFormatting>
  <conditionalFormatting sqref="B12:C13">
    <cfRule type="expression" priority="66" aboveAverage="0" equalAverage="0" bottom="0" percent="0" rank="0" text="" dxfId="12">
      <formula>AND(B12&lt;&gt;"",B12=TODAY())</formula>
    </cfRule>
    <cfRule type="expression" priority="67" aboveAverage="0" equalAverage="0" bottom="0" percent="0" rank="0" text="" dxfId="13">
      <formula>AND(B12&lt;&gt;"",COUNTIFS($C$22:$C$150,B12,$S$22:$S$150,"Atrasada")&gt;0)</formula>
    </cfRule>
    <cfRule type="expression" priority="68" aboveAverage="0" equalAverage="0" bottom="0" percent="0" rank="0" text="" dxfId="14">
      <formula>AND(B12&lt;&gt;"",COUNTIFS($C$22:$C$150,B12,$Q$22:$Q$150,"&lt;&gt;Cancelada")&gt;0)</formula>
    </cfRule>
  </conditionalFormatting>
  <conditionalFormatting sqref="D12:E13">
    <cfRule type="expression" priority="69" aboveAverage="0" equalAverage="0" bottom="0" percent="0" rank="0" text="" dxfId="12">
      <formula>AND(D12&lt;&gt;"",D12=TODAY())</formula>
    </cfRule>
    <cfRule type="expression" priority="70" aboveAverage="0" equalAverage="0" bottom="0" percent="0" rank="0" text="" dxfId="13">
      <formula>AND(D12&lt;&gt;"",COUNTIFS($C$22:$C$150,D12,$S$22:$S$150,"Atrasada")&gt;0)</formula>
    </cfRule>
    <cfRule type="expression" priority="71" aboveAverage="0" equalAverage="0" bottom="0" percent="0" rank="0" text="" dxfId="14">
      <formula>AND(D12&lt;&gt;"",COUNTIFS($C$22:$C$150,D12,$Q$22:$Q$150,"&lt;&gt;Cancelada")&gt;0)</formula>
    </cfRule>
  </conditionalFormatting>
  <conditionalFormatting sqref="F12:G13">
    <cfRule type="expression" priority="72" aboveAverage="0" equalAverage="0" bottom="0" percent="0" rank="0" text="" dxfId="12">
      <formula>AND(F12&lt;&gt;"",F12=TODAY())</formula>
    </cfRule>
    <cfRule type="expression" priority="73" aboveAverage="0" equalAverage="0" bottom="0" percent="0" rank="0" text="" dxfId="13">
      <formula>AND(F12&lt;&gt;"",COUNTIFS($C$22:$C$150,F12,$S$22:$S$150,"Atrasada")&gt;0)</formula>
    </cfRule>
    <cfRule type="expression" priority="74" aboveAverage="0" equalAverage="0" bottom="0" percent="0" rank="0" text="" dxfId="14">
      <formula>AND(F12&lt;&gt;"",COUNTIFS($C$22:$C$150,F12,$Q$22:$Q$150,"&lt;&gt;Cancelada")&gt;0)</formula>
    </cfRule>
  </conditionalFormatting>
  <conditionalFormatting sqref="H12:I13">
    <cfRule type="expression" priority="75" aboveAverage="0" equalAverage="0" bottom="0" percent="0" rank="0" text="" dxfId="12">
      <formula>AND(H12&lt;&gt;"",H12=TODAY())</formula>
    </cfRule>
    <cfRule type="expression" priority="76" aboveAverage="0" equalAverage="0" bottom="0" percent="0" rank="0" text="" dxfId="13">
      <formula>AND(H12&lt;&gt;"",COUNTIFS($C$22:$C$150,H12,$S$22:$S$150,"Atrasada")&gt;0)</formula>
    </cfRule>
    <cfRule type="expression" priority="77" aboveAverage="0" equalAverage="0" bottom="0" percent="0" rank="0" text="" dxfId="14">
      <formula>AND(H12&lt;&gt;"",COUNTIFS($C$22:$C$150,H12,$Q$22:$Q$150,"&lt;&gt;Cancelada")&gt;0)</formula>
    </cfRule>
  </conditionalFormatting>
  <conditionalFormatting sqref="J12:K13">
    <cfRule type="expression" priority="78" aboveAverage="0" equalAverage="0" bottom="0" percent="0" rank="0" text="" dxfId="12">
      <formula>AND(J12&lt;&gt;"",J12=TODAY())</formula>
    </cfRule>
    <cfRule type="expression" priority="79" aboveAverage="0" equalAverage="0" bottom="0" percent="0" rank="0" text="" dxfId="13">
      <formula>AND(J12&lt;&gt;"",COUNTIFS($C$22:$C$150,J12,$S$22:$S$150,"Atrasada")&gt;0)</formula>
    </cfRule>
    <cfRule type="expression" priority="80" aboveAverage="0" equalAverage="0" bottom="0" percent="0" rank="0" text="" dxfId="14">
      <formula>AND(J12&lt;&gt;"",COUNTIFS($C$22:$C$150,J12,$Q$22:$Q$150,"&lt;&gt;Cancelada")&gt;0)</formula>
    </cfRule>
  </conditionalFormatting>
  <conditionalFormatting sqref="L12:M13">
    <cfRule type="expression" priority="81" aboveAverage="0" equalAverage="0" bottom="0" percent="0" rank="0" text="" dxfId="12">
      <formula>AND(L12&lt;&gt;"",L12=TODAY())</formula>
    </cfRule>
    <cfRule type="expression" priority="82" aboveAverage="0" equalAverage="0" bottom="0" percent="0" rank="0" text="" dxfId="13">
      <formula>AND(L12&lt;&gt;"",COUNTIFS($C$22:$C$150,L12,$S$22:$S$150,"Atrasada")&gt;0)</formula>
    </cfRule>
    <cfRule type="expression" priority="83" aboveAverage="0" equalAverage="0" bottom="0" percent="0" rank="0" text="" dxfId="14">
      <formula>AND(L12&lt;&gt;"",COUNTIFS($C$22:$C$150,L12,$Q$22:$Q$150,"&lt;&gt;Cancelada")&gt;0)</formula>
    </cfRule>
  </conditionalFormatting>
  <conditionalFormatting sqref="N12:O13">
    <cfRule type="expression" priority="84" aboveAverage="0" equalAverage="0" bottom="0" percent="0" rank="0" text="" dxfId="12">
      <formula>AND(N12&lt;&gt;"",N12=TODAY())</formula>
    </cfRule>
    <cfRule type="expression" priority="85" aboveAverage="0" equalAverage="0" bottom="0" percent="0" rank="0" text="" dxfId="13">
      <formula>AND(N12&lt;&gt;"",COUNTIFS($C$22:$C$150,N12,$S$22:$S$150,"Atrasada")&gt;0)</formula>
    </cfRule>
    <cfRule type="expression" priority="86" aboveAverage="0" equalAverage="0" bottom="0" percent="0" rank="0" text="" dxfId="14">
      <formula>AND(N12&lt;&gt;"",COUNTIFS($C$22:$C$150,N12,$Q$22:$Q$150,"&lt;&gt;Cancelada")&gt;0)</formula>
    </cfRule>
  </conditionalFormatting>
  <conditionalFormatting sqref="B14:C15">
    <cfRule type="expression" priority="87" aboveAverage="0" equalAverage="0" bottom="0" percent="0" rank="0" text="" dxfId="12">
      <formula>AND(B14&lt;&gt;"",B14=TODAY())</formula>
    </cfRule>
    <cfRule type="expression" priority="88" aboveAverage="0" equalAverage="0" bottom="0" percent="0" rank="0" text="" dxfId="13">
      <formula>AND(B14&lt;&gt;"",COUNTIFS($C$22:$C$150,B14,$S$22:$S$150,"Atrasada")&gt;0)</formula>
    </cfRule>
    <cfRule type="expression" priority="89" aboveAverage="0" equalAverage="0" bottom="0" percent="0" rank="0" text="" dxfId="14">
      <formula>AND(B14&lt;&gt;"",COUNTIFS($C$22:$C$150,B14,$Q$22:$Q$150,"&lt;&gt;Cancelada")&gt;0)</formula>
    </cfRule>
  </conditionalFormatting>
  <conditionalFormatting sqref="D14:E15">
    <cfRule type="expression" priority="90" aboveAverage="0" equalAverage="0" bottom="0" percent="0" rank="0" text="" dxfId="12">
      <formula>AND(D14&lt;&gt;"",D14=TODAY())</formula>
    </cfRule>
    <cfRule type="expression" priority="91" aboveAverage="0" equalAverage="0" bottom="0" percent="0" rank="0" text="" dxfId="13">
      <formula>AND(D14&lt;&gt;"",COUNTIFS($C$22:$C$150,D14,$S$22:$S$150,"Atrasada")&gt;0)</formula>
    </cfRule>
    <cfRule type="expression" priority="92" aboveAverage="0" equalAverage="0" bottom="0" percent="0" rank="0" text="" dxfId="14">
      <formula>AND(D14&lt;&gt;"",COUNTIFS($C$22:$C$150,D14,$Q$22:$Q$150,"&lt;&gt;Cancelada")&gt;0)</formula>
    </cfRule>
  </conditionalFormatting>
  <conditionalFormatting sqref="F14:G15">
    <cfRule type="expression" priority="93" aboveAverage="0" equalAverage="0" bottom="0" percent="0" rank="0" text="" dxfId="12">
      <formula>AND(F14&lt;&gt;"",F14=TODAY())</formula>
    </cfRule>
    <cfRule type="expression" priority="94" aboveAverage="0" equalAverage="0" bottom="0" percent="0" rank="0" text="" dxfId="13">
      <formula>AND(F14&lt;&gt;"",COUNTIFS($C$22:$C$150,F14,$S$22:$S$150,"Atrasada")&gt;0)</formula>
    </cfRule>
    <cfRule type="expression" priority="95" aboveAverage="0" equalAverage="0" bottom="0" percent="0" rank="0" text="" dxfId="14">
      <formula>AND(F14&lt;&gt;"",COUNTIFS($C$22:$C$150,F14,$Q$22:$Q$150,"&lt;&gt;Cancelada")&gt;0)</formula>
    </cfRule>
  </conditionalFormatting>
  <conditionalFormatting sqref="H14:I15">
    <cfRule type="expression" priority="96" aboveAverage="0" equalAverage="0" bottom="0" percent="0" rank="0" text="" dxfId="12">
      <formula>AND(H14&lt;&gt;"",H14=TODAY())</formula>
    </cfRule>
    <cfRule type="expression" priority="97" aboveAverage="0" equalAverage="0" bottom="0" percent="0" rank="0" text="" dxfId="13">
      <formula>AND(H14&lt;&gt;"",COUNTIFS($C$22:$C$150,H14,$S$22:$S$150,"Atrasada")&gt;0)</formula>
    </cfRule>
    <cfRule type="expression" priority="98" aboveAverage="0" equalAverage="0" bottom="0" percent="0" rank="0" text="" dxfId="14">
      <formula>AND(H14&lt;&gt;"",COUNTIFS($C$22:$C$150,H14,$Q$22:$Q$150,"&lt;&gt;Cancelada")&gt;0)</formula>
    </cfRule>
  </conditionalFormatting>
  <conditionalFormatting sqref="J14:K15">
    <cfRule type="expression" priority="99" aboveAverage="0" equalAverage="0" bottom="0" percent="0" rank="0" text="" dxfId="12">
      <formula>AND(J14&lt;&gt;"",J14=TODAY())</formula>
    </cfRule>
    <cfRule type="expression" priority="100" aboveAverage="0" equalAverage="0" bottom="0" percent="0" rank="0" text="" dxfId="13">
      <formula>AND(J14&lt;&gt;"",COUNTIFS($C$22:$C$150,J14,$S$22:$S$150,"Atrasada")&gt;0)</formula>
    </cfRule>
    <cfRule type="expression" priority="101" aboveAverage="0" equalAverage="0" bottom="0" percent="0" rank="0" text="" dxfId="14">
      <formula>AND(J14&lt;&gt;"",COUNTIFS($C$22:$C$150,J14,$Q$22:$Q$150,"&lt;&gt;Cancelada")&gt;0)</formula>
    </cfRule>
  </conditionalFormatting>
  <conditionalFormatting sqref="L14:M15">
    <cfRule type="expression" priority="102" aboveAverage="0" equalAverage="0" bottom="0" percent="0" rank="0" text="" dxfId="12">
      <formula>AND(L14&lt;&gt;"",L14=TODAY())</formula>
    </cfRule>
    <cfRule type="expression" priority="103" aboveAverage="0" equalAverage="0" bottom="0" percent="0" rank="0" text="" dxfId="13">
      <formula>AND(L14&lt;&gt;"",COUNTIFS($C$22:$C$150,L14,$S$22:$S$150,"Atrasada")&gt;0)</formula>
    </cfRule>
    <cfRule type="expression" priority="104" aboveAverage="0" equalAverage="0" bottom="0" percent="0" rank="0" text="" dxfId="14">
      <formula>AND(L14&lt;&gt;"",COUNTIFS($C$22:$C$150,L14,$Q$22:$Q$150,"&lt;&gt;Cancelada")&gt;0)</formula>
    </cfRule>
  </conditionalFormatting>
  <conditionalFormatting sqref="N14:O15">
    <cfRule type="expression" priority="105" aboveAverage="0" equalAverage="0" bottom="0" percent="0" rank="0" text="" dxfId="12">
      <formula>AND(N14&lt;&gt;"",N14=TODAY())</formula>
    </cfRule>
    <cfRule type="expression" priority="106" aboveAverage="0" equalAverage="0" bottom="0" percent="0" rank="0" text="" dxfId="13">
      <formula>AND(N14&lt;&gt;"",COUNTIFS($C$22:$C$150,N14,$S$22:$S$150,"Atrasada")&gt;0)</formula>
    </cfRule>
    <cfRule type="expression" priority="107" aboveAverage="0" equalAverage="0" bottom="0" percent="0" rank="0" text="" dxfId="14">
      <formula>AND(N14&lt;&gt;"",COUNTIFS($C$22:$C$150,N14,$Q$22:$Q$150,"&lt;&gt;Cancelada")&gt;0)</formula>
    </cfRule>
  </conditionalFormatting>
  <conditionalFormatting sqref="B16:C17">
    <cfRule type="expression" priority="108" aboveAverage="0" equalAverage="0" bottom="0" percent="0" rank="0" text="" dxfId="12">
      <formula>AND(B16&lt;&gt;"",B16=TODAY())</formula>
    </cfRule>
    <cfRule type="expression" priority="109" aboveAverage="0" equalAverage="0" bottom="0" percent="0" rank="0" text="" dxfId="13">
      <formula>AND(B16&lt;&gt;"",COUNTIFS($C$22:$C$150,B16,$S$22:$S$150,"Atrasada")&gt;0)</formula>
    </cfRule>
    <cfRule type="expression" priority="110" aboveAverage="0" equalAverage="0" bottom="0" percent="0" rank="0" text="" dxfId="14">
      <formula>AND(B16&lt;&gt;"",COUNTIFS($C$22:$C$150,B16,$Q$22:$Q$150,"&lt;&gt;Cancelada")&gt;0)</formula>
    </cfRule>
  </conditionalFormatting>
  <conditionalFormatting sqref="D16:E17">
    <cfRule type="expression" priority="111" aboveAverage="0" equalAverage="0" bottom="0" percent="0" rank="0" text="" dxfId="12">
      <formula>AND(D16&lt;&gt;"",D16=TODAY())</formula>
    </cfRule>
    <cfRule type="expression" priority="112" aboveAverage="0" equalAverage="0" bottom="0" percent="0" rank="0" text="" dxfId="13">
      <formula>AND(D16&lt;&gt;"",COUNTIFS($C$22:$C$150,D16,$S$22:$S$150,"Atrasada")&gt;0)</formula>
    </cfRule>
    <cfRule type="expression" priority="113" aboveAverage="0" equalAverage="0" bottom="0" percent="0" rank="0" text="" dxfId="14">
      <formula>AND(D16&lt;&gt;"",COUNTIFS($C$22:$C$150,D16,$Q$22:$Q$150,"&lt;&gt;Cancelada")&gt;0)</formula>
    </cfRule>
  </conditionalFormatting>
  <conditionalFormatting sqref="F16:G17">
    <cfRule type="expression" priority="114" aboveAverage="0" equalAverage="0" bottom="0" percent="0" rank="0" text="" dxfId="12">
      <formula>AND(F16&lt;&gt;"",F16=TODAY())</formula>
    </cfRule>
    <cfRule type="expression" priority="115" aboveAverage="0" equalAverage="0" bottom="0" percent="0" rank="0" text="" dxfId="13">
      <formula>AND(F16&lt;&gt;"",COUNTIFS($C$22:$C$150,F16,$S$22:$S$150,"Atrasada")&gt;0)</formula>
    </cfRule>
    <cfRule type="expression" priority="116" aboveAverage="0" equalAverage="0" bottom="0" percent="0" rank="0" text="" dxfId="14">
      <formula>AND(F16&lt;&gt;"",COUNTIFS($C$22:$C$150,F16,$Q$22:$Q$150,"&lt;&gt;Cancelada")&gt;0)</formula>
    </cfRule>
  </conditionalFormatting>
  <conditionalFormatting sqref="H16:I17">
    <cfRule type="expression" priority="117" aboveAverage="0" equalAverage="0" bottom="0" percent="0" rank="0" text="" dxfId="12">
      <formula>AND(H16&lt;&gt;"",H16=TODAY())</formula>
    </cfRule>
    <cfRule type="expression" priority="118" aboveAverage="0" equalAverage="0" bottom="0" percent="0" rank="0" text="" dxfId="13">
      <formula>AND(H16&lt;&gt;"",COUNTIFS($C$22:$C$150,H16,$S$22:$S$150,"Atrasada")&gt;0)</formula>
    </cfRule>
    <cfRule type="expression" priority="119" aboveAverage="0" equalAverage="0" bottom="0" percent="0" rank="0" text="" dxfId="14">
      <formula>AND(H16&lt;&gt;"",COUNTIFS($C$22:$C$150,H16,$Q$22:$Q$150,"&lt;&gt;Cancelada")&gt;0)</formula>
    </cfRule>
  </conditionalFormatting>
  <conditionalFormatting sqref="J16:K17">
    <cfRule type="expression" priority="120" aboveAverage="0" equalAverage="0" bottom="0" percent="0" rank="0" text="" dxfId="12">
      <formula>AND(J16&lt;&gt;"",J16=TODAY())</formula>
    </cfRule>
    <cfRule type="expression" priority="121" aboveAverage="0" equalAverage="0" bottom="0" percent="0" rank="0" text="" dxfId="13">
      <formula>AND(J16&lt;&gt;"",COUNTIFS($C$22:$C$150,J16,$S$22:$S$150,"Atrasada")&gt;0)</formula>
    </cfRule>
    <cfRule type="expression" priority="122" aboveAverage="0" equalAverage="0" bottom="0" percent="0" rank="0" text="" dxfId="14">
      <formula>AND(J16&lt;&gt;"",COUNTIFS($C$22:$C$150,J16,$Q$22:$Q$150,"&lt;&gt;Cancelada")&gt;0)</formula>
    </cfRule>
  </conditionalFormatting>
  <conditionalFormatting sqref="L16:M17">
    <cfRule type="expression" priority="123" aboveAverage="0" equalAverage="0" bottom="0" percent="0" rank="0" text="" dxfId="12">
      <formula>AND(L16&lt;&gt;"",L16=TODAY())</formula>
    </cfRule>
    <cfRule type="expression" priority="124" aboveAverage="0" equalAverage="0" bottom="0" percent="0" rank="0" text="" dxfId="13">
      <formula>AND(L16&lt;&gt;"",COUNTIFS($C$22:$C$150,L16,$S$22:$S$150,"Atrasada")&gt;0)</formula>
    </cfRule>
    <cfRule type="expression" priority="125" aboveAverage="0" equalAverage="0" bottom="0" percent="0" rank="0" text="" dxfId="14">
      <formula>AND(L16&lt;&gt;"",COUNTIFS($C$22:$C$150,L16,$Q$22:$Q$150,"&lt;&gt;Cancelada")&gt;0)</formula>
    </cfRule>
  </conditionalFormatting>
  <conditionalFormatting sqref="N16:O17">
    <cfRule type="expression" priority="126" aboveAverage="0" equalAverage="0" bottom="0" percent="0" rank="0" text="" dxfId="12">
      <formula>AND(N16&lt;&gt;"",N16=TODAY())</formula>
    </cfRule>
    <cfRule type="expression" priority="127" aboveAverage="0" equalAverage="0" bottom="0" percent="0" rank="0" text="" dxfId="13">
      <formula>AND(N16&lt;&gt;"",COUNTIFS($C$22:$C$150,N16,$S$22:$S$150,"Atrasada")&gt;0)</formula>
    </cfRule>
    <cfRule type="expression" priority="128" aboveAverage="0" equalAverage="0" bottom="0" percent="0" rank="0" text="" dxfId="14">
      <formula>AND(N16&lt;&gt;"",COUNTIFS($C$22:$C$150,N16,$Q$22:$Q$150,"&lt;&gt;Cancelada")&gt;0)</formula>
    </cfRule>
  </conditionalFormatting>
  <conditionalFormatting sqref="A22:I67">
    <cfRule type="expression" priority="129" aboveAverage="0" equalAverage="0" bottom="0" percent="0" rank="0" text="" dxfId="15">
      <formula>ISNUMBER(SEARCH("-REU-",$A22))</formula>
    </cfRule>
  </conditionalFormatting>
  <conditionalFormatting sqref="S22:S150">
    <cfRule type="expression" priority="130" aboveAverage="0" equalAverage="0" bottom="0" percent="0" rank="0" text="" dxfId="16">
      <formula>$S22="Aprovada"</formula>
    </cfRule>
    <cfRule type="expression" priority="131" aboveAverage="0" equalAverage="0" bottom="0" percent="0" rank="0" text="" dxfId="17">
      <formula>$S22="Entregue"</formula>
    </cfRule>
    <cfRule type="expression" priority="132" aboveAverage="0" equalAverage="0" bottom="0" percent="0" rank="0" text="" dxfId="18">
      <formula>$S22="Atrasada"</formula>
    </cfRule>
    <cfRule type="expression" priority="133" aboveAverage="0" equalAverage="0" bottom="0" percent="0" rank="0" text="" dxfId="19">
      <formula>$S22="Reprovada"</formula>
    </cfRule>
    <cfRule type="expression" priority="134" aboveAverage="0" equalAverage="0" bottom="0" percent="0" rank="0" text="" dxfId="20">
      <formula>$S22="Pendente"</formula>
    </cfRule>
    <cfRule type="expression" priority="135" aboveAverage="0" equalAverage="0" bottom="0" percent="0" rank="0" text="" dxfId="21">
      <formula>$S22="Cancelada"</formula>
    </cfRule>
  </conditionalFormatting>
  <dataValidations count="2">
    <dataValidation allowBlank="true" errorStyle="stop" operator="between" showDropDown="false" showErrorMessage="false" showInputMessage="false" sqref="Q22:Q150" type="list">
      <formula1>"Aprovado,Reprovado,Cancelada"</formula1>
      <formula2>0</formula2>
    </dataValidation>
    <dataValidation allowBlank="true" errorStyle="stop" operator="between" showDropDown="false" showErrorMessage="false" showInputMessage="false" sqref="J22:J67" type="list">
      <formula1>CONFIG!$A$12:$A$40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2026-07-30T03:28:27Z</dcterms:created>
  <dc:creator>openpyxl</dc:creator>
  <dc:description/>
  <dc:language>en-US</dc:language>
  <cp:lastModifiedBy/>
  <dcterms:modified xsi:type="dcterms:W3CDTF">2026-07-30T03:28:41Z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