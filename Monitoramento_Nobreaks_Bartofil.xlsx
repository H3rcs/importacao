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ancamentos" sheetId="2" state="visible" r:id="rId4"/>
    <sheet name="Cadastro" sheetId="3" state="visible" r:id="rId5"/>
    <sheet name="Instrucoes" sheetId="4" state="visible" r:id="rId6"/>
  </sheets>
  <definedNames>
    <definedName function="false" hidden="true" localSheetId="1" name="_xlnm._FilterDatabase" vbProcedure="false">Lancamentos!$A$4:$O$3000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Linha de exemplo. Troque pelos dados reais da placa do equipamento. A potência nominal em VA é o que faz a coluna Carga saída (%) funcionar.</t>
        </r>
      </text>
    </comment>
  </commentList>
</comments>
</file>

<file path=xl/sharedStrings.xml><?xml version="1.0" encoding="utf-8"?>
<sst xmlns="http://schemas.openxmlformats.org/spreadsheetml/2006/main" count="101" uniqueCount="84">
  <si>
    <t xml:space="preserve">MONITORAMENTO DE NOBREAKS  ·  BARTOFIL CD FEIRA DE SANTANA</t>
  </si>
  <si>
    <t xml:space="preserve">Tudo aqui se atualiza sozinho conforme você preenche a aba Lancamentos. Não precisa mexer em nada nesta aba.</t>
  </si>
  <si>
    <t xml:space="preserve">Último dia registrado  ·  média das leituras do dia</t>
  </si>
  <si>
    <t xml:space="preserve">Nobreak</t>
  </si>
  <si>
    <t xml:space="preserve">Data</t>
  </si>
  <si>
    <t xml:space="preserve">Leituras</t>
  </si>
  <si>
    <t xml:space="preserve">Vi (V)</t>
  </si>
  <si>
    <t xml:space="preserve">Ii (A)</t>
  </si>
  <si>
    <t xml:space="preserve">Pi (VA)</t>
  </si>
  <si>
    <t xml:space="preserve">Vo (V)</t>
  </si>
  <si>
    <t xml:space="preserve">Io (A)</t>
  </si>
  <si>
    <t xml:space="preserve">Po (VA)</t>
  </si>
  <si>
    <t xml:space="preserve">Carga (%)</t>
  </si>
  <si>
    <t xml:space="preserve">Médias de todo o período lançado</t>
  </si>
  <si>
    <t xml:space="preserve">Carga méd (%)</t>
  </si>
  <si>
    <t xml:space="preserve">Po máx (VA)</t>
  </si>
  <si>
    <t xml:space="preserve">Carga máx (%)</t>
  </si>
  <si>
    <t xml:space="preserve">GERAL</t>
  </si>
  <si>
    <t xml:space="preserve">Tendência</t>
  </si>
  <si>
    <t xml:space="preserve">IMPORTANTE: com mais de um nobreak lançado, os gráficos misturam os equipamentos. Vá na aba Lancamentos, clique no filtro da coluna Nobreak e deixe marcado só um.</t>
  </si>
  <si>
    <t xml:space="preserve">Como ler os gráficos</t>
  </si>
  <si>
    <t xml:space="preserve">Azul = lado da ENTRADA (o que vem da rede).</t>
  </si>
  <si>
    <t xml:space="preserve">Verde = lado da SAÍDA (o que o nobreak entrega).</t>
  </si>
  <si>
    <t xml:space="preserve">Cada ponto é uma leitura — são 3 por dia, por nobreak.</t>
  </si>
  <si>
    <t xml:space="preserve">Falha na linha = leitura que não foi lançada.</t>
  </si>
  <si>
    <t xml:space="preserve">Carga (%) = Po medido ÷ potência nominal cadastrada.</t>
  </si>
  <si>
    <t xml:space="preserve">Po / Pi (%) = o que ele entrega em relação ao que puxa da rede.</t>
  </si>
  <si>
    <t xml:space="preserve">Lançamentos das leituras</t>
  </si>
  <si>
    <t xml:space="preserve">Uma linha por leitura: 3 por dia, por nobreak. As colunas cinzas se calculam sozinhas — não digite nelas.</t>
  </si>
  <si>
    <t xml:space="preserve">QUANDO FOI LIDO</t>
  </si>
  <si>
    <t xml:space="preserve">1. ENTRADA</t>
  </si>
  <si>
    <t xml:space="preserve">2. SAÍDA</t>
  </si>
  <si>
    <t xml:space="preserve">CALCULADO / NOTAS</t>
  </si>
  <si>
    <t xml:space="preserve">Semana</t>
  </si>
  <si>
    <t xml:space="preserve">Dia</t>
  </si>
  <si>
    <t xml:space="preserve">Hora</t>
  </si>
  <si>
    <t xml:space="preserve">Leitura</t>
  </si>
  <si>
    <t xml:space="preserve">Carga saída (%)</t>
  </si>
  <si>
    <t xml:space="preserve">Po / Pi (%)</t>
  </si>
  <si>
    <t xml:space="preserve">Ocorrências</t>
  </si>
  <si>
    <t xml:space="preserve">1ª</t>
  </si>
  <si>
    <t xml:space="preserve">NB-01</t>
  </si>
  <si>
    <t xml:space="preserve">EXEMPLO — apague esta linha antes de começar</t>
  </si>
  <si>
    <t xml:space="preserve">Cadastro dos nobreaks</t>
  </si>
  <si>
    <t xml:space="preserve">Preencha os campos em amarelo. É daqui que sai a lista suspensa e o cálculo de carga.</t>
  </si>
  <si>
    <t xml:space="preserve">Nobreak (ID)</t>
  </si>
  <si>
    <t xml:space="preserve">Modelo</t>
  </si>
  <si>
    <t xml:space="preserve">Local</t>
  </si>
  <si>
    <t xml:space="preserve">Potência nominal (VA)</t>
  </si>
  <si>
    <t xml:space="preserve">Tensão nominal entrada (V)</t>
  </si>
  <si>
    <t xml:space="preserve">Tensão nominal saída (V)</t>
  </si>
  <si>
    <t xml:space="preserve">modelo do equipamento</t>
  </si>
  <si>
    <t xml:space="preserve">onde ele fica</t>
  </si>
  <si>
    <t xml:space="preserve">Observação técnica: na anotação original a potência de entrada (7196 VA) não fecha com Vi × Ii (221,5 × 18,75 = 4153 VA), mas fecha com √3 × Vi × Ii = 7193 VA — entrada trifásica. Do lado da saída, 119,7 × 45,00 = 5387 VA, que bate com os 5390 VA anotados (monofásica).</t>
  </si>
  <si>
    <t xml:space="preserve">COMO USAR ESTA PLANILHA</t>
  </si>
  <si>
    <t xml:space="preserve">1. Cadastre os nobreaks</t>
  </si>
  <si>
    <t xml:space="preserve">Aba Cadastro: uma linha por equipamento — ID, modelo, local e a potência nominal em VA. É a potência nominal que faz a coluna Carga saída (%) funcionar.</t>
  </si>
  <si>
    <t xml:space="preserve">2. Lance as leituras</t>
  </si>
  <si>
    <t xml:space="preserve">Aba Lancamentos: uma linha por leitura. Como são 3 leituras por dia em cada nobreak, cada folha de papel de uma semana vira 21 linhas aqui.</t>
  </si>
  <si>
    <t xml:space="preserve">3. A ordem é a mesma do papel</t>
  </si>
  <si>
    <t xml:space="preserve">Data, hora, nº da leitura e nobreak; depois ENTRADA (Vi, Ii, Pi); depois SAÍDA (Vo, Io, Po) — exatamente a sequência impressa na folha.</t>
  </si>
  <si>
    <t xml:space="preserve">4. Não digite nas colunas cinzas</t>
  </si>
  <si>
    <t xml:space="preserve">Semana, Dia, Carga saída (%) e Po / Pi (%) se calculam sozinhas. Se digitar por cima, a fórmula se perde.</t>
  </si>
  <si>
    <t xml:space="preserve">5. Confira o Painel</t>
  </si>
  <si>
    <t xml:space="preserve">A aba Painel atualiza sozinha: último dia registrado, médias do período e os gráficos. Não precisa mexer em nada lá.</t>
  </si>
  <si>
    <t xml:space="preserve">6. Filtre para ler os gráficos</t>
  </si>
  <si>
    <t xml:space="preserve">Com mais de um nobreak, os gráficos misturam os equipamentos. Na aba Lancamentos, use o filtro da coluna Nobreak e deixe marcado só um.</t>
  </si>
  <si>
    <t xml:space="preserve">7. Apague a linha de exemplo</t>
  </si>
  <si>
    <t xml:space="preserve">A primeira linha da aba Lancamentos é um exemplo em itálico, com os números da anotação original.</t>
  </si>
  <si>
    <t xml:space="preserve">8. Capacidade</t>
  </si>
  <si>
    <t xml:space="preserve">A planilha comporta cerca de 3.000 leituras — mais ou menos um ano com 3 nobreaks lidos 3 vezes por dia. Chegando perto do fim, me chame que eu amplio.</t>
  </si>
  <si>
    <t xml:space="preserve">9. Frequência</t>
  </si>
  <si>
    <t xml:space="preserve">Fo e Fi foram retiradas de propósito, como combinado.</t>
  </si>
  <si>
    <t xml:space="preserve">Legenda de cores</t>
  </si>
  <si>
    <t xml:space="preserve">Azul escuro</t>
  </si>
  <si>
    <t xml:space="preserve">Cabeçalhos e títulos</t>
  </si>
  <si>
    <t xml:space="preserve">Amarelo claro</t>
  </si>
  <si>
    <t xml:space="preserve">Células que VOCÊ preenche (aba Cadastro)</t>
  </si>
  <si>
    <t xml:space="preserve">Cinza claro</t>
  </si>
  <si>
    <t xml:space="preserve">Células calculadas — não digite</t>
  </si>
  <si>
    <t xml:space="preserve">Azul médio</t>
  </si>
  <si>
    <t xml:space="preserve">Lado da ENTRADA</t>
  </si>
  <si>
    <t xml:space="preserve">Verde</t>
  </si>
  <si>
    <t xml:space="preserve">Lado da SAÍDA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</si>
</sst>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General"/>
    <numFmt numFmtId="167" formatCode="0.0"/>
    <numFmt numFmtId="168" formatCode="0.00"/>
    <numFmt numFmtId="169" formatCode="#,##0"/>
    <numFmt numFmtId="170" formatCode="0.0%"/>
    <numFmt numFmtId="171" formatCode="hh:mm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2"/>
      <color rgb="FF0B3C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5C00"/>
      <name val="Arial"/>
      <family val="0"/>
      <charset val="1"/>
    </font>
    <font>
      <b val="true"/>
      <sz val="11"/>
      <color rgb="FF0B3C6E"/>
      <name val="Arial"/>
      <family val="0"/>
      <charset val="1"/>
    </font>
    <font>
      <sz val="9"/>
      <color rgb="FF4454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B3C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44546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3C6E"/>
        <bgColor rgb="FF333399"/>
      </patternFill>
    </fill>
    <fill>
      <patternFill patternType="solid">
        <fgColor rgb="FF2A6FB5"/>
        <bgColor rgb="FF3366FF"/>
      </patternFill>
    </fill>
    <fill>
      <patternFill patternType="solid">
        <fgColor rgb="FF00A859"/>
        <bgColor rgb="FF008080"/>
      </patternFill>
    </fill>
    <fill>
      <patternFill patternType="solid">
        <fgColor rgb="FFE8EEF5"/>
        <bgColor rgb="FFE4E8EE"/>
      </patternFill>
    </fill>
    <fill>
      <patternFill patternType="solid">
        <fgColor rgb="FFFFFFFF"/>
        <bgColor rgb="FFFFFDE7"/>
      </patternFill>
    </fill>
    <fill>
      <patternFill patternType="solid">
        <fgColor rgb="FFDFF3E6"/>
        <bgColor rgb="FFE8EEF5"/>
      </patternFill>
    </fill>
    <fill>
      <patternFill patternType="solid">
        <fgColor rgb="FFFFF6E0"/>
        <bgColor rgb="FFFFFDE7"/>
      </patternFill>
    </fill>
    <fill>
      <patternFill patternType="solid">
        <fgColor rgb="FF44546A"/>
        <bgColor rgb="FF333399"/>
      </patternFill>
    </fill>
    <fill>
      <patternFill patternType="solid">
        <fgColor rgb="FFF2F4F7"/>
        <bgColor rgb="FFE8EEF5"/>
      </patternFill>
    </fill>
    <fill>
      <patternFill patternType="solid">
        <fgColor rgb="FFFFFDE7"/>
        <bgColor rgb="FFFFF6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3C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44546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DE7"/>
      <rgbColor rgb="FFDFF3E6"/>
      <rgbColor rgb="FF660066"/>
      <rgbColor rgb="FFFF8080"/>
      <rgbColor rgb="FF2A6FB5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E4E8EE"/>
      <rgbColor rgb="FFFFF6E0"/>
      <rgbColor rgb="FF99CCFF"/>
      <rgbColor rgb="FFFF99CC"/>
      <rgbColor rgb="FFCC99FF"/>
      <rgbColor rgb="FFF2F4F7"/>
      <rgbColor rgb="FF3366FF"/>
      <rgbColor rgb="FF33CCCC"/>
      <rgbColor rgb="FF99CC00"/>
      <rgbColor rgb="FFFFCC00"/>
      <rgbColor rgb="FFFF9900"/>
      <rgbColor rgb="FFFF6600"/>
      <rgbColor rgb="FF44546A"/>
      <rgbColor rgb="FF878787"/>
      <rgbColor rgb="FF0B3C6E"/>
      <rgbColor rgb="FF00A859"/>
      <rgbColor rgb="FF003300"/>
      <rgbColor rgb="FF333300"/>
      <rgbColor rgb="FFB3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Tensão — entrada x saída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Lancamentos!G4</c:f>
              <c:strCache>
                <c:ptCount val="1"/>
                <c:pt idx="0">
                  <c:v>Vi (V)</c:v>
                </c:pt>
              </c:strCache>
            </c:strRef>
          </c:tx>
          <c:spPr>
            <a:solidFill>
              <a:srgbClr val="2a6fb5"/>
            </a:solidFill>
            <a:ln w="22320">
              <a:solidFill>
                <a:srgbClr val="2a6f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Lancamentos!$A$5:$A$3000</c:f>
              <c:strCache>
                <c:ptCount val="2996"/>
                <c:pt idx="0">
                  <c:v>18/09/2026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</c:strCache>
            </c:strRef>
          </c:cat>
          <c:val>
            <c:numRef>
              <c:f>Lancamentos!$G$5:$G$3000</c:f>
              <c:numCache>
                <c:formatCode>0.0</c:formatCode>
                <c:ptCount val="2996"/>
                <c:pt idx="0">
                  <c:v>221.5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Lancamentos!J4</c:f>
              <c:strCache>
                <c:ptCount val="1"/>
                <c:pt idx="0">
                  <c:v>Vo (V)</c:v>
                </c:pt>
              </c:strCache>
            </c:strRef>
          </c:tx>
          <c:spPr>
            <a:solidFill>
              <a:srgbClr val="00a859"/>
            </a:solidFill>
            <a:ln w="22320">
              <a:solidFill>
                <a:srgbClr val="00a8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Lancamentos!$A$5:$A$3000</c:f>
              <c:strCache>
                <c:ptCount val="2996"/>
                <c:pt idx="0">
                  <c:v>18/09/2026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</c:strCache>
            </c:strRef>
          </c:cat>
          <c:val>
            <c:numRef>
              <c:f>Lancamentos!$J$5:$J$3000</c:f>
              <c:numCache>
                <c:formatCode>0.0</c:formatCode>
                <c:ptCount val="2996"/>
                <c:pt idx="0">
                  <c:v>119.7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662557"/>
        <c:axId val="5256497"/>
      </c:lineChart>
      <c:catAx>
        <c:axId val="39662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 da leitura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6497"/>
        <c:crosses val="autoZero"/>
        <c:auto val="1"/>
        <c:lblAlgn val="ctr"/>
        <c:lblOffset val="100"/>
        <c:noMultiLvlLbl val="0"/>
      </c:catAx>
      <c:valAx>
        <c:axId val="5256497"/>
        <c:scaling>
          <c:orientation val="minMax"/>
        </c:scaling>
        <c:delete val="0"/>
        <c:axPos val="l"/>
        <c:majorGridlines>
          <c:spPr>
            <a:ln w="9360">
              <a:solidFill>
                <a:srgbClr val="e4e8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Volts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625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Potência aparente — entrada x saída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Lancamentos!I4</c:f>
              <c:strCache>
                <c:ptCount val="1"/>
                <c:pt idx="0">
                  <c:v>Pi (VA)</c:v>
                </c:pt>
              </c:strCache>
            </c:strRef>
          </c:tx>
          <c:spPr>
            <a:solidFill>
              <a:srgbClr val="2a6fb5"/>
            </a:solidFill>
            <a:ln w="22320">
              <a:solidFill>
                <a:srgbClr val="2a6f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Lancamentos!$A$5:$A$3000</c:f>
              <c:strCache>
                <c:ptCount val="2996"/>
                <c:pt idx="0">
                  <c:v>18/09/2026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</c:strCache>
            </c:strRef>
          </c:cat>
          <c:val>
            <c:numRef>
              <c:f>Lancamentos!$I$5:$I$3000</c:f>
              <c:numCache>
                <c:formatCode>#,##0</c:formatCode>
                <c:ptCount val="2996"/>
                <c:pt idx="0">
                  <c:v>7196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Lancamentos!L4</c:f>
              <c:strCache>
                <c:ptCount val="1"/>
                <c:pt idx="0">
                  <c:v>Po (VA)</c:v>
                </c:pt>
              </c:strCache>
            </c:strRef>
          </c:tx>
          <c:spPr>
            <a:solidFill>
              <a:srgbClr val="00a859"/>
            </a:solidFill>
            <a:ln w="22320">
              <a:solidFill>
                <a:srgbClr val="00a8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Lancamentos!$A$5:$A$3000</c:f>
              <c:strCache>
                <c:ptCount val="2996"/>
                <c:pt idx="0">
                  <c:v>18/09/2026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</c:strCache>
            </c:strRef>
          </c:cat>
          <c:val>
            <c:numRef>
              <c:f>Lancamentos!$L$5:$L$3000</c:f>
              <c:numCache>
                <c:formatCode>#,##0</c:formatCode>
                <c:ptCount val="2996"/>
                <c:pt idx="0">
                  <c:v>5390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319385"/>
        <c:axId val="83034886"/>
      </c:lineChart>
      <c:catAx>
        <c:axId val="95319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 da leitura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34886"/>
        <c:crosses val="autoZero"/>
        <c:auto val="1"/>
        <c:lblAlgn val="ctr"/>
        <c:lblOffset val="100"/>
        <c:noMultiLvlLbl val="0"/>
      </c:catAx>
      <c:valAx>
        <c:axId val="83034886"/>
        <c:scaling>
          <c:orientation val="minMax"/>
        </c:scaling>
        <c:delete val="0"/>
        <c:axPos val="l"/>
        <c:majorGridlines>
          <c:spPr>
            <a:ln w="9360">
              <a:solidFill>
                <a:srgbClr val="e4e8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19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Corrente — entrada x saída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Lancamentos!H4</c:f>
              <c:strCache>
                <c:ptCount val="1"/>
                <c:pt idx="0">
                  <c:v>Ii (A)</c:v>
                </c:pt>
              </c:strCache>
            </c:strRef>
          </c:tx>
          <c:spPr>
            <a:solidFill>
              <a:srgbClr val="2a6fb5"/>
            </a:solidFill>
            <a:ln w="22320">
              <a:solidFill>
                <a:srgbClr val="2a6f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Lancamentos!$A$5:$A$3000</c:f>
              <c:strCache>
                <c:ptCount val="2996"/>
                <c:pt idx="0">
                  <c:v>18/09/2026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</c:strCache>
            </c:strRef>
          </c:cat>
          <c:val>
            <c:numRef>
              <c:f>Lancamentos!$H$5:$H$3000</c:f>
              <c:numCache>
                <c:formatCode>0.00</c:formatCode>
                <c:ptCount val="2996"/>
                <c:pt idx="0">
                  <c:v>18.75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Lancamentos!K4</c:f>
              <c:strCache>
                <c:ptCount val="1"/>
                <c:pt idx="0">
                  <c:v>Io (A)</c:v>
                </c:pt>
              </c:strCache>
            </c:strRef>
          </c:tx>
          <c:spPr>
            <a:solidFill>
              <a:srgbClr val="00a859"/>
            </a:solidFill>
            <a:ln w="22320">
              <a:solidFill>
                <a:srgbClr val="00a8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Lancamentos!$A$5:$A$3000</c:f>
              <c:strCache>
                <c:ptCount val="2996"/>
                <c:pt idx="0">
                  <c:v>18/09/2026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/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/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  <c:pt idx="1999">
                  <c:v/>
                </c:pt>
                <c:pt idx="2000">
                  <c:v/>
                </c:pt>
                <c:pt idx="2001">
                  <c:v/>
                </c:pt>
                <c:pt idx="2002">
                  <c:v/>
                </c:pt>
                <c:pt idx="2003">
                  <c:v/>
                </c:pt>
                <c:pt idx="2004">
                  <c:v/>
                </c:pt>
                <c:pt idx="2005">
                  <c:v/>
                </c:pt>
                <c:pt idx="2006">
                  <c:v/>
                </c:pt>
                <c:pt idx="2007">
                  <c:v/>
                </c:pt>
                <c:pt idx="2008">
                  <c:v/>
                </c:pt>
                <c:pt idx="2009">
                  <c:v/>
                </c:pt>
                <c:pt idx="2010">
                  <c:v/>
                </c:pt>
                <c:pt idx="2011">
                  <c:v/>
                </c:pt>
                <c:pt idx="2012">
                  <c:v/>
                </c:pt>
                <c:pt idx="2013">
                  <c:v/>
                </c:pt>
                <c:pt idx="2014">
                  <c:v/>
                </c:pt>
                <c:pt idx="2015">
                  <c:v/>
                </c:pt>
                <c:pt idx="2016">
                  <c:v/>
                </c:pt>
                <c:pt idx="2017">
                  <c:v/>
                </c:pt>
                <c:pt idx="2018">
                  <c:v/>
                </c:pt>
                <c:pt idx="2019">
                  <c:v/>
                </c:pt>
                <c:pt idx="2020">
                  <c:v/>
                </c:pt>
                <c:pt idx="2021">
                  <c:v/>
                </c:pt>
                <c:pt idx="2022">
                  <c:v/>
                </c:pt>
                <c:pt idx="2023">
                  <c:v/>
                </c:pt>
                <c:pt idx="2024">
                  <c:v/>
                </c:pt>
                <c:pt idx="2025">
                  <c:v/>
                </c:pt>
                <c:pt idx="2026">
                  <c:v/>
                </c:pt>
                <c:pt idx="2027">
                  <c:v/>
                </c:pt>
                <c:pt idx="2028">
                  <c:v/>
                </c:pt>
                <c:pt idx="2029">
                  <c:v/>
                </c:pt>
                <c:pt idx="2030">
                  <c:v/>
                </c:pt>
                <c:pt idx="2031">
                  <c:v/>
                </c:pt>
                <c:pt idx="2032">
                  <c:v/>
                </c:pt>
                <c:pt idx="2033">
                  <c:v/>
                </c:pt>
                <c:pt idx="2034">
                  <c:v/>
                </c:pt>
                <c:pt idx="2035">
                  <c:v/>
                </c:pt>
                <c:pt idx="2036">
                  <c:v/>
                </c:pt>
                <c:pt idx="2037">
                  <c:v/>
                </c:pt>
                <c:pt idx="2038">
                  <c:v/>
                </c:pt>
                <c:pt idx="2039">
                  <c:v/>
                </c:pt>
                <c:pt idx="2040">
                  <c:v/>
                </c:pt>
                <c:pt idx="2041">
                  <c:v/>
                </c:pt>
                <c:pt idx="2042">
                  <c:v/>
                </c:pt>
                <c:pt idx="2043">
                  <c:v/>
                </c:pt>
                <c:pt idx="2044">
                  <c:v/>
                </c:pt>
                <c:pt idx="2045">
                  <c:v/>
                </c:pt>
                <c:pt idx="2046">
                  <c:v/>
                </c:pt>
                <c:pt idx="2047">
                  <c:v/>
                </c:pt>
                <c:pt idx="2048">
                  <c:v/>
                </c:pt>
                <c:pt idx="2049">
                  <c:v/>
                </c:pt>
                <c:pt idx="2050">
                  <c:v/>
                </c:pt>
                <c:pt idx="2051">
                  <c:v/>
                </c:pt>
                <c:pt idx="2052">
                  <c:v/>
                </c:pt>
                <c:pt idx="2053">
                  <c:v/>
                </c:pt>
                <c:pt idx="2054">
                  <c:v/>
                </c:pt>
                <c:pt idx="2055">
                  <c:v/>
                </c:pt>
                <c:pt idx="2056">
                  <c:v/>
                </c:pt>
                <c:pt idx="2057">
                  <c:v/>
                </c:pt>
                <c:pt idx="2058">
                  <c:v/>
                </c:pt>
                <c:pt idx="2059">
                  <c:v/>
                </c:pt>
                <c:pt idx="2060">
                  <c:v/>
                </c:pt>
                <c:pt idx="2061">
                  <c:v/>
                </c:pt>
                <c:pt idx="2062">
                  <c:v/>
                </c:pt>
                <c:pt idx="2063">
                  <c:v/>
                </c:pt>
                <c:pt idx="2064">
                  <c:v/>
                </c:pt>
                <c:pt idx="2065">
                  <c:v/>
                </c:pt>
                <c:pt idx="2066">
                  <c:v/>
                </c:pt>
                <c:pt idx="2067">
                  <c:v/>
                </c:pt>
                <c:pt idx="2068">
                  <c:v/>
                </c:pt>
                <c:pt idx="2069">
                  <c:v/>
                </c:pt>
                <c:pt idx="2070">
                  <c:v/>
                </c:pt>
                <c:pt idx="2071">
                  <c:v/>
                </c:pt>
                <c:pt idx="2072">
                  <c:v/>
                </c:pt>
                <c:pt idx="2073">
                  <c:v/>
                </c:pt>
                <c:pt idx="2074">
                  <c:v/>
                </c:pt>
                <c:pt idx="2075">
                  <c:v/>
                </c:pt>
                <c:pt idx="2076">
                  <c:v/>
                </c:pt>
                <c:pt idx="2077">
                  <c:v/>
                </c:pt>
                <c:pt idx="2078">
                  <c:v/>
                </c:pt>
                <c:pt idx="2079">
                  <c:v/>
                </c:pt>
                <c:pt idx="2080">
                  <c:v/>
                </c:pt>
                <c:pt idx="2081">
                  <c:v/>
                </c:pt>
                <c:pt idx="2082">
                  <c:v/>
                </c:pt>
                <c:pt idx="2083">
                  <c:v/>
                </c:pt>
                <c:pt idx="2084">
                  <c:v/>
                </c:pt>
                <c:pt idx="2085">
                  <c:v/>
                </c:pt>
                <c:pt idx="2086">
                  <c:v/>
                </c:pt>
                <c:pt idx="2087">
                  <c:v/>
                </c:pt>
                <c:pt idx="2088">
                  <c:v/>
                </c:pt>
                <c:pt idx="2089">
                  <c:v/>
                </c:pt>
                <c:pt idx="2090">
                  <c:v/>
                </c:pt>
                <c:pt idx="2091">
                  <c:v/>
                </c:pt>
                <c:pt idx="2092">
                  <c:v/>
                </c:pt>
                <c:pt idx="2093">
                  <c:v/>
                </c:pt>
                <c:pt idx="2094">
                  <c:v/>
                </c:pt>
                <c:pt idx="2095">
                  <c:v/>
                </c:pt>
                <c:pt idx="2096">
                  <c:v/>
                </c:pt>
                <c:pt idx="2097">
                  <c:v/>
                </c:pt>
                <c:pt idx="2098">
                  <c:v/>
                </c:pt>
                <c:pt idx="2099">
                  <c:v/>
                </c:pt>
                <c:pt idx="2100">
                  <c:v/>
                </c:pt>
                <c:pt idx="2101">
                  <c:v/>
                </c:pt>
                <c:pt idx="2102">
                  <c:v/>
                </c:pt>
                <c:pt idx="2103">
                  <c:v/>
                </c:pt>
                <c:pt idx="2104">
                  <c:v/>
                </c:pt>
                <c:pt idx="2105">
                  <c:v/>
                </c:pt>
                <c:pt idx="2106">
                  <c:v/>
                </c:pt>
                <c:pt idx="2107">
                  <c:v/>
                </c:pt>
                <c:pt idx="2108">
                  <c:v/>
                </c:pt>
                <c:pt idx="2109">
                  <c:v/>
                </c:pt>
                <c:pt idx="2110">
                  <c:v/>
                </c:pt>
                <c:pt idx="2111">
                  <c:v/>
                </c:pt>
                <c:pt idx="2112">
                  <c:v/>
                </c:pt>
                <c:pt idx="2113">
                  <c:v/>
                </c:pt>
                <c:pt idx="2114">
                  <c:v/>
                </c:pt>
                <c:pt idx="2115">
                  <c:v/>
                </c:pt>
                <c:pt idx="2116">
                  <c:v/>
                </c:pt>
                <c:pt idx="2117">
                  <c:v/>
                </c:pt>
                <c:pt idx="2118">
                  <c:v/>
                </c:pt>
                <c:pt idx="2119">
                  <c:v/>
                </c:pt>
                <c:pt idx="2120">
                  <c:v/>
                </c:pt>
                <c:pt idx="2121">
                  <c:v/>
                </c:pt>
                <c:pt idx="2122">
                  <c:v/>
                </c:pt>
                <c:pt idx="2123">
                  <c:v/>
                </c:pt>
                <c:pt idx="2124">
                  <c:v/>
                </c:pt>
                <c:pt idx="2125">
                  <c:v/>
                </c:pt>
                <c:pt idx="2126">
                  <c:v/>
                </c:pt>
                <c:pt idx="2127">
                  <c:v/>
                </c:pt>
                <c:pt idx="2128">
                  <c:v/>
                </c:pt>
                <c:pt idx="2129">
                  <c:v/>
                </c:pt>
                <c:pt idx="2130">
                  <c:v/>
                </c:pt>
                <c:pt idx="2131">
                  <c:v/>
                </c:pt>
                <c:pt idx="2132">
                  <c:v/>
                </c:pt>
                <c:pt idx="2133">
                  <c:v/>
                </c:pt>
                <c:pt idx="2134">
                  <c:v/>
                </c:pt>
                <c:pt idx="2135">
                  <c:v/>
                </c:pt>
                <c:pt idx="2136">
                  <c:v/>
                </c:pt>
                <c:pt idx="2137">
                  <c:v/>
                </c:pt>
                <c:pt idx="2138">
                  <c:v/>
                </c:pt>
                <c:pt idx="2139">
                  <c:v/>
                </c:pt>
                <c:pt idx="2140">
                  <c:v/>
                </c:pt>
                <c:pt idx="2141">
                  <c:v/>
                </c:pt>
                <c:pt idx="2142">
                  <c:v/>
                </c:pt>
                <c:pt idx="2143">
                  <c:v/>
                </c:pt>
                <c:pt idx="2144">
                  <c:v/>
                </c:pt>
                <c:pt idx="2145">
                  <c:v/>
                </c:pt>
                <c:pt idx="2146">
                  <c:v/>
                </c:pt>
                <c:pt idx="2147">
                  <c:v/>
                </c:pt>
                <c:pt idx="2148">
                  <c:v/>
                </c:pt>
                <c:pt idx="2149">
                  <c:v/>
                </c:pt>
                <c:pt idx="2150">
                  <c:v/>
                </c:pt>
                <c:pt idx="2151">
                  <c:v/>
                </c:pt>
                <c:pt idx="2152">
                  <c:v/>
                </c:pt>
                <c:pt idx="2153">
                  <c:v/>
                </c:pt>
                <c:pt idx="2154">
                  <c:v/>
                </c:pt>
                <c:pt idx="2155">
                  <c:v/>
                </c:pt>
                <c:pt idx="2156">
                  <c:v/>
                </c:pt>
                <c:pt idx="2157">
                  <c:v/>
                </c:pt>
                <c:pt idx="2158">
                  <c:v/>
                </c:pt>
                <c:pt idx="2159">
                  <c:v/>
                </c:pt>
                <c:pt idx="2160">
                  <c:v/>
                </c:pt>
                <c:pt idx="2161">
                  <c:v/>
                </c:pt>
                <c:pt idx="2162">
                  <c:v/>
                </c:pt>
                <c:pt idx="2163">
                  <c:v/>
                </c:pt>
                <c:pt idx="2164">
                  <c:v/>
                </c:pt>
                <c:pt idx="2165">
                  <c:v/>
                </c:pt>
                <c:pt idx="2166">
                  <c:v/>
                </c:pt>
                <c:pt idx="2167">
                  <c:v/>
                </c:pt>
                <c:pt idx="2168">
                  <c:v/>
                </c:pt>
                <c:pt idx="2169">
                  <c:v/>
                </c:pt>
                <c:pt idx="2170">
                  <c:v/>
                </c:pt>
                <c:pt idx="2171">
                  <c:v/>
                </c:pt>
                <c:pt idx="2172">
                  <c:v/>
                </c:pt>
                <c:pt idx="2173">
                  <c:v/>
                </c:pt>
                <c:pt idx="2174">
                  <c:v/>
                </c:pt>
                <c:pt idx="2175">
                  <c:v/>
                </c:pt>
                <c:pt idx="2176">
                  <c:v/>
                </c:pt>
                <c:pt idx="2177">
                  <c:v/>
                </c:pt>
                <c:pt idx="2178">
                  <c:v/>
                </c:pt>
                <c:pt idx="2179">
                  <c:v/>
                </c:pt>
                <c:pt idx="2180">
                  <c:v/>
                </c:pt>
                <c:pt idx="2181">
                  <c:v/>
                </c:pt>
                <c:pt idx="2182">
                  <c:v/>
                </c:pt>
                <c:pt idx="2183">
                  <c:v/>
                </c:pt>
                <c:pt idx="2184">
                  <c:v/>
                </c:pt>
                <c:pt idx="2185">
                  <c:v/>
                </c:pt>
                <c:pt idx="2186">
                  <c:v/>
                </c:pt>
                <c:pt idx="2187">
                  <c:v/>
                </c:pt>
                <c:pt idx="2188">
                  <c:v/>
                </c:pt>
                <c:pt idx="2189">
                  <c:v/>
                </c:pt>
                <c:pt idx="2190">
                  <c:v/>
                </c:pt>
                <c:pt idx="2191">
                  <c:v/>
                </c:pt>
                <c:pt idx="2192">
                  <c:v/>
                </c:pt>
                <c:pt idx="2193">
                  <c:v/>
                </c:pt>
                <c:pt idx="2194">
                  <c:v/>
                </c:pt>
                <c:pt idx="2195">
                  <c:v/>
                </c:pt>
                <c:pt idx="2196">
                  <c:v/>
                </c:pt>
                <c:pt idx="2197">
                  <c:v/>
                </c:pt>
                <c:pt idx="2198">
                  <c:v/>
                </c:pt>
                <c:pt idx="2199">
                  <c:v/>
                </c:pt>
                <c:pt idx="2200">
                  <c:v/>
                </c:pt>
                <c:pt idx="2201">
                  <c:v/>
                </c:pt>
                <c:pt idx="2202">
                  <c:v/>
                </c:pt>
                <c:pt idx="2203">
                  <c:v/>
                </c:pt>
                <c:pt idx="2204">
                  <c:v/>
                </c:pt>
                <c:pt idx="2205">
                  <c:v/>
                </c:pt>
                <c:pt idx="2206">
                  <c:v/>
                </c:pt>
                <c:pt idx="2207">
                  <c:v/>
                </c:pt>
                <c:pt idx="2208">
                  <c:v/>
                </c:pt>
                <c:pt idx="2209">
                  <c:v/>
                </c:pt>
                <c:pt idx="2210">
                  <c:v/>
                </c:pt>
                <c:pt idx="2211">
                  <c:v/>
                </c:pt>
                <c:pt idx="2212">
                  <c:v/>
                </c:pt>
                <c:pt idx="2213">
                  <c:v/>
                </c:pt>
                <c:pt idx="2214">
                  <c:v/>
                </c:pt>
                <c:pt idx="2215">
                  <c:v/>
                </c:pt>
                <c:pt idx="2216">
                  <c:v/>
                </c:pt>
                <c:pt idx="2217">
                  <c:v/>
                </c:pt>
                <c:pt idx="2218">
                  <c:v/>
                </c:pt>
                <c:pt idx="2219">
                  <c:v/>
                </c:pt>
                <c:pt idx="2220">
                  <c:v/>
                </c:pt>
                <c:pt idx="2221">
                  <c:v/>
                </c:pt>
                <c:pt idx="2222">
                  <c:v/>
                </c:pt>
                <c:pt idx="2223">
                  <c:v/>
                </c:pt>
                <c:pt idx="2224">
                  <c:v/>
                </c:pt>
                <c:pt idx="2225">
                  <c:v/>
                </c:pt>
                <c:pt idx="2226">
                  <c:v/>
                </c:pt>
                <c:pt idx="2227">
                  <c:v/>
                </c:pt>
                <c:pt idx="2228">
                  <c:v/>
                </c:pt>
                <c:pt idx="2229">
                  <c:v/>
                </c:pt>
                <c:pt idx="2230">
                  <c:v/>
                </c:pt>
                <c:pt idx="2231">
                  <c:v/>
                </c:pt>
                <c:pt idx="2232">
                  <c:v/>
                </c:pt>
                <c:pt idx="2233">
                  <c:v/>
                </c:pt>
                <c:pt idx="2234">
                  <c:v/>
                </c:pt>
                <c:pt idx="2235">
                  <c:v/>
                </c:pt>
                <c:pt idx="2236">
                  <c:v/>
                </c:pt>
                <c:pt idx="2237">
                  <c:v/>
                </c:pt>
                <c:pt idx="2238">
                  <c:v/>
                </c:pt>
                <c:pt idx="2239">
                  <c:v/>
                </c:pt>
                <c:pt idx="2240">
                  <c:v/>
                </c:pt>
                <c:pt idx="2241">
                  <c:v/>
                </c:pt>
                <c:pt idx="2242">
                  <c:v/>
                </c:pt>
                <c:pt idx="2243">
                  <c:v/>
                </c:pt>
                <c:pt idx="2244">
                  <c:v/>
                </c:pt>
                <c:pt idx="2245">
                  <c:v/>
                </c:pt>
                <c:pt idx="2246">
                  <c:v/>
                </c:pt>
                <c:pt idx="2247">
                  <c:v/>
                </c:pt>
                <c:pt idx="2248">
                  <c:v/>
                </c:pt>
                <c:pt idx="2249">
                  <c:v/>
                </c:pt>
                <c:pt idx="2250">
                  <c:v/>
                </c:pt>
                <c:pt idx="2251">
                  <c:v/>
                </c:pt>
                <c:pt idx="2252">
                  <c:v/>
                </c:pt>
                <c:pt idx="2253">
                  <c:v/>
                </c:pt>
                <c:pt idx="2254">
                  <c:v/>
                </c:pt>
                <c:pt idx="2255">
                  <c:v/>
                </c:pt>
                <c:pt idx="2256">
                  <c:v/>
                </c:pt>
                <c:pt idx="2257">
                  <c:v/>
                </c:pt>
                <c:pt idx="2258">
                  <c:v/>
                </c:pt>
                <c:pt idx="2259">
                  <c:v/>
                </c:pt>
                <c:pt idx="2260">
                  <c:v/>
                </c:pt>
                <c:pt idx="2261">
                  <c:v/>
                </c:pt>
                <c:pt idx="2262">
                  <c:v/>
                </c:pt>
                <c:pt idx="2263">
                  <c:v/>
                </c:pt>
                <c:pt idx="2264">
                  <c:v/>
                </c:pt>
                <c:pt idx="2265">
                  <c:v/>
                </c:pt>
                <c:pt idx="2266">
                  <c:v/>
                </c:pt>
                <c:pt idx="2267">
                  <c:v/>
                </c:pt>
                <c:pt idx="2268">
                  <c:v/>
                </c:pt>
                <c:pt idx="2269">
                  <c:v/>
                </c:pt>
                <c:pt idx="2270">
                  <c:v/>
                </c:pt>
                <c:pt idx="2271">
                  <c:v/>
                </c:pt>
                <c:pt idx="2272">
                  <c:v/>
                </c:pt>
                <c:pt idx="2273">
                  <c:v/>
                </c:pt>
                <c:pt idx="2274">
                  <c:v/>
                </c:pt>
                <c:pt idx="2275">
                  <c:v/>
                </c:pt>
                <c:pt idx="2276">
                  <c:v/>
                </c:pt>
                <c:pt idx="2277">
                  <c:v/>
                </c:pt>
                <c:pt idx="2278">
                  <c:v/>
                </c:pt>
                <c:pt idx="2279">
                  <c:v/>
                </c:pt>
                <c:pt idx="2280">
                  <c:v/>
                </c:pt>
                <c:pt idx="2281">
                  <c:v/>
                </c:pt>
                <c:pt idx="2282">
                  <c:v/>
                </c:pt>
                <c:pt idx="2283">
                  <c:v/>
                </c:pt>
                <c:pt idx="2284">
                  <c:v/>
                </c:pt>
                <c:pt idx="2285">
                  <c:v/>
                </c:pt>
                <c:pt idx="2286">
                  <c:v/>
                </c:pt>
                <c:pt idx="2287">
                  <c:v/>
                </c:pt>
                <c:pt idx="2288">
                  <c:v/>
                </c:pt>
                <c:pt idx="2289">
                  <c:v/>
                </c:pt>
                <c:pt idx="2290">
                  <c:v/>
                </c:pt>
                <c:pt idx="2291">
                  <c:v/>
                </c:pt>
                <c:pt idx="2292">
                  <c:v/>
                </c:pt>
                <c:pt idx="2293">
                  <c:v/>
                </c:pt>
                <c:pt idx="2294">
                  <c:v/>
                </c:pt>
                <c:pt idx="2295">
                  <c:v/>
                </c:pt>
                <c:pt idx="2296">
                  <c:v/>
                </c:pt>
                <c:pt idx="2297">
                  <c:v/>
                </c:pt>
                <c:pt idx="2298">
                  <c:v/>
                </c:pt>
                <c:pt idx="2299">
                  <c:v/>
                </c:pt>
                <c:pt idx="2300">
                  <c:v/>
                </c:pt>
                <c:pt idx="2301">
                  <c:v/>
                </c:pt>
                <c:pt idx="2302">
                  <c:v/>
                </c:pt>
                <c:pt idx="2303">
                  <c:v/>
                </c:pt>
                <c:pt idx="2304">
                  <c:v/>
                </c:pt>
                <c:pt idx="2305">
                  <c:v/>
                </c:pt>
                <c:pt idx="2306">
                  <c:v/>
                </c:pt>
                <c:pt idx="2307">
                  <c:v/>
                </c:pt>
                <c:pt idx="2308">
                  <c:v/>
                </c:pt>
                <c:pt idx="2309">
                  <c:v/>
                </c:pt>
                <c:pt idx="2310">
                  <c:v/>
                </c:pt>
                <c:pt idx="2311">
                  <c:v/>
                </c:pt>
                <c:pt idx="2312">
                  <c:v/>
                </c:pt>
                <c:pt idx="2313">
                  <c:v/>
                </c:pt>
                <c:pt idx="2314">
                  <c:v/>
                </c:pt>
                <c:pt idx="2315">
                  <c:v/>
                </c:pt>
                <c:pt idx="2316">
                  <c:v/>
                </c:pt>
                <c:pt idx="2317">
                  <c:v/>
                </c:pt>
                <c:pt idx="2318">
                  <c:v/>
                </c:pt>
                <c:pt idx="2319">
                  <c:v/>
                </c:pt>
                <c:pt idx="2320">
                  <c:v/>
                </c:pt>
                <c:pt idx="2321">
                  <c:v/>
                </c:pt>
                <c:pt idx="2322">
                  <c:v/>
                </c:pt>
                <c:pt idx="2323">
                  <c:v/>
                </c:pt>
                <c:pt idx="2324">
                  <c:v/>
                </c:pt>
                <c:pt idx="2325">
                  <c:v/>
                </c:pt>
                <c:pt idx="2326">
                  <c:v/>
                </c:pt>
                <c:pt idx="2327">
                  <c:v/>
                </c:pt>
                <c:pt idx="2328">
                  <c:v/>
                </c:pt>
                <c:pt idx="2329">
                  <c:v/>
                </c:pt>
                <c:pt idx="2330">
                  <c:v/>
                </c:pt>
                <c:pt idx="2331">
                  <c:v/>
                </c:pt>
                <c:pt idx="2332">
                  <c:v/>
                </c:pt>
                <c:pt idx="2333">
                  <c:v/>
                </c:pt>
                <c:pt idx="2334">
                  <c:v/>
                </c:pt>
                <c:pt idx="2335">
                  <c:v/>
                </c:pt>
                <c:pt idx="2336">
                  <c:v/>
                </c:pt>
                <c:pt idx="2337">
                  <c:v/>
                </c:pt>
                <c:pt idx="2338">
                  <c:v/>
                </c:pt>
                <c:pt idx="2339">
                  <c:v/>
                </c:pt>
                <c:pt idx="2340">
                  <c:v/>
                </c:pt>
                <c:pt idx="2341">
                  <c:v/>
                </c:pt>
                <c:pt idx="2342">
                  <c:v/>
                </c:pt>
                <c:pt idx="2343">
                  <c:v/>
                </c:pt>
                <c:pt idx="2344">
                  <c:v/>
                </c:pt>
                <c:pt idx="2345">
                  <c:v/>
                </c:pt>
                <c:pt idx="2346">
                  <c:v/>
                </c:pt>
                <c:pt idx="2347">
                  <c:v/>
                </c:pt>
                <c:pt idx="2348">
                  <c:v/>
                </c:pt>
                <c:pt idx="2349">
                  <c:v/>
                </c:pt>
                <c:pt idx="2350">
                  <c:v/>
                </c:pt>
                <c:pt idx="2351">
                  <c:v/>
                </c:pt>
                <c:pt idx="2352">
                  <c:v/>
                </c:pt>
                <c:pt idx="2353">
                  <c:v/>
                </c:pt>
                <c:pt idx="2354">
                  <c:v/>
                </c:pt>
                <c:pt idx="2355">
                  <c:v/>
                </c:pt>
                <c:pt idx="2356">
                  <c:v/>
                </c:pt>
                <c:pt idx="2357">
                  <c:v/>
                </c:pt>
                <c:pt idx="2358">
                  <c:v/>
                </c:pt>
                <c:pt idx="2359">
                  <c:v/>
                </c:pt>
                <c:pt idx="2360">
                  <c:v/>
                </c:pt>
                <c:pt idx="2361">
                  <c:v/>
                </c:pt>
                <c:pt idx="2362">
                  <c:v/>
                </c:pt>
                <c:pt idx="2363">
                  <c:v/>
                </c:pt>
                <c:pt idx="2364">
                  <c:v/>
                </c:pt>
                <c:pt idx="2365">
                  <c:v/>
                </c:pt>
                <c:pt idx="2366">
                  <c:v/>
                </c:pt>
                <c:pt idx="2367">
                  <c:v/>
                </c:pt>
                <c:pt idx="2368">
                  <c:v/>
                </c:pt>
                <c:pt idx="2369">
                  <c:v/>
                </c:pt>
                <c:pt idx="2370">
                  <c:v/>
                </c:pt>
                <c:pt idx="2371">
                  <c:v/>
                </c:pt>
                <c:pt idx="2372">
                  <c:v/>
                </c:pt>
                <c:pt idx="2373">
                  <c:v/>
                </c:pt>
                <c:pt idx="2374">
                  <c:v/>
                </c:pt>
                <c:pt idx="2375">
                  <c:v/>
                </c:pt>
                <c:pt idx="2376">
                  <c:v/>
                </c:pt>
                <c:pt idx="2377">
                  <c:v/>
                </c:pt>
                <c:pt idx="2378">
                  <c:v/>
                </c:pt>
                <c:pt idx="2379">
                  <c:v/>
                </c:pt>
                <c:pt idx="2380">
                  <c:v/>
                </c:pt>
                <c:pt idx="2381">
                  <c:v/>
                </c:pt>
                <c:pt idx="2382">
                  <c:v/>
                </c:pt>
                <c:pt idx="2383">
                  <c:v/>
                </c:pt>
                <c:pt idx="2384">
                  <c:v/>
                </c:pt>
                <c:pt idx="2385">
                  <c:v/>
                </c:pt>
                <c:pt idx="2386">
                  <c:v/>
                </c:pt>
                <c:pt idx="2387">
                  <c:v/>
                </c:pt>
                <c:pt idx="2388">
                  <c:v/>
                </c:pt>
                <c:pt idx="2389">
                  <c:v/>
                </c:pt>
                <c:pt idx="2390">
                  <c:v/>
                </c:pt>
                <c:pt idx="2391">
                  <c:v/>
                </c:pt>
                <c:pt idx="2392">
                  <c:v/>
                </c:pt>
                <c:pt idx="2393">
                  <c:v/>
                </c:pt>
                <c:pt idx="2394">
                  <c:v/>
                </c:pt>
                <c:pt idx="2395">
                  <c:v/>
                </c:pt>
                <c:pt idx="2396">
                  <c:v/>
                </c:pt>
                <c:pt idx="2397">
                  <c:v/>
                </c:pt>
                <c:pt idx="2398">
                  <c:v/>
                </c:pt>
                <c:pt idx="2399">
                  <c:v/>
                </c:pt>
                <c:pt idx="2400">
                  <c:v/>
                </c:pt>
                <c:pt idx="2401">
                  <c:v/>
                </c:pt>
                <c:pt idx="2402">
                  <c:v/>
                </c:pt>
                <c:pt idx="2403">
                  <c:v/>
                </c:pt>
                <c:pt idx="2404">
                  <c:v/>
                </c:pt>
                <c:pt idx="2405">
                  <c:v/>
                </c:pt>
                <c:pt idx="2406">
                  <c:v/>
                </c:pt>
                <c:pt idx="2407">
                  <c:v/>
                </c:pt>
                <c:pt idx="2408">
                  <c:v/>
                </c:pt>
                <c:pt idx="2409">
                  <c:v/>
                </c:pt>
                <c:pt idx="2410">
                  <c:v/>
                </c:pt>
                <c:pt idx="2411">
                  <c:v/>
                </c:pt>
                <c:pt idx="2412">
                  <c:v/>
                </c:pt>
                <c:pt idx="2413">
                  <c:v/>
                </c:pt>
                <c:pt idx="2414">
                  <c:v/>
                </c:pt>
                <c:pt idx="2415">
                  <c:v/>
                </c:pt>
                <c:pt idx="2416">
                  <c:v/>
                </c:pt>
                <c:pt idx="2417">
                  <c:v/>
                </c:pt>
                <c:pt idx="2418">
                  <c:v/>
                </c:pt>
                <c:pt idx="2419">
                  <c:v/>
                </c:pt>
                <c:pt idx="2420">
                  <c:v/>
                </c:pt>
                <c:pt idx="2421">
                  <c:v/>
                </c:pt>
                <c:pt idx="2422">
                  <c:v/>
                </c:pt>
                <c:pt idx="2423">
                  <c:v/>
                </c:pt>
                <c:pt idx="2424">
                  <c:v/>
                </c:pt>
                <c:pt idx="2425">
                  <c:v/>
                </c:pt>
                <c:pt idx="2426">
                  <c:v/>
                </c:pt>
                <c:pt idx="2427">
                  <c:v/>
                </c:pt>
                <c:pt idx="2428">
                  <c:v/>
                </c:pt>
                <c:pt idx="2429">
                  <c:v/>
                </c:pt>
                <c:pt idx="2430">
                  <c:v/>
                </c:pt>
                <c:pt idx="2431">
                  <c:v/>
                </c:pt>
                <c:pt idx="2432">
                  <c:v/>
                </c:pt>
                <c:pt idx="2433">
                  <c:v/>
                </c:pt>
                <c:pt idx="2434">
                  <c:v/>
                </c:pt>
                <c:pt idx="2435">
                  <c:v/>
                </c:pt>
                <c:pt idx="2436">
                  <c:v/>
                </c:pt>
                <c:pt idx="2437">
                  <c:v/>
                </c:pt>
                <c:pt idx="2438">
                  <c:v/>
                </c:pt>
                <c:pt idx="2439">
                  <c:v/>
                </c:pt>
                <c:pt idx="2440">
                  <c:v/>
                </c:pt>
                <c:pt idx="2441">
                  <c:v/>
                </c:pt>
                <c:pt idx="2442">
                  <c:v/>
                </c:pt>
                <c:pt idx="2443">
                  <c:v/>
                </c:pt>
                <c:pt idx="2444">
                  <c:v/>
                </c:pt>
                <c:pt idx="2445">
                  <c:v/>
                </c:pt>
                <c:pt idx="2446">
                  <c:v/>
                </c:pt>
                <c:pt idx="2447">
                  <c:v/>
                </c:pt>
                <c:pt idx="2448">
                  <c:v/>
                </c:pt>
                <c:pt idx="2449">
                  <c:v/>
                </c:pt>
                <c:pt idx="2450">
                  <c:v/>
                </c:pt>
                <c:pt idx="2451">
                  <c:v/>
                </c:pt>
                <c:pt idx="2452">
                  <c:v/>
                </c:pt>
                <c:pt idx="2453">
                  <c:v/>
                </c:pt>
                <c:pt idx="2454">
                  <c:v/>
                </c:pt>
                <c:pt idx="2455">
                  <c:v/>
                </c:pt>
                <c:pt idx="2456">
                  <c:v/>
                </c:pt>
                <c:pt idx="2457">
                  <c:v/>
                </c:pt>
                <c:pt idx="2458">
                  <c:v/>
                </c:pt>
                <c:pt idx="2459">
                  <c:v/>
                </c:pt>
                <c:pt idx="2460">
                  <c:v/>
                </c:pt>
                <c:pt idx="2461">
                  <c:v/>
                </c:pt>
                <c:pt idx="2462">
                  <c:v/>
                </c:pt>
                <c:pt idx="2463">
                  <c:v/>
                </c:pt>
                <c:pt idx="2464">
                  <c:v/>
                </c:pt>
                <c:pt idx="2465">
                  <c:v/>
                </c:pt>
                <c:pt idx="2466">
                  <c:v/>
                </c:pt>
                <c:pt idx="2467">
                  <c:v/>
                </c:pt>
                <c:pt idx="2468">
                  <c:v/>
                </c:pt>
                <c:pt idx="2469">
                  <c:v/>
                </c:pt>
                <c:pt idx="2470">
                  <c:v/>
                </c:pt>
                <c:pt idx="2471">
                  <c:v/>
                </c:pt>
                <c:pt idx="2472">
                  <c:v/>
                </c:pt>
                <c:pt idx="2473">
                  <c:v/>
                </c:pt>
                <c:pt idx="2474">
                  <c:v/>
                </c:pt>
                <c:pt idx="2475">
                  <c:v/>
                </c:pt>
                <c:pt idx="2476">
                  <c:v/>
                </c:pt>
                <c:pt idx="2477">
                  <c:v/>
                </c:pt>
                <c:pt idx="2478">
                  <c:v/>
                </c:pt>
                <c:pt idx="2479">
                  <c:v/>
                </c:pt>
                <c:pt idx="2480">
                  <c:v/>
                </c:pt>
                <c:pt idx="2481">
                  <c:v/>
                </c:pt>
                <c:pt idx="2482">
                  <c:v/>
                </c:pt>
                <c:pt idx="2483">
                  <c:v/>
                </c:pt>
                <c:pt idx="2484">
                  <c:v/>
                </c:pt>
                <c:pt idx="2485">
                  <c:v/>
                </c:pt>
                <c:pt idx="2486">
                  <c:v/>
                </c:pt>
                <c:pt idx="2487">
                  <c:v/>
                </c:pt>
                <c:pt idx="2488">
                  <c:v/>
                </c:pt>
                <c:pt idx="2489">
                  <c:v/>
                </c:pt>
                <c:pt idx="2490">
                  <c:v/>
                </c:pt>
                <c:pt idx="2491">
                  <c:v/>
                </c:pt>
                <c:pt idx="2492">
                  <c:v/>
                </c:pt>
                <c:pt idx="2493">
                  <c:v/>
                </c:pt>
                <c:pt idx="2494">
                  <c:v/>
                </c:pt>
                <c:pt idx="2495">
                  <c:v/>
                </c:pt>
                <c:pt idx="2496">
                  <c:v/>
                </c:pt>
                <c:pt idx="2497">
                  <c:v/>
                </c:pt>
                <c:pt idx="2498">
                  <c:v/>
                </c:pt>
                <c:pt idx="2499">
                  <c:v/>
                </c:pt>
                <c:pt idx="2500">
                  <c:v/>
                </c:pt>
                <c:pt idx="2501">
                  <c:v/>
                </c:pt>
                <c:pt idx="2502">
                  <c:v/>
                </c:pt>
                <c:pt idx="2503">
                  <c:v/>
                </c:pt>
                <c:pt idx="2504">
                  <c:v/>
                </c:pt>
                <c:pt idx="2505">
                  <c:v/>
                </c:pt>
                <c:pt idx="2506">
                  <c:v/>
                </c:pt>
                <c:pt idx="2507">
                  <c:v/>
                </c:pt>
                <c:pt idx="2508">
                  <c:v/>
                </c:pt>
                <c:pt idx="2509">
                  <c:v/>
                </c:pt>
                <c:pt idx="2510">
                  <c:v/>
                </c:pt>
                <c:pt idx="2511">
                  <c:v/>
                </c:pt>
                <c:pt idx="2512">
                  <c:v/>
                </c:pt>
                <c:pt idx="2513">
                  <c:v/>
                </c:pt>
                <c:pt idx="2514">
                  <c:v/>
                </c:pt>
                <c:pt idx="2515">
                  <c:v/>
                </c:pt>
                <c:pt idx="2516">
                  <c:v/>
                </c:pt>
                <c:pt idx="2517">
                  <c:v/>
                </c:pt>
                <c:pt idx="2518">
                  <c:v/>
                </c:pt>
                <c:pt idx="2519">
                  <c:v/>
                </c:pt>
                <c:pt idx="2520">
                  <c:v/>
                </c:pt>
                <c:pt idx="2521">
                  <c:v/>
                </c:pt>
                <c:pt idx="2522">
                  <c:v/>
                </c:pt>
                <c:pt idx="2523">
                  <c:v/>
                </c:pt>
                <c:pt idx="2524">
                  <c:v/>
                </c:pt>
                <c:pt idx="2525">
                  <c:v/>
                </c:pt>
                <c:pt idx="2526">
                  <c:v/>
                </c:pt>
                <c:pt idx="2527">
                  <c:v/>
                </c:pt>
                <c:pt idx="2528">
                  <c:v/>
                </c:pt>
                <c:pt idx="2529">
                  <c:v/>
                </c:pt>
                <c:pt idx="2530">
                  <c:v/>
                </c:pt>
                <c:pt idx="2531">
                  <c:v/>
                </c:pt>
                <c:pt idx="2532">
                  <c:v/>
                </c:pt>
                <c:pt idx="2533">
                  <c:v/>
                </c:pt>
                <c:pt idx="2534">
                  <c:v/>
                </c:pt>
                <c:pt idx="2535">
                  <c:v/>
                </c:pt>
                <c:pt idx="2536">
                  <c:v/>
                </c:pt>
                <c:pt idx="2537">
                  <c:v/>
                </c:pt>
                <c:pt idx="2538">
                  <c:v/>
                </c:pt>
                <c:pt idx="2539">
                  <c:v/>
                </c:pt>
                <c:pt idx="2540">
                  <c:v/>
                </c:pt>
                <c:pt idx="2541">
                  <c:v/>
                </c:pt>
                <c:pt idx="2542">
                  <c:v/>
                </c:pt>
                <c:pt idx="2543">
                  <c:v/>
                </c:pt>
                <c:pt idx="2544">
                  <c:v/>
                </c:pt>
                <c:pt idx="2545">
                  <c:v/>
                </c:pt>
                <c:pt idx="2546">
                  <c:v/>
                </c:pt>
                <c:pt idx="2547">
                  <c:v/>
                </c:pt>
                <c:pt idx="2548">
                  <c:v/>
                </c:pt>
                <c:pt idx="2549">
                  <c:v/>
                </c:pt>
                <c:pt idx="2550">
                  <c:v/>
                </c:pt>
                <c:pt idx="2551">
                  <c:v/>
                </c:pt>
                <c:pt idx="2552">
                  <c:v/>
                </c:pt>
                <c:pt idx="2553">
                  <c:v/>
                </c:pt>
                <c:pt idx="2554">
                  <c:v/>
                </c:pt>
                <c:pt idx="2555">
                  <c:v/>
                </c:pt>
                <c:pt idx="2556">
                  <c:v/>
                </c:pt>
                <c:pt idx="2557">
                  <c:v/>
                </c:pt>
                <c:pt idx="2558">
                  <c:v/>
                </c:pt>
                <c:pt idx="2559">
                  <c:v/>
                </c:pt>
                <c:pt idx="2560">
                  <c:v/>
                </c:pt>
                <c:pt idx="2561">
                  <c:v/>
                </c:pt>
                <c:pt idx="2562">
                  <c:v/>
                </c:pt>
                <c:pt idx="2563">
                  <c:v/>
                </c:pt>
                <c:pt idx="2564">
                  <c:v/>
                </c:pt>
                <c:pt idx="2565">
                  <c:v/>
                </c:pt>
                <c:pt idx="2566">
                  <c:v/>
                </c:pt>
                <c:pt idx="2567">
                  <c:v/>
                </c:pt>
                <c:pt idx="2568">
                  <c:v/>
                </c:pt>
                <c:pt idx="2569">
                  <c:v/>
                </c:pt>
                <c:pt idx="2570">
                  <c:v/>
                </c:pt>
                <c:pt idx="2571">
                  <c:v/>
                </c:pt>
                <c:pt idx="2572">
                  <c:v/>
                </c:pt>
                <c:pt idx="2573">
                  <c:v/>
                </c:pt>
                <c:pt idx="2574">
                  <c:v/>
                </c:pt>
                <c:pt idx="2575">
                  <c:v/>
                </c:pt>
                <c:pt idx="2576">
                  <c:v/>
                </c:pt>
                <c:pt idx="2577">
                  <c:v/>
                </c:pt>
                <c:pt idx="2578">
                  <c:v/>
                </c:pt>
                <c:pt idx="2579">
                  <c:v/>
                </c:pt>
                <c:pt idx="2580">
                  <c:v/>
                </c:pt>
                <c:pt idx="2581">
                  <c:v/>
                </c:pt>
                <c:pt idx="2582">
                  <c:v/>
                </c:pt>
                <c:pt idx="2583">
                  <c:v/>
                </c:pt>
                <c:pt idx="2584">
                  <c:v/>
                </c:pt>
                <c:pt idx="2585">
                  <c:v/>
                </c:pt>
                <c:pt idx="2586">
                  <c:v/>
                </c:pt>
                <c:pt idx="2587">
                  <c:v/>
                </c:pt>
                <c:pt idx="2588">
                  <c:v/>
                </c:pt>
                <c:pt idx="2589">
                  <c:v/>
                </c:pt>
                <c:pt idx="2590">
                  <c:v/>
                </c:pt>
                <c:pt idx="2591">
                  <c:v/>
                </c:pt>
                <c:pt idx="2592">
                  <c:v/>
                </c:pt>
                <c:pt idx="2593">
                  <c:v/>
                </c:pt>
                <c:pt idx="2594">
                  <c:v/>
                </c:pt>
                <c:pt idx="2595">
                  <c:v/>
                </c:pt>
                <c:pt idx="2596">
                  <c:v/>
                </c:pt>
                <c:pt idx="2597">
                  <c:v/>
                </c:pt>
                <c:pt idx="2598">
                  <c:v/>
                </c:pt>
                <c:pt idx="2599">
                  <c:v/>
                </c:pt>
                <c:pt idx="2600">
                  <c:v/>
                </c:pt>
                <c:pt idx="2601">
                  <c:v/>
                </c:pt>
                <c:pt idx="2602">
                  <c:v/>
                </c:pt>
                <c:pt idx="2603">
                  <c:v/>
                </c:pt>
                <c:pt idx="2604">
                  <c:v/>
                </c:pt>
                <c:pt idx="2605">
                  <c:v/>
                </c:pt>
                <c:pt idx="2606">
                  <c:v/>
                </c:pt>
                <c:pt idx="2607">
                  <c:v/>
                </c:pt>
                <c:pt idx="2608">
                  <c:v/>
                </c:pt>
                <c:pt idx="2609">
                  <c:v/>
                </c:pt>
                <c:pt idx="2610">
                  <c:v/>
                </c:pt>
                <c:pt idx="2611">
                  <c:v/>
                </c:pt>
                <c:pt idx="2612">
                  <c:v/>
                </c:pt>
                <c:pt idx="2613">
                  <c:v/>
                </c:pt>
                <c:pt idx="2614">
                  <c:v/>
                </c:pt>
                <c:pt idx="2615">
                  <c:v/>
                </c:pt>
                <c:pt idx="2616">
                  <c:v/>
                </c:pt>
                <c:pt idx="2617">
                  <c:v/>
                </c:pt>
                <c:pt idx="2618">
                  <c:v/>
                </c:pt>
                <c:pt idx="2619">
                  <c:v/>
                </c:pt>
                <c:pt idx="2620">
                  <c:v/>
                </c:pt>
                <c:pt idx="2621">
                  <c:v/>
                </c:pt>
                <c:pt idx="2622">
                  <c:v/>
                </c:pt>
                <c:pt idx="2623">
                  <c:v/>
                </c:pt>
                <c:pt idx="2624">
                  <c:v/>
                </c:pt>
                <c:pt idx="2625">
                  <c:v/>
                </c:pt>
                <c:pt idx="2626">
                  <c:v/>
                </c:pt>
                <c:pt idx="2627">
                  <c:v/>
                </c:pt>
                <c:pt idx="2628">
                  <c:v/>
                </c:pt>
                <c:pt idx="2629">
                  <c:v/>
                </c:pt>
                <c:pt idx="2630">
                  <c:v/>
                </c:pt>
                <c:pt idx="2631">
                  <c:v/>
                </c:pt>
                <c:pt idx="2632">
                  <c:v/>
                </c:pt>
                <c:pt idx="2633">
                  <c:v/>
                </c:pt>
                <c:pt idx="2634">
                  <c:v/>
                </c:pt>
                <c:pt idx="2635">
                  <c:v/>
                </c:pt>
                <c:pt idx="2636">
                  <c:v/>
                </c:pt>
                <c:pt idx="2637">
                  <c:v/>
                </c:pt>
                <c:pt idx="2638">
                  <c:v/>
                </c:pt>
                <c:pt idx="2639">
                  <c:v/>
                </c:pt>
                <c:pt idx="2640">
                  <c:v/>
                </c:pt>
                <c:pt idx="2641">
                  <c:v/>
                </c:pt>
                <c:pt idx="2642">
                  <c:v/>
                </c:pt>
                <c:pt idx="2643">
                  <c:v/>
                </c:pt>
                <c:pt idx="2644">
                  <c:v/>
                </c:pt>
                <c:pt idx="2645">
                  <c:v/>
                </c:pt>
                <c:pt idx="2646">
                  <c:v/>
                </c:pt>
                <c:pt idx="2647">
                  <c:v/>
                </c:pt>
                <c:pt idx="2648">
                  <c:v/>
                </c:pt>
                <c:pt idx="2649">
                  <c:v/>
                </c:pt>
                <c:pt idx="2650">
                  <c:v/>
                </c:pt>
                <c:pt idx="2651">
                  <c:v/>
                </c:pt>
                <c:pt idx="2652">
                  <c:v/>
                </c:pt>
                <c:pt idx="2653">
                  <c:v/>
                </c:pt>
                <c:pt idx="2654">
                  <c:v/>
                </c:pt>
                <c:pt idx="2655">
                  <c:v/>
                </c:pt>
                <c:pt idx="2656">
                  <c:v/>
                </c:pt>
                <c:pt idx="2657">
                  <c:v/>
                </c:pt>
                <c:pt idx="2658">
                  <c:v/>
                </c:pt>
                <c:pt idx="2659">
                  <c:v/>
                </c:pt>
                <c:pt idx="2660">
                  <c:v/>
                </c:pt>
                <c:pt idx="2661">
                  <c:v/>
                </c:pt>
                <c:pt idx="2662">
                  <c:v/>
                </c:pt>
                <c:pt idx="2663">
                  <c:v/>
                </c:pt>
                <c:pt idx="2664">
                  <c:v/>
                </c:pt>
                <c:pt idx="2665">
                  <c:v/>
                </c:pt>
                <c:pt idx="2666">
                  <c:v/>
                </c:pt>
                <c:pt idx="2667">
                  <c:v/>
                </c:pt>
                <c:pt idx="2668">
                  <c:v/>
                </c:pt>
                <c:pt idx="2669">
                  <c:v/>
                </c:pt>
                <c:pt idx="2670">
                  <c:v/>
                </c:pt>
                <c:pt idx="2671">
                  <c:v/>
                </c:pt>
                <c:pt idx="2672">
                  <c:v/>
                </c:pt>
                <c:pt idx="2673">
                  <c:v/>
                </c:pt>
                <c:pt idx="2674">
                  <c:v/>
                </c:pt>
                <c:pt idx="2675">
                  <c:v/>
                </c:pt>
                <c:pt idx="2676">
                  <c:v/>
                </c:pt>
                <c:pt idx="2677">
                  <c:v/>
                </c:pt>
                <c:pt idx="2678">
                  <c:v/>
                </c:pt>
                <c:pt idx="2679">
                  <c:v/>
                </c:pt>
                <c:pt idx="2680">
                  <c:v/>
                </c:pt>
                <c:pt idx="2681">
                  <c:v/>
                </c:pt>
                <c:pt idx="2682">
                  <c:v/>
                </c:pt>
                <c:pt idx="2683">
                  <c:v/>
                </c:pt>
                <c:pt idx="2684">
                  <c:v/>
                </c:pt>
                <c:pt idx="2685">
                  <c:v/>
                </c:pt>
                <c:pt idx="2686">
                  <c:v/>
                </c:pt>
                <c:pt idx="2687">
                  <c:v/>
                </c:pt>
                <c:pt idx="2688">
                  <c:v/>
                </c:pt>
                <c:pt idx="2689">
                  <c:v/>
                </c:pt>
                <c:pt idx="2690">
                  <c:v/>
                </c:pt>
                <c:pt idx="2691">
                  <c:v/>
                </c:pt>
                <c:pt idx="2692">
                  <c:v/>
                </c:pt>
                <c:pt idx="2693">
                  <c:v/>
                </c:pt>
                <c:pt idx="2694">
                  <c:v/>
                </c:pt>
                <c:pt idx="2695">
                  <c:v/>
                </c:pt>
                <c:pt idx="2696">
                  <c:v/>
                </c:pt>
                <c:pt idx="2697">
                  <c:v/>
                </c:pt>
                <c:pt idx="2698">
                  <c:v/>
                </c:pt>
                <c:pt idx="2699">
                  <c:v/>
                </c:pt>
                <c:pt idx="2700">
                  <c:v/>
                </c:pt>
                <c:pt idx="2701">
                  <c:v/>
                </c:pt>
                <c:pt idx="2702">
                  <c:v/>
                </c:pt>
                <c:pt idx="2703">
                  <c:v/>
                </c:pt>
                <c:pt idx="2704">
                  <c:v/>
                </c:pt>
                <c:pt idx="2705">
                  <c:v/>
                </c:pt>
                <c:pt idx="2706">
                  <c:v/>
                </c:pt>
                <c:pt idx="2707">
                  <c:v/>
                </c:pt>
                <c:pt idx="2708">
                  <c:v/>
                </c:pt>
                <c:pt idx="2709">
                  <c:v/>
                </c:pt>
                <c:pt idx="2710">
                  <c:v/>
                </c:pt>
                <c:pt idx="2711">
                  <c:v/>
                </c:pt>
                <c:pt idx="2712">
                  <c:v/>
                </c:pt>
                <c:pt idx="2713">
                  <c:v/>
                </c:pt>
                <c:pt idx="2714">
                  <c:v/>
                </c:pt>
                <c:pt idx="2715">
                  <c:v/>
                </c:pt>
                <c:pt idx="2716">
                  <c:v/>
                </c:pt>
                <c:pt idx="2717">
                  <c:v/>
                </c:pt>
                <c:pt idx="2718">
                  <c:v/>
                </c:pt>
                <c:pt idx="2719">
                  <c:v/>
                </c:pt>
                <c:pt idx="2720">
                  <c:v/>
                </c:pt>
                <c:pt idx="2721">
                  <c:v/>
                </c:pt>
                <c:pt idx="2722">
                  <c:v/>
                </c:pt>
                <c:pt idx="2723">
                  <c:v/>
                </c:pt>
                <c:pt idx="2724">
                  <c:v/>
                </c:pt>
                <c:pt idx="2725">
                  <c:v/>
                </c:pt>
                <c:pt idx="2726">
                  <c:v/>
                </c:pt>
                <c:pt idx="2727">
                  <c:v/>
                </c:pt>
                <c:pt idx="2728">
                  <c:v/>
                </c:pt>
                <c:pt idx="2729">
                  <c:v/>
                </c:pt>
                <c:pt idx="2730">
                  <c:v/>
                </c:pt>
                <c:pt idx="2731">
                  <c:v/>
                </c:pt>
                <c:pt idx="2732">
                  <c:v/>
                </c:pt>
                <c:pt idx="2733">
                  <c:v/>
                </c:pt>
                <c:pt idx="2734">
                  <c:v/>
                </c:pt>
                <c:pt idx="2735">
                  <c:v/>
                </c:pt>
                <c:pt idx="2736">
                  <c:v/>
                </c:pt>
                <c:pt idx="2737">
                  <c:v/>
                </c:pt>
                <c:pt idx="2738">
                  <c:v/>
                </c:pt>
                <c:pt idx="2739">
                  <c:v/>
                </c:pt>
                <c:pt idx="2740">
                  <c:v/>
                </c:pt>
                <c:pt idx="2741">
                  <c:v/>
                </c:pt>
                <c:pt idx="2742">
                  <c:v/>
                </c:pt>
                <c:pt idx="2743">
                  <c:v/>
                </c:pt>
                <c:pt idx="2744">
                  <c:v/>
                </c:pt>
                <c:pt idx="2745">
                  <c:v/>
                </c:pt>
                <c:pt idx="2746">
                  <c:v/>
                </c:pt>
                <c:pt idx="2747">
                  <c:v/>
                </c:pt>
                <c:pt idx="2748">
                  <c:v/>
                </c:pt>
                <c:pt idx="2749">
                  <c:v/>
                </c:pt>
                <c:pt idx="2750">
                  <c:v/>
                </c:pt>
                <c:pt idx="2751">
                  <c:v/>
                </c:pt>
                <c:pt idx="2752">
                  <c:v/>
                </c:pt>
                <c:pt idx="2753">
                  <c:v/>
                </c:pt>
                <c:pt idx="2754">
                  <c:v/>
                </c:pt>
                <c:pt idx="2755">
                  <c:v/>
                </c:pt>
                <c:pt idx="2756">
                  <c:v/>
                </c:pt>
                <c:pt idx="2757">
                  <c:v/>
                </c:pt>
                <c:pt idx="2758">
                  <c:v/>
                </c:pt>
                <c:pt idx="2759">
                  <c:v/>
                </c:pt>
                <c:pt idx="2760">
                  <c:v/>
                </c:pt>
                <c:pt idx="2761">
                  <c:v/>
                </c:pt>
                <c:pt idx="2762">
                  <c:v/>
                </c:pt>
                <c:pt idx="2763">
                  <c:v/>
                </c:pt>
                <c:pt idx="2764">
                  <c:v/>
                </c:pt>
                <c:pt idx="2765">
                  <c:v/>
                </c:pt>
                <c:pt idx="2766">
                  <c:v/>
                </c:pt>
                <c:pt idx="2767">
                  <c:v/>
                </c:pt>
                <c:pt idx="2768">
                  <c:v/>
                </c:pt>
                <c:pt idx="2769">
                  <c:v/>
                </c:pt>
                <c:pt idx="2770">
                  <c:v/>
                </c:pt>
                <c:pt idx="2771">
                  <c:v/>
                </c:pt>
                <c:pt idx="2772">
                  <c:v/>
                </c:pt>
                <c:pt idx="2773">
                  <c:v/>
                </c:pt>
                <c:pt idx="2774">
                  <c:v/>
                </c:pt>
                <c:pt idx="2775">
                  <c:v/>
                </c:pt>
                <c:pt idx="2776">
                  <c:v/>
                </c:pt>
                <c:pt idx="2777">
                  <c:v/>
                </c:pt>
                <c:pt idx="2778">
                  <c:v/>
                </c:pt>
                <c:pt idx="2779">
                  <c:v/>
                </c:pt>
                <c:pt idx="2780">
                  <c:v/>
                </c:pt>
                <c:pt idx="2781">
                  <c:v/>
                </c:pt>
                <c:pt idx="2782">
                  <c:v/>
                </c:pt>
                <c:pt idx="2783">
                  <c:v/>
                </c:pt>
                <c:pt idx="2784">
                  <c:v/>
                </c:pt>
                <c:pt idx="2785">
                  <c:v/>
                </c:pt>
                <c:pt idx="2786">
                  <c:v/>
                </c:pt>
                <c:pt idx="2787">
                  <c:v/>
                </c:pt>
                <c:pt idx="2788">
                  <c:v/>
                </c:pt>
                <c:pt idx="2789">
                  <c:v/>
                </c:pt>
                <c:pt idx="2790">
                  <c:v/>
                </c:pt>
                <c:pt idx="2791">
                  <c:v/>
                </c:pt>
                <c:pt idx="2792">
                  <c:v/>
                </c:pt>
                <c:pt idx="2793">
                  <c:v/>
                </c:pt>
                <c:pt idx="2794">
                  <c:v/>
                </c:pt>
                <c:pt idx="2795">
                  <c:v/>
                </c:pt>
                <c:pt idx="2796">
                  <c:v/>
                </c:pt>
                <c:pt idx="2797">
                  <c:v/>
                </c:pt>
                <c:pt idx="2798">
                  <c:v/>
                </c:pt>
                <c:pt idx="2799">
                  <c:v/>
                </c:pt>
                <c:pt idx="2800">
                  <c:v/>
                </c:pt>
                <c:pt idx="2801">
                  <c:v/>
                </c:pt>
                <c:pt idx="2802">
                  <c:v/>
                </c:pt>
                <c:pt idx="2803">
                  <c:v/>
                </c:pt>
                <c:pt idx="2804">
                  <c:v/>
                </c:pt>
                <c:pt idx="2805">
                  <c:v/>
                </c:pt>
                <c:pt idx="2806">
                  <c:v/>
                </c:pt>
                <c:pt idx="2807">
                  <c:v/>
                </c:pt>
                <c:pt idx="2808">
                  <c:v/>
                </c:pt>
                <c:pt idx="2809">
                  <c:v/>
                </c:pt>
                <c:pt idx="2810">
                  <c:v/>
                </c:pt>
                <c:pt idx="2811">
                  <c:v/>
                </c:pt>
                <c:pt idx="2812">
                  <c:v/>
                </c:pt>
                <c:pt idx="2813">
                  <c:v/>
                </c:pt>
                <c:pt idx="2814">
                  <c:v/>
                </c:pt>
                <c:pt idx="2815">
                  <c:v/>
                </c:pt>
                <c:pt idx="2816">
                  <c:v/>
                </c:pt>
                <c:pt idx="2817">
                  <c:v/>
                </c:pt>
                <c:pt idx="2818">
                  <c:v/>
                </c:pt>
                <c:pt idx="2819">
                  <c:v/>
                </c:pt>
                <c:pt idx="2820">
                  <c:v/>
                </c:pt>
                <c:pt idx="2821">
                  <c:v/>
                </c:pt>
                <c:pt idx="2822">
                  <c:v/>
                </c:pt>
                <c:pt idx="2823">
                  <c:v/>
                </c:pt>
                <c:pt idx="2824">
                  <c:v/>
                </c:pt>
                <c:pt idx="2825">
                  <c:v/>
                </c:pt>
                <c:pt idx="2826">
                  <c:v/>
                </c:pt>
                <c:pt idx="2827">
                  <c:v/>
                </c:pt>
                <c:pt idx="2828">
                  <c:v/>
                </c:pt>
                <c:pt idx="2829">
                  <c:v/>
                </c:pt>
                <c:pt idx="2830">
                  <c:v/>
                </c:pt>
                <c:pt idx="2831">
                  <c:v/>
                </c:pt>
                <c:pt idx="2832">
                  <c:v/>
                </c:pt>
                <c:pt idx="2833">
                  <c:v/>
                </c:pt>
                <c:pt idx="2834">
                  <c:v/>
                </c:pt>
                <c:pt idx="2835">
                  <c:v/>
                </c:pt>
                <c:pt idx="2836">
                  <c:v/>
                </c:pt>
                <c:pt idx="2837">
                  <c:v/>
                </c:pt>
                <c:pt idx="2838">
                  <c:v/>
                </c:pt>
                <c:pt idx="2839">
                  <c:v/>
                </c:pt>
                <c:pt idx="2840">
                  <c:v/>
                </c:pt>
                <c:pt idx="2841">
                  <c:v/>
                </c:pt>
                <c:pt idx="2842">
                  <c:v/>
                </c:pt>
                <c:pt idx="2843">
                  <c:v/>
                </c:pt>
                <c:pt idx="2844">
                  <c:v/>
                </c:pt>
                <c:pt idx="2845">
                  <c:v/>
                </c:pt>
                <c:pt idx="2846">
                  <c:v/>
                </c:pt>
                <c:pt idx="2847">
                  <c:v/>
                </c:pt>
                <c:pt idx="2848">
                  <c:v/>
                </c:pt>
                <c:pt idx="2849">
                  <c:v/>
                </c:pt>
                <c:pt idx="2850">
                  <c:v/>
                </c:pt>
                <c:pt idx="2851">
                  <c:v/>
                </c:pt>
                <c:pt idx="2852">
                  <c:v/>
                </c:pt>
                <c:pt idx="2853">
                  <c:v/>
                </c:pt>
                <c:pt idx="2854">
                  <c:v/>
                </c:pt>
                <c:pt idx="2855">
                  <c:v/>
                </c:pt>
                <c:pt idx="2856">
                  <c:v/>
                </c:pt>
                <c:pt idx="2857">
                  <c:v/>
                </c:pt>
                <c:pt idx="2858">
                  <c:v/>
                </c:pt>
                <c:pt idx="2859">
                  <c:v/>
                </c:pt>
                <c:pt idx="2860">
                  <c:v/>
                </c:pt>
                <c:pt idx="2861">
                  <c:v/>
                </c:pt>
                <c:pt idx="2862">
                  <c:v/>
                </c:pt>
                <c:pt idx="2863">
                  <c:v/>
                </c:pt>
                <c:pt idx="2864">
                  <c:v/>
                </c:pt>
                <c:pt idx="2865">
                  <c:v/>
                </c:pt>
                <c:pt idx="2866">
                  <c:v/>
                </c:pt>
                <c:pt idx="2867">
                  <c:v/>
                </c:pt>
                <c:pt idx="2868">
                  <c:v/>
                </c:pt>
                <c:pt idx="2869">
                  <c:v/>
                </c:pt>
                <c:pt idx="2870">
                  <c:v/>
                </c:pt>
                <c:pt idx="2871">
                  <c:v/>
                </c:pt>
                <c:pt idx="2872">
                  <c:v/>
                </c:pt>
                <c:pt idx="2873">
                  <c:v/>
                </c:pt>
                <c:pt idx="2874">
                  <c:v/>
                </c:pt>
                <c:pt idx="2875">
                  <c:v/>
                </c:pt>
                <c:pt idx="2876">
                  <c:v/>
                </c:pt>
                <c:pt idx="2877">
                  <c:v/>
                </c:pt>
                <c:pt idx="2878">
                  <c:v/>
                </c:pt>
                <c:pt idx="2879">
                  <c:v/>
                </c:pt>
                <c:pt idx="2880">
                  <c:v/>
                </c:pt>
                <c:pt idx="2881">
                  <c:v/>
                </c:pt>
                <c:pt idx="2882">
                  <c:v/>
                </c:pt>
                <c:pt idx="2883">
                  <c:v/>
                </c:pt>
                <c:pt idx="2884">
                  <c:v/>
                </c:pt>
                <c:pt idx="2885">
                  <c:v/>
                </c:pt>
                <c:pt idx="2886">
                  <c:v/>
                </c:pt>
                <c:pt idx="2887">
                  <c:v/>
                </c:pt>
                <c:pt idx="2888">
                  <c:v/>
                </c:pt>
                <c:pt idx="2889">
                  <c:v/>
                </c:pt>
                <c:pt idx="2890">
                  <c:v/>
                </c:pt>
                <c:pt idx="2891">
                  <c:v/>
                </c:pt>
                <c:pt idx="2892">
                  <c:v/>
                </c:pt>
                <c:pt idx="2893">
                  <c:v/>
                </c:pt>
                <c:pt idx="2894">
                  <c:v/>
                </c:pt>
                <c:pt idx="2895">
                  <c:v/>
                </c:pt>
                <c:pt idx="2896">
                  <c:v/>
                </c:pt>
                <c:pt idx="2897">
                  <c:v/>
                </c:pt>
                <c:pt idx="2898">
                  <c:v/>
                </c:pt>
                <c:pt idx="2899">
                  <c:v/>
                </c:pt>
                <c:pt idx="2900">
                  <c:v/>
                </c:pt>
                <c:pt idx="2901">
                  <c:v/>
                </c:pt>
                <c:pt idx="2902">
                  <c:v/>
                </c:pt>
                <c:pt idx="2903">
                  <c:v/>
                </c:pt>
                <c:pt idx="2904">
                  <c:v/>
                </c:pt>
                <c:pt idx="2905">
                  <c:v/>
                </c:pt>
                <c:pt idx="2906">
                  <c:v/>
                </c:pt>
                <c:pt idx="2907">
                  <c:v/>
                </c:pt>
                <c:pt idx="2908">
                  <c:v/>
                </c:pt>
                <c:pt idx="2909">
                  <c:v/>
                </c:pt>
                <c:pt idx="2910">
                  <c:v/>
                </c:pt>
                <c:pt idx="2911">
                  <c:v/>
                </c:pt>
                <c:pt idx="2912">
                  <c:v/>
                </c:pt>
                <c:pt idx="2913">
                  <c:v/>
                </c:pt>
                <c:pt idx="2914">
                  <c:v/>
                </c:pt>
                <c:pt idx="2915">
                  <c:v/>
                </c:pt>
                <c:pt idx="2916">
                  <c:v/>
                </c:pt>
                <c:pt idx="2917">
                  <c:v/>
                </c:pt>
                <c:pt idx="2918">
                  <c:v/>
                </c:pt>
                <c:pt idx="2919">
                  <c:v/>
                </c:pt>
                <c:pt idx="2920">
                  <c:v/>
                </c:pt>
                <c:pt idx="2921">
                  <c:v/>
                </c:pt>
                <c:pt idx="2922">
                  <c:v/>
                </c:pt>
                <c:pt idx="2923">
                  <c:v/>
                </c:pt>
                <c:pt idx="2924">
                  <c:v/>
                </c:pt>
                <c:pt idx="2925">
                  <c:v/>
                </c:pt>
                <c:pt idx="2926">
                  <c:v/>
                </c:pt>
                <c:pt idx="2927">
                  <c:v/>
                </c:pt>
                <c:pt idx="2928">
                  <c:v/>
                </c:pt>
                <c:pt idx="2929">
                  <c:v/>
                </c:pt>
                <c:pt idx="2930">
                  <c:v/>
                </c:pt>
                <c:pt idx="2931">
                  <c:v/>
                </c:pt>
                <c:pt idx="2932">
                  <c:v/>
                </c:pt>
                <c:pt idx="2933">
                  <c:v/>
                </c:pt>
                <c:pt idx="2934">
                  <c:v/>
                </c:pt>
                <c:pt idx="2935">
                  <c:v/>
                </c:pt>
                <c:pt idx="2936">
                  <c:v/>
                </c:pt>
                <c:pt idx="2937">
                  <c:v/>
                </c:pt>
                <c:pt idx="2938">
                  <c:v/>
                </c:pt>
                <c:pt idx="2939">
                  <c:v/>
                </c:pt>
                <c:pt idx="2940">
                  <c:v/>
                </c:pt>
                <c:pt idx="2941">
                  <c:v/>
                </c:pt>
                <c:pt idx="2942">
                  <c:v/>
                </c:pt>
                <c:pt idx="2943">
                  <c:v/>
                </c:pt>
                <c:pt idx="2944">
                  <c:v/>
                </c:pt>
                <c:pt idx="2945">
                  <c:v/>
                </c:pt>
                <c:pt idx="2946">
                  <c:v/>
                </c:pt>
                <c:pt idx="2947">
                  <c:v/>
                </c:pt>
                <c:pt idx="2948">
                  <c:v/>
                </c:pt>
                <c:pt idx="2949">
                  <c:v/>
                </c:pt>
                <c:pt idx="2950">
                  <c:v/>
                </c:pt>
                <c:pt idx="2951">
                  <c:v/>
                </c:pt>
                <c:pt idx="2952">
                  <c:v/>
                </c:pt>
                <c:pt idx="2953">
                  <c:v/>
                </c:pt>
                <c:pt idx="2954">
                  <c:v/>
                </c:pt>
                <c:pt idx="2955">
                  <c:v/>
                </c:pt>
                <c:pt idx="2956">
                  <c:v/>
                </c:pt>
                <c:pt idx="2957">
                  <c:v/>
                </c:pt>
                <c:pt idx="2958">
                  <c:v/>
                </c:pt>
                <c:pt idx="2959">
                  <c:v/>
                </c:pt>
                <c:pt idx="2960">
                  <c:v/>
                </c:pt>
                <c:pt idx="2961">
                  <c:v/>
                </c:pt>
                <c:pt idx="2962">
                  <c:v/>
                </c:pt>
                <c:pt idx="2963">
                  <c:v/>
                </c:pt>
                <c:pt idx="2964">
                  <c:v/>
                </c:pt>
                <c:pt idx="2965">
                  <c:v/>
                </c:pt>
                <c:pt idx="2966">
                  <c:v/>
                </c:pt>
                <c:pt idx="2967">
                  <c:v/>
                </c:pt>
                <c:pt idx="2968">
                  <c:v/>
                </c:pt>
                <c:pt idx="2969">
                  <c:v/>
                </c:pt>
                <c:pt idx="2970">
                  <c:v/>
                </c:pt>
                <c:pt idx="2971">
                  <c:v/>
                </c:pt>
                <c:pt idx="2972">
                  <c:v/>
                </c:pt>
                <c:pt idx="2973">
                  <c:v/>
                </c:pt>
                <c:pt idx="2974">
                  <c:v/>
                </c:pt>
                <c:pt idx="2975">
                  <c:v/>
                </c:pt>
                <c:pt idx="2976">
                  <c:v/>
                </c:pt>
                <c:pt idx="2977">
                  <c:v/>
                </c:pt>
                <c:pt idx="2978">
                  <c:v/>
                </c:pt>
                <c:pt idx="2979">
                  <c:v/>
                </c:pt>
                <c:pt idx="2980">
                  <c:v/>
                </c:pt>
                <c:pt idx="2981">
                  <c:v/>
                </c:pt>
                <c:pt idx="2982">
                  <c:v/>
                </c:pt>
                <c:pt idx="2983">
                  <c:v/>
                </c:pt>
                <c:pt idx="2984">
                  <c:v/>
                </c:pt>
                <c:pt idx="2985">
                  <c:v/>
                </c:pt>
                <c:pt idx="2986">
                  <c:v/>
                </c:pt>
                <c:pt idx="2987">
                  <c:v/>
                </c:pt>
                <c:pt idx="2988">
                  <c:v/>
                </c:pt>
                <c:pt idx="2989">
                  <c:v/>
                </c:pt>
                <c:pt idx="2990">
                  <c:v/>
                </c:pt>
                <c:pt idx="2991">
                  <c:v/>
                </c:pt>
                <c:pt idx="2992">
                  <c:v/>
                </c:pt>
                <c:pt idx="2993">
                  <c:v/>
                </c:pt>
                <c:pt idx="2994">
                  <c:v/>
                </c:pt>
                <c:pt idx="2995">
                  <c:v/>
                </c:pt>
              </c:strCache>
            </c:strRef>
          </c:cat>
          <c:val>
            <c:numRef>
              <c:f>Lancamentos!$K$5:$K$3000</c:f>
              <c:numCache>
                <c:formatCode>0.00</c:formatCode>
                <c:ptCount val="2996"/>
                <c:pt idx="0">
                  <c:v>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192175"/>
        <c:axId val="75969219"/>
      </c:lineChart>
      <c:catAx>
        <c:axId val="60192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 da leitura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69219"/>
        <c:crosses val="autoZero"/>
        <c:auto val="1"/>
        <c:lblAlgn val="ctr"/>
        <c:lblOffset val="100"/>
        <c:noMultiLvlLbl val="0"/>
      </c:catAx>
      <c:valAx>
        <c:axId val="75969219"/>
        <c:scaling>
          <c:orientation val="minMax"/>
        </c:scaling>
        <c:delete val="0"/>
        <c:axPos val="l"/>
        <c:majorGridlines>
          <c:spPr>
            <a:ln w="9360">
              <a:solidFill>
                <a:srgbClr val="e4e8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Ampères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921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374040</xdr:colOff>
      <xdr:row>32</xdr:row>
      <xdr:rowOff>186840</xdr:rowOff>
    </xdr:to>
    <xdr:graphicFrame>
      <xdr:nvGraphicFramePr>
        <xdr:cNvPr id="0" name="Chart 1"/>
        <xdr:cNvGraphicFramePr/>
      </xdr:nvGraphicFramePr>
      <xdr:xfrm>
        <a:off x="141120" y="4267080"/>
        <a:ext cx="439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12</xdr:col>
      <xdr:colOff>303480</xdr:colOff>
      <xdr:row>32</xdr:row>
      <xdr:rowOff>186840</xdr:rowOff>
    </xdr:to>
    <xdr:graphicFrame>
      <xdr:nvGraphicFramePr>
        <xdr:cNvPr id="1" name="Chart 2"/>
        <xdr:cNvGraphicFramePr/>
      </xdr:nvGraphicFramePr>
      <xdr:xfrm>
        <a:off x="5004360" y="4267080"/>
        <a:ext cx="439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374040</xdr:colOff>
      <xdr:row>48</xdr:row>
      <xdr:rowOff>187200</xdr:rowOff>
    </xdr:to>
    <xdr:graphicFrame>
      <xdr:nvGraphicFramePr>
        <xdr:cNvPr id="2" name="Chart 3"/>
        <xdr:cNvGraphicFramePr/>
      </xdr:nvGraphicFramePr>
      <xdr:xfrm>
        <a:off x="141120" y="7315200"/>
        <a:ext cx="439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59"/>
    <pageSetUpPr fitToPage="false"/>
  </sheetPr>
  <dimension ref="B2:N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2" min="10" style="0" width="12"/>
    <col collapsed="false" customWidth="true" hidden="false" outlineLevel="0" max="14" min="13" style="0" width="13"/>
  </cols>
  <sheetData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  <c r="C6" s="4" t="s">
        <v>4</v>
      </c>
      <c r="D6" s="4" t="s">
        <v>5</v>
      </c>
      <c r="E6" s="5" t="s">
        <v>6</v>
      </c>
      <c r="F6" s="5" t="s">
        <v>7</v>
      </c>
      <c r="G6" s="5" t="s">
        <v>8</v>
      </c>
      <c r="H6" s="6" t="s">
        <v>9</v>
      </c>
      <c r="I6" s="6" t="s">
        <v>10</v>
      </c>
      <c r="J6" s="6" t="s">
        <v>11</v>
      </c>
      <c r="K6" s="4" t="s">
        <v>12</v>
      </c>
    </row>
    <row r="7" customFormat="false" ht="15" hidden="false" customHeight="false" outlineLevel="0" collapsed="false">
      <c r="B7" s="7" t="str">
        <f aca="false">IF(Cadastro!$B$6="","",Cadastro!$B$6)</f>
        <v>NB-01</v>
      </c>
      <c r="C7" s="8" t="n">
        <f aca="false">IF($B7="","",IF(SUMPRODUCT(MAX((Lancamentos!$F$5:$F$3000=$B7)*Lancamentos!$A$5:$A$3000))=0,"",SUMPRODUCT(MAX((Lancamentos!$F$5:$F$3000=$B7)*Lancamentos!$A$5:$A$3000))))</f>
        <v>46283</v>
      </c>
      <c r="D7" s="9" t="n">
        <f aca="false">IF($C7="","",COUNTIFS(Lancamentos!$F$5:$F$3000,$B7,Lancamentos!$A$5:$A$3000,$C7,Lancamentos!$L$5:$L$3000,"&lt;&gt;"))</f>
        <v>1</v>
      </c>
      <c r="E7" s="10" t="n">
        <f aca="false">IF($C7="","",IFERROR(AVERAGEIFS(Lancamentos!$G$5:$G$3000,Lancamentos!$F$5:$F$3000,$B7,Lancamentos!$A$5:$A$3000,$C7),""))</f>
        <v>221.5</v>
      </c>
      <c r="F7" s="11" t="n">
        <f aca="false">IF($C7="","",IFERROR(AVERAGEIFS(Lancamentos!$H$5:$H$3000,Lancamentos!$F$5:$F$3000,$B7,Lancamentos!$A$5:$A$3000,$C7),""))</f>
        <v>18.75</v>
      </c>
      <c r="G7" s="12" t="n">
        <f aca="false">IF($C7="","",IFERROR(AVERAGEIFS(Lancamentos!$I$5:$I$3000,Lancamentos!$F$5:$F$3000,$B7,Lancamentos!$A$5:$A$3000,$C7),""))</f>
        <v>7196</v>
      </c>
      <c r="H7" s="10" t="n">
        <f aca="false">IF($C7="","",IFERROR(AVERAGEIFS(Lancamentos!$J$5:$J$3000,Lancamentos!$F$5:$F$3000,$B7,Lancamentos!$A$5:$A$3000,$C7),""))</f>
        <v>119.7</v>
      </c>
      <c r="I7" s="11" t="n">
        <f aca="false">IF($C7="","",IFERROR(AVERAGEIFS(Lancamentos!$K$5:$K$3000,Lancamentos!$F$5:$F$3000,$B7,Lancamentos!$A$5:$A$3000,$C7),""))</f>
        <v>45</v>
      </c>
      <c r="J7" s="12" t="n">
        <f aca="false">IF($C7="","",IFERROR(AVERAGEIFS(Lancamentos!$L$5:$L$3000,Lancamentos!$F$5:$F$3000,$B7,Lancamentos!$A$5:$A$3000,$C7),""))</f>
        <v>5390</v>
      </c>
      <c r="K7" s="13" t="n">
        <f aca="false">IF($C7="","",IFERROR(AVERAGEIFS(Lancamentos!$M$5:$M$3000,Lancamentos!$F$5:$F$3000,$B7,Lancamentos!$A$5:$A$3000,$C7),""))</f>
        <v>0.718666666666667</v>
      </c>
    </row>
    <row r="8" customFormat="false" ht="15" hidden="false" customHeight="false" outlineLevel="0" collapsed="false">
      <c r="B8" s="14" t="str">
        <f aca="false">IF(Cadastro!$B$7="","",Cadastro!$B$7)</f>
        <v/>
      </c>
      <c r="C8" s="15" t="str">
        <f aca="false">IF($B8="","",IF(SUMPRODUCT(MAX((Lancamentos!$F$5:$F$3000=$B8)*Lancamentos!$A$5:$A$3000))=0,"",SUMPRODUCT(MAX((Lancamentos!$F$5:$F$3000=$B8)*Lancamentos!$A$5:$A$3000))))</f>
        <v/>
      </c>
      <c r="D8" s="16" t="str">
        <f aca="false">IF($C8="","",COUNTIFS(Lancamentos!$F$5:$F$3000,$B8,Lancamentos!$A$5:$A$3000,$C8,Lancamentos!$L$5:$L$3000,"&lt;&gt;"))</f>
        <v/>
      </c>
      <c r="E8" s="17" t="str">
        <f aca="false">IF($C8="","",IFERROR(AVERAGEIFS(Lancamentos!$G$5:$G$3000,Lancamentos!$F$5:$F$3000,$B8,Lancamentos!$A$5:$A$3000,$C8),""))</f>
        <v/>
      </c>
      <c r="F8" s="18" t="str">
        <f aca="false">IF($C8="","",IFERROR(AVERAGEIFS(Lancamentos!$H$5:$H$3000,Lancamentos!$F$5:$F$3000,$B8,Lancamentos!$A$5:$A$3000,$C8),""))</f>
        <v/>
      </c>
      <c r="G8" s="19" t="str">
        <f aca="false">IF($C8="","",IFERROR(AVERAGEIFS(Lancamentos!$I$5:$I$3000,Lancamentos!$F$5:$F$3000,$B8,Lancamentos!$A$5:$A$3000,$C8),""))</f>
        <v/>
      </c>
      <c r="H8" s="17" t="str">
        <f aca="false">IF($C8="","",IFERROR(AVERAGEIFS(Lancamentos!$J$5:$J$3000,Lancamentos!$F$5:$F$3000,$B8,Lancamentos!$A$5:$A$3000,$C8),""))</f>
        <v/>
      </c>
      <c r="I8" s="18" t="str">
        <f aca="false">IF($C8="","",IFERROR(AVERAGEIFS(Lancamentos!$K$5:$K$3000,Lancamentos!$F$5:$F$3000,$B8,Lancamentos!$A$5:$A$3000,$C8),""))</f>
        <v/>
      </c>
      <c r="J8" s="19" t="str">
        <f aca="false">IF($C8="","",IFERROR(AVERAGEIFS(Lancamentos!$L$5:$L$3000,Lancamentos!$F$5:$F$3000,$B8,Lancamentos!$A$5:$A$3000,$C8),""))</f>
        <v/>
      </c>
      <c r="K8" s="20" t="str">
        <f aca="false">IF($C8="","",IFERROR(AVERAGEIFS(Lancamentos!$M$5:$M$3000,Lancamentos!$F$5:$F$3000,$B8,Lancamentos!$A$5:$A$3000,$C8),""))</f>
        <v/>
      </c>
    </row>
    <row r="9" customFormat="false" ht="15" hidden="false" customHeight="false" outlineLevel="0" collapsed="false">
      <c r="B9" s="7" t="str">
        <f aca="false">IF(Cadastro!$B$8="","",Cadastro!$B$8)</f>
        <v/>
      </c>
      <c r="C9" s="8" t="str">
        <f aca="false">IF($B9="","",IF(SUMPRODUCT(MAX((Lancamentos!$F$5:$F$3000=$B9)*Lancamentos!$A$5:$A$3000))=0,"",SUMPRODUCT(MAX((Lancamentos!$F$5:$F$3000=$B9)*Lancamentos!$A$5:$A$3000))))</f>
        <v/>
      </c>
      <c r="D9" s="9" t="str">
        <f aca="false">IF($C9="","",COUNTIFS(Lancamentos!$F$5:$F$3000,$B9,Lancamentos!$A$5:$A$3000,$C9,Lancamentos!$L$5:$L$3000,"&lt;&gt;"))</f>
        <v/>
      </c>
      <c r="E9" s="10" t="str">
        <f aca="false">IF($C9="","",IFERROR(AVERAGEIFS(Lancamentos!$G$5:$G$3000,Lancamentos!$F$5:$F$3000,$B9,Lancamentos!$A$5:$A$3000,$C9),""))</f>
        <v/>
      </c>
      <c r="F9" s="11" t="str">
        <f aca="false">IF($C9="","",IFERROR(AVERAGEIFS(Lancamentos!$H$5:$H$3000,Lancamentos!$F$5:$F$3000,$B9,Lancamentos!$A$5:$A$3000,$C9),""))</f>
        <v/>
      </c>
      <c r="G9" s="12" t="str">
        <f aca="false">IF($C9="","",IFERROR(AVERAGEIFS(Lancamentos!$I$5:$I$3000,Lancamentos!$F$5:$F$3000,$B9,Lancamentos!$A$5:$A$3000,$C9),""))</f>
        <v/>
      </c>
      <c r="H9" s="10" t="str">
        <f aca="false">IF($C9="","",IFERROR(AVERAGEIFS(Lancamentos!$J$5:$J$3000,Lancamentos!$F$5:$F$3000,$B9,Lancamentos!$A$5:$A$3000,$C9),""))</f>
        <v/>
      </c>
      <c r="I9" s="11" t="str">
        <f aca="false">IF($C9="","",IFERROR(AVERAGEIFS(Lancamentos!$K$5:$K$3000,Lancamentos!$F$5:$F$3000,$B9,Lancamentos!$A$5:$A$3000,$C9),""))</f>
        <v/>
      </c>
      <c r="J9" s="12" t="str">
        <f aca="false">IF($C9="","",IFERROR(AVERAGEIFS(Lancamentos!$L$5:$L$3000,Lancamentos!$F$5:$F$3000,$B9,Lancamentos!$A$5:$A$3000,$C9),""))</f>
        <v/>
      </c>
      <c r="K9" s="13" t="str">
        <f aca="false">IF($C9="","",IFERROR(AVERAGEIFS(Lancamentos!$M$5:$M$3000,Lancamentos!$F$5:$F$3000,$B9,Lancamentos!$A$5:$A$3000,$C9),""))</f>
        <v/>
      </c>
    </row>
    <row r="12" customFormat="false" ht="15" hidden="false" customHeight="false" outlineLevel="0" collapsed="false">
      <c r="B12" s="3" t="s">
        <v>13</v>
      </c>
    </row>
    <row r="13" customFormat="false" ht="27.75" hidden="false" customHeight="true" outlineLevel="0" collapsed="false">
      <c r="B13" s="4" t="s">
        <v>3</v>
      </c>
      <c r="C13" s="4" t="s">
        <v>5</v>
      </c>
      <c r="D13" s="5" t="s">
        <v>6</v>
      </c>
      <c r="E13" s="5" t="s">
        <v>7</v>
      </c>
      <c r="F13" s="5" t="s">
        <v>8</v>
      </c>
      <c r="G13" s="6" t="s">
        <v>9</v>
      </c>
      <c r="H13" s="6" t="s">
        <v>10</v>
      </c>
      <c r="I13" s="6" t="s">
        <v>11</v>
      </c>
      <c r="J13" s="4" t="s">
        <v>14</v>
      </c>
      <c r="K13" s="4" t="s">
        <v>15</v>
      </c>
      <c r="L13" s="4" t="s">
        <v>16</v>
      </c>
    </row>
    <row r="14" customFormat="false" ht="15" hidden="false" customHeight="false" outlineLevel="0" collapsed="false">
      <c r="B14" s="7" t="str">
        <f aca="false">IF(Cadastro!$B$6="","",Cadastro!$B$6)</f>
        <v>NB-01</v>
      </c>
      <c r="C14" s="9" t="n">
        <f aca="false">COUNTIFS(Lancamentos!$F$5:$F$3000,$B14,Lancamentos!$L$5:$L$3000,"&lt;&gt;")</f>
        <v>1</v>
      </c>
      <c r="D14" s="10" t="n">
        <f aca="false">IFERROR(AVERAGEIFS(Lancamentos!$G$5:$G$3000,Lancamentos!$F$5:$F$3000,$B14),"")</f>
        <v>221.5</v>
      </c>
      <c r="E14" s="11" t="n">
        <f aca="false">IFERROR(AVERAGEIFS(Lancamentos!$H$5:$H$3000,Lancamentos!$F$5:$F$3000,$B14),"")</f>
        <v>18.75</v>
      </c>
      <c r="F14" s="12" t="n">
        <f aca="false">IFERROR(AVERAGEIFS(Lancamentos!$I$5:$I$3000,Lancamentos!$F$5:$F$3000,$B14),"")</f>
        <v>7196</v>
      </c>
      <c r="G14" s="10" t="n">
        <f aca="false">IFERROR(AVERAGEIFS(Lancamentos!$J$5:$J$3000,Lancamentos!$F$5:$F$3000,$B14),"")</f>
        <v>119.7</v>
      </c>
      <c r="H14" s="11" t="n">
        <f aca="false">IFERROR(AVERAGEIFS(Lancamentos!$K$5:$K$3000,Lancamentos!$F$5:$F$3000,$B14),"")</f>
        <v>45</v>
      </c>
      <c r="I14" s="12" t="n">
        <f aca="false">IFERROR(AVERAGEIFS(Lancamentos!$L$5:$L$3000,Lancamentos!$F$5:$F$3000,$B14),"")</f>
        <v>5390</v>
      </c>
      <c r="J14" s="13" t="n">
        <f aca="false">IFERROR(AVERAGEIFS(Lancamentos!$M$5:$M$3000,Lancamentos!$F$5:$F$3000,$B14),"")</f>
        <v>0.718666666666667</v>
      </c>
      <c r="K14" s="12" t="n">
        <f aca="false">IF($C14=0,"",SUMPRODUCT(MAX((Lancamentos!$F$5:$F$3000=$B14)*Lancamentos!$L$5:$L$3000)))</f>
        <v>5390</v>
      </c>
      <c r="L14" s="13" t="n">
        <f aca="false">IF($K14="","",IFERROR($K14/INDEX(Cadastro!$E$6:$E$8,MATCH($B14,Cadastro!$B$6:$B$8,0)),""))</f>
        <v>0.718666666666667</v>
      </c>
    </row>
    <row r="15" customFormat="false" ht="15" hidden="false" customHeight="false" outlineLevel="0" collapsed="false">
      <c r="B15" s="14" t="str">
        <f aca="false">IF(Cadastro!$B$7="","",Cadastro!$B$7)</f>
        <v/>
      </c>
      <c r="C15" s="16" t="n">
        <f aca="false">COUNTIFS(Lancamentos!$F$5:$F$3000,$B15,Lancamentos!$L$5:$L$3000,"&lt;&gt;")</f>
        <v>0</v>
      </c>
      <c r="D15" s="17" t="str">
        <f aca="false">IFERROR(AVERAGEIFS(Lancamentos!$G$5:$G$3000,Lancamentos!$F$5:$F$3000,$B15),"")</f>
        <v/>
      </c>
      <c r="E15" s="18" t="str">
        <f aca="false">IFERROR(AVERAGEIFS(Lancamentos!$H$5:$H$3000,Lancamentos!$F$5:$F$3000,$B15),"")</f>
        <v/>
      </c>
      <c r="F15" s="19" t="str">
        <f aca="false">IFERROR(AVERAGEIFS(Lancamentos!$I$5:$I$3000,Lancamentos!$F$5:$F$3000,$B15),"")</f>
        <v/>
      </c>
      <c r="G15" s="17" t="str">
        <f aca="false">IFERROR(AVERAGEIFS(Lancamentos!$J$5:$J$3000,Lancamentos!$F$5:$F$3000,$B15),"")</f>
        <v/>
      </c>
      <c r="H15" s="18" t="str">
        <f aca="false">IFERROR(AVERAGEIFS(Lancamentos!$K$5:$K$3000,Lancamentos!$F$5:$F$3000,$B15),"")</f>
        <v/>
      </c>
      <c r="I15" s="19" t="str">
        <f aca="false">IFERROR(AVERAGEIFS(Lancamentos!$L$5:$L$3000,Lancamentos!$F$5:$F$3000,$B15),"")</f>
        <v/>
      </c>
      <c r="J15" s="20" t="str">
        <f aca="false">IFERROR(AVERAGEIFS(Lancamentos!$M$5:$M$3000,Lancamentos!$F$5:$F$3000,$B15),"")</f>
        <v/>
      </c>
      <c r="K15" s="19" t="str">
        <f aca="false">IF($C15=0,"",SUMPRODUCT(MAX((Lancamentos!$F$5:$F$3000=$B15)*Lancamentos!$L$5:$L$3000)))</f>
        <v/>
      </c>
      <c r="L15" s="20" t="str">
        <f aca="false">IF($K15="","",IFERROR($K15/INDEX(Cadastro!$E$6:$E$8,MATCH($B15,Cadastro!$B$6:$B$8,0)),""))</f>
        <v/>
      </c>
    </row>
    <row r="16" customFormat="false" ht="15" hidden="false" customHeight="false" outlineLevel="0" collapsed="false">
      <c r="B16" s="7" t="str">
        <f aca="false">IF(Cadastro!$B$8="","",Cadastro!$B$8)</f>
        <v/>
      </c>
      <c r="C16" s="9" t="n">
        <f aca="false">COUNTIFS(Lancamentos!$F$5:$F$3000,$B16,Lancamentos!$L$5:$L$3000,"&lt;&gt;")</f>
        <v>0</v>
      </c>
      <c r="D16" s="10" t="str">
        <f aca="false">IFERROR(AVERAGEIFS(Lancamentos!$G$5:$G$3000,Lancamentos!$F$5:$F$3000,$B16),"")</f>
        <v/>
      </c>
      <c r="E16" s="11" t="str">
        <f aca="false">IFERROR(AVERAGEIFS(Lancamentos!$H$5:$H$3000,Lancamentos!$F$5:$F$3000,$B16),"")</f>
        <v/>
      </c>
      <c r="F16" s="12" t="str">
        <f aca="false">IFERROR(AVERAGEIFS(Lancamentos!$I$5:$I$3000,Lancamentos!$F$5:$F$3000,$B16),"")</f>
        <v/>
      </c>
      <c r="G16" s="10" t="str">
        <f aca="false">IFERROR(AVERAGEIFS(Lancamentos!$J$5:$J$3000,Lancamentos!$F$5:$F$3000,$B16),"")</f>
        <v/>
      </c>
      <c r="H16" s="11" t="str">
        <f aca="false">IFERROR(AVERAGEIFS(Lancamentos!$K$5:$K$3000,Lancamentos!$F$5:$F$3000,$B16),"")</f>
        <v/>
      </c>
      <c r="I16" s="12" t="str">
        <f aca="false">IFERROR(AVERAGEIFS(Lancamentos!$L$5:$L$3000,Lancamentos!$F$5:$F$3000,$B16),"")</f>
        <v/>
      </c>
      <c r="J16" s="13" t="str">
        <f aca="false">IFERROR(AVERAGEIFS(Lancamentos!$M$5:$M$3000,Lancamentos!$F$5:$F$3000,$B16),"")</f>
        <v/>
      </c>
      <c r="K16" s="12" t="str">
        <f aca="false">IF($C16=0,"",SUMPRODUCT(MAX((Lancamentos!$F$5:$F$3000=$B16)*Lancamentos!$L$5:$L$3000)))</f>
        <v/>
      </c>
      <c r="L16" s="13" t="str">
        <f aca="false">IF($K16="","",IFERROR($K16/INDEX(Cadastro!$E$6:$E$8,MATCH($B16,Cadastro!$B$6:$B$8,0)),""))</f>
        <v/>
      </c>
    </row>
    <row r="17" customFormat="false" ht="15" hidden="false" customHeight="false" outlineLevel="0" collapsed="false">
      <c r="B17" s="21" t="s">
        <v>17</v>
      </c>
      <c r="C17" s="21" t="n">
        <f aca="false">COUNTIFS(Lancamentos!$F$5:$F$3000,"&lt;&gt;",Lancamentos!$L$5:$L$3000,"&lt;&gt;")</f>
        <v>1</v>
      </c>
      <c r="D17" s="22" t="n">
        <f aca="false">IFERROR(AVERAGEIFS(Lancamentos!$G$5:$G$3000,Lancamentos!$F$5:$F$3000,"&lt;&gt;"),"")</f>
        <v>221.5</v>
      </c>
      <c r="E17" s="23" t="n">
        <f aca="false">IFERROR(AVERAGEIFS(Lancamentos!$H$5:$H$3000,Lancamentos!$F$5:$F$3000,"&lt;&gt;"),"")</f>
        <v>18.75</v>
      </c>
      <c r="F17" s="24" t="n">
        <f aca="false">IFERROR(AVERAGEIFS(Lancamentos!$I$5:$I$3000,Lancamentos!$F$5:$F$3000,"&lt;&gt;"),"")</f>
        <v>7196</v>
      </c>
      <c r="G17" s="22" t="n">
        <f aca="false">IFERROR(AVERAGEIFS(Lancamentos!$J$5:$J$3000,Lancamentos!$F$5:$F$3000,"&lt;&gt;"),"")</f>
        <v>119.7</v>
      </c>
      <c r="H17" s="23" t="n">
        <f aca="false">IFERROR(AVERAGEIFS(Lancamentos!$K$5:$K$3000,Lancamentos!$F$5:$F$3000,"&lt;&gt;"),"")</f>
        <v>45</v>
      </c>
      <c r="I17" s="24" t="n">
        <f aca="false">IFERROR(AVERAGEIFS(Lancamentos!$L$5:$L$3000,Lancamentos!$F$5:$F$3000,"&lt;&gt;"),"")</f>
        <v>5390</v>
      </c>
      <c r="J17" s="25" t="n">
        <f aca="false">IFERROR(AVERAGEIFS(Lancamentos!$M$5:$M$3000,Lancamentos!$F$5:$F$3000,"&lt;&gt;"),"")</f>
        <v>0.718666666666667</v>
      </c>
      <c r="K17" s="24" t="n">
        <f aca="false">IF($C17=0,"",MAX(Lancamentos!$L$5:$L$3000))</f>
        <v>5390</v>
      </c>
      <c r="L17" s="25"/>
    </row>
    <row r="19" customFormat="false" ht="18" hidden="false" customHeight="true" outlineLevel="0" collapsed="false">
      <c r="B19" s="3" t="s">
        <v>18</v>
      </c>
      <c r="D19" s="26" t="s">
        <v>19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36" customFormat="false" ht="15" hidden="false" customHeight="false" outlineLevel="0" collapsed="false">
      <c r="H36" s="27" t="s">
        <v>20</v>
      </c>
    </row>
    <row r="37" customFormat="false" ht="15" hidden="false" customHeight="false" outlineLevel="0" collapsed="false">
      <c r="H37" s="28" t="s">
        <v>21</v>
      </c>
    </row>
    <row r="38" customFormat="false" ht="15" hidden="false" customHeight="false" outlineLevel="0" collapsed="false">
      <c r="H38" s="28" t="s">
        <v>22</v>
      </c>
    </row>
    <row r="39" customFormat="false" ht="15" hidden="false" customHeight="false" outlineLevel="0" collapsed="false">
      <c r="H39" s="28" t="s">
        <v>23</v>
      </c>
    </row>
    <row r="40" customFormat="false" ht="15" hidden="false" customHeight="false" outlineLevel="0" collapsed="false">
      <c r="H40" s="28" t="s">
        <v>24</v>
      </c>
    </row>
    <row r="41" customFormat="false" ht="15" hidden="false" customHeight="false" outlineLevel="0" collapsed="false">
      <c r="H41" s="28" t="s">
        <v>25</v>
      </c>
    </row>
    <row r="42" customFormat="false" ht="15" hidden="false" customHeight="false" outlineLevel="0" collapsed="false">
      <c r="H42" s="28" t="s">
        <v>26</v>
      </c>
    </row>
  </sheetData>
  <mergeCells count="3">
    <mergeCell ref="B2:N2"/>
    <mergeCell ref="B3:N3"/>
    <mergeCell ref="D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C6E"/>
    <pageSetUpPr fitToPage="false"/>
  </sheetPr>
  <dimension ref="A1:O3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4"/>
  </cols>
  <sheetData>
    <row r="1" customFormat="false" ht="19.7" hidden="false" customHeight="false" outlineLevel="0" collapsed="false">
      <c r="A1" s="29" t="s">
        <v>27</v>
      </c>
    </row>
    <row r="2" customFormat="false" ht="15" hidden="false" customHeight="false" outlineLevel="0" collapsed="false">
      <c r="A2" s="30" t="s">
        <v>28</v>
      </c>
    </row>
    <row r="3" customFormat="false" ht="15" hidden="false" customHeight="false" outlineLevel="0" collapsed="false">
      <c r="A3" s="31" t="s">
        <v>29</v>
      </c>
      <c r="B3" s="31"/>
      <c r="C3" s="31"/>
      <c r="D3" s="31"/>
      <c r="E3" s="31"/>
      <c r="F3" s="31"/>
      <c r="G3" s="32" t="s">
        <v>30</v>
      </c>
      <c r="H3" s="32"/>
      <c r="I3" s="32"/>
      <c r="J3" s="33" t="s">
        <v>31</v>
      </c>
      <c r="K3" s="33"/>
      <c r="L3" s="33"/>
      <c r="M3" s="34" t="s">
        <v>32</v>
      </c>
      <c r="N3" s="34"/>
      <c r="O3" s="34"/>
    </row>
    <row r="4" customFormat="false" ht="30" hidden="false" customHeight="true" outlineLevel="0" collapsed="false">
      <c r="A4" s="35" t="s">
        <v>4</v>
      </c>
      <c r="B4" s="35" t="s">
        <v>33</v>
      </c>
      <c r="C4" s="35" t="s">
        <v>34</v>
      </c>
      <c r="D4" s="35" t="s">
        <v>35</v>
      </c>
      <c r="E4" s="35" t="s">
        <v>36</v>
      </c>
      <c r="F4" s="35" t="s">
        <v>3</v>
      </c>
      <c r="G4" s="35" t="s">
        <v>6</v>
      </c>
      <c r="H4" s="35" t="s">
        <v>7</v>
      </c>
      <c r="I4" s="35" t="s">
        <v>8</v>
      </c>
      <c r="J4" s="35" t="s">
        <v>9</v>
      </c>
      <c r="K4" s="35" t="s">
        <v>10</v>
      </c>
      <c r="L4" s="35" t="s">
        <v>11</v>
      </c>
      <c r="M4" s="35" t="s">
        <v>37</v>
      </c>
      <c r="N4" s="35" t="s">
        <v>38</v>
      </c>
      <c r="O4" s="35" t="s">
        <v>39</v>
      </c>
    </row>
    <row r="5" customFormat="false" ht="15" hidden="false" customHeight="false" outlineLevel="0" collapsed="false">
      <c r="A5" s="36" t="n">
        <f aca="false">DATE(2026,9,18)</f>
        <v>46283</v>
      </c>
      <c r="B5" s="37" t="n">
        <f aca="false">IF($A5="","",WEEKNUM($A5,2))</f>
        <v>38</v>
      </c>
      <c r="C5" s="37" t="str">
        <f aca="false">IF($A5="","",CHOOSE(WEEKDAY($A5,2),"Seg","Ter","Qua","Qui","Sex","Sáb","Dom"))</f>
        <v>Sex</v>
      </c>
      <c r="D5" s="38" t="n">
        <f aca="false">TIME(8,0,0)</f>
        <v>0.333333333333333</v>
      </c>
      <c r="E5" s="39" t="s">
        <v>40</v>
      </c>
      <c r="F5" s="39" t="s">
        <v>41</v>
      </c>
      <c r="G5" s="40" t="n">
        <v>221.5</v>
      </c>
      <c r="H5" s="41" t="n">
        <v>18.75</v>
      </c>
      <c r="I5" s="42" t="n">
        <v>7196</v>
      </c>
      <c r="J5" s="40" t="n">
        <v>119.7</v>
      </c>
      <c r="K5" s="41" t="n">
        <v>45</v>
      </c>
      <c r="L5" s="42" t="n">
        <v>5390</v>
      </c>
      <c r="M5" s="43" t="n">
        <f aca="false">IF(OR($L5="",$F5=""),"",IFERROR($L5/INDEX(Cadastro!$E$6:$E$8,MATCH($F5,Cadastro!$B$6:$B$8,0)),""))</f>
        <v>0.718666666666667</v>
      </c>
      <c r="N5" s="43" t="n">
        <f aca="false">IF(OR($L5="",$I5="",$I5=0),"",$L5/$I5)</f>
        <v>0.749027237354086</v>
      </c>
      <c r="O5" s="44" t="s">
        <v>42</v>
      </c>
    </row>
    <row r="6" customFormat="false" ht="15" hidden="false" customHeight="false" outlineLevel="0" collapsed="false">
      <c r="A6" s="45"/>
      <c r="B6" s="37" t="str">
        <f aca="false">IF($A6="","",WEEKNUM($A6,2))</f>
        <v/>
      </c>
      <c r="C6" s="37" t="str">
        <f aca="false">IF($A6="","",CHOOSE(WEEKDAY($A6,2),"Seg","Ter","Qua","Qui","Sex","Sáb","Dom"))</f>
        <v/>
      </c>
      <c r="D6" s="46"/>
      <c r="E6" s="47"/>
      <c r="F6" s="47"/>
      <c r="G6" s="48"/>
      <c r="H6" s="49"/>
      <c r="I6" s="50"/>
      <c r="J6" s="48"/>
      <c r="K6" s="49"/>
      <c r="L6" s="50"/>
      <c r="M6" s="43" t="str">
        <f aca="false">IF(OR($L6="",$F6=""),"",IFERROR($L6/INDEX(Cadastro!$E$6:$E$8,MATCH($F6,Cadastro!$B$6:$B$8,0)),""))</f>
        <v/>
      </c>
      <c r="N6" s="43" t="str">
        <f aca="false">IF(OR($L6="",$I6="",$I6=0),"",$L6/$I6)</f>
        <v/>
      </c>
      <c r="O6" s="51"/>
    </row>
    <row r="7" customFormat="false" ht="15" hidden="false" customHeight="false" outlineLevel="0" collapsed="false">
      <c r="A7" s="45"/>
      <c r="B7" s="37" t="str">
        <f aca="false">IF($A7="","",WEEKNUM($A7,2))</f>
        <v/>
      </c>
      <c r="C7" s="37" t="str">
        <f aca="false">IF($A7="","",CHOOSE(WEEKDAY($A7,2),"Seg","Ter","Qua","Qui","Sex","Sáb","Dom"))</f>
        <v/>
      </c>
      <c r="D7" s="46"/>
      <c r="E7" s="47"/>
      <c r="F7" s="47"/>
      <c r="G7" s="48"/>
      <c r="H7" s="49"/>
      <c r="I7" s="50"/>
      <c r="J7" s="48"/>
      <c r="K7" s="49"/>
      <c r="L7" s="50"/>
      <c r="M7" s="43" t="str">
        <f aca="false">IF(OR($L7="",$F7=""),"",IFERROR($L7/INDEX(Cadastro!$E$6:$E$8,MATCH($F7,Cadastro!$B$6:$B$8,0)),""))</f>
        <v/>
      </c>
      <c r="N7" s="43" t="str">
        <f aca="false">IF(OR($L7="",$I7="",$I7=0),"",$L7/$I7)</f>
        <v/>
      </c>
      <c r="O7" s="51"/>
    </row>
    <row r="8" customFormat="false" ht="15" hidden="false" customHeight="false" outlineLevel="0" collapsed="false">
      <c r="A8" s="45"/>
      <c r="B8" s="37" t="str">
        <f aca="false">IF($A8="","",WEEKNUM($A8,2))</f>
        <v/>
      </c>
      <c r="C8" s="37" t="str">
        <f aca="false">IF($A8="","",CHOOSE(WEEKDAY($A8,2),"Seg","Ter","Qua","Qui","Sex","Sáb","Dom"))</f>
        <v/>
      </c>
      <c r="D8" s="46"/>
      <c r="E8" s="47"/>
      <c r="F8" s="47"/>
      <c r="G8" s="48"/>
      <c r="H8" s="49"/>
      <c r="I8" s="50"/>
      <c r="J8" s="48"/>
      <c r="K8" s="49"/>
      <c r="L8" s="50"/>
      <c r="M8" s="43" t="str">
        <f aca="false">IF(OR($L8="",$F8=""),"",IFERROR($L8/INDEX(Cadastro!$E$6:$E$8,MATCH($F8,Cadastro!$B$6:$B$8,0)),""))</f>
        <v/>
      </c>
      <c r="N8" s="43" t="str">
        <f aca="false">IF(OR($L8="",$I8="",$I8=0),"",$L8/$I8)</f>
        <v/>
      </c>
      <c r="O8" s="51"/>
    </row>
    <row r="9" customFormat="false" ht="15" hidden="false" customHeight="false" outlineLevel="0" collapsed="false">
      <c r="A9" s="45"/>
      <c r="B9" s="37" t="str">
        <f aca="false">IF($A9="","",WEEKNUM($A9,2))</f>
        <v/>
      </c>
      <c r="C9" s="37" t="str">
        <f aca="false">IF($A9="","",CHOOSE(WEEKDAY($A9,2),"Seg","Ter","Qua","Qui","Sex","Sáb","Dom"))</f>
        <v/>
      </c>
      <c r="D9" s="46"/>
      <c r="E9" s="47"/>
      <c r="F9" s="47"/>
      <c r="G9" s="48"/>
      <c r="H9" s="49"/>
      <c r="I9" s="50"/>
      <c r="J9" s="48"/>
      <c r="K9" s="49"/>
      <c r="L9" s="50"/>
      <c r="M9" s="43" t="str">
        <f aca="false">IF(OR($L9="",$F9=""),"",IFERROR($L9/INDEX(Cadastro!$E$6:$E$8,MATCH($F9,Cadastro!$B$6:$B$8,0)),""))</f>
        <v/>
      </c>
      <c r="N9" s="43" t="str">
        <f aca="false">IF(OR($L9="",$I9="",$I9=0),"",$L9/$I9)</f>
        <v/>
      </c>
      <c r="O9" s="51"/>
    </row>
    <row r="10" customFormat="false" ht="15" hidden="false" customHeight="false" outlineLevel="0" collapsed="false">
      <c r="A10" s="45"/>
      <c r="B10" s="37" t="str">
        <f aca="false">IF($A10="","",WEEKNUM($A10,2))</f>
        <v/>
      </c>
      <c r="C10" s="37" t="str">
        <f aca="false">IF($A10="","",CHOOSE(WEEKDAY($A10,2),"Seg","Ter","Qua","Qui","Sex","Sáb","Dom"))</f>
        <v/>
      </c>
      <c r="D10" s="46"/>
      <c r="E10" s="47"/>
      <c r="F10" s="47"/>
      <c r="G10" s="48"/>
      <c r="H10" s="49"/>
      <c r="I10" s="50"/>
      <c r="J10" s="48"/>
      <c r="K10" s="49"/>
      <c r="L10" s="50"/>
      <c r="M10" s="43" t="str">
        <f aca="false">IF(OR($L10="",$F10=""),"",IFERROR($L10/INDEX(Cadastro!$E$6:$E$8,MATCH($F10,Cadastro!$B$6:$B$8,0)),""))</f>
        <v/>
      </c>
      <c r="N10" s="43" t="str">
        <f aca="false">IF(OR($L10="",$I10="",$I10=0),"",$L10/$I10)</f>
        <v/>
      </c>
      <c r="O10" s="51"/>
    </row>
    <row r="11" customFormat="false" ht="15" hidden="false" customHeight="false" outlineLevel="0" collapsed="false">
      <c r="A11" s="45"/>
      <c r="B11" s="37" t="str">
        <f aca="false">IF($A11="","",WEEKNUM($A11,2))</f>
        <v/>
      </c>
      <c r="C11" s="37" t="str">
        <f aca="false">IF($A11="","",CHOOSE(WEEKDAY($A11,2),"Seg","Ter","Qua","Qui","Sex","Sáb","Dom"))</f>
        <v/>
      </c>
      <c r="D11" s="46"/>
      <c r="E11" s="47"/>
      <c r="F11" s="47"/>
      <c r="G11" s="48"/>
      <c r="H11" s="49"/>
      <c r="I11" s="50"/>
      <c r="J11" s="48"/>
      <c r="K11" s="49"/>
      <c r="L11" s="50"/>
      <c r="M11" s="43" t="str">
        <f aca="false">IF(OR($L11="",$F11=""),"",IFERROR($L11/INDEX(Cadastro!$E$6:$E$8,MATCH($F11,Cadastro!$B$6:$B$8,0)),""))</f>
        <v/>
      </c>
      <c r="N11" s="43" t="str">
        <f aca="false">IF(OR($L11="",$I11="",$I11=0),"",$L11/$I11)</f>
        <v/>
      </c>
      <c r="O11" s="51"/>
    </row>
    <row r="12" customFormat="false" ht="15" hidden="false" customHeight="false" outlineLevel="0" collapsed="false">
      <c r="A12" s="45"/>
      <c r="B12" s="37" t="str">
        <f aca="false">IF($A12="","",WEEKNUM($A12,2))</f>
        <v/>
      </c>
      <c r="C12" s="37" t="str">
        <f aca="false">IF($A12="","",CHOOSE(WEEKDAY($A12,2),"Seg","Ter","Qua","Qui","Sex","Sáb","Dom"))</f>
        <v/>
      </c>
      <c r="D12" s="46"/>
      <c r="E12" s="47"/>
      <c r="F12" s="47"/>
      <c r="G12" s="48"/>
      <c r="H12" s="49"/>
      <c r="I12" s="50"/>
      <c r="J12" s="48"/>
      <c r="K12" s="49"/>
      <c r="L12" s="50"/>
      <c r="M12" s="43" t="str">
        <f aca="false">IF(OR($L12="",$F12=""),"",IFERROR($L12/INDEX(Cadastro!$E$6:$E$8,MATCH($F12,Cadastro!$B$6:$B$8,0)),""))</f>
        <v/>
      </c>
      <c r="N12" s="43" t="str">
        <f aca="false">IF(OR($L12="",$I12="",$I12=0),"",$L12/$I12)</f>
        <v/>
      </c>
      <c r="O12" s="51"/>
    </row>
    <row r="13" customFormat="false" ht="15" hidden="false" customHeight="false" outlineLevel="0" collapsed="false">
      <c r="A13" s="45"/>
      <c r="B13" s="37" t="str">
        <f aca="false">IF($A13="","",WEEKNUM($A13,2))</f>
        <v/>
      </c>
      <c r="C13" s="37" t="str">
        <f aca="false">IF($A13="","",CHOOSE(WEEKDAY($A13,2),"Seg","Ter","Qua","Qui","Sex","Sáb","Dom"))</f>
        <v/>
      </c>
      <c r="D13" s="46"/>
      <c r="E13" s="47"/>
      <c r="F13" s="47"/>
      <c r="G13" s="48"/>
      <c r="H13" s="49"/>
      <c r="I13" s="50"/>
      <c r="J13" s="48"/>
      <c r="K13" s="49"/>
      <c r="L13" s="50"/>
      <c r="M13" s="43" t="str">
        <f aca="false">IF(OR($L13="",$F13=""),"",IFERROR($L13/INDEX(Cadastro!$E$6:$E$8,MATCH($F13,Cadastro!$B$6:$B$8,0)),""))</f>
        <v/>
      </c>
      <c r="N13" s="43" t="str">
        <f aca="false">IF(OR($L13="",$I13="",$I13=0),"",$L13/$I13)</f>
        <v/>
      </c>
      <c r="O13" s="51"/>
    </row>
    <row r="14" customFormat="false" ht="15" hidden="false" customHeight="false" outlineLevel="0" collapsed="false">
      <c r="A14" s="45"/>
      <c r="B14" s="37" t="str">
        <f aca="false">IF($A14="","",WEEKNUM($A14,2))</f>
        <v/>
      </c>
      <c r="C14" s="37" t="str">
        <f aca="false">IF($A14="","",CHOOSE(WEEKDAY($A14,2),"Seg","Ter","Qua","Qui","Sex","Sáb","Dom"))</f>
        <v/>
      </c>
      <c r="D14" s="46"/>
      <c r="E14" s="47"/>
      <c r="F14" s="47"/>
      <c r="G14" s="48"/>
      <c r="H14" s="49"/>
      <c r="I14" s="50"/>
      <c r="J14" s="48"/>
      <c r="K14" s="49"/>
      <c r="L14" s="50"/>
      <c r="M14" s="43" t="str">
        <f aca="false">IF(OR($L14="",$F14=""),"",IFERROR($L14/INDEX(Cadastro!$E$6:$E$8,MATCH($F14,Cadastro!$B$6:$B$8,0)),""))</f>
        <v/>
      </c>
      <c r="N14" s="43" t="str">
        <f aca="false">IF(OR($L14="",$I14="",$I14=0),"",$L14/$I14)</f>
        <v/>
      </c>
      <c r="O14" s="51"/>
    </row>
    <row r="15" customFormat="false" ht="15" hidden="false" customHeight="false" outlineLevel="0" collapsed="false">
      <c r="A15" s="45"/>
      <c r="B15" s="37" t="str">
        <f aca="false">IF($A15="","",WEEKNUM($A15,2))</f>
        <v/>
      </c>
      <c r="C15" s="37" t="str">
        <f aca="false">IF($A15="","",CHOOSE(WEEKDAY($A15,2),"Seg","Ter","Qua","Qui","Sex","Sáb","Dom"))</f>
        <v/>
      </c>
      <c r="D15" s="46"/>
      <c r="E15" s="47"/>
      <c r="F15" s="47"/>
      <c r="G15" s="48"/>
      <c r="H15" s="49"/>
      <c r="I15" s="50"/>
      <c r="J15" s="48"/>
      <c r="K15" s="49"/>
      <c r="L15" s="50"/>
      <c r="M15" s="43" t="str">
        <f aca="false">IF(OR($L15="",$F15=""),"",IFERROR($L15/INDEX(Cadastro!$E$6:$E$8,MATCH($F15,Cadastro!$B$6:$B$8,0)),""))</f>
        <v/>
      </c>
      <c r="N15" s="43" t="str">
        <f aca="false">IF(OR($L15="",$I15="",$I15=0),"",$L15/$I15)</f>
        <v/>
      </c>
      <c r="O15" s="51"/>
    </row>
    <row r="16" customFormat="false" ht="15" hidden="false" customHeight="false" outlineLevel="0" collapsed="false">
      <c r="A16" s="45"/>
      <c r="B16" s="37" t="str">
        <f aca="false">IF($A16="","",WEEKNUM($A16,2))</f>
        <v/>
      </c>
      <c r="C16" s="37" t="str">
        <f aca="false">IF($A16="","",CHOOSE(WEEKDAY($A16,2),"Seg","Ter","Qua","Qui","Sex","Sáb","Dom"))</f>
        <v/>
      </c>
      <c r="D16" s="46"/>
      <c r="E16" s="47"/>
      <c r="F16" s="47"/>
      <c r="G16" s="48"/>
      <c r="H16" s="49"/>
      <c r="I16" s="50"/>
      <c r="J16" s="48"/>
      <c r="K16" s="49"/>
      <c r="L16" s="50"/>
      <c r="M16" s="43" t="str">
        <f aca="false">IF(OR($L16="",$F16=""),"",IFERROR($L16/INDEX(Cadastro!$E$6:$E$8,MATCH($F16,Cadastro!$B$6:$B$8,0)),""))</f>
        <v/>
      </c>
      <c r="N16" s="43" t="str">
        <f aca="false">IF(OR($L16="",$I16="",$I16=0),"",$L16/$I16)</f>
        <v/>
      </c>
      <c r="O16" s="51"/>
    </row>
    <row r="17" customFormat="false" ht="15" hidden="false" customHeight="false" outlineLevel="0" collapsed="false">
      <c r="A17" s="45"/>
      <c r="B17" s="37" t="str">
        <f aca="false">IF($A17="","",WEEKNUM($A17,2))</f>
        <v/>
      </c>
      <c r="C17" s="37" t="str">
        <f aca="false">IF($A17="","",CHOOSE(WEEKDAY($A17,2),"Seg","Ter","Qua","Qui","Sex","Sáb","Dom"))</f>
        <v/>
      </c>
      <c r="D17" s="46"/>
      <c r="E17" s="47"/>
      <c r="F17" s="47"/>
      <c r="G17" s="48"/>
      <c r="H17" s="49"/>
      <c r="I17" s="50"/>
      <c r="J17" s="48"/>
      <c r="K17" s="49"/>
      <c r="L17" s="50"/>
      <c r="M17" s="43" t="str">
        <f aca="false">IF(OR($L17="",$F17=""),"",IFERROR($L17/INDEX(Cadastro!$E$6:$E$8,MATCH($F17,Cadastro!$B$6:$B$8,0)),""))</f>
        <v/>
      </c>
      <c r="N17" s="43" t="str">
        <f aca="false">IF(OR($L17="",$I17="",$I17=0),"",$L17/$I17)</f>
        <v/>
      </c>
      <c r="O17" s="51"/>
    </row>
    <row r="18" customFormat="false" ht="15" hidden="false" customHeight="false" outlineLevel="0" collapsed="false">
      <c r="A18" s="45"/>
      <c r="B18" s="37" t="str">
        <f aca="false">IF($A18="","",WEEKNUM($A18,2))</f>
        <v/>
      </c>
      <c r="C18" s="37" t="str">
        <f aca="false">IF($A18="","",CHOOSE(WEEKDAY($A18,2),"Seg","Ter","Qua","Qui","Sex","Sáb","Dom"))</f>
        <v/>
      </c>
      <c r="D18" s="46"/>
      <c r="E18" s="47"/>
      <c r="F18" s="47"/>
      <c r="G18" s="48"/>
      <c r="H18" s="49"/>
      <c r="I18" s="50"/>
      <c r="J18" s="48"/>
      <c r="K18" s="49"/>
      <c r="L18" s="50"/>
      <c r="M18" s="43" t="str">
        <f aca="false">IF(OR($L18="",$F18=""),"",IFERROR($L18/INDEX(Cadastro!$E$6:$E$8,MATCH($F18,Cadastro!$B$6:$B$8,0)),""))</f>
        <v/>
      </c>
      <c r="N18" s="43" t="str">
        <f aca="false">IF(OR($L18="",$I18="",$I18=0),"",$L18/$I18)</f>
        <v/>
      </c>
      <c r="O18" s="51"/>
    </row>
    <row r="19" customFormat="false" ht="15" hidden="false" customHeight="false" outlineLevel="0" collapsed="false">
      <c r="A19" s="45"/>
      <c r="B19" s="37" t="str">
        <f aca="false">IF($A19="","",WEEKNUM($A19,2))</f>
        <v/>
      </c>
      <c r="C19" s="37" t="str">
        <f aca="false">IF($A19="","",CHOOSE(WEEKDAY($A19,2),"Seg","Ter","Qua","Qui","Sex","Sáb","Dom"))</f>
        <v/>
      </c>
      <c r="D19" s="46"/>
      <c r="E19" s="47"/>
      <c r="F19" s="47"/>
      <c r="G19" s="48"/>
      <c r="H19" s="49"/>
      <c r="I19" s="50"/>
      <c r="J19" s="48"/>
      <c r="K19" s="49"/>
      <c r="L19" s="50"/>
      <c r="M19" s="43" t="str">
        <f aca="false">IF(OR($L19="",$F19=""),"",IFERROR($L19/INDEX(Cadastro!$E$6:$E$8,MATCH($F19,Cadastro!$B$6:$B$8,0)),""))</f>
        <v/>
      </c>
      <c r="N19" s="43" t="str">
        <f aca="false">IF(OR($L19="",$I19="",$I19=0),"",$L19/$I19)</f>
        <v/>
      </c>
      <c r="O19" s="51"/>
    </row>
    <row r="20" customFormat="false" ht="15" hidden="false" customHeight="false" outlineLevel="0" collapsed="false">
      <c r="A20" s="45"/>
      <c r="B20" s="37" t="str">
        <f aca="false">IF($A20="","",WEEKNUM($A20,2))</f>
        <v/>
      </c>
      <c r="C20" s="37" t="str">
        <f aca="false">IF($A20="","",CHOOSE(WEEKDAY($A20,2),"Seg","Ter","Qua","Qui","Sex","Sáb","Dom"))</f>
        <v/>
      </c>
      <c r="D20" s="46"/>
      <c r="E20" s="47"/>
      <c r="F20" s="47"/>
      <c r="G20" s="48"/>
      <c r="H20" s="49"/>
      <c r="I20" s="50"/>
      <c r="J20" s="48"/>
      <c r="K20" s="49"/>
      <c r="L20" s="50"/>
      <c r="M20" s="43" t="str">
        <f aca="false">IF(OR($L20="",$F20=""),"",IFERROR($L20/INDEX(Cadastro!$E$6:$E$8,MATCH($F20,Cadastro!$B$6:$B$8,0)),""))</f>
        <v/>
      </c>
      <c r="N20" s="43" t="str">
        <f aca="false">IF(OR($L20="",$I20="",$I20=0),"",$L20/$I20)</f>
        <v/>
      </c>
      <c r="O20" s="51"/>
    </row>
    <row r="21" customFormat="false" ht="15" hidden="false" customHeight="false" outlineLevel="0" collapsed="false">
      <c r="A21" s="45"/>
      <c r="B21" s="37" t="str">
        <f aca="false">IF($A21="","",WEEKNUM($A21,2))</f>
        <v/>
      </c>
      <c r="C21" s="37" t="str">
        <f aca="false">IF($A21="","",CHOOSE(WEEKDAY($A21,2),"Seg","Ter","Qua","Qui","Sex","Sáb","Dom"))</f>
        <v/>
      </c>
      <c r="D21" s="46"/>
      <c r="E21" s="47"/>
      <c r="F21" s="47"/>
      <c r="G21" s="48"/>
      <c r="H21" s="49"/>
      <c r="I21" s="50"/>
      <c r="J21" s="48"/>
      <c r="K21" s="49"/>
      <c r="L21" s="50"/>
      <c r="M21" s="43" t="str">
        <f aca="false">IF(OR($L21="",$F21=""),"",IFERROR($L21/INDEX(Cadastro!$E$6:$E$8,MATCH($F21,Cadastro!$B$6:$B$8,0)),""))</f>
        <v/>
      </c>
      <c r="N21" s="43" t="str">
        <f aca="false">IF(OR($L21="",$I21="",$I21=0),"",$L21/$I21)</f>
        <v/>
      </c>
      <c r="O21" s="51"/>
    </row>
    <row r="22" customFormat="false" ht="15" hidden="false" customHeight="false" outlineLevel="0" collapsed="false">
      <c r="A22" s="45"/>
      <c r="B22" s="37" t="str">
        <f aca="false">IF($A22="","",WEEKNUM($A22,2))</f>
        <v/>
      </c>
      <c r="C22" s="37" t="str">
        <f aca="false">IF($A22="","",CHOOSE(WEEKDAY($A22,2),"Seg","Ter","Qua","Qui","Sex","Sáb","Dom"))</f>
        <v/>
      </c>
      <c r="D22" s="46"/>
      <c r="E22" s="47"/>
      <c r="F22" s="47"/>
      <c r="G22" s="48"/>
      <c r="H22" s="49"/>
      <c r="I22" s="50"/>
      <c r="J22" s="48"/>
      <c r="K22" s="49"/>
      <c r="L22" s="50"/>
      <c r="M22" s="43" t="str">
        <f aca="false">IF(OR($L22="",$F22=""),"",IFERROR($L22/INDEX(Cadastro!$E$6:$E$8,MATCH($F22,Cadastro!$B$6:$B$8,0)),""))</f>
        <v/>
      </c>
      <c r="N22" s="43" t="str">
        <f aca="false">IF(OR($L22="",$I22="",$I22=0),"",$L22/$I22)</f>
        <v/>
      </c>
      <c r="O22" s="51"/>
    </row>
    <row r="23" customFormat="false" ht="15" hidden="false" customHeight="false" outlineLevel="0" collapsed="false">
      <c r="A23" s="45"/>
      <c r="B23" s="37" t="str">
        <f aca="false">IF($A23="","",WEEKNUM($A23,2))</f>
        <v/>
      </c>
      <c r="C23" s="37" t="str">
        <f aca="false">IF($A23="","",CHOOSE(WEEKDAY($A23,2),"Seg","Ter","Qua","Qui","Sex","Sáb","Dom"))</f>
        <v/>
      </c>
      <c r="D23" s="46"/>
      <c r="E23" s="47"/>
      <c r="F23" s="47"/>
      <c r="G23" s="48"/>
      <c r="H23" s="49"/>
      <c r="I23" s="50"/>
      <c r="J23" s="48"/>
      <c r="K23" s="49"/>
      <c r="L23" s="50"/>
      <c r="M23" s="43" t="str">
        <f aca="false">IF(OR($L23="",$F23=""),"",IFERROR($L23/INDEX(Cadastro!$E$6:$E$8,MATCH($F23,Cadastro!$B$6:$B$8,0)),""))</f>
        <v/>
      </c>
      <c r="N23" s="43" t="str">
        <f aca="false">IF(OR($L23="",$I23="",$I23=0),"",$L23/$I23)</f>
        <v/>
      </c>
      <c r="O23" s="51"/>
    </row>
    <row r="24" customFormat="false" ht="15" hidden="false" customHeight="false" outlineLevel="0" collapsed="false">
      <c r="A24" s="45"/>
      <c r="B24" s="37" t="str">
        <f aca="false">IF($A24="","",WEEKNUM($A24,2))</f>
        <v/>
      </c>
      <c r="C24" s="37" t="str">
        <f aca="false">IF($A24="","",CHOOSE(WEEKDAY($A24,2),"Seg","Ter","Qua","Qui","Sex","Sáb","Dom"))</f>
        <v/>
      </c>
      <c r="D24" s="46"/>
      <c r="E24" s="47"/>
      <c r="F24" s="47"/>
      <c r="G24" s="48"/>
      <c r="H24" s="49"/>
      <c r="I24" s="50"/>
      <c r="J24" s="48"/>
      <c r="K24" s="49"/>
      <c r="L24" s="50"/>
      <c r="M24" s="43" t="str">
        <f aca="false">IF(OR($L24="",$F24=""),"",IFERROR($L24/INDEX(Cadastro!$E$6:$E$8,MATCH($F24,Cadastro!$B$6:$B$8,0)),""))</f>
        <v/>
      </c>
      <c r="N24" s="43" t="str">
        <f aca="false">IF(OR($L24="",$I24="",$I24=0),"",$L24/$I24)</f>
        <v/>
      </c>
      <c r="O24" s="51"/>
    </row>
    <row r="25" customFormat="false" ht="15" hidden="false" customHeight="false" outlineLevel="0" collapsed="false">
      <c r="A25" s="45"/>
      <c r="B25" s="37" t="str">
        <f aca="false">IF($A25="","",WEEKNUM($A25,2))</f>
        <v/>
      </c>
      <c r="C25" s="37" t="str">
        <f aca="false">IF($A25="","",CHOOSE(WEEKDAY($A25,2),"Seg","Ter","Qua","Qui","Sex","Sáb","Dom"))</f>
        <v/>
      </c>
      <c r="D25" s="46"/>
      <c r="E25" s="47"/>
      <c r="F25" s="47"/>
      <c r="G25" s="48"/>
      <c r="H25" s="49"/>
      <c r="I25" s="50"/>
      <c r="J25" s="48"/>
      <c r="K25" s="49"/>
      <c r="L25" s="50"/>
      <c r="M25" s="43" t="str">
        <f aca="false">IF(OR($L25="",$F25=""),"",IFERROR($L25/INDEX(Cadastro!$E$6:$E$8,MATCH($F25,Cadastro!$B$6:$B$8,0)),""))</f>
        <v/>
      </c>
      <c r="N25" s="43" t="str">
        <f aca="false">IF(OR($L25="",$I25="",$I25=0),"",$L25/$I25)</f>
        <v/>
      </c>
      <c r="O25" s="51"/>
    </row>
    <row r="26" customFormat="false" ht="15" hidden="false" customHeight="false" outlineLevel="0" collapsed="false">
      <c r="A26" s="45"/>
      <c r="B26" s="37" t="str">
        <f aca="false">IF($A26="","",WEEKNUM($A26,2))</f>
        <v/>
      </c>
      <c r="C26" s="37" t="str">
        <f aca="false">IF($A26="","",CHOOSE(WEEKDAY($A26,2),"Seg","Ter","Qua","Qui","Sex","Sáb","Dom"))</f>
        <v/>
      </c>
      <c r="D26" s="46"/>
      <c r="E26" s="47"/>
      <c r="F26" s="47"/>
      <c r="G26" s="48"/>
      <c r="H26" s="49"/>
      <c r="I26" s="50"/>
      <c r="J26" s="48"/>
      <c r="K26" s="49"/>
      <c r="L26" s="50"/>
      <c r="M26" s="43" t="str">
        <f aca="false">IF(OR($L26="",$F26=""),"",IFERROR($L26/INDEX(Cadastro!$E$6:$E$8,MATCH($F26,Cadastro!$B$6:$B$8,0)),""))</f>
        <v/>
      </c>
      <c r="N26" s="43" t="str">
        <f aca="false">IF(OR($L26="",$I26="",$I26=0),"",$L26/$I26)</f>
        <v/>
      </c>
      <c r="O26" s="51"/>
    </row>
    <row r="27" customFormat="false" ht="15" hidden="false" customHeight="false" outlineLevel="0" collapsed="false">
      <c r="A27" s="45"/>
      <c r="B27" s="37" t="str">
        <f aca="false">IF($A27="","",WEEKNUM($A27,2))</f>
        <v/>
      </c>
      <c r="C27" s="37" t="str">
        <f aca="false">IF($A27="","",CHOOSE(WEEKDAY($A27,2),"Seg","Ter","Qua","Qui","Sex","Sáb","Dom"))</f>
        <v/>
      </c>
      <c r="D27" s="46"/>
      <c r="E27" s="47"/>
      <c r="F27" s="47"/>
      <c r="G27" s="48"/>
      <c r="H27" s="49"/>
      <c r="I27" s="50"/>
      <c r="J27" s="48"/>
      <c r="K27" s="49"/>
      <c r="L27" s="50"/>
      <c r="M27" s="43" t="str">
        <f aca="false">IF(OR($L27="",$F27=""),"",IFERROR($L27/INDEX(Cadastro!$E$6:$E$8,MATCH($F27,Cadastro!$B$6:$B$8,0)),""))</f>
        <v/>
      </c>
      <c r="N27" s="43" t="str">
        <f aca="false">IF(OR($L27="",$I27="",$I27=0),"",$L27/$I27)</f>
        <v/>
      </c>
      <c r="O27" s="51"/>
    </row>
    <row r="28" customFormat="false" ht="15" hidden="false" customHeight="false" outlineLevel="0" collapsed="false">
      <c r="A28" s="45"/>
      <c r="B28" s="37" t="str">
        <f aca="false">IF($A28="","",WEEKNUM($A28,2))</f>
        <v/>
      </c>
      <c r="C28" s="37" t="str">
        <f aca="false">IF($A28="","",CHOOSE(WEEKDAY($A28,2),"Seg","Ter","Qua","Qui","Sex","Sáb","Dom"))</f>
        <v/>
      </c>
      <c r="D28" s="46"/>
      <c r="E28" s="47"/>
      <c r="F28" s="47"/>
      <c r="G28" s="48"/>
      <c r="H28" s="49"/>
      <c r="I28" s="50"/>
      <c r="J28" s="48"/>
      <c r="K28" s="49"/>
      <c r="L28" s="50"/>
      <c r="M28" s="43" t="str">
        <f aca="false">IF(OR($L28="",$F28=""),"",IFERROR($L28/INDEX(Cadastro!$E$6:$E$8,MATCH($F28,Cadastro!$B$6:$B$8,0)),""))</f>
        <v/>
      </c>
      <c r="N28" s="43" t="str">
        <f aca="false">IF(OR($L28="",$I28="",$I28=0),"",$L28/$I28)</f>
        <v/>
      </c>
      <c r="O28" s="51"/>
    </row>
    <row r="29" customFormat="false" ht="15" hidden="false" customHeight="false" outlineLevel="0" collapsed="false">
      <c r="A29" s="45"/>
      <c r="B29" s="37" t="str">
        <f aca="false">IF($A29="","",WEEKNUM($A29,2))</f>
        <v/>
      </c>
      <c r="C29" s="37" t="str">
        <f aca="false">IF($A29="","",CHOOSE(WEEKDAY($A29,2),"Seg","Ter","Qua","Qui","Sex","Sáb","Dom"))</f>
        <v/>
      </c>
      <c r="D29" s="46"/>
      <c r="E29" s="47"/>
      <c r="F29" s="47"/>
      <c r="G29" s="48"/>
      <c r="H29" s="49"/>
      <c r="I29" s="50"/>
      <c r="J29" s="48"/>
      <c r="K29" s="49"/>
      <c r="L29" s="50"/>
      <c r="M29" s="43" t="str">
        <f aca="false">IF(OR($L29="",$F29=""),"",IFERROR($L29/INDEX(Cadastro!$E$6:$E$8,MATCH($F29,Cadastro!$B$6:$B$8,0)),""))</f>
        <v/>
      </c>
      <c r="N29" s="43" t="str">
        <f aca="false">IF(OR($L29="",$I29="",$I29=0),"",$L29/$I29)</f>
        <v/>
      </c>
      <c r="O29" s="51"/>
    </row>
    <row r="30" customFormat="false" ht="15" hidden="false" customHeight="false" outlineLevel="0" collapsed="false">
      <c r="A30" s="45"/>
      <c r="B30" s="37" t="str">
        <f aca="false">IF($A30="","",WEEKNUM($A30,2))</f>
        <v/>
      </c>
      <c r="C30" s="37" t="str">
        <f aca="false">IF($A30="","",CHOOSE(WEEKDAY($A30,2),"Seg","Ter","Qua","Qui","Sex","Sáb","Dom"))</f>
        <v/>
      </c>
      <c r="D30" s="46"/>
      <c r="E30" s="47"/>
      <c r="F30" s="47"/>
      <c r="G30" s="48"/>
      <c r="H30" s="49"/>
      <c r="I30" s="50"/>
      <c r="J30" s="48"/>
      <c r="K30" s="49"/>
      <c r="L30" s="50"/>
      <c r="M30" s="43" t="str">
        <f aca="false">IF(OR($L30="",$F30=""),"",IFERROR($L30/INDEX(Cadastro!$E$6:$E$8,MATCH($F30,Cadastro!$B$6:$B$8,0)),""))</f>
        <v/>
      </c>
      <c r="N30" s="43" t="str">
        <f aca="false">IF(OR($L30="",$I30="",$I30=0),"",$L30/$I30)</f>
        <v/>
      </c>
      <c r="O30" s="51"/>
    </row>
    <row r="31" customFormat="false" ht="15" hidden="false" customHeight="false" outlineLevel="0" collapsed="false">
      <c r="A31" s="45"/>
      <c r="B31" s="37" t="str">
        <f aca="false">IF($A31="","",WEEKNUM($A31,2))</f>
        <v/>
      </c>
      <c r="C31" s="37" t="str">
        <f aca="false">IF($A31="","",CHOOSE(WEEKDAY($A31,2),"Seg","Ter","Qua","Qui","Sex","Sáb","Dom"))</f>
        <v/>
      </c>
      <c r="D31" s="46"/>
      <c r="E31" s="47"/>
      <c r="F31" s="47"/>
      <c r="G31" s="48"/>
      <c r="H31" s="49"/>
      <c r="I31" s="50"/>
      <c r="J31" s="48"/>
      <c r="K31" s="49"/>
      <c r="L31" s="50"/>
      <c r="M31" s="43" t="str">
        <f aca="false">IF(OR($L31="",$F31=""),"",IFERROR($L31/INDEX(Cadastro!$E$6:$E$8,MATCH($F31,Cadastro!$B$6:$B$8,0)),""))</f>
        <v/>
      </c>
      <c r="N31" s="43" t="str">
        <f aca="false">IF(OR($L31="",$I31="",$I31=0),"",$L31/$I31)</f>
        <v/>
      </c>
      <c r="O31" s="51"/>
    </row>
    <row r="32" customFormat="false" ht="15" hidden="false" customHeight="false" outlineLevel="0" collapsed="false">
      <c r="A32" s="45"/>
      <c r="B32" s="37" t="str">
        <f aca="false">IF($A32="","",WEEKNUM($A32,2))</f>
        <v/>
      </c>
      <c r="C32" s="37" t="str">
        <f aca="false">IF($A32="","",CHOOSE(WEEKDAY($A32,2),"Seg","Ter","Qua","Qui","Sex","Sáb","Dom"))</f>
        <v/>
      </c>
      <c r="D32" s="46"/>
      <c r="E32" s="47"/>
      <c r="F32" s="47"/>
      <c r="G32" s="48"/>
      <c r="H32" s="49"/>
      <c r="I32" s="50"/>
      <c r="J32" s="48"/>
      <c r="K32" s="49"/>
      <c r="L32" s="50"/>
      <c r="M32" s="43" t="str">
        <f aca="false">IF(OR($L32="",$F32=""),"",IFERROR($L32/INDEX(Cadastro!$E$6:$E$8,MATCH($F32,Cadastro!$B$6:$B$8,0)),""))</f>
        <v/>
      </c>
      <c r="N32" s="43" t="str">
        <f aca="false">IF(OR($L32="",$I32="",$I32=0),"",$L32/$I32)</f>
        <v/>
      </c>
      <c r="O32" s="51"/>
    </row>
    <row r="33" customFormat="false" ht="15" hidden="false" customHeight="false" outlineLevel="0" collapsed="false">
      <c r="A33" s="45"/>
      <c r="B33" s="37" t="str">
        <f aca="false">IF($A33="","",WEEKNUM($A33,2))</f>
        <v/>
      </c>
      <c r="C33" s="37" t="str">
        <f aca="false">IF($A33="","",CHOOSE(WEEKDAY($A33,2),"Seg","Ter","Qua","Qui","Sex","Sáb","Dom"))</f>
        <v/>
      </c>
      <c r="D33" s="46"/>
      <c r="E33" s="47"/>
      <c r="F33" s="47"/>
      <c r="G33" s="48"/>
      <c r="H33" s="49"/>
      <c r="I33" s="50"/>
      <c r="J33" s="48"/>
      <c r="K33" s="49"/>
      <c r="L33" s="50"/>
      <c r="M33" s="43" t="str">
        <f aca="false">IF(OR($L33="",$F33=""),"",IFERROR($L33/INDEX(Cadastro!$E$6:$E$8,MATCH($F33,Cadastro!$B$6:$B$8,0)),""))</f>
        <v/>
      </c>
      <c r="N33" s="43" t="str">
        <f aca="false">IF(OR($L33="",$I33="",$I33=0),"",$L33/$I33)</f>
        <v/>
      </c>
      <c r="O33" s="51"/>
    </row>
    <row r="34" customFormat="false" ht="15" hidden="false" customHeight="false" outlineLevel="0" collapsed="false">
      <c r="A34" s="45"/>
      <c r="B34" s="37" t="str">
        <f aca="false">IF($A34="","",WEEKNUM($A34,2))</f>
        <v/>
      </c>
      <c r="C34" s="37" t="str">
        <f aca="false">IF($A34="","",CHOOSE(WEEKDAY($A34,2),"Seg","Ter","Qua","Qui","Sex","Sáb","Dom"))</f>
        <v/>
      </c>
      <c r="D34" s="46"/>
      <c r="E34" s="47"/>
      <c r="F34" s="47"/>
      <c r="G34" s="48"/>
      <c r="H34" s="49"/>
      <c r="I34" s="50"/>
      <c r="J34" s="48"/>
      <c r="K34" s="49"/>
      <c r="L34" s="50"/>
      <c r="M34" s="43" t="str">
        <f aca="false">IF(OR($L34="",$F34=""),"",IFERROR($L34/INDEX(Cadastro!$E$6:$E$8,MATCH($F34,Cadastro!$B$6:$B$8,0)),""))</f>
        <v/>
      </c>
      <c r="N34" s="43" t="str">
        <f aca="false">IF(OR($L34="",$I34="",$I34=0),"",$L34/$I34)</f>
        <v/>
      </c>
      <c r="O34" s="51"/>
    </row>
    <row r="35" customFormat="false" ht="15" hidden="false" customHeight="false" outlineLevel="0" collapsed="false">
      <c r="A35" s="45"/>
      <c r="B35" s="37" t="str">
        <f aca="false">IF($A35="","",WEEKNUM($A35,2))</f>
        <v/>
      </c>
      <c r="C35" s="37" t="str">
        <f aca="false">IF($A35="","",CHOOSE(WEEKDAY($A35,2),"Seg","Ter","Qua","Qui","Sex","Sáb","Dom"))</f>
        <v/>
      </c>
      <c r="D35" s="46"/>
      <c r="E35" s="47"/>
      <c r="F35" s="47"/>
      <c r="G35" s="48"/>
      <c r="H35" s="49"/>
      <c r="I35" s="50"/>
      <c r="J35" s="48"/>
      <c r="K35" s="49"/>
      <c r="L35" s="50"/>
      <c r="M35" s="43" t="str">
        <f aca="false">IF(OR($L35="",$F35=""),"",IFERROR($L35/INDEX(Cadastro!$E$6:$E$8,MATCH($F35,Cadastro!$B$6:$B$8,0)),""))</f>
        <v/>
      </c>
      <c r="N35" s="43" t="str">
        <f aca="false">IF(OR($L35="",$I35="",$I35=0),"",$L35/$I35)</f>
        <v/>
      </c>
      <c r="O35" s="51"/>
    </row>
    <row r="36" customFormat="false" ht="15" hidden="false" customHeight="false" outlineLevel="0" collapsed="false">
      <c r="A36" s="45"/>
      <c r="B36" s="37" t="str">
        <f aca="false">IF($A36="","",WEEKNUM($A36,2))</f>
        <v/>
      </c>
      <c r="C36" s="37" t="str">
        <f aca="false">IF($A36="","",CHOOSE(WEEKDAY($A36,2),"Seg","Ter","Qua","Qui","Sex","Sáb","Dom"))</f>
        <v/>
      </c>
      <c r="D36" s="46"/>
      <c r="E36" s="47"/>
      <c r="F36" s="47"/>
      <c r="G36" s="48"/>
      <c r="H36" s="49"/>
      <c r="I36" s="50"/>
      <c r="J36" s="48"/>
      <c r="K36" s="49"/>
      <c r="L36" s="50"/>
      <c r="M36" s="43" t="str">
        <f aca="false">IF(OR($L36="",$F36=""),"",IFERROR($L36/INDEX(Cadastro!$E$6:$E$8,MATCH($F36,Cadastro!$B$6:$B$8,0)),""))</f>
        <v/>
      </c>
      <c r="N36" s="43" t="str">
        <f aca="false">IF(OR($L36="",$I36="",$I36=0),"",$L36/$I36)</f>
        <v/>
      </c>
      <c r="O36" s="51"/>
    </row>
    <row r="37" customFormat="false" ht="15" hidden="false" customHeight="false" outlineLevel="0" collapsed="false">
      <c r="A37" s="45"/>
      <c r="B37" s="37" t="str">
        <f aca="false">IF($A37="","",WEEKNUM($A37,2))</f>
        <v/>
      </c>
      <c r="C37" s="37" t="str">
        <f aca="false">IF($A37="","",CHOOSE(WEEKDAY($A37,2),"Seg","Ter","Qua","Qui","Sex","Sáb","Dom"))</f>
        <v/>
      </c>
      <c r="D37" s="46"/>
      <c r="E37" s="47"/>
      <c r="F37" s="47"/>
      <c r="G37" s="48"/>
      <c r="H37" s="49"/>
      <c r="I37" s="50"/>
      <c r="J37" s="48"/>
      <c r="K37" s="49"/>
      <c r="L37" s="50"/>
      <c r="M37" s="43" t="str">
        <f aca="false">IF(OR($L37="",$F37=""),"",IFERROR($L37/INDEX(Cadastro!$E$6:$E$8,MATCH($F37,Cadastro!$B$6:$B$8,0)),""))</f>
        <v/>
      </c>
      <c r="N37" s="43" t="str">
        <f aca="false">IF(OR($L37="",$I37="",$I37=0),"",$L37/$I37)</f>
        <v/>
      </c>
      <c r="O37" s="51"/>
    </row>
    <row r="38" customFormat="false" ht="15" hidden="false" customHeight="false" outlineLevel="0" collapsed="false">
      <c r="A38" s="45"/>
      <c r="B38" s="37" t="str">
        <f aca="false">IF($A38="","",WEEKNUM($A38,2))</f>
        <v/>
      </c>
      <c r="C38" s="37" t="str">
        <f aca="false">IF($A38="","",CHOOSE(WEEKDAY($A38,2),"Seg","Ter","Qua","Qui","Sex","Sáb","Dom"))</f>
        <v/>
      </c>
      <c r="D38" s="46"/>
      <c r="E38" s="47"/>
      <c r="F38" s="47"/>
      <c r="G38" s="48"/>
      <c r="H38" s="49"/>
      <c r="I38" s="50"/>
      <c r="J38" s="48"/>
      <c r="K38" s="49"/>
      <c r="L38" s="50"/>
      <c r="M38" s="43" t="str">
        <f aca="false">IF(OR($L38="",$F38=""),"",IFERROR($L38/INDEX(Cadastro!$E$6:$E$8,MATCH($F38,Cadastro!$B$6:$B$8,0)),""))</f>
        <v/>
      </c>
      <c r="N38" s="43" t="str">
        <f aca="false">IF(OR($L38="",$I38="",$I38=0),"",$L38/$I38)</f>
        <v/>
      </c>
      <c r="O38" s="51"/>
    </row>
    <row r="39" customFormat="false" ht="15" hidden="false" customHeight="false" outlineLevel="0" collapsed="false">
      <c r="A39" s="45"/>
      <c r="B39" s="37" t="str">
        <f aca="false">IF($A39="","",WEEKNUM($A39,2))</f>
        <v/>
      </c>
      <c r="C39" s="37" t="str">
        <f aca="false">IF($A39="","",CHOOSE(WEEKDAY($A39,2),"Seg","Ter","Qua","Qui","Sex","Sáb","Dom"))</f>
        <v/>
      </c>
      <c r="D39" s="46"/>
      <c r="E39" s="47"/>
      <c r="F39" s="47"/>
      <c r="G39" s="48"/>
      <c r="H39" s="49"/>
      <c r="I39" s="50"/>
      <c r="J39" s="48"/>
      <c r="K39" s="49"/>
      <c r="L39" s="50"/>
      <c r="M39" s="43" t="str">
        <f aca="false">IF(OR($L39="",$F39=""),"",IFERROR($L39/INDEX(Cadastro!$E$6:$E$8,MATCH($F39,Cadastro!$B$6:$B$8,0)),""))</f>
        <v/>
      </c>
      <c r="N39" s="43" t="str">
        <f aca="false">IF(OR($L39="",$I39="",$I39=0),"",$L39/$I39)</f>
        <v/>
      </c>
      <c r="O39" s="51"/>
    </row>
    <row r="40" customFormat="false" ht="15" hidden="false" customHeight="false" outlineLevel="0" collapsed="false">
      <c r="A40" s="45"/>
      <c r="B40" s="37" t="str">
        <f aca="false">IF($A40="","",WEEKNUM($A40,2))</f>
        <v/>
      </c>
      <c r="C40" s="37" t="str">
        <f aca="false">IF($A40="","",CHOOSE(WEEKDAY($A40,2),"Seg","Ter","Qua","Qui","Sex","Sáb","Dom"))</f>
        <v/>
      </c>
      <c r="D40" s="46"/>
      <c r="E40" s="47"/>
      <c r="F40" s="47"/>
      <c r="G40" s="48"/>
      <c r="H40" s="49"/>
      <c r="I40" s="50"/>
      <c r="J40" s="48"/>
      <c r="K40" s="49"/>
      <c r="L40" s="50"/>
      <c r="M40" s="43" t="str">
        <f aca="false">IF(OR($L40="",$F40=""),"",IFERROR($L40/INDEX(Cadastro!$E$6:$E$8,MATCH($F40,Cadastro!$B$6:$B$8,0)),""))</f>
        <v/>
      </c>
      <c r="N40" s="43" t="str">
        <f aca="false">IF(OR($L40="",$I40="",$I40=0),"",$L40/$I40)</f>
        <v/>
      </c>
      <c r="O40" s="51"/>
    </row>
    <row r="41" customFormat="false" ht="15" hidden="false" customHeight="false" outlineLevel="0" collapsed="false">
      <c r="A41" s="45"/>
      <c r="B41" s="37" t="str">
        <f aca="false">IF($A41="","",WEEKNUM($A41,2))</f>
        <v/>
      </c>
      <c r="C41" s="37" t="str">
        <f aca="false">IF($A41="","",CHOOSE(WEEKDAY($A41,2),"Seg","Ter","Qua","Qui","Sex","Sáb","Dom"))</f>
        <v/>
      </c>
      <c r="D41" s="46"/>
      <c r="E41" s="47"/>
      <c r="F41" s="47"/>
      <c r="G41" s="48"/>
      <c r="H41" s="49"/>
      <c r="I41" s="50"/>
      <c r="J41" s="48"/>
      <c r="K41" s="49"/>
      <c r="L41" s="50"/>
      <c r="M41" s="43" t="str">
        <f aca="false">IF(OR($L41="",$F41=""),"",IFERROR($L41/INDEX(Cadastro!$E$6:$E$8,MATCH($F41,Cadastro!$B$6:$B$8,0)),""))</f>
        <v/>
      </c>
      <c r="N41" s="43" t="str">
        <f aca="false">IF(OR($L41="",$I41="",$I41=0),"",$L41/$I41)</f>
        <v/>
      </c>
      <c r="O41" s="51"/>
    </row>
    <row r="42" customFormat="false" ht="15" hidden="false" customHeight="false" outlineLevel="0" collapsed="false">
      <c r="A42" s="45"/>
      <c r="B42" s="37" t="str">
        <f aca="false">IF($A42="","",WEEKNUM($A42,2))</f>
        <v/>
      </c>
      <c r="C42" s="37" t="str">
        <f aca="false">IF($A42="","",CHOOSE(WEEKDAY($A42,2),"Seg","Ter","Qua","Qui","Sex","Sáb","Dom"))</f>
        <v/>
      </c>
      <c r="D42" s="46"/>
      <c r="E42" s="47"/>
      <c r="F42" s="47"/>
      <c r="G42" s="48"/>
      <c r="H42" s="49"/>
      <c r="I42" s="50"/>
      <c r="J42" s="48"/>
      <c r="K42" s="49"/>
      <c r="L42" s="50"/>
      <c r="M42" s="43" t="str">
        <f aca="false">IF(OR($L42="",$F42=""),"",IFERROR($L42/INDEX(Cadastro!$E$6:$E$8,MATCH($F42,Cadastro!$B$6:$B$8,0)),""))</f>
        <v/>
      </c>
      <c r="N42" s="43" t="str">
        <f aca="false">IF(OR($L42="",$I42="",$I42=0),"",$L42/$I42)</f>
        <v/>
      </c>
      <c r="O42" s="51"/>
    </row>
    <row r="43" customFormat="false" ht="15" hidden="false" customHeight="false" outlineLevel="0" collapsed="false">
      <c r="A43" s="45"/>
      <c r="B43" s="37" t="str">
        <f aca="false">IF($A43="","",WEEKNUM($A43,2))</f>
        <v/>
      </c>
      <c r="C43" s="37" t="str">
        <f aca="false">IF($A43="","",CHOOSE(WEEKDAY($A43,2),"Seg","Ter","Qua","Qui","Sex","Sáb","Dom"))</f>
        <v/>
      </c>
      <c r="D43" s="46"/>
      <c r="E43" s="47"/>
      <c r="F43" s="47"/>
      <c r="G43" s="48"/>
      <c r="H43" s="49"/>
      <c r="I43" s="50"/>
      <c r="J43" s="48"/>
      <c r="K43" s="49"/>
      <c r="L43" s="50"/>
      <c r="M43" s="43" t="str">
        <f aca="false">IF(OR($L43="",$F43=""),"",IFERROR($L43/INDEX(Cadastro!$E$6:$E$8,MATCH($F43,Cadastro!$B$6:$B$8,0)),""))</f>
        <v/>
      </c>
      <c r="N43" s="43" t="str">
        <f aca="false">IF(OR($L43="",$I43="",$I43=0),"",$L43/$I43)</f>
        <v/>
      </c>
      <c r="O43" s="51"/>
    </row>
    <row r="44" customFormat="false" ht="15" hidden="false" customHeight="false" outlineLevel="0" collapsed="false">
      <c r="A44" s="45"/>
      <c r="B44" s="37" t="str">
        <f aca="false">IF($A44="","",WEEKNUM($A44,2))</f>
        <v/>
      </c>
      <c r="C44" s="37" t="str">
        <f aca="false">IF($A44="","",CHOOSE(WEEKDAY($A44,2),"Seg","Ter","Qua","Qui","Sex","Sáb","Dom"))</f>
        <v/>
      </c>
      <c r="D44" s="46"/>
      <c r="E44" s="47"/>
      <c r="F44" s="47"/>
      <c r="G44" s="48"/>
      <c r="H44" s="49"/>
      <c r="I44" s="50"/>
      <c r="J44" s="48"/>
      <c r="K44" s="49"/>
      <c r="L44" s="50"/>
      <c r="M44" s="43" t="str">
        <f aca="false">IF(OR($L44="",$F44=""),"",IFERROR($L44/INDEX(Cadastro!$E$6:$E$8,MATCH($F44,Cadastro!$B$6:$B$8,0)),""))</f>
        <v/>
      </c>
      <c r="N44" s="43" t="str">
        <f aca="false">IF(OR($L44="",$I44="",$I44=0),"",$L44/$I44)</f>
        <v/>
      </c>
      <c r="O44" s="51"/>
    </row>
    <row r="45" customFormat="false" ht="15" hidden="false" customHeight="false" outlineLevel="0" collapsed="false">
      <c r="A45" s="45"/>
      <c r="B45" s="37" t="str">
        <f aca="false">IF($A45="","",WEEKNUM($A45,2))</f>
        <v/>
      </c>
      <c r="C45" s="37" t="str">
        <f aca="false">IF($A45="","",CHOOSE(WEEKDAY($A45,2),"Seg","Ter","Qua","Qui","Sex","Sáb","Dom"))</f>
        <v/>
      </c>
      <c r="D45" s="46"/>
      <c r="E45" s="47"/>
      <c r="F45" s="47"/>
      <c r="G45" s="48"/>
      <c r="H45" s="49"/>
      <c r="I45" s="50"/>
      <c r="J45" s="48"/>
      <c r="K45" s="49"/>
      <c r="L45" s="50"/>
      <c r="M45" s="43" t="str">
        <f aca="false">IF(OR($L45="",$F45=""),"",IFERROR($L45/INDEX(Cadastro!$E$6:$E$8,MATCH($F45,Cadastro!$B$6:$B$8,0)),""))</f>
        <v/>
      </c>
      <c r="N45" s="43" t="str">
        <f aca="false">IF(OR($L45="",$I45="",$I45=0),"",$L45/$I45)</f>
        <v/>
      </c>
      <c r="O45" s="51"/>
    </row>
    <row r="46" customFormat="false" ht="15" hidden="false" customHeight="false" outlineLevel="0" collapsed="false">
      <c r="A46" s="45"/>
      <c r="B46" s="37" t="str">
        <f aca="false">IF($A46="","",WEEKNUM($A46,2))</f>
        <v/>
      </c>
      <c r="C46" s="37" t="str">
        <f aca="false">IF($A46="","",CHOOSE(WEEKDAY($A46,2),"Seg","Ter","Qua","Qui","Sex","Sáb","Dom"))</f>
        <v/>
      </c>
      <c r="D46" s="46"/>
      <c r="E46" s="47"/>
      <c r="F46" s="47"/>
      <c r="G46" s="48"/>
      <c r="H46" s="49"/>
      <c r="I46" s="50"/>
      <c r="J46" s="48"/>
      <c r="K46" s="49"/>
      <c r="L46" s="50"/>
      <c r="M46" s="43" t="str">
        <f aca="false">IF(OR($L46="",$F46=""),"",IFERROR($L46/INDEX(Cadastro!$E$6:$E$8,MATCH($F46,Cadastro!$B$6:$B$8,0)),""))</f>
        <v/>
      </c>
      <c r="N46" s="43" t="str">
        <f aca="false">IF(OR($L46="",$I46="",$I46=0),"",$L46/$I46)</f>
        <v/>
      </c>
      <c r="O46" s="51"/>
    </row>
    <row r="47" customFormat="false" ht="15" hidden="false" customHeight="false" outlineLevel="0" collapsed="false">
      <c r="A47" s="45"/>
      <c r="B47" s="37" t="str">
        <f aca="false">IF($A47="","",WEEKNUM($A47,2))</f>
        <v/>
      </c>
      <c r="C47" s="37" t="str">
        <f aca="false">IF($A47="","",CHOOSE(WEEKDAY($A47,2),"Seg","Ter","Qua","Qui","Sex","Sáb","Dom"))</f>
        <v/>
      </c>
      <c r="D47" s="46"/>
      <c r="E47" s="47"/>
      <c r="F47" s="47"/>
      <c r="G47" s="48"/>
      <c r="H47" s="49"/>
      <c r="I47" s="50"/>
      <c r="J47" s="48"/>
      <c r="K47" s="49"/>
      <c r="L47" s="50"/>
      <c r="M47" s="43" t="str">
        <f aca="false">IF(OR($L47="",$F47=""),"",IFERROR($L47/INDEX(Cadastro!$E$6:$E$8,MATCH($F47,Cadastro!$B$6:$B$8,0)),""))</f>
        <v/>
      </c>
      <c r="N47" s="43" t="str">
        <f aca="false">IF(OR($L47="",$I47="",$I47=0),"",$L47/$I47)</f>
        <v/>
      </c>
      <c r="O47" s="51"/>
    </row>
    <row r="48" customFormat="false" ht="15" hidden="false" customHeight="false" outlineLevel="0" collapsed="false">
      <c r="A48" s="45"/>
      <c r="B48" s="37" t="str">
        <f aca="false">IF($A48="","",WEEKNUM($A48,2))</f>
        <v/>
      </c>
      <c r="C48" s="37" t="str">
        <f aca="false">IF($A48="","",CHOOSE(WEEKDAY($A48,2),"Seg","Ter","Qua","Qui","Sex","Sáb","Dom"))</f>
        <v/>
      </c>
      <c r="D48" s="46"/>
      <c r="E48" s="47"/>
      <c r="F48" s="47"/>
      <c r="G48" s="48"/>
      <c r="H48" s="49"/>
      <c r="I48" s="50"/>
      <c r="J48" s="48"/>
      <c r="K48" s="49"/>
      <c r="L48" s="50"/>
      <c r="M48" s="43" t="str">
        <f aca="false">IF(OR($L48="",$F48=""),"",IFERROR($L48/INDEX(Cadastro!$E$6:$E$8,MATCH($F48,Cadastro!$B$6:$B$8,0)),""))</f>
        <v/>
      </c>
      <c r="N48" s="43" t="str">
        <f aca="false">IF(OR($L48="",$I48="",$I48=0),"",$L48/$I48)</f>
        <v/>
      </c>
      <c r="O48" s="51"/>
    </row>
    <row r="49" customFormat="false" ht="15" hidden="false" customHeight="false" outlineLevel="0" collapsed="false">
      <c r="A49" s="45"/>
      <c r="B49" s="37" t="str">
        <f aca="false">IF($A49="","",WEEKNUM($A49,2))</f>
        <v/>
      </c>
      <c r="C49" s="37" t="str">
        <f aca="false">IF($A49="","",CHOOSE(WEEKDAY($A49,2),"Seg","Ter","Qua","Qui","Sex","Sáb","Dom"))</f>
        <v/>
      </c>
      <c r="D49" s="46"/>
      <c r="E49" s="47"/>
      <c r="F49" s="47"/>
      <c r="G49" s="48"/>
      <c r="H49" s="49"/>
      <c r="I49" s="50"/>
      <c r="J49" s="48"/>
      <c r="K49" s="49"/>
      <c r="L49" s="50"/>
      <c r="M49" s="43" t="str">
        <f aca="false">IF(OR($L49="",$F49=""),"",IFERROR($L49/INDEX(Cadastro!$E$6:$E$8,MATCH($F49,Cadastro!$B$6:$B$8,0)),""))</f>
        <v/>
      </c>
      <c r="N49" s="43" t="str">
        <f aca="false">IF(OR($L49="",$I49="",$I49=0),"",$L49/$I49)</f>
        <v/>
      </c>
      <c r="O49" s="51"/>
    </row>
    <row r="50" customFormat="false" ht="15" hidden="false" customHeight="false" outlineLevel="0" collapsed="false">
      <c r="A50" s="45"/>
      <c r="B50" s="37" t="str">
        <f aca="false">IF($A50="","",WEEKNUM($A50,2))</f>
        <v/>
      </c>
      <c r="C50" s="37" t="str">
        <f aca="false">IF($A50="","",CHOOSE(WEEKDAY($A50,2),"Seg","Ter","Qua","Qui","Sex","Sáb","Dom"))</f>
        <v/>
      </c>
      <c r="D50" s="46"/>
      <c r="E50" s="47"/>
      <c r="F50" s="47"/>
      <c r="G50" s="48"/>
      <c r="H50" s="49"/>
      <c r="I50" s="50"/>
      <c r="J50" s="48"/>
      <c r="K50" s="49"/>
      <c r="L50" s="50"/>
      <c r="M50" s="43" t="str">
        <f aca="false">IF(OR($L50="",$F50=""),"",IFERROR($L50/INDEX(Cadastro!$E$6:$E$8,MATCH($F50,Cadastro!$B$6:$B$8,0)),""))</f>
        <v/>
      </c>
      <c r="N50" s="43" t="str">
        <f aca="false">IF(OR($L50="",$I50="",$I50=0),"",$L50/$I50)</f>
        <v/>
      </c>
      <c r="O50" s="51"/>
    </row>
    <row r="51" customFormat="false" ht="15" hidden="false" customHeight="false" outlineLevel="0" collapsed="false">
      <c r="A51" s="45"/>
      <c r="B51" s="37" t="str">
        <f aca="false">IF($A51="","",WEEKNUM($A51,2))</f>
        <v/>
      </c>
      <c r="C51" s="37" t="str">
        <f aca="false">IF($A51="","",CHOOSE(WEEKDAY($A51,2),"Seg","Ter","Qua","Qui","Sex","Sáb","Dom"))</f>
        <v/>
      </c>
      <c r="D51" s="46"/>
      <c r="E51" s="47"/>
      <c r="F51" s="47"/>
      <c r="G51" s="48"/>
      <c r="H51" s="49"/>
      <c r="I51" s="50"/>
      <c r="J51" s="48"/>
      <c r="K51" s="49"/>
      <c r="L51" s="50"/>
      <c r="M51" s="43" t="str">
        <f aca="false">IF(OR($L51="",$F51=""),"",IFERROR($L51/INDEX(Cadastro!$E$6:$E$8,MATCH($F51,Cadastro!$B$6:$B$8,0)),""))</f>
        <v/>
      </c>
      <c r="N51" s="43" t="str">
        <f aca="false">IF(OR($L51="",$I51="",$I51=0),"",$L51/$I51)</f>
        <v/>
      </c>
      <c r="O51" s="51"/>
    </row>
    <row r="52" customFormat="false" ht="15" hidden="false" customHeight="false" outlineLevel="0" collapsed="false">
      <c r="A52" s="45"/>
      <c r="B52" s="37" t="str">
        <f aca="false">IF($A52="","",WEEKNUM($A52,2))</f>
        <v/>
      </c>
      <c r="C52" s="37" t="str">
        <f aca="false">IF($A52="","",CHOOSE(WEEKDAY($A52,2),"Seg","Ter","Qua","Qui","Sex","Sáb","Dom"))</f>
        <v/>
      </c>
      <c r="D52" s="46"/>
      <c r="E52" s="47"/>
      <c r="F52" s="47"/>
      <c r="G52" s="48"/>
      <c r="H52" s="49"/>
      <c r="I52" s="50"/>
      <c r="J52" s="48"/>
      <c r="K52" s="49"/>
      <c r="L52" s="50"/>
      <c r="M52" s="43" t="str">
        <f aca="false">IF(OR($L52="",$F52=""),"",IFERROR($L52/INDEX(Cadastro!$E$6:$E$8,MATCH($F52,Cadastro!$B$6:$B$8,0)),""))</f>
        <v/>
      </c>
      <c r="N52" s="43" t="str">
        <f aca="false">IF(OR($L52="",$I52="",$I52=0),"",$L52/$I52)</f>
        <v/>
      </c>
      <c r="O52" s="51"/>
    </row>
    <row r="53" customFormat="false" ht="15" hidden="false" customHeight="false" outlineLevel="0" collapsed="false">
      <c r="A53" s="45"/>
      <c r="B53" s="37" t="str">
        <f aca="false">IF($A53="","",WEEKNUM($A53,2))</f>
        <v/>
      </c>
      <c r="C53" s="37" t="str">
        <f aca="false">IF($A53="","",CHOOSE(WEEKDAY($A53,2),"Seg","Ter","Qua","Qui","Sex","Sáb","Dom"))</f>
        <v/>
      </c>
      <c r="D53" s="46"/>
      <c r="E53" s="47"/>
      <c r="F53" s="47"/>
      <c r="G53" s="48"/>
      <c r="H53" s="49"/>
      <c r="I53" s="50"/>
      <c r="J53" s="48"/>
      <c r="K53" s="49"/>
      <c r="L53" s="50"/>
      <c r="M53" s="43" t="str">
        <f aca="false">IF(OR($L53="",$F53=""),"",IFERROR($L53/INDEX(Cadastro!$E$6:$E$8,MATCH($F53,Cadastro!$B$6:$B$8,0)),""))</f>
        <v/>
      </c>
      <c r="N53" s="43" t="str">
        <f aca="false">IF(OR($L53="",$I53="",$I53=0),"",$L53/$I53)</f>
        <v/>
      </c>
      <c r="O53" s="51"/>
    </row>
    <row r="54" customFormat="false" ht="15" hidden="false" customHeight="false" outlineLevel="0" collapsed="false">
      <c r="A54" s="45"/>
      <c r="B54" s="37" t="str">
        <f aca="false">IF($A54="","",WEEKNUM($A54,2))</f>
        <v/>
      </c>
      <c r="C54" s="37" t="str">
        <f aca="false">IF($A54="","",CHOOSE(WEEKDAY($A54,2),"Seg","Ter","Qua","Qui","Sex","Sáb","Dom"))</f>
        <v/>
      </c>
      <c r="D54" s="46"/>
      <c r="E54" s="47"/>
      <c r="F54" s="47"/>
      <c r="G54" s="48"/>
      <c r="H54" s="49"/>
      <c r="I54" s="50"/>
      <c r="J54" s="48"/>
      <c r="K54" s="49"/>
      <c r="L54" s="50"/>
      <c r="M54" s="43" t="str">
        <f aca="false">IF(OR($L54="",$F54=""),"",IFERROR($L54/INDEX(Cadastro!$E$6:$E$8,MATCH($F54,Cadastro!$B$6:$B$8,0)),""))</f>
        <v/>
      </c>
      <c r="N54" s="43" t="str">
        <f aca="false">IF(OR($L54="",$I54="",$I54=0),"",$L54/$I54)</f>
        <v/>
      </c>
      <c r="O54" s="51"/>
    </row>
    <row r="55" customFormat="false" ht="15" hidden="false" customHeight="false" outlineLevel="0" collapsed="false">
      <c r="A55" s="45"/>
      <c r="B55" s="37" t="str">
        <f aca="false">IF($A55="","",WEEKNUM($A55,2))</f>
        <v/>
      </c>
      <c r="C55" s="37" t="str">
        <f aca="false">IF($A55="","",CHOOSE(WEEKDAY($A55,2),"Seg","Ter","Qua","Qui","Sex","Sáb","Dom"))</f>
        <v/>
      </c>
      <c r="D55" s="46"/>
      <c r="E55" s="47"/>
      <c r="F55" s="47"/>
      <c r="G55" s="48"/>
      <c r="H55" s="49"/>
      <c r="I55" s="50"/>
      <c r="J55" s="48"/>
      <c r="K55" s="49"/>
      <c r="L55" s="50"/>
      <c r="M55" s="43" t="str">
        <f aca="false">IF(OR($L55="",$F55=""),"",IFERROR($L55/INDEX(Cadastro!$E$6:$E$8,MATCH($F55,Cadastro!$B$6:$B$8,0)),""))</f>
        <v/>
      </c>
      <c r="N55" s="43" t="str">
        <f aca="false">IF(OR($L55="",$I55="",$I55=0),"",$L55/$I55)</f>
        <v/>
      </c>
      <c r="O55" s="51"/>
    </row>
    <row r="56" customFormat="false" ht="15" hidden="false" customHeight="false" outlineLevel="0" collapsed="false">
      <c r="A56" s="45"/>
      <c r="B56" s="37" t="str">
        <f aca="false">IF($A56="","",WEEKNUM($A56,2))</f>
        <v/>
      </c>
      <c r="C56" s="37" t="str">
        <f aca="false">IF($A56="","",CHOOSE(WEEKDAY($A56,2),"Seg","Ter","Qua","Qui","Sex","Sáb","Dom"))</f>
        <v/>
      </c>
      <c r="D56" s="46"/>
      <c r="E56" s="47"/>
      <c r="F56" s="47"/>
      <c r="G56" s="48"/>
      <c r="H56" s="49"/>
      <c r="I56" s="50"/>
      <c r="J56" s="48"/>
      <c r="K56" s="49"/>
      <c r="L56" s="50"/>
      <c r="M56" s="43" t="str">
        <f aca="false">IF(OR($L56="",$F56=""),"",IFERROR($L56/INDEX(Cadastro!$E$6:$E$8,MATCH($F56,Cadastro!$B$6:$B$8,0)),""))</f>
        <v/>
      </c>
      <c r="N56" s="43" t="str">
        <f aca="false">IF(OR($L56="",$I56="",$I56=0),"",$L56/$I56)</f>
        <v/>
      </c>
      <c r="O56" s="51"/>
    </row>
    <row r="57" customFormat="false" ht="15" hidden="false" customHeight="false" outlineLevel="0" collapsed="false">
      <c r="A57" s="45"/>
      <c r="B57" s="37" t="str">
        <f aca="false">IF($A57="","",WEEKNUM($A57,2))</f>
        <v/>
      </c>
      <c r="C57" s="37" t="str">
        <f aca="false">IF($A57="","",CHOOSE(WEEKDAY($A57,2),"Seg","Ter","Qua","Qui","Sex","Sáb","Dom"))</f>
        <v/>
      </c>
      <c r="D57" s="46"/>
      <c r="E57" s="47"/>
      <c r="F57" s="47"/>
      <c r="G57" s="48"/>
      <c r="H57" s="49"/>
      <c r="I57" s="50"/>
      <c r="J57" s="48"/>
      <c r="K57" s="49"/>
      <c r="L57" s="50"/>
      <c r="M57" s="43" t="str">
        <f aca="false">IF(OR($L57="",$F57=""),"",IFERROR($L57/INDEX(Cadastro!$E$6:$E$8,MATCH($F57,Cadastro!$B$6:$B$8,0)),""))</f>
        <v/>
      </c>
      <c r="N57" s="43" t="str">
        <f aca="false">IF(OR($L57="",$I57="",$I57=0),"",$L57/$I57)</f>
        <v/>
      </c>
      <c r="O57" s="51"/>
    </row>
    <row r="58" customFormat="false" ht="15" hidden="false" customHeight="false" outlineLevel="0" collapsed="false">
      <c r="A58" s="45"/>
      <c r="B58" s="37" t="str">
        <f aca="false">IF($A58="","",WEEKNUM($A58,2))</f>
        <v/>
      </c>
      <c r="C58" s="37" t="str">
        <f aca="false">IF($A58="","",CHOOSE(WEEKDAY($A58,2),"Seg","Ter","Qua","Qui","Sex","Sáb","Dom"))</f>
        <v/>
      </c>
      <c r="D58" s="46"/>
      <c r="E58" s="47"/>
      <c r="F58" s="47"/>
      <c r="G58" s="48"/>
      <c r="H58" s="49"/>
      <c r="I58" s="50"/>
      <c r="J58" s="48"/>
      <c r="K58" s="49"/>
      <c r="L58" s="50"/>
      <c r="M58" s="43" t="str">
        <f aca="false">IF(OR($L58="",$F58=""),"",IFERROR($L58/INDEX(Cadastro!$E$6:$E$8,MATCH($F58,Cadastro!$B$6:$B$8,0)),""))</f>
        <v/>
      </c>
      <c r="N58" s="43" t="str">
        <f aca="false">IF(OR($L58="",$I58="",$I58=0),"",$L58/$I58)</f>
        <v/>
      </c>
      <c r="O58" s="51"/>
    </row>
    <row r="59" customFormat="false" ht="15" hidden="false" customHeight="false" outlineLevel="0" collapsed="false">
      <c r="A59" s="45"/>
      <c r="B59" s="37" t="str">
        <f aca="false">IF($A59="","",WEEKNUM($A59,2))</f>
        <v/>
      </c>
      <c r="C59" s="37" t="str">
        <f aca="false">IF($A59="","",CHOOSE(WEEKDAY($A59,2),"Seg","Ter","Qua","Qui","Sex","Sáb","Dom"))</f>
        <v/>
      </c>
      <c r="D59" s="46"/>
      <c r="E59" s="47"/>
      <c r="F59" s="47"/>
      <c r="G59" s="48"/>
      <c r="H59" s="49"/>
      <c r="I59" s="50"/>
      <c r="J59" s="48"/>
      <c r="K59" s="49"/>
      <c r="L59" s="50"/>
      <c r="M59" s="43" t="str">
        <f aca="false">IF(OR($L59="",$F59=""),"",IFERROR($L59/INDEX(Cadastro!$E$6:$E$8,MATCH($F59,Cadastro!$B$6:$B$8,0)),""))</f>
        <v/>
      </c>
      <c r="N59" s="43" t="str">
        <f aca="false">IF(OR($L59="",$I59="",$I59=0),"",$L59/$I59)</f>
        <v/>
      </c>
      <c r="O59" s="51"/>
    </row>
    <row r="60" customFormat="false" ht="15" hidden="false" customHeight="false" outlineLevel="0" collapsed="false">
      <c r="A60" s="45"/>
      <c r="B60" s="37" t="str">
        <f aca="false">IF($A60="","",WEEKNUM($A60,2))</f>
        <v/>
      </c>
      <c r="C60" s="37" t="str">
        <f aca="false">IF($A60="","",CHOOSE(WEEKDAY($A60,2),"Seg","Ter","Qua","Qui","Sex","Sáb","Dom"))</f>
        <v/>
      </c>
      <c r="D60" s="46"/>
      <c r="E60" s="47"/>
      <c r="F60" s="47"/>
      <c r="G60" s="48"/>
      <c r="H60" s="49"/>
      <c r="I60" s="50"/>
      <c r="J60" s="48"/>
      <c r="K60" s="49"/>
      <c r="L60" s="50"/>
      <c r="M60" s="43" t="str">
        <f aca="false">IF(OR($L60="",$F60=""),"",IFERROR($L60/INDEX(Cadastro!$E$6:$E$8,MATCH($F60,Cadastro!$B$6:$B$8,0)),""))</f>
        <v/>
      </c>
      <c r="N60" s="43" t="str">
        <f aca="false">IF(OR($L60="",$I60="",$I60=0),"",$L60/$I60)</f>
        <v/>
      </c>
      <c r="O60" s="51"/>
    </row>
    <row r="61" customFormat="false" ht="15" hidden="false" customHeight="false" outlineLevel="0" collapsed="false">
      <c r="A61" s="45"/>
      <c r="B61" s="37" t="str">
        <f aca="false">IF($A61="","",WEEKNUM($A61,2))</f>
        <v/>
      </c>
      <c r="C61" s="37" t="str">
        <f aca="false">IF($A61="","",CHOOSE(WEEKDAY($A61,2),"Seg","Ter","Qua","Qui","Sex","Sáb","Dom"))</f>
        <v/>
      </c>
      <c r="D61" s="46"/>
      <c r="E61" s="47"/>
      <c r="F61" s="47"/>
      <c r="G61" s="48"/>
      <c r="H61" s="49"/>
      <c r="I61" s="50"/>
      <c r="J61" s="48"/>
      <c r="K61" s="49"/>
      <c r="L61" s="50"/>
      <c r="M61" s="43" t="str">
        <f aca="false">IF(OR($L61="",$F61=""),"",IFERROR($L61/INDEX(Cadastro!$E$6:$E$8,MATCH($F61,Cadastro!$B$6:$B$8,0)),""))</f>
        <v/>
      </c>
      <c r="N61" s="43" t="str">
        <f aca="false">IF(OR($L61="",$I61="",$I61=0),"",$L61/$I61)</f>
        <v/>
      </c>
      <c r="O61" s="51"/>
    </row>
    <row r="62" customFormat="false" ht="15" hidden="false" customHeight="false" outlineLevel="0" collapsed="false">
      <c r="A62" s="45"/>
      <c r="B62" s="37" t="str">
        <f aca="false">IF($A62="","",WEEKNUM($A62,2))</f>
        <v/>
      </c>
      <c r="C62" s="37" t="str">
        <f aca="false">IF($A62="","",CHOOSE(WEEKDAY($A62,2),"Seg","Ter","Qua","Qui","Sex","Sáb","Dom"))</f>
        <v/>
      </c>
      <c r="D62" s="46"/>
      <c r="E62" s="47"/>
      <c r="F62" s="47"/>
      <c r="G62" s="48"/>
      <c r="H62" s="49"/>
      <c r="I62" s="50"/>
      <c r="J62" s="48"/>
      <c r="K62" s="49"/>
      <c r="L62" s="50"/>
      <c r="M62" s="43" t="str">
        <f aca="false">IF(OR($L62="",$F62=""),"",IFERROR($L62/INDEX(Cadastro!$E$6:$E$8,MATCH($F62,Cadastro!$B$6:$B$8,0)),""))</f>
        <v/>
      </c>
      <c r="N62" s="43" t="str">
        <f aca="false">IF(OR($L62="",$I62="",$I62=0),"",$L62/$I62)</f>
        <v/>
      </c>
      <c r="O62" s="51"/>
    </row>
    <row r="63" customFormat="false" ht="15" hidden="false" customHeight="false" outlineLevel="0" collapsed="false">
      <c r="A63" s="45"/>
      <c r="B63" s="37" t="str">
        <f aca="false">IF($A63="","",WEEKNUM($A63,2))</f>
        <v/>
      </c>
      <c r="C63" s="37" t="str">
        <f aca="false">IF($A63="","",CHOOSE(WEEKDAY($A63,2),"Seg","Ter","Qua","Qui","Sex","Sáb","Dom"))</f>
        <v/>
      </c>
      <c r="D63" s="46"/>
      <c r="E63" s="47"/>
      <c r="F63" s="47"/>
      <c r="G63" s="48"/>
      <c r="H63" s="49"/>
      <c r="I63" s="50"/>
      <c r="J63" s="48"/>
      <c r="K63" s="49"/>
      <c r="L63" s="50"/>
      <c r="M63" s="43" t="str">
        <f aca="false">IF(OR($L63="",$F63=""),"",IFERROR($L63/INDEX(Cadastro!$E$6:$E$8,MATCH($F63,Cadastro!$B$6:$B$8,0)),""))</f>
        <v/>
      </c>
      <c r="N63" s="43" t="str">
        <f aca="false">IF(OR($L63="",$I63="",$I63=0),"",$L63/$I63)</f>
        <v/>
      </c>
      <c r="O63" s="51"/>
    </row>
    <row r="64" customFormat="false" ht="15" hidden="false" customHeight="false" outlineLevel="0" collapsed="false">
      <c r="A64" s="45"/>
      <c r="B64" s="37" t="str">
        <f aca="false">IF($A64="","",WEEKNUM($A64,2))</f>
        <v/>
      </c>
      <c r="C64" s="37" t="str">
        <f aca="false">IF($A64="","",CHOOSE(WEEKDAY($A64,2),"Seg","Ter","Qua","Qui","Sex","Sáb","Dom"))</f>
        <v/>
      </c>
      <c r="D64" s="46"/>
      <c r="E64" s="47"/>
      <c r="F64" s="47"/>
      <c r="G64" s="48"/>
      <c r="H64" s="49"/>
      <c r="I64" s="50"/>
      <c r="J64" s="48"/>
      <c r="K64" s="49"/>
      <c r="L64" s="50"/>
      <c r="M64" s="43" t="str">
        <f aca="false">IF(OR($L64="",$F64=""),"",IFERROR($L64/INDEX(Cadastro!$E$6:$E$8,MATCH($F64,Cadastro!$B$6:$B$8,0)),""))</f>
        <v/>
      </c>
      <c r="N64" s="43" t="str">
        <f aca="false">IF(OR($L64="",$I64="",$I64=0),"",$L64/$I64)</f>
        <v/>
      </c>
      <c r="O64" s="51"/>
    </row>
    <row r="65" customFormat="false" ht="15" hidden="false" customHeight="false" outlineLevel="0" collapsed="false">
      <c r="A65" s="45"/>
      <c r="B65" s="37" t="str">
        <f aca="false">IF($A65="","",WEEKNUM($A65,2))</f>
        <v/>
      </c>
      <c r="C65" s="37" t="str">
        <f aca="false">IF($A65="","",CHOOSE(WEEKDAY($A65,2),"Seg","Ter","Qua","Qui","Sex","Sáb","Dom"))</f>
        <v/>
      </c>
      <c r="D65" s="46"/>
      <c r="E65" s="47"/>
      <c r="F65" s="47"/>
      <c r="G65" s="48"/>
      <c r="H65" s="49"/>
      <c r="I65" s="50"/>
      <c r="J65" s="48"/>
      <c r="K65" s="49"/>
      <c r="L65" s="50"/>
      <c r="M65" s="43" t="str">
        <f aca="false">IF(OR($L65="",$F65=""),"",IFERROR($L65/INDEX(Cadastro!$E$6:$E$8,MATCH($F65,Cadastro!$B$6:$B$8,0)),""))</f>
        <v/>
      </c>
      <c r="N65" s="43" t="str">
        <f aca="false">IF(OR($L65="",$I65="",$I65=0),"",$L65/$I65)</f>
        <v/>
      </c>
      <c r="O65" s="51"/>
    </row>
    <row r="66" customFormat="false" ht="15" hidden="false" customHeight="false" outlineLevel="0" collapsed="false">
      <c r="A66" s="45"/>
      <c r="B66" s="37" t="str">
        <f aca="false">IF($A66="","",WEEKNUM($A66,2))</f>
        <v/>
      </c>
      <c r="C66" s="37" t="str">
        <f aca="false">IF($A66="","",CHOOSE(WEEKDAY($A66,2),"Seg","Ter","Qua","Qui","Sex","Sáb","Dom"))</f>
        <v/>
      </c>
      <c r="D66" s="46"/>
      <c r="E66" s="47"/>
      <c r="F66" s="47"/>
      <c r="G66" s="48"/>
      <c r="H66" s="49"/>
      <c r="I66" s="50"/>
      <c r="J66" s="48"/>
      <c r="K66" s="49"/>
      <c r="L66" s="50"/>
      <c r="M66" s="43" t="str">
        <f aca="false">IF(OR($L66="",$F66=""),"",IFERROR($L66/INDEX(Cadastro!$E$6:$E$8,MATCH($F66,Cadastro!$B$6:$B$8,0)),""))</f>
        <v/>
      </c>
      <c r="N66" s="43" t="str">
        <f aca="false">IF(OR($L66="",$I66="",$I66=0),"",$L66/$I66)</f>
        <v/>
      </c>
      <c r="O66" s="51"/>
    </row>
    <row r="67" customFormat="false" ht="15" hidden="false" customHeight="false" outlineLevel="0" collapsed="false">
      <c r="A67" s="45"/>
      <c r="B67" s="37" t="str">
        <f aca="false">IF($A67="","",WEEKNUM($A67,2))</f>
        <v/>
      </c>
      <c r="C67" s="37" t="str">
        <f aca="false">IF($A67="","",CHOOSE(WEEKDAY($A67,2),"Seg","Ter","Qua","Qui","Sex","Sáb","Dom"))</f>
        <v/>
      </c>
      <c r="D67" s="46"/>
      <c r="E67" s="47"/>
      <c r="F67" s="47"/>
      <c r="G67" s="48"/>
      <c r="H67" s="49"/>
      <c r="I67" s="50"/>
      <c r="J67" s="48"/>
      <c r="K67" s="49"/>
      <c r="L67" s="50"/>
      <c r="M67" s="43" t="str">
        <f aca="false">IF(OR($L67="",$F67=""),"",IFERROR($L67/INDEX(Cadastro!$E$6:$E$8,MATCH($F67,Cadastro!$B$6:$B$8,0)),""))</f>
        <v/>
      </c>
      <c r="N67" s="43" t="str">
        <f aca="false">IF(OR($L67="",$I67="",$I67=0),"",$L67/$I67)</f>
        <v/>
      </c>
      <c r="O67" s="51"/>
    </row>
    <row r="68" customFormat="false" ht="15" hidden="false" customHeight="false" outlineLevel="0" collapsed="false">
      <c r="A68" s="45"/>
      <c r="B68" s="37" t="str">
        <f aca="false">IF($A68="","",WEEKNUM($A68,2))</f>
        <v/>
      </c>
      <c r="C68" s="37" t="str">
        <f aca="false">IF($A68="","",CHOOSE(WEEKDAY($A68,2),"Seg","Ter","Qua","Qui","Sex","Sáb","Dom"))</f>
        <v/>
      </c>
      <c r="D68" s="46"/>
      <c r="E68" s="47"/>
      <c r="F68" s="47"/>
      <c r="G68" s="48"/>
      <c r="H68" s="49"/>
      <c r="I68" s="50"/>
      <c r="J68" s="48"/>
      <c r="K68" s="49"/>
      <c r="L68" s="50"/>
      <c r="M68" s="43" t="str">
        <f aca="false">IF(OR($L68="",$F68=""),"",IFERROR($L68/INDEX(Cadastro!$E$6:$E$8,MATCH($F68,Cadastro!$B$6:$B$8,0)),""))</f>
        <v/>
      </c>
      <c r="N68" s="43" t="str">
        <f aca="false">IF(OR($L68="",$I68="",$I68=0),"",$L68/$I68)</f>
        <v/>
      </c>
      <c r="O68" s="51"/>
    </row>
    <row r="69" customFormat="false" ht="15" hidden="false" customHeight="false" outlineLevel="0" collapsed="false">
      <c r="A69" s="45"/>
      <c r="B69" s="37" t="str">
        <f aca="false">IF($A69="","",WEEKNUM($A69,2))</f>
        <v/>
      </c>
      <c r="C69" s="37" t="str">
        <f aca="false">IF($A69="","",CHOOSE(WEEKDAY($A69,2),"Seg","Ter","Qua","Qui","Sex","Sáb","Dom"))</f>
        <v/>
      </c>
      <c r="D69" s="46"/>
      <c r="E69" s="47"/>
      <c r="F69" s="47"/>
      <c r="G69" s="48"/>
      <c r="H69" s="49"/>
      <c r="I69" s="50"/>
      <c r="J69" s="48"/>
      <c r="K69" s="49"/>
      <c r="L69" s="50"/>
      <c r="M69" s="43" t="str">
        <f aca="false">IF(OR($L69="",$F69=""),"",IFERROR($L69/INDEX(Cadastro!$E$6:$E$8,MATCH($F69,Cadastro!$B$6:$B$8,0)),""))</f>
        <v/>
      </c>
      <c r="N69" s="43" t="str">
        <f aca="false">IF(OR($L69="",$I69="",$I69=0),"",$L69/$I69)</f>
        <v/>
      </c>
      <c r="O69" s="51"/>
    </row>
    <row r="70" customFormat="false" ht="15" hidden="false" customHeight="false" outlineLevel="0" collapsed="false">
      <c r="A70" s="45"/>
      <c r="B70" s="37" t="str">
        <f aca="false">IF($A70="","",WEEKNUM($A70,2))</f>
        <v/>
      </c>
      <c r="C70" s="37" t="str">
        <f aca="false">IF($A70="","",CHOOSE(WEEKDAY($A70,2),"Seg","Ter","Qua","Qui","Sex","Sáb","Dom"))</f>
        <v/>
      </c>
      <c r="D70" s="46"/>
      <c r="E70" s="47"/>
      <c r="F70" s="47"/>
      <c r="G70" s="48"/>
      <c r="H70" s="49"/>
      <c r="I70" s="50"/>
      <c r="J70" s="48"/>
      <c r="K70" s="49"/>
      <c r="L70" s="50"/>
      <c r="M70" s="43" t="str">
        <f aca="false">IF(OR($L70="",$F70=""),"",IFERROR($L70/INDEX(Cadastro!$E$6:$E$8,MATCH($F70,Cadastro!$B$6:$B$8,0)),""))</f>
        <v/>
      </c>
      <c r="N70" s="43" t="str">
        <f aca="false">IF(OR($L70="",$I70="",$I70=0),"",$L70/$I70)</f>
        <v/>
      </c>
      <c r="O70" s="51"/>
    </row>
    <row r="71" customFormat="false" ht="15" hidden="false" customHeight="false" outlineLevel="0" collapsed="false">
      <c r="A71" s="45"/>
      <c r="B71" s="37" t="str">
        <f aca="false">IF($A71="","",WEEKNUM($A71,2))</f>
        <v/>
      </c>
      <c r="C71" s="37" t="str">
        <f aca="false">IF($A71="","",CHOOSE(WEEKDAY($A71,2),"Seg","Ter","Qua","Qui","Sex","Sáb","Dom"))</f>
        <v/>
      </c>
      <c r="D71" s="46"/>
      <c r="E71" s="47"/>
      <c r="F71" s="47"/>
      <c r="G71" s="48"/>
      <c r="H71" s="49"/>
      <c r="I71" s="50"/>
      <c r="J71" s="48"/>
      <c r="K71" s="49"/>
      <c r="L71" s="50"/>
      <c r="M71" s="43" t="str">
        <f aca="false">IF(OR($L71="",$F71=""),"",IFERROR($L71/INDEX(Cadastro!$E$6:$E$8,MATCH($F71,Cadastro!$B$6:$B$8,0)),""))</f>
        <v/>
      </c>
      <c r="N71" s="43" t="str">
        <f aca="false">IF(OR($L71="",$I71="",$I71=0),"",$L71/$I71)</f>
        <v/>
      </c>
      <c r="O71" s="51"/>
    </row>
    <row r="72" customFormat="false" ht="15" hidden="false" customHeight="false" outlineLevel="0" collapsed="false">
      <c r="A72" s="45"/>
      <c r="B72" s="37" t="str">
        <f aca="false">IF($A72="","",WEEKNUM($A72,2))</f>
        <v/>
      </c>
      <c r="C72" s="37" t="str">
        <f aca="false">IF($A72="","",CHOOSE(WEEKDAY($A72,2),"Seg","Ter","Qua","Qui","Sex","Sáb","Dom"))</f>
        <v/>
      </c>
      <c r="D72" s="46"/>
      <c r="E72" s="47"/>
      <c r="F72" s="47"/>
      <c r="G72" s="48"/>
      <c r="H72" s="49"/>
      <c r="I72" s="50"/>
      <c r="J72" s="48"/>
      <c r="K72" s="49"/>
      <c r="L72" s="50"/>
      <c r="M72" s="43" t="str">
        <f aca="false">IF(OR($L72="",$F72=""),"",IFERROR($L72/INDEX(Cadastro!$E$6:$E$8,MATCH($F72,Cadastro!$B$6:$B$8,0)),""))</f>
        <v/>
      </c>
      <c r="N72" s="43" t="str">
        <f aca="false">IF(OR($L72="",$I72="",$I72=0),"",$L72/$I72)</f>
        <v/>
      </c>
      <c r="O72" s="51"/>
    </row>
    <row r="73" customFormat="false" ht="15" hidden="false" customHeight="false" outlineLevel="0" collapsed="false">
      <c r="A73" s="45"/>
      <c r="B73" s="37" t="str">
        <f aca="false">IF($A73="","",WEEKNUM($A73,2))</f>
        <v/>
      </c>
      <c r="C73" s="37" t="str">
        <f aca="false">IF($A73="","",CHOOSE(WEEKDAY($A73,2),"Seg","Ter","Qua","Qui","Sex","Sáb","Dom"))</f>
        <v/>
      </c>
      <c r="D73" s="46"/>
      <c r="E73" s="47"/>
      <c r="F73" s="47"/>
      <c r="G73" s="48"/>
      <c r="H73" s="49"/>
      <c r="I73" s="50"/>
      <c r="J73" s="48"/>
      <c r="K73" s="49"/>
      <c r="L73" s="50"/>
      <c r="M73" s="43" t="str">
        <f aca="false">IF(OR($L73="",$F73=""),"",IFERROR($L73/INDEX(Cadastro!$E$6:$E$8,MATCH($F73,Cadastro!$B$6:$B$8,0)),""))</f>
        <v/>
      </c>
      <c r="N73" s="43" t="str">
        <f aca="false">IF(OR($L73="",$I73="",$I73=0),"",$L73/$I73)</f>
        <v/>
      </c>
      <c r="O73" s="51"/>
    </row>
    <row r="74" customFormat="false" ht="15" hidden="false" customHeight="false" outlineLevel="0" collapsed="false">
      <c r="A74" s="45"/>
      <c r="B74" s="37" t="str">
        <f aca="false">IF($A74="","",WEEKNUM($A74,2))</f>
        <v/>
      </c>
      <c r="C74" s="37" t="str">
        <f aca="false">IF($A74="","",CHOOSE(WEEKDAY($A74,2),"Seg","Ter","Qua","Qui","Sex","Sáb","Dom"))</f>
        <v/>
      </c>
      <c r="D74" s="46"/>
      <c r="E74" s="47"/>
      <c r="F74" s="47"/>
      <c r="G74" s="48"/>
      <c r="H74" s="49"/>
      <c r="I74" s="50"/>
      <c r="J74" s="48"/>
      <c r="K74" s="49"/>
      <c r="L74" s="50"/>
      <c r="M74" s="43" t="str">
        <f aca="false">IF(OR($L74="",$F74=""),"",IFERROR($L74/INDEX(Cadastro!$E$6:$E$8,MATCH($F74,Cadastro!$B$6:$B$8,0)),""))</f>
        <v/>
      </c>
      <c r="N74" s="43" t="str">
        <f aca="false">IF(OR($L74="",$I74="",$I74=0),"",$L74/$I74)</f>
        <v/>
      </c>
      <c r="O74" s="51"/>
    </row>
    <row r="75" customFormat="false" ht="15" hidden="false" customHeight="false" outlineLevel="0" collapsed="false">
      <c r="A75" s="45"/>
      <c r="B75" s="37" t="str">
        <f aca="false">IF($A75="","",WEEKNUM($A75,2))</f>
        <v/>
      </c>
      <c r="C75" s="37" t="str">
        <f aca="false">IF($A75="","",CHOOSE(WEEKDAY($A75,2),"Seg","Ter","Qua","Qui","Sex","Sáb","Dom"))</f>
        <v/>
      </c>
      <c r="D75" s="46"/>
      <c r="E75" s="47"/>
      <c r="F75" s="47"/>
      <c r="G75" s="48"/>
      <c r="H75" s="49"/>
      <c r="I75" s="50"/>
      <c r="J75" s="48"/>
      <c r="K75" s="49"/>
      <c r="L75" s="50"/>
      <c r="M75" s="43" t="str">
        <f aca="false">IF(OR($L75="",$F75=""),"",IFERROR($L75/INDEX(Cadastro!$E$6:$E$8,MATCH($F75,Cadastro!$B$6:$B$8,0)),""))</f>
        <v/>
      </c>
      <c r="N75" s="43" t="str">
        <f aca="false">IF(OR($L75="",$I75="",$I75=0),"",$L75/$I75)</f>
        <v/>
      </c>
      <c r="O75" s="51"/>
    </row>
    <row r="76" customFormat="false" ht="15" hidden="false" customHeight="false" outlineLevel="0" collapsed="false">
      <c r="A76" s="45"/>
      <c r="B76" s="37" t="str">
        <f aca="false">IF($A76="","",WEEKNUM($A76,2))</f>
        <v/>
      </c>
      <c r="C76" s="37" t="str">
        <f aca="false">IF($A76="","",CHOOSE(WEEKDAY($A76,2),"Seg","Ter","Qua","Qui","Sex","Sáb","Dom"))</f>
        <v/>
      </c>
      <c r="D76" s="46"/>
      <c r="E76" s="47"/>
      <c r="F76" s="47"/>
      <c r="G76" s="48"/>
      <c r="H76" s="49"/>
      <c r="I76" s="50"/>
      <c r="J76" s="48"/>
      <c r="K76" s="49"/>
      <c r="L76" s="50"/>
      <c r="M76" s="43" t="str">
        <f aca="false">IF(OR($L76="",$F76=""),"",IFERROR($L76/INDEX(Cadastro!$E$6:$E$8,MATCH($F76,Cadastro!$B$6:$B$8,0)),""))</f>
        <v/>
      </c>
      <c r="N76" s="43" t="str">
        <f aca="false">IF(OR($L76="",$I76="",$I76=0),"",$L76/$I76)</f>
        <v/>
      </c>
      <c r="O76" s="51"/>
    </row>
    <row r="77" customFormat="false" ht="15" hidden="false" customHeight="false" outlineLevel="0" collapsed="false">
      <c r="A77" s="45"/>
      <c r="B77" s="37" t="str">
        <f aca="false">IF($A77="","",WEEKNUM($A77,2))</f>
        <v/>
      </c>
      <c r="C77" s="37" t="str">
        <f aca="false">IF($A77="","",CHOOSE(WEEKDAY($A77,2),"Seg","Ter","Qua","Qui","Sex","Sáb","Dom"))</f>
        <v/>
      </c>
      <c r="D77" s="46"/>
      <c r="E77" s="47"/>
      <c r="F77" s="47"/>
      <c r="G77" s="48"/>
      <c r="H77" s="49"/>
      <c r="I77" s="50"/>
      <c r="J77" s="48"/>
      <c r="K77" s="49"/>
      <c r="L77" s="50"/>
      <c r="M77" s="43" t="str">
        <f aca="false">IF(OR($L77="",$F77=""),"",IFERROR($L77/INDEX(Cadastro!$E$6:$E$8,MATCH($F77,Cadastro!$B$6:$B$8,0)),""))</f>
        <v/>
      </c>
      <c r="N77" s="43" t="str">
        <f aca="false">IF(OR($L77="",$I77="",$I77=0),"",$L77/$I77)</f>
        <v/>
      </c>
      <c r="O77" s="51"/>
    </row>
    <row r="78" customFormat="false" ht="15" hidden="false" customHeight="false" outlineLevel="0" collapsed="false">
      <c r="A78" s="45"/>
      <c r="B78" s="37" t="str">
        <f aca="false">IF($A78="","",WEEKNUM($A78,2))</f>
        <v/>
      </c>
      <c r="C78" s="37" t="str">
        <f aca="false">IF($A78="","",CHOOSE(WEEKDAY($A78,2),"Seg","Ter","Qua","Qui","Sex","Sáb","Dom"))</f>
        <v/>
      </c>
      <c r="D78" s="46"/>
      <c r="E78" s="47"/>
      <c r="F78" s="47"/>
      <c r="G78" s="48"/>
      <c r="H78" s="49"/>
      <c r="I78" s="50"/>
      <c r="J78" s="48"/>
      <c r="K78" s="49"/>
      <c r="L78" s="50"/>
      <c r="M78" s="43" t="str">
        <f aca="false">IF(OR($L78="",$F78=""),"",IFERROR($L78/INDEX(Cadastro!$E$6:$E$8,MATCH($F78,Cadastro!$B$6:$B$8,0)),""))</f>
        <v/>
      </c>
      <c r="N78" s="43" t="str">
        <f aca="false">IF(OR($L78="",$I78="",$I78=0),"",$L78/$I78)</f>
        <v/>
      </c>
      <c r="O78" s="51"/>
    </row>
    <row r="79" customFormat="false" ht="15" hidden="false" customHeight="false" outlineLevel="0" collapsed="false">
      <c r="A79" s="45"/>
      <c r="B79" s="37" t="str">
        <f aca="false">IF($A79="","",WEEKNUM($A79,2))</f>
        <v/>
      </c>
      <c r="C79" s="37" t="str">
        <f aca="false">IF($A79="","",CHOOSE(WEEKDAY($A79,2),"Seg","Ter","Qua","Qui","Sex","Sáb","Dom"))</f>
        <v/>
      </c>
      <c r="D79" s="46"/>
      <c r="E79" s="47"/>
      <c r="F79" s="47"/>
      <c r="G79" s="48"/>
      <c r="H79" s="49"/>
      <c r="I79" s="50"/>
      <c r="J79" s="48"/>
      <c r="K79" s="49"/>
      <c r="L79" s="50"/>
      <c r="M79" s="43" t="str">
        <f aca="false">IF(OR($L79="",$F79=""),"",IFERROR($L79/INDEX(Cadastro!$E$6:$E$8,MATCH($F79,Cadastro!$B$6:$B$8,0)),""))</f>
        <v/>
      </c>
      <c r="N79" s="43" t="str">
        <f aca="false">IF(OR($L79="",$I79="",$I79=0),"",$L79/$I79)</f>
        <v/>
      </c>
      <c r="O79" s="51"/>
    </row>
    <row r="80" customFormat="false" ht="15" hidden="false" customHeight="false" outlineLevel="0" collapsed="false">
      <c r="A80" s="45"/>
      <c r="B80" s="37" t="str">
        <f aca="false">IF($A80="","",WEEKNUM($A80,2))</f>
        <v/>
      </c>
      <c r="C80" s="37" t="str">
        <f aca="false">IF($A80="","",CHOOSE(WEEKDAY($A80,2),"Seg","Ter","Qua","Qui","Sex","Sáb","Dom"))</f>
        <v/>
      </c>
      <c r="D80" s="46"/>
      <c r="E80" s="47"/>
      <c r="F80" s="47"/>
      <c r="G80" s="48"/>
      <c r="H80" s="49"/>
      <c r="I80" s="50"/>
      <c r="J80" s="48"/>
      <c r="K80" s="49"/>
      <c r="L80" s="50"/>
      <c r="M80" s="43" t="str">
        <f aca="false">IF(OR($L80="",$F80=""),"",IFERROR($L80/INDEX(Cadastro!$E$6:$E$8,MATCH($F80,Cadastro!$B$6:$B$8,0)),""))</f>
        <v/>
      </c>
      <c r="N80" s="43" t="str">
        <f aca="false">IF(OR($L80="",$I80="",$I80=0),"",$L80/$I80)</f>
        <v/>
      </c>
      <c r="O80" s="51"/>
    </row>
    <row r="81" customFormat="false" ht="15" hidden="false" customHeight="false" outlineLevel="0" collapsed="false">
      <c r="A81" s="45"/>
      <c r="B81" s="37" t="str">
        <f aca="false">IF($A81="","",WEEKNUM($A81,2))</f>
        <v/>
      </c>
      <c r="C81" s="37" t="str">
        <f aca="false">IF($A81="","",CHOOSE(WEEKDAY($A81,2),"Seg","Ter","Qua","Qui","Sex","Sáb","Dom"))</f>
        <v/>
      </c>
      <c r="D81" s="46"/>
      <c r="E81" s="47"/>
      <c r="F81" s="47"/>
      <c r="G81" s="48"/>
      <c r="H81" s="49"/>
      <c r="I81" s="50"/>
      <c r="J81" s="48"/>
      <c r="K81" s="49"/>
      <c r="L81" s="50"/>
      <c r="M81" s="43" t="str">
        <f aca="false">IF(OR($L81="",$F81=""),"",IFERROR($L81/INDEX(Cadastro!$E$6:$E$8,MATCH($F81,Cadastro!$B$6:$B$8,0)),""))</f>
        <v/>
      </c>
      <c r="N81" s="43" t="str">
        <f aca="false">IF(OR($L81="",$I81="",$I81=0),"",$L81/$I81)</f>
        <v/>
      </c>
      <c r="O81" s="51"/>
    </row>
    <row r="82" customFormat="false" ht="15" hidden="false" customHeight="false" outlineLevel="0" collapsed="false">
      <c r="A82" s="45"/>
      <c r="B82" s="37" t="str">
        <f aca="false">IF($A82="","",WEEKNUM($A82,2))</f>
        <v/>
      </c>
      <c r="C82" s="37" t="str">
        <f aca="false">IF($A82="","",CHOOSE(WEEKDAY($A82,2),"Seg","Ter","Qua","Qui","Sex","Sáb","Dom"))</f>
        <v/>
      </c>
      <c r="D82" s="46"/>
      <c r="E82" s="47"/>
      <c r="F82" s="47"/>
      <c r="G82" s="48"/>
      <c r="H82" s="49"/>
      <c r="I82" s="50"/>
      <c r="J82" s="48"/>
      <c r="K82" s="49"/>
      <c r="L82" s="50"/>
      <c r="M82" s="43" t="str">
        <f aca="false">IF(OR($L82="",$F82=""),"",IFERROR($L82/INDEX(Cadastro!$E$6:$E$8,MATCH($F82,Cadastro!$B$6:$B$8,0)),""))</f>
        <v/>
      </c>
      <c r="N82" s="43" t="str">
        <f aca="false">IF(OR($L82="",$I82="",$I82=0),"",$L82/$I82)</f>
        <v/>
      </c>
      <c r="O82" s="51"/>
    </row>
    <row r="83" customFormat="false" ht="15" hidden="false" customHeight="false" outlineLevel="0" collapsed="false">
      <c r="A83" s="45"/>
      <c r="B83" s="37" t="str">
        <f aca="false">IF($A83="","",WEEKNUM($A83,2))</f>
        <v/>
      </c>
      <c r="C83" s="37" t="str">
        <f aca="false">IF($A83="","",CHOOSE(WEEKDAY($A83,2),"Seg","Ter","Qua","Qui","Sex","Sáb","Dom"))</f>
        <v/>
      </c>
      <c r="D83" s="46"/>
      <c r="E83" s="47"/>
      <c r="F83" s="47"/>
      <c r="G83" s="48"/>
      <c r="H83" s="49"/>
      <c r="I83" s="50"/>
      <c r="J83" s="48"/>
      <c r="K83" s="49"/>
      <c r="L83" s="50"/>
      <c r="M83" s="43" t="str">
        <f aca="false">IF(OR($L83="",$F83=""),"",IFERROR($L83/INDEX(Cadastro!$E$6:$E$8,MATCH($F83,Cadastro!$B$6:$B$8,0)),""))</f>
        <v/>
      </c>
      <c r="N83" s="43" t="str">
        <f aca="false">IF(OR($L83="",$I83="",$I83=0),"",$L83/$I83)</f>
        <v/>
      </c>
      <c r="O83" s="51"/>
    </row>
    <row r="84" customFormat="false" ht="15" hidden="false" customHeight="false" outlineLevel="0" collapsed="false">
      <c r="A84" s="45"/>
      <c r="B84" s="37" t="str">
        <f aca="false">IF($A84="","",WEEKNUM($A84,2))</f>
        <v/>
      </c>
      <c r="C84" s="37" t="str">
        <f aca="false">IF($A84="","",CHOOSE(WEEKDAY($A84,2),"Seg","Ter","Qua","Qui","Sex","Sáb","Dom"))</f>
        <v/>
      </c>
      <c r="D84" s="46"/>
      <c r="E84" s="47"/>
      <c r="F84" s="47"/>
      <c r="G84" s="48"/>
      <c r="H84" s="49"/>
      <c r="I84" s="50"/>
      <c r="J84" s="48"/>
      <c r="K84" s="49"/>
      <c r="L84" s="50"/>
      <c r="M84" s="43" t="str">
        <f aca="false">IF(OR($L84="",$F84=""),"",IFERROR($L84/INDEX(Cadastro!$E$6:$E$8,MATCH($F84,Cadastro!$B$6:$B$8,0)),""))</f>
        <v/>
      </c>
      <c r="N84" s="43" t="str">
        <f aca="false">IF(OR($L84="",$I84="",$I84=0),"",$L84/$I84)</f>
        <v/>
      </c>
      <c r="O84" s="51"/>
    </row>
    <row r="85" customFormat="false" ht="15" hidden="false" customHeight="false" outlineLevel="0" collapsed="false">
      <c r="A85" s="45"/>
      <c r="B85" s="37" t="str">
        <f aca="false">IF($A85="","",WEEKNUM($A85,2))</f>
        <v/>
      </c>
      <c r="C85" s="37" t="str">
        <f aca="false">IF($A85="","",CHOOSE(WEEKDAY($A85,2),"Seg","Ter","Qua","Qui","Sex","Sáb","Dom"))</f>
        <v/>
      </c>
      <c r="D85" s="46"/>
      <c r="E85" s="47"/>
      <c r="F85" s="47"/>
      <c r="G85" s="48"/>
      <c r="H85" s="49"/>
      <c r="I85" s="50"/>
      <c r="J85" s="48"/>
      <c r="K85" s="49"/>
      <c r="L85" s="50"/>
      <c r="M85" s="43" t="str">
        <f aca="false">IF(OR($L85="",$F85=""),"",IFERROR($L85/INDEX(Cadastro!$E$6:$E$8,MATCH($F85,Cadastro!$B$6:$B$8,0)),""))</f>
        <v/>
      </c>
      <c r="N85" s="43" t="str">
        <f aca="false">IF(OR($L85="",$I85="",$I85=0),"",$L85/$I85)</f>
        <v/>
      </c>
      <c r="O85" s="51"/>
    </row>
    <row r="86" customFormat="false" ht="15" hidden="false" customHeight="false" outlineLevel="0" collapsed="false">
      <c r="A86" s="45"/>
      <c r="B86" s="37" t="str">
        <f aca="false">IF($A86="","",WEEKNUM($A86,2))</f>
        <v/>
      </c>
      <c r="C86" s="37" t="str">
        <f aca="false">IF($A86="","",CHOOSE(WEEKDAY($A86,2),"Seg","Ter","Qua","Qui","Sex","Sáb","Dom"))</f>
        <v/>
      </c>
      <c r="D86" s="46"/>
      <c r="E86" s="47"/>
      <c r="F86" s="47"/>
      <c r="G86" s="48"/>
      <c r="H86" s="49"/>
      <c r="I86" s="50"/>
      <c r="J86" s="48"/>
      <c r="K86" s="49"/>
      <c r="L86" s="50"/>
      <c r="M86" s="43" t="str">
        <f aca="false">IF(OR($L86="",$F86=""),"",IFERROR($L86/INDEX(Cadastro!$E$6:$E$8,MATCH($F86,Cadastro!$B$6:$B$8,0)),""))</f>
        <v/>
      </c>
      <c r="N86" s="43" t="str">
        <f aca="false">IF(OR($L86="",$I86="",$I86=0),"",$L86/$I86)</f>
        <v/>
      </c>
      <c r="O86" s="51"/>
    </row>
    <row r="87" customFormat="false" ht="15" hidden="false" customHeight="false" outlineLevel="0" collapsed="false">
      <c r="A87" s="45"/>
      <c r="B87" s="37" t="str">
        <f aca="false">IF($A87="","",WEEKNUM($A87,2))</f>
        <v/>
      </c>
      <c r="C87" s="37" t="str">
        <f aca="false">IF($A87="","",CHOOSE(WEEKDAY($A87,2),"Seg","Ter","Qua","Qui","Sex","Sáb","Dom"))</f>
        <v/>
      </c>
      <c r="D87" s="46"/>
      <c r="E87" s="47"/>
      <c r="F87" s="47"/>
      <c r="G87" s="48"/>
      <c r="H87" s="49"/>
      <c r="I87" s="50"/>
      <c r="J87" s="48"/>
      <c r="K87" s="49"/>
      <c r="L87" s="50"/>
      <c r="M87" s="43" t="str">
        <f aca="false">IF(OR($L87="",$F87=""),"",IFERROR($L87/INDEX(Cadastro!$E$6:$E$8,MATCH($F87,Cadastro!$B$6:$B$8,0)),""))</f>
        <v/>
      </c>
      <c r="N87" s="43" t="str">
        <f aca="false">IF(OR($L87="",$I87="",$I87=0),"",$L87/$I87)</f>
        <v/>
      </c>
      <c r="O87" s="51"/>
    </row>
    <row r="88" customFormat="false" ht="15" hidden="false" customHeight="false" outlineLevel="0" collapsed="false">
      <c r="A88" s="45"/>
      <c r="B88" s="37" t="str">
        <f aca="false">IF($A88="","",WEEKNUM($A88,2))</f>
        <v/>
      </c>
      <c r="C88" s="37" t="str">
        <f aca="false">IF($A88="","",CHOOSE(WEEKDAY($A88,2),"Seg","Ter","Qua","Qui","Sex","Sáb","Dom"))</f>
        <v/>
      </c>
      <c r="D88" s="46"/>
      <c r="E88" s="47"/>
      <c r="F88" s="47"/>
      <c r="G88" s="48"/>
      <c r="H88" s="49"/>
      <c r="I88" s="50"/>
      <c r="J88" s="48"/>
      <c r="K88" s="49"/>
      <c r="L88" s="50"/>
      <c r="M88" s="43" t="str">
        <f aca="false">IF(OR($L88="",$F88=""),"",IFERROR($L88/INDEX(Cadastro!$E$6:$E$8,MATCH($F88,Cadastro!$B$6:$B$8,0)),""))</f>
        <v/>
      </c>
      <c r="N88" s="43" t="str">
        <f aca="false">IF(OR($L88="",$I88="",$I88=0),"",$L88/$I88)</f>
        <v/>
      </c>
      <c r="O88" s="51"/>
    </row>
    <row r="89" customFormat="false" ht="15" hidden="false" customHeight="false" outlineLevel="0" collapsed="false">
      <c r="A89" s="45"/>
      <c r="B89" s="37" t="str">
        <f aca="false">IF($A89="","",WEEKNUM($A89,2))</f>
        <v/>
      </c>
      <c r="C89" s="37" t="str">
        <f aca="false">IF($A89="","",CHOOSE(WEEKDAY($A89,2),"Seg","Ter","Qua","Qui","Sex","Sáb","Dom"))</f>
        <v/>
      </c>
      <c r="D89" s="46"/>
      <c r="E89" s="47"/>
      <c r="F89" s="47"/>
      <c r="G89" s="48"/>
      <c r="H89" s="49"/>
      <c r="I89" s="50"/>
      <c r="J89" s="48"/>
      <c r="K89" s="49"/>
      <c r="L89" s="50"/>
      <c r="M89" s="43" t="str">
        <f aca="false">IF(OR($L89="",$F89=""),"",IFERROR($L89/INDEX(Cadastro!$E$6:$E$8,MATCH($F89,Cadastro!$B$6:$B$8,0)),""))</f>
        <v/>
      </c>
      <c r="N89" s="43" t="str">
        <f aca="false">IF(OR($L89="",$I89="",$I89=0),"",$L89/$I89)</f>
        <v/>
      </c>
      <c r="O89" s="51"/>
    </row>
    <row r="90" customFormat="false" ht="15" hidden="false" customHeight="false" outlineLevel="0" collapsed="false">
      <c r="A90" s="45"/>
      <c r="B90" s="37" t="str">
        <f aca="false">IF($A90="","",WEEKNUM($A90,2))</f>
        <v/>
      </c>
      <c r="C90" s="37" t="str">
        <f aca="false">IF($A90="","",CHOOSE(WEEKDAY($A90,2),"Seg","Ter","Qua","Qui","Sex","Sáb","Dom"))</f>
        <v/>
      </c>
      <c r="D90" s="46"/>
      <c r="E90" s="47"/>
      <c r="F90" s="47"/>
      <c r="G90" s="48"/>
      <c r="H90" s="49"/>
      <c r="I90" s="50"/>
      <c r="J90" s="48"/>
      <c r="K90" s="49"/>
      <c r="L90" s="50"/>
      <c r="M90" s="43" t="str">
        <f aca="false">IF(OR($L90="",$F90=""),"",IFERROR($L90/INDEX(Cadastro!$E$6:$E$8,MATCH($F90,Cadastro!$B$6:$B$8,0)),""))</f>
        <v/>
      </c>
      <c r="N90" s="43" t="str">
        <f aca="false">IF(OR($L90="",$I90="",$I90=0),"",$L90/$I90)</f>
        <v/>
      </c>
      <c r="O90" s="51"/>
    </row>
    <row r="91" customFormat="false" ht="15" hidden="false" customHeight="false" outlineLevel="0" collapsed="false">
      <c r="A91" s="45"/>
      <c r="B91" s="37" t="str">
        <f aca="false">IF($A91="","",WEEKNUM($A91,2))</f>
        <v/>
      </c>
      <c r="C91" s="37" t="str">
        <f aca="false">IF($A91="","",CHOOSE(WEEKDAY($A91,2),"Seg","Ter","Qua","Qui","Sex","Sáb","Dom"))</f>
        <v/>
      </c>
      <c r="D91" s="46"/>
      <c r="E91" s="47"/>
      <c r="F91" s="47"/>
      <c r="G91" s="48"/>
      <c r="H91" s="49"/>
      <c r="I91" s="50"/>
      <c r="J91" s="48"/>
      <c r="K91" s="49"/>
      <c r="L91" s="50"/>
      <c r="M91" s="43" t="str">
        <f aca="false">IF(OR($L91="",$F91=""),"",IFERROR($L91/INDEX(Cadastro!$E$6:$E$8,MATCH($F91,Cadastro!$B$6:$B$8,0)),""))</f>
        <v/>
      </c>
      <c r="N91" s="43" t="str">
        <f aca="false">IF(OR($L91="",$I91="",$I91=0),"",$L91/$I91)</f>
        <v/>
      </c>
      <c r="O91" s="51"/>
    </row>
    <row r="92" customFormat="false" ht="15" hidden="false" customHeight="false" outlineLevel="0" collapsed="false">
      <c r="A92" s="45"/>
      <c r="B92" s="37" t="str">
        <f aca="false">IF($A92="","",WEEKNUM($A92,2))</f>
        <v/>
      </c>
      <c r="C92" s="37" t="str">
        <f aca="false">IF($A92="","",CHOOSE(WEEKDAY($A92,2),"Seg","Ter","Qua","Qui","Sex","Sáb","Dom"))</f>
        <v/>
      </c>
      <c r="D92" s="46"/>
      <c r="E92" s="47"/>
      <c r="F92" s="47"/>
      <c r="G92" s="48"/>
      <c r="H92" s="49"/>
      <c r="I92" s="50"/>
      <c r="J92" s="48"/>
      <c r="K92" s="49"/>
      <c r="L92" s="50"/>
      <c r="M92" s="43" t="str">
        <f aca="false">IF(OR($L92="",$F92=""),"",IFERROR($L92/INDEX(Cadastro!$E$6:$E$8,MATCH($F92,Cadastro!$B$6:$B$8,0)),""))</f>
        <v/>
      </c>
      <c r="N92" s="43" t="str">
        <f aca="false">IF(OR($L92="",$I92="",$I92=0),"",$L92/$I92)</f>
        <v/>
      </c>
      <c r="O92" s="51"/>
    </row>
    <row r="93" customFormat="false" ht="15" hidden="false" customHeight="false" outlineLevel="0" collapsed="false">
      <c r="A93" s="45"/>
      <c r="B93" s="37" t="str">
        <f aca="false">IF($A93="","",WEEKNUM($A93,2))</f>
        <v/>
      </c>
      <c r="C93" s="37" t="str">
        <f aca="false">IF($A93="","",CHOOSE(WEEKDAY($A93,2),"Seg","Ter","Qua","Qui","Sex","Sáb","Dom"))</f>
        <v/>
      </c>
      <c r="D93" s="46"/>
      <c r="E93" s="47"/>
      <c r="F93" s="47"/>
      <c r="G93" s="48"/>
      <c r="H93" s="49"/>
      <c r="I93" s="50"/>
      <c r="J93" s="48"/>
      <c r="K93" s="49"/>
      <c r="L93" s="50"/>
      <c r="M93" s="43" t="str">
        <f aca="false">IF(OR($L93="",$F93=""),"",IFERROR($L93/INDEX(Cadastro!$E$6:$E$8,MATCH($F93,Cadastro!$B$6:$B$8,0)),""))</f>
        <v/>
      </c>
      <c r="N93" s="43" t="str">
        <f aca="false">IF(OR($L93="",$I93="",$I93=0),"",$L93/$I93)</f>
        <v/>
      </c>
      <c r="O93" s="51"/>
    </row>
    <row r="94" customFormat="false" ht="15" hidden="false" customHeight="false" outlineLevel="0" collapsed="false">
      <c r="A94" s="45"/>
      <c r="B94" s="37" t="str">
        <f aca="false">IF($A94="","",WEEKNUM($A94,2))</f>
        <v/>
      </c>
      <c r="C94" s="37" t="str">
        <f aca="false">IF($A94="","",CHOOSE(WEEKDAY($A94,2),"Seg","Ter","Qua","Qui","Sex","Sáb","Dom"))</f>
        <v/>
      </c>
      <c r="D94" s="46"/>
      <c r="E94" s="47"/>
      <c r="F94" s="47"/>
      <c r="G94" s="48"/>
      <c r="H94" s="49"/>
      <c r="I94" s="50"/>
      <c r="J94" s="48"/>
      <c r="K94" s="49"/>
      <c r="L94" s="50"/>
      <c r="M94" s="43" t="str">
        <f aca="false">IF(OR($L94="",$F94=""),"",IFERROR($L94/INDEX(Cadastro!$E$6:$E$8,MATCH($F94,Cadastro!$B$6:$B$8,0)),""))</f>
        <v/>
      </c>
      <c r="N94" s="43" t="str">
        <f aca="false">IF(OR($L94="",$I94="",$I94=0),"",$L94/$I94)</f>
        <v/>
      </c>
      <c r="O94" s="51"/>
    </row>
    <row r="95" customFormat="false" ht="15" hidden="false" customHeight="false" outlineLevel="0" collapsed="false">
      <c r="A95" s="45"/>
      <c r="B95" s="37" t="str">
        <f aca="false">IF($A95="","",WEEKNUM($A95,2))</f>
        <v/>
      </c>
      <c r="C95" s="37" t="str">
        <f aca="false">IF($A95="","",CHOOSE(WEEKDAY($A95,2),"Seg","Ter","Qua","Qui","Sex","Sáb","Dom"))</f>
        <v/>
      </c>
      <c r="D95" s="46"/>
      <c r="E95" s="47"/>
      <c r="F95" s="47"/>
      <c r="G95" s="48"/>
      <c r="H95" s="49"/>
      <c r="I95" s="50"/>
      <c r="J95" s="48"/>
      <c r="K95" s="49"/>
      <c r="L95" s="50"/>
      <c r="M95" s="43" t="str">
        <f aca="false">IF(OR($L95="",$F95=""),"",IFERROR($L95/INDEX(Cadastro!$E$6:$E$8,MATCH($F95,Cadastro!$B$6:$B$8,0)),""))</f>
        <v/>
      </c>
      <c r="N95" s="43" t="str">
        <f aca="false">IF(OR($L95="",$I95="",$I95=0),"",$L95/$I95)</f>
        <v/>
      </c>
      <c r="O95" s="51"/>
    </row>
    <row r="96" customFormat="false" ht="15" hidden="false" customHeight="false" outlineLevel="0" collapsed="false">
      <c r="A96" s="45"/>
      <c r="B96" s="37" t="str">
        <f aca="false">IF($A96="","",WEEKNUM($A96,2))</f>
        <v/>
      </c>
      <c r="C96" s="37" t="str">
        <f aca="false">IF($A96="","",CHOOSE(WEEKDAY($A96,2),"Seg","Ter","Qua","Qui","Sex","Sáb","Dom"))</f>
        <v/>
      </c>
      <c r="D96" s="46"/>
      <c r="E96" s="47"/>
      <c r="F96" s="47"/>
      <c r="G96" s="48"/>
      <c r="H96" s="49"/>
      <c r="I96" s="50"/>
      <c r="J96" s="48"/>
      <c r="K96" s="49"/>
      <c r="L96" s="50"/>
      <c r="M96" s="43" t="str">
        <f aca="false">IF(OR($L96="",$F96=""),"",IFERROR($L96/INDEX(Cadastro!$E$6:$E$8,MATCH($F96,Cadastro!$B$6:$B$8,0)),""))</f>
        <v/>
      </c>
      <c r="N96" s="43" t="str">
        <f aca="false">IF(OR($L96="",$I96="",$I96=0),"",$L96/$I96)</f>
        <v/>
      </c>
      <c r="O96" s="51"/>
    </row>
    <row r="97" customFormat="false" ht="15" hidden="false" customHeight="false" outlineLevel="0" collapsed="false">
      <c r="A97" s="45"/>
      <c r="B97" s="37" t="str">
        <f aca="false">IF($A97="","",WEEKNUM($A97,2))</f>
        <v/>
      </c>
      <c r="C97" s="37" t="str">
        <f aca="false">IF($A97="","",CHOOSE(WEEKDAY($A97,2),"Seg","Ter","Qua","Qui","Sex","Sáb","Dom"))</f>
        <v/>
      </c>
      <c r="D97" s="46"/>
      <c r="E97" s="47"/>
      <c r="F97" s="47"/>
      <c r="G97" s="48"/>
      <c r="H97" s="49"/>
      <c r="I97" s="50"/>
      <c r="J97" s="48"/>
      <c r="K97" s="49"/>
      <c r="L97" s="50"/>
      <c r="M97" s="43" t="str">
        <f aca="false">IF(OR($L97="",$F97=""),"",IFERROR($L97/INDEX(Cadastro!$E$6:$E$8,MATCH($F97,Cadastro!$B$6:$B$8,0)),""))</f>
        <v/>
      </c>
      <c r="N97" s="43" t="str">
        <f aca="false">IF(OR($L97="",$I97="",$I97=0),"",$L97/$I97)</f>
        <v/>
      </c>
      <c r="O97" s="51"/>
    </row>
    <row r="98" customFormat="false" ht="15" hidden="false" customHeight="false" outlineLevel="0" collapsed="false">
      <c r="A98" s="45"/>
      <c r="B98" s="37" t="str">
        <f aca="false">IF($A98="","",WEEKNUM($A98,2))</f>
        <v/>
      </c>
      <c r="C98" s="37" t="str">
        <f aca="false">IF($A98="","",CHOOSE(WEEKDAY($A98,2),"Seg","Ter","Qua","Qui","Sex","Sáb","Dom"))</f>
        <v/>
      </c>
      <c r="D98" s="46"/>
      <c r="E98" s="47"/>
      <c r="F98" s="47"/>
      <c r="G98" s="48"/>
      <c r="H98" s="49"/>
      <c r="I98" s="50"/>
      <c r="J98" s="48"/>
      <c r="K98" s="49"/>
      <c r="L98" s="50"/>
      <c r="M98" s="43" t="str">
        <f aca="false">IF(OR($L98="",$F98=""),"",IFERROR($L98/INDEX(Cadastro!$E$6:$E$8,MATCH($F98,Cadastro!$B$6:$B$8,0)),""))</f>
        <v/>
      </c>
      <c r="N98" s="43" t="str">
        <f aca="false">IF(OR($L98="",$I98="",$I98=0),"",$L98/$I98)</f>
        <v/>
      </c>
      <c r="O98" s="51"/>
    </row>
    <row r="99" customFormat="false" ht="15" hidden="false" customHeight="false" outlineLevel="0" collapsed="false">
      <c r="A99" s="45"/>
      <c r="B99" s="37" t="str">
        <f aca="false">IF($A99="","",WEEKNUM($A99,2))</f>
        <v/>
      </c>
      <c r="C99" s="37" t="str">
        <f aca="false">IF($A99="","",CHOOSE(WEEKDAY($A99,2),"Seg","Ter","Qua","Qui","Sex","Sáb","Dom"))</f>
        <v/>
      </c>
      <c r="D99" s="46"/>
      <c r="E99" s="47"/>
      <c r="F99" s="47"/>
      <c r="G99" s="48"/>
      <c r="H99" s="49"/>
      <c r="I99" s="50"/>
      <c r="J99" s="48"/>
      <c r="K99" s="49"/>
      <c r="L99" s="50"/>
      <c r="M99" s="43" t="str">
        <f aca="false">IF(OR($L99="",$F99=""),"",IFERROR($L99/INDEX(Cadastro!$E$6:$E$8,MATCH($F99,Cadastro!$B$6:$B$8,0)),""))</f>
        <v/>
      </c>
      <c r="N99" s="43" t="str">
        <f aca="false">IF(OR($L99="",$I99="",$I99=0),"",$L99/$I99)</f>
        <v/>
      </c>
      <c r="O99" s="51"/>
    </row>
    <row r="100" customFormat="false" ht="15" hidden="false" customHeight="false" outlineLevel="0" collapsed="false">
      <c r="A100" s="45"/>
      <c r="B100" s="37" t="str">
        <f aca="false">IF($A100="","",WEEKNUM($A100,2))</f>
        <v/>
      </c>
      <c r="C100" s="37" t="str">
        <f aca="false">IF($A100="","",CHOOSE(WEEKDAY($A100,2),"Seg","Ter","Qua","Qui","Sex","Sáb","Dom"))</f>
        <v/>
      </c>
      <c r="D100" s="46"/>
      <c r="E100" s="47"/>
      <c r="F100" s="47"/>
      <c r="G100" s="48"/>
      <c r="H100" s="49"/>
      <c r="I100" s="50"/>
      <c r="J100" s="48"/>
      <c r="K100" s="49"/>
      <c r="L100" s="50"/>
      <c r="M100" s="43" t="str">
        <f aca="false">IF(OR($L100="",$F100=""),"",IFERROR($L100/INDEX(Cadastro!$E$6:$E$8,MATCH($F100,Cadastro!$B$6:$B$8,0)),""))</f>
        <v/>
      </c>
      <c r="N100" s="43" t="str">
        <f aca="false">IF(OR($L100="",$I100="",$I100=0),"",$L100/$I100)</f>
        <v/>
      </c>
      <c r="O100" s="51"/>
    </row>
    <row r="101" customFormat="false" ht="15" hidden="false" customHeight="false" outlineLevel="0" collapsed="false">
      <c r="A101" s="45"/>
      <c r="B101" s="37" t="str">
        <f aca="false">IF($A101="","",WEEKNUM($A101,2))</f>
        <v/>
      </c>
      <c r="C101" s="37" t="str">
        <f aca="false">IF($A101="","",CHOOSE(WEEKDAY($A101,2),"Seg","Ter","Qua","Qui","Sex","Sáb","Dom"))</f>
        <v/>
      </c>
      <c r="D101" s="46"/>
      <c r="E101" s="47"/>
      <c r="F101" s="47"/>
      <c r="G101" s="48"/>
      <c r="H101" s="49"/>
      <c r="I101" s="50"/>
      <c r="J101" s="48"/>
      <c r="K101" s="49"/>
      <c r="L101" s="50"/>
      <c r="M101" s="43" t="str">
        <f aca="false">IF(OR($L101="",$F101=""),"",IFERROR($L101/INDEX(Cadastro!$E$6:$E$8,MATCH($F101,Cadastro!$B$6:$B$8,0)),""))</f>
        <v/>
      </c>
      <c r="N101" s="43" t="str">
        <f aca="false">IF(OR($L101="",$I101="",$I101=0),"",$L101/$I101)</f>
        <v/>
      </c>
      <c r="O101" s="51"/>
    </row>
    <row r="102" customFormat="false" ht="15" hidden="false" customHeight="false" outlineLevel="0" collapsed="false">
      <c r="A102" s="45"/>
      <c r="B102" s="37" t="str">
        <f aca="false">IF($A102="","",WEEKNUM($A102,2))</f>
        <v/>
      </c>
      <c r="C102" s="37" t="str">
        <f aca="false">IF($A102="","",CHOOSE(WEEKDAY($A102,2),"Seg","Ter","Qua","Qui","Sex","Sáb","Dom"))</f>
        <v/>
      </c>
      <c r="D102" s="46"/>
      <c r="E102" s="47"/>
      <c r="F102" s="47"/>
      <c r="G102" s="48"/>
      <c r="H102" s="49"/>
      <c r="I102" s="50"/>
      <c r="J102" s="48"/>
      <c r="K102" s="49"/>
      <c r="L102" s="50"/>
      <c r="M102" s="43" t="str">
        <f aca="false">IF(OR($L102="",$F102=""),"",IFERROR($L102/INDEX(Cadastro!$E$6:$E$8,MATCH($F102,Cadastro!$B$6:$B$8,0)),""))</f>
        <v/>
      </c>
      <c r="N102" s="43" t="str">
        <f aca="false">IF(OR($L102="",$I102="",$I102=0),"",$L102/$I102)</f>
        <v/>
      </c>
      <c r="O102" s="51"/>
    </row>
    <row r="103" customFormat="false" ht="15" hidden="false" customHeight="false" outlineLevel="0" collapsed="false">
      <c r="A103" s="45"/>
      <c r="B103" s="37" t="str">
        <f aca="false">IF($A103="","",WEEKNUM($A103,2))</f>
        <v/>
      </c>
      <c r="C103" s="37" t="str">
        <f aca="false">IF($A103="","",CHOOSE(WEEKDAY($A103,2),"Seg","Ter","Qua","Qui","Sex","Sáb","Dom"))</f>
        <v/>
      </c>
      <c r="D103" s="46"/>
      <c r="E103" s="47"/>
      <c r="F103" s="47"/>
      <c r="G103" s="48"/>
      <c r="H103" s="49"/>
      <c r="I103" s="50"/>
      <c r="J103" s="48"/>
      <c r="K103" s="49"/>
      <c r="L103" s="50"/>
      <c r="M103" s="43" t="str">
        <f aca="false">IF(OR($L103="",$F103=""),"",IFERROR($L103/INDEX(Cadastro!$E$6:$E$8,MATCH($F103,Cadastro!$B$6:$B$8,0)),""))</f>
        <v/>
      </c>
      <c r="N103" s="43" t="str">
        <f aca="false">IF(OR($L103="",$I103="",$I103=0),"",$L103/$I103)</f>
        <v/>
      </c>
      <c r="O103" s="51"/>
    </row>
    <row r="104" customFormat="false" ht="15" hidden="false" customHeight="false" outlineLevel="0" collapsed="false">
      <c r="A104" s="45"/>
      <c r="B104" s="37" t="str">
        <f aca="false">IF($A104="","",WEEKNUM($A104,2))</f>
        <v/>
      </c>
      <c r="C104" s="37" t="str">
        <f aca="false">IF($A104="","",CHOOSE(WEEKDAY($A104,2),"Seg","Ter","Qua","Qui","Sex","Sáb","Dom"))</f>
        <v/>
      </c>
      <c r="D104" s="46"/>
      <c r="E104" s="47"/>
      <c r="F104" s="47"/>
      <c r="G104" s="48"/>
      <c r="H104" s="49"/>
      <c r="I104" s="50"/>
      <c r="J104" s="48"/>
      <c r="K104" s="49"/>
      <c r="L104" s="50"/>
      <c r="M104" s="43" t="str">
        <f aca="false">IF(OR($L104="",$F104=""),"",IFERROR($L104/INDEX(Cadastro!$E$6:$E$8,MATCH($F104,Cadastro!$B$6:$B$8,0)),""))</f>
        <v/>
      </c>
      <c r="N104" s="43" t="str">
        <f aca="false">IF(OR($L104="",$I104="",$I104=0),"",$L104/$I104)</f>
        <v/>
      </c>
      <c r="O104" s="51"/>
    </row>
    <row r="105" customFormat="false" ht="15" hidden="false" customHeight="false" outlineLevel="0" collapsed="false">
      <c r="A105" s="45"/>
      <c r="B105" s="37" t="str">
        <f aca="false">IF($A105="","",WEEKNUM($A105,2))</f>
        <v/>
      </c>
      <c r="C105" s="37" t="str">
        <f aca="false">IF($A105="","",CHOOSE(WEEKDAY($A105,2),"Seg","Ter","Qua","Qui","Sex","Sáb","Dom"))</f>
        <v/>
      </c>
      <c r="D105" s="46"/>
      <c r="E105" s="47"/>
      <c r="F105" s="47"/>
      <c r="G105" s="48"/>
      <c r="H105" s="49"/>
      <c r="I105" s="50"/>
      <c r="J105" s="48"/>
      <c r="K105" s="49"/>
      <c r="L105" s="50"/>
      <c r="M105" s="43" t="str">
        <f aca="false">IF(OR($L105="",$F105=""),"",IFERROR($L105/INDEX(Cadastro!$E$6:$E$8,MATCH($F105,Cadastro!$B$6:$B$8,0)),""))</f>
        <v/>
      </c>
      <c r="N105" s="43" t="str">
        <f aca="false">IF(OR($L105="",$I105="",$I105=0),"",$L105/$I105)</f>
        <v/>
      </c>
      <c r="O105" s="51"/>
    </row>
    <row r="106" customFormat="false" ht="15" hidden="false" customHeight="false" outlineLevel="0" collapsed="false">
      <c r="A106" s="45"/>
      <c r="B106" s="37" t="str">
        <f aca="false">IF($A106="","",WEEKNUM($A106,2))</f>
        <v/>
      </c>
      <c r="C106" s="37" t="str">
        <f aca="false">IF($A106="","",CHOOSE(WEEKDAY($A106,2),"Seg","Ter","Qua","Qui","Sex","Sáb","Dom"))</f>
        <v/>
      </c>
      <c r="D106" s="46"/>
      <c r="E106" s="47"/>
      <c r="F106" s="47"/>
      <c r="G106" s="48"/>
      <c r="H106" s="49"/>
      <c r="I106" s="50"/>
      <c r="J106" s="48"/>
      <c r="K106" s="49"/>
      <c r="L106" s="50"/>
      <c r="M106" s="43" t="str">
        <f aca="false">IF(OR($L106="",$F106=""),"",IFERROR($L106/INDEX(Cadastro!$E$6:$E$8,MATCH($F106,Cadastro!$B$6:$B$8,0)),""))</f>
        <v/>
      </c>
      <c r="N106" s="43" t="str">
        <f aca="false">IF(OR($L106="",$I106="",$I106=0),"",$L106/$I106)</f>
        <v/>
      </c>
      <c r="O106" s="51"/>
    </row>
    <row r="107" customFormat="false" ht="15" hidden="false" customHeight="false" outlineLevel="0" collapsed="false">
      <c r="A107" s="45"/>
      <c r="B107" s="37" t="str">
        <f aca="false">IF($A107="","",WEEKNUM($A107,2))</f>
        <v/>
      </c>
      <c r="C107" s="37" t="str">
        <f aca="false">IF($A107="","",CHOOSE(WEEKDAY($A107,2),"Seg","Ter","Qua","Qui","Sex","Sáb","Dom"))</f>
        <v/>
      </c>
      <c r="D107" s="46"/>
      <c r="E107" s="47"/>
      <c r="F107" s="47"/>
      <c r="G107" s="48"/>
      <c r="H107" s="49"/>
      <c r="I107" s="50"/>
      <c r="J107" s="48"/>
      <c r="K107" s="49"/>
      <c r="L107" s="50"/>
      <c r="M107" s="43" t="str">
        <f aca="false">IF(OR($L107="",$F107=""),"",IFERROR($L107/INDEX(Cadastro!$E$6:$E$8,MATCH($F107,Cadastro!$B$6:$B$8,0)),""))</f>
        <v/>
      </c>
      <c r="N107" s="43" t="str">
        <f aca="false">IF(OR($L107="",$I107="",$I107=0),"",$L107/$I107)</f>
        <v/>
      </c>
      <c r="O107" s="51"/>
    </row>
    <row r="108" customFormat="false" ht="15" hidden="false" customHeight="false" outlineLevel="0" collapsed="false">
      <c r="A108" s="45"/>
      <c r="B108" s="37" t="str">
        <f aca="false">IF($A108="","",WEEKNUM($A108,2))</f>
        <v/>
      </c>
      <c r="C108" s="37" t="str">
        <f aca="false">IF($A108="","",CHOOSE(WEEKDAY($A108,2),"Seg","Ter","Qua","Qui","Sex","Sáb","Dom"))</f>
        <v/>
      </c>
      <c r="D108" s="46"/>
      <c r="E108" s="47"/>
      <c r="F108" s="47"/>
      <c r="G108" s="48"/>
      <c r="H108" s="49"/>
      <c r="I108" s="50"/>
      <c r="J108" s="48"/>
      <c r="K108" s="49"/>
      <c r="L108" s="50"/>
      <c r="M108" s="43" t="str">
        <f aca="false">IF(OR($L108="",$F108=""),"",IFERROR($L108/INDEX(Cadastro!$E$6:$E$8,MATCH($F108,Cadastro!$B$6:$B$8,0)),""))</f>
        <v/>
      </c>
      <c r="N108" s="43" t="str">
        <f aca="false">IF(OR($L108="",$I108="",$I108=0),"",$L108/$I108)</f>
        <v/>
      </c>
      <c r="O108" s="51"/>
    </row>
    <row r="109" customFormat="false" ht="15" hidden="false" customHeight="false" outlineLevel="0" collapsed="false">
      <c r="A109" s="45"/>
      <c r="B109" s="37" t="str">
        <f aca="false">IF($A109="","",WEEKNUM($A109,2))</f>
        <v/>
      </c>
      <c r="C109" s="37" t="str">
        <f aca="false">IF($A109="","",CHOOSE(WEEKDAY($A109,2),"Seg","Ter","Qua","Qui","Sex","Sáb","Dom"))</f>
        <v/>
      </c>
      <c r="D109" s="46"/>
      <c r="E109" s="47"/>
      <c r="F109" s="47"/>
      <c r="G109" s="48"/>
      <c r="H109" s="49"/>
      <c r="I109" s="50"/>
      <c r="J109" s="48"/>
      <c r="K109" s="49"/>
      <c r="L109" s="50"/>
      <c r="M109" s="43" t="str">
        <f aca="false">IF(OR($L109="",$F109=""),"",IFERROR($L109/INDEX(Cadastro!$E$6:$E$8,MATCH($F109,Cadastro!$B$6:$B$8,0)),""))</f>
        <v/>
      </c>
      <c r="N109" s="43" t="str">
        <f aca="false">IF(OR($L109="",$I109="",$I109=0),"",$L109/$I109)</f>
        <v/>
      </c>
      <c r="O109" s="51"/>
    </row>
    <row r="110" customFormat="false" ht="15" hidden="false" customHeight="false" outlineLevel="0" collapsed="false">
      <c r="A110" s="45"/>
      <c r="B110" s="37" t="str">
        <f aca="false">IF($A110="","",WEEKNUM($A110,2))</f>
        <v/>
      </c>
      <c r="C110" s="37" t="str">
        <f aca="false">IF($A110="","",CHOOSE(WEEKDAY($A110,2),"Seg","Ter","Qua","Qui","Sex","Sáb","Dom"))</f>
        <v/>
      </c>
      <c r="D110" s="46"/>
      <c r="E110" s="47"/>
      <c r="F110" s="47"/>
      <c r="G110" s="48"/>
      <c r="H110" s="49"/>
      <c r="I110" s="50"/>
      <c r="J110" s="48"/>
      <c r="K110" s="49"/>
      <c r="L110" s="50"/>
      <c r="M110" s="43" t="str">
        <f aca="false">IF(OR($L110="",$F110=""),"",IFERROR($L110/INDEX(Cadastro!$E$6:$E$8,MATCH($F110,Cadastro!$B$6:$B$8,0)),""))</f>
        <v/>
      </c>
      <c r="N110" s="43" t="str">
        <f aca="false">IF(OR($L110="",$I110="",$I110=0),"",$L110/$I110)</f>
        <v/>
      </c>
      <c r="O110" s="51"/>
    </row>
    <row r="111" customFormat="false" ht="15" hidden="false" customHeight="false" outlineLevel="0" collapsed="false">
      <c r="A111" s="45"/>
      <c r="B111" s="37" t="str">
        <f aca="false">IF($A111="","",WEEKNUM($A111,2))</f>
        <v/>
      </c>
      <c r="C111" s="37" t="str">
        <f aca="false">IF($A111="","",CHOOSE(WEEKDAY($A111,2),"Seg","Ter","Qua","Qui","Sex","Sáb","Dom"))</f>
        <v/>
      </c>
      <c r="D111" s="46"/>
      <c r="E111" s="47"/>
      <c r="F111" s="47"/>
      <c r="G111" s="48"/>
      <c r="H111" s="49"/>
      <c r="I111" s="50"/>
      <c r="J111" s="48"/>
      <c r="K111" s="49"/>
      <c r="L111" s="50"/>
      <c r="M111" s="43" t="str">
        <f aca="false">IF(OR($L111="",$F111=""),"",IFERROR($L111/INDEX(Cadastro!$E$6:$E$8,MATCH($F111,Cadastro!$B$6:$B$8,0)),""))</f>
        <v/>
      </c>
      <c r="N111" s="43" t="str">
        <f aca="false">IF(OR($L111="",$I111="",$I111=0),"",$L111/$I111)</f>
        <v/>
      </c>
      <c r="O111" s="51"/>
    </row>
    <row r="112" customFormat="false" ht="15" hidden="false" customHeight="false" outlineLevel="0" collapsed="false">
      <c r="A112" s="45"/>
      <c r="B112" s="37" t="str">
        <f aca="false">IF($A112="","",WEEKNUM($A112,2))</f>
        <v/>
      </c>
      <c r="C112" s="37" t="str">
        <f aca="false">IF($A112="","",CHOOSE(WEEKDAY($A112,2),"Seg","Ter","Qua","Qui","Sex","Sáb","Dom"))</f>
        <v/>
      </c>
      <c r="D112" s="46"/>
      <c r="E112" s="47"/>
      <c r="F112" s="47"/>
      <c r="G112" s="48"/>
      <c r="H112" s="49"/>
      <c r="I112" s="50"/>
      <c r="J112" s="48"/>
      <c r="K112" s="49"/>
      <c r="L112" s="50"/>
      <c r="M112" s="43" t="str">
        <f aca="false">IF(OR($L112="",$F112=""),"",IFERROR($L112/INDEX(Cadastro!$E$6:$E$8,MATCH($F112,Cadastro!$B$6:$B$8,0)),""))</f>
        <v/>
      </c>
      <c r="N112" s="43" t="str">
        <f aca="false">IF(OR($L112="",$I112="",$I112=0),"",$L112/$I112)</f>
        <v/>
      </c>
      <c r="O112" s="51"/>
    </row>
    <row r="113" customFormat="false" ht="15" hidden="false" customHeight="false" outlineLevel="0" collapsed="false">
      <c r="A113" s="45"/>
      <c r="B113" s="37" t="str">
        <f aca="false">IF($A113="","",WEEKNUM($A113,2))</f>
        <v/>
      </c>
      <c r="C113" s="37" t="str">
        <f aca="false">IF($A113="","",CHOOSE(WEEKDAY($A113,2),"Seg","Ter","Qua","Qui","Sex","Sáb","Dom"))</f>
        <v/>
      </c>
      <c r="D113" s="46"/>
      <c r="E113" s="47"/>
      <c r="F113" s="47"/>
      <c r="G113" s="48"/>
      <c r="H113" s="49"/>
      <c r="I113" s="50"/>
      <c r="J113" s="48"/>
      <c r="K113" s="49"/>
      <c r="L113" s="50"/>
      <c r="M113" s="43" t="str">
        <f aca="false">IF(OR($L113="",$F113=""),"",IFERROR($L113/INDEX(Cadastro!$E$6:$E$8,MATCH($F113,Cadastro!$B$6:$B$8,0)),""))</f>
        <v/>
      </c>
      <c r="N113" s="43" t="str">
        <f aca="false">IF(OR($L113="",$I113="",$I113=0),"",$L113/$I113)</f>
        <v/>
      </c>
      <c r="O113" s="51"/>
    </row>
    <row r="114" customFormat="false" ht="15" hidden="false" customHeight="false" outlineLevel="0" collapsed="false">
      <c r="A114" s="45"/>
      <c r="B114" s="37" t="str">
        <f aca="false">IF($A114="","",WEEKNUM($A114,2))</f>
        <v/>
      </c>
      <c r="C114" s="37" t="str">
        <f aca="false">IF($A114="","",CHOOSE(WEEKDAY($A114,2),"Seg","Ter","Qua","Qui","Sex","Sáb","Dom"))</f>
        <v/>
      </c>
      <c r="D114" s="46"/>
      <c r="E114" s="47"/>
      <c r="F114" s="47"/>
      <c r="G114" s="48"/>
      <c r="H114" s="49"/>
      <c r="I114" s="50"/>
      <c r="J114" s="48"/>
      <c r="K114" s="49"/>
      <c r="L114" s="50"/>
      <c r="M114" s="43" t="str">
        <f aca="false">IF(OR($L114="",$F114=""),"",IFERROR($L114/INDEX(Cadastro!$E$6:$E$8,MATCH($F114,Cadastro!$B$6:$B$8,0)),""))</f>
        <v/>
      </c>
      <c r="N114" s="43" t="str">
        <f aca="false">IF(OR($L114="",$I114="",$I114=0),"",$L114/$I114)</f>
        <v/>
      </c>
      <c r="O114" s="51"/>
    </row>
    <row r="115" customFormat="false" ht="15" hidden="false" customHeight="false" outlineLevel="0" collapsed="false">
      <c r="A115" s="45"/>
      <c r="B115" s="37" t="str">
        <f aca="false">IF($A115="","",WEEKNUM($A115,2))</f>
        <v/>
      </c>
      <c r="C115" s="37" t="str">
        <f aca="false">IF($A115="","",CHOOSE(WEEKDAY($A115,2),"Seg","Ter","Qua","Qui","Sex","Sáb","Dom"))</f>
        <v/>
      </c>
      <c r="D115" s="46"/>
      <c r="E115" s="47"/>
      <c r="F115" s="47"/>
      <c r="G115" s="48"/>
      <c r="H115" s="49"/>
      <c r="I115" s="50"/>
      <c r="J115" s="48"/>
      <c r="K115" s="49"/>
      <c r="L115" s="50"/>
      <c r="M115" s="43" t="str">
        <f aca="false">IF(OR($L115="",$F115=""),"",IFERROR($L115/INDEX(Cadastro!$E$6:$E$8,MATCH($F115,Cadastro!$B$6:$B$8,0)),""))</f>
        <v/>
      </c>
      <c r="N115" s="43" t="str">
        <f aca="false">IF(OR($L115="",$I115="",$I115=0),"",$L115/$I115)</f>
        <v/>
      </c>
      <c r="O115" s="51"/>
    </row>
    <row r="116" customFormat="false" ht="15" hidden="false" customHeight="false" outlineLevel="0" collapsed="false">
      <c r="A116" s="45"/>
      <c r="B116" s="37" t="str">
        <f aca="false">IF($A116="","",WEEKNUM($A116,2))</f>
        <v/>
      </c>
      <c r="C116" s="37" t="str">
        <f aca="false">IF($A116="","",CHOOSE(WEEKDAY($A116,2),"Seg","Ter","Qua","Qui","Sex","Sáb","Dom"))</f>
        <v/>
      </c>
      <c r="D116" s="46"/>
      <c r="E116" s="47"/>
      <c r="F116" s="47"/>
      <c r="G116" s="48"/>
      <c r="H116" s="49"/>
      <c r="I116" s="50"/>
      <c r="J116" s="48"/>
      <c r="K116" s="49"/>
      <c r="L116" s="50"/>
      <c r="M116" s="43" t="str">
        <f aca="false">IF(OR($L116="",$F116=""),"",IFERROR($L116/INDEX(Cadastro!$E$6:$E$8,MATCH($F116,Cadastro!$B$6:$B$8,0)),""))</f>
        <v/>
      </c>
      <c r="N116" s="43" t="str">
        <f aca="false">IF(OR($L116="",$I116="",$I116=0),"",$L116/$I116)</f>
        <v/>
      </c>
      <c r="O116" s="51"/>
    </row>
    <row r="117" customFormat="false" ht="15" hidden="false" customHeight="false" outlineLevel="0" collapsed="false">
      <c r="A117" s="45"/>
      <c r="B117" s="37" t="str">
        <f aca="false">IF($A117="","",WEEKNUM($A117,2))</f>
        <v/>
      </c>
      <c r="C117" s="37" t="str">
        <f aca="false">IF($A117="","",CHOOSE(WEEKDAY($A117,2),"Seg","Ter","Qua","Qui","Sex","Sáb","Dom"))</f>
        <v/>
      </c>
      <c r="D117" s="46"/>
      <c r="E117" s="47"/>
      <c r="F117" s="47"/>
      <c r="G117" s="48"/>
      <c r="H117" s="49"/>
      <c r="I117" s="50"/>
      <c r="J117" s="48"/>
      <c r="K117" s="49"/>
      <c r="L117" s="50"/>
      <c r="M117" s="43" t="str">
        <f aca="false">IF(OR($L117="",$F117=""),"",IFERROR($L117/INDEX(Cadastro!$E$6:$E$8,MATCH($F117,Cadastro!$B$6:$B$8,0)),""))</f>
        <v/>
      </c>
      <c r="N117" s="43" t="str">
        <f aca="false">IF(OR($L117="",$I117="",$I117=0),"",$L117/$I117)</f>
        <v/>
      </c>
      <c r="O117" s="51"/>
    </row>
    <row r="118" customFormat="false" ht="15" hidden="false" customHeight="false" outlineLevel="0" collapsed="false">
      <c r="A118" s="45"/>
      <c r="B118" s="37" t="str">
        <f aca="false">IF($A118="","",WEEKNUM($A118,2))</f>
        <v/>
      </c>
      <c r="C118" s="37" t="str">
        <f aca="false">IF($A118="","",CHOOSE(WEEKDAY($A118,2),"Seg","Ter","Qua","Qui","Sex","Sáb","Dom"))</f>
        <v/>
      </c>
      <c r="D118" s="46"/>
      <c r="E118" s="47"/>
      <c r="F118" s="47"/>
      <c r="G118" s="48"/>
      <c r="H118" s="49"/>
      <c r="I118" s="50"/>
      <c r="J118" s="48"/>
      <c r="K118" s="49"/>
      <c r="L118" s="50"/>
      <c r="M118" s="43" t="str">
        <f aca="false">IF(OR($L118="",$F118=""),"",IFERROR($L118/INDEX(Cadastro!$E$6:$E$8,MATCH($F118,Cadastro!$B$6:$B$8,0)),""))</f>
        <v/>
      </c>
      <c r="N118" s="43" t="str">
        <f aca="false">IF(OR($L118="",$I118="",$I118=0),"",$L118/$I118)</f>
        <v/>
      </c>
      <c r="O118" s="51"/>
    </row>
    <row r="119" customFormat="false" ht="15" hidden="false" customHeight="false" outlineLevel="0" collapsed="false">
      <c r="A119" s="45"/>
      <c r="B119" s="37" t="str">
        <f aca="false">IF($A119="","",WEEKNUM($A119,2))</f>
        <v/>
      </c>
      <c r="C119" s="37" t="str">
        <f aca="false">IF($A119="","",CHOOSE(WEEKDAY($A119,2),"Seg","Ter","Qua","Qui","Sex","Sáb","Dom"))</f>
        <v/>
      </c>
      <c r="D119" s="46"/>
      <c r="E119" s="47"/>
      <c r="F119" s="47"/>
      <c r="G119" s="48"/>
      <c r="H119" s="49"/>
      <c r="I119" s="50"/>
      <c r="J119" s="48"/>
      <c r="K119" s="49"/>
      <c r="L119" s="50"/>
      <c r="M119" s="43" t="str">
        <f aca="false">IF(OR($L119="",$F119=""),"",IFERROR($L119/INDEX(Cadastro!$E$6:$E$8,MATCH($F119,Cadastro!$B$6:$B$8,0)),""))</f>
        <v/>
      </c>
      <c r="N119" s="43" t="str">
        <f aca="false">IF(OR($L119="",$I119="",$I119=0),"",$L119/$I119)</f>
        <v/>
      </c>
      <c r="O119" s="51"/>
    </row>
    <row r="120" customFormat="false" ht="15" hidden="false" customHeight="false" outlineLevel="0" collapsed="false">
      <c r="A120" s="45"/>
      <c r="B120" s="37" t="str">
        <f aca="false">IF($A120="","",WEEKNUM($A120,2))</f>
        <v/>
      </c>
      <c r="C120" s="37" t="str">
        <f aca="false">IF($A120="","",CHOOSE(WEEKDAY($A120,2),"Seg","Ter","Qua","Qui","Sex","Sáb","Dom"))</f>
        <v/>
      </c>
      <c r="D120" s="46"/>
      <c r="E120" s="47"/>
      <c r="F120" s="47"/>
      <c r="G120" s="48"/>
      <c r="H120" s="49"/>
      <c r="I120" s="50"/>
      <c r="J120" s="48"/>
      <c r="K120" s="49"/>
      <c r="L120" s="50"/>
      <c r="M120" s="43" t="str">
        <f aca="false">IF(OR($L120="",$F120=""),"",IFERROR($L120/INDEX(Cadastro!$E$6:$E$8,MATCH($F120,Cadastro!$B$6:$B$8,0)),""))</f>
        <v/>
      </c>
      <c r="N120" s="43" t="str">
        <f aca="false">IF(OR($L120="",$I120="",$I120=0),"",$L120/$I120)</f>
        <v/>
      </c>
      <c r="O120" s="51"/>
    </row>
    <row r="121" customFormat="false" ht="15" hidden="false" customHeight="false" outlineLevel="0" collapsed="false">
      <c r="A121" s="45"/>
      <c r="B121" s="37" t="str">
        <f aca="false">IF($A121="","",WEEKNUM($A121,2))</f>
        <v/>
      </c>
      <c r="C121" s="37" t="str">
        <f aca="false">IF($A121="","",CHOOSE(WEEKDAY($A121,2),"Seg","Ter","Qua","Qui","Sex","Sáb","Dom"))</f>
        <v/>
      </c>
      <c r="D121" s="46"/>
      <c r="E121" s="47"/>
      <c r="F121" s="47"/>
      <c r="G121" s="48"/>
      <c r="H121" s="49"/>
      <c r="I121" s="50"/>
      <c r="J121" s="48"/>
      <c r="K121" s="49"/>
      <c r="L121" s="50"/>
      <c r="M121" s="43" t="str">
        <f aca="false">IF(OR($L121="",$F121=""),"",IFERROR($L121/INDEX(Cadastro!$E$6:$E$8,MATCH($F121,Cadastro!$B$6:$B$8,0)),""))</f>
        <v/>
      </c>
      <c r="N121" s="43" t="str">
        <f aca="false">IF(OR($L121="",$I121="",$I121=0),"",$L121/$I121)</f>
        <v/>
      </c>
      <c r="O121" s="51"/>
    </row>
    <row r="122" customFormat="false" ht="15" hidden="false" customHeight="false" outlineLevel="0" collapsed="false">
      <c r="A122" s="45"/>
      <c r="B122" s="37" t="str">
        <f aca="false">IF($A122="","",WEEKNUM($A122,2))</f>
        <v/>
      </c>
      <c r="C122" s="37" t="str">
        <f aca="false">IF($A122="","",CHOOSE(WEEKDAY($A122,2),"Seg","Ter","Qua","Qui","Sex","Sáb","Dom"))</f>
        <v/>
      </c>
      <c r="D122" s="46"/>
      <c r="E122" s="47"/>
      <c r="F122" s="47"/>
      <c r="G122" s="48"/>
      <c r="H122" s="49"/>
      <c r="I122" s="50"/>
      <c r="J122" s="48"/>
      <c r="K122" s="49"/>
      <c r="L122" s="50"/>
      <c r="M122" s="43" t="str">
        <f aca="false">IF(OR($L122="",$F122=""),"",IFERROR($L122/INDEX(Cadastro!$E$6:$E$8,MATCH($F122,Cadastro!$B$6:$B$8,0)),""))</f>
        <v/>
      </c>
      <c r="N122" s="43" t="str">
        <f aca="false">IF(OR($L122="",$I122="",$I122=0),"",$L122/$I122)</f>
        <v/>
      </c>
      <c r="O122" s="51"/>
    </row>
    <row r="123" customFormat="false" ht="15" hidden="false" customHeight="false" outlineLevel="0" collapsed="false">
      <c r="A123" s="45"/>
      <c r="B123" s="37" t="str">
        <f aca="false">IF($A123="","",WEEKNUM($A123,2))</f>
        <v/>
      </c>
      <c r="C123" s="37" t="str">
        <f aca="false">IF($A123="","",CHOOSE(WEEKDAY($A123,2),"Seg","Ter","Qua","Qui","Sex","Sáb","Dom"))</f>
        <v/>
      </c>
      <c r="D123" s="46"/>
      <c r="E123" s="47"/>
      <c r="F123" s="47"/>
      <c r="G123" s="48"/>
      <c r="H123" s="49"/>
      <c r="I123" s="50"/>
      <c r="J123" s="48"/>
      <c r="K123" s="49"/>
      <c r="L123" s="50"/>
      <c r="M123" s="43" t="str">
        <f aca="false">IF(OR($L123="",$F123=""),"",IFERROR($L123/INDEX(Cadastro!$E$6:$E$8,MATCH($F123,Cadastro!$B$6:$B$8,0)),""))</f>
        <v/>
      </c>
      <c r="N123" s="43" t="str">
        <f aca="false">IF(OR($L123="",$I123="",$I123=0),"",$L123/$I123)</f>
        <v/>
      </c>
      <c r="O123" s="51"/>
    </row>
    <row r="124" customFormat="false" ht="15" hidden="false" customHeight="false" outlineLevel="0" collapsed="false">
      <c r="A124" s="45"/>
      <c r="B124" s="37" t="str">
        <f aca="false">IF($A124="","",WEEKNUM($A124,2))</f>
        <v/>
      </c>
      <c r="C124" s="37" t="str">
        <f aca="false">IF($A124="","",CHOOSE(WEEKDAY($A124,2),"Seg","Ter","Qua","Qui","Sex","Sáb","Dom"))</f>
        <v/>
      </c>
      <c r="D124" s="46"/>
      <c r="E124" s="47"/>
      <c r="F124" s="47"/>
      <c r="G124" s="48"/>
      <c r="H124" s="49"/>
      <c r="I124" s="50"/>
      <c r="J124" s="48"/>
      <c r="K124" s="49"/>
      <c r="L124" s="50"/>
      <c r="M124" s="43" t="str">
        <f aca="false">IF(OR($L124="",$F124=""),"",IFERROR($L124/INDEX(Cadastro!$E$6:$E$8,MATCH($F124,Cadastro!$B$6:$B$8,0)),""))</f>
        <v/>
      </c>
      <c r="N124" s="43" t="str">
        <f aca="false">IF(OR($L124="",$I124="",$I124=0),"",$L124/$I124)</f>
        <v/>
      </c>
      <c r="O124" s="51"/>
    </row>
    <row r="125" customFormat="false" ht="15" hidden="false" customHeight="false" outlineLevel="0" collapsed="false">
      <c r="A125" s="45"/>
      <c r="B125" s="37" t="str">
        <f aca="false">IF($A125="","",WEEKNUM($A125,2))</f>
        <v/>
      </c>
      <c r="C125" s="37" t="str">
        <f aca="false">IF($A125="","",CHOOSE(WEEKDAY($A125,2),"Seg","Ter","Qua","Qui","Sex","Sáb","Dom"))</f>
        <v/>
      </c>
      <c r="D125" s="46"/>
      <c r="E125" s="47"/>
      <c r="F125" s="47"/>
      <c r="G125" s="48"/>
      <c r="H125" s="49"/>
      <c r="I125" s="50"/>
      <c r="J125" s="48"/>
      <c r="K125" s="49"/>
      <c r="L125" s="50"/>
      <c r="M125" s="43" t="str">
        <f aca="false">IF(OR($L125="",$F125=""),"",IFERROR($L125/INDEX(Cadastro!$E$6:$E$8,MATCH($F125,Cadastro!$B$6:$B$8,0)),""))</f>
        <v/>
      </c>
      <c r="N125" s="43" t="str">
        <f aca="false">IF(OR($L125="",$I125="",$I125=0),"",$L125/$I125)</f>
        <v/>
      </c>
      <c r="O125" s="51"/>
    </row>
    <row r="126" customFormat="false" ht="15" hidden="false" customHeight="false" outlineLevel="0" collapsed="false">
      <c r="A126" s="45"/>
      <c r="B126" s="37" t="str">
        <f aca="false">IF($A126="","",WEEKNUM($A126,2))</f>
        <v/>
      </c>
      <c r="C126" s="37" t="str">
        <f aca="false">IF($A126="","",CHOOSE(WEEKDAY($A126,2),"Seg","Ter","Qua","Qui","Sex","Sáb","Dom"))</f>
        <v/>
      </c>
      <c r="D126" s="46"/>
      <c r="E126" s="47"/>
      <c r="F126" s="47"/>
      <c r="G126" s="48"/>
      <c r="H126" s="49"/>
      <c r="I126" s="50"/>
      <c r="J126" s="48"/>
      <c r="K126" s="49"/>
      <c r="L126" s="50"/>
      <c r="M126" s="43" t="str">
        <f aca="false">IF(OR($L126="",$F126=""),"",IFERROR($L126/INDEX(Cadastro!$E$6:$E$8,MATCH($F126,Cadastro!$B$6:$B$8,0)),""))</f>
        <v/>
      </c>
      <c r="N126" s="43" t="str">
        <f aca="false">IF(OR($L126="",$I126="",$I126=0),"",$L126/$I126)</f>
        <v/>
      </c>
      <c r="O126" s="51"/>
    </row>
    <row r="127" customFormat="false" ht="15" hidden="false" customHeight="false" outlineLevel="0" collapsed="false">
      <c r="A127" s="45"/>
      <c r="B127" s="37" t="str">
        <f aca="false">IF($A127="","",WEEKNUM($A127,2))</f>
        <v/>
      </c>
      <c r="C127" s="37" t="str">
        <f aca="false">IF($A127="","",CHOOSE(WEEKDAY($A127,2),"Seg","Ter","Qua","Qui","Sex","Sáb","Dom"))</f>
        <v/>
      </c>
      <c r="D127" s="46"/>
      <c r="E127" s="47"/>
      <c r="F127" s="47"/>
      <c r="G127" s="48"/>
      <c r="H127" s="49"/>
      <c r="I127" s="50"/>
      <c r="J127" s="48"/>
      <c r="K127" s="49"/>
      <c r="L127" s="50"/>
      <c r="M127" s="43" t="str">
        <f aca="false">IF(OR($L127="",$F127=""),"",IFERROR($L127/INDEX(Cadastro!$E$6:$E$8,MATCH($F127,Cadastro!$B$6:$B$8,0)),""))</f>
        <v/>
      </c>
      <c r="N127" s="43" t="str">
        <f aca="false">IF(OR($L127="",$I127="",$I127=0),"",$L127/$I127)</f>
        <v/>
      </c>
      <c r="O127" s="51"/>
    </row>
    <row r="128" customFormat="false" ht="15" hidden="false" customHeight="false" outlineLevel="0" collapsed="false">
      <c r="A128" s="45"/>
      <c r="B128" s="37" t="str">
        <f aca="false">IF($A128="","",WEEKNUM($A128,2))</f>
        <v/>
      </c>
      <c r="C128" s="37" t="str">
        <f aca="false">IF($A128="","",CHOOSE(WEEKDAY($A128,2),"Seg","Ter","Qua","Qui","Sex","Sáb","Dom"))</f>
        <v/>
      </c>
      <c r="D128" s="46"/>
      <c r="E128" s="47"/>
      <c r="F128" s="47"/>
      <c r="G128" s="48"/>
      <c r="H128" s="49"/>
      <c r="I128" s="50"/>
      <c r="J128" s="48"/>
      <c r="K128" s="49"/>
      <c r="L128" s="50"/>
      <c r="M128" s="43" t="str">
        <f aca="false">IF(OR($L128="",$F128=""),"",IFERROR($L128/INDEX(Cadastro!$E$6:$E$8,MATCH($F128,Cadastro!$B$6:$B$8,0)),""))</f>
        <v/>
      </c>
      <c r="N128" s="43" t="str">
        <f aca="false">IF(OR($L128="",$I128="",$I128=0),"",$L128/$I128)</f>
        <v/>
      </c>
      <c r="O128" s="51"/>
    </row>
    <row r="129" customFormat="false" ht="15" hidden="false" customHeight="false" outlineLevel="0" collapsed="false">
      <c r="A129" s="45"/>
      <c r="B129" s="37" t="str">
        <f aca="false">IF($A129="","",WEEKNUM($A129,2))</f>
        <v/>
      </c>
      <c r="C129" s="37" t="str">
        <f aca="false">IF($A129="","",CHOOSE(WEEKDAY($A129,2),"Seg","Ter","Qua","Qui","Sex","Sáb","Dom"))</f>
        <v/>
      </c>
      <c r="D129" s="46"/>
      <c r="E129" s="47"/>
      <c r="F129" s="47"/>
      <c r="G129" s="48"/>
      <c r="H129" s="49"/>
      <c r="I129" s="50"/>
      <c r="J129" s="48"/>
      <c r="K129" s="49"/>
      <c r="L129" s="50"/>
      <c r="M129" s="43" t="str">
        <f aca="false">IF(OR($L129="",$F129=""),"",IFERROR($L129/INDEX(Cadastro!$E$6:$E$8,MATCH($F129,Cadastro!$B$6:$B$8,0)),""))</f>
        <v/>
      </c>
      <c r="N129" s="43" t="str">
        <f aca="false">IF(OR($L129="",$I129="",$I129=0),"",$L129/$I129)</f>
        <v/>
      </c>
      <c r="O129" s="51"/>
    </row>
    <row r="130" customFormat="false" ht="15" hidden="false" customHeight="false" outlineLevel="0" collapsed="false">
      <c r="A130" s="45"/>
      <c r="B130" s="37" t="str">
        <f aca="false">IF($A130="","",WEEKNUM($A130,2))</f>
        <v/>
      </c>
      <c r="C130" s="37" t="str">
        <f aca="false">IF($A130="","",CHOOSE(WEEKDAY($A130,2),"Seg","Ter","Qua","Qui","Sex","Sáb","Dom"))</f>
        <v/>
      </c>
      <c r="D130" s="46"/>
      <c r="E130" s="47"/>
      <c r="F130" s="47"/>
      <c r="G130" s="48"/>
      <c r="H130" s="49"/>
      <c r="I130" s="50"/>
      <c r="J130" s="48"/>
      <c r="K130" s="49"/>
      <c r="L130" s="50"/>
      <c r="M130" s="43" t="str">
        <f aca="false">IF(OR($L130="",$F130=""),"",IFERROR($L130/INDEX(Cadastro!$E$6:$E$8,MATCH($F130,Cadastro!$B$6:$B$8,0)),""))</f>
        <v/>
      </c>
      <c r="N130" s="43" t="str">
        <f aca="false">IF(OR($L130="",$I130="",$I130=0),"",$L130/$I130)</f>
        <v/>
      </c>
      <c r="O130" s="51"/>
    </row>
    <row r="131" customFormat="false" ht="15" hidden="false" customHeight="false" outlineLevel="0" collapsed="false">
      <c r="A131" s="45"/>
      <c r="B131" s="37" t="str">
        <f aca="false">IF($A131="","",WEEKNUM($A131,2))</f>
        <v/>
      </c>
      <c r="C131" s="37" t="str">
        <f aca="false">IF($A131="","",CHOOSE(WEEKDAY($A131,2),"Seg","Ter","Qua","Qui","Sex","Sáb","Dom"))</f>
        <v/>
      </c>
      <c r="D131" s="46"/>
      <c r="E131" s="47"/>
      <c r="F131" s="47"/>
      <c r="G131" s="48"/>
      <c r="H131" s="49"/>
      <c r="I131" s="50"/>
      <c r="J131" s="48"/>
      <c r="K131" s="49"/>
      <c r="L131" s="50"/>
      <c r="M131" s="43" t="str">
        <f aca="false">IF(OR($L131="",$F131=""),"",IFERROR($L131/INDEX(Cadastro!$E$6:$E$8,MATCH($F131,Cadastro!$B$6:$B$8,0)),""))</f>
        <v/>
      </c>
      <c r="N131" s="43" t="str">
        <f aca="false">IF(OR($L131="",$I131="",$I131=0),"",$L131/$I131)</f>
        <v/>
      </c>
      <c r="O131" s="51"/>
    </row>
    <row r="132" customFormat="false" ht="15" hidden="false" customHeight="false" outlineLevel="0" collapsed="false">
      <c r="A132" s="45"/>
      <c r="B132" s="37" t="str">
        <f aca="false">IF($A132="","",WEEKNUM($A132,2))</f>
        <v/>
      </c>
      <c r="C132" s="37" t="str">
        <f aca="false">IF($A132="","",CHOOSE(WEEKDAY($A132,2),"Seg","Ter","Qua","Qui","Sex","Sáb","Dom"))</f>
        <v/>
      </c>
      <c r="D132" s="46"/>
      <c r="E132" s="47"/>
      <c r="F132" s="47"/>
      <c r="G132" s="48"/>
      <c r="H132" s="49"/>
      <c r="I132" s="50"/>
      <c r="J132" s="48"/>
      <c r="K132" s="49"/>
      <c r="L132" s="50"/>
      <c r="M132" s="43" t="str">
        <f aca="false">IF(OR($L132="",$F132=""),"",IFERROR($L132/INDEX(Cadastro!$E$6:$E$8,MATCH($F132,Cadastro!$B$6:$B$8,0)),""))</f>
        <v/>
      </c>
      <c r="N132" s="43" t="str">
        <f aca="false">IF(OR($L132="",$I132="",$I132=0),"",$L132/$I132)</f>
        <v/>
      </c>
      <c r="O132" s="51"/>
    </row>
    <row r="133" customFormat="false" ht="15" hidden="false" customHeight="false" outlineLevel="0" collapsed="false">
      <c r="A133" s="45"/>
      <c r="B133" s="37" t="str">
        <f aca="false">IF($A133="","",WEEKNUM($A133,2))</f>
        <v/>
      </c>
      <c r="C133" s="37" t="str">
        <f aca="false">IF($A133="","",CHOOSE(WEEKDAY($A133,2),"Seg","Ter","Qua","Qui","Sex","Sáb","Dom"))</f>
        <v/>
      </c>
      <c r="D133" s="46"/>
      <c r="E133" s="47"/>
      <c r="F133" s="47"/>
      <c r="G133" s="48"/>
      <c r="H133" s="49"/>
      <c r="I133" s="50"/>
      <c r="J133" s="48"/>
      <c r="K133" s="49"/>
      <c r="L133" s="50"/>
      <c r="M133" s="43" t="str">
        <f aca="false">IF(OR($L133="",$F133=""),"",IFERROR($L133/INDEX(Cadastro!$E$6:$E$8,MATCH($F133,Cadastro!$B$6:$B$8,0)),""))</f>
        <v/>
      </c>
      <c r="N133" s="43" t="str">
        <f aca="false">IF(OR($L133="",$I133="",$I133=0),"",$L133/$I133)</f>
        <v/>
      </c>
      <c r="O133" s="51"/>
    </row>
    <row r="134" customFormat="false" ht="15" hidden="false" customHeight="false" outlineLevel="0" collapsed="false">
      <c r="A134" s="45"/>
      <c r="B134" s="37" t="str">
        <f aca="false">IF($A134="","",WEEKNUM($A134,2))</f>
        <v/>
      </c>
      <c r="C134" s="37" t="str">
        <f aca="false">IF($A134="","",CHOOSE(WEEKDAY($A134,2),"Seg","Ter","Qua","Qui","Sex","Sáb","Dom"))</f>
        <v/>
      </c>
      <c r="D134" s="46"/>
      <c r="E134" s="47"/>
      <c r="F134" s="47"/>
      <c r="G134" s="48"/>
      <c r="H134" s="49"/>
      <c r="I134" s="50"/>
      <c r="J134" s="48"/>
      <c r="K134" s="49"/>
      <c r="L134" s="50"/>
      <c r="M134" s="43" t="str">
        <f aca="false">IF(OR($L134="",$F134=""),"",IFERROR($L134/INDEX(Cadastro!$E$6:$E$8,MATCH($F134,Cadastro!$B$6:$B$8,0)),""))</f>
        <v/>
      </c>
      <c r="N134" s="43" t="str">
        <f aca="false">IF(OR($L134="",$I134="",$I134=0),"",$L134/$I134)</f>
        <v/>
      </c>
      <c r="O134" s="51"/>
    </row>
    <row r="135" customFormat="false" ht="15" hidden="false" customHeight="false" outlineLevel="0" collapsed="false">
      <c r="A135" s="45"/>
      <c r="B135" s="37" t="str">
        <f aca="false">IF($A135="","",WEEKNUM($A135,2))</f>
        <v/>
      </c>
      <c r="C135" s="37" t="str">
        <f aca="false">IF($A135="","",CHOOSE(WEEKDAY($A135,2),"Seg","Ter","Qua","Qui","Sex","Sáb","Dom"))</f>
        <v/>
      </c>
      <c r="D135" s="46"/>
      <c r="E135" s="47"/>
      <c r="F135" s="47"/>
      <c r="G135" s="48"/>
      <c r="H135" s="49"/>
      <c r="I135" s="50"/>
      <c r="J135" s="48"/>
      <c r="K135" s="49"/>
      <c r="L135" s="50"/>
      <c r="M135" s="43" t="str">
        <f aca="false">IF(OR($L135="",$F135=""),"",IFERROR($L135/INDEX(Cadastro!$E$6:$E$8,MATCH($F135,Cadastro!$B$6:$B$8,0)),""))</f>
        <v/>
      </c>
      <c r="N135" s="43" t="str">
        <f aca="false">IF(OR($L135="",$I135="",$I135=0),"",$L135/$I135)</f>
        <v/>
      </c>
      <c r="O135" s="51"/>
    </row>
    <row r="136" customFormat="false" ht="15" hidden="false" customHeight="false" outlineLevel="0" collapsed="false">
      <c r="A136" s="45"/>
      <c r="B136" s="37" t="str">
        <f aca="false">IF($A136="","",WEEKNUM($A136,2))</f>
        <v/>
      </c>
      <c r="C136" s="37" t="str">
        <f aca="false">IF($A136="","",CHOOSE(WEEKDAY($A136,2),"Seg","Ter","Qua","Qui","Sex","Sáb","Dom"))</f>
        <v/>
      </c>
      <c r="D136" s="46"/>
      <c r="E136" s="47"/>
      <c r="F136" s="47"/>
      <c r="G136" s="48"/>
      <c r="H136" s="49"/>
      <c r="I136" s="50"/>
      <c r="J136" s="48"/>
      <c r="K136" s="49"/>
      <c r="L136" s="50"/>
      <c r="M136" s="43" t="str">
        <f aca="false">IF(OR($L136="",$F136=""),"",IFERROR($L136/INDEX(Cadastro!$E$6:$E$8,MATCH($F136,Cadastro!$B$6:$B$8,0)),""))</f>
        <v/>
      </c>
      <c r="N136" s="43" t="str">
        <f aca="false">IF(OR($L136="",$I136="",$I136=0),"",$L136/$I136)</f>
        <v/>
      </c>
      <c r="O136" s="51"/>
    </row>
    <row r="137" customFormat="false" ht="15" hidden="false" customHeight="false" outlineLevel="0" collapsed="false">
      <c r="A137" s="45"/>
      <c r="B137" s="37" t="str">
        <f aca="false">IF($A137="","",WEEKNUM($A137,2))</f>
        <v/>
      </c>
      <c r="C137" s="37" t="str">
        <f aca="false">IF($A137="","",CHOOSE(WEEKDAY($A137,2),"Seg","Ter","Qua","Qui","Sex","Sáb","Dom"))</f>
        <v/>
      </c>
      <c r="D137" s="46"/>
      <c r="E137" s="47"/>
      <c r="F137" s="47"/>
      <c r="G137" s="48"/>
      <c r="H137" s="49"/>
      <c r="I137" s="50"/>
      <c r="J137" s="48"/>
      <c r="K137" s="49"/>
      <c r="L137" s="50"/>
      <c r="M137" s="43" t="str">
        <f aca="false">IF(OR($L137="",$F137=""),"",IFERROR($L137/INDEX(Cadastro!$E$6:$E$8,MATCH($F137,Cadastro!$B$6:$B$8,0)),""))</f>
        <v/>
      </c>
      <c r="N137" s="43" t="str">
        <f aca="false">IF(OR($L137="",$I137="",$I137=0),"",$L137/$I137)</f>
        <v/>
      </c>
      <c r="O137" s="51"/>
    </row>
    <row r="138" customFormat="false" ht="15" hidden="false" customHeight="false" outlineLevel="0" collapsed="false">
      <c r="A138" s="45"/>
      <c r="B138" s="37" t="str">
        <f aca="false">IF($A138="","",WEEKNUM($A138,2))</f>
        <v/>
      </c>
      <c r="C138" s="37" t="str">
        <f aca="false">IF($A138="","",CHOOSE(WEEKDAY($A138,2),"Seg","Ter","Qua","Qui","Sex","Sáb","Dom"))</f>
        <v/>
      </c>
      <c r="D138" s="46"/>
      <c r="E138" s="47"/>
      <c r="F138" s="47"/>
      <c r="G138" s="48"/>
      <c r="H138" s="49"/>
      <c r="I138" s="50"/>
      <c r="J138" s="48"/>
      <c r="K138" s="49"/>
      <c r="L138" s="50"/>
      <c r="M138" s="43" t="str">
        <f aca="false">IF(OR($L138="",$F138=""),"",IFERROR($L138/INDEX(Cadastro!$E$6:$E$8,MATCH($F138,Cadastro!$B$6:$B$8,0)),""))</f>
        <v/>
      </c>
      <c r="N138" s="43" t="str">
        <f aca="false">IF(OR($L138="",$I138="",$I138=0),"",$L138/$I138)</f>
        <v/>
      </c>
      <c r="O138" s="51"/>
    </row>
    <row r="139" customFormat="false" ht="15" hidden="false" customHeight="false" outlineLevel="0" collapsed="false">
      <c r="A139" s="45"/>
      <c r="B139" s="37" t="str">
        <f aca="false">IF($A139="","",WEEKNUM($A139,2))</f>
        <v/>
      </c>
      <c r="C139" s="37" t="str">
        <f aca="false">IF($A139="","",CHOOSE(WEEKDAY($A139,2),"Seg","Ter","Qua","Qui","Sex","Sáb","Dom"))</f>
        <v/>
      </c>
      <c r="D139" s="46"/>
      <c r="E139" s="47"/>
      <c r="F139" s="47"/>
      <c r="G139" s="48"/>
      <c r="H139" s="49"/>
      <c r="I139" s="50"/>
      <c r="J139" s="48"/>
      <c r="K139" s="49"/>
      <c r="L139" s="50"/>
      <c r="M139" s="43" t="str">
        <f aca="false">IF(OR($L139="",$F139=""),"",IFERROR($L139/INDEX(Cadastro!$E$6:$E$8,MATCH($F139,Cadastro!$B$6:$B$8,0)),""))</f>
        <v/>
      </c>
      <c r="N139" s="43" t="str">
        <f aca="false">IF(OR($L139="",$I139="",$I139=0),"",$L139/$I139)</f>
        <v/>
      </c>
      <c r="O139" s="51"/>
    </row>
    <row r="140" customFormat="false" ht="15" hidden="false" customHeight="false" outlineLevel="0" collapsed="false">
      <c r="A140" s="45"/>
      <c r="B140" s="37" t="str">
        <f aca="false">IF($A140="","",WEEKNUM($A140,2))</f>
        <v/>
      </c>
      <c r="C140" s="37" t="str">
        <f aca="false">IF($A140="","",CHOOSE(WEEKDAY($A140,2),"Seg","Ter","Qua","Qui","Sex","Sáb","Dom"))</f>
        <v/>
      </c>
      <c r="D140" s="46"/>
      <c r="E140" s="47"/>
      <c r="F140" s="47"/>
      <c r="G140" s="48"/>
      <c r="H140" s="49"/>
      <c r="I140" s="50"/>
      <c r="J140" s="48"/>
      <c r="K140" s="49"/>
      <c r="L140" s="50"/>
      <c r="M140" s="43" t="str">
        <f aca="false">IF(OR($L140="",$F140=""),"",IFERROR($L140/INDEX(Cadastro!$E$6:$E$8,MATCH($F140,Cadastro!$B$6:$B$8,0)),""))</f>
        <v/>
      </c>
      <c r="N140" s="43" t="str">
        <f aca="false">IF(OR($L140="",$I140="",$I140=0),"",$L140/$I140)</f>
        <v/>
      </c>
      <c r="O140" s="51"/>
    </row>
    <row r="141" customFormat="false" ht="15" hidden="false" customHeight="false" outlineLevel="0" collapsed="false">
      <c r="A141" s="45"/>
      <c r="B141" s="37" t="str">
        <f aca="false">IF($A141="","",WEEKNUM($A141,2))</f>
        <v/>
      </c>
      <c r="C141" s="37" t="str">
        <f aca="false">IF($A141="","",CHOOSE(WEEKDAY($A141,2),"Seg","Ter","Qua","Qui","Sex","Sáb","Dom"))</f>
        <v/>
      </c>
      <c r="D141" s="46"/>
      <c r="E141" s="47"/>
      <c r="F141" s="47"/>
      <c r="G141" s="48"/>
      <c r="H141" s="49"/>
      <c r="I141" s="50"/>
      <c r="J141" s="48"/>
      <c r="K141" s="49"/>
      <c r="L141" s="50"/>
      <c r="M141" s="43" t="str">
        <f aca="false">IF(OR($L141="",$F141=""),"",IFERROR($L141/INDEX(Cadastro!$E$6:$E$8,MATCH($F141,Cadastro!$B$6:$B$8,0)),""))</f>
        <v/>
      </c>
      <c r="N141" s="43" t="str">
        <f aca="false">IF(OR($L141="",$I141="",$I141=0),"",$L141/$I141)</f>
        <v/>
      </c>
      <c r="O141" s="51"/>
    </row>
    <row r="142" customFormat="false" ht="15" hidden="false" customHeight="false" outlineLevel="0" collapsed="false">
      <c r="A142" s="45"/>
      <c r="B142" s="37" t="str">
        <f aca="false">IF($A142="","",WEEKNUM($A142,2))</f>
        <v/>
      </c>
      <c r="C142" s="37" t="str">
        <f aca="false">IF($A142="","",CHOOSE(WEEKDAY($A142,2),"Seg","Ter","Qua","Qui","Sex","Sáb","Dom"))</f>
        <v/>
      </c>
      <c r="D142" s="46"/>
      <c r="E142" s="47"/>
      <c r="F142" s="47"/>
      <c r="G142" s="48"/>
      <c r="H142" s="49"/>
      <c r="I142" s="50"/>
      <c r="J142" s="48"/>
      <c r="K142" s="49"/>
      <c r="L142" s="50"/>
      <c r="M142" s="43" t="str">
        <f aca="false">IF(OR($L142="",$F142=""),"",IFERROR($L142/INDEX(Cadastro!$E$6:$E$8,MATCH($F142,Cadastro!$B$6:$B$8,0)),""))</f>
        <v/>
      </c>
      <c r="N142" s="43" t="str">
        <f aca="false">IF(OR($L142="",$I142="",$I142=0),"",$L142/$I142)</f>
        <v/>
      </c>
      <c r="O142" s="51"/>
    </row>
    <row r="143" customFormat="false" ht="15" hidden="false" customHeight="false" outlineLevel="0" collapsed="false">
      <c r="A143" s="45"/>
      <c r="B143" s="37" t="str">
        <f aca="false">IF($A143="","",WEEKNUM($A143,2))</f>
        <v/>
      </c>
      <c r="C143" s="37" t="str">
        <f aca="false">IF($A143="","",CHOOSE(WEEKDAY($A143,2),"Seg","Ter","Qua","Qui","Sex","Sáb","Dom"))</f>
        <v/>
      </c>
      <c r="D143" s="46"/>
      <c r="E143" s="47"/>
      <c r="F143" s="47"/>
      <c r="G143" s="48"/>
      <c r="H143" s="49"/>
      <c r="I143" s="50"/>
      <c r="J143" s="48"/>
      <c r="K143" s="49"/>
      <c r="L143" s="50"/>
      <c r="M143" s="43" t="str">
        <f aca="false">IF(OR($L143="",$F143=""),"",IFERROR($L143/INDEX(Cadastro!$E$6:$E$8,MATCH($F143,Cadastro!$B$6:$B$8,0)),""))</f>
        <v/>
      </c>
      <c r="N143" s="43" t="str">
        <f aca="false">IF(OR($L143="",$I143="",$I143=0),"",$L143/$I143)</f>
        <v/>
      </c>
      <c r="O143" s="51"/>
    </row>
    <row r="144" customFormat="false" ht="15" hidden="false" customHeight="false" outlineLevel="0" collapsed="false">
      <c r="A144" s="45"/>
      <c r="B144" s="37" t="str">
        <f aca="false">IF($A144="","",WEEKNUM($A144,2))</f>
        <v/>
      </c>
      <c r="C144" s="37" t="str">
        <f aca="false">IF($A144="","",CHOOSE(WEEKDAY($A144,2),"Seg","Ter","Qua","Qui","Sex","Sáb","Dom"))</f>
        <v/>
      </c>
      <c r="D144" s="46"/>
      <c r="E144" s="47"/>
      <c r="F144" s="47"/>
      <c r="G144" s="48"/>
      <c r="H144" s="49"/>
      <c r="I144" s="50"/>
      <c r="J144" s="48"/>
      <c r="K144" s="49"/>
      <c r="L144" s="50"/>
      <c r="M144" s="43" t="str">
        <f aca="false">IF(OR($L144="",$F144=""),"",IFERROR($L144/INDEX(Cadastro!$E$6:$E$8,MATCH($F144,Cadastro!$B$6:$B$8,0)),""))</f>
        <v/>
      </c>
      <c r="N144" s="43" t="str">
        <f aca="false">IF(OR($L144="",$I144="",$I144=0),"",$L144/$I144)</f>
        <v/>
      </c>
      <c r="O144" s="51"/>
    </row>
    <row r="145" customFormat="false" ht="15" hidden="false" customHeight="false" outlineLevel="0" collapsed="false">
      <c r="A145" s="45"/>
      <c r="B145" s="37" t="str">
        <f aca="false">IF($A145="","",WEEKNUM($A145,2))</f>
        <v/>
      </c>
      <c r="C145" s="37" t="str">
        <f aca="false">IF($A145="","",CHOOSE(WEEKDAY($A145,2),"Seg","Ter","Qua","Qui","Sex","Sáb","Dom"))</f>
        <v/>
      </c>
      <c r="D145" s="46"/>
      <c r="E145" s="47"/>
      <c r="F145" s="47"/>
      <c r="G145" s="48"/>
      <c r="H145" s="49"/>
      <c r="I145" s="50"/>
      <c r="J145" s="48"/>
      <c r="K145" s="49"/>
      <c r="L145" s="50"/>
      <c r="M145" s="43" t="str">
        <f aca="false">IF(OR($L145="",$F145=""),"",IFERROR($L145/INDEX(Cadastro!$E$6:$E$8,MATCH($F145,Cadastro!$B$6:$B$8,0)),""))</f>
        <v/>
      </c>
      <c r="N145" s="43" t="str">
        <f aca="false">IF(OR($L145="",$I145="",$I145=0),"",$L145/$I145)</f>
        <v/>
      </c>
      <c r="O145" s="51"/>
    </row>
    <row r="146" customFormat="false" ht="15" hidden="false" customHeight="false" outlineLevel="0" collapsed="false">
      <c r="A146" s="45"/>
      <c r="B146" s="37" t="str">
        <f aca="false">IF($A146="","",WEEKNUM($A146,2))</f>
        <v/>
      </c>
      <c r="C146" s="37" t="str">
        <f aca="false">IF($A146="","",CHOOSE(WEEKDAY($A146,2),"Seg","Ter","Qua","Qui","Sex","Sáb","Dom"))</f>
        <v/>
      </c>
      <c r="D146" s="46"/>
      <c r="E146" s="47"/>
      <c r="F146" s="47"/>
      <c r="G146" s="48"/>
      <c r="H146" s="49"/>
      <c r="I146" s="50"/>
      <c r="J146" s="48"/>
      <c r="K146" s="49"/>
      <c r="L146" s="50"/>
      <c r="M146" s="43" t="str">
        <f aca="false">IF(OR($L146="",$F146=""),"",IFERROR($L146/INDEX(Cadastro!$E$6:$E$8,MATCH($F146,Cadastro!$B$6:$B$8,0)),""))</f>
        <v/>
      </c>
      <c r="N146" s="43" t="str">
        <f aca="false">IF(OR($L146="",$I146="",$I146=0),"",$L146/$I146)</f>
        <v/>
      </c>
      <c r="O146" s="51"/>
    </row>
    <row r="147" customFormat="false" ht="15" hidden="false" customHeight="false" outlineLevel="0" collapsed="false">
      <c r="A147" s="45"/>
      <c r="B147" s="37" t="str">
        <f aca="false">IF($A147="","",WEEKNUM($A147,2))</f>
        <v/>
      </c>
      <c r="C147" s="37" t="str">
        <f aca="false">IF($A147="","",CHOOSE(WEEKDAY($A147,2),"Seg","Ter","Qua","Qui","Sex","Sáb","Dom"))</f>
        <v/>
      </c>
      <c r="D147" s="46"/>
      <c r="E147" s="47"/>
      <c r="F147" s="47"/>
      <c r="G147" s="48"/>
      <c r="H147" s="49"/>
      <c r="I147" s="50"/>
      <c r="J147" s="48"/>
      <c r="K147" s="49"/>
      <c r="L147" s="50"/>
      <c r="M147" s="43" t="str">
        <f aca="false">IF(OR($L147="",$F147=""),"",IFERROR($L147/INDEX(Cadastro!$E$6:$E$8,MATCH($F147,Cadastro!$B$6:$B$8,0)),""))</f>
        <v/>
      </c>
      <c r="N147" s="43" t="str">
        <f aca="false">IF(OR($L147="",$I147="",$I147=0),"",$L147/$I147)</f>
        <v/>
      </c>
      <c r="O147" s="51"/>
    </row>
    <row r="148" customFormat="false" ht="15" hidden="false" customHeight="false" outlineLevel="0" collapsed="false">
      <c r="A148" s="45"/>
      <c r="B148" s="37" t="str">
        <f aca="false">IF($A148="","",WEEKNUM($A148,2))</f>
        <v/>
      </c>
      <c r="C148" s="37" t="str">
        <f aca="false">IF($A148="","",CHOOSE(WEEKDAY($A148,2),"Seg","Ter","Qua","Qui","Sex","Sáb","Dom"))</f>
        <v/>
      </c>
      <c r="D148" s="46"/>
      <c r="E148" s="47"/>
      <c r="F148" s="47"/>
      <c r="G148" s="48"/>
      <c r="H148" s="49"/>
      <c r="I148" s="50"/>
      <c r="J148" s="48"/>
      <c r="K148" s="49"/>
      <c r="L148" s="50"/>
      <c r="M148" s="43" t="str">
        <f aca="false">IF(OR($L148="",$F148=""),"",IFERROR($L148/INDEX(Cadastro!$E$6:$E$8,MATCH($F148,Cadastro!$B$6:$B$8,0)),""))</f>
        <v/>
      </c>
      <c r="N148" s="43" t="str">
        <f aca="false">IF(OR($L148="",$I148="",$I148=0),"",$L148/$I148)</f>
        <v/>
      </c>
      <c r="O148" s="51"/>
    </row>
    <row r="149" customFormat="false" ht="15" hidden="false" customHeight="false" outlineLevel="0" collapsed="false">
      <c r="A149" s="45"/>
      <c r="B149" s="37" t="str">
        <f aca="false">IF($A149="","",WEEKNUM($A149,2))</f>
        <v/>
      </c>
      <c r="C149" s="37" t="str">
        <f aca="false">IF($A149="","",CHOOSE(WEEKDAY($A149,2),"Seg","Ter","Qua","Qui","Sex","Sáb","Dom"))</f>
        <v/>
      </c>
      <c r="D149" s="46"/>
      <c r="E149" s="47"/>
      <c r="F149" s="47"/>
      <c r="G149" s="48"/>
      <c r="H149" s="49"/>
      <c r="I149" s="50"/>
      <c r="J149" s="48"/>
      <c r="K149" s="49"/>
      <c r="L149" s="50"/>
      <c r="M149" s="43" t="str">
        <f aca="false">IF(OR($L149="",$F149=""),"",IFERROR($L149/INDEX(Cadastro!$E$6:$E$8,MATCH($F149,Cadastro!$B$6:$B$8,0)),""))</f>
        <v/>
      </c>
      <c r="N149" s="43" t="str">
        <f aca="false">IF(OR($L149="",$I149="",$I149=0),"",$L149/$I149)</f>
        <v/>
      </c>
      <c r="O149" s="51"/>
    </row>
    <row r="150" customFormat="false" ht="15" hidden="false" customHeight="false" outlineLevel="0" collapsed="false">
      <c r="A150" s="45"/>
      <c r="B150" s="37" t="str">
        <f aca="false">IF($A150="","",WEEKNUM($A150,2))</f>
        <v/>
      </c>
      <c r="C150" s="37" t="str">
        <f aca="false">IF($A150="","",CHOOSE(WEEKDAY($A150,2),"Seg","Ter","Qua","Qui","Sex","Sáb","Dom"))</f>
        <v/>
      </c>
      <c r="D150" s="46"/>
      <c r="E150" s="47"/>
      <c r="F150" s="47"/>
      <c r="G150" s="48"/>
      <c r="H150" s="49"/>
      <c r="I150" s="50"/>
      <c r="J150" s="48"/>
      <c r="K150" s="49"/>
      <c r="L150" s="50"/>
      <c r="M150" s="43" t="str">
        <f aca="false">IF(OR($L150="",$F150=""),"",IFERROR($L150/INDEX(Cadastro!$E$6:$E$8,MATCH($F150,Cadastro!$B$6:$B$8,0)),""))</f>
        <v/>
      </c>
      <c r="N150" s="43" t="str">
        <f aca="false">IF(OR($L150="",$I150="",$I150=0),"",$L150/$I150)</f>
        <v/>
      </c>
      <c r="O150" s="51"/>
    </row>
    <row r="151" customFormat="false" ht="15" hidden="false" customHeight="false" outlineLevel="0" collapsed="false">
      <c r="A151" s="45"/>
      <c r="B151" s="37" t="str">
        <f aca="false">IF($A151="","",WEEKNUM($A151,2))</f>
        <v/>
      </c>
      <c r="C151" s="37" t="str">
        <f aca="false">IF($A151="","",CHOOSE(WEEKDAY($A151,2),"Seg","Ter","Qua","Qui","Sex","Sáb","Dom"))</f>
        <v/>
      </c>
      <c r="D151" s="46"/>
      <c r="E151" s="47"/>
      <c r="F151" s="47"/>
      <c r="G151" s="48"/>
      <c r="H151" s="49"/>
      <c r="I151" s="50"/>
      <c r="J151" s="48"/>
      <c r="K151" s="49"/>
      <c r="L151" s="50"/>
      <c r="M151" s="43" t="str">
        <f aca="false">IF(OR($L151="",$F151=""),"",IFERROR($L151/INDEX(Cadastro!$E$6:$E$8,MATCH($F151,Cadastro!$B$6:$B$8,0)),""))</f>
        <v/>
      </c>
      <c r="N151" s="43" t="str">
        <f aca="false">IF(OR($L151="",$I151="",$I151=0),"",$L151/$I151)</f>
        <v/>
      </c>
      <c r="O151" s="51"/>
    </row>
    <row r="152" customFormat="false" ht="15" hidden="false" customHeight="false" outlineLevel="0" collapsed="false">
      <c r="A152" s="45"/>
      <c r="B152" s="37" t="str">
        <f aca="false">IF($A152="","",WEEKNUM($A152,2))</f>
        <v/>
      </c>
      <c r="C152" s="37" t="str">
        <f aca="false">IF($A152="","",CHOOSE(WEEKDAY($A152,2),"Seg","Ter","Qua","Qui","Sex","Sáb","Dom"))</f>
        <v/>
      </c>
      <c r="D152" s="46"/>
      <c r="E152" s="47"/>
      <c r="F152" s="47"/>
      <c r="G152" s="48"/>
      <c r="H152" s="49"/>
      <c r="I152" s="50"/>
      <c r="J152" s="48"/>
      <c r="K152" s="49"/>
      <c r="L152" s="50"/>
      <c r="M152" s="43" t="str">
        <f aca="false">IF(OR($L152="",$F152=""),"",IFERROR($L152/INDEX(Cadastro!$E$6:$E$8,MATCH($F152,Cadastro!$B$6:$B$8,0)),""))</f>
        <v/>
      </c>
      <c r="N152" s="43" t="str">
        <f aca="false">IF(OR($L152="",$I152="",$I152=0),"",$L152/$I152)</f>
        <v/>
      </c>
      <c r="O152" s="51"/>
    </row>
    <row r="153" customFormat="false" ht="15" hidden="false" customHeight="false" outlineLevel="0" collapsed="false">
      <c r="A153" s="45"/>
      <c r="B153" s="37" t="str">
        <f aca="false">IF($A153="","",WEEKNUM($A153,2))</f>
        <v/>
      </c>
      <c r="C153" s="37" t="str">
        <f aca="false">IF($A153="","",CHOOSE(WEEKDAY($A153,2),"Seg","Ter","Qua","Qui","Sex","Sáb","Dom"))</f>
        <v/>
      </c>
      <c r="D153" s="46"/>
      <c r="E153" s="47"/>
      <c r="F153" s="47"/>
      <c r="G153" s="48"/>
      <c r="H153" s="49"/>
      <c r="I153" s="50"/>
      <c r="J153" s="48"/>
      <c r="K153" s="49"/>
      <c r="L153" s="50"/>
      <c r="M153" s="43" t="str">
        <f aca="false">IF(OR($L153="",$F153=""),"",IFERROR($L153/INDEX(Cadastro!$E$6:$E$8,MATCH($F153,Cadastro!$B$6:$B$8,0)),""))</f>
        <v/>
      </c>
      <c r="N153" s="43" t="str">
        <f aca="false">IF(OR($L153="",$I153="",$I153=0),"",$L153/$I153)</f>
        <v/>
      </c>
      <c r="O153" s="51"/>
    </row>
    <row r="154" customFormat="false" ht="15" hidden="false" customHeight="false" outlineLevel="0" collapsed="false">
      <c r="A154" s="45"/>
      <c r="B154" s="37" t="str">
        <f aca="false">IF($A154="","",WEEKNUM($A154,2))</f>
        <v/>
      </c>
      <c r="C154" s="37" t="str">
        <f aca="false">IF($A154="","",CHOOSE(WEEKDAY($A154,2),"Seg","Ter","Qua","Qui","Sex","Sáb","Dom"))</f>
        <v/>
      </c>
      <c r="D154" s="46"/>
      <c r="E154" s="47"/>
      <c r="F154" s="47"/>
      <c r="G154" s="48"/>
      <c r="H154" s="49"/>
      <c r="I154" s="50"/>
      <c r="J154" s="48"/>
      <c r="K154" s="49"/>
      <c r="L154" s="50"/>
      <c r="M154" s="43" t="str">
        <f aca="false">IF(OR($L154="",$F154=""),"",IFERROR($L154/INDEX(Cadastro!$E$6:$E$8,MATCH($F154,Cadastro!$B$6:$B$8,0)),""))</f>
        <v/>
      </c>
      <c r="N154" s="43" t="str">
        <f aca="false">IF(OR($L154="",$I154="",$I154=0),"",$L154/$I154)</f>
        <v/>
      </c>
      <c r="O154" s="51"/>
    </row>
    <row r="155" customFormat="false" ht="15" hidden="false" customHeight="false" outlineLevel="0" collapsed="false">
      <c r="A155" s="45"/>
      <c r="B155" s="37" t="str">
        <f aca="false">IF($A155="","",WEEKNUM($A155,2))</f>
        <v/>
      </c>
      <c r="C155" s="37" t="str">
        <f aca="false">IF($A155="","",CHOOSE(WEEKDAY($A155,2),"Seg","Ter","Qua","Qui","Sex","Sáb","Dom"))</f>
        <v/>
      </c>
      <c r="D155" s="46"/>
      <c r="E155" s="47"/>
      <c r="F155" s="47"/>
      <c r="G155" s="48"/>
      <c r="H155" s="49"/>
      <c r="I155" s="50"/>
      <c r="J155" s="48"/>
      <c r="K155" s="49"/>
      <c r="L155" s="50"/>
      <c r="M155" s="43" t="str">
        <f aca="false">IF(OR($L155="",$F155=""),"",IFERROR($L155/INDEX(Cadastro!$E$6:$E$8,MATCH($F155,Cadastro!$B$6:$B$8,0)),""))</f>
        <v/>
      </c>
      <c r="N155" s="43" t="str">
        <f aca="false">IF(OR($L155="",$I155="",$I155=0),"",$L155/$I155)</f>
        <v/>
      </c>
      <c r="O155" s="51"/>
    </row>
    <row r="156" customFormat="false" ht="15" hidden="false" customHeight="false" outlineLevel="0" collapsed="false">
      <c r="A156" s="45"/>
      <c r="B156" s="37" t="str">
        <f aca="false">IF($A156="","",WEEKNUM($A156,2))</f>
        <v/>
      </c>
      <c r="C156" s="37" t="str">
        <f aca="false">IF($A156="","",CHOOSE(WEEKDAY($A156,2),"Seg","Ter","Qua","Qui","Sex","Sáb","Dom"))</f>
        <v/>
      </c>
      <c r="D156" s="46"/>
      <c r="E156" s="47"/>
      <c r="F156" s="47"/>
      <c r="G156" s="48"/>
      <c r="H156" s="49"/>
      <c r="I156" s="50"/>
      <c r="J156" s="48"/>
      <c r="K156" s="49"/>
      <c r="L156" s="50"/>
      <c r="M156" s="43" t="str">
        <f aca="false">IF(OR($L156="",$F156=""),"",IFERROR($L156/INDEX(Cadastro!$E$6:$E$8,MATCH($F156,Cadastro!$B$6:$B$8,0)),""))</f>
        <v/>
      </c>
      <c r="N156" s="43" t="str">
        <f aca="false">IF(OR($L156="",$I156="",$I156=0),"",$L156/$I156)</f>
        <v/>
      </c>
      <c r="O156" s="51"/>
    </row>
    <row r="157" customFormat="false" ht="15" hidden="false" customHeight="false" outlineLevel="0" collapsed="false">
      <c r="A157" s="45"/>
      <c r="B157" s="37" t="str">
        <f aca="false">IF($A157="","",WEEKNUM($A157,2))</f>
        <v/>
      </c>
      <c r="C157" s="37" t="str">
        <f aca="false">IF($A157="","",CHOOSE(WEEKDAY($A157,2),"Seg","Ter","Qua","Qui","Sex","Sáb","Dom"))</f>
        <v/>
      </c>
      <c r="D157" s="46"/>
      <c r="E157" s="47"/>
      <c r="F157" s="47"/>
      <c r="G157" s="48"/>
      <c r="H157" s="49"/>
      <c r="I157" s="50"/>
      <c r="J157" s="48"/>
      <c r="K157" s="49"/>
      <c r="L157" s="50"/>
      <c r="M157" s="43" t="str">
        <f aca="false">IF(OR($L157="",$F157=""),"",IFERROR($L157/INDEX(Cadastro!$E$6:$E$8,MATCH($F157,Cadastro!$B$6:$B$8,0)),""))</f>
        <v/>
      </c>
      <c r="N157" s="43" t="str">
        <f aca="false">IF(OR($L157="",$I157="",$I157=0),"",$L157/$I157)</f>
        <v/>
      </c>
      <c r="O157" s="51"/>
    </row>
    <row r="158" customFormat="false" ht="15" hidden="false" customHeight="false" outlineLevel="0" collapsed="false">
      <c r="A158" s="45"/>
      <c r="B158" s="37" t="str">
        <f aca="false">IF($A158="","",WEEKNUM($A158,2))</f>
        <v/>
      </c>
      <c r="C158" s="37" t="str">
        <f aca="false">IF($A158="","",CHOOSE(WEEKDAY($A158,2),"Seg","Ter","Qua","Qui","Sex","Sáb","Dom"))</f>
        <v/>
      </c>
      <c r="D158" s="46"/>
      <c r="E158" s="47"/>
      <c r="F158" s="47"/>
      <c r="G158" s="48"/>
      <c r="H158" s="49"/>
      <c r="I158" s="50"/>
      <c r="J158" s="48"/>
      <c r="K158" s="49"/>
      <c r="L158" s="50"/>
      <c r="M158" s="43" t="str">
        <f aca="false">IF(OR($L158="",$F158=""),"",IFERROR($L158/INDEX(Cadastro!$E$6:$E$8,MATCH($F158,Cadastro!$B$6:$B$8,0)),""))</f>
        <v/>
      </c>
      <c r="N158" s="43" t="str">
        <f aca="false">IF(OR($L158="",$I158="",$I158=0),"",$L158/$I158)</f>
        <v/>
      </c>
      <c r="O158" s="51"/>
    </row>
    <row r="159" customFormat="false" ht="15" hidden="false" customHeight="false" outlineLevel="0" collapsed="false">
      <c r="A159" s="45"/>
      <c r="B159" s="37" t="str">
        <f aca="false">IF($A159="","",WEEKNUM($A159,2))</f>
        <v/>
      </c>
      <c r="C159" s="37" t="str">
        <f aca="false">IF($A159="","",CHOOSE(WEEKDAY($A159,2),"Seg","Ter","Qua","Qui","Sex","Sáb","Dom"))</f>
        <v/>
      </c>
      <c r="D159" s="46"/>
      <c r="E159" s="47"/>
      <c r="F159" s="47"/>
      <c r="G159" s="48"/>
      <c r="H159" s="49"/>
      <c r="I159" s="50"/>
      <c r="J159" s="48"/>
      <c r="K159" s="49"/>
      <c r="L159" s="50"/>
      <c r="M159" s="43" t="str">
        <f aca="false">IF(OR($L159="",$F159=""),"",IFERROR($L159/INDEX(Cadastro!$E$6:$E$8,MATCH($F159,Cadastro!$B$6:$B$8,0)),""))</f>
        <v/>
      </c>
      <c r="N159" s="43" t="str">
        <f aca="false">IF(OR($L159="",$I159="",$I159=0),"",$L159/$I159)</f>
        <v/>
      </c>
      <c r="O159" s="51"/>
    </row>
    <row r="160" customFormat="false" ht="15" hidden="false" customHeight="false" outlineLevel="0" collapsed="false">
      <c r="A160" s="45"/>
      <c r="B160" s="37" t="str">
        <f aca="false">IF($A160="","",WEEKNUM($A160,2))</f>
        <v/>
      </c>
      <c r="C160" s="37" t="str">
        <f aca="false">IF($A160="","",CHOOSE(WEEKDAY($A160,2),"Seg","Ter","Qua","Qui","Sex","Sáb","Dom"))</f>
        <v/>
      </c>
      <c r="D160" s="46"/>
      <c r="E160" s="47"/>
      <c r="F160" s="47"/>
      <c r="G160" s="48"/>
      <c r="H160" s="49"/>
      <c r="I160" s="50"/>
      <c r="J160" s="48"/>
      <c r="K160" s="49"/>
      <c r="L160" s="50"/>
      <c r="M160" s="43" t="str">
        <f aca="false">IF(OR($L160="",$F160=""),"",IFERROR($L160/INDEX(Cadastro!$E$6:$E$8,MATCH($F160,Cadastro!$B$6:$B$8,0)),""))</f>
        <v/>
      </c>
      <c r="N160" s="43" t="str">
        <f aca="false">IF(OR($L160="",$I160="",$I160=0),"",$L160/$I160)</f>
        <v/>
      </c>
      <c r="O160" s="51"/>
    </row>
    <row r="161" customFormat="false" ht="15" hidden="false" customHeight="false" outlineLevel="0" collapsed="false">
      <c r="A161" s="45"/>
      <c r="B161" s="37" t="str">
        <f aca="false">IF($A161="","",WEEKNUM($A161,2))</f>
        <v/>
      </c>
      <c r="C161" s="37" t="str">
        <f aca="false">IF($A161="","",CHOOSE(WEEKDAY($A161,2),"Seg","Ter","Qua","Qui","Sex","Sáb","Dom"))</f>
        <v/>
      </c>
      <c r="D161" s="46"/>
      <c r="E161" s="47"/>
      <c r="F161" s="47"/>
      <c r="G161" s="48"/>
      <c r="H161" s="49"/>
      <c r="I161" s="50"/>
      <c r="J161" s="48"/>
      <c r="K161" s="49"/>
      <c r="L161" s="50"/>
      <c r="M161" s="43" t="str">
        <f aca="false">IF(OR($L161="",$F161=""),"",IFERROR($L161/INDEX(Cadastro!$E$6:$E$8,MATCH($F161,Cadastro!$B$6:$B$8,0)),""))</f>
        <v/>
      </c>
      <c r="N161" s="43" t="str">
        <f aca="false">IF(OR($L161="",$I161="",$I161=0),"",$L161/$I161)</f>
        <v/>
      </c>
      <c r="O161" s="51"/>
    </row>
    <row r="162" customFormat="false" ht="15" hidden="false" customHeight="false" outlineLevel="0" collapsed="false">
      <c r="A162" s="45"/>
      <c r="B162" s="37" t="str">
        <f aca="false">IF($A162="","",WEEKNUM($A162,2))</f>
        <v/>
      </c>
      <c r="C162" s="37" t="str">
        <f aca="false">IF($A162="","",CHOOSE(WEEKDAY($A162,2),"Seg","Ter","Qua","Qui","Sex","Sáb","Dom"))</f>
        <v/>
      </c>
      <c r="D162" s="46"/>
      <c r="E162" s="47"/>
      <c r="F162" s="47"/>
      <c r="G162" s="48"/>
      <c r="H162" s="49"/>
      <c r="I162" s="50"/>
      <c r="J162" s="48"/>
      <c r="K162" s="49"/>
      <c r="L162" s="50"/>
      <c r="M162" s="43" t="str">
        <f aca="false">IF(OR($L162="",$F162=""),"",IFERROR($L162/INDEX(Cadastro!$E$6:$E$8,MATCH($F162,Cadastro!$B$6:$B$8,0)),""))</f>
        <v/>
      </c>
      <c r="N162" s="43" t="str">
        <f aca="false">IF(OR($L162="",$I162="",$I162=0),"",$L162/$I162)</f>
        <v/>
      </c>
      <c r="O162" s="51"/>
    </row>
    <row r="163" customFormat="false" ht="15" hidden="false" customHeight="false" outlineLevel="0" collapsed="false">
      <c r="A163" s="45"/>
      <c r="B163" s="37" t="str">
        <f aca="false">IF($A163="","",WEEKNUM($A163,2))</f>
        <v/>
      </c>
      <c r="C163" s="37" t="str">
        <f aca="false">IF($A163="","",CHOOSE(WEEKDAY($A163,2),"Seg","Ter","Qua","Qui","Sex","Sáb","Dom"))</f>
        <v/>
      </c>
      <c r="D163" s="46"/>
      <c r="E163" s="47"/>
      <c r="F163" s="47"/>
      <c r="G163" s="48"/>
      <c r="H163" s="49"/>
      <c r="I163" s="50"/>
      <c r="J163" s="48"/>
      <c r="K163" s="49"/>
      <c r="L163" s="50"/>
      <c r="M163" s="43" t="str">
        <f aca="false">IF(OR($L163="",$F163=""),"",IFERROR($L163/INDEX(Cadastro!$E$6:$E$8,MATCH($F163,Cadastro!$B$6:$B$8,0)),""))</f>
        <v/>
      </c>
      <c r="N163" s="43" t="str">
        <f aca="false">IF(OR($L163="",$I163="",$I163=0),"",$L163/$I163)</f>
        <v/>
      </c>
      <c r="O163" s="51"/>
    </row>
    <row r="164" customFormat="false" ht="15" hidden="false" customHeight="false" outlineLevel="0" collapsed="false">
      <c r="A164" s="45"/>
      <c r="B164" s="37" t="str">
        <f aca="false">IF($A164="","",WEEKNUM($A164,2))</f>
        <v/>
      </c>
      <c r="C164" s="37" t="str">
        <f aca="false">IF($A164="","",CHOOSE(WEEKDAY($A164,2),"Seg","Ter","Qua","Qui","Sex","Sáb","Dom"))</f>
        <v/>
      </c>
      <c r="D164" s="46"/>
      <c r="E164" s="47"/>
      <c r="F164" s="47"/>
      <c r="G164" s="48"/>
      <c r="H164" s="49"/>
      <c r="I164" s="50"/>
      <c r="J164" s="48"/>
      <c r="K164" s="49"/>
      <c r="L164" s="50"/>
      <c r="M164" s="43" t="str">
        <f aca="false">IF(OR($L164="",$F164=""),"",IFERROR($L164/INDEX(Cadastro!$E$6:$E$8,MATCH($F164,Cadastro!$B$6:$B$8,0)),""))</f>
        <v/>
      </c>
      <c r="N164" s="43" t="str">
        <f aca="false">IF(OR($L164="",$I164="",$I164=0),"",$L164/$I164)</f>
        <v/>
      </c>
      <c r="O164" s="51"/>
    </row>
    <row r="165" customFormat="false" ht="15" hidden="false" customHeight="false" outlineLevel="0" collapsed="false">
      <c r="A165" s="45"/>
      <c r="B165" s="37" t="str">
        <f aca="false">IF($A165="","",WEEKNUM($A165,2))</f>
        <v/>
      </c>
      <c r="C165" s="37" t="str">
        <f aca="false">IF($A165="","",CHOOSE(WEEKDAY($A165,2),"Seg","Ter","Qua","Qui","Sex","Sáb","Dom"))</f>
        <v/>
      </c>
      <c r="D165" s="46"/>
      <c r="E165" s="47"/>
      <c r="F165" s="47"/>
      <c r="G165" s="48"/>
      <c r="H165" s="49"/>
      <c r="I165" s="50"/>
      <c r="J165" s="48"/>
      <c r="K165" s="49"/>
      <c r="L165" s="50"/>
      <c r="M165" s="43" t="str">
        <f aca="false">IF(OR($L165="",$F165=""),"",IFERROR($L165/INDEX(Cadastro!$E$6:$E$8,MATCH($F165,Cadastro!$B$6:$B$8,0)),""))</f>
        <v/>
      </c>
      <c r="N165" s="43" t="str">
        <f aca="false">IF(OR($L165="",$I165="",$I165=0),"",$L165/$I165)</f>
        <v/>
      </c>
      <c r="O165" s="51"/>
    </row>
    <row r="166" customFormat="false" ht="15" hidden="false" customHeight="false" outlineLevel="0" collapsed="false">
      <c r="A166" s="45"/>
      <c r="B166" s="37" t="str">
        <f aca="false">IF($A166="","",WEEKNUM($A166,2))</f>
        <v/>
      </c>
      <c r="C166" s="37" t="str">
        <f aca="false">IF($A166="","",CHOOSE(WEEKDAY($A166,2),"Seg","Ter","Qua","Qui","Sex","Sáb","Dom"))</f>
        <v/>
      </c>
      <c r="D166" s="46"/>
      <c r="E166" s="47"/>
      <c r="F166" s="47"/>
      <c r="G166" s="48"/>
      <c r="H166" s="49"/>
      <c r="I166" s="50"/>
      <c r="J166" s="48"/>
      <c r="K166" s="49"/>
      <c r="L166" s="50"/>
      <c r="M166" s="43" t="str">
        <f aca="false">IF(OR($L166="",$F166=""),"",IFERROR($L166/INDEX(Cadastro!$E$6:$E$8,MATCH($F166,Cadastro!$B$6:$B$8,0)),""))</f>
        <v/>
      </c>
      <c r="N166" s="43" t="str">
        <f aca="false">IF(OR($L166="",$I166="",$I166=0),"",$L166/$I166)</f>
        <v/>
      </c>
      <c r="O166" s="51"/>
    </row>
    <row r="167" customFormat="false" ht="15" hidden="false" customHeight="false" outlineLevel="0" collapsed="false">
      <c r="A167" s="45"/>
      <c r="B167" s="37" t="str">
        <f aca="false">IF($A167="","",WEEKNUM($A167,2))</f>
        <v/>
      </c>
      <c r="C167" s="37" t="str">
        <f aca="false">IF($A167="","",CHOOSE(WEEKDAY($A167,2),"Seg","Ter","Qua","Qui","Sex","Sáb","Dom"))</f>
        <v/>
      </c>
      <c r="D167" s="46"/>
      <c r="E167" s="47"/>
      <c r="F167" s="47"/>
      <c r="G167" s="48"/>
      <c r="H167" s="49"/>
      <c r="I167" s="50"/>
      <c r="J167" s="48"/>
      <c r="K167" s="49"/>
      <c r="L167" s="50"/>
      <c r="M167" s="43" t="str">
        <f aca="false">IF(OR($L167="",$F167=""),"",IFERROR($L167/INDEX(Cadastro!$E$6:$E$8,MATCH($F167,Cadastro!$B$6:$B$8,0)),""))</f>
        <v/>
      </c>
      <c r="N167" s="43" t="str">
        <f aca="false">IF(OR($L167="",$I167="",$I167=0),"",$L167/$I167)</f>
        <v/>
      </c>
      <c r="O167" s="51"/>
    </row>
    <row r="168" customFormat="false" ht="15" hidden="false" customHeight="false" outlineLevel="0" collapsed="false">
      <c r="A168" s="45"/>
      <c r="B168" s="37" t="str">
        <f aca="false">IF($A168="","",WEEKNUM($A168,2))</f>
        <v/>
      </c>
      <c r="C168" s="37" t="str">
        <f aca="false">IF($A168="","",CHOOSE(WEEKDAY($A168,2),"Seg","Ter","Qua","Qui","Sex","Sáb","Dom"))</f>
        <v/>
      </c>
      <c r="D168" s="46"/>
      <c r="E168" s="47"/>
      <c r="F168" s="47"/>
      <c r="G168" s="48"/>
      <c r="H168" s="49"/>
      <c r="I168" s="50"/>
      <c r="J168" s="48"/>
      <c r="K168" s="49"/>
      <c r="L168" s="50"/>
      <c r="M168" s="43" t="str">
        <f aca="false">IF(OR($L168="",$F168=""),"",IFERROR($L168/INDEX(Cadastro!$E$6:$E$8,MATCH($F168,Cadastro!$B$6:$B$8,0)),""))</f>
        <v/>
      </c>
      <c r="N168" s="43" t="str">
        <f aca="false">IF(OR($L168="",$I168="",$I168=0),"",$L168/$I168)</f>
        <v/>
      </c>
      <c r="O168" s="51"/>
    </row>
    <row r="169" customFormat="false" ht="15" hidden="false" customHeight="false" outlineLevel="0" collapsed="false">
      <c r="A169" s="45"/>
      <c r="B169" s="37" t="str">
        <f aca="false">IF($A169="","",WEEKNUM($A169,2))</f>
        <v/>
      </c>
      <c r="C169" s="37" t="str">
        <f aca="false">IF($A169="","",CHOOSE(WEEKDAY($A169,2),"Seg","Ter","Qua","Qui","Sex","Sáb","Dom"))</f>
        <v/>
      </c>
      <c r="D169" s="46"/>
      <c r="E169" s="47"/>
      <c r="F169" s="47"/>
      <c r="G169" s="48"/>
      <c r="H169" s="49"/>
      <c r="I169" s="50"/>
      <c r="J169" s="48"/>
      <c r="K169" s="49"/>
      <c r="L169" s="50"/>
      <c r="M169" s="43" t="str">
        <f aca="false">IF(OR($L169="",$F169=""),"",IFERROR($L169/INDEX(Cadastro!$E$6:$E$8,MATCH($F169,Cadastro!$B$6:$B$8,0)),""))</f>
        <v/>
      </c>
      <c r="N169" s="43" t="str">
        <f aca="false">IF(OR($L169="",$I169="",$I169=0),"",$L169/$I169)</f>
        <v/>
      </c>
      <c r="O169" s="51"/>
    </row>
    <row r="170" customFormat="false" ht="15" hidden="false" customHeight="false" outlineLevel="0" collapsed="false">
      <c r="A170" s="45"/>
      <c r="B170" s="37" t="str">
        <f aca="false">IF($A170="","",WEEKNUM($A170,2))</f>
        <v/>
      </c>
      <c r="C170" s="37" t="str">
        <f aca="false">IF($A170="","",CHOOSE(WEEKDAY($A170,2),"Seg","Ter","Qua","Qui","Sex","Sáb","Dom"))</f>
        <v/>
      </c>
      <c r="D170" s="46"/>
      <c r="E170" s="47"/>
      <c r="F170" s="47"/>
      <c r="G170" s="48"/>
      <c r="H170" s="49"/>
      <c r="I170" s="50"/>
      <c r="J170" s="48"/>
      <c r="K170" s="49"/>
      <c r="L170" s="50"/>
      <c r="M170" s="43" t="str">
        <f aca="false">IF(OR($L170="",$F170=""),"",IFERROR($L170/INDEX(Cadastro!$E$6:$E$8,MATCH($F170,Cadastro!$B$6:$B$8,0)),""))</f>
        <v/>
      </c>
      <c r="N170" s="43" t="str">
        <f aca="false">IF(OR($L170="",$I170="",$I170=0),"",$L170/$I170)</f>
        <v/>
      </c>
      <c r="O170" s="51"/>
    </row>
    <row r="171" customFormat="false" ht="15" hidden="false" customHeight="false" outlineLevel="0" collapsed="false">
      <c r="A171" s="45"/>
      <c r="B171" s="37" t="str">
        <f aca="false">IF($A171="","",WEEKNUM($A171,2))</f>
        <v/>
      </c>
      <c r="C171" s="37" t="str">
        <f aca="false">IF($A171="","",CHOOSE(WEEKDAY($A171,2),"Seg","Ter","Qua","Qui","Sex","Sáb","Dom"))</f>
        <v/>
      </c>
      <c r="D171" s="46"/>
      <c r="E171" s="47"/>
      <c r="F171" s="47"/>
      <c r="G171" s="48"/>
      <c r="H171" s="49"/>
      <c r="I171" s="50"/>
      <c r="J171" s="48"/>
      <c r="K171" s="49"/>
      <c r="L171" s="50"/>
      <c r="M171" s="43" t="str">
        <f aca="false">IF(OR($L171="",$F171=""),"",IFERROR($L171/INDEX(Cadastro!$E$6:$E$8,MATCH($F171,Cadastro!$B$6:$B$8,0)),""))</f>
        <v/>
      </c>
      <c r="N171" s="43" t="str">
        <f aca="false">IF(OR($L171="",$I171="",$I171=0),"",$L171/$I171)</f>
        <v/>
      </c>
      <c r="O171" s="51"/>
    </row>
    <row r="172" customFormat="false" ht="15" hidden="false" customHeight="false" outlineLevel="0" collapsed="false">
      <c r="A172" s="45"/>
      <c r="B172" s="37" t="str">
        <f aca="false">IF($A172="","",WEEKNUM($A172,2))</f>
        <v/>
      </c>
      <c r="C172" s="37" t="str">
        <f aca="false">IF($A172="","",CHOOSE(WEEKDAY($A172,2),"Seg","Ter","Qua","Qui","Sex","Sáb","Dom"))</f>
        <v/>
      </c>
      <c r="D172" s="46"/>
      <c r="E172" s="47"/>
      <c r="F172" s="47"/>
      <c r="G172" s="48"/>
      <c r="H172" s="49"/>
      <c r="I172" s="50"/>
      <c r="J172" s="48"/>
      <c r="K172" s="49"/>
      <c r="L172" s="50"/>
      <c r="M172" s="43" t="str">
        <f aca="false">IF(OR($L172="",$F172=""),"",IFERROR($L172/INDEX(Cadastro!$E$6:$E$8,MATCH($F172,Cadastro!$B$6:$B$8,0)),""))</f>
        <v/>
      </c>
      <c r="N172" s="43" t="str">
        <f aca="false">IF(OR($L172="",$I172="",$I172=0),"",$L172/$I172)</f>
        <v/>
      </c>
      <c r="O172" s="51"/>
    </row>
    <row r="173" customFormat="false" ht="15" hidden="false" customHeight="false" outlineLevel="0" collapsed="false">
      <c r="A173" s="45"/>
      <c r="B173" s="37" t="str">
        <f aca="false">IF($A173="","",WEEKNUM($A173,2))</f>
        <v/>
      </c>
      <c r="C173" s="37" t="str">
        <f aca="false">IF($A173="","",CHOOSE(WEEKDAY($A173,2),"Seg","Ter","Qua","Qui","Sex","Sáb","Dom"))</f>
        <v/>
      </c>
      <c r="D173" s="46"/>
      <c r="E173" s="47"/>
      <c r="F173" s="47"/>
      <c r="G173" s="48"/>
      <c r="H173" s="49"/>
      <c r="I173" s="50"/>
      <c r="J173" s="48"/>
      <c r="K173" s="49"/>
      <c r="L173" s="50"/>
      <c r="M173" s="43" t="str">
        <f aca="false">IF(OR($L173="",$F173=""),"",IFERROR($L173/INDEX(Cadastro!$E$6:$E$8,MATCH($F173,Cadastro!$B$6:$B$8,0)),""))</f>
        <v/>
      </c>
      <c r="N173" s="43" t="str">
        <f aca="false">IF(OR($L173="",$I173="",$I173=0),"",$L173/$I173)</f>
        <v/>
      </c>
      <c r="O173" s="51"/>
    </row>
    <row r="174" customFormat="false" ht="15" hidden="false" customHeight="false" outlineLevel="0" collapsed="false">
      <c r="A174" s="45"/>
      <c r="B174" s="37" t="str">
        <f aca="false">IF($A174="","",WEEKNUM($A174,2))</f>
        <v/>
      </c>
      <c r="C174" s="37" t="str">
        <f aca="false">IF($A174="","",CHOOSE(WEEKDAY($A174,2),"Seg","Ter","Qua","Qui","Sex","Sáb","Dom"))</f>
        <v/>
      </c>
      <c r="D174" s="46"/>
      <c r="E174" s="47"/>
      <c r="F174" s="47"/>
      <c r="G174" s="48"/>
      <c r="H174" s="49"/>
      <c r="I174" s="50"/>
      <c r="J174" s="48"/>
      <c r="K174" s="49"/>
      <c r="L174" s="50"/>
      <c r="M174" s="43" t="str">
        <f aca="false">IF(OR($L174="",$F174=""),"",IFERROR($L174/INDEX(Cadastro!$E$6:$E$8,MATCH($F174,Cadastro!$B$6:$B$8,0)),""))</f>
        <v/>
      </c>
      <c r="N174" s="43" t="str">
        <f aca="false">IF(OR($L174="",$I174="",$I174=0),"",$L174/$I174)</f>
        <v/>
      </c>
      <c r="O174" s="51"/>
    </row>
    <row r="175" customFormat="false" ht="15" hidden="false" customHeight="false" outlineLevel="0" collapsed="false">
      <c r="A175" s="45"/>
      <c r="B175" s="37" t="str">
        <f aca="false">IF($A175="","",WEEKNUM($A175,2))</f>
        <v/>
      </c>
      <c r="C175" s="37" t="str">
        <f aca="false">IF($A175="","",CHOOSE(WEEKDAY($A175,2),"Seg","Ter","Qua","Qui","Sex","Sáb","Dom"))</f>
        <v/>
      </c>
      <c r="D175" s="46"/>
      <c r="E175" s="47"/>
      <c r="F175" s="47"/>
      <c r="G175" s="48"/>
      <c r="H175" s="49"/>
      <c r="I175" s="50"/>
      <c r="J175" s="48"/>
      <c r="K175" s="49"/>
      <c r="L175" s="50"/>
      <c r="M175" s="43" t="str">
        <f aca="false">IF(OR($L175="",$F175=""),"",IFERROR($L175/INDEX(Cadastro!$E$6:$E$8,MATCH($F175,Cadastro!$B$6:$B$8,0)),""))</f>
        <v/>
      </c>
      <c r="N175" s="43" t="str">
        <f aca="false">IF(OR($L175="",$I175="",$I175=0),"",$L175/$I175)</f>
        <v/>
      </c>
      <c r="O175" s="51"/>
    </row>
    <row r="176" customFormat="false" ht="15" hidden="false" customHeight="false" outlineLevel="0" collapsed="false">
      <c r="A176" s="45"/>
      <c r="B176" s="37" t="str">
        <f aca="false">IF($A176="","",WEEKNUM($A176,2))</f>
        <v/>
      </c>
      <c r="C176" s="37" t="str">
        <f aca="false">IF($A176="","",CHOOSE(WEEKDAY($A176,2),"Seg","Ter","Qua","Qui","Sex","Sáb","Dom"))</f>
        <v/>
      </c>
      <c r="D176" s="46"/>
      <c r="E176" s="47"/>
      <c r="F176" s="47"/>
      <c r="G176" s="48"/>
      <c r="H176" s="49"/>
      <c r="I176" s="50"/>
      <c r="J176" s="48"/>
      <c r="K176" s="49"/>
      <c r="L176" s="50"/>
      <c r="M176" s="43" t="str">
        <f aca="false">IF(OR($L176="",$F176=""),"",IFERROR($L176/INDEX(Cadastro!$E$6:$E$8,MATCH($F176,Cadastro!$B$6:$B$8,0)),""))</f>
        <v/>
      </c>
      <c r="N176" s="43" t="str">
        <f aca="false">IF(OR($L176="",$I176="",$I176=0),"",$L176/$I176)</f>
        <v/>
      </c>
      <c r="O176" s="51"/>
    </row>
    <row r="177" customFormat="false" ht="15" hidden="false" customHeight="false" outlineLevel="0" collapsed="false">
      <c r="A177" s="45"/>
      <c r="B177" s="37" t="str">
        <f aca="false">IF($A177="","",WEEKNUM($A177,2))</f>
        <v/>
      </c>
      <c r="C177" s="37" t="str">
        <f aca="false">IF($A177="","",CHOOSE(WEEKDAY($A177,2),"Seg","Ter","Qua","Qui","Sex","Sáb","Dom"))</f>
        <v/>
      </c>
      <c r="D177" s="46"/>
      <c r="E177" s="47"/>
      <c r="F177" s="47"/>
      <c r="G177" s="48"/>
      <c r="H177" s="49"/>
      <c r="I177" s="50"/>
      <c r="J177" s="48"/>
      <c r="K177" s="49"/>
      <c r="L177" s="50"/>
      <c r="M177" s="43" t="str">
        <f aca="false">IF(OR($L177="",$F177=""),"",IFERROR($L177/INDEX(Cadastro!$E$6:$E$8,MATCH($F177,Cadastro!$B$6:$B$8,0)),""))</f>
        <v/>
      </c>
      <c r="N177" s="43" t="str">
        <f aca="false">IF(OR($L177="",$I177="",$I177=0),"",$L177/$I177)</f>
        <v/>
      </c>
      <c r="O177" s="51"/>
    </row>
    <row r="178" customFormat="false" ht="15" hidden="false" customHeight="false" outlineLevel="0" collapsed="false">
      <c r="A178" s="45"/>
      <c r="B178" s="37" t="str">
        <f aca="false">IF($A178="","",WEEKNUM($A178,2))</f>
        <v/>
      </c>
      <c r="C178" s="37" t="str">
        <f aca="false">IF($A178="","",CHOOSE(WEEKDAY($A178,2),"Seg","Ter","Qua","Qui","Sex","Sáb","Dom"))</f>
        <v/>
      </c>
      <c r="D178" s="46"/>
      <c r="E178" s="47"/>
      <c r="F178" s="47"/>
      <c r="G178" s="48"/>
      <c r="H178" s="49"/>
      <c r="I178" s="50"/>
      <c r="J178" s="48"/>
      <c r="K178" s="49"/>
      <c r="L178" s="50"/>
      <c r="M178" s="43" t="str">
        <f aca="false">IF(OR($L178="",$F178=""),"",IFERROR($L178/INDEX(Cadastro!$E$6:$E$8,MATCH($F178,Cadastro!$B$6:$B$8,0)),""))</f>
        <v/>
      </c>
      <c r="N178" s="43" t="str">
        <f aca="false">IF(OR($L178="",$I178="",$I178=0),"",$L178/$I178)</f>
        <v/>
      </c>
      <c r="O178" s="51"/>
    </row>
    <row r="179" customFormat="false" ht="15" hidden="false" customHeight="false" outlineLevel="0" collapsed="false">
      <c r="A179" s="45"/>
      <c r="B179" s="37" t="str">
        <f aca="false">IF($A179="","",WEEKNUM($A179,2))</f>
        <v/>
      </c>
      <c r="C179" s="37" t="str">
        <f aca="false">IF($A179="","",CHOOSE(WEEKDAY($A179,2),"Seg","Ter","Qua","Qui","Sex","Sáb","Dom"))</f>
        <v/>
      </c>
      <c r="D179" s="46"/>
      <c r="E179" s="47"/>
      <c r="F179" s="47"/>
      <c r="G179" s="48"/>
      <c r="H179" s="49"/>
      <c r="I179" s="50"/>
      <c r="J179" s="48"/>
      <c r="K179" s="49"/>
      <c r="L179" s="50"/>
      <c r="M179" s="43" t="str">
        <f aca="false">IF(OR($L179="",$F179=""),"",IFERROR($L179/INDEX(Cadastro!$E$6:$E$8,MATCH($F179,Cadastro!$B$6:$B$8,0)),""))</f>
        <v/>
      </c>
      <c r="N179" s="43" t="str">
        <f aca="false">IF(OR($L179="",$I179="",$I179=0),"",$L179/$I179)</f>
        <v/>
      </c>
      <c r="O179" s="51"/>
    </row>
    <row r="180" customFormat="false" ht="15" hidden="false" customHeight="false" outlineLevel="0" collapsed="false">
      <c r="A180" s="45"/>
      <c r="B180" s="37" t="str">
        <f aca="false">IF($A180="","",WEEKNUM($A180,2))</f>
        <v/>
      </c>
      <c r="C180" s="37" t="str">
        <f aca="false">IF($A180="","",CHOOSE(WEEKDAY($A180,2),"Seg","Ter","Qua","Qui","Sex","Sáb","Dom"))</f>
        <v/>
      </c>
      <c r="D180" s="46"/>
      <c r="E180" s="47"/>
      <c r="F180" s="47"/>
      <c r="G180" s="48"/>
      <c r="H180" s="49"/>
      <c r="I180" s="50"/>
      <c r="J180" s="48"/>
      <c r="K180" s="49"/>
      <c r="L180" s="50"/>
      <c r="M180" s="43" t="str">
        <f aca="false">IF(OR($L180="",$F180=""),"",IFERROR($L180/INDEX(Cadastro!$E$6:$E$8,MATCH($F180,Cadastro!$B$6:$B$8,0)),""))</f>
        <v/>
      </c>
      <c r="N180" s="43" t="str">
        <f aca="false">IF(OR($L180="",$I180="",$I180=0),"",$L180/$I180)</f>
        <v/>
      </c>
      <c r="O180" s="51"/>
    </row>
    <row r="181" customFormat="false" ht="15" hidden="false" customHeight="false" outlineLevel="0" collapsed="false">
      <c r="A181" s="45"/>
      <c r="B181" s="37" t="str">
        <f aca="false">IF($A181="","",WEEKNUM($A181,2))</f>
        <v/>
      </c>
      <c r="C181" s="37" t="str">
        <f aca="false">IF($A181="","",CHOOSE(WEEKDAY($A181,2),"Seg","Ter","Qua","Qui","Sex","Sáb","Dom"))</f>
        <v/>
      </c>
      <c r="D181" s="46"/>
      <c r="E181" s="47"/>
      <c r="F181" s="47"/>
      <c r="G181" s="48"/>
      <c r="H181" s="49"/>
      <c r="I181" s="50"/>
      <c r="J181" s="48"/>
      <c r="K181" s="49"/>
      <c r="L181" s="50"/>
      <c r="M181" s="43" t="str">
        <f aca="false">IF(OR($L181="",$F181=""),"",IFERROR($L181/INDEX(Cadastro!$E$6:$E$8,MATCH($F181,Cadastro!$B$6:$B$8,0)),""))</f>
        <v/>
      </c>
      <c r="N181" s="43" t="str">
        <f aca="false">IF(OR($L181="",$I181="",$I181=0),"",$L181/$I181)</f>
        <v/>
      </c>
      <c r="O181" s="51"/>
    </row>
    <row r="182" customFormat="false" ht="15" hidden="false" customHeight="false" outlineLevel="0" collapsed="false">
      <c r="A182" s="45"/>
      <c r="B182" s="37" t="str">
        <f aca="false">IF($A182="","",WEEKNUM($A182,2))</f>
        <v/>
      </c>
      <c r="C182" s="37" t="str">
        <f aca="false">IF($A182="","",CHOOSE(WEEKDAY($A182,2),"Seg","Ter","Qua","Qui","Sex","Sáb","Dom"))</f>
        <v/>
      </c>
      <c r="D182" s="46"/>
      <c r="E182" s="47"/>
      <c r="F182" s="47"/>
      <c r="G182" s="48"/>
      <c r="H182" s="49"/>
      <c r="I182" s="50"/>
      <c r="J182" s="48"/>
      <c r="K182" s="49"/>
      <c r="L182" s="50"/>
      <c r="M182" s="43" t="str">
        <f aca="false">IF(OR($L182="",$F182=""),"",IFERROR($L182/INDEX(Cadastro!$E$6:$E$8,MATCH($F182,Cadastro!$B$6:$B$8,0)),""))</f>
        <v/>
      </c>
      <c r="N182" s="43" t="str">
        <f aca="false">IF(OR($L182="",$I182="",$I182=0),"",$L182/$I182)</f>
        <v/>
      </c>
      <c r="O182" s="51"/>
    </row>
    <row r="183" customFormat="false" ht="15" hidden="false" customHeight="false" outlineLevel="0" collapsed="false">
      <c r="A183" s="45"/>
      <c r="B183" s="37" t="str">
        <f aca="false">IF($A183="","",WEEKNUM($A183,2))</f>
        <v/>
      </c>
      <c r="C183" s="37" t="str">
        <f aca="false">IF($A183="","",CHOOSE(WEEKDAY($A183,2),"Seg","Ter","Qua","Qui","Sex","Sáb","Dom"))</f>
        <v/>
      </c>
      <c r="D183" s="46"/>
      <c r="E183" s="47"/>
      <c r="F183" s="47"/>
      <c r="G183" s="48"/>
      <c r="H183" s="49"/>
      <c r="I183" s="50"/>
      <c r="J183" s="48"/>
      <c r="K183" s="49"/>
      <c r="L183" s="50"/>
      <c r="M183" s="43" t="str">
        <f aca="false">IF(OR($L183="",$F183=""),"",IFERROR($L183/INDEX(Cadastro!$E$6:$E$8,MATCH($F183,Cadastro!$B$6:$B$8,0)),""))</f>
        <v/>
      </c>
      <c r="N183" s="43" t="str">
        <f aca="false">IF(OR($L183="",$I183="",$I183=0),"",$L183/$I183)</f>
        <v/>
      </c>
      <c r="O183" s="51"/>
    </row>
    <row r="184" customFormat="false" ht="15" hidden="false" customHeight="false" outlineLevel="0" collapsed="false">
      <c r="A184" s="45"/>
      <c r="B184" s="37" t="str">
        <f aca="false">IF($A184="","",WEEKNUM($A184,2))</f>
        <v/>
      </c>
      <c r="C184" s="37" t="str">
        <f aca="false">IF($A184="","",CHOOSE(WEEKDAY($A184,2),"Seg","Ter","Qua","Qui","Sex","Sáb","Dom"))</f>
        <v/>
      </c>
      <c r="D184" s="46"/>
      <c r="E184" s="47"/>
      <c r="F184" s="47"/>
      <c r="G184" s="48"/>
      <c r="H184" s="49"/>
      <c r="I184" s="50"/>
      <c r="J184" s="48"/>
      <c r="K184" s="49"/>
      <c r="L184" s="50"/>
      <c r="M184" s="43" t="str">
        <f aca="false">IF(OR($L184="",$F184=""),"",IFERROR($L184/INDEX(Cadastro!$E$6:$E$8,MATCH($F184,Cadastro!$B$6:$B$8,0)),""))</f>
        <v/>
      </c>
      <c r="N184" s="43" t="str">
        <f aca="false">IF(OR($L184="",$I184="",$I184=0),"",$L184/$I184)</f>
        <v/>
      </c>
      <c r="O184" s="51"/>
    </row>
    <row r="185" customFormat="false" ht="15" hidden="false" customHeight="false" outlineLevel="0" collapsed="false">
      <c r="A185" s="45"/>
      <c r="B185" s="37" t="str">
        <f aca="false">IF($A185="","",WEEKNUM($A185,2))</f>
        <v/>
      </c>
      <c r="C185" s="37" t="str">
        <f aca="false">IF($A185="","",CHOOSE(WEEKDAY($A185,2),"Seg","Ter","Qua","Qui","Sex","Sáb","Dom"))</f>
        <v/>
      </c>
      <c r="D185" s="46"/>
      <c r="E185" s="47"/>
      <c r="F185" s="47"/>
      <c r="G185" s="48"/>
      <c r="H185" s="49"/>
      <c r="I185" s="50"/>
      <c r="J185" s="48"/>
      <c r="K185" s="49"/>
      <c r="L185" s="50"/>
      <c r="M185" s="43" t="str">
        <f aca="false">IF(OR($L185="",$F185=""),"",IFERROR($L185/INDEX(Cadastro!$E$6:$E$8,MATCH($F185,Cadastro!$B$6:$B$8,0)),""))</f>
        <v/>
      </c>
      <c r="N185" s="43" t="str">
        <f aca="false">IF(OR($L185="",$I185="",$I185=0),"",$L185/$I185)</f>
        <v/>
      </c>
      <c r="O185" s="51"/>
    </row>
    <row r="186" customFormat="false" ht="15" hidden="false" customHeight="false" outlineLevel="0" collapsed="false">
      <c r="A186" s="45"/>
      <c r="B186" s="37" t="str">
        <f aca="false">IF($A186="","",WEEKNUM($A186,2))</f>
        <v/>
      </c>
      <c r="C186" s="37" t="str">
        <f aca="false">IF($A186="","",CHOOSE(WEEKDAY($A186,2),"Seg","Ter","Qua","Qui","Sex","Sáb","Dom"))</f>
        <v/>
      </c>
      <c r="D186" s="46"/>
      <c r="E186" s="47"/>
      <c r="F186" s="47"/>
      <c r="G186" s="48"/>
      <c r="H186" s="49"/>
      <c r="I186" s="50"/>
      <c r="J186" s="48"/>
      <c r="K186" s="49"/>
      <c r="L186" s="50"/>
      <c r="M186" s="43" t="str">
        <f aca="false">IF(OR($L186="",$F186=""),"",IFERROR($L186/INDEX(Cadastro!$E$6:$E$8,MATCH($F186,Cadastro!$B$6:$B$8,0)),""))</f>
        <v/>
      </c>
      <c r="N186" s="43" t="str">
        <f aca="false">IF(OR($L186="",$I186="",$I186=0),"",$L186/$I186)</f>
        <v/>
      </c>
      <c r="O186" s="51"/>
    </row>
    <row r="187" customFormat="false" ht="15" hidden="false" customHeight="false" outlineLevel="0" collapsed="false">
      <c r="A187" s="45"/>
      <c r="B187" s="37" t="str">
        <f aca="false">IF($A187="","",WEEKNUM($A187,2))</f>
        <v/>
      </c>
      <c r="C187" s="37" t="str">
        <f aca="false">IF($A187="","",CHOOSE(WEEKDAY($A187,2),"Seg","Ter","Qua","Qui","Sex","Sáb","Dom"))</f>
        <v/>
      </c>
      <c r="D187" s="46"/>
      <c r="E187" s="47"/>
      <c r="F187" s="47"/>
      <c r="G187" s="48"/>
      <c r="H187" s="49"/>
      <c r="I187" s="50"/>
      <c r="J187" s="48"/>
      <c r="K187" s="49"/>
      <c r="L187" s="50"/>
      <c r="M187" s="43" t="str">
        <f aca="false">IF(OR($L187="",$F187=""),"",IFERROR($L187/INDEX(Cadastro!$E$6:$E$8,MATCH($F187,Cadastro!$B$6:$B$8,0)),""))</f>
        <v/>
      </c>
      <c r="N187" s="43" t="str">
        <f aca="false">IF(OR($L187="",$I187="",$I187=0),"",$L187/$I187)</f>
        <v/>
      </c>
      <c r="O187" s="51"/>
    </row>
    <row r="188" customFormat="false" ht="15" hidden="false" customHeight="false" outlineLevel="0" collapsed="false">
      <c r="A188" s="45"/>
      <c r="B188" s="37" t="str">
        <f aca="false">IF($A188="","",WEEKNUM($A188,2))</f>
        <v/>
      </c>
      <c r="C188" s="37" t="str">
        <f aca="false">IF($A188="","",CHOOSE(WEEKDAY($A188,2),"Seg","Ter","Qua","Qui","Sex","Sáb","Dom"))</f>
        <v/>
      </c>
      <c r="D188" s="46"/>
      <c r="E188" s="47"/>
      <c r="F188" s="47"/>
      <c r="G188" s="48"/>
      <c r="H188" s="49"/>
      <c r="I188" s="50"/>
      <c r="J188" s="48"/>
      <c r="K188" s="49"/>
      <c r="L188" s="50"/>
      <c r="M188" s="43" t="str">
        <f aca="false">IF(OR($L188="",$F188=""),"",IFERROR($L188/INDEX(Cadastro!$E$6:$E$8,MATCH($F188,Cadastro!$B$6:$B$8,0)),""))</f>
        <v/>
      </c>
      <c r="N188" s="43" t="str">
        <f aca="false">IF(OR($L188="",$I188="",$I188=0),"",$L188/$I188)</f>
        <v/>
      </c>
      <c r="O188" s="51"/>
    </row>
    <row r="189" customFormat="false" ht="15" hidden="false" customHeight="false" outlineLevel="0" collapsed="false">
      <c r="A189" s="45"/>
      <c r="B189" s="37" t="str">
        <f aca="false">IF($A189="","",WEEKNUM($A189,2))</f>
        <v/>
      </c>
      <c r="C189" s="37" t="str">
        <f aca="false">IF($A189="","",CHOOSE(WEEKDAY($A189,2),"Seg","Ter","Qua","Qui","Sex","Sáb","Dom"))</f>
        <v/>
      </c>
      <c r="D189" s="46"/>
      <c r="E189" s="47"/>
      <c r="F189" s="47"/>
      <c r="G189" s="48"/>
      <c r="H189" s="49"/>
      <c r="I189" s="50"/>
      <c r="J189" s="48"/>
      <c r="K189" s="49"/>
      <c r="L189" s="50"/>
      <c r="M189" s="43" t="str">
        <f aca="false">IF(OR($L189="",$F189=""),"",IFERROR($L189/INDEX(Cadastro!$E$6:$E$8,MATCH($F189,Cadastro!$B$6:$B$8,0)),""))</f>
        <v/>
      </c>
      <c r="N189" s="43" t="str">
        <f aca="false">IF(OR($L189="",$I189="",$I189=0),"",$L189/$I189)</f>
        <v/>
      </c>
      <c r="O189" s="51"/>
    </row>
    <row r="190" customFormat="false" ht="15" hidden="false" customHeight="false" outlineLevel="0" collapsed="false">
      <c r="A190" s="45"/>
      <c r="B190" s="37" t="str">
        <f aca="false">IF($A190="","",WEEKNUM($A190,2))</f>
        <v/>
      </c>
      <c r="C190" s="37" t="str">
        <f aca="false">IF($A190="","",CHOOSE(WEEKDAY($A190,2),"Seg","Ter","Qua","Qui","Sex","Sáb","Dom"))</f>
        <v/>
      </c>
      <c r="D190" s="46"/>
      <c r="E190" s="47"/>
      <c r="F190" s="47"/>
      <c r="G190" s="48"/>
      <c r="H190" s="49"/>
      <c r="I190" s="50"/>
      <c r="J190" s="48"/>
      <c r="K190" s="49"/>
      <c r="L190" s="50"/>
      <c r="M190" s="43" t="str">
        <f aca="false">IF(OR($L190="",$F190=""),"",IFERROR($L190/INDEX(Cadastro!$E$6:$E$8,MATCH($F190,Cadastro!$B$6:$B$8,0)),""))</f>
        <v/>
      </c>
      <c r="N190" s="43" t="str">
        <f aca="false">IF(OR($L190="",$I190="",$I190=0),"",$L190/$I190)</f>
        <v/>
      </c>
      <c r="O190" s="51"/>
    </row>
    <row r="191" customFormat="false" ht="15" hidden="false" customHeight="false" outlineLevel="0" collapsed="false">
      <c r="A191" s="45"/>
      <c r="B191" s="37" t="str">
        <f aca="false">IF($A191="","",WEEKNUM($A191,2))</f>
        <v/>
      </c>
      <c r="C191" s="37" t="str">
        <f aca="false">IF($A191="","",CHOOSE(WEEKDAY($A191,2),"Seg","Ter","Qua","Qui","Sex","Sáb","Dom"))</f>
        <v/>
      </c>
      <c r="D191" s="46"/>
      <c r="E191" s="47"/>
      <c r="F191" s="47"/>
      <c r="G191" s="48"/>
      <c r="H191" s="49"/>
      <c r="I191" s="50"/>
      <c r="J191" s="48"/>
      <c r="K191" s="49"/>
      <c r="L191" s="50"/>
      <c r="M191" s="43" t="str">
        <f aca="false">IF(OR($L191="",$F191=""),"",IFERROR($L191/INDEX(Cadastro!$E$6:$E$8,MATCH($F191,Cadastro!$B$6:$B$8,0)),""))</f>
        <v/>
      </c>
      <c r="N191" s="43" t="str">
        <f aca="false">IF(OR($L191="",$I191="",$I191=0),"",$L191/$I191)</f>
        <v/>
      </c>
      <c r="O191" s="51"/>
    </row>
    <row r="192" customFormat="false" ht="15" hidden="false" customHeight="false" outlineLevel="0" collapsed="false">
      <c r="A192" s="45"/>
      <c r="B192" s="37" t="str">
        <f aca="false">IF($A192="","",WEEKNUM($A192,2))</f>
        <v/>
      </c>
      <c r="C192" s="37" t="str">
        <f aca="false">IF($A192="","",CHOOSE(WEEKDAY($A192,2),"Seg","Ter","Qua","Qui","Sex","Sáb","Dom"))</f>
        <v/>
      </c>
      <c r="D192" s="46"/>
      <c r="E192" s="47"/>
      <c r="F192" s="47"/>
      <c r="G192" s="48"/>
      <c r="H192" s="49"/>
      <c r="I192" s="50"/>
      <c r="J192" s="48"/>
      <c r="K192" s="49"/>
      <c r="L192" s="50"/>
      <c r="M192" s="43" t="str">
        <f aca="false">IF(OR($L192="",$F192=""),"",IFERROR($L192/INDEX(Cadastro!$E$6:$E$8,MATCH($F192,Cadastro!$B$6:$B$8,0)),""))</f>
        <v/>
      </c>
      <c r="N192" s="43" t="str">
        <f aca="false">IF(OR($L192="",$I192="",$I192=0),"",$L192/$I192)</f>
        <v/>
      </c>
      <c r="O192" s="51"/>
    </row>
    <row r="193" customFormat="false" ht="15" hidden="false" customHeight="false" outlineLevel="0" collapsed="false">
      <c r="A193" s="45"/>
      <c r="B193" s="37" t="str">
        <f aca="false">IF($A193="","",WEEKNUM($A193,2))</f>
        <v/>
      </c>
      <c r="C193" s="37" t="str">
        <f aca="false">IF($A193="","",CHOOSE(WEEKDAY($A193,2),"Seg","Ter","Qua","Qui","Sex","Sáb","Dom"))</f>
        <v/>
      </c>
      <c r="D193" s="46"/>
      <c r="E193" s="47"/>
      <c r="F193" s="47"/>
      <c r="G193" s="48"/>
      <c r="H193" s="49"/>
      <c r="I193" s="50"/>
      <c r="J193" s="48"/>
      <c r="K193" s="49"/>
      <c r="L193" s="50"/>
      <c r="M193" s="43" t="str">
        <f aca="false">IF(OR($L193="",$F193=""),"",IFERROR($L193/INDEX(Cadastro!$E$6:$E$8,MATCH($F193,Cadastro!$B$6:$B$8,0)),""))</f>
        <v/>
      </c>
      <c r="N193" s="43" t="str">
        <f aca="false">IF(OR($L193="",$I193="",$I193=0),"",$L193/$I193)</f>
        <v/>
      </c>
      <c r="O193" s="51"/>
    </row>
    <row r="194" customFormat="false" ht="15" hidden="false" customHeight="false" outlineLevel="0" collapsed="false">
      <c r="A194" s="45"/>
      <c r="B194" s="37" t="str">
        <f aca="false">IF($A194="","",WEEKNUM($A194,2))</f>
        <v/>
      </c>
      <c r="C194" s="37" t="str">
        <f aca="false">IF($A194="","",CHOOSE(WEEKDAY($A194,2),"Seg","Ter","Qua","Qui","Sex","Sáb","Dom"))</f>
        <v/>
      </c>
      <c r="D194" s="46"/>
      <c r="E194" s="47"/>
      <c r="F194" s="47"/>
      <c r="G194" s="48"/>
      <c r="H194" s="49"/>
      <c r="I194" s="50"/>
      <c r="J194" s="48"/>
      <c r="K194" s="49"/>
      <c r="L194" s="50"/>
      <c r="M194" s="43" t="str">
        <f aca="false">IF(OR($L194="",$F194=""),"",IFERROR($L194/INDEX(Cadastro!$E$6:$E$8,MATCH($F194,Cadastro!$B$6:$B$8,0)),""))</f>
        <v/>
      </c>
      <c r="N194" s="43" t="str">
        <f aca="false">IF(OR($L194="",$I194="",$I194=0),"",$L194/$I194)</f>
        <v/>
      </c>
      <c r="O194" s="51"/>
    </row>
    <row r="195" customFormat="false" ht="15" hidden="false" customHeight="false" outlineLevel="0" collapsed="false">
      <c r="A195" s="45"/>
      <c r="B195" s="37" t="str">
        <f aca="false">IF($A195="","",WEEKNUM($A195,2))</f>
        <v/>
      </c>
      <c r="C195" s="37" t="str">
        <f aca="false">IF($A195="","",CHOOSE(WEEKDAY($A195,2),"Seg","Ter","Qua","Qui","Sex","Sáb","Dom"))</f>
        <v/>
      </c>
      <c r="D195" s="46"/>
      <c r="E195" s="47"/>
      <c r="F195" s="47"/>
      <c r="G195" s="48"/>
      <c r="H195" s="49"/>
      <c r="I195" s="50"/>
      <c r="J195" s="48"/>
      <c r="K195" s="49"/>
      <c r="L195" s="50"/>
      <c r="M195" s="43" t="str">
        <f aca="false">IF(OR($L195="",$F195=""),"",IFERROR($L195/INDEX(Cadastro!$E$6:$E$8,MATCH($F195,Cadastro!$B$6:$B$8,0)),""))</f>
        <v/>
      </c>
      <c r="N195" s="43" t="str">
        <f aca="false">IF(OR($L195="",$I195="",$I195=0),"",$L195/$I195)</f>
        <v/>
      </c>
      <c r="O195" s="51"/>
    </row>
    <row r="196" customFormat="false" ht="15" hidden="false" customHeight="false" outlineLevel="0" collapsed="false">
      <c r="A196" s="45"/>
      <c r="B196" s="37" t="str">
        <f aca="false">IF($A196="","",WEEKNUM($A196,2))</f>
        <v/>
      </c>
      <c r="C196" s="37" t="str">
        <f aca="false">IF($A196="","",CHOOSE(WEEKDAY($A196,2),"Seg","Ter","Qua","Qui","Sex","Sáb","Dom"))</f>
        <v/>
      </c>
      <c r="D196" s="46"/>
      <c r="E196" s="47"/>
      <c r="F196" s="47"/>
      <c r="G196" s="48"/>
      <c r="H196" s="49"/>
      <c r="I196" s="50"/>
      <c r="J196" s="48"/>
      <c r="K196" s="49"/>
      <c r="L196" s="50"/>
      <c r="M196" s="43" t="str">
        <f aca="false">IF(OR($L196="",$F196=""),"",IFERROR($L196/INDEX(Cadastro!$E$6:$E$8,MATCH($F196,Cadastro!$B$6:$B$8,0)),""))</f>
        <v/>
      </c>
      <c r="N196" s="43" t="str">
        <f aca="false">IF(OR($L196="",$I196="",$I196=0),"",$L196/$I196)</f>
        <v/>
      </c>
      <c r="O196" s="51"/>
    </row>
    <row r="197" customFormat="false" ht="15" hidden="false" customHeight="false" outlineLevel="0" collapsed="false">
      <c r="A197" s="45"/>
      <c r="B197" s="37" t="str">
        <f aca="false">IF($A197="","",WEEKNUM($A197,2))</f>
        <v/>
      </c>
      <c r="C197" s="37" t="str">
        <f aca="false">IF($A197="","",CHOOSE(WEEKDAY($A197,2),"Seg","Ter","Qua","Qui","Sex","Sáb","Dom"))</f>
        <v/>
      </c>
      <c r="D197" s="46"/>
      <c r="E197" s="47"/>
      <c r="F197" s="47"/>
      <c r="G197" s="48"/>
      <c r="H197" s="49"/>
      <c r="I197" s="50"/>
      <c r="J197" s="48"/>
      <c r="K197" s="49"/>
      <c r="L197" s="50"/>
      <c r="M197" s="43" t="str">
        <f aca="false">IF(OR($L197="",$F197=""),"",IFERROR($L197/INDEX(Cadastro!$E$6:$E$8,MATCH($F197,Cadastro!$B$6:$B$8,0)),""))</f>
        <v/>
      </c>
      <c r="N197" s="43" t="str">
        <f aca="false">IF(OR($L197="",$I197="",$I197=0),"",$L197/$I197)</f>
        <v/>
      </c>
      <c r="O197" s="51"/>
    </row>
    <row r="198" customFormat="false" ht="15" hidden="false" customHeight="false" outlineLevel="0" collapsed="false">
      <c r="A198" s="45"/>
      <c r="B198" s="37" t="str">
        <f aca="false">IF($A198="","",WEEKNUM($A198,2))</f>
        <v/>
      </c>
      <c r="C198" s="37" t="str">
        <f aca="false">IF($A198="","",CHOOSE(WEEKDAY($A198,2),"Seg","Ter","Qua","Qui","Sex","Sáb","Dom"))</f>
        <v/>
      </c>
      <c r="D198" s="46"/>
      <c r="E198" s="47"/>
      <c r="F198" s="47"/>
      <c r="G198" s="48"/>
      <c r="H198" s="49"/>
      <c r="I198" s="50"/>
      <c r="J198" s="48"/>
      <c r="K198" s="49"/>
      <c r="L198" s="50"/>
      <c r="M198" s="43" t="str">
        <f aca="false">IF(OR($L198="",$F198=""),"",IFERROR($L198/INDEX(Cadastro!$E$6:$E$8,MATCH($F198,Cadastro!$B$6:$B$8,0)),""))</f>
        <v/>
      </c>
      <c r="N198" s="43" t="str">
        <f aca="false">IF(OR($L198="",$I198="",$I198=0),"",$L198/$I198)</f>
        <v/>
      </c>
      <c r="O198" s="51"/>
    </row>
    <row r="199" customFormat="false" ht="15" hidden="false" customHeight="false" outlineLevel="0" collapsed="false">
      <c r="A199" s="45"/>
      <c r="B199" s="37" t="str">
        <f aca="false">IF($A199="","",WEEKNUM($A199,2))</f>
        <v/>
      </c>
      <c r="C199" s="37" t="str">
        <f aca="false">IF($A199="","",CHOOSE(WEEKDAY($A199,2),"Seg","Ter","Qua","Qui","Sex","Sáb","Dom"))</f>
        <v/>
      </c>
      <c r="D199" s="46"/>
      <c r="E199" s="47"/>
      <c r="F199" s="47"/>
      <c r="G199" s="48"/>
      <c r="H199" s="49"/>
      <c r="I199" s="50"/>
      <c r="J199" s="48"/>
      <c r="K199" s="49"/>
      <c r="L199" s="50"/>
      <c r="M199" s="43" t="str">
        <f aca="false">IF(OR($L199="",$F199=""),"",IFERROR($L199/INDEX(Cadastro!$E$6:$E$8,MATCH($F199,Cadastro!$B$6:$B$8,0)),""))</f>
        <v/>
      </c>
      <c r="N199" s="43" t="str">
        <f aca="false">IF(OR($L199="",$I199="",$I199=0),"",$L199/$I199)</f>
        <v/>
      </c>
      <c r="O199" s="51"/>
    </row>
    <row r="200" customFormat="false" ht="15" hidden="false" customHeight="false" outlineLevel="0" collapsed="false">
      <c r="A200" s="45"/>
      <c r="B200" s="37" t="str">
        <f aca="false">IF($A200="","",WEEKNUM($A200,2))</f>
        <v/>
      </c>
      <c r="C200" s="37" t="str">
        <f aca="false">IF($A200="","",CHOOSE(WEEKDAY($A200,2),"Seg","Ter","Qua","Qui","Sex","Sáb","Dom"))</f>
        <v/>
      </c>
      <c r="D200" s="46"/>
      <c r="E200" s="47"/>
      <c r="F200" s="47"/>
      <c r="G200" s="48"/>
      <c r="H200" s="49"/>
      <c r="I200" s="50"/>
      <c r="J200" s="48"/>
      <c r="K200" s="49"/>
      <c r="L200" s="50"/>
      <c r="M200" s="43" t="str">
        <f aca="false">IF(OR($L200="",$F200=""),"",IFERROR($L200/INDEX(Cadastro!$E$6:$E$8,MATCH($F200,Cadastro!$B$6:$B$8,0)),""))</f>
        <v/>
      </c>
      <c r="N200" s="43" t="str">
        <f aca="false">IF(OR($L200="",$I200="",$I200=0),"",$L200/$I200)</f>
        <v/>
      </c>
      <c r="O200" s="51"/>
    </row>
    <row r="201" customFormat="false" ht="15" hidden="false" customHeight="false" outlineLevel="0" collapsed="false">
      <c r="A201" s="45"/>
      <c r="B201" s="37" t="str">
        <f aca="false">IF($A201="","",WEEKNUM($A201,2))</f>
        <v/>
      </c>
      <c r="C201" s="37" t="str">
        <f aca="false">IF($A201="","",CHOOSE(WEEKDAY($A201,2),"Seg","Ter","Qua","Qui","Sex","Sáb","Dom"))</f>
        <v/>
      </c>
      <c r="D201" s="46"/>
      <c r="E201" s="47"/>
      <c r="F201" s="47"/>
      <c r="G201" s="48"/>
      <c r="H201" s="49"/>
      <c r="I201" s="50"/>
      <c r="J201" s="48"/>
      <c r="K201" s="49"/>
      <c r="L201" s="50"/>
      <c r="M201" s="43" t="str">
        <f aca="false">IF(OR($L201="",$F201=""),"",IFERROR($L201/INDEX(Cadastro!$E$6:$E$8,MATCH($F201,Cadastro!$B$6:$B$8,0)),""))</f>
        <v/>
      </c>
      <c r="N201" s="43" t="str">
        <f aca="false">IF(OR($L201="",$I201="",$I201=0),"",$L201/$I201)</f>
        <v/>
      </c>
      <c r="O201" s="51"/>
    </row>
    <row r="202" customFormat="false" ht="15" hidden="false" customHeight="false" outlineLevel="0" collapsed="false">
      <c r="A202" s="45"/>
      <c r="B202" s="37" t="str">
        <f aca="false">IF($A202="","",WEEKNUM($A202,2))</f>
        <v/>
      </c>
      <c r="C202" s="37" t="str">
        <f aca="false">IF($A202="","",CHOOSE(WEEKDAY($A202,2),"Seg","Ter","Qua","Qui","Sex","Sáb","Dom"))</f>
        <v/>
      </c>
      <c r="D202" s="46"/>
      <c r="E202" s="47"/>
      <c r="F202" s="47"/>
      <c r="G202" s="48"/>
      <c r="H202" s="49"/>
      <c r="I202" s="50"/>
      <c r="J202" s="48"/>
      <c r="K202" s="49"/>
      <c r="L202" s="50"/>
      <c r="M202" s="43" t="str">
        <f aca="false">IF(OR($L202="",$F202=""),"",IFERROR($L202/INDEX(Cadastro!$E$6:$E$8,MATCH($F202,Cadastro!$B$6:$B$8,0)),""))</f>
        <v/>
      </c>
      <c r="N202" s="43" t="str">
        <f aca="false">IF(OR($L202="",$I202="",$I202=0),"",$L202/$I202)</f>
        <v/>
      </c>
      <c r="O202" s="51"/>
    </row>
    <row r="203" customFormat="false" ht="15" hidden="false" customHeight="false" outlineLevel="0" collapsed="false">
      <c r="A203" s="45"/>
      <c r="B203" s="37" t="str">
        <f aca="false">IF($A203="","",WEEKNUM($A203,2))</f>
        <v/>
      </c>
      <c r="C203" s="37" t="str">
        <f aca="false">IF($A203="","",CHOOSE(WEEKDAY($A203,2),"Seg","Ter","Qua","Qui","Sex","Sáb","Dom"))</f>
        <v/>
      </c>
      <c r="D203" s="46"/>
      <c r="E203" s="47"/>
      <c r="F203" s="47"/>
      <c r="G203" s="48"/>
      <c r="H203" s="49"/>
      <c r="I203" s="50"/>
      <c r="J203" s="48"/>
      <c r="K203" s="49"/>
      <c r="L203" s="50"/>
      <c r="M203" s="43" t="str">
        <f aca="false">IF(OR($L203="",$F203=""),"",IFERROR($L203/INDEX(Cadastro!$E$6:$E$8,MATCH($F203,Cadastro!$B$6:$B$8,0)),""))</f>
        <v/>
      </c>
      <c r="N203" s="43" t="str">
        <f aca="false">IF(OR($L203="",$I203="",$I203=0),"",$L203/$I203)</f>
        <v/>
      </c>
      <c r="O203" s="51"/>
    </row>
    <row r="204" customFormat="false" ht="15" hidden="false" customHeight="false" outlineLevel="0" collapsed="false">
      <c r="A204" s="45"/>
      <c r="B204" s="37" t="str">
        <f aca="false">IF($A204="","",WEEKNUM($A204,2))</f>
        <v/>
      </c>
      <c r="C204" s="37" t="str">
        <f aca="false">IF($A204="","",CHOOSE(WEEKDAY($A204,2),"Seg","Ter","Qua","Qui","Sex","Sáb","Dom"))</f>
        <v/>
      </c>
      <c r="D204" s="46"/>
      <c r="E204" s="47"/>
      <c r="F204" s="47"/>
      <c r="G204" s="48"/>
      <c r="H204" s="49"/>
      <c r="I204" s="50"/>
      <c r="J204" s="48"/>
      <c r="K204" s="49"/>
      <c r="L204" s="50"/>
      <c r="M204" s="43" t="str">
        <f aca="false">IF(OR($L204="",$F204=""),"",IFERROR($L204/INDEX(Cadastro!$E$6:$E$8,MATCH($F204,Cadastro!$B$6:$B$8,0)),""))</f>
        <v/>
      </c>
      <c r="N204" s="43" t="str">
        <f aca="false">IF(OR($L204="",$I204="",$I204=0),"",$L204/$I204)</f>
        <v/>
      </c>
      <c r="O204" s="51"/>
    </row>
    <row r="205" customFormat="false" ht="15" hidden="false" customHeight="false" outlineLevel="0" collapsed="false">
      <c r="A205" s="45"/>
      <c r="B205" s="37" t="str">
        <f aca="false">IF($A205="","",WEEKNUM($A205,2))</f>
        <v/>
      </c>
      <c r="C205" s="37" t="str">
        <f aca="false">IF($A205="","",CHOOSE(WEEKDAY($A205,2),"Seg","Ter","Qua","Qui","Sex","Sáb","Dom"))</f>
        <v/>
      </c>
      <c r="D205" s="46"/>
      <c r="E205" s="47"/>
      <c r="F205" s="47"/>
      <c r="G205" s="48"/>
      <c r="H205" s="49"/>
      <c r="I205" s="50"/>
      <c r="J205" s="48"/>
      <c r="K205" s="49"/>
      <c r="L205" s="50"/>
      <c r="M205" s="43" t="str">
        <f aca="false">IF(OR($L205="",$F205=""),"",IFERROR($L205/INDEX(Cadastro!$E$6:$E$8,MATCH($F205,Cadastro!$B$6:$B$8,0)),""))</f>
        <v/>
      </c>
      <c r="N205" s="43" t="str">
        <f aca="false">IF(OR($L205="",$I205="",$I205=0),"",$L205/$I205)</f>
        <v/>
      </c>
      <c r="O205" s="51"/>
    </row>
    <row r="206" customFormat="false" ht="15" hidden="false" customHeight="false" outlineLevel="0" collapsed="false">
      <c r="A206" s="45"/>
      <c r="B206" s="37" t="str">
        <f aca="false">IF($A206="","",WEEKNUM($A206,2))</f>
        <v/>
      </c>
      <c r="C206" s="37" t="str">
        <f aca="false">IF($A206="","",CHOOSE(WEEKDAY($A206,2),"Seg","Ter","Qua","Qui","Sex","Sáb","Dom"))</f>
        <v/>
      </c>
      <c r="D206" s="46"/>
      <c r="E206" s="47"/>
      <c r="F206" s="47"/>
      <c r="G206" s="48"/>
      <c r="H206" s="49"/>
      <c r="I206" s="50"/>
      <c r="J206" s="48"/>
      <c r="K206" s="49"/>
      <c r="L206" s="50"/>
      <c r="M206" s="43" t="str">
        <f aca="false">IF(OR($L206="",$F206=""),"",IFERROR($L206/INDEX(Cadastro!$E$6:$E$8,MATCH($F206,Cadastro!$B$6:$B$8,0)),""))</f>
        <v/>
      </c>
      <c r="N206" s="43" t="str">
        <f aca="false">IF(OR($L206="",$I206="",$I206=0),"",$L206/$I206)</f>
        <v/>
      </c>
      <c r="O206" s="51"/>
    </row>
    <row r="207" customFormat="false" ht="15" hidden="false" customHeight="false" outlineLevel="0" collapsed="false">
      <c r="A207" s="45"/>
      <c r="B207" s="37" t="str">
        <f aca="false">IF($A207="","",WEEKNUM($A207,2))</f>
        <v/>
      </c>
      <c r="C207" s="37" t="str">
        <f aca="false">IF($A207="","",CHOOSE(WEEKDAY($A207,2),"Seg","Ter","Qua","Qui","Sex","Sáb","Dom"))</f>
        <v/>
      </c>
      <c r="D207" s="46"/>
      <c r="E207" s="47"/>
      <c r="F207" s="47"/>
      <c r="G207" s="48"/>
      <c r="H207" s="49"/>
      <c r="I207" s="50"/>
      <c r="J207" s="48"/>
      <c r="K207" s="49"/>
      <c r="L207" s="50"/>
      <c r="M207" s="43" t="str">
        <f aca="false">IF(OR($L207="",$F207=""),"",IFERROR($L207/INDEX(Cadastro!$E$6:$E$8,MATCH($F207,Cadastro!$B$6:$B$8,0)),""))</f>
        <v/>
      </c>
      <c r="N207" s="43" t="str">
        <f aca="false">IF(OR($L207="",$I207="",$I207=0),"",$L207/$I207)</f>
        <v/>
      </c>
      <c r="O207" s="51"/>
    </row>
    <row r="208" customFormat="false" ht="15" hidden="false" customHeight="false" outlineLevel="0" collapsed="false">
      <c r="A208" s="45"/>
      <c r="B208" s="37" t="str">
        <f aca="false">IF($A208="","",WEEKNUM($A208,2))</f>
        <v/>
      </c>
      <c r="C208" s="37" t="str">
        <f aca="false">IF($A208="","",CHOOSE(WEEKDAY($A208,2),"Seg","Ter","Qua","Qui","Sex","Sáb","Dom"))</f>
        <v/>
      </c>
      <c r="D208" s="46"/>
      <c r="E208" s="47"/>
      <c r="F208" s="47"/>
      <c r="G208" s="48"/>
      <c r="H208" s="49"/>
      <c r="I208" s="50"/>
      <c r="J208" s="48"/>
      <c r="K208" s="49"/>
      <c r="L208" s="50"/>
      <c r="M208" s="43" t="str">
        <f aca="false">IF(OR($L208="",$F208=""),"",IFERROR($L208/INDEX(Cadastro!$E$6:$E$8,MATCH($F208,Cadastro!$B$6:$B$8,0)),""))</f>
        <v/>
      </c>
      <c r="N208" s="43" t="str">
        <f aca="false">IF(OR($L208="",$I208="",$I208=0),"",$L208/$I208)</f>
        <v/>
      </c>
      <c r="O208" s="51"/>
    </row>
    <row r="209" customFormat="false" ht="15" hidden="false" customHeight="false" outlineLevel="0" collapsed="false">
      <c r="A209" s="45"/>
      <c r="B209" s="37" t="str">
        <f aca="false">IF($A209="","",WEEKNUM($A209,2))</f>
        <v/>
      </c>
      <c r="C209" s="37" t="str">
        <f aca="false">IF($A209="","",CHOOSE(WEEKDAY($A209,2),"Seg","Ter","Qua","Qui","Sex","Sáb","Dom"))</f>
        <v/>
      </c>
      <c r="D209" s="46"/>
      <c r="E209" s="47"/>
      <c r="F209" s="47"/>
      <c r="G209" s="48"/>
      <c r="H209" s="49"/>
      <c r="I209" s="50"/>
      <c r="J209" s="48"/>
      <c r="K209" s="49"/>
      <c r="L209" s="50"/>
      <c r="M209" s="43" t="str">
        <f aca="false">IF(OR($L209="",$F209=""),"",IFERROR($L209/INDEX(Cadastro!$E$6:$E$8,MATCH($F209,Cadastro!$B$6:$B$8,0)),""))</f>
        <v/>
      </c>
      <c r="N209" s="43" t="str">
        <f aca="false">IF(OR($L209="",$I209="",$I209=0),"",$L209/$I209)</f>
        <v/>
      </c>
      <c r="O209" s="51"/>
    </row>
    <row r="210" customFormat="false" ht="15" hidden="false" customHeight="false" outlineLevel="0" collapsed="false">
      <c r="A210" s="45"/>
      <c r="B210" s="37" t="str">
        <f aca="false">IF($A210="","",WEEKNUM($A210,2))</f>
        <v/>
      </c>
      <c r="C210" s="37" t="str">
        <f aca="false">IF($A210="","",CHOOSE(WEEKDAY($A210,2),"Seg","Ter","Qua","Qui","Sex","Sáb","Dom"))</f>
        <v/>
      </c>
      <c r="D210" s="46"/>
      <c r="E210" s="47"/>
      <c r="F210" s="47"/>
      <c r="G210" s="48"/>
      <c r="H210" s="49"/>
      <c r="I210" s="50"/>
      <c r="J210" s="48"/>
      <c r="K210" s="49"/>
      <c r="L210" s="50"/>
      <c r="M210" s="43" t="str">
        <f aca="false">IF(OR($L210="",$F210=""),"",IFERROR($L210/INDEX(Cadastro!$E$6:$E$8,MATCH($F210,Cadastro!$B$6:$B$8,0)),""))</f>
        <v/>
      </c>
      <c r="N210" s="43" t="str">
        <f aca="false">IF(OR($L210="",$I210="",$I210=0),"",$L210/$I210)</f>
        <v/>
      </c>
      <c r="O210" s="51"/>
    </row>
    <row r="211" customFormat="false" ht="15" hidden="false" customHeight="false" outlineLevel="0" collapsed="false">
      <c r="A211" s="45"/>
      <c r="B211" s="37" t="str">
        <f aca="false">IF($A211="","",WEEKNUM($A211,2))</f>
        <v/>
      </c>
      <c r="C211" s="37" t="str">
        <f aca="false">IF($A211="","",CHOOSE(WEEKDAY($A211,2),"Seg","Ter","Qua","Qui","Sex","Sáb","Dom"))</f>
        <v/>
      </c>
      <c r="D211" s="46"/>
      <c r="E211" s="47"/>
      <c r="F211" s="47"/>
      <c r="G211" s="48"/>
      <c r="H211" s="49"/>
      <c r="I211" s="50"/>
      <c r="J211" s="48"/>
      <c r="K211" s="49"/>
      <c r="L211" s="50"/>
      <c r="M211" s="43" t="str">
        <f aca="false">IF(OR($L211="",$F211=""),"",IFERROR($L211/INDEX(Cadastro!$E$6:$E$8,MATCH($F211,Cadastro!$B$6:$B$8,0)),""))</f>
        <v/>
      </c>
      <c r="N211" s="43" t="str">
        <f aca="false">IF(OR($L211="",$I211="",$I211=0),"",$L211/$I211)</f>
        <v/>
      </c>
      <c r="O211" s="51"/>
    </row>
    <row r="212" customFormat="false" ht="15" hidden="false" customHeight="false" outlineLevel="0" collapsed="false">
      <c r="A212" s="45"/>
      <c r="B212" s="37" t="str">
        <f aca="false">IF($A212="","",WEEKNUM($A212,2))</f>
        <v/>
      </c>
      <c r="C212" s="37" t="str">
        <f aca="false">IF($A212="","",CHOOSE(WEEKDAY($A212,2),"Seg","Ter","Qua","Qui","Sex","Sáb","Dom"))</f>
        <v/>
      </c>
      <c r="D212" s="46"/>
      <c r="E212" s="47"/>
      <c r="F212" s="47"/>
      <c r="G212" s="48"/>
      <c r="H212" s="49"/>
      <c r="I212" s="50"/>
      <c r="J212" s="48"/>
      <c r="K212" s="49"/>
      <c r="L212" s="50"/>
      <c r="M212" s="43" t="str">
        <f aca="false">IF(OR($L212="",$F212=""),"",IFERROR($L212/INDEX(Cadastro!$E$6:$E$8,MATCH($F212,Cadastro!$B$6:$B$8,0)),""))</f>
        <v/>
      </c>
      <c r="N212" s="43" t="str">
        <f aca="false">IF(OR($L212="",$I212="",$I212=0),"",$L212/$I212)</f>
        <v/>
      </c>
      <c r="O212" s="51"/>
    </row>
    <row r="213" customFormat="false" ht="15" hidden="false" customHeight="false" outlineLevel="0" collapsed="false">
      <c r="A213" s="45"/>
      <c r="B213" s="37" t="str">
        <f aca="false">IF($A213="","",WEEKNUM($A213,2))</f>
        <v/>
      </c>
      <c r="C213" s="37" t="str">
        <f aca="false">IF($A213="","",CHOOSE(WEEKDAY($A213,2),"Seg","Ter","Qua","Qui","Sex","Sáb","Dom"))</f>
        <v/>
      </c>
      <c r="D213" s="46"/>
      <c r="E213" s="47"/>
      <c r="F213" s="47"/>
      <c r="G213" s="48"/>
      <c r="H213" s="49"/>
      <c r="I213" s="50"/>
      <c r="J213" s="48"/>
      <c r="K213" s="49"/>
      <c r="L213" s="50"/>
      <c r="M213" s="43" t="str">
        <f aca="false">IF(OR($L213="",$F213=""),"",IFERROR($L213/INDEX(Cadastro!$E$6:$E$8,MATCH($F213,Cadastro!$B$6:$B$8,0)),""))</f>
        <v/>
      </c>
      <c r="N213" s="43" t="str">
        <f aca="false">IF(OR($L213="",$I213="",$I213=0),"",$L213/$I213)</f>
        <v/>
      </c>
      <c r="O213" s="51"/>
    </row>
    <row r="214" customFormat="false" ht="15" hidden="false" customHeight="false" outlineLevel="0" collapsed="false">
      <c r="A214" s="45"/>
      <c r="B214" s="37" t="str">
        <f aca="false">IF($A214="","",WEEKNUM($A214,2))</f>
        <v/>
      </c>
      <c r="C214" s="37" t="str">
        <f aca="false">IF($A214="","",CHOOSE(WEEKDAY($A214,2),"Seg","Ter","Qua","Qui","Sex","Sáb","Dom"))</f>
        <v/>
      </c>
      <c r="D214" s="46"/>
      <c r="E214" s="47"/>
      <c r="F214" s="47"/>
      <c r="G214" s="48"/>
      <c r="H214" s="49"/>
      <c r="I214" s="50"/>
      <c r="J214" s="48"/>
      <c r="K214" s="49"/>
      <c r="L214" s="50"/>
      <c r="M214" s="43" t="str">
        <f aca="false">IF(OR($L214="",$F214=""),"",IFERROR($L214/INDEX(Cadastro!$E$6:$E$8,MATCH($F214,Cadastro!$B$6:$B$8,0)),""))</f>
        <v/>
      </c>
      <c r="N214" s="43" t="str">
        <f aca="false">IF(OR($L214="",$I214="",$I214=0),"",$L214/$I214)</f>
        <v/>
      </c>
      <c r="O214" s="51"/>
    </row>
    <row r="215" customFormat="false" ht="15" hidden="false" customHeight="false" outlineLevel="0" collapsed="false">
      <c r="A215" s="45"/>
      <c r="B215" s="37" t="str">
        <f aca="false">IF($A215="","",WEEKNUM($A215,2))</f>
        <v/>
      </c>
      <c r="C215" s="37" t="str">
        <f aca="false">IF($A215="","",CHOOSE(WEEKDAY($A215,2),"Seg","Ter","Qua","Qui","Sex","Sáb","Dom"))</f>
        <v/>
      </c>
      <c r="D215" s="46"/>
      <c r="E215" s="47"/>
      <c r="F215" s="47"/>
      <c r="G215" s="48"/>
      <c r="H215" s="49"/>
      <c r="I215" s="50"/>
      <c r="J215" s="48"/>
      <c r="K215" s="49"/>
      <c r="L215" s="50"/>
      <c r="M215" s="43" t="str">
        <f aca="false">IF(OR($L215="",$F215=""),"",IFERROR($L215/INDEX(Cadastro!$E$6:$E$8,MATCH($F215,Cadastro!$B$6:$B$8,0)),""))</f>
        <v/>
      </c>
      <c r="N215" s="43" t="str">
        <f aca="false">IF(OR($L215="",$I215="",$I215=0),"",$L215/$I215)</f>
        <v/>
      </c>
      <c r="O215" s="51"/>
    </row>
    <row r="216" customFormat="false" ht="15" hidden="false" customHeight="false" outlineLevel="0" collapsed="false">
      <c r="A216" s="45"/>
      <c r="B216" s="37" t="str">
        <f aca="false">IF($A216="","",WEEKNUM($A216,2))</f>
        <v/>
      </c>
      <c r="C216" s="37" t="str">
        <f aca="false">IF($A216="","",CHOOSE(WEEKDAY($A216,2),"Seg","Ter","Qua","Qui","Sex","Sáb","Dom"))</f>
        <v/>
      </c>
      <c r="D216" s="46"/>
      <c r="E216" s="47"/>
      <c r="F216" s="47"/>
      <c r="G216" s="48"/>
      <c r="H216" s="49"/>
      <c r="I216" s="50"/>
      <c r="J216" s="48"/>
      <c r="K216" s="49"/>
      <c r="L216" s="50"/>
      <c r="M216" s="43" t="str">
        <f aca="false">IF(OR($L216="",$F216=""),"",IFERROR($L216/INDEX(Cadastro!$E$6:$E$8,MATCH($F216,Cadastro!$B$6:$B$8,0)),""))</f>
        <v/>
      </c>
      <c r="N216" s="43" t="str">
        <f aca="false">IF(OR($L216="",$I216="",$I216=0),"",$L216/$I216)</f>
        <v/>
      </c>
      <c r="O216" s="51"/>
    </row>
    <row r="217" customFormat="false" ht="15" hidden="false" customHeight="false" outlineLevel="0" collapsed="false">
      <c r="A217" s="45"/>
      <c r="B217" s="37" t="str">
        <f aca="false">IF($A217="","",WEEKNUM($A217,2))</f>
        <v/>
      </c>
      <c r="C217" s="37" t="str">
        <f aca="false">IF($A217="","",CHOOSE(WEEKDAY($A217,2),"Seg","Ter","Qua","Qui","Sex","Sáb","Dom"))</f>
        <v/>
      </c>
      <c r="D217" s="46"/>
      <c r="E217" s="47"/>
      <c r="F217" s="47"/>
      <c r="G217" s="48"/>
      <c r="H217" s="49"/>
      <c r="I217" s="50"/>
      <c r="J217" s="48"/>
      <c r="K217" s="49"/>
      <c r="L217" s="50"/>
      <c r="M217" s="43" t="str">
        <f aca="false">IF(OR($L217="",$F217=""),"",IFERROR($L217/INDEX(Cadastro!$E$6:$E$8,MATCH($F217,Cadastro!$B$6:$B$8,0)),""))</f>
        <v/>
      </c>
      <c r="N217" s="43" t="str">
        <f aca="false">IF(OR($L217="",$I217="",$I217=0),"",$L217/$I217)</f>
        <v/>
      </c>
      <c r="O217" s="51"/>
    </row>
    <row r="218" customFormat="false" ht="15" hidden="false" customHeight="false" outlineLevel="0" collapsed="false">
      <c r="A218" s="45"/>
      <c r="B218" s="37" t="str">
        <f aca="false">IF($A218="","",WEEKNUM($A218,2))</f>
        <v/>
      </c>
      <c r="C218" s="37" t="str">
        <f aca="false">IF($A218="","",CHOOSE(WEEKDAY($A218,2),"Seg","Ter","Qua","Qui","Sex","Sáb","Dom"))</f>
        <v/>
      </c>
      <c r="D218" s="46"/>
      <c r="E218" s="47"/>
      <c r="F218" s="47"/>
      <c r="G218" s="48"/>
      <c r="H218" s="49"/>
      <c r="I218" s="50"/>
      <c r="J218" s="48"/>
      <c r="K218" s="49"/>
      <c r="L218" s="50"/>
      <c r="M218" s="43" t="str">
        <f aca="false">IF(OR($L218="",$F218=""),"",IFERROR($L218/INDEX(Cadastro!$E$6:$E$8,MATCH($F218,Cadastro!$B$6:$B$8,0)),""))</f>
        <v/>
      </c>
      <c r="N218" s="43" t="str">
        <f aca="false">IF(OR($L218="",$I218="",$I218=0),"",$L218/$I218)</f>
        <v/>
      </c>
      <c r="O218" s="51"/>
    </row>
    <row r="219" customFormat="false" ht="15" hidden="false" customHeight="false" outlineLevel="0" collapsed="false">
      <c r="A219" s="45"/>
      <c r="B219" s="37" t="str">
        <f aca="false">IF($A219="","",WEEKNUM($A219,2))</f>
        <v/>
      </c>
      <c r="C219" s="37" t="str">
        <f aca="false">IF($A219="","",CHOOSE(WEEKDAY($A219,2),"Seg","Ter","Qua","Qui","Sex","Sáb","Dom"))</f>
        <v/>
      </c>
      <c r="D219" s="46"/>
      <c r="E219" s="47"/>
      <c r="F219" s="47"/>
      <c r="G219" s="48"/>
      <c r="H219" s="49"/>
      <c r="I219" s="50"/>
      <c r="J219" s="48"/>
      <c r="K219" s="49"/>
      <c r="L219" s="50"/>
      <c r="M219" s="43" t="str">
        <f aca="false">IF(OR($L219="",$F219=""),"",IFERROR($L219/INDEX(Cadastro!$E$6:$E$8,MATCH($F219,Cadastro!$B$6:$B$8,0)),""))</f>
        <v/>
      </c>
      <c r="N219" s="43" t="str">
        <f aca="false">IF(OR($L219="",$I219="",$I219=0),"",$L219/$I219)</f>
        <v/>
      </c>
      <c r="O219" s="51"/>
    </row>
    <row r="220" customFormat="false" ht="15" hidden="false" customHeight="false" outlineLevel="0" collapsed="false">
      <c r="A220" s="45"/>
      <c r="B220" s="37" t="str">
        <f aca="false">IF($A220="","",WEEKNUM($A220,2))</f>
        <v/>
      </c>
      <c r="C220" s="37" t="str">
        <f aca="false">IF($A220="","",CHOOSE(WEEKDAY($A220,2),"Seg","Ter","Qua","Qui","Sex","Sáb","Dom"))</f>
        <v/>
      </c>
      <c r="D220" s="46"/>
      <c r="E220" s="47"/>
      <c r="F220" s="47"/>
      <c r="G220" s="48"/>
      <c r="H220" s="49"/>
      <c r="I220" s="50"/>
      <c r="J220" s="48"/>
      <c r="K220" s="49"/>
      <c r="L220" s="50"/>
      <c r="M220" s="43" t="str">
        <f aca="false">IF(OR($L220="",$F220=""),"",IFERROR($L220/INDEX(Cadastro!$E$6:$E$8,MATCH($F220,Cadastro!$B$6:$B$8,0)),""))</f>
        <v/>
      </c>
      <c r="N220" s="43" t="str">
        <f aca="false">IF(OR($L220="",$I220="",$I220=0),"",$L220/$I220)</f>
        <v/>
      </c>
      <c r="O220" s="51"/>
    </row>
    <row r="221" customFormat="false" ht="15" hidden="false" customHeight="false" outlineLevel="0" collapsed="false">
      <c r="A221" s="45"/>
      <c r="B221" s="37" t="str">
        <f aca="false">IF($A221="","",WEEKNUM($A221,2))</f>
        <v/>
      </c>
      <c r="C221" s="37" t="str">
        <f aca="false">IF($A221="","",CHOOSE(WEEKDAY($A221,2),"Seg","Ter","Qua","Qui","Sex","Sáb","Dom"))</f>
        <v/>
      </c>
      <c r="D221" s="46"/>
      <c r="E221" s="47"/>
      <c r="F221" s="47"/>
      <c r="G221" s="48"/>
      <c r="H221" s="49"/>
      <c r="I221" s="50"/>
      <c r="J221" s="48"/>
      <c r="K221" s="49"/>
      <c r="L221" s="50"/>
      <c r="M221" s="43" t="str">
        <f aca="false">IF(OR($L221="",$F221=""),"",IFERROR($L221/INDEX(Cadastro!$E$6:$E$8,MATCH($F221,Cadastro!$B$6:$B$8,0)),""))</f>
        <v/>
      </c>
      <c r="N221" s="43" t="str">
        <f aca="false">IF(OR($L221="",$I221="",$I221=0),"",$L221/$I221)</f>
        <v/>
      </c>
      <c r="O221" s="51"/>
    </row>
    <row r="222" customFormat="false" ht="15" hidden="false" customHeight="false" outlineLevel="0" collapsed="false">
      <c r="A222" s="45"/>
      <c r="B222" s="37" t="str">
        <f aca="false">IF($A222="","",WEEKNUM($A222,2))</f>
        <v/>
      </c>
      <c r="C222" s="37" t="str">
        <f aca="false">IF($A222="","",CHOOSE(WEEKDAY($A222,2),"Seg","Ter","Qua","Qui","Sex","Sáb","Dom"))</f>
        <v/>
      </c>
      <c r="D222" s="46"/>
      <c r="E222" s="47"/>
      <c r="F222" s="47"/>
      <c r="G222" s="48"/>
      <c r="H222" s="49"/>
      <c r="I222" s="50"/>
      <c r="J222" s="48"/>
      <c r="K222" s="49"/>
      <c r="L222" s="50"/>
      <c r="M222" s="43" t="str">
        <f aca="false">IF(OR($L222="",$F222=""),"",IFERROR($L222/INDEX(Cadastro!$E$6:$E$8,MATCH($F222,Cadastro!$B$6:$B$8,0)),""))</f>
        <v/>
      </c>
      <c r="N222" s="43" t="str">
        <f aca="false">IF(OR($L222="",$I222="",$I222=0),"",$L222/$I222)</f>
        <v/>
      </c>
      <c r="O222" s="51"/>
    </row>
    <row r="223" customFormat="false" ht="15" hidden="false" customHeight="false" outlineLevel="0" collapsed="false">
      <c r="A223" s="45"/>
      <c r="B223" s="37" t="str">
        <f aca="false">IF($A223="","",WEEKNUM($A223,2))</f>
        <v/>
      </c>
      <c r="C223" s="37" t="str">
        <f aca="false">IF($A223="","",CHOOSE(WEEKDAY($A223,2),"Seg","Ter","Qua","Qui","Sex","Sáb","Dom"))</f>
        <v/>
      </c>
      <c r="D223" s="46"/>
      <c r="E223" s="47"/>
      <c r="F223" s="47"/>
      <c r="G223" s="48"/>
      <c r="H223" s="49"/>
      <c r="I223" s="50"/>
      <c r="J223" s="48"/>
      <c r="K223" s="49"/>
      <c r="L223" s="50"/>
      <c r="M223" s="43" t="str">
        <f aca="false">IF(OR($L223="",$F223=""),"",IFERROR($L223/INDEX(Cadastro!$E$6:$E$8,MATCH($F223,Cadastro!$B$6:$B$8,0)),""))</f>
        <v/>
      </c>
      <c r="N223" s="43" t="str">
        <f aca="false">IF(OR($L223="",$I223="",$I223=0),"",$L223/$I223)</f>
        <v/>
      </c>
      <c r="O223" s="51"/>
    </row>
    <row r="224" customFormat="false" ht="15" hidden="false" customHeight="false" outlineLevel="0" collapsed="false">
      <c r="A224" s="45"/>
      <c r="B224" s="37" t="str">
        <f aca="false">IF($A224="","",WEEKNUM($A224,2))</f>
        <v/>
      </c>
      <c r="C224" s="37" t="str">
        <f aca="false">IF($A224="","",CHOOSE(WEEKDAY($A224,2),"Seg","Ter","Qua","Qui","Sex","Sáb","Dom"))</f>
        <v/>
      </c>
      <c r="D224" s="46"/>
      <c r="E224" s="47"/>
      <c r="F224" s="47"/>
      <c r="G224" s="48"/>
      <c r="H224" s="49"/>
      <c r="I224" s="50"/>
      <c r="J224" s="48"/>
      <c r="K224" s="49"/>
      <c r="L224" s="50"/>
      <c r="M224" s="43" t="str">
        <f aca="false">IF(OR($L224="",$F224=""),"",IFERROR($L224/INDEX(Cadastro!$E$6:$E$8,MATCH($F224,Cadastro!$B$6:$B$8,0)),""))</f>
        <v/>
      </c>
      <c r="N224" s="43" t="str">
        <f aca="false">IF(OR($L224="",$I224="",$I224=0),"",$L224/$I224)</f>
        <v/>
      </c>
      <c r="O224" s="51"/>
    </row>
    <row r="225" customFormat="false" ht="15" hidden="false" customHeight="false" outlineLevel="0" collapsed="false">
      <c r="A225" s="45"/>
      <c r="B225" s="37" t="str">
        <f aca="false">IF($A225="","",WEEKNUM($A225,2))</f>
        <v/>
      </c>
      <c r="C225" s="37" t="str">
        <f aca="false">IF($A225="","",CHOOSE(WEEKDAY($A225,2),"Seg","Ter","Qua","Qui","Sex","Sáb","Dom"))</f>
        <v/>
      </c>
      <c r="D225" s="46"/>
      <c r="E225" s="47"/>
      <c r="F225" s="47"/>
      <c r="G225" s="48"/>
      <c r="H225" s="49"/>
      <c r="I225" s="50"/>
      <c r="J225" s="48"/>
      <c r="K225" s="49"/>
      <c r="L225" s="50"/>
      <c r="M225" s="43" t="str">
        <f aca="false">IF(OR($L225="",$F225=""),"",IFERROR($L225/INDEX(Cadastro!$E$6:$E$8,MATCH($F225,Cadastro!$B$6:$B$8,0)),""))</f>
        <v/>
      </c>
      <c r="N225" s="43" t="str">
        <f aca="false">IF(OR($L225="",$I225="",$I225=0),"",$L225/$I225)</f>
        <v/>
      </c>
      <c r="O225" s="51"/>
    </row>
    <row r="226" customFormat="false" ht="15" hidden="false" customHeight="false" outlineLevel="0" collapsed="false">
      <c r="A226" s="45"/>
      <c r="B226" s="37" t="str">
        <f aca="false">IF($A226="","",WEEKNUM($A226,2))</f>
        <v/>
      </c>
      <c r="C226" s="37" t="str">
        <f aca="false">IF($A226="","",CHOOSE(WEEKDAY($A226,2),"Seg","Ter","Qua","Qui","Sex","Sáb","Dom"))</f>
        <v/>
      </c>
      <c r="D226" s="46"/>
      <c r="E226" s="47"/>
      <c r="F226" s="47"/>
      <c r="G226" s="48"/>
      <c r="H226" s="49"/>
      <c r="I226" s="50"/>
      <c r="J226" s="48"/>
      <c r="K226" s="49"/>
      <c r="L226" s="50"/>
      <c r="M226" s="43" t="str">
        <f aca="false">IF(OR($L226="",$F226=""),"",IFERROR($L226/INDEX(Cadastro!$E$6:$E$8,MATCH($F226,Cadastro!$B$6:$B$8,0)),""))</f>
        <v/>
      </c>
      <c r="N226" s="43" t="str">
        <f aca="false">IF(OR($L226="",$I226="",$I226=0),"",$L226/$I226)</f>
        <v/>
      </c>
      <c r="O226" s="51"/>
    </row>
    <row r="227" customFormat="false" ht="15" hidden="false" customHeight="false" outlineLevel="0" collapsed="false">
      <c r="A227" s="45"/>
      <c r="B227" s="37" t="str">
        <f aca="false">IF($A227="","",WEEKNUM($A227,2))</f>
        <v/>
      </c>
      <c r="C227" s="37" t="str">
        <f aca="false">IF($A227="","",CHOOSE(WEEKDAY($A227,2),"Seg","Ter","Qua","Qui","Sex","Sáb","Dom"))</f>
        <v/>
      </c>
      <c r="D227" s="46"/>
      <c r="E227" s="47"/>
      <c r="F227" s="47"/>
      <c r="G227" s="48"/>
      <c r="H227" s="49"/>
      <c r="I227" s="50"/>
      <c r="J227" s="48"/>
      <c r="K227" s="49"/>
      <c r="L227" s="50"/>
      <c r="M227" s="43" t="str">
        <f aca="false">IF(OR($L227="",$F227=""),"",IFERROR($L227/INDEX(Cadastro!$E$6:$E$8,MATCH($F227,Cadastro!$B$6:$B$8,0)),""))</f>
        <v/>
      </c>
      <c r="N227" s="43" t="str">
        <f aca="false">IF(OR($L227="",$I227="",$I227=0),"",$L227/$I227)</f>
        <v/>
      </c>
      <c r="O227" s="51"/>
    </row>
    <row r="228" customFormat="false" ht="15" hidden="false" customHeight="false" outlineLevel="0" collapsed="false">
      <c r="A228" s="45"/>
      <c r="B228" s="37" t="str">
        <f aca="false">IF($A228="","",WEEKNUM($A228,2))</f>
        <v/>
      </c>
      <c r="C228" s="37" t="str">
        <f aca="false">IF($A228="","",CHOOSE(WEEKDAY($A228,2),"Seg","Ter","Qua","Qui","Sex","Sáb","Dom"))</f>
        <v/>
      </c>
      <c r="D228" s="46"/>
      <c r="E228" s="47"/>
      <c r="F228" s="47"/>
      <c r="G228" s="48"/>
      <c r="H228" s="49"/>
      <c r="I228" s="50"/>
      <c r="J228" s="48"/>
      <c r="K228" s="49"/>
      <c r="L228" s="50"/>
      <c r="M228" s="43" t="str">
        <f aca="false">IF(OR($L228="",$F228=""),"",IFERROR($L228/INDEX(Cadastro!$E$6:$E$8,MATCH($F228,Cadastro!$B$6:$B$8,0)),""))</f>
        <v/>
      </c>
      <c r="N228" s="43" t="str">
        <f aca="false">IF(OR($L228="",$I228="",$I228=0),"",$L228/$I228)</f>
        <v/>
      </c>
      <c r="O228" s="51"/>
    </row>
    <row r="229" customFormat="false" ht="15" hidden="false" customHeight="false" outlineLevel="0" collapsed="false">
      <c r="A229" s="45"/>
      <c r="B229" s="37" t="str">
        <f aca="false">IF($A229="","",WEEKNUM($A229,2))</f>
        <v/>
      </c>
      <c r="C229" s="37" t="str">
        <f aca="false">IF($A229="","",CHOOSE(WEEKDAY($A229,2),"Seg","Ter","Qua","Qui","Sex","Sáb","Dom"))</f>
        <v/>
      </c>
      <c r="D229" s="46"/>
      <c r="E229" s="47"/>
      <c r="F229" s="47"/>
      <c r="G229" s="48"/>
      <c r="H229" s="49"/>
      <c r="I229" s="50"/>
      <c r="J229" s="48"/>
      <c r="K229" s="49"/>
      <c r="L229" s="50"/>
      <c r="M229" s="43" t="str">
        <f aca="false">IF(OR($L229="",$F229=""),"",IFERROR($L229/INDEX(Cadastro!$E$6:$E$8,MATCH($F229,Cadastro!$B$6:$B$8,0)),""))</f>
        <v/>
      </c>
      <c r="N229" s="43" t="str">
        <f aca="false">IF(OR($L229="",$I229="",$I229=0),"",$L229/$I229)</f>
        <v/>
      </c>
      <c r="O229" s="51"/>
    </row>
    <row r="230" customFormat="false" ht="15" hidden="false" customHeight="false" outlineLevel="0" collapsed="false">
      <c r="A230" s="45"/>
      <c r="B230" s="37" t="str">
        <f aca="false">IF($A230="","",WEEKNUM($A230,2))</f>
        <v/>
      </c>
      <c r="C230" s="37" t="str">
        <f aca="false">IF($A230="","",CHOOSE(WEEKDAY($A230,2),"Seg","Ter","Qua","Qui","Sex","Sáb","Dom"))</f>
        <v/>
      </c>
      <c r="D230" s="46"/>
      <c r="E230" s="47"/>
      <c r="F230" s="47"/>
      <c r="G230" s="48"/>
      <c r="H230" s="49"/>
      <c r="I230" s="50"/>
      <c r="J230" s="48"/>
      <c r="K230" s="49"/>
      <c r="L230" s="50"/>
      <c r="M230" s="43" t="str">
        <f aca="false">IF(OR($L230="",$F230=""),"",IFERROR($L230/INDEX(Cadastro!$E$6:$E$8,MATCH($F230,Cadastro!$B$6:$B$8,0)),""))</f>
        <v/>
      </c>
      <c r="N230" s="43" t="str">
        <f aca="false">IF(OR($L230="",$I230="",$I230=0),"",$L230/$I230)</f>
        <v/>
      </c>
      <c r="O230" s="51"/>
    </row>
    <row r="231" customFormat="false" ht="15" hidden="false" customHeight="false" outlineLevel="0" collapsed="false">
      <c r="A231" s="45"/>
      <c r="B231" s="37" t="str">
        <f aca="false">IF($A231="","",WEEKNUM($A231,2))</f>
        <v/>
      </c>
      <c r="C231" s="37" t="str">
        <f aca="false">IF($A231="","",CHOOSE(WEEKDAY($A231,2),"Seg","Ter","Qua","Qui","Sex","Sáb","Dom"))</f>
        <v/>
      </c>
      <c r="D231" s="46"/>
      <c r="E231" s="47"/>
      <c r="F231" s="47"/>
      <c r="G231" s="48"/>
      <c r="H231" s="49"/>
      <c r="I231" s="50"/>
      <c r="J231" s="48"/>
      <c r="K231" s="49"/>
      <c r="L231" s="50"/>
      <c r="M231" s="43" t="str">
        <f aca="false">IF(OR($L231="",$F231=""),"",IFERROR($L231/INDEX(Cadastro!$E$6:$E$8,MATCH($F231,Cadastro!$B$6:$B$8,0)),""))</f>
        <v/>
      </c>
      <c r="N231" s="43" t="str">
        <f aca="false">IF(OR($L231="",$I231="",$I231=0),"",$L231/$I231)</f>
        <v/>
      </c>
      <c r="O231" s="51"/>
    </row>
    <row r="232" customFormat="false" ht="15" hidden="false" customHeight="false" outlineLevel="0" collapsed="false">
      <c r="A232" s="45"/>
      <c r="B232" s="37" t="str">
        <f aca="false">IF($A232="","",WEEKNUM($A232,2))</f>
        <v/>
      </c>
      <c r="C232" s="37" t="str">
        <f aca="false">IF($A232="","",CHOOSE(WEEKDAY($A232,2),"Seg","Ter","Qua","Qui","Sex","Sáb","Dom"))</f>
        <v/>
      </c>
      <c r="D232" s="46"/>
      <c r="E232" s="47"/>
      <c r="F232" s="47"/>
      <c r="G232" s="48"/>
      <c r="H232" s="49"/>
      <c r="I232" s="50"/>
      <c r="J232" s="48"/>
      <c r="K232" s="49"/>
      <c r="L232" s="50"/>
      <c r="M232" s="43" t="str">
        <f aca="false">IF(OR($L232="",$F232=""),"",IFERROR($L232/INDEX(Cadastro!$E$6:$E$8,MATCH($F232,Cadastro!$B$6:$B$8,0)),""))</f>
        <v/>
      </c>
      <c r="N232" s="43" t="str">
        <f aca="false">IF(OR($L232="",$I232="",$I232=0),"",$L232/$I232)</f>
        <v/>
      </c>
      <c r="O232" s="51"/>
    </row>
    <row r="233" customFormat="false" ht="15" hidden="false" customHeight="false" outlineLevel="0" collapsed="false">
      <c r="A233" s="45"/>
      <c r="B233" s="37" t="str">
        <f aca="false">IF($A233="","",WEEKNUM($A233,2))</f>
        <v/>
      </c>
      <c r="C233" s="37" t="str">
        <f aca="false">IF($A233="","",CHOOSE(WEEKDAY($A233,2),"Seg","Ter","Qua","Qui","Sex","Sáb","Dom"))</f>
        <v/>
      </c>
      <c r="D233" s="46"/>
      <c r="E233" s="47"/>
      <c r="F233" s="47"/>
      <c r="G233" s="48"/>
      <c r="H233" s="49"/>
      <c r="I233" s="50"/>
      <c r="J233" s="48"/>
      <c r="K233" s="49"/>
      <c r="L233" s="50"/>
      <c r="M233" s="43" t="str">
        <f aca="false">IF(OR($L233="",$F233=""),"",IFERROR($L233/INDEX(Cadastro!$E$6:$E$8,MATCH($F233,Cadastro!$B$6:$B$8,0)),""))</f>
        <v/>
      </c>
      <c r="N233" s="43" t="str">
        <f aca="false">IF(OR($L233="",$I233="",$I233=0),"",$L233/$I233)</f>
        <v/>
      </c>
      <c r="O233" s="51"/>
    </row>
    <row r="234" customFormat="false" ht="15" hidden="false" customHeight="false" outlineLevel="0" collapsed="false">
      <c r="A234" s="45"/>
      <c r="B234" s="37" t="str">
        <f aca="false">IF($A234="","",WEEKNUM($A234,2))</f>
        <v/>
      </c>
      <c r="C234" s="37" t="str">
        <f aca="false">IF($A234="","",CHOOSE(WEEKDAY($A234,2),"Seg","Ter","Qua","Qui","Sex","Sáb","Dom"))</f>
        <v/>
      </c>
      <c r="D234" s="46"/>
      <c r="E234" s="47"/>
      <c r="F234" s="47"/>
      <c r="G234" s="48"/>
      <c r="H234" s="49"/>
      <c r="I234" s="50"/>
      <c r="J234" s="48"/>
      <c r="K234" s="49"/>
      <c r="L234" s="50"/>
      <c r="M234" s="43" t="str">
        <f aca="false">IF(OR($L234="",$F234=""),"",IFERROR($L234/INDEX(Cadastro!$E$6:$E$8,MATCH($F234,Cadastro!$B$6:$B$8,0)),""))</f>
        <v/>
      </c>
      <c r="N234" s="43" t="str">
        <f aca="false">IF(OR($L234="",$I234="",$I234=0),"",$L234/$I234)</f>
        <v/>
      </c>
      <c r="O234" s="51"/>
    </row>
    <row r="235" customFormat="false" ht="15" hidden="false" customHeight="false" outlineLevel="0" collapsed="false">
      <c r="A235" s="45"/>
      <c r="B235" s="37" t="str">
        <f aca="false">IF($A235="","",WEEKNUM($A235,2))</f>
        <v/>
      </c>
      <c r="C235" s="37" t="str">
        <f aca="false">IF($A235="","",CHOOSE(WEEKDAY($A235,2),"Seg","Ter","Qua","Qui","Sex","Sáb","Dom"))</f>
        <v/>
      </c>
      <c r="D235" s="46"/>
      <c r="E235" s="47"/>
      <c r="F235" s="47"/>
      <c r="G235" s="48"/>
      <c r="H235" s="49"/>
      <c r="I235" s="50"/>
      <c r="J235" s="48"/>
      <c r="K235" s="49"/>
      <c r="L235" s="50"/>
      <c r="M235" s="43" t="str">
        <f aca="false">IF(OR($L235="",$F235=""),"",IFERROR($L235/INDEX(Cadastro!$E$6:$E$8,MATCH($F235,Cadastro!$B$6:$B$8,0)),""))</f>
        <v/>
      </c>
      <c r="N235" s="43" t="str">
        <f aca="false">IF(OR($L235="",$I235="",$I235=0),"",$L235/$I235)</f>
        <v/>
      </c>
      <c r="O235" s="51"/>
    </row>
    <row r="236" customFormat="false" ht="15" hidden="false" customHeight="false" outlineLevel="0" collapsed="false">
      <c r="A236" s="45"/>
      <c r="B236" s="37" t="str">
        <f aca="false">IF($A236="","",WEEKNUM($A236,2))</f>
        <v/>
      </c>
      <c r="C236" s="37" t="str">
        <f aca="false">IF($A236="","",CHOOSE(WEEKDAY($A236,2),"Seg","Ter","Qua","Qui","Sex","Sáb","Dom"))</f>
        <v/>
      </c>
      <c r="D236" s="46"/>
      <c r="E236" s="47"/>
      <c r="F236" s="47"/>
      <c r="G236" s="48"/>
      <c r="H236" s="49"/>
      <c r="I236" s="50"/>
      <c r="J236" s="48"/>
      <c r="K236" s="49"/>
      <c r="L236" s="50"/>
      <c r="M236" s="43" t="str">
        <f aca="false">IF(OR($L236="",$F236=""),"",IFERROR($L236/INDEX(Cadastro!$E$6:$E$8,MATCH($F236,Cadastro!$B$6:$B$8,0)),""))</f>
        <v/>
      </c>
      <c r="N236" s="43" t="str">
        <f aca="false">IF(OR($L236="",$I236="",$I236=0),"",$L236/$I236)</f>
        <v/>
      </c>
      <c r="O236" s="51"/>
    </row>
    <row r="237" customFormat="false" ht="15" hidden="false" customHeight="false" outlineLevel="0" collapsed="false">
      <c r="A237" s="45"/>
      <c r="B237" s="37" t="str">
        <f aca="false">IF($A237="","",WEEKNUM($A237,2))</f>
        <v/>
      </c>
      <c r="C237" s="37" t="str">
        <f aca="false">IF($A237="","",CHOOSE(WEEKDAY($A237,2),"Seg","Ter","Qua","Qui","Sex","Sáb","Dom"))</f>
        <v/>
      </c>
      <c r="D237" s="46"/>
      <c r="E237" s="47"/>
      <c r="F237" s="47"/>
      <c r="G237" s="48"/>
      <c r="H237" s="49"/>
      <c r="I237" s="50"/>
      <c r="J237" s="48"/>
      <c r="K237" s="49"/>
      <c r="L237" s="50"/>
      <c r="M237" s="43" t="str">
        <f aca="false">IF(OR($L237="",$F237=""),"",IFERROR($L237/INDEX(Cadastro!$E$6:$E$8,MATCH($F237,Cadastro!$B$6:$B$8,0)),""))</f>
        <v/>
      </c>
      <c r="N237" s="43" t="str">
        <f aca="false">IF(OR($L237="",$I237="",$I237=0),"",$L237/$I237)</f>
        <v/>
      </c>
      <c r="O237" s="51"/>
    </row>
    <row r="238" customFormat="false" ht="15" hidden="false" customHeight="false" outlineLevel="0" collapsed="false">
      <c r="A238" s="45"/>
      <c r="B238" s="37" t="str">
        <f aca="false">IF($A238="","",WEEKNUM($A238,2))</f>
        <v/>
      </c>
      <c r="C238" s="37" t="str">
        <f aca="false">IF($A238="","",CHOOSE(WEEKDAY($A238,2),"Seg","Ter","Qua","Qui","Sex","Sáb","Dom"))</f>
        <v/>
      </c>
      <c r="D238" s="46"/>
      <c r="E238" s="47"/>
      <c r="F238" s="47"/>
      <c r="G238" s="48"/>
      <c r="H238" s="49"/>
      <c r="I238" s="50"/>
      <c r="J238" s="48"/>
      <c r="K238" s="49"/>
      <c r="L238" s="50"/>
      <c r="M238" s="43" t="str">
        <f aca="false">IF(OR($L238="",$F238=""),"",IFERROR($L238/INDEX(Cadastro!$E$6:$E$8,MATCH($F238,Cadastro!$B$6:$B$8,0)),""))</f>
        <v/>
      </c>
      <c r="N238" s="43" t="str">
        <f aca="false">IF(OR($L238="",$I238="",$I238=0),"",$L238/$I238)</f>
        <v/>
      </c>
      <c r="O238" s="51"/>
    </row>
    <row r="239" customFormat="false" ht="15" hidden="false" customHeight="false" outlineLevel="0" collapsed="false">
      <c r="A239" s="45"/>
      <c r="B239" s="37" t="str">
        <f aca="false">IF($A239="","",WEEKNUM($A239,2))</f>
        <v/>
      </c>
      <c r="C239" s="37" t="str">
        <f aca="false">IF($A239="","",CHOOSE(WEEKDAY($A239,2),"Seg","Ter","Qua","Qui","Sex","Sáb","Dom"))</f>
        <v/>
      </c>
      <c r="D239" s="46"/>
      <c r="E239" s="47"/>
      <c r="F239" s="47"/>
      <c r="G239" s="48"/>
      <c r="H239" s="49"/>
      <c r="I239" s="50"/>
      <c r="J239" s="48"/>
      <c r="K239" s="49"/>
      <c r="L239" s="50"/>
      <c r="M239" s="43" t="str">
        <f aca="false">IF(OR($L239="",$F239=""),"",IFERROR($L239/INDEX(Cadastro!$E$6:$E$8,MATCH($F239,Cadastro!$B$6:$B$8,0)),""))</f>
        <v/>
      </c>
      <c r="N239" s="43" t="str">
        <f aca="false">IF(OR($L239="",$I239="",$I239=0),"",$L239/$I239)</f>
        <v/>
      </c>
      <c r="O239" s="51"/>
    </row>
    <row r="240" customFormat="false" ht="15" hidden="false" customHeight="false" outlineLevel="0" collapsed="false">
      <c r="A240" s="45"/>
      <c r="B240" s="37" t="str">
        <f aca="false">IF($A240="","",WEEKNUM($A240,2))</f>
        <v/>
      </c>
      <c r="C240" s="37" t="str">
        <f aca="false">IF($A240="","",CHOOSE(WEEKDAY($A240,2),"Seg","Ter","Qua","Qui","Sex","Sáb","Dom"))</f>
        <v/>
      </c>
      <c r="D240" s="46"/>
      <c r="E240" s="47"/>
      <c r="F240" s="47"/>
      <c r="G240" s="48"/>
      <c r="H240" s="49"/>
      <c r="I240" s="50"/>
      <c r="J240" s="48"/>
      <c r="K240" s="49"/>
      <c r="L240" s="50"/>
      <c r="M240" s="43" t="str">
        <f aca="false">IF(OR($L240="",$F240=""),"",IFERROR($L240/INDEX(Cadastro!$E$6:$E$8,MATCH($F240,Cadastro!$B$6:$B$8,0)),""))</f>
        <v/>
      </c>
      <c r="N240" s="43" t="str">
        <f aca="false">IF(OR($L240="",$I240="",$I240=0),"",$L240/$I240)</f>
        <v/>
      </c>
      <c r="O240" s="51"/>
    </row>
    <row r="241" customFormat="false" ht="15" hidden="false" customHeight="false" outlineLevel="0" collapsed="false">
      <c r="A241" s="45"/>
      <c r="B241" s="37" t="str">
        <f aca="false">IF($A241="","",WEEKNUM($A241,2))</f>
        <v/>
      </c>
      <c r="C241" s="37" t="str">
        <f aca="false">IF($A241="","",CHOOSE(WEEKDAY($A241,2),"Seg","Ter","Qua","Qui","Sex","Sáb","Dom"))</f>
        <v/>
      </c>
      <c r="D241" s="46"/>
      <c r="E241" s="47"/>
      <c r="F241" s="47"/>
      <c r="G241" s="48"/>
      <c r="H241" s="49"/>
      <c r="I241" s="50"/>
      <c r="J241" s="48"/>
      <c r="K241" s="49"/>
      <c r="L241" s="50"/>
      <c r="M241" s="43" t="str">
        <f aca="false">IF(OR($L241="",$F241=""),"",IFERROR($L241/INDEX(Cadastro!$E$6:$E$8,MATCH($F241,Cadastro!$B$6:$B$8,0)),""))</f>
        <v/>
      </c>
      <c r="N241" s="43" t="str">
        <f aca="false">IF(OR($L241="",$I241="",$I241=0),"",$L241/$I241)</f>
        <v/>
      </c>
      <c r="O241" s="51"/>
    </row>
    <row r="242" customFormat="false" ht="15" hidden="false" customHeight="false" outlineLevel="0" collapsed="false">
      <c r="A242" s="45"/>
      <c r="B242" s="37" t="str">
        <f aca="false">IF($A242="","",WEEKNUM($A242,2))</f>
        <v/>
      </c>
      <c r="C242" s="37" t="str">
        <f aca="false">IF($A242="","",CHOOSE(WEEKDAY($A242,2),"Seg","Ter","Qua","Qui","Sex","Sáb","Dom"))</f>
        <v/>
      </c>
      <c r="D242" s="46"/>
      <c r="E242" s="47"/>
      <c r="F242" s="47"/>
      <c r="G242" s="48"/>
      <c r="H242" s="49"/>
      <c r="I242" s="50"/>
      <c r="J242" s="48"/>
      <c r="K242" s="49"/>
      <c r="L242" s="50"/>
      <c r="M242" s="43" t="str">
        <f aca="false">IF(OR($L242="",$F242=""),"",IFERROR($L242/INDEX(Cadastro!$E$6:$E$8,MATCH($F242,Cadastro!$B$6:$B$8,0)),""))</f>
        <v/>
      </c>
      <c r="N242" s="43" t="str">
        <f aca="false">IF(OR($L242="",$I242="",$I242=0),"",$L242/$I242)</f>
        <v/>
      </c>
      <c r="O242" s="51"/>
    </row>
    <row r="243" customFormat="false" ht="15" hidden="false" customHeight="false" outlineLevel="0" collapsed="false">
      <c r="A243" s="45"/>
      <c r="B243" s="37" t="str">
        <f aca="false">IF($A243="","",WEEKNUM($A243,2))</f>
        <v/>
      </c>
      <c r="C243" s="37" t="str">
        <f aca="false">IF($A243="","",CHOOSE(WEEKDAY($A243,2),"Seg","Ter","Qua","Qui","Sex","Sáb","Dom"))</f>
        <v/>
      </c>
      <c r="D243" s="46"/>
      <c r="E243" s="47"/>
      <c r="F243" s="47"/>
      <c r="G243" s="48"/>
      <c r="H243" s="49"/>
      <c r="I243" s="50"/>
      <c r="J243" s="48"/>
      <c r="K243" s="49"/>
      <c r="L243" s="50"/>
      <c r="M243" s="43" t="str">
        <f aca="false">IF(OR($L243="",$F243=""),"",IFERROR($L243/INDEX(Cadastro!$E$6:$E$8,MATCH($F243,Cadastro!$B$6:$B$8,0)),""))</f>
        <v/>
      </c>
      <c r="N243" s="43" t="str">
        <f aca="false">IF(OR($L243="",$I243="",$I243=0),"",$L243/$I243)</f>
        <v/>
      </c>
      <c r="O243" s="51"/>
    </row>
    <row r="244" customFormat="false" ht="15" hidden="false" customHeight="false" outlineLevel="0" collapsed="false">
      <c r="A244" s="45"/>
      <c r="B244" s="37" t="str">
        <f aca="false">IF($A244="","",WEEKNUM($A244,2))</f>
        <v/>
      </c>
      <c r="C244" s="37" t="str">
        <f aca="false">IF($A244="","",CHOOSE(WEEKDAY($A244,2),"Seg","Ter","Qua","Qui","Sex","Sáb","Dom"))</f>
        <v/>
      </c>
      <c r="D244" s="46"/>
      <c r="E244" s="47"/>
      <c r="F244" s="47"/>
      <c r="G244" s="48"/>
      <c r="H244" s="49"/>
      <c r="I244" s="50"/>
      <c r="J244" s="48"/>
      <c r="K244" s="49"/>
      <c r="L244" s="50"/>
      <c r="M244" s="43" t="str">
        <f aca="false">IF(OR($L244="",$F244=""),"",IFERROR($L244/INDEX(Cadastro!$E$6:$E$8,MATCH($F244,Cadastro!$B$6:$B$8,0)),""))</f>
        <v/>
      </c>
      <c r="N244" s="43" t="str">
        <f aca="false">IF(OR($L244="",$I244="",$I244=0),"",$L244/$I244)</f>
        <v/>
      </c>
      <c r="O244" s="51"/>
    </row>
    <row r="245" customFormat="false" ht="15" hidden="false" customHeight="false" outlineLevel="0" collapsed="false">
      <c r="A245" s="45"/>
      <c r="B245" s="37" t="str">
        <f aca="false">IF($A245="","",WEEKNUM($A245,2))</f>
        <v/>
      </c>
      <c r="C245" s="37" t="str">
        <f aca="false">IF($A245="","",CHOOSE(WEEKDAY($A245,2),"Seg","Ter","Qua","Qui","Sex","Sáb","Dom"))</f>
        <v/>
      </c>
      <c r="D245" s="46"/>
      <c r="E245" s="47"/>
      <c r="F245" s="47"/>
      <c r="G245" s="48"/>
      <c r="H245" s="49"/>
      <c r="I245" s="50"/>
      <c r="J245" s="48"/>
      <c r="K245" s="49"/>
      <c r="L245" s="50"/>
      <c r="M245" s="43" t="str">
        <f aca="false">IF(OR($L245="",$F245=""),"",IFERROR($L245/INDEX(Cadastro!$E$6:$E$8,MATCH($F245,Cadastro!$B$6:$B$8,0)),""))</f>
        <v/>
      </c>
      <c r="N245" s="43" t="str">
        <f aca="false">IF(OR($L245="",$I245="",$I245=0),"",$L245/$I245)</f>
        <v/>
      </c>
      <c r="O245" s="51"/>
    </row>
    <row r="246" customFormat="false" ht="15" hidden="false" customHeight="false" outlineLevel="0" collapsed="false">
      <c r="A246" s="45"/>
      <c r="B246" s="37" t="str">
        <f aca="false">IF($A246="","",WEEKNUM($A246,2))</f>
        <v/>
      </c>
      <c r="C246" s="37" t="str">
        <f aca="false">IF($A246="","",CHOOSE(WEEKDAY($A246,2),"Seg","Ter","Qua","Qui","Sex","Sáb","Dom"))</f>
        <v/>
      </c>
      <c r="D246" s="46"/>
      <c r="E246" s="47"/>
      <c r="F246" s="47"/>
      <c r="G246" s="48"/>
      <c r="H246" s="49"/>
      <c r="I246" s="50"/>
      <c r="J246" s="48"/>
      <c r="K246" s="49"/>
      <c r="L246" s="50"/>
      <c r="M246" s="43" t="str">
        <f aca="false">IF(OR($L246="",$F246=""),"",IFERROR($L246/INDEX(Cadastro!$E$6:$E$8,MATCH($F246,Cadastro!$B$6:$B$8,0)),""))</f>
        <v/>
      </c>
      <c r="N246" s="43" t="str">
        <f aca="false">IF(OR($L246="",$I246="",$I246=0),"",$L246/$I246)</f>
        <v/>
      </c>
      <c r="O246" s="51"/>
    </row>
    <row r="247" customFormat="false" ht="15" hidden="false" customHeight="false" outlineLevel="0" collapsed="false">
      <c r="A247" s="45"/>
      <c r="B247" s="37" t="str">
        <f aca="false">IF($A247="","",WEEKNUM($A247,2))</f>
        <v/>
      </c>
      <c r="C247" s="37" t="str">
        <f aca="false">IF($A247="","",CHOOSE(WEEKDAY($A247,2),"Seg","Ter","Qua","Qui","Sex","Sáb","Dom"))</f>
        <v/>
      </c>
      <c r="D247" s="46"/>
      <c r="E247" s="47"/>
      <c r="F247" s="47"/>
      <c r="G247" s="48"/>
      <c r="H247" s="49"/>
      <c r="I247" s="50"/>
      <c r="J247" s="48"/>
      <c r="K247" s="49"/>
      <c r="L247" s="50"/>
      <c r="M247" s="43" t="str">
        <f aca="false">IF(OR($L247="",$F247=""),"",IFERROR($L247/INDEX(Cadastro!$E$6:$E$8,MATCH($F247,Cadastro!$B$6:$B$8,0)),""))</f>
        <v/>
      </c>
      <c r="N247" s="43" t="str">
        <f aca="false">IF(OR($L247="",$I247="",$I247=0),"",$L247/$I247)</f>
        <v/>
      </c>
      <c r="O247" s="51"/>
    </row>
    <row r="248" customFormat="false" ht="15" hidden="false" customHeight="false" outlineLevel="0" collapsed="false">
      <c r="A248" s="45"/>
      <c r="B248" s="37" t="str">
        <f aca="false">IF($A248="","",WEEKNUM($A248,2))</f>
        <v/>
      </c>
      <c r="C248" s="37" t="str">
        <f aca="false">IF($A248="","",CHOOSE(WEEKDAY($A248,2),"Seg","Ter","Qua","Qui","Sex","Sáb","Dom"))</f>
        <v/>
      </c>
      <c r="D248" s="46"/>
      <c r="E248" s="47"/>
      <c r="F248" s="47"/>
      <c r="G248" s="48"/>
      <c r="H248" s="49"/>
      <c r="I248" s="50"/>
      <c r="J248" s="48"/>
      <c r="K248" s="49"/>
      <c r="L248" s="50"/>
      <c r="M248" s="43" t="str">
        <f aca="false">IF(OR($L248="",$F248=""),"",IFERROR($L248/INDEX(Cadastro!$E$6:$E$8,MATCH($F248,Cadastro!$B$6:$B$8,0)),""))</f>
        <v/>
      </c>
      <c r="N248" s="43" t="str">
        <f aca="false">IF(OR($L248="",$I248="",$I248=0),"",$L248/$I248)</f>
        <v/>
      </c>
      <c r="O248" s="51"/>
    </row>
    <row r="249" customFormat="false" ht="15" hidden="false" customHeight="false" outlineLevel="0" collapsed="false">
      <c r="A249" s="45"/>
      <c r="B249" s="37" t="str">
        <f aca="false">IF($A249="","",WEEKNUM($A249,2))</f>
        <v/>
      </c>
      <c r="C249" s="37" t="str">
        <f aca="false">IF($A249="","",CHOOSE(WEEKDAY($A249,2),"Seg","Ter","Qua","Qui","Sex","Sáb","Dom"))</f>
        <v/>
      </c>
      <c r="D249" s="46"/>
      <c r="E249" s="47"/>
      <c r="F249" s="47"/>
      <c r="G249" s="48"/>
      <c r="H249" s="49"/>
      <c r="I249" s="50"/>
      <c r="J249" s="48"/>
      <c r="K249" s="49"/>
      <c r="L249" s="50"/>
      <c r="M249" s="43" t="str">
        <f aca="false">IF(OR($L249="",$F249=""),"",IFERROR($L249/INDEX(Cadastro!$E$6:$E$8,MATCH($F249,Cadastro!$B$6:$B$8,0)),""))</f>
        <v/>
      </c>
      <c r="N249" s="43" t="str">
        <f aca="false">IF(OR($L249="",$I249="",$I249=0),"",$L249/$I249)</f>
        <v/>
      </c>
      <c r="O249" s="51"/>
    </row>
    <row r="250" customFormat="false" ht="15" hidden="false" customHeight="false" outlineLevel="0" collapsed="false">
      <c r="A250" s="45"/>
      <c r="B250" s="37" t="str">
        <f aca="false">IF($A250="","",WEEKNUM($A250,2))</f>
        <v/>
      </c>
      <c r="C250" s="37" t="str">
        <f aca="false">IF($A250="","",CHOOSE(WEEKDAY($A250,2),"Seg","Ter","Qua","Qui","Sex","Sáb","Dom"))</f>
        <v/>
      </c>
      <c r="D250" s="46"/>
      <c r="E250" s="47"/>
      <c r="F250" s="47"/>
      <c r="G250" s="48"/>
      <c r="H250" s="49"/>
      <c r="I250" s="50"/>
      <c r="J250" s="48"/>
      <c r="K250" s="49"/>
      <c r="L250" s="50"/>
      <c r="M250" s="43" t="str">
        <f aca="false">IF(OR($L250="",$F250=""),"",IFERROR($L250/INDEX(Cadastro!$E$6:$E$8,MATCH($F250,Cadastro!$B$6:$B$8,0)),""))</f>
        <v/>
      </c>
      <c r="N250" s="43" t="str">
        <f aca="false">IF(OR($L250="",$I250="",$I250=0),"",$L250/$I250)</f>
        <v/>
      </c>
      <c r="O250" s="51"/>
    </row>
    <row r="251" customFormat="false" ht="15" hidden="false" customHeight="false" outlineLevel="0" collapsed="false">
      <c r="A251" s="45"/>
      <c r="B251" s="37" t="str">
        <f aca="false">IF($A251="","",WEEKNUM($A251,2))</f>
        <v/>
      </c>
      <c r="C251" s="37" t="str">
        <f aca="false">IF($A251="","",CHOOSE(WEEKDAY($A251,2),"Seg","Ter","Qua","Qui","Sex","Sáb","Dom"))</f>
        <v/>
      </c>
      <c r="D251" s="46"/>
      <c r="E251" s="47"/>
      <c r="F251" s="47"/>
      <c r="G251" s="48"/>
      <c r="H251" s="49"/>
      <c r="I251" s="50"/>
      <c r="J251" s="48"/>
      <c r="K251" s="49"/>
      <c r="L251" s="50"/>
      <c r="M251" s="43" t="str">
        <f aca="false">IF(OR($L251="",$F251=""),"",IFERROR($L251/INDEX(Cadastro!$E$6:$E$8,MATCH($F251,Cadastro!$B$6:$B$8,0)),""))</f>
        <v/>
      </c>
      <c r="N251" s="43" t="str">
        <f aca="false">IF(OR($L251="",$I251="",$I251=0),"",$L251/$I251)</f>
        <v/>
      </c>
      <c r="O251" s="51"/>
    </row>
    <row r="252" customFormat="false" ht="15" hidden="false" customHeight="false" outlineLevel="0" collapsed="false">
      <c r="A252" s="45"/>
      <c r="B252" s="37" t="str">
        <f aca="false">IF($A252="","",WEEKNUM($A252,2))</f>
        <v/>
      </c>
      <c r="C252" s="37" t="str">
        <f aca="false">IF($A252="","",CHOOSE(WEEKDAY($A252,2),"Seg","Ter","Qua","Qui","Sex","Sáb","Dom"))</f>
        <v/>
      </c>
      <c r="D252" s="46"/>
      <c r="E252" s="47"/>
      <c r="F252" s="47"/>
      <c r="G252" s="48"/>
      <c r="H252" s="49"/>
      <c r="I252" s="50"/>
      <c r="J252" s="48"/>
      <c r="K252" s="49"/>
      <c r="L252" s="50"/>
      <c r="M252" s="43" t="str">
        <f aca="false">IF(OR($L252="",$F252=""),"",IFERROR($L252/INDEX(Cadastro!$E$6:$E$8,MATCH($F252,Cadastro!$B$6:$B$8,0)),""))</f>
        <v/>
      </c>
      <c r="N252" s="43" t="str">
        <f aca="false">IF(OR($L252="",$I252="",$I252=0),"",$L252/$I252)</f>
        <v/>
      </c>
      <c r="O252" s="51"/>
    </row>
    <row r="253" customFormat="false" ht="15" hidden="false" customHeight="false" outlineLevel="0" collapsed="false">
      <c r="A253" s="45"/>
      <c r="B253" s="37" t="str">
        <f aca="false">IF($A253="","",WEEKNUM($A253,2))</f>
        <v/>
      </c>
      <c r="C253" s="37" t="str">
        <f aca="false">IF($A253="","",CHOOSE(WEEKDAY($A253,2),"Seg","Ter","Qua","Qui","Sex","Sáb","Dom"))</f>
        <v/>
      </c>
      <c r="D253" s="46"/>
      <c r="E253" s="47"/>
      <c r="F253" s="47"/>
      <c r="G253" s="48"/>
      <c r="H253" s="49"/>
      <c r="I253" s="50"/>
      <c r="J253" s="48"/>
      <c r="K253" s="49"/>
      <c r="L253" s="50"/>
      <c r="M253" s="43" t="str">
        <f aca="false">IF(OR($L253="",$F253=""),"",IFERROR($L253/INDEX(Cadastro!$E$6:$E$8,MATCH($F253,Cadastro!$B$6:$B$8,0)),""))</f>
        <v/>
      </c>
      <c r="N253" s="43" t="str">
        <f aca="false">IF(OR($L253="",$I253="",$I253=0),"",$L253/$I253)</f>
        <v/>
      </c>
      <c r="O253" s="51"/>
    </row>
    <row r="254" customFormat="false" ht="15" hidden="false" customHeight="false" outlineLevel="0" collapsed="false">
      <c r="A254" s="45"/>
      <c r="B254" s="37" t="str">
        <f aca="false">IF($A254="","",WEEKNUM($A254,2))</f>
        <v/>
      </c>
      <c r="C254" s="37" t="str">
        <f aca="false">IF($A254="","",CHOOSE(WEEKDAY($A254,2),"Seg","Ter","Qua","Qui","Sex","Sáb","Dom"))</f>
        <v/>
      </c>
      <c r="D254" s="46"/>
      <c r="E254" s="47"/>
      <c r="F254" s="47"/>
      <c r="G254" s="48"/>
      <c r="H254" s="49"/>
      <c r="I254" s="50"/>
      <c r="J254" s="48"/>
      <c r="K254" s="49"/>
      <c r="L254" s="50"/>
      <c r="M254" s="43" t="str">
        <f aca="false">IF(OR($L254="",$F254=""),"",IFERROR($L254/INDEX(Cadastro!$E$6:$E$8,MATCH($F254,Cadastro!$B$6:$B$8,0)),""))</f>
        <v/>
      </c>
      <c r="N254" s="43" t="str">
        <f aca="false">IF(OR($L254="",$I254="",$I254=0),"",$L254/$I254)</f>
        <v/>
      </c>
      <c r="O254" s="51"/>
    </row>
    <row r="255" customFormat="false" ht="15" hidden="false" customHeight="false" outlineLevel="0" collapsed="false">
      <c r="A255" s="45"/>
      <c r="B255" s="37" t="str">
        <f aca="false">IF($A255="","",WEEKNUM($A255,2))</f>
        <v/>
      </c>
      <c r="C255" s="37" t="str">
        <f aca="false">IF($A255="","",CHOOSE(WEEKDAY($A255,2),"Seg","Ter","Qua","Qui","Sex","Sáb","Dom"))</f>
        <v/>
      </c>
      <c r="D255" s="46"/>
      <c r="E255" s="47"/>
      <c r="F255" s="47"/>
      <c r="G255" s="48"/>
      <c r="H255" s="49"/>
      <c r="I255" s="50"/>
      <c r="J255" s="48"/>
      <c r="K255" s="49"/>
      <c r="L255" s="50"/>
      <c r="M255" s="43" t="str">
        <f aca="false">IF(OR($L255="",$F255=""),"",IFERROR($L255/INDEX(Cadastro!$E$6:$E$8,MATCH($F255,Cadastro!$B$6:$B$8,0)),""))</f>
        <v/>
      </c>
      <c r="N255" s="43" t="str">
        <f aca="false">IF(OR($L255="",$I255="",$I255=0),"",$L255/$I255)</f>
        <v/>
      </c>
      <c r="O255" s="51"/>
    </row>
    <row r="256" customFormat="false" ht="15" hidden="false" customHeight="false" outlineLevel="0" collapsed="false">
      <c r="A256" s="45"/>
      <c r="B256" s="37" t="str">
        <f aca="false">IF($A256="","",WEEKNUM($A256,2))</f>
        <v/>
      </c>
      <c r="C256" s="37" t="str">
        <f aca="false">IF($A256="","",CHOOSE(WEEKDAY($A256,2),"Seg","Ter","Qua","Qui","Sex","Sáb","Dom"))</f>
        <v/>
      </c>
      <c r="D256" s="46"/>
      <c r="E256" s="47"/>
      <c r="F256" s="47"/>
      <c r="G256" s="48"/>
      <c r="H256" s="49"/>
      <c r="I256" s="50"/>
      <c r="J256" s="48"/>
      <c r="K256" s="49"/>
      <c r="L256" s="50"/>
      <c r="M256" s="43" t="str">
        <f aca="false">IF(OR($L256="",$F256=""),"",IFERROR($L256/INDEX(Cadastro!$E$6:$E$8,MATCH($F256,Cadastro!$B$6:$B$8,0)),""))</f>
        <v/>
      </c>
      <c r="N256" s="43" t="str">
        <f aca="false">IF(OR($L256="",$I256="",$I256=0),"",$L256/$I256)</f>
        <v/>
      </c>
      <c r="O256" s="51"/>
    </row>
    <row r="257" customFormat="false" ht="15" hidden="false" customHeight="false" outlineLevel="0" collapsed="false">
      <c r="A257" s="45"/>
      <c r="B257" s="37" t="str">
        <f aca="false">IF($A257="","",WEEKNUM($A257,2))</f>
        <v/>
      </c>
      <c r="C257" s="37" t="str">
        <f aca="false">IF($A257="","",CHOOSE(WEEKDAY($A257,2),"Seg","Ter","Qua","Qui","Sex","Sáb","Dom"))</f>
        <v/>
      </c>
      <c r="D257" s="46"/>
      <c r="E257" s="47"/>
      <c r="F257" s="47"/>
      <c r="G257" s="48"/>
      <c r="H257" s="49"/>
      <c r="I257" s="50"/>
      <c r="J257" s="48"/>
      <c r="K257" s="49"/>
      <c r="L257" s="50"/>
      <c r="M257" s="43" t="str">
        <f aca="false">IF(OR($L257="",$F257=""),"",IFERROR($L257/INDEX(Cadastro!$E$6:$E$8,MATCH($F257,Cadastro!$B$6:$B$8,0)),""))</f>
        <v/>
      </c>
      <c r="N257" s="43" t="str">
        <f aca="false">IF(OR($L257="",$I257="",$I257=0),"",$L257/$I257)</f>
        <v/>
      </c>
      <c r="O257" s="51"/>
    </row>
    <row r="258" customFormat="false" ht="15" hidden="false" customHeight="false" outlineLevel="0" collapsed="false">
      <c r="A258" s="45"/>
      <c r="B258" s="37" t="str">
        <f aca="false">IF($A258="","",WEEKNUM($A258,2))</f>
        <v/>
      </c>
      <c r="C258" s="37" t="str">
        <f aca="false">IF($A258="","",CHOOSE(WEEKDAY($A258,2),"Seg","Ter","Qua","Qui","Sex","Sáb","Dom"))</f>
        <v/>
      </c>
      <c r="D258" s="46"/>
      <c r="E258" s="47"/>
      <c r="F258" s="47"/>
      <c r="G258" s="48"/>
      <c r="H258" s="49"/>
      <c r="I258" s="50"/>
      <c r="J258" s="48"/>
      <c r="K258" s="49"/>
      <c r="L258" s="50"/>
      <c r="M258" s="43" t="str">
        <f aca="false">IF(OR($L258="",$F258=""),"",IFERROR($L258/INDEX(Cadastro!$E$6:$E$8,MATCH($F258,Cadastro!$B$6:$B$8,0)),""))</f>
        <v/>
      </c>
      <c r="N258" s="43" t="str">
        <f aca="false">IF(OR($L258="",$I258="",$I258=0),"",$L258/$I258)</f>
        <v/>
      </c>
      <c r="O258" s="51"/>
    </row>
    <row r="259" customFormat="false" ht="15" hidden="false" customHeight="false" outlineLevel="0" collapsed="false">
      <c r="A259" s="45"/>
      <c r="B259" s="37" t="str">
        <f aca="false">IF($A259="","",WEEKNUM($A259,2))</f>
        <v/>
      </c>
      <c r="C259" s="37" t="str">
        <f aca="false">IF($A259="","",CHOOSE(WEEKDAY($A259,2),"Seg","Ter","Qua","Qui","Sex","Sáb","Dom"))</f>
        <v/>
      </c>
      <c r="D259" s="46"/>
      <c r="E259" s="47"/>
      <c r="F259" s="47"/>
      <c r="G259" s="48"/>
      <c r="H259" s="49"/>
      <c r="I259" s="50"/>
      <c r="J259" s="48"/>
      <c r="K259" s="49"/>
      <c r="L259" s="50"/>
      <c r="M259" s="43" t="str">
        <f aca="false">IF(OR($L259="",$F259=""),"",IFERROR($L259/INDEX(Cadastro!$E$6:$E$8,MATCH($F259,Cadastro!$B$6:$B$8,0)),""))</f>
        <v/>
      </c>
      <c r="N259" s="43" t="str">
        <f aca="false">IF(OR($L259="",$I259="",$I259=0),"",$L259/$I259)</f>
        <v/>
      </c>
      <c r="O259" s="51"/>
    </row>
    <row r="260" customFormat="false" ht="15" hidden="false" customHeight="false" outlineLevel="0" collapsed="false">
      <c r="A260" s="45"/>
      <c r="B260" s="37" t="str">
        <f aca="false">IF($A260="","",WEEKNUM($A260,2))</f>
        <v/>
      </c>
      <c r="C260" s="37" t="str">
        <f aca="false">IF($A260="","",CHOOSE(WEEKDAY($A260,2),"Seg","Ter","Qua","Qui","Sex","Sáb","Dom"))</f>
        <v/>
      </c>
      <c r="D260" s="46"/>
      <c r="E260" s="47"/>
      <c r="F260" s="47"/>
      <c r="G260" s="48"/>
      <c r="H260" s="49"/>
      <c r="I260" s="50"/>
      <c r="J260" s="48"/>
      <c r="K260" s="49"/>
      <c r="L260" s="50"/>
      <c r="M260" s="43" t="str">
        <f aca="false">IF(OR($L260="",$F260=""),"",IFERROR($L260/INDEX(Cadastro!$E$6:$E$8,MATCH($F260,Cadastro!$B$6:$B$8,0)),""))</f>
        <v/>
      </c>
      <c r="N260" s="43" t="str">
        <f aca="false">IF(OR($L260="",$I260="",$I260=0),"",$L260/$I260)</f>
        <v/>
      </c>
      <c r="O260" s="51"/>
    </row>
    <row r="261" customFormat="false" ht="15" hidden="false" customHeight="false" outlineLevel="0" collapsed="false">
      <c r="A261" s="45"/>
      <c r="B261" s="37" t="str">
        <f aca="false">IF($A261="","",WEEKNUM($A261,2))</f>
        <v/>
      </c>
      <c r="C261" s="37" t="str">
        <f aca="false">IF($A261="","",CHOOSE(WEEKDAY($A261,2),"Seg","Ter","Qua","Qui","Sex","Sáb","Dom"))</f>
        <v/>
      </c>
      <c r="D261" s="46"/>
      <c r="E261" s="47"/>
      <c r="F261" s="47"/>
      <c r="G261" s="48"/>
      <c r="H261" s="49"/>
      <c r="I261" s="50"/>
      <c r="J261" s="48"/>
      <c r="K261" s="49"/>
      <c r="L261" s="50"/>
      <c r="M261" s="43" t="str">
        <f aca="false">IF(OR($L261="",$F261=""),"",IFERROR($L261/INDEX(Cadastro!$E$6:$E$8,MATCH($F261,Cadastro!$B$6:$B$8,0)),""))</f>
        <v/>
      </c>
      <c r="N261" s="43" t="str">
        <f aca="false">IF(OR($L261="",$I261="",$I261=0),"",$L261/$I261)</f>
        <v/>
      </c>
      <c r="O261" s="51"/>
    </row>
    <row r="262" customFormat="false" ht="15" hidden="false" customHeight="false" outlineLevel="0" collapsed="false">
      <c r="A262" s="45"/>
      <c r="B262" s="37" t="str">
        <f aca="false">IF($A262="","",WEEKNUM($A262,2))</f>
        <v/>
      </c>
      <c r="C262" s="37" t="str">
        <f aca="false">IF($A262="","",CHOOSE(WEEKDAY($A262,2),"Seg","Ter","Qua","Qui","Sex","Sáb","Dom"))</f>
        <v/>
      </c>
      <c r="D262" s="46"/>
      <c r="E262" s="47"/>
      <c r="F262" s="47"/>
      <c r="G262" s="48"/>
      <c r="H262" s="49"/>
      <c r="I262" s="50"/>
      <c r="J262" s="48"/>
      <c r="K262" s="49"/>
      <c r="L262" s="50"/>
      <c r="M262" s="43" t="str">
        <f aca="false">IF(OR($L262="",$F262=""),"",IFERROR($L262/INDEX(Cadastro!$E$6:$E$8,MATCH($F262,Cadastro!$B$6:$B$8,0)),""))</f>
        <v/>
      </c>
      <c r="N262" s="43" t="str">
        <f aca="false">IF(OR($L262="",$I262="",$I262=0),"",$L262/$I262)</f>
        <v/>
      </c>
      <c r="O262" s="51"/>
    </row>
    <row r="263" customFormat="false" ht="15" hidden="false" customHeight="false" outlineLevel="0" collapsed="false">
      <c r="A263" s="45"/>
      <c r="B263" s="37" t="str">
        <f aca="false">IF($A263="","",WEEKNUM($A263,2))</f>
        <v/>
      </c>
      <c r="C263" s="37" t="str">
        <f aca="false">IF($A263="","",CHOOSE(WEEKDAY($A263,2),"Seg","Ter","Qua","Qui","Sex","Sáb","Dom"))</f>
        <v/>
      </c>
      <c r="D263" s="46"/>
      <c r="E263" s="47"/>
      <c r="F263" s="47"/>
      <c r="G263" s="48"/>
      <c r="H263" s="49"/>
      <c r="I263" s="50"/>
      <c r="J263" s="48"/>
      <c r="K263" s="49"/>
      <c r="L263" s="50"/>
      <c r="M263" s="43" t="str">
        <f aca="false">IF(OR($L263="",$F263=""),"",IFERROR($L263/INDEX(Cadastro!$E$6:$E$8,MATCH($F263,Cadastro!$B$6:$B$8,0)),""))</f>
        <v/>
      </c>
      <c r="N263" s="43" t="str">
        <f aca="false">IF(OR($L263="",$I263="",$I263=0),"",$L263/$I263)</f>
        <v/>
      </c>
      <c r="O263" s="51"/>
    </row>
    <row r="264" customFormat="false" ht="15" hidden="false" customHeight="false" outlineLevel="0" collapsed="false">
      <c r="A264" s="45"/>
      <c r="B264" s="37" t="str">
        <f aca="false">IF($A264="","",WEEKNUM($A264,2))</f>
        <v/>
      </c>
      <c r="C264" s="37" t="str">
        <f aca="false">IF($A264="","",CHOOSE(WEEKDAY($A264,2),"Seg","Ter","Qua","Qui","Sex","Sáb","Dom"))</f>
        <v/>
      </c>
      <c r="D264" s="46"/>
      <c r="E264" s="47"/>
      <c r="F264" s="47"/>
      <c r="G264" s="48"/>
      <c r="H264" s="49"/>
      <c r="I264" s="50"/>
      <c r="J264" s="48"/>
      <c r="K264" s="49"/>
      <c r="L264" s="50"/>
      <c r="M264" s="43" t="str">
        <f aca="false">IF(OR($L264="",$F264=""),"",IFERROR($L264/INDEX(Cadastro!$E$6:$E$8,MATCH($F264,Cadastro!$B$6:$B$8,0)),""))</f>
        <v/>
      </c>
      <c r="N264" s="43" t="str">
        <f aca="false">IF(OR($L264="",$I264="",$I264=0),"",$L264/$I264)</f>
        <v/>
      </c>
      <c r="O264" s="51"/>
    </row>
    <row r="265" customFormat="false" ht="15" hidden="false" customHeight="false" outlineLevel="0" collapsed="false">
      <c r="A265" s="45"/>
      <c r="B265" s="37" t="str">
        <f aca="false">IF($A265="","",WEEKNUM($A265,2))</f>
        <v/>
      </c>
      <c r="C265" s="37" t="str">
        <f aca="false">IF($A265="","",CHOOSE(WEEKDAY($A265,2),"Seg","Ter","Qua","Qui","Sex","Sáb","Dom"))</f>
        <v/>
      </c>
      <c r="D265" s="46"/>
      <c r="E265" s="47"/>
      <c r="F265" s="47"/>
      <c r="G265" s="48"/>
      <c r="H265" s="49"/>
      <c r="I265" s="50"/>
      <c r="J265" s="48"/>
      <c r="K265" s="49"/>
      <c r="L265" s="50"/>
      <c r="M265" s="43" t="str">
        <f aca="false">IF(OR($L265="",$F265=""),"",IFERROR($L265/INDEX(Cadastro!$E$6:$E$8,MATCH($F265,Cadastro!$B$6:$B$8,0)),""))</f>
        <v/>
      </c>
      <c r="N265" s="43" t="str">
        <f aca="false">IF(OR($L265="",$I265="",$I265=0),"",$L265/$I265)</f>
        <v/>
      </c>
      <c r="O265" s="51"/>
    </row>
    <row r="266" customFormat="false" ht="15" hidden="false" customHeight="false" outlineLevel="0" collapsed="false">
      <c r="A266" s="45"/>
      <c r="B266" s="37" t="str">
        <f aca="false">IF($A266="","",WEEKNUM($A266,2))</f>
        <v/>
      </c>
      <c r="C266" s="37" t="str">
        <f aca="false">IF($A266="","",CHOOSE(WEEKDAY($A266,2),"Seg","Ter","Qua","Qui","Sex","Sáb","Dom"))</f>
        <v/>
      </c>
      <c r="D266" s="46"/>
      <c r="E266" s="47"/>
      <c r="F266" s="47"/>
      <c r="G266" s="48"/>
      <c r="H266" s="49"/>
      <c r="I266" s="50"/>
      <c r="J266" s="48"/>
      <c r="K266" s="49"/>
      <c r="L266" s="50"/>
      <c r="M266" s="43" t="str">
        <f aca="false">IF(OR($L266="",$F266=""),"",IFERROR($L266/INDEX(Cadastro!$E$6:$E$8,MATCH($F266,Cadastro!$B$6:$B$8,0)),""))</f>
        <v/>
      </c>
      <c r="N266" s="43" t="str">
        <f aca="false">IF(OR($L266="",$I266="",$I266=0),"",$L266/$I266)</f>
        <v/>
      </c>
      <c r="O266" s="51"/>
    </row>
    <row r="267" customFormat="false" ht="15" hidden="false" customHeight="false" outlineLevel="0" collapsed="false">
      <c r="A267" s="45"/>
      <c r="B267" s="37" t="str">
        <f aca="false">IF($A267="","",WEEKNUM($A267,2))</f>
        <v/>
      </c>
      <c r="C267" s="37" t="str">
        <f aca="false">IF($A267="","",CHOOSE(WEEKDAY($A267,2),"Seg","Ter","Qua","Qui","Sex","Sáb","Dom"))</f>
        <v/>
      </c>
      <c r="D267" s="46"/>
      <c r="E267" s="47"/>
      <c r="F267" s="47"/>
      <c r="G267" s="48"/>
      <c r="H267" s="49"/>
      <c r="I267" s="50"/>
      <c r="J267" s="48"/>
      <c r="K267" s="49"/>
      <c r="L267" s="50"/>
      <c r="M267" s="43" t="str">
        <f aca="false">IF(OR($L267="",$F267=""),"",IFERROR($L267/INDEX(Cadastro!$E$6:$E$8,MATCH($F267,Cadastro!$B$6:$B$8,0)),""))</f>
        <v/>
      </c>
      <c r="N267" s="43" t="str">
        <f aca="false">IF(OR($L267="",$I267="",$I267=0),"",$L267/$I267)</f>
        <v/>
      </c>
      <c r="O267" s="51"/>
    </row>
    <row r="268" customFormat="false" ht="15" hidden="false" customHeight="false" outlineLevel="0" collapsed="false">
      <c r="A268" s="45"/>
      <c r="B268" s="37" t="str">
        <f aca="false">IF($A268="","",WEEKNUM($A268,2))</f>
        <v/>
      </c>
      <c r="C268" s="37" t="str">
        <f aca="false">IF($A268="","",CHOOSE(WEEKDAY($A268,2),"Seg","Ter","Qua","Qui","Sex","Sáb","Dom"))</f>
        <v/>
      </c>
      <c r="D268" s="46"/>
      <c r="E268" s="47"/>
      <c r="F268" s="47"/>
      <c r="G268" s="48"/>
      <c r="H268" s="49"/>
      <c r="I268" s="50"/>
      <c r="J268" s="48"/>
      <c r="K268" s="49"/>
      <c r="L268" s="50"/>
      <c r="M268" s="43" t="str">
        <f aca="false">IF(OR($L268="",$F268=""),"",IFERROR($L268/INDEX(Cadastro!$E$6:$E$8,MATCH($F268,Cadastro!$B$6:$B$8,0)),""))</f>
        <v/>
      </c>
      <c r="N268" s="43" t="str">
        <f aca="false">IF(OR($L268="",$I268="",$I268=0),"",$L268/$I268)</f>
        <v/>
      </c>
      <c r="O268" s="51"/>
    </row>
    <row r="269" customFormat="false" ht="15" hidden="false" customHeight="false" outlineLevel="0" collapsed="false">
      <c r="A269" s="45"/>
      <c r="B269" s="37" t="str">
        <f aca="false">IF($A269="","",WEEKNUM($A269,2))</f>
        <v/>
      </c>
      <c r="C269" s="37" t="str">
        <f aca="false">IF($A269="","",CHOOSE(WEEKDAY($A269,2),"Seg","Ter","Qua","Qui","Sex","Sáb","Dom"))</f>
        <v/>
      </c>
      <c r="D269" s="46"/>
      <c r="E269" s="47"/>
      <c r="F269" s="47"/>
      <c r="G269" s="48"/>
      <c r="H269" s="49"/>
      <c r="I269" s="50"/>
      <c r="J269" s="48"/>
      <c r="K269" s="49"/>
      <c r="L269" s="50"/>
      <c r="M269" s="43" t="str">
        <f aca="false">IF(OR($L269="",$F269=""),"",IFERROR($L269/INDEX(Cadastro!$E$6:$E$8,MATCH($F269,Cadastro!$B$6:$B$8,0)),""))</f>
        <v/>
      </c>
      <c r="N269" s="43" t="str">
        <f aca="false">IF(OR($L269="",$I269="",$I269=0),"",$L269/$I269)</f>
        <v/>
      </c>
      <c r="O269" s="51"/>
    </row>
    <row r="270" customFormat="false" ht="15" hidden="false" customHeight="false" outlineLevel="0" collapsed="false">
      <c r="A270" s="45"/>
      <c r="B270" s="37" t="str">
        <f aca="false">IF($A270="","",WEEKNUM($A270,2))</f>
        <v/>
      </c>
      <c r="C270" s="37" t="str">
        <f aca="false">IF($A270="","",CHOOSE(WEEKDAY($A270,2),"Seg","Ter","Qua","Qui","Sex","Sáb","Dom"))</f>
        <v/>
      </c>
      <c r="D270" s="46"/>
      <c r="E270" s="47"/>
      <c r="F270" s="47"/>
      <c r="G270" s="48"/>
      <c r="H270" s="49"/>
      <c r="I270" s="50"/>
      <c r="J270" s="48"/>
      <c r="K270" s="49"/>
      <c r="L270" s="50"/>
      <c r="M270" s="43" t="str">
        <f aca="false">IF(OR($L270="",$F270=""),"",IFERROR($L270/INDEX(Cadastro!$E$6:$E$8,MATCH($F270,Cadastro!$B$6:$B$8,0)),""))</f>
        <v/>
      </c>
      <c r="N270" s="43" t="str">
        <f aca="false">IF(OR($L270="",$I270="",$I270=0),"",$L270/$I270)</f>
        <v/>
      </c>
      <c r="O270" s="51"/>
    </row>
    <row r="271" customFormat="false" ht="15" hidden="false" customHeight="false" outlineLevel="0" collapsed="false">
      <c r="A271" s="45"/>
      <c r="B271" s="37" t="str">
        <f aca="false">IF($A271="","",WEEKNUM($A271,2))</f>
        <v/>
      </c>
      <c r="C271" s="37" t="str">
        <f aca="false">IF($A271="","",CHOOSE(WEEKDAY($A271,2),"Seg","Ter","Qua","Qui","Sex","Sáb","Dom"))</f>
        <v/>
      </c>
      <c r="D271" s="46"/>
      <c r="E271" s="47"/>
      <c r="F271" s="47"/>
      <c r="G271" s="48"/>
      <c r="H271" s="49"/>
      <c r="I271" s="50"/>
      <c r="J271" s="48"/>
      <c r="K271" s="49"/>
      <c r="L271" s="50"/>
      <c r="M271" s="43" t="str">
        <f aca="false">IF(OR($L271="",$F271=""),"",IFERROR($L271/INDEX(Cadastro!$E$6:$E$8,MATCH($F271,Cadastro!$B$6:$B$8,0)),""))</f>
        <v/>
      </c>
      <c r="N271" s="43" t="str">
        <f aca="false">IF(OR($L271="",$I271="",$I271=0),"",$L271/$I271)</f>
        <v/>
      </c>
      <c r="O271" s="51"/>
    </row>
    <row r="272" customFormat="false" ht="15" hidden="false" customHeight="false" outlineLevel="0" collapsed="false">
      <c r="A272" s="45"/>
      <c r="B272" s="37" t="str">
        <f aca="false">IF($A272="","",WEEKNUM($A272,2))</f>
        <v/>
      </c>
      <c r="C272" s="37" t="str">
        <f aca="false">IF($A272="","",CHOOSE(WEEKDAY($A272,2),"Seg","Ter","Qua","Qui","Sex","Sáb","Dom"))</f>
        <v/>
      </c>
      <c r="D272" s="46"/>
      <c r="E272" s="47"/>
      <c r="F272" s="47"/>
      <c r="G272" s="48"/>
      <c r="H272" s="49"/>
      <c r="I272" s="50"/>
      <c r="J272" s="48"/>
      <c r="K272" s="49"/>
      <c r="L272" s="50"/>
      <c r="M272" s="43" t="str">
        <f aca="false">IF(OR($L272="",$F272=""),"",IFERROR($L272/INDEX(Cadastro!$E$6:$E$8,MATCH($F272,Cadastro!$B$6:$B$8,0)),""))</f>
        <v/>
      </c>
      <c r="N272" s="43" t="str">
        <f aca="false">IF(OR($L272="",$I272="",$I272=0),"",$L272/$I272)</f>
        <v/>
      </c>
      <c r="O272" s="51"/>
    </row>
    <row r="273" customFormat="false" ht="15" hidden="false" customHeight="false" outlineLevel="0" collapsed="false">
      <c r="A273" s="45"/>
      <c r="B273" s="37" t="str">
        <f aca="false">IF($A273="","",WEEKNUM($A273,2))</f>
        <v/>
      </c>
      <c r="C273" s="37" t="str">
        <f aca="false">IF($A273="","",CHOOSE(WEEKDAY($A273,2),"Seg","Ter","Qua","Qui","Sex","Sáb","Dom"))</f>
        <v/>
      </c>
      <c r="D273" s="46"/>
      <c r="E273" s="47"/>
      <c r="F273" s="47"/>
      <c r="G273" s="48"/>
      <c r="H273" s="49"/>
      <c r="I273" s="50"/>
      <c r="J273" s="48"/>
      <c r="K273" s="49"/>
      <c r="L273" s="50"/>
      <c r="M273" s="43" t="str">
        <f aca="false">IF(OR($L273="",$F273=""),"",IFERROR($L273/INDEX(Cadastro!$E$6:$E$8,MATCH($F273,Cadastro!$B$6:$B$8,0)),""))</f>
        <v/>
      </c>
      <c r="N273" s="43" t="str">
        <f aca="false">IF(OR($L273="",$I273="",$I273=0),"",$L273/$I273)</f>
        <v/>
      </c>
      <c r="O273" s="51"/>
    </row>
    <row r="274" customFormat="false" ht="15" hidden="false" customHeight="false" outlineLevel="0" collapsed="false">
      <c r="A274" s="45"/>
      <c r="B274" s="37" t="str">
        <f aca="false">IF($A274="","",WEEKNUM($A274,2))</f>
        <v/>
      </c>
      <c r="C274" s="37" t="str">
        <f aca="false">IF($A274="","",CHOOSE(WEEKDAY($A274,2),"Seg","Ter","Qua","Qui","Sex","Sáb","Dom"))</f>
        <v/>
      </c>
      <c r="D274" s="46"/>
      <c r="E274" s="47"/>
      <c r="F274" s="47"/>
      <c r="G274" s="48"/>
      <c r="H274" s="49"/>
      <c r="I274" s="50"/>
      <c r="J274" s="48"/>
      <c r="K274" s="49"/>
      <c r="L274" s="50"/>
      <c r="M274" s="43" t="str">
        <f aca="false">IF(OR($L274="",$F274=""),"",IFERROR($L274/INDEX(Cadastro!$E$6:$E$8,MATCH($F274,Cadastro!$B$6:$B$8,0)),""))</f>
        <v/>
      </c>
      <c r="N274" s="43" t="str">
        <f aca="false">IF(OR($L274="",$I274="",$I274=0),"",$L274/$I274)</f>
        <v/>
      </c>
      <c r="O274" s="51"/>
    </row>
    <row r="275" customFormat="false" ht="15" hidden="false" customHeight="false" outlineLevel="0" collapsed="false">
      <c r="A275" s="45"/>
      <c r="B275" s="37" t="str">
        <f aca="false">IF($A275="","",WEEKNUM($A275,2))</f>
        <v/>
      </c>
      <c r="C275" s="37" t="str">
        <f aca="false">IF($A275="","",CHOOSE(WEEKDAY($A275,2),"Seg","Ter","Qua","Qui","Sex","Sáb","Dom"))</f>
        <v/>
      </c>
      <c r="D275" s="46"/>
      <c r="E275" s="47"/>
      <c r="F275" s="47"/>
      <c r="G275" s="48"/>
      <c r="H275" s="49"/>
      <c r="I275" s="50"/>
      <c r="J275" s="48"/>
      <c r="K275" s="49"/>
      <c r="L275" s="50"/>
      <c r="M275" s="43" t="str">
        <f aca="false">IF(OR($L275="",$F275=""),"",IFERROR($L275/INDEX(Cadastro!$E$6:$E$8,MATCH($F275,Cadastro!$B$6:$B$8,0)),""))</f>
        <v/>
      </c>
      <c r="N275" s="43" t="str">
        <f aca="false">IF(OR($L275="",$I275="",$I275=0),"",$L275/$I275)</f>
        <v/>
      </c>
      <c r="O275" s="51"/>
    </row>
    <row r="276" customFormat="false" ht="15" hidden="false" customHeight="false" outlineLevel="0" collapsed="false">
      <c r="A276" s="45"/>
      <c r="B276" s="37" t="str">
        <f aca="false">IF($A276="","",WEEKNUM($A276,2))</f>
        <v/>
      </c>
      <c r="C276" s="37" t="str">
        <f aca="false">IF($A276="","",CHOOSE(WEEKDAY($A276,2),"Seg","Ter","Qua","Qui","Sex","Sáb","Dom"))</f>
        <v/>
      </c>
      <c r="D276" s="46"/>
      <c r="E276" s="47"/>
      <c r="F276" s="47"/>
      <c r="G276" s="48"/>
      <c r="H276" s="49"/>
      <c r="I276" s="50"/>
      <c r="J276" s="48"/>
      <c r="K276" s="49"/>
      <c r="L276" s="50"/>
      <c r="M276" s="43" t="str">
        <f aca="false">IF(OR($L276="",$F276=""),"",IFERROR($L276/INDEX(Cadastro!$E$6:$E$8,MATCH($F276,Cadastro!$B$6:$B$8,0)),""))</f>
        <v/>
      </c>
      <c r="N276" s="43" t="str">
        <f aca="false">IF(OR($L276="",$I276="",$I276=0),"",$L276/$I276)</f>
        <v/>
      </c>
      <c r="O276" s="51"/>
    </row>
    <row r="277" customFormat="false" ht="15" hidden="false" customHeight="false" outlineLevel="0" collapsed="false">
      <c r="A277" s="45"/>
      <c r="B277" s="37" t="str">
        <f aca="false">IF($A277="","",WEEKNUM($A277,2))</f>
        <v/>
      </c>
      <c r="C277" s="37" t="str">
        <f aca="false">IF($A277="","",CHOOSE(WEEKDAY($A277,2),"Seg","Ter","Qua","Qui","Sex","Sáb","Dom"))</f>
        <v/>
      </c>
      <c r="D277" s="46"/>
      <c r="E277" s="47"/>
      <c r="F277" s="47"/>
      <c r="G277" s="48"/>
      <c r="H277" s="49"/>
      <c r="I277" s="50"/>
      <c r="J277" s="48"/>
      <c r="K277" s="49"/>
      <c r="L277" s="50"/>
      <c r="M277" s="43" t="str">
        <f aca="false">IF(OR($L277="",$F277=""),"",IFERROR($L277/INDEX(Cadastro!$E$6:$E$8,MATCH($F277,Cadastro!$B$6:$B$8,0)),""))</f>
        <v/>
      </c>
      <c r="N277" s="43" t="str">
        <f aca="false">IF(OR($L277="",$I277="",$I277=0),"",$L277/$I277)</f>
        <v/>
      </c>
      <c r="O277" s="51"/>
    </row>
    <row r="278" customFormat="false" ht="15" hidden="false" customHeight="false" outlineLevel="0" collapsed="false">
      <c r="A278" s="45"/>
      <c r="B278" s="37" t="str">
        <f aca="false">IF($A278="","",WEEKNUM($A278,2))</f>
        <v/>
      </c>
      <c r="C278" s="37" t="str">
        <f aca="false">IF($A278="","",CHOOSE(WEEKDAY($A278,2),"Seg","Ter","Qua","Qui","Sex","Sáb","Dom"))</f>
        <v/>
      </c>
      <c r="D278" s="46"/>
      <c r="E278" s="47"/>
      <c r="F278" s="47"/>
      <c r="G278" s="48"/>
      <c r="H278" s="49"/>
      <c r="I278" s="50"/>
      <c r="J278" s="48"/>
      <c r="K278" s="49"/>
      <c r="L278" s="50"/>
      <c r="M278" s="43" t="str">
        <f aca="false">IF(OR($L278="",$F278=""),"",IFERROR($L278/INDEX(Cadastro!$E$6:$E$8,MATCH($F278,Cadastro!$B$6:$B$8,0)),""))</f>
        <v/>
      </c>
      <c r="N278" s="43" t="str">
        <f aca="false">IF(OR($L278="",$I278="",$I278=0),"",$L278/$I278)</f>
        <v/>
      </c>
      <c r="O278" s="51"/>
    </row>
    <row r="279" customFormat="false" ht="15" hidden="false" customHeight="false" outlineLevel="0" collapsed="false">
      <c r="A279" s="45"/>
      <c r="B279" s="37" t="str">
        <f aca="false">IF($A279="","",WEEKNUM($A279,2))</f>
        <v/>
      </c>
      <c r="C279" s="37" t="str">
        <f aca="false">IF($A279="","",CHOOSE(WEEKDAY($A279,2),"Seg","Ter","Qua","Qui","Sex","Sáb","Dom"))</f>
        <v/>
      </c>
      <c r="D279" s="46"/>
      <c r="E279" s="47"/>
      <c r="F279" s="47"/>
      <c r="G279" s="48"/>
      <c r="H279" s="49"/>
      <c r="I279" s="50"/>
      <c r="J279" s="48"/>
      <c r="K279" s="49"/>
      <c r="L279" s="50"/>
      <c r="M279" s="43" t="str">
        <f aca="false">IF(OR($L279="",$F279=""),"",IFERROR($L279/INDEX(Cadastro!$E$6:$E$8,MATCH($F279,Cadastro!$B$6:$B$8,0)),""))</f>
        <v/>
      </c>
      <c r="N279" s="43" t="str">
        <f aca="false">IF(OR($L279="",$I279="",$I279=0),"",$L279/$I279)</f>
        <v/>
      </c>
      <c r="O279" s="51"/>
    </row>
    <row r="280" customFormat="false" ht="15" hidden="false" customHeight="false" outlineLevel="0" collapsed="false">
      <c r="A280" s="45"/>
      <c r="B280" s="37" t="str">
        <f aca="false">IF($A280="","",WEEKNUM($A280,2))</f>
        <v/>
      </c>
      <c r="C280" s="37" t="str">
        <f aca="false">IF($A280="","",CHOOSE(WEEKDAY($A280,2),"Seg","Ter","Qua","Qui","Sex","Sáb","Dom"))</f>
        <v/>
      </c>
      <c r="D280" s="46"/>
      <c r="E280" s="47"/>
      <c r="F280" s="47"/>
      <c r="G280" s="48"/>
      <c r="H280" s="49"/>
      <c r="I280" s="50"/>
      <c r="J280" s="48"/>
      <c r="K280" s="49"/>
      <c r="L280" s="50"/>
      <c r="M280" s="43" t="str">
        <f aca="false">IF(OR($L280="",$F280=""),"",IFERROR($L280/INDEX(Cadastro!$E$6:$E$8,MATCH($F280,Cadastro!$B$6:$B$8,0)),""))</f>
        <v/>
      </c>
      <c r="N280" s="43" t="str">
        <f aca="false">IF(OR($L280="",$I280="",$I280=0),"",$L280/$I280)</f>
        <v/>
      </c>
      <c r="O280" s="51"/>
    </row>
    <row r="281" customFormat="false" ht="15" hidden="false" customHeight="false" outlineLevel="0" collapsed="false">
      <c r="A281" s="45"/>
      <c r="B281" s="37" t="str">
        <f aca="false">IF($A281="","",WEEKNUM($A281,2))</f>
        <v/>
      </c>
      <c r="C281" s="37" t="str">
        <f aca="false">IF($A281="","",CHOOSE(WEEKDAY($A281,2),"Seg","Ter","Qua","Qui","Sex","Sáb","Dom"))</f>
        <v/>
      </c>
      <c r="D281" s="46"/>
      <c r="E281" s="47"/>
      <c r="F281" s="47"/>
      <c r="G281" s="48"/>
      <c r="H281" s="49"/>
      <c r="I281" s="50"/>
      <c r="J281" s="48"/>
      <c r="K281" s="49"/>
      <c r="L281" s="50"/>
      <c r="M281" s="43" t="str">
        <f aca="false">IF(OR($L281="",$F281=""),"",IFERROR($L281/INDEX(Cadastro!$E$6:$E$8,MATCH($F281,Cadastro!$B$6:$B$8,0)),""))</f>
        <v/>
      </c>
      <c r="N281" s="43" t="str">
        <f aca="false">IF(OR($L281="",$I281="",$I281=0),"",$L281/$I281)</f>
        <v/>
      </c>
      <c r="O281" s="51"/>
    </row>
    <row r="282" customFormat="false" ht="15" hidden="false" customHeight="false" outlineLevel="0" collapsed="false">
      <c r="A282" s="45"/>
      <c r="B282" s="37" t="str">
        <f aca="false">IF($A282="","",WEEKNUM($A282,2))</f>
        <v/>
      </c>
      <c r="C282" s="37" t="str">
        <f aca="false">IF($A282="","",CHOOSE(WEEKDAY($A282,2),"Seg","Ter","Qua","Qui","Sex","Sáb","Dom"))</f>
        <v/>
      </c>
      <c r="D282" s="46"/>
      <c r="E282" s="47"/>
      <c r="F282" s="47"/>
      <c r="G282" s="48"/>
      <c r="H282" s="49"/>
      <c r="I282" s="50"/>
      <c r="J282" s="48"/>
      <c r="K282" s="49"/>
      <c r="L282" s="50"/>
      <c r="M282" s="43" t="str">
        <f aca="false">IF(OR($L282="",$F282=""),"",IFERROR($L282/INDEX(Cadastro!$E$6:$E$8,MATCH($F282,Cadastro!$B$6:$B$8,0)),""))</f>
        <v/>
      </c>
      <c r="N282" s="43" t="str">
        <f aca="false">IF(OR($L282="",$I282="",$I282=0),"",$L282/$I282)</f>
        <v/>
      </c>
      <c r="O282" s="51"/>
    </row>
    <row r="283" customFormat="false" ht="15" hidden="false" customHeight="false" outlineLevel="0" collapsed="false">
      <c r="A283" s="45"/>
      <c r="B283" s="37" t="str">
        <f aca="false">IF($A283="","",WEEKNUM($A283,2))</f>
        <v/>
      </c>
      <c r="C283" s="37" t="str">
        <f aca="false">IF($A283="","",CHOOSE(WEEKDAY($A283,2),"Seg","Ter","Qua","Qui","Sex","Sáb","Dom"))</f>
        <v/>
      </c>
      <c r="D283" s="46"/>
      <c r="E283" s="47"/>
      <c r="F283" s="47"/>
      <c r="G283" s="48"/>
      <c r="H283" s="49"/>
      <c r="I283" s="50"/>
      <c r="J283" s="48"/>
      <c r="K283" s="49"/>
      <c r="L283" s="50"/>
      <c r="M283" s="43" t="str">
        <f aca="false">IF(OR($L283="",$F283=""),"",IFERROR($L283/INDEX(Cadastro!$E$6:$E$8,MATCH($F283,Cadastro!$B$6:$B$8,0)),""))</f>
        <v/>
      </c>
      <c r="N283" s="43" t="str">
        <f aca="false">IF(OR($L283="",$I283="",$I283=0),"",$L283/$I283)</f>
        <v/>
      </c>
      <c r="O283" s="51"/>
    </row>
    <row r="284" customFormat="false" ht="15" hidden="false" customHeight="false" outlineLevel="0" collapsed="false">
      <c r="A284" s="45"/>
      <c r="B284" s="37" t="str">
        <f aca="false">IF($A284="","",WEEKNUM($A284,2))</f>
        <v/>
      </c>
      <c r="C284" s="37" t="str">
        <f aca="false">IF($A284="","",CHOOSE(WEEKDAY($A284,2),"Seg","Ter","Qua","Qui","Sex","Sáb","Dom"))</f>
        <v/>
      </c>
      <c r="D284" s="46"/>
      <c r="E284" s="47"/>
      <c r="F284" s="47"/>
      <c r="G284" s="48"/>
      <c r="H284" s="49"/>
      <c r="I284" s="50"/>
      <c r="J284" s="48"/>
      <c r="K284" s="49"/>
      <c r="L284" s="50"/>
      <c r="M284" s="43" t="str">
        <f aca="false">IF(OR($L284="",$F284=""),"",IFERROR($L284/INDEX(Cadastro!$E$6:$E$8,MATCH($F284,Cadastro!$B$6:$B$8,0)),""))</f>
        <v/>
      </c>
      <c r="N284" s="43" t="str">
        <f aca="false">IF(OR($L284="",$I284="",$I284=0),"",$L284/$I284)</f>
        <v/>
      </c>
      <c r="O284" s="51"/>
    </row>
    <row r="285" customFormat="false" ht="15" hidden="false" customHeight="false" outlineLevel="0" collapsed="false">
      <c r="A285" s="45"/>
      <c r="B285" s="37" t="str">
        <f aca="false">IF($A285="","",WEEKNUM($A285,2))</f>
        <v/>
      </c>
      <c r="C285" s="37" t="str">
        <f aca="false">IF($A285="","",CHOOSE(WEEKDAY($A285,2),"Seg","Ter","Qua","Qui","Sex","Sáb","Dom"))</f>
        <v/>
      </c>
      <c r="D285" s="46"/>
      <c r="E285" s="47"/>
      <c r="F285" s="47"/>
      <c r="G285" s="48"/>
      <c r="H285" s="49"/>
      <c r="I285" s="50"/>
      <c r="J285" s="48"/>
      <c r="K285" s="49"/>
      <c r="L285" s="50"/>
      <c r="M285" s="43" t="str">
        <f aca="false">IF(OR($L285="",$F285=""),"",IFERROR($L285/INDEX(Cadastro!$E$6:$E$8,MATCH($F285,Cadastro!$B$6:$B$8,0)),""))</f>
        <v/>
      </c>
      <c r="N285" s="43" t="str">
        <f aca="false">IF(OR($L285="",$I285="",$I285=0),"",$L285/$I285)</f>
        <v/>
      </c>
      <c r="O285" s="51"/>
    </row>
    <row r="286" customFormat="false" ht="15" hidden="false" customHeight="false" outlineLevel="0" collapsed="false">
      <c r="A286" s="45"/>
      <c r="B286" s="37" t="str">
        <f aca="false">IF($A286="","",WEEKNUM($A286,2))</f>
        <v/>
      </c>
      <c r="C286" s="37" t="str">
        <f aca="false">IF($A286="","",CHOOSE(WEEKDAY($A286,2),"Seg","Ter","Qua","Qui","Sex","Sáb","Dom"))</f>
        <v/>
      </c>
      <c r="D286" s="46"/>
      <c r="E286" s="47"/>
      <c r="F286" s="47"/>
      <c r="G286" s="48"/>
      <c r="H286" s="49"/>
      <c r="I286" s="50"/>
      <c r="J286" s="48"/>
      <c r="K286" s="49"/>
      <c r="L286" s="50"/>
      <c r="M286" s="43" t="str">
        <f aca="false">IF(OR($L286="",$F286=""),"",IFERROR($L286/INDEX(Cadastro!$E$6:$E$8,MATCH($F286,Cadastro!$B$6:$B$8,0)),""))</f>
        <v/>
      </c>
      <c r="N286" s="43" t="str">
        <f aca="false">IF(OR($L286="",$I286="",$I286=0),"",$L286/$I286)</f>
        <v/>
      </c>
      <c r="O286" s="51"/>
    </row>
    <row r="287" customFormat="false" ht="15" hidden="false" customHeight="false" outlineLevel="0" collapsed="false">
      <c r="A287" s="45"/>
      <c r="B287" s="37" t="str">
        <f aca="false">IF($A287="","",WEEKNUM($A287,2))</f>
        <v/>
      </c>
      <c r="C287" s="37" t="str">
        <f aca="false">IF($A287="","",CHOOSE(WEEKDAY($A287,2),"Seg","Ter","Qua","Qui","Sex","Sáb","Dom"))</f>
        <v/>
      </c>
      <c r="D287" s="46"/>
      <c r="E287" s="47"/>
      <c r="F287" s="47"/>
      <c r="G287" s="48"/>
      <c r="H287" s="49"/>
      <c r="I287" s="50"/>
      <c r="J287" s="48"/>
      <c r="K287" s="49"/>
      <c r="L287" s="50"/>
      <c r="M287" s="43" t="str">
        <f aca="false">IF(OR($L287="",$F287=""),"",IFERROR($L287/INDEX(Cadastro!$E$6:$E$8,MATCH($F287,Cadastro!$B$6:$B$8,0)),""))</f>
        <v/>
      </c>
      <c r="N287" s="43" t="str">
        <f aca="false">IF(OR($L287="",$I287="",$I287=0),"",$L287/$I287)</f>
        <v/>
      </c>
      <c r="O287" s="51"/>
    </row>
    <row r="288" customFormat="false" ht="15" hidden="false" customHeight="false" outlineLevel="0" collapsed="false">
      <c r="A288" s="45"/>
      <c r="B288" s="37" t="str">
        <f aca="false">IF($A288="","",WEEKNUM($A288,2))</f>
        <v/>
      </c>
      <c r="C288" s="37" t="str">
        <f aca="false">IF($A288="","",CHOOSE(WEEKDAY($A288,2),"Seg","Ter","Qua","Qui","Sex","Sáb","Dom"))</f>
        <v/>
      </c>
      <c r="D288" s="46"/>
      <c r="E288" s="47"/>
      <c r="F288" s="47"/>
      <c r="G288" s="48"/>
      <c r="H288" s="49"/>
      <c r="I288" s="50"/>
      <c r="J288" s="48"/>
      <c r="K288" s="49"/>
      <c r="L288" s="50"/>
      <c r="M288" s="43" t="str">
        <f aca="false">IF(OR($L288="",$F288=""),"",IFERROR($L288/INDEX(Cadastro!$E$6:$E$8,MATCH($F288,Cadastro!$B$6:$B$8,0)),""))</f>
        <v/>
      </c>
      <c r="N288" s="43" t="str">
        <f aca="false">IF(OR($L288="",$I288="",$I288=0),"",$L288/$I288)</f>
        <v/>
      </c>
      <c r="O288" s="51"/>
    </row>
    <row r="289" customFormat="false" ht="15" hidden="false" customHeight="false" outlineLevel="0" collapsed="false">
      <c r="A289" s="45"/>
      <c r="B289" s="37" t="str">
        <f aca="false">IF($A289="","",WEEKNUM($A289,2))</f>
        <v/>
      </c>
      <c r="C289" s="37" t="str">
        <f aca="false">IF($A289="","",CHOOSE(WEEKDAY($A289,2),"Seg","Ter","Qua","Qui","Sex","Sáb","Dom"))</f>
        <v/>
      </c>
      <c r="D289" s="46"/>
      <c r="E289" s="47"/>
      <c r="F289" s="47"/>
      <c r="G289" s="48"/>
      <c r="H289" s="49"/>
      <c r="I289" s="50"/>
      <c r="J289" s="48"/>
      <c r="K289" s="49"/>
      <c r="L289" s="50"/>
      <c r="M289" s="43" t="str">
        <f aca="false">IF(OR($L289="",$F289=""),"",IFERROR($L289/INDEX(Cadastro!$E$6:$E$8,MATCH($F289,Cadastro!$B$6:$B$8,0)),""))</f>
        <v/>
      </c>
      <c r="N289" s="43" t="str">
        <f aca="false">IF(OR($L289="",$I289="",$I289=0),"",$L289/$I289)</f>
        <v/>
      </c>
      <c r="O289" s="51"/>
    </row>
    <row r="290" customFormat="false" ht="15" hidden="false" customHeight="false" outlineLevel="0" collapsed="false">
      <c r="A290" s="45"/>
      <c r="B290" s="37" t="str">
        <f aca="false">IF($A290="","",WEEKNUM($A290,2))</f>
        <v/>
      </c>
      <c r="C290" s="37" t="str">
        <f aca="false">IF($A290="","",CHOOSE(WEEKDAY($A290,2),"Seg","Ter","Qua","Qui","Sex","Sáb","Dom"))</f>
        <v/>
      </c>
      <c r="D290" s="46"/>
      <c r="E290" s="47"/>
      <c r="F290" s="47"/>
      <c r="G290" s="48"/>
      <c r="H290" s="49"/>
      <c r="I290" s="50"/>
      <c r="J290" s="48"/>
      <c r="K290" s="49"/>
      <c r="L290" s="50"/>
      <c r="M290" s="43" t="str">
        <f aca="false">IF(OR($L290="",$F290=""),"",IFERROR($L290/INDEX(Cadastro!$E$6:$E$8,MATCH($F290,Cadastro!$B$6:$B$8,0)),""))</f>
        <v/>
      </c>
      <c r="N290" s="43" t="str">
        <f aca="false">IF(OR($L290="",$I290="",$I290=0),"",$L290/$I290)</f>
        <v/>
      </c>
      <c r="O290" s="51"/>
    </row>
    <row r="291" customFormat="false" ht="15" hidden="false" customHeight="false" outlineLevel="0" collapsed="false">
      <c r="A291" s="45"/>
      <c r="B291" s="37" t="str">
        <f aca="false">IF($A291="","",WEEKNUM($A291,2))</f>
        <v/>
      </c>
      <c r="C291" s="37" t="str">
        <f aca="false">IF($A291="","",CHOOSE(WEEKDAY($A291,2),"Seg","Ter","Qua","Qui","Sex","Sáb","Dom"))</f>
        <v/>
      </c>
      <c r="D291" s="46"/>
      <c r="E291" s="47"/>
      <c r="F291" s="47"/>
      <c r="G291" s="48"/>
      <c r="H291" s="49"/>
      <c r="I291" s="50"/>
      <c r="J291" s="48"/>
      <c r="K291" s="49"/>
      <c r="L291" s="50"/>
      <c r="M291" s="43" t="str">
        <f aca="false">IF(OR($L291="",$F291=""),"",IFERROR($L291/INDEX(Cadastro!$E$6:$E$8,MATCH($F291,Cadastro!$B$6:$B$8,0)),""))</f>
        <v/>
      </c>
      <c r="N291" s="43" t="str">
        <f aca="false">IF(OR($L291="",$I291="",$I291=0),"",$L291/$I291)</f>
        <v/>
      </c>
      <c r="O291" s="51"/>
    </row>
    <row r="292" customFormat="false" ht="15" hidden="false" customHeight="false" outlineLevel="0" collapsed="false">
      <c r="A292" s="45"/>
      <c r="B292" s="37" t="str">
        <f aca="false">IF($A292="","",WEEKNUM($A292,2))</f>
        <v/>
      </c>
      <c r="C292" s="37" t="str">
        <f aca="false">IF($A292="","",CHOOSE(WEEKDAY($A292,2),"Seg","Ter","Qua","Qui","Sex","Sáb","Dom"))</f>
        <v/>
      </c>
      <c r="D292" s="46"/>
      <c r="E292" s="47"/>
      <c r="F292" s="47"/>
      <c r="G292" s="48"/>
      <c r="H292" s="49"/>
      <c r="I292" s="50"/>
      <c r="J292" s="48"/>
      <c r="K292" s="49"/>
      <c r="L292" s="50"/>
      <c r="M292" s="43" t="str">
        <f aca="false">IF(OR($L292="",$F292=""),"",IFERROR($L292/INDEX(Cadastro!$E$6:$E$8,MATCH($F292,Cadastro!$B$6:$B$8,0)),""))</f>
        <v/>
      </c>
      <c r="N292" s="43" t="str">
        <f aca="false">IF(OR($L292="",$I292="",$I292=0),"",$L292/$I292)</f>
        <v/>
      </c>
      <c r="O292" s="51"/>
    </row>
    <row r="293" customFormat="false" ht="15" hidden="false" customHeight="false" outlineLevel="0" collapsed="false">
      <c r="A293" s="45"/>
      <c r="B293" s="37" t="str">
        <f aca="false">IF($A293="","",WEEKNUM($A293,2))</f>
        <v/>
      </c>
      <c r="C293" s="37" t="str">
        <f aca="false">IF($A293="","",CHOOSE(WEEKDAY($A293,2),"Seg","Ter","Qua","Qui","Sex","Sáb","Dom"))</f>
        <v/>
      </c>
      <c r="D293" s="46"/>
      <c r="E293" s="47"/>
      <c r="F293" s="47"/>
      <c r="G293" s="48"/>
      <c r="H293" s="49"/>
      <c r="I293" s="50"/>
      <c r="J293" s="48"/>
      <c r="K293" s="49"/>
      <c r="L293" s="50"/>
      <c r="M293" s="43" t="str">
        <f aca="false">IF(OR($L293="",$F293=""),"",IFERROR($L293/INDEX(Cadastro!$E$6:$E$8,MATCH($F293,Cadastro!$B$6:$B$8,0)),""))</f>
        <v/>
      </c>
      <c r="N293" s="43" t="str">
        <f aca="false">IF(OR($L293="",$I293="",$I293=0),"",$L293/$I293)</f>
        <v/>
      </c>
      <c r="O293" s="51"/>
    </row>
    <row r="294" customFormat="false" ht="15" hidden="false" customHeight="false" outlineLevel="0" collapsed="false">
      <c r="A294" s="45"/>
      <c r="B294" s="37" t="str">
        <f aca="false">IF($A294="","",WEEKNUM($A294,2))</f>
        <v/>
      </c>
      <c r="C294" s="37" t="str">
        <f aca="false">IF($A294="","",CHOOSE(WEEKDAY($A294,2),"Seg","Ter","Qua","Qui","Sex","Sáb","Dom"))</f>
        <v/>
      </c>
      <c r="D294" s="46"/>
      <c r="E294" s="47"/>
      <c r="F294" s="47"/>
      <c r="G294" s="48"/>
      <c r="H294" s="49"/>
      <c r="I294" s="50"/>
      <c r="J294" s="48"/>
      <c r="K294" s="49"/>
      <c r="L294" s="50"/>
      <c r="M294" s="43" t="str">
        <f aca="false">IF(OR($L294="",$F294=""),"",IFERROR($L294/INDEX(Cadastro!$E$6:$E$8,MATCH($F294,Cadastro!$B$6:$B$8,0)),""))</f>
        <v/>
      </c>
      <c r="N294" s="43" t="str">
        <f aca="false">IF(OR($L294="",$I294="",$I294=0),"",$L294/$I294)</f>
        <v/>
      </c>
      <c r="O294" s="51"/>
    </row>
    <row r="295" customFormat="false" ht="15" hidden="false" customHeight="false" outlineLevel="0" collapsed="false">
      <c r="A295" s="45"/>
      <c r="B295" s="37" t="str">
        <f aca="false">IF($A295="","",WEEKNUM($A295,2))</f>
        <v/>
      </c>
      <c r="C295" s="37" t="str">
        <f aca="false">IF($A295="","",CHOOSE(WEEKDAY($A295,2),"Seg","Ter","Qua","Qui","Sex","Sáb","Dom"))</f>
        <v/>
      </c>
      <c r="D295" s="46"/>
      <c r="E295" s="47"/>
      <c r="F295" s="47"/>
      <c r="G295" s="48"/>
      <c r="H295" s="49"/>
      <c r="I295" s="50"/>
      <c r="J295" s="48"/>
      <c r="K295" s="49"/>
      <c r="L295" s="50"/>
      <c r="M295" s="43" t="str">
        <f aca="false">IF(OR($L295="",$F295=""),"",IFERROR($L295/INDEX(Cadastro!$E$6:$E$8,MATCH($F295,Cadastro!$B$6:$B$8,0)),""))</f>
        <v/>
      </c>
      <c r="N295" s="43" t="str">
        <f aca="false">IF(OR($L295="",$I295="",$I295=0),"",$L295/$I295)</f>
        <v/>
      </c>
      <c r="O295" s="51"/>
    </row>
    <row r="296" customFormat="false" ht="15" hidden="false" customHeight="false" outlineLevel="0" collapsed="false">
      <c r="A296" s="45"/>
      <c r="B296" s="37" t="str">
        <f aca="false">IF($A296="","",WEEKNUM($A296,2))</f>
        <v/>
      </c>
      <c r="C296" s="37" t="str">
        <f aca="false">IF($A296="","",CHOOSE(WEEKDAY($A296,2),"Seg","Ter","Qua","Qui","Sex","Sáb","Dom"))</f>
        <v/>
      </c>
      <c r="D296" s="46"/>
      <c r="E296" s="47"/>
      <c r="F296" s="47"/>
      <c r="G296" s="48"/>
      <c r="H296" s="49"/>
      <c r="I296" s="50"/>
      <c r="J296" s="48"/>
      <c r="K296" s="49"/>
      <c r="L296" s="50"/>
      <c r="M296" s="43" t="str">
        <f aca="false">IF(OR($L296="",$F296=""),"",IFERROR($L296/INDEX(Cadastro!$E$6:$E$8,MATCH($F296,Cadastro!$B$6:$B$8,0)),""))</f>
        <v/>
      </c>
      <c r="N296" s="43" t="str">
        <f aca="false">IF(OR($L296="",$I296="",$I296=0),"",$L296/$I296)</f>
        <v/>
      </c>
      <c r="O296" s="51"/>
    </row>
    <row r="297" customFormat="false" ht="15" hidden="false" customHeight="false" outlineLevel="0" collapsed="false">
      <c r="A297" s="45"/>
      <c r="B297" s="37" t="str">
        <f aca="false">IF($A297="","",WEEKNUM($A297,2))</f>
        <v/>
      </c>
      <c r="C297" s="37" t="str">
        <f aca="false">IF($A297="","",CHOOSE(WEEKDAY($A297,2),"Seg","Ter","Qua","Qui","Sex","Sáb","Dom"))</f>
        <v/>
      </c>
      <c r="D297" s="46"/>
      <c r="E297" s="47"/>
      <c r="F297" s="47"/>
      <c r="G297" s="48"/>
      <c r="H297" s="49"/>
      <c r="I297" s="50"/>
      <c r="J297" s="48"/>
      <c r="K297" s="49"/>
      <c r="L297" s="50"/>
      <c r="M297" s="43" t="str">
        <f aca="false">IF(OR($L297="",$F297=""),"",IFERROR($L297/INDEX(Cadastro!$E$6:$E$8,MATCH($F297,Cadastro!$B$6:$B$8,0)),""))</f>
        <v/>
      </c>
      <c r="N297" s="43" t="str">
        <f aca="false">IF(OR($L297="",$I297="",$I297=0),"",$L297/$I297)</f>
        <v/>
      </c>
      <c r="O297" s="51"/>
    </row>
    <row r="298" customFormat="false" ht="15" hidden="false" customHeight="false" outlineLevel="0" collapsed="false">
      <c r="A298" s="45"/>
      <c r="B298" s="37" t="str">
        <f aca="false">IF($A298="","",WEEKNUM($A298,2))</f>
        <v/>
      </c>
      <c r="C298" s="37" t="str">
        <f aca="false">IF($A298="","",CHOOSE(WEEKDAY($A298,2),"Seg","Ter","Qua","Qui","Sex","Sáb","Dom"))</f>
        <v/>
      </c>
      <c r="D298" s="46"/>
      <c r="E298" s="47"/>
      <c r="F298" s="47"/>
      <c r="G298" s="48"/>
      <c r="H298" s="49"/>
      <c r="I298" s="50"/>
      <c r="J298" s="48"/>
      <c r="K298" s="49"/>
      <c r="L298" s="50"/>
      <c r="M298" s="43" t="str">
        <f aca="false">IF(OR($L298="",$F298=""),"",IFERROR($L298/INDEX(Cadastro!$E$6:$E$8,MATCH($F298,Cadastro!$B$6:$B$8,0)),""))</f>
        <v/>
      </c>
      <c r="N298" s="43" t="str">
        <f aca="false">IF(OR($L298="",$I298="",$I298=0),"",$L298/$I298)</f>
        <v/>
      </c>
      <c r="O298" s="51"/>
    </row>
    <row r="299" customFormat="false" ht="15" hidden="false" customHeight="false" outlineLevel="0" collapsed="false">
      <c r="A299" s="45"/>
      <c r="B299" s="37" t="str">
        <f aca="false">IF($A299="","",WEEKNUM($A299,2))</f>
        <v/>
      </c>
      <c r="C299" s="37" t="str">
        <f aca="false">IF($A299="","",CHOOSE(WEEKDAY($A299,2),"Seg","Ter","Qua","Qui","Sex","Sáb","Dom"))</f>
        <v/>
      </c>
      <c r="D299" s="46"/>
      <c r="E299" s="47"/>
      <c r="F299" s="47"/>
      <c r="G299" s="48"/>
      <c r="H299" s="49"/>
      <c r="I299" s="50"/>
      <c r="J299" s="48"/>
      <c r="K299" s="49"/>
      <c r="L299" s="50"/>
      <c r="M299" s="43" t="str">
        <f aca="false">IF(OR($L299="",$F299=""),"",IFERROR($L299/INDEX(Cadastro!$E$6:$E$8,MATCH($F299,Cadastro!$B$6:$B$8,0)),""))</f>
        <v/>
      </c>
      <c r="N299" s="43" t="str">
        <f aca="false">IF(OR($L299="",$I299="",$I299=0),"",$L299/$I299)</f>
        <v/>
      </c>
      <c r="O299" s="51"/>
    </row>
    <row r="300" customFormat="false" ht="15" hidden="false" customHeight="false" outlineLevel="0" collapsed="false">
      <c r="A300" s="45"/>
      <c r="B300" s="37" t="str">
        <f aca="false">IF($A300="","",WEEKNUM($A300,2))</f>
        <v/>
      </c>
      <c r="C300" s="37" t="str">
        <f aca="false">IF($A300="","",CHOOSE(WEEKDAY($A300,2),"Seg","Ter","Qua","Qui","Sex","Sáb","Dom"))</f>
        <v/>
      </c>
      <c r="D300" s="46"/>
      <c r="E300" s="47"/>
      <c r="F300" s="47"/>
      <c r="G300" s="48"/>
      <c r="H300" s="49"/>
      <c r="I300" s="50"/>
      <c r="J300" s="48"/>
      <c r="K300" s="49"/>
      <c r="L300" s="50"/>
      <c r="M300" s="43" t="str">
        <f aca="false">IF(OR($L300="",$F300=""),"",IFERROR($L300/INDEX(Cadastro!$E$6:$E$8,MATCH($F300,Cadastro!$B$6:$B$8,0)),""))</f>
        <v/>
      </c>
      <c r="N300" s="43" t="str">
        <f aca="false">IF(OR($L300="",$I300="",$I300=0),"",$L300/$I300)</f>
        <v/>
      </c>
      <c r="O300" s="51"/>
    </row>
    <row r="301" customFormat="false" ht="15" hidden="false" customHeight="false" outlineLevel="0" collapsed="false">
      <c r="A301" s="45"/>
      <c r="B301" s="37" t="str">
        <f aca="false">IF($A301="","",WEEKNUM($A301,2))</f>
        <v/>
      </c>
      <c r="C301" s="37" t="str">
        <f aca="false">IF($A301="","",CHOOSE(WEEKDAY($A301,2),"Seg","Ter","Qua","Qui","Sex","Sáb","Dom"))</f>
        <v/>
      </c>
      <c r="D301" s="46"/>
      <c r="E301" s="47"/>
      <c r="F301" s="47"/>
      <c r="G301" s="48"/>
      <c r="H301" s="49"/>
      <c r="I301" s="50"/>
      <c r="J301" s="48"/>
      <c r="K301" s="49"/>
      <c r="L301" s="50"/>
      <c r="M301" s="43" t="str">
        <f aca="false">IF(OR($L301="",$F301=""),"",IFERROR($L301/INDEX(Cadastro!$E$6:$E$8,MATCH($F301,Cadastro!$B$6:$B$8,0)),""))</f>
        <v/>
      </c>
      <c r="N301" s="43" t="str">
        <f aca="false">IF(OR($L301="",$I301="",$I301=0),"",$L301/$I301)</f>
        <v/>
      </c>
      <c r="O301" s="51"/>
    </row>
    <row r="302" customFormat="false" ht="15" hidden="false" customHeight="false" outlineLevel="0" collapsed="false">
      <c r="A302" s="45"/>
      <c r="B302" s="37" t="str">
        <f aca="false">IF($A302="","",WEEKNUM($A302,2))</f>
        <v/>
      </c>
      <c r="C302" s="37" t="str">
        <f aca="false">IF($A302="","",CHOOSE(WEEKDAY($A302,2),"Seg","Ter","Qua","Qui","Sex","Sáb","Dom"))</f>
        <v/>
      </c>
      <c r="D302" s="46"/>
      <c r="E302" s="47"/>
      <c r="F302" s="47"/>
      <c r="G302" s="48"/>
      <c r="H302" s="49"/>
      <c r="I302" s="50"/>
      <c r="J302" s="48"/>
      <c r="K302" s="49"/>
      <c r="L302" s="50"/>
      <c r="M302" s="43" t="str">
        <f aca="false">IF(OR($L302="",$F302=""),"",IFERROR($L302/INDEX(Cadastro!$E$6:$E$8,MATCH($F302,Cadastro!$B$6:$B$8,0)),""))</f>
        <v/>
      </c>
      <c r="N302" s="43" t="str">
        <f aca="false">IF(OR($L302="",$I302="",$I302=0),"",$L302/$I302)</f>
        <v/>
      </c>
      <c r="O302" s="51"/>
    </row>
    <row r="303" customFormat="false" ht="15" hidden="false" customHeight="false" outlineLevel="0" collapsed="false">
      <c r="A303" s="45"/>
      <c r="B303" s="37" t="str">
        <f aca="false">IF($A303="","",WEEKNUM($A303,2))</f>
        <v/>
      </c>
      <c r="C303" s="37" t="str">
        <f aca="false">IF($A303="","",CHOOSE(WEEKDAY($A303,2),"Seg","Ter","Qua","Qui","Sex","Sáb","Dom"))</f>
        <v/>
      </c>
      <c r="D303" s="46"/>
      <c r="E303" s="47"/>
      <c r="F303" s="47"/>
      <c r="G303" s="48"/>
      <c r="H303" s="49"/>
      <c r="I303" s="50"/>
      <c r="J303" s="48"/>
      <c r="K303" s="49"/>
      <c r="L303" s="50"/>
      <c r="M303" s="43" t="str">
        <f aca="false">IF(OR($L303="",$F303=""),"",IFERROR($L303/INDEX(Cadastro!$E$6:$E$8,MATCH($F303,Cadastro!$B$6:$B$8,0)),""))</f>
        <v/>
      </c>
      <c r="N303" s="43" t="str">
        <f aca="false">IF(OR($L303="",$I303="",$I303=0),"",$L303/$I303)</f>
        <v/>
      </c>
      <c r="O303" s="51"/>
    </row>
    <row r="304" customFormat="false" ht="15" hidden="false" customHeight="false" outlineLevel="0" collapsed="false">
      <c r="A304" s="45"/>
      <c r="B304" s="37" t="str">
        <f aca="false">IF($A304="","",WEEKNUM($A304,2))</f>
        <v/>
      </c>
      <c r="C304" s="37" t="str">
        <f aca="false">IF($A304="","",CHOOSE(WEEKDAY($A304,2),"Seg","Ter","Qua","Qui","Sex","Sáb","Dom"))</f>
        <v/>
      </c>
      <c r="D304" s="46"/>
      <c r="E304" s="47"/>
      <c r="F304" s="47"/>
      <c r="G304" s="48"/>
      <c r="H304" s="49"/>
      <c r="I304" s="50"/>
      <c r="J304" s="48"/>
      <c r="K304" s="49"/>
      <c r="L304" s="50"/>
      <c r="M304" s="43" t="str">
        <f aca="false">IF(OR($L304="",$F304=""),"",IFERROR($L304/INDEX(Cadastro!$E$6:$E$8,MATCH($F304,Cadastro!$B$6:$B$8,0)),""))</f>
        <v/>
      </c>
      <c r="N304" s="43" t="str">
        <f aca="false">IF(OR($L304="",$I304="",$I304=0),"",$L304/$I304)</f>
        <v/>
      </c>
      <c r="O304" s="51"/>
    </row>
    <row r="305" customFormat="false" ht="15" hidden="false" customHeight="false" outlineLevel="0" collapsed="false">
      <c r="A305" s="45"/>
      <c r="B305" s="37" t="str">
        <f aca="false">IF($A305="","",WEEKNUM($A305,2))</f>
        <v/>
      </c>
      <c r="C305" s="37" t="str">
        <f aca="false">IF($A305="","",CHOOSE(WEEKDAY($A305,2),"Seg","Ter","Qua","Qui","Sex","Sáb","Dom"))</f>
        <v/>
      </c>
      <c r="D305" s="46"/>
      <c r="E305" s="47"/>
      <c r="F305" s="47"/>
      <c r="G305" s="48"/>
      <c r="H305" s="49"/>
      <c r="I305" s="50"/>
      <c r="J305" s="48"/>
      <c r="K305" s="49"/>
      <c r="L305" s="50"/>
      <c r="M305" s="43" t="str">
        <f aca="false">IF(OR($L305="",$F305=""),"",IFERROR($L305/INDEX(Cadastro!$E$6:$E$8,MATCH($F305,Cadastro!$B$6:$B$8,0)),""))</f>
        <v/>
      </c>
      <c r="N305" s="43" t="str">
        <f aca="false">IF(OR($L305="",$I305="",$I305=0),"",$L305/$I305)</f>
        <v/>
      </c>
      <c r="O305" s="51"/>
    </row>
    <row r="306" customFormat="false" ht="15" hidden="false" customHeight="false" outlineLevel="0" collapsed="false">
      <c r="A306" s="45"/>
      <c r="B306" s="37" t="str">
        <f aca="false">IF($A306="","",WEEKNUM($A306,2))</f>
        <v/>
      </c>
      <c r="C306" s="37" t="str">
        <f aca="false">IF($A306="","",CHOOSE(WEEKDAY($A306,2),"Seg","Ter","Qua","Qui","Sex","Sáb","Dom"))</f>
        <v/>
      </c>
      <c r="D306" s="46"/>
      <c r="E306" s="47"/>
      <c r="F306" s="47"/>
      <c r="G306" s="48"/>
      <c r="H306" s="49"/>
      <c r="I306" s="50"/>
      <c r="J306" s="48"/>
      <c r="K306" s="49"/>
      <c r="L306" s="50"/>
      <c r="M306" s="43" t="str">
        <f aca="false">IF(OR($L306="",$F306=""),"",IFERROR($L306/INDEX(Cadastro!$E$6:$E$8,MATCH($F306,Cadastro!$B$6:$B$8,0)),""))</f>
        <v/>
      </c>
      <c r="N306" s="43" t="str">
        <f aca="false">IF(OR($L306="",$I306="",$I306=0),"",$L306/$I306)</f>
        <v/>
      </c>
      <c r="O306" s="51"/>
    </row>
    <row r="307" customFormat="false" ht="15" hidden="false" customHeight="false" outlineLevel="0" collapsed="false">
      <c r="A307" s="45"/>
      <c r="B307" s="37" t="str">
        <f aca="false">IF($A307="","",WEEKNUM($A307,2))</f>
        <v/>
      </c>
      <c r="C307" s="37" t="str">
        <f aca="false">IF($A307="","",CHOOSE(WEEKDAY($A307,2),"Seg","Ter","Qua","Qui","Sex","Sáb","Dom"))</f>
        <v/>
      </c>
      <c r="D307" s="46"/>
      <c r="E307" s="47"/>
      <c r="F307" s="47"/>
      <c r="G307" s="48"/>
      <c r="H307" s="49"/>
      <c r="I307" s="50"/>
      <c r="J307" s="48"/>
      <c r="K307" s="49"/>
      <c r="L307" s="50"/>
      <c r="M307" s="43" t="str">
        <f aca="false">IF(OR($L307="",$F307=""),"",IFERROR($L307/INDEX(Cadastro!$E$6:$E$8,MATCH($F307,Cadastro!$B$6:$B$8,0)),""))</f>
        <v/>
      </c>
      <c r="N307" s="43" t="str">
        <f aca="false">IF(OR($L307="",$I307="",$I307=0),"",$L307/$I307)</f>
        <v/>
      </c>
      <c r="O307" s="51"/>
    </row>
    <row r="308" customFormat="false" ht="15" hidden="false" customHeight="false" outlineLevel="0" collapsed="false">
      <c r="A308" s="45"/>
      <c r="B308" s="37" t="str">
        <f aca="false">IF($A308="","",WEEKNUM($A308,2))</f>
        <v/>
      </c>
      <c r="C308" s="37" t="str">
        <f aca="false">IF($A308="","",CHOOSE(WEEKDAY($A308,2),"Seg","Ter","Qua","Qui","Sex","Sáb","Dom"))</f>
        <v/>
      </c>
      <c r="D308" s="46"/>
      <c r="E308" s="47"/>
      <c r="F308" s="47"/>
      <c r="G308" s="48"/>
      <c r="H308" s="49"/>
      <c r="I308" s="50"/>
      <c r="J308" s="48"/>
      <c r="K308" s="49"/>
      <c r="L308" s="50"/>
      <c r="M308" s="43" t="str">
        <f aca="false">IF(OR($L308="",$F308=""),"",IFERROR($L308/INDEX(Cadastro!$E$6:$E$8,MATCH($F308,Cadastro!$B$6:$B$8,0)),""))</f>
        <v/>
      </c>
      <c r="N308" s="43" t="str">
        <f aca="false">IF(OR($L308="",$I308="",$I308=0),"",$L308/$I308)</f>
        <v/>
      </c>
      <c r="O308" s="51"/>
    </row>
    <row r="309" customFormat="false" ht="15" hidden="false" customHeight="false" outlineLevel="0" collapsed="false">
      <c r="A309" s="45"/>
      <c r="B309" s="37" t="str">
        <f aca="false">IF($A309="","",WEEKNUM($A309,2))</f>
        <v/>
      </c>
      <c r="C309" s="37" t="str">
        <f aca="false">IF($A309="","",CHOOSE(WEEKDAY($A309,2),"Seg","Ter","Qua","Qui","Sex","Sáb","Dom"))</f>
        <v/>
      </c>
      <c r="D309" s="46"/>
      <c r="E309" s="47"/>
      <c r="F309" s="47"/>
      <c r="G309" s="48"/>
      <c r="H309" s="49"/>
      <c r="I309" s="50"/>
      <c r="J309" s="48"/>
      <c r="K309" s="49"/>
      <c r="L309" s="50"/>
      <c r="M309" s="43" t="str">
        <f aca="false">IF(OR($L309="",$F309=""),"",IFERROR($L309/INDEX(Cadastro!$E$6:$E$8,MATCH($F309,Cadastro!$B$6:$B$8,0)),""))</f>
        <v/>
      </c>
      <c r="N309" s="43" t="str">
        <f aca="false">IF(OR($L309="",$I309="",$I309=0),"",$L309/$I309)</f>
        <v/>
      </c>
      <c r="O309" s="51"/>
    </row>
    <row r="310" customFormat="false" ht="15" hidden="false" customHeight="false" outlineLevel="0" collapsed="false">
      <c r="A310" s="45"/>
      <c r="B310" s="37" t="str">
        <f aca="false">IF($A310="","",WEEKNUM($A310,2))</f>
        <v/>
      </c>
      <c r="C310" s="37" t="str">
        <f aca="false">IF($A310="","",CHOOSE(WEEKDAY($A310,2),"Seg","Ter","Qua","Qui","Sex","Sáb","Dom"))</f>
        <v/>
      </c>
      <c r="D310" s="46"/>
      <c r="E310" s="47"/>
      <c r="F310" s="47"/>
      <c r="G310" s="48"/>
      <c r="H310" s="49"/>
      <c r="I310" s="50"/>
      <c r="J310" s="48"/>
      <c r="K310" s="49"/>
      <c r="L310" s="50"/>
      <c r="M310" s="43" t="str">
        <f aca="false">IF(OR($L310="",$F310=""),"",IFERROR($L310/INDEX(Cadastro!$E$6:$E$8,MATCH($F310,Cadastro!$B$6:$B$8,0)),""))</f>
        <v/>
      </c>
      <c r="N310" s="43" t="str">
        <f aca="false">IF(OR($L310="",$I310="",$I310=0),"",$L310/$I310)</f>
        <v/>
      </c>
      <c r="O310" s="51"/>
    </row>
    <row r="311" customFormat="false" ht="15" hidden="false" customHeight="false" outlineLevel="0" collapsed="false">
      <c r="A311" s="45"/>
      <c r="B311" s="37" t="str">
        <f aca="false">IF($A311="","",WEEKNUM($A311,2))</f>
        <v/>
      </c>
      <c r="C311" s="37" t="str">
        <f aca="false">IF($A311="","",CHOOSE(WEEKDAY($A311,2),"Seg","Ter","Qua","Qui","Sex","Sáb","Dom"))</f>
        <v/>
      </c>
      <c r="D311" s="46"/>
      <c r="E311" s="47"/>
      <c r="F311" s="47"/>
      <c r="G311" s="48"/>
      <c r="H311" s="49"/>
      <c r="I311" s="50"/>
      <c r="J311" s="48"/>
      <c r="K311" s="49"/>
      <c r="L311" s="50"/>
      <c r="M311" s="43" t="str">
        <f aca="false">IF(OR($L311="",$F311=""),"",IFERROR($L311/INDEX(Cadastro!$E$6:$E$8,MATCH($F311,Cadastro!$B$6:$B$8,0)),""))</f>
        <v/>
      </c>
      <c r="N311" s="43" t="str">
        <f aca="false">IF(OR($L311="",$I311="",$I311=0),"",$L311/$I311)</f>
        <v/>
      </c>
      <c r="O311" s="51"/>
    </row>
    <row r="312" customFormat="false" ht="15" hidden="false" customHeight="false" outlineLevel="0" collapsed="false">
      <c r="A312" s="45"/>
      <c r="B312" s="37" t="str">
        <f aca="false">IF($A312="","",WEEKNUM($A312,2))</f>
        <v/>
      </c>
      <c r="C312" s="37" t="str">
        <f aca="false">IF($A312="","",CHOOSE(WEEKDAY($A312,2),"Seg","Ter","Qua","Qui","Sex","Sáb","Dom"))</f>
        <v/>
      </c>
      <c r="D312" s="46"/>
      <c r="E312" s="47"/>
      <c r="F312" s="47"/>
      <c r="G312" s="48"/>
      <c r="H312" s="49"/>
      <c r="I312" s="50"/>
      <c r="J312" s="48"/>
      <c r="K312" s="49"/>
      <c r="L312" s="50"/>
      <c r="M312" s="43" t="str">
        <f aca="false">IF(OR($L312="",$F312=""),"",IFERROR($L312/INDEX(Cadastro!$E$6:$E$8,MATCH($F312,Cadastro!$B$6:$B$8,0)),""))</f>
        <v/>
      </c>
      <c r="N312" s="43" t="str">
        <f aca="false">IF(OR($L312="",$I312="",$I312=0),"",$L312/$I312)</f>
        <v/>
      </c>
      <c r="O312" s="51"/>
    </row>
    <row r="313" customFormat="false" ht="15" hidden="false" customHeight="false" outlineLevel="0" collapsed="false">
      <c r="A313" s="45"/>
      <c r="B313" s="37" t="str">
        <f aca="false">IF($A313="","",WEEKNUM($A313,2))</f>
        <v/>
      </c>
      <c r="C313" s="37" t="str">
        <f aca="false">IF($A313="","",CHOOSE(WEEKDAY($A313,2),"Seg","Ter","Qua","Qui","Sex","Sáb","Dom"))</f>
        <v/>
      </c>
      <c r="D313" s="46"/>
      <c r="E313" s="47"/>
      <c r="F313" s="47"/>
      <c r="G313" s="48"/>
      <c r="H313" s="49"/>
      <c r="I313" s="50"/>
      <c r="J313" s="48"/>
      <c r="K313" s="49"/>
      <c r="L313" s="50"/>
      <c r="M313" s="43" t="str">
        <f aca="false">IF(OR($L313="",$F313=""),"",IFERROR($L313/INDEX(Cadastro!$E$6:$E$8,MATCH($F313,Cadastro!$B$6:$B$8,0)),""))</f>
        <v/>
      </c>
      <c r="N313" s="43" t="str">
        <f aca="false">IF(OR($L313="",$I313="",$I313=0),"",$L313/$I313)</f>
        <v/>
      </c>
      <c r="O313" s="51"/>
    </row>
    <row r="314" customFormat="false" ht="15" hidden="false" customHeight="false" outlineLevel="0" collapsed="false">
      <c r="A314" s="45"/>
      <c r="B314" s="37" t="str">
        <f aca="false">IF($A314="","",WEEKNUM($A314,2))</f>
        <v/>
      </c>
      <c r="C314" s="37" t="str">
        <f aca="false">IF($A314="","",CHOOSE(WEEKDAY($A314,2),"Seg","Ter","Qua","Qui","Sex","Sáb","Dom"))</f>
        <v/>
      </c>
      <c r="D314" s="46"/>
      <c r="E314" s="47"/>
      <c r="F314" s="47"/>
      <c r="G314" s="48"/>
      <c r="H314" s="49"/>
      <c r="I314" s="50"/>
      <c r="J314" s="48"/>
      <c r="K314" s="49"/>
      <c r="L314" s="50"/>
      <c r="M314" s="43" t="str">
        <f aca="false">IF(OR($L314="",$F314=""),"",IFERROR($L314/INDEX(Cadastro!$E$6:$E$8,MATCH($F314,Cadastro!$B$6:$B$8,0)),""))</f>
        <v/>
      </c>
      <c r="N314" s="43" t="str">
        <f aca="false">IF(OR($L314="",$I314="",$I314=0),"",$L314/$I314)</f>
        <v/>
      </c>
      <c r="O314" s="51"/>
    </row>
    <row r="315" customFormat="false" ht="15" hidden="false" customHeight="false" outlineLevel="0" collapsed="false">
      <c r="A315" s="45"/>
      <c r="B315" s="37" t="str">
        <f aca="false">IF($A315="","",WEEKNUM($A315,2))</f>
        <v/>
      </c>
      <c r="C315" s="37" t="str">
        <f aca="false">IF($A315="","",CHOOSE(WEEKDAY($A315,2),"Seg","Ter","Qua","Qui","Sex","Sáb","Dom"))</f>
        <v/>
      </c>
      <c r="D315" s="46"/>
      <c r="E315" s="47"/>
      <c r="F315" s="47"/>
      <c r="G315" s="48"/>
      <c r="H315" s="49"/>
      <c r="I315" s="50"/>
      <c r="J315" s="48"/>
      <c r="K315" s="49"/>
      <c r="L315" s="50"/>
      <c r="M315" s="43" t="str">
        <f aca="false">IF(OR($L315="",$F315=""),"",IFERROR($L315/INDEX(Cadastro!$E$6:$E$8,MATCH($F315,Cadastro!$B$6:$B$8,0)),""))</f>
        <v/>
      </c>
      <c r="N315" s="43" t="str">
        <f aca="false">IF(OR($L315="",$I315="",$I315=0),"",$L315/$I315)</f>
        <v/>
      </c>
      <c r="O315" s="51"/>
    </row>
    <row r="316" customFormat="false" ht="15" hidden="false" customHeight="false" outlineLevel="0" collapsed="false">
      <c r="A316" s="45"/>
      <c r="B316" s="37" t="str">
        <f aca="false">IF($A316="","",WEEKNUM($A316,2))</f>
        <v/>
      </c>
      <c r="C316" s="37" t="str">
        <f aca="false">IF($A316="","",CHOOSE(WEEKDAY($A316,2),"Seg","Ter","Qua","Qui","Sex","Sáb","Dom"))</f>
        <v/>
      </c>
      <c r="D316" s="46"/>
      <c r="E316" s="47"/>
      <c r="F316" s="47"/>
      <c r="G316" s="48"/>
      <c r="H316" s="49"/>
      <c r="I316" s="50"/>
      <c r="J316" s="48"/>
      <c r="K316" s="49"/>
      <c r="L316" s="50"/>
      <c r="M316" s="43" t="str">
        <f aca="false">IF(OR($L316="",$F316=""),"",IFERROR($L316/INDEX(Cadastro!$E$6:$E$8,MATCH($F316,Cadastro!$B$6:$B$8,0)),""))</f>
        <v/>
      </c>
      <c r="N316" s="43" t="str">
        <f aca="false">IF(OR($L316="",$I316="",$I316=0),"",$L316/$I316)</f>
        <v/>
      </c>
      <c r="O316" s="51"/>
    </row>
    <row r="317" customFormat="false" ht="15" hidden="false" customHeight="false" outlineLevel="0" collapsed="false">
      <c r="A317" s="45"/>
      <c r="B317" s="37" t="str">
        <f aca="false">IF($A317="","",WEEKNUM($A317,2))</f>
        <v/>
      </c>
      <c r="C317" s="37" t="str">
        <f aca="false">IF($A317="","",CHOOSE(WEEKDAY($A317,2),"Seg","Ter","Qua","Qui","Sex","Sáb","Dom"))</f>
        <v/>
      </c>
      <c r="D317" s="46"/>
      <c r="E317" s="47"/>
      <c r="F317" s="47"/>
      <c r="G317" s="48"/>
      <c r="H317" s="49"/>
      <c r="I317" s="50"/>
      <c r="J317" s="48"/>
      <c r="K317" s="49"/>
      <c r="L317" s="50"/>
      <c r="M317" s="43" t="str">
        <f aca="false">IF(OR($L317="",$F317=""),"",IFERROR($L317/INDEX(Cadastro!$E$6:$E$8,MATCH($F317,Cadastro!$B$6:$B$8,0)),""))</f>
        <v/>
      </c>
      <c r="N317" s="43" t="str">
        <f aca="false">IF(OR($L317="",$I317="",$I317=0),"",$L317/$I317)</f>
        <v/>
      </c>
      <c r="O317" s="51"/>
    </row>
    <row r="318" customFormat="false" ht="15" hidden="false" customHeight="false" outlineLevel="0" collapsed="false">
      <c r="A318" s="45"/>
      <c r="B318" s="37" t="str">
        <f aca="false">IF($A318="","",WEEKNUM($A318,2))</f>
        <v/>
      </c>
      <c r="C318" s="37" t="str">
        <f aca="false">IF($A318="","",CHOOSE(WEEKDAY($A318,2),"Seg","Ter","Qua","Qui","Sex","Sáb","Dom"))</f>
        <v/>
      </c>
      <c r="D318" s="46"/>
      <c r="E318" s="47"/>
      <c r="F318" s="47"/>
      <c r="G318" s="48"/>
      <c r="H318" s="49"/>
      <c r="I318" s="50"/>
      <c r="J318" s="48"/>
      <c r="K318" s="49"/>
      <c r="L318" s="50"/>
      <c r="M318" s="43" t="str">
        <f aca="false">IF(OR($L318="",$F318=""),"",IFERROR($L318/INDEX(Cadastro!$E$6:$E$8,MATCH($F318,Cadastro!$B$6:$B$8,0)),""))</f>
        <v/>
      </c>
      <c r="N318" s="43" t="str">
        <f aca="false">IF(OR($L318="",$I318="",$I318=0),"",$L318/$I318)</f>
        <v/>
      </c>
      <c r="O318" s="51"/>
    </row>
    <row r="319" customFormat="false" ht="15" hidden="false" customHeight="false" outlineLevel="0" collapsed="false">
      <c r="A319" s="45"/>
      <c r="B319" s="37" t="str">
        <f aca="false">IF($A319="","",WEEKNUM($A319,2))</f>
        <v/>
      </c>
      <c r="C319" s="37" t="str">
        <f aca="false">IF($A319="","",CHOOSE(WEEKDAY($A319,2),"Seg","Ter","Qua","Qui","Sex","Sáb","Dom"))</f>
        <v/>
      </c>
      <c r="D319" s="46"/>
      <c r="E319" s="47"/>
      <c r="F319" s="47"/>
      <c r="G319" s="48"/>
      <c r="H319" s="49"/>
      <c r="I319" s="50"/>
      <c r="J319" s="48"/>
      <c r="K319" s="49"/>
      <c r="L319" s="50"/>
      <c r="M319" s="43" t="str">
        <f aca="false">IF(OR($L319="",$F319=""),"",IFERROR($L319/INDEX(Cadastro!$E$6:$E$8,MATCH($F319,Cadastro!$B$6:$B$8,0)),""))</f>
        <v/>
      </c>
      <c r="N319" s="43" t="str">
        <f aca="false">IF(OR($L319="",$I319="",$I319=0),"",$L319/$I319)</f>
        <v/>
      </c>
      <c r="O319" s="51"/>
    </row>
    <row r="320" customFormat="false" ht="15" hidden="false" customHeight="false" outlineLevel="0" collapsed="false">
      <c r="A320" s="45"/>
      <c r="B320" s="37" t="str">
        <f aca="false">IF($A320="","",WEEKNUM($A320,2))</f>
        <v/>
      </c>
      <c r="C320" s="37" t="str">
        <f aca="false">IF($A320="","",CHOOSE(WEEKDAY($A320,2),"Seg","Ter","Qua","Qui","Sex","Sáb","Dom"))</f>
        <v/>
      </c>
      <c r="D320" s="46"/>
      <c r="E320" s="47"/>
      <c r="F320" s="47"/>
      <c r="G320" s="48"/>
      <c r="H320" s="49"/>
      <c r="I320" s="50"/>
      <c r="J320" s="48"/>
      <c r="K320" s="49"/>
      <c r="L320" s="50"/>
      <c r="M320" s="43" t="str">
        <f aca="false">IF(OR($L320="",$F320=""),"",IFERROR($L320/INDEX(Cadastro!$E$6:$E$8,MATCH($F320,Cadastro!$B$6:$B$8,0)),""))</f>
        <v/>
      </c>
      <c r="N320" s="43" t="str">
        <f aca="false">IF(OR($L320="",$I320="",$I320=0),"",$L320/$I320)</f>
        <v/>
      </c>
      <c r="O320" s="51"/>
    </row>
    <row r="321" customFormat="false" ht="15" hidden="false" customHeight="false" outlineLevel="0" collapsed="false">
      <c r="A321" s="45"/>
      <c r="B321" s="37" t="str">
        <f aca="false">IF($A321="","",WEEKNUM($A321,2))</f>
        <v/>
      </c>
      <c r="C321" s="37" t="str">
        <f aca="false">IF($A321="","",CHOOSE(WEEKDAY($A321,2),"Seg","Ter","Qua","Qui","Sex","Sáb","Dom"))</f>
        <v/>
      </c>
      <c r="D321" s="46"/>
      <c r="E321" s="47"/>
      <c r="F321" s="47"/>
      <c r="G321" s="48"/>
      <c r="H321" s="49"/>
      <c r="I321" s="50"/>
      <c r="J321" s="48"/>
      <c r="K321" s="49"/>
      <c r="L321" s="50"/>
      <c r="M321" s="43" t="str">
        <f aca="false">IF(OR($L321="",$F321=""),"",IFERROR($L321/INDEX(Cadastro!$E$6:$E$8,MATCH($F321,Cadastro!$B$6:$B$8,0)),""))</f>
        <v/>
      </c>
      <c r="N321" s="43" t="str">
        <f aca="false">IF(OR($L321="",$I321="",$I321=0),"",$L321/$I321)</f>
        <v/>
      </c>
      <c r="O321" s="51"/>
    </row>
    <row r="322" customFormat="false" ht="15" hidden="false" customHeight="false" outlineLevel="0" collapsed="false">
      <c r="A322" s="45"/>
      <c r="B322" s="37" t="str">
        <f aca="false">IF($A322="","",WEEKNUM($A322,2))</f>
        <v/>
      </c>
      <c r="C322" s="37" t="str">
        <f aca="false">IF($A322="","",CHOOSE(WEEKDAY($A322,2),"Seg","Ter","Qua","Qui","Sex","Sáb","Dom"))</f>
        <v/>
      </c>
      <c r="D322" s="46"/>
      <c r="E322" s="47"/>
      <c r="F322" s="47"/>
      <c r="G322" s="48"/>
      <c r="H322" s="49"/>
      <c r="I322" s="50"/>
      <c r="J322" s="48"/>
      <c r="K322" s="49"/>
      <c r="L322" s="50"/>
      <c r="M322" s="43" t="str">
        <f aca="false">IF(OR($L322="",$F322=""),"",IFERROR($L322/INDEX(Cadastro!$E$6:$E$8,MATCH($F322,Cadastro!$B$6:$B$8,0)),""))</f>
        <v/>
      </c>
      <c r="N322" s="43" t="str">
        <f aca="false">IF(OR($L322="",$I322="",$I322=0),"",$L322/$I322)</f>
        <v/>
      </c>
      <c r="O322" s="51"/>
    </row>
    <row r="323" customFormat="false" ht="15" hidden="false" customHeight="false" outlineLevel="0" collapsed="false">
      <c r="A323" s="45"/>
      <c r="B323" s="37" t="str">
        <f aca="false">IF($A323="","",WEEKNUM($A323,2))</f>
        <v/>
      </c>
      <c r="C323" s="37" t="str">
        <f aca="false">IF($A323="","",CHOOSE(WEEKDAY($A323,2),"Seg","Ter","Qua","Qui","Sex","Sáb","Dom"))</f>
        <v/>
      </c>
      <c r="D323" s="46"/>
      <c r="E323" s="47"/>
      <c r="F323" s="47"/>
      <c r="G323" s="48"/>
      <c r="H323" s="49"/>
      <c r="I323" s="50"/>
      <c r="J323" s="48"/>
      <c r="K323" s="49"/>
      <c r="L323" s="50"/>
      <c r="M323" s="43" t="str">
        <f aca="false">IF(OR($L323="",$F323=""),"",IFERROR($L323/INDEX(Cadastro!$E$6:$E$8,MATCH($F323,Cadastro!$B$6:$B$8,0)),""))</f>
        <v/>
      </c>
      <c r="N323" s="43" t="str">
        <f aca="false">IF(OR($L323="",$I323="",$I323=0),"",$L323/$I323)</f>
        <v/>
      </c>
      <c r="O323" s="51"/>
    </row>
    <row r="324" customFormat="false" ht="15" hidden="false" customHeight="false" outlineLevel="0" collapsed="false">
      <c r="A324" s="45"/>
      <c r="B324" s="37" t="str">
        <f aca="false">IF($A324="","",WEEKNUM($A324,2))</f>
        <v/>
      </c>
      <c r="C324" s="37" t="str">
        <f aca="false">IF($A324="","",CHOOSE(WEEKDAY($A324,2),"Seg","Ter","Qua","Qui","Sex","Sáb","Dom"))</f>
        <v/>
      </c>
      <c r="D324" s="46"/>
      <c r="E324" s="47"/>
      <c r="F324" s="47"/>
      <c r="G324" s="48"/>
      <c r="H324" s="49"/>
      <c r="I324" s="50"/>
      <c r="J324" s="48"/>
      <c r="K324" s="49"/>
      <c r="L324" s="50"/>
      <c r="M324" s="43" t="str">
        <f aca="false">IF(OR($L324="",$F324=""),"",IFERROR($L324/INDEX(Cadastro!$E$6:$E$8,MATCH($F324,Cadastro!$B$6:$B$8,0)),""))</f>
        <v/>
      </c>
      <c r="N324" s="43" t="str">
        <f aca="false">IF(OR($L324="",$I324="",$I324=0),"",$L324/$I324)</f>
        <v/>
      </c>
      <c r="O324" s="51"/>
    </row>
    <row r="325" customFormat="false" ht="15" hidden="false" customHeight="false" outlineLevel="0" collapsed="false">
      <c r="A325" s="45"/>
      <c r="B325" s="37" t="str">
        <f aca="false">IF($A325="","",WEEKNUM($A325,2))</f>
        <v/>
      </c>
      <c r="C325" s="37" t="str">
        <f aca="false">IF($A325="","",CHOOSE(WEEKDAY($A325,2),"Seg","Ter","Qua","Qui","Sex","Sáb","Dom"))</f>
        <v/>
      </c>
      <c r="D325" s="46"/>
      <c r="E325" s="47"/>
      <c r="F325" s="47"/>
      <c r="G325" s="48"/>
      <c r="H325" s="49"/>
      <c r="I325" s="50"/>
      <c r="J325" s="48"/>
      <c r="K325" s="49"/>
      <c r="L325" s="50"/>
      <c r="M325" s="43" t="str">
        <f aca="false">IF(OR($L325="",$F325=""),"",IFERROR($L325/INDEX(Cadastro!$E$6:$E$8,MATCH($F325,Cadastro!$B$6:$B$8,0)),""))</f>
        <v/>
      </c>
      <c r="N325" s="43" t="str">
        <f aca="false">IF(OR($L325="",$I325="",$I325=0),"",$L325/$I325)</f>
        <v/>
      </c>
      <c r="O325" s="51"/>
    </row>
    <row r="326" customFormat="false" ht="15" hidden="false" customHeight="false" outlineLevel="0" collapsed="false">
      <c r="A326" s="45"/>
      <c r="B326" s="37" t="str">
        <f aca="false">IF($A326="","",WEEKNUM($A326,2))</f>
        <v/>
      </c>
      <c r="C326" s="37" t="str">
        <f aca="false">IF($A326="","",CHOOSE(WEEKDAY($A326,2),"Seg","Ter","Qua","Qui","Sex","Sáb","Dom"))</f>
        <v/>
      </c>
      <c r="D326" s="46"/>
      <c r="E326" s="47"/>
      <c r="F326" s="47"/>
      <c r="G326" s="48"/>
      <c r="H326" s="49"/>
      <c r="I326" s="50"/>
      <c r="J326" s="48"/>
      <c r="K326" s="49"/>
      <c r="L326" s="50"/>
      <c r="M326" s="43" t="str">
        <f aca="false">IF(OR($L326="",$F326=""),"",IFERROR($L326/INDEX(Cadastro!$E$6:$E$8,MATCH($F326,Cadastro!$B$6:$B$8,0)),""))</f>
        <v/>
      </c>
      <c r="N326" s="43" t="str">
        <f aca="false">IF(OR($L326="",$I326="",$I326=0),"",$L326/$I326)</f>
        <v/>
      </c>
      <c r="O326" s="51"/>
    </row>
    <row r="327" customFormat="false" ht="15" hidden="false" customHeight="false" outlineLevel="0" collapsed="false">
      <c r="A327" s="45"/>
      <c r="B327" s="37" t="str">
        <f aca="false">IF($A327="","",WEEKNUM($A327,2))</f>
        <v/>
      </c>
      <c r="C327" s="37" t="str">
        <f aca="false">IF($A327="","",CHOOSE(WEEKDAY($A327,2),"Seg","Ter","Qua","Qui","Sex","Sáb","Dom"))</f>
        <v/>
      </c>
      <c r="D327" s="46"/>
      <c r="E327" s="47"/>
      <c r="F327" s="47"/>
      <c r="G327" s="48"/>
      <c r="H327" s="49"/>
      <c r="I327" s="50"/>
      <c r="J327" s="48"/>
      <c r="K327" s="49"/>
      <c r="L327" s="50"/>
      <c r="M327" s="43" t="str">
        <f aca="false">IF(OR($L327="",$F327=""),"",IFERROR($L327/INDEX(Cadastro!$E$6:$E$8,MATCH($F327,Cadastro!$B$6:$B$8,0)),""))</f>
        <v/>
      </c>
      <c r="N327" s="43" t="str">
        <f aca="false">IF(OR($L327="",$I327="",$I327=0),"",$L327/$I327)</f>
        <v/>
      </c>
      <c r="O327" s="51"/>
    </row>
    <row r="328" customFormat="false" ht="15" hidden="false" customHeight="false" outlineLevel="0" collapsed="false">
      <c r="A328" s="45"/>
      <c r="B328" s="37" t="str">
        <f aca="false">IF($A328="","",WEEKNUM($A328,2))</f>
        <v/>
      </c>
      <c r="C328" s="37" t="str">
        <f aca="false">IF($A328="","",CHOOSE(WEEKDAY($A328,2),"Seg","Ter","Qua","Qui","Sex","Sáb","Dom"))</f>
        <v/>
      </c>
      <c r="D328" s="46"/>
      <c r="E328" s="47"/>
      <c r="F328" s="47"/>
      <c r="G328" s="48"/>
      <c r="H328" s="49"/>
      <c r="I328" s="50"/>
      <c r="J328" s="48"/>
      <c r="K328" s="49"/>
      <c r="L328" s="50"/>
      <c r="M328" s="43" t="str">
        <f aca="false">IF(OR($L328="",$F328=""),"",IFERROR($L328/INDEX(Cadastro!$E$6:$E$8,MATCH($F328,Cadastro!$B$6:$B$8,0)),""))</f>
        <v/>
      </c>
      <c r="N328" s="43" t="str">
        <f aca="false">IF(OR($L328="",$I328="",$I328=0),"",$L328/$I328)</f>
        <v/>
      </c>
      <c r="O328" s="51"/>
    </row>
    <row r="329" customFormat="false" ht="15" hidden="false" customHeight="false" outlineLevel="0" collapsed="false">
      <c r="A329" s="45"/>
      <c r="B329" s="37" t="str">
        <f aca="false">IF($A329="","",WEEKNUM($A329,2))</f>
        <v/>
      </c>
      <c r="C329" s="37" t="str">
        <f aca="false">IF($A329="","",CHOOSE(WEEKDAY($A329,2),"Seg","Ter","Qua","Qui","Sex","Sáb","Dom"))</f>
        <v/>
      </c>
      <c r="D329" s="46"/>
      <c r="E329" s="47"/>
      <c r="F329" s="47"/>
      <c r="G329" s="48"/>
      <c r="H329" s="49"/>
      <c r="I329" s="50"/>
      <c r="J329" s="48"/>
      <c r="K329" s="49"/>
      <c r="L329" s="50"/>
      <c r="M329" s="43" t="str">
        <f aca="false">IF(OR($L329="",$F329=""),"",IFERROR($L329/INDEX(Cadastro!$E$6:$E$8,MATCH($F329,Cadastro!$B$6:$B$8,0)),""))</f>
        <v/>
      </c>
      <c r="N329" s="43" t="str">
        <f aca="false">IF(OR($L329="",$I329="",$I329=0),"",$L329/$I329)</f>
        <v/>
      </c>
      <c r="O329" s="51"/>
    </row>
    <row r="330" customFormat="false" ht="15" hidden="false" customHeight="false" outlineLevel="0" collapsed="false">
      <c r="A330" s="45"/>
      <c r="B330" s="37" t="str">
        <f aca="false">IF($A330="","",WEEKNUM($A330,2))</f>
        <v/>
      </c>
      <c r="C330" s="37" t="str">
        <f aca="false">IF($A330="","",CHOOSE(WEEKDAY($A330,2),"Seg","Ter","Qua","Qui","Sex","Sáb","Dom"))</f>
        <v/>
      </c>
      <c r="D330" s="46"/>
      <c r="E330" s="47"/>
      <c r="F330" s="47"/>
      <c r="G330" s="48"/>
      <c r="H330" s="49"/>
      <c r="I330" s="50"/>
      <c r="J330" s="48"/>
      <c r="K330" s="49"/>
      <c r="L330" s="50"/>
      <c r="M330" s="43" t="str">
        <f aca="false">IF(OR($L330="",$F330=""),"",IFERROR($L330/INDEX(Cadastro!$E$6:$E$8,MATCH($F330,Cadastro!$B$6:$B$8,0)),""))</f>
        <v/>
      </c>
      <c r="N330" s="43" t="str">
        <f aca="false">IF(OR($L330="",$I330="",$I330=0),"",$L330/$I330)</f>
        <v/>
      </c>
      <c r="O330" s="51"/>
    </row>
    <row r="331" customFormat="false" ht="15" hidden="false" customHeight="false" outlineLevel="0" collapsed="false">
      <c r="A331" s="45"/>
      <c r="B331" s="37" t="str">
        <f aca="false">IF($A331="","",WEEKNUM($A331,2))</f>
        <v/>
      </c>
      <c r="C331" s="37" t="str">
        <f aca="false">IF($A331="","",CHOOSE(WEEKDAY($A331,2),"Seg","Ter","Qua","Qui","Sex","Sáb","Dom"))</f>
        <v/>
      </c>
      <c r="D331" s="46"/>
      <c r="E331" s="47"/>
      <c r="F331" s="47"/>
      <c r="G331" s="48"/>
      <c r="H331" s="49"/>
      <c r="I331" s="50"/>
      <c r="J331" s="48"/>
      <c r="K331" s="49"/>
      <c r="L331" s="50"/>
      <c r="M331" s="43" t="str">
        <f aca="false">IF(OR($L331="",$F331=""),"",IFERROR($L331/INDEX(Cadastro!$E$6:$E$8,MATCH($F331,Cadastro!$B$6:$B$8,0)),""))</f>
        <v/>
      </c>
      <c r="N331" s="43" t="str">
        <f aca="false">IF(OR($L331="",$I331="",$I331=0),"",$L331/$I331)</f>
        <v/>
      </c>
      <c r="O331" s="51"/>
    </row>
    <row r="332" customFormat="false" ht="15" hidden="false" customHeight="false" outlineLevel="0" collapsed="false">
      <c r="A332" s="45"/>
      <c r="B332" s="37" t="str">
        <f aca="false">IF($A332="","",WEEKNUM($A332,2))</f>
        <v/>
      </c>
      <c r="C332" s="37" t="str">
        <f aca="false">IF($A332="","",CHOOSE(WEEKDAY($A332,2),"Seg","Ter","Qua","Qui","Sex","Sáb","Dom"))</f>
        <v/>
      </c>
      <c r="D332" s="46"/>
      <c r="E332" s="47"/>
      <c r="F332" s="47"/>
      <c r="G332" s="48"/>
      <c r="H332" s="49"/>
      <c r="I332" s="50"/>
      <c r="J332" s="48"/>
      <c r="K332" s="49"/>
      <c r="L332" s="50"/>
      <c r="M332" s="43" t="str">
        <f aca="false">IF(OR($L332="",$F332=""),"",IFERROR($L332/INDEX(Cadastro!$E$6:$E$8,MATCH($F332,Cadastro!$B$6:$B$8,0)),""))</f>
        <v/>
      </c>
      <c r="N332" s="43" t="str">
        <f aca="false">IF(OR($L332="",$I332="",$I332=0),"",$L332/$I332)</f>
        <v/>
      </c>
      <c r="O332" s="51"/>
    </row>
    <row r="333" customFormat="false" ht="15" hidden="false" customHeight="false" outlineLevel="0" collapsed="false">
      <c r="A333" s="45"/>
      <c r="B333" s="37" t="str">
        <f aca="false">IF($A333="","",WEEKNUM($A333,2))</f>
        <v/>
      </c>
      <c r="C333" s="37" t="str">
        <f aca="false">IF($A333="","",CHOOSE(WEEKDAY($A333,2),"Seg","Ter","Qua","Qui","Sex","Sáb","Dom"))</f>
        <v/>
      </c>
      <c r="D333" s="46"/>
      <c r="E333" s="47"/>
      <c r="F333" s="47"/>
      <c r="G333" s="48"/>
      <c r="H333" s="49"/>
      <c r="I333" s="50"/>
      <c r="J333" s="48"/>
      <c r="K333" s="49"/>
      <c r="L333" s="50"/>
      <c r="M333" s="43" t="str">
        <f aca="false">IF(OR($L333="",$F333=""),"",IFERROR($L333/INDEX(Cadastro!$E$6:$E$8,MATCH($F333,Cadastro!$B$6:$B$8,0)),""))</f>
        <v/>
      </c>
      <c r="N333" s="43" t="str">
        <f aca="false">IF(OR($L333="",$I333="",$I333=0),"",$L333/$I333)</f>
        <v/>
      </c>
      <c r="O333" s="51"/>
    </row>
    <row r="334" customFormat="false" ht="15" hidden="false" customHeight="false" outlineLevel="0" collapsed="false">
      <c r="A334" s="45"/>
      <c r="B334" s="37" t="str">
        <f aca="false">IF($A334="","",WEEKNUM($A334,2))</f>
        <v/>
      </c>
      <c r="C334" s="37" t="str">
        <f aca="false">IF($A334="","",CHOOSE(WEEKDAY($A334,2),"Seg","Ter","Qua","Qui","Sex","Sáb","Dom"))</f>
        <v/>
      </c>
      <c r="D334" s="46"/>
      <c r="E334" s="47"/>
      <c r="F334" s="47"/>
      <c r="G334" s="48"/>
      <c r="H334" s="49"/>
      <c r="I334" s="50"/>
      <c r="J334" s="48"/>
      <c r="K334" s="49"/>
      <c r="L334" s="50"/>
      <c r="M334" s="43" t="str">
        <f aca="false">IF(OR($L334="",$F334=""),"",IFERROR($L334/INDEX(Cadastro!$E$6:$E$8,MATCH($F334,Cadastro!$B$6:$B$8,0)),""))</f>
        <v/>
      </c>
      <c r="N334" s="43" t="str">
        <f aca="false">IF(OR($L334="",$I334="",$I334=0),"",$L334/$I334)</f>
        <v/>
      </c>
      <c r="O334" s="51"/>
    </row>
    <row r="335" customFormat="false" ht="15" hidden="false" customHeight="false" outlineLevel="0" collapsed="false">
      <c r="A335" s="45"/>
      <c r="B335" s="37" t="str">
        <f aca="false">IF($A335="","",WEEKNUM($A335,2))</f>
        <v/>
      </c>
      <c r="C335" s="37" t="str">
        <f aca="false">IF($A335="","",CHOOSE(WEEKDAY($A335,2),"Seg","Ter","Qua","Qui","Sex","Sáb","Dom"))</f>
        <v/>
      </c>
      <c r="D335" s="46"/>
      <c r="E335" s="47"/>
      <c r="F335" s="47"/>
      <c r="G335" s="48"/>
      <c r="H335" s="49"/>
      <c r="I335" s="50"/>
      <c r="J335" s="48"/>
      <c r="K335" s="49"/>
      <c r="L335" s="50"/>
      <c r="M335" s="43" t="str">
        <f aca="false">IF(OR($L335="",$F335=""),"",IFERROR($L335/INDEX(Cadastro!$E$6:$E$8,MATCH($F335,Cadastro!$B$6:$B$8,0)),""))</f>
        <v/>
      </c>
      <c r="N335" s="43" t="str">
        <f aca="false">IF(OR($L335="",$I335="",$I335=0),"",$L335/$I335)</f>
        <v/>
      </c>
      <c r="O335" s="51"/>
    </row>
    <row r="336" customFormat="false" ht="15" hidden="false" customHeight="false" outlineLevel="0" collapsed="false">
      <c r="A336" s="45"/>
      <c r="B336" s="37" t="str">
        <f aca="false">IF($A336="","",WEEKNUM($A336,2))</f>
        <v/>
      </c>
      <c r="C336" s="37" t="str">
        <f aca="false">IF($A336="","",CHOOSE(WEEKDAY($A336,2),"Seg","Ter","Qua","Qui","Sex","Sáb","Dom"))</f>
        <v/>
      </c>
      <c r="D336" s="46"/>
      <c r="E336" s="47"/>
      <c r="F336" s="47"/>
      <c r="G336" s="48"/>
      <c r="H336" s="49"/>
      <c r="I336" s="50"/>
      <c r="J336" s="48"/>
      <c r="K336" s="49"/>
      <c r="L336" s="50"/>
      <c r="M336" s="43" t="str">
        <f aca="false">IF(OR($L336="",$F336=""),"",IFERROR($L336/INDEX(Cadastro!$E$6:$E$8,MATCH($F336,Cadastro!$B$6:$B$8,0)),""))</f>
        <v/>
      </c>
      <c r="N336" s="43" t="str">
        <f aca="false">IF(OR($L336="",$I336="",$I336=0),"",$L336/$I336)</f>
        <v/>
      </c>
      <c r="O336" s="51"/>
    </row>
    <row r="337" customFormat="false" ht="15" hidden="false" customHeight="false" outlineLevel="0" collapsed="false">
      <c r="A337" s="45"/>
      <c r="B337" s="37" t="str">
        <f aca="false">IF($A337="","",WEEKNUM($A337,2))</f>
        <v/>
      </c>
      <c r="C337" s="37" t="str">
        <f aca="false">IF($A337="","",CHOOSE(WEEKDAY($A337,2),"Seg","Ter","Qua","Qui","Sex","Sáb","Dom"))</f>
        <v/>
      </c>
      <c r="D337" s="46"/>
      <c r="E337" s="47"/>
      <c r="F337" s="47"/>
      <c r="G337" s="48"/>
      <c r="H337" s="49"/>
      <c r="I337" s="50"/>
      <c r="J337" s="48"/>
      <c r="K337" s="49"/>
      <c r="L337" s="50"/>
      <c r="M337" s="43" t="str">
        <f aca="false">IF(OR($L337="",$F337=""),"",IFERROR($L337/INDEX(Cadastro!$E$6:$E$8,MATCH($F337,Cadastro!$B$6:$B$8,0)),""))</f>
        <v/>
      </c>
      <c r="N337" s="43" t="str">
        <f aca="false">IF(OR($L337="",$I337="",$I337=0),"",$L337/$I337)</f>
        <v/>
      </c>
      <c r="O337" s="51"/>
    </row>
    <row r="338" customFormat="false" ht="15" hidden="false" customHeight="false" outlineLevel="0" collapsed="false">
      <c r="A338" s="45"/>
      <c r="B338" s="37" t="str">
        <f aca="false">IF($A338="","",WEEKNUM($A338,2))</f>
        <v/>
      </c>
      <c r="C338" s="37" t="str">
        <f aca="false">IF($A338="","",CHOOSE(WEEKDAY($A338,2),"Seg","Ter","Qua","Qui","Sex","Sáb","Dom"))</f>
        <v/>
      </c>
      <c r="D338" s="46"/>
      <c r="E338" s="47"/>
      <c r="F338" s="47"/>
      <c r="G338" s="48"/>
      <c r="H338" s="49"/>
      <c r="I338" s="50"/>
      <c r="J338" s="48"/>
      <c r="K338" s="49"/>
      <c r="L338" s="50"/>
      <c r="M338" s="43" t="str">
        <f aca="false">IF(OR($L338="",$F338=""),"",IFERROR($L338/INDEX(Cadastro!$E$6:$E$8,MATCH($F338,Cadastro!$B$6:$B$8,0)),""))</f>
        <v/>
      </c>
      <c r="N338" s="43" t="str">
        <f aca="false">IF(OR($L338="",$I338="",$I338=0),"",$L338/$I338)</f>
        <v/>
      </c>
      <c r="O338" s="51"/>
    </row>
    <row r="339" customFormat="false" ht="15" hidden="false" customHeight="false" outlineLevel="0" collapsed="false">
      <c r="A339" s="45"/>
      <c r="B339" s="37" t="str">
        <f aca="false">IF($A339="","",WEEKNUM($A339,2))</f>
        <v/>
      </c>
      <c r="C339" s="37" t="str">
        <f aca="false">IF($A339="","",CHOOSE(WEEKDAY($A339,2),"Seg","Ter","Qua","Qui","Sex","Sáb","Dom"))</f>
        <v/>
      </c>
      <c r="D339" s="46"/>
      <c r="E339" s="47"/>
      <c r="F339" s="47"/>
      <c r="G339" s="48"/>
      <c r="H339" s="49"/>
      <c r="I339" s="50"/>
      <c r="J339" s="48"/>
      <c r="K339" s="49"/>
      <c r="L339" s="50"/>
      <c r="M339" s="43" t="str">
        <f aca="false">IF(OR($L339="",$F339=""),"",IFERROR($L339/INDEX(Cadastro!$E$6:$E$8,MATCH($F339,Cadastro!$B$6:$B$8,0)),""))</f>
        <v/>
      </c>
      <c r="N339" s="43" t="str">
        <f aca="false">IF(OR($L339="",$I339="",$I339=0),"",$L339/$I339)</f>
        <v/>
      </c>
      <c r="O339" s="51"/>
    </row>
    <row r="340" customFormat="false" ht="15" hidden="false" customHeight="false" outlineLevel="0" collapsed="false">
      <c r="A340" s="45"/>
      <c r="B340" s="37" t="str">
        <f aca="false">IF($A340="","",WEEKNUM($A340,2))</f>
        <v/>
      </c>
      <c r="C340" s="37" t="str">
        <f aca="false">IF($A340="","",CHOOSE(WEEKDAY($A340,2),"Seg","Ter","Qua","Qui","Sex","Sáb","Dom"))</f>
        <v/>
      </c>
      <c r="D340" s="46"/>
      <c r="E340" s="47"/>
      <c r="F340" s="47"/>
      <c r="G340" s="48"/>
      <c r="H340" s="49"/>
      <c r="I340" s="50"/>
      <c r="J340" s="48"/>
      <c r="K340" s="49"/>
      <c r="L340" s="50"/>
      <c r="M340" s="43" t="str">
        <f aca="false">IF(OR($L340="",$F340=""),"",IFERROR($L340/INDEX(Cadastro!$E$6:$E$8,MATCH($F340,Cadastro!$B$6:$B$8,0)),""))</f>
        <v/>
      </c>
      <c r="N340" s="43" t="str">
        <f aca="false">IF(OR($L340="",$I340="",$I340=0),"",$L340/$I340)</f>
        <v/>
      </c>
      <c r="O340" s="51"/>
    </row>
    <row r="341" customFormat="false" ht="15" hidden="false" customHeight="false" outlineLevel="0" collapsed="false">
      <c r="A341" s="45"/>
      <c r="B341" s="37" t="str">
        <f aca="false">IF($A341="","",WEEKNUM($A341,2))</f>
        <v/>
      </c>
      <c r="C341" s="37" t="str">
        <f aca="false">IF($A341="","",CHOOSE(WEEKDAY($A341,2),"Seg","Ter","Qua","Qui","Sex","Sáb","Dom"))</f>
        <v/>
      </c>
      <c r="D341" s="46"/>
      <c r="E341" s="47"/>
      <c r="F341" s="47"/>
      <c r="G341" s="48"/>
      <c r="H341" s="49"/>
      <c r="I341" s="50"/>
      <c r="J341" s="48"/>
      <c r="K341" s="49"/>
      <c r="L341" s="50"/>
      <c r="M341" s="43" t="str">
        <f aca="false">IF(OR($L341="",$F341=""),"",IFERROR($L341/INDEX(Cadastro!$E$6:$E$8,MATCH($F341,Cadastro!$B$6:$B$8,0)),""))</f>
        <v/>
      </c>
      <c r="N341" s="43" t="str">
        <f aca="false">IF(OR($L341="",$I341="",$I341=0),"",$L341/$I341)</f>
        <v/>
      </c>
      <c r="O341" s="51"/>
    </row>
    <row r="342" customFormat="false" ht="15" hidden="false" customHeight="false" outlineLevel="0" collapsed="false">
      <c r="A342" s="45"/>
      <c r="B342" s="37" t="str">
        <f aca="false">IF($A342="","",WEEKNUM($A342,2))</f>
        <v/>
      </c>
      <c r="C342" s="37" t="str">
        <f aca="false">IF($A342="","",CHOOSE(WEEKDAY($A342,2),"Seg","Ter","Qua","Qui","Sex","Sáb","Dom"))</f>
        <v/>
      </c>
      <c r="D342" s="46"/>
      <c r="E342" s="47"/>
      <c r="F342" s="47"/>
      <c r="G342" s="48"/>
      <c r="H342" s="49"/>
      <c r="I342" s="50"/>
      <c r="J342" s="48"/>
      <c r="K342" s="49"/>
      <c r="L342" s="50"/>
      <c r="M342" s="43" t="str">
        <f aca="false">IF(OR($L342="",$F342=""),"",IFERROR($L342/INDEX(Cadastro!$E$6:$E$8,MATCH($F342,Cadastro!$B$6:$B$8,0)),""))</f>
        <v/>
      </c>
      <c r="N342" s="43" t="str">
        <f aca="false">IF(OR($L342="",$I342="",$I342=0),"",$L342/$I342)</f>
        <v/>
      </c>
      <c r="O342" s="51"/>
    </row>
    <row r="343" customFormat="false" ht="15" hidden="false" customHeight="false" outlineLevel="0" collapsed="false">
      <c r="A343" s="45"/>
      <c r="B343" s="37" t="str">
        <f aca="false">IF($A343="","",WEEKNUM($A343,2))</f>
        <v/>
      </c>
      <c r="C343" s="37" t="str">
        <f aca="false">IF($A343="","",CHOOSE(WEEKDAY($A343,2),"Seg","Ter","Qua","Qui","Sex","Sáb","Dom"))</f>
        <v/>
      </c>
      <c r="D343" s="46"/>
      <c r="E343" s="47"/>
      <c r="F343" s="47"/>
      <c r="G343" s="48"/>
      <c r="H343" s="49"/>
      <c r="I343" s="50"/>
      <c r="J343" s="48"/>
      <c r="K343" s="49"/>
      <c r="L343" s="50"/>
      <c r="M343" s="43" t="str">
        <f aca="false">IF(OR($L343="",$F343=""),"",IFERROR($L343/INDEX(Cadastro!$E$6:$E$8,MATCH($F343,Cadastro!$B$6:$B$8,0)),""))</f>
        <v/>
      </c>
      <c r="N343" s="43" t="str">
        <f aca="false">IF(OR($L343="",$I343="",$I343=0),"",$L343/$I343)</f>
        <v/>
      </c>
      <c r="O343" s="51"/>
    </row>
    <row r="344" customFormat="false" ht="15" hidden="false" customHeight="false" outlineLevel="0" collapsed="false">
      <c r="A344" s="45"/>
      <c r="B344" s="37" t="str">
        <f aca="false">IF($A344="","",WEEKNUM($A344,2))</f>
        <v/>
      </c>
      <c r="C344" s="37" t="str">
        <f aca="false">IF($A344="","",CHOOSE(WEEKDAY($A344,2),"Seg","Ter","Qua","Qui","Sex","Sáb","Dom"))</f>
        <v/>
      </c>
      <c r="D344" s="46"/>
      <c r="E344" s="47"/>
      <c r="F344" s="47"/>
      <c r="G344" s="48"/>
      <c r="H344" s="49"/>
      <c r="I344" s="50"/>
      <c r="J344" s="48"/>
      <c r="K344" s="49"/>
      <c r="L344" s="50"/>
      <c r="M344" s="43" t="str">
        <f aca="false">IF(OR($L344="",$F344=""),"",IFERROR($L344/INDEX(Cadastro!$E$6:$E$8,MATCH($F344,Cadastro!$B$6:$B$8,0)),""))</f>
        <v/>
      </c>
      <c r="N344" s="43" t="str">
        <f aca="false">IF(OR($L344="",$I344="",$I344=0),"",$L344/$I344)</f>
        <v/>
      </c>
      <c r="O344" s="51"/>
    </row>
    <row r="345" customFormat="false" ht="15" hidden="false" customHeight="false" outlineLevel="0" collapsed="false">
      <c r="A345" s="45"/>
      <c r="B345" s="37" t="str">
        <f aca="false">IF($A345="","",WEEKNUM($A345,2))</f>
        <v/>
      </c>
      <c r="C345" s="37" t="str">
        <f aca="false">IF($A345="","",CHOOSE(WEEKDAY($A345,2),"Seg","Ter","Qua","Qui","Sex","Sáb","Dom"))</f>
        <v/>
      </c>
      <c r="D345" s="46"/>
      <c r="E345" s="47"/>
      <c r="F345" s="47"/>
      <c r="G345" s="48"/>
      <c r="H345" s="49"/>
      <c r="I345" s="50"/>
      <c r="J345" s="48"/>
      <c r="K345" s="49"/>
      <c r="L345" s="50"/>
      <c r="M345" s="43" t="str">
        <f aca="false">IF(OR($L345="",$F345=""),"",IFERROR($L345/INDEX(Cadastro!$E$6:$E$8,MATCH($F345,Cadastro!$B$6:$B$8,0)),""))</f>
        <v/>
      </c>
      <c r="N345" s="43" t="str">
        <f aca="false">IF(OR($L345="",$I345="",$I345=0),"",$L345/$I345)</f>
        <v/>
      </c>
      <c r="O345" s="51"/>
    </row>
    <row r="346" customFormat="false" ht="15" hidden="false" customHeight="false" outlineLevel="0" collapsed="false">
      <c r="A346" s="45"/>
      <c r="B346" s="37" t="str">
        <f aca="false">IF($A346="","",WEEKNUM($A346,2))</f>
        <v/>
      </c>
      <c r="C346" s="37" t="str">
        <f aca="false">IF($A346="","",CHOOSE(WEEKDAY($A346,2),"Seg","Ter","Qua","Qui","Sex","Sáb","Dom"))</f>
        <v/>
      </c>
      <c r="D346" s="46"/>
      <c r="E346" s="47"/>
      <c r="F346" s="47"/>
      <c r="G346" s="48"/>
      <c r="H346" s="49"/>
      <c r="I346" s="50"/>
      <c r="J346" s="48"/>
      <c r="K346" s="49"/>
      <c r="L346" s="50"/>
      <c r="M346" s="43" t="str">
        <f aca="false">IF(OR($L346="",$F346=""),"",IFERROR($L346/INDEX(Cadastro!$E$6:$E$8,MATCH($F346,Cadastro!$B$6:$B$8,0)),""))</f>
        <v/>
      </c>
      <c r="N346" s="43" t="str">
        <f aca="false">IF(OR($L346="",$I346="",$I346=0),"",$L346/$I346)</f>
        <v/>
      </c>
      <c r="O346" s="51"/>
    </row>
    <row r="347" customFormat="false" ht="15" hidden="false" customHeight="false" outlineLevel="0" collapsed="false">
      <c r="A347" s="45"/>
      <c r="B347" s="37" t="str">
        <f aca="false">IF($A347="","",WEEKNUM($A347,2))</f>
        <v/>
      </c>
      <c r="C347" s="37" t="str">
        <f aca="false">IF($A347="","",CHOOSE(WEEKDAY($A347,2),"Seg","Ter","Qua","Qui","Sex","Sáb","Dom"))</f>
        <v/>
      </c>
      <c r="D347" s="46"/>
      <c r="E347" s="47"/>
      <c r="F347" s="47"/>
      <c r="G347" s="48"/>
      <c r="H347" s="49"/>
      <c r="I347" s="50"/>
      <c r="J347" s="48"/>
      <c r="K347" s="49"/>
      <c r="L347" s="50"/>
      <c r="M347" s="43" t="str">
        <f aca="false">IF(OR($L347="",$F347=""),"",IFERROR($L347/INDEX(Cadastro!$E$6:$E$8,MATCH($F347,Cadastro!$B$6:$B$8,0)),""))</f>
        <v/>
      </c>
      <c r="N347" s="43" t="str">
        <f aca="false">IF(OR($L347="",$I347="",$I347=0),"",$L347/$I347)</f>
        <v/>
      </c>
      <c r="O347" s="51"/>
    </row>
    <row r="348" customFormat="false" ht="15" hidden="false" customHeight="false" outlineLevel="0" collapsed="false">
      <c r="A348" s="45"/>
      <c r="B348" s="37" t="str">
        <f aca="false">IF($A348="","",WEEKNUM($A348,2))</f>
        <v/>
      </c>
      <c r="C348" s="37" t="str">
        <f aca="false">IF($A348="","",CHOOSE(WEEKDAY($A348,2),"Seg","Ter","Qua","Qui","Sex","Sáb","Dom"))</f>
        <v/>
      </c>
      <c r="D348" s="46"/>
      <c r="E348" s="47"/>
      <c r="F348" s="47"/>
      <c r="G348" s="48"/>
      <c r="H348" s="49"/>
      <c r="I348" s="50"/>
      <c r="J348" s="48"/>
      <c r="K348" s="49"/>
      <c r="L348" s="50"/>
      <c r="M348" s="43" t="str">
        <f aca="false">IF(OR($L348="",$F348=""),"",IFERROR($L348/INDEX(Cadastro!$E$6:$E$8,MATCH($F348,Cadastro!$B$6:$B$8,0)),""))</f>
        <v/>
      </c>
      <c r="N348" s="43" t="str">
        <f aca="false">IF(OR($L348="",$I348="",$I348=0),"",$L348/$I348)</f>
        <v/>
      </c>
      <c r="O348" s="51"/>
    </row>
    <row r="349" customFormat="false" ht="15" hidden="false" customHeight="false" outlineLevel="0" collapsed="false">
      <c r="A349" s="45"/>
      <c r="B349" s="37" t="str">
        <f aca="false">IF($A349="","",WEEKNUM($A349,2))</f>
        <v/>
      </c>
      <c r="C349" s="37" t="str">
        <f aca="false">IF($A349="","",CHOOSE(WEEKDAY($A349,2),"Seg","Ter","Qua","Qui","Sex","Sáb","Dom"))</f>
        <v/>
      </c>
      <c r="D349" s="46"/>
      <c r="E349" s="47"/>
      <c r="F349" s="47"/>
      <c r="G349" s="48"/>
      <c r="H349" s="49"/>
      <c r="I349" s="50"/>
      <c r="J349" s="48"/>
      <c r="K349" s="49"/>
      <c r="L349" s="50"/>
      <c r="M349" s="43" t="str">
        <f aca="false">IF(OR($L349="",$F349=""),"",IFERROR($L349/INDEX(Cadastro!$E$6:$E$8,MATCH($F349,Cadastro!$B$6:$B$8,0)),""))</f>
        <v/>
      </c>
      <c r="N349" s="43" t="str">
        <f aca="false">IF(OR($L349="",$I349="",$I349=0),"",$L349/$I349)</f>
        <v/>
      </c>
      <c r="O349" s="51"/>
    </row>
    <row r="350" customFormat="false" ht="15" hidden="false" customHeight="false" outlineLevel="0" collapsed="false">
      <c r="A350" s="45"/>
      <c r="B350" s="37" t="str">
        <f aca="false">IF($A350="","",WEEKNUM($A350,2))</f>
        <v/>
      </c>
      <c r="C350" s="37" t="str">
        <f aca="false">IF($A350="","",CHOOSE(WEEKDAY($A350,2),"Seg","Ter","Qua","Qui","Sex","Sáb","Dom"))</f>
        <v/>
      </c>
      <c r="D350" s="46"/>
      <c r="E350" s="47"/>
      <c r="F350" s="47"/>
      <c r="G350" s="48"/>
      <c r="H350" s="49"/>
      <c r="I350" s="50"/>
      <c r="J350" s="48"/>
      <c r="K350" s="49"/>
      <c r="L350" s="50"/>
      <c r="M350" s="43" t="str">
        <f aca="false">IF(OR($L350="",$F350=""),"",IFERROR($L350/INDEX(Cadastro!$E$6:$E$8,MATCH($F350,Cadastro!$B$6:$B$8,0)),""))</f>
        <v/>
      </c>
      <c r="N350" s="43" t="str">
        <f aca="false">IF(OR($L350="",$I350="",$I350=0),"",$L350/$I350)</f>
        <v/>
      </c>
      <c r="O350" s="51"/>
    </row>
    <row r="351" customFormat="false" ht="15" hidden="false" customHeight="false" outlineLevel="0" collapsed="false">
      <c r="A351" s="45"/>
      <c r="B351" s="37" t="str">
        <f aca="false">IF($A351="","",WEEKNUM($A351,2))</f>
        <v/>
      </c>
      <c r="C351" s="37" t="str">
        <f aca="false">IF($A351="","",CHOOSE(WEEKDAY($A351,2),"Seg","Ter","Qua","Qui","Sex","Sáb","Dom"))</f>
        <v/>
      </c>
      <c r="D351" s="46"/>
      <c r="E351" s="47"/>
      <c r="F351" s="47"/>
      <c r="G351" s="48"/>
      <c r="H351" s="49"/>
      <c r="I351" s="50"/>
      <c r="J351" s="48"/>
      <c r="K351" s="49"/>
      <c r="L351" s="50"/>
      <c r="M351" s="43" t="str">
        <f aca="false">IF(OR($L351="",$F351=""),"",IFERROR($L351/INDEX(Cadastro!$E$6:$E$8,MATCH($F351,Cadastro!$B$6:$B$8,0)),""))</f>
        <v/>
      </c>
      <c r="N351" s="43" t="str">
        <f aca="false">IF(OR($L351="",$I351="",$I351=0),"",$L351/$I351)</f>
        <v/>
      </c>
      <c r="O351" s="51"/>
    </row>
    <row r="352" customFormat="false" ht="15" hidden="false" customHeight="false" outlineLevel="0" collapsed="false">
      <c r="A352" s="45"/>
      <c r="B352" s="37" t="str">
        <f aca="false">IF($A352="","",WEEKNUM($A352,2))</f>
        <v/>
      </c>
      <c r="C352" s="37" t="str">
        <f aca="false">IF($A352="","",CHOOSE(WEEKDAY($A352,2),"Seg","Ter","Qua","Qui","Sex","Sáb","Dom"))</f>
        <v/>
      </c>
      <c r="D352" s="46"/>
      <c r="E352" s="47"/>
      <c r="F352" s="47"/>
      <c r="G352" s="48"/>
      <c r="H352" s="49"/>
      <c r="I352" s="50"/>
      <c r="J352" s="48"/>
      <c r="K352" s="49"/>
      <c r="L352" s="50"/>
      <c r="M352" s="43" t="str">
        <f aca="false">IF(OR($L352="",$F352=""),"",IFERROR($L352/INDEX(Cadastro!$E$6:$E$8,MATCH($F352,Cadastro!$B$6:$B$8,0)),""))</f>
        <v/>
      </c>
      <c r="N352" s="43" t="str">
        <f aca="false">IF(OR($L352="",$I352="",$I352=0),"",$L352/$I352)</f>
        <v/>
      </c>
      <c r="O352" s="51"/>
    </row>
    <row r="353" customFormat="false" ht="15" hidden="false" customHeight="false" outlineLevel="0" collapsed="false">
      <c r="A353" s="45"/>
      <c r="B353" s="37" t="str">
        <f aca="false">IF($A353="","",WEEKNUM($A353,2))</f>
        <v/>
      </c>
      <c r="C353" s="37" t="str">
        <f aca="false">IF($A353="","",CHOOSE(WEEKDAY($A353,2),"Seg","Ter","Qua","Qui","Sex","Sáb","Dom"))</f>
        <v/>
      </c>
      <c r="D353" s="46"/>
      <c r="E353" s="47"/>
      <c r="F353" s="47"/>
      <c r="G353" s="48"/>
      <c r="H353" s="49"/>
      <c r="I353" s="50"/>
      <c r="J353" s="48"/>
      <c r="K353" s="49"/>
      <c r="L353" s="50"/>
      <c r="M353" s="43" t="str">
        <f aca="false">IF(OR($L353="",$F353=""),"",IFERROR($L353/INDEX(Cadastro!$E$6:$E$8,MATCH($F353,Cadastro!$B$6:$B$8,0)),""))</f>
        <v/>
      </c>
      <c r="N353" s="43" t="str">
        <f aca="false">IF(OR($L353="",$I353="",$I353=0),"",$L353/$I353)</f>
        <v/>
      </c>
      <c r="O353" s="51"/>
    </row>
    <row r="354" customFormat="false" ht="15" hidden="false" customHeight="false" outlineLevel="0" collapsed="false">
      <c r="A354" s="45"/>
      <c r="B354" s="37" t="str">
        <f aca="false">IF($A354="","",WEEKNUM($A354,2))</f>
        <v/>
      </c>
      <c r="C354" s="37" t="str">
        <f aca="false">IF($A354="","",CHOOSE(WEEKDAY($A354,2),"Seg","Ter","Qua","Qui","Sex","Sáb","Dom"))</f>
        <v/>
      </c>
      <c r="D354" s="46"/>
      <c r="E354" s="47"/>
      <c r="F354" s="47"/>
      <c r="G354" s="48"/>
      <c r="H354" s="49"/>
      <c r="I354" s="50"/>
      <c r="J354" s="48"/>
      <c r="K354" s="49"/>
      <c r="L354" s="50"/>
      <c r="M354" s="43" t="str">
        <f aca="false">IF(OR($L354="",$F354=""),"",IFERROR($L354/INDEX(Cadastro!$E$6:$E$8,MATCH($F354,Cadastro!$B$6:$B$8,0)),""))</f>
        <v/>
      </c>
      <c r="N354" s="43" t="str">
        <f aca="false">IF(OR($L354="",$I354="",$I354=0),"",$L354/$I354)</f>
        <v/>
      </c>
      <c r="O354" s="51"/>
    </row>
    <row r="355" customFormat="false" ht="15" hidden="false" customHeight="false" outlineLevel="0" collapsed="false">
      <c r="A355" s="45"/>
      <c r="B355" s="37" t="str">
        <f aca="false">IF($A355="","",WEEKNUM($A355,2))</f>
        <v/>
      </c>
      <c r="C355" s="37" t="str">
        <f aca="false">IF($A355="","",CHOOSE(WEEKDAY($A355,2),"Seg","Ter","Qua","Qui","Sex","Sáb","Dom"))</f>
        <v/>
      </c>
      <c r="D355" s="46"/>
      <c r="E355" s="47"/>
      <c r="F355" s="47"/>
      <c r="G355" s="48"/>
      <c r="H355" s="49"/>
      <c r="I355" s="50"/>
      <c r="J355" s="48"/>
      <c r="K355" s="49"/>
      <c r="L355" s="50"/>
      <c r="M355" s="43" t="str">
        <f aca="false">IF(OR($L355="",$F355=""),"",IFERROR($L355/INDEX(Cadastro!$E$6:$E$8,MATCH($F355,Cadastro!$B$6:$B$8,0)),""))</f>
        <v/>
      </c>
      <c r="N355" s="43" t="str">
        <f aca="false">IF(OR($L355="",$I355="",$I355=0),"",$L355/$I355)</f>
        <v/>
      </c>
      <c r="O355" s="51"/>
    </row>
    <row r="356" customFormat="false" ht="15" hidden="false" customHeight="false" outlineLevel="0" collapsed="false">
      <c r="A356" s="45"/>
      <c r="B356" s="37" t="str">
        <f aca="false">IF($A356="","",WEEKNUM($A356,2))</f>
        <v/>
      </c>
      <c r="C356" s="37" t="str">
        <f aca="false">IF($A356="","",CHOOSE(WEEKDAY($A356,2),"Seg","Ter","Qua","Qui","Sex","Sáb","Dom"))</f>
        <v/>
      </c>
      <c r="D356" s="46"/>
      <c r="E356" s="47"/>
      <c r="F356" s="47"/>
      <c r="G356" s="48"/>
      <c r="H356" s="49"/>
      <c r="I356" s="50"/>
      <c r="J356" s="48"/>
      <c r="K356" s="49"/>
      <c r="L356" s="50"/>
      <c r="M356" s="43" t="str">
        <f aca="false">IF(OR($L356="",$F356=""),"",IFERROR($L356/INDEX(Cadastro!$E$6:$E$8,MATCH($F356,Cadastro!$B$6:$B$8,0)),""))</f>
        <v/>
      </c>
      <c r="N356" s="43" t="str">
        <f aca="false">IF(OR($L356="",$I356="",$I356=0),"",$L356/$I356)</f>
        <v/>
      </c>
      <c r="O356" s="51"/>
    </row>
    <row r="357" customFormat="false" ht="15" hidden="false" customHeight="false" outlineLevel="0" collapsed="false">
      <c r="A357" s="45"/>
      <c r="B357" s="37" t="str">
        <f aca="false">IF($A357="","",WEEKNUM($A357,2))</f>
        <v/>
      </c>
      <c r="C357" s="37" t="str">
        <f aca="false">IF($A357="","",CHOOSE(WEEKDAY($A357,2),"Seg","Ter","Qua","Qui","Sex","Sáb","Dom"))</f>
        <v/>
      </c>
      <c r="D357" s="46"/>
      <c r="E357" s="47"/>
      <c r="F357" s="47"/>
      <c r="G357" s="48"/>
      <c r="H357" s="49"/>
      <c r="I357" s="50"/>
      <c r="J357" s="48"/>
      <c r="K357" s="49"/>
      <c r="L357" s="50"/>
      <c r="M357" s="43" t="str">
        <f aca="false">IF(OR($L357="",$F357=""),"",IFERROR($L357/INDEX(Cadastro!$E$6:$E$8,MATCH($F357,Cadastro!$B$6:$B$8,0)),""))</f>
        <v/>
      </c>
      <c r="N357" s="43" t="str">
        <f aca="false">IF(OR($L357="",$I357="",$I357=0),"",$L357/$I357)</f>
        <v/>
      </c>
      <c r="O357" s="51"/>
    </row>
    <row r="358" customFormat="false" ht="15" hidden="false" customHeight="false" outlineLevel="0" collapsed="false">
      <c r="A358" s="45"/>
      <c r="B358" s="37" t="str">
        <f aca="false">IF($A358="","",WEEKNUM($A358,2))</f>
        <v/>
      </c>
      <c r="C358" s="37" t="str">
        <f aca="false">IF($A358="","",CHOOSE(WEEKDAY($A358,2),"Seg","Ter","Qua","Qui","Sex","Sáb","Dom"))</f>
        <v/>
      </c>
      <c r="D358" s="46"/>
      <c r="E358" s="47"/>
      <c r="F358" s="47"/>
      <c r="G358" s="48"/>
      <c r="H358" s="49"/>
      <c r="I358" s="50"/>
      <c r="J358" s="48"/>
      <c r="K358" s="49"/>
      <c r="L358" s="50"/>
      <c r="M358" s="43" t="str">
        <f aca="false">IF(OR($L358="",$F358=""),"",IFERROR($L358/INDEX(Cadastro!$E$6:$E$8,MATCH($F358,Cadastro!$B$6:$B$8,0)),""))</f>
        <v/>
      </c>
      <c r="N358" s="43" t="str">
        <f aca="false">IF(OR($L358="",$I358="",$I358=0),"",$L358/$I358)</f>
        <v/>
      </c>
      <c r="O358" s="51"/>
    </row>
    <row r="359" customFormat="false" ht="15" hidden="false" customHeight="false" outlineLevel="0" collapsed="false">
      <c r="A359" s="45"/>
      <c r="B359" s="37" t="str">
        <f aca="false">IF($A359="","",WEEKNUM($A359,2))</f>
        <v/>
      </c>
      <c r="C359" s="37" t="str">
        <f aca="false">IF($A359="","",CHOOSE(WEEKDAY($A359,2),"Seg","Ter","Qua","Qui","Sex","Sáb","Dom"))</f>
        <v/>
      </c>
      <c r="D359" s="46"/>
      <c r="E359" s="47"/>
      <c r="F359" s="47"/>
      <c r="G359" s="48"/>
      <c r="H359" s="49"/>
      <c r="I359" s="50"/>
      <c r="J359" s="48"/>
      <c r="K359" s="49"/>
      <c r="L359" s="50"/>
      <c r="M359" s="43" t="str">
        <f aca="false">IF(OR($L359="",$F359=""),"",IFERROR($L359/INDEX(Cadastro!$E$6:$E$8,MATCH($F359,Cadastro!$B$6:$B$8,0)),""))</f>
        <v/>
      </c>
      <c r="N359" s="43" t="str">
        <f aca="false">IF(OR($L359="",$I359="",$I359=0),"",$L359/$I359)</f>
        <v/>
      </c>
      <c r="O359" s="51"/>
    </row>
    <row r="360" customFormat="false" ht="15" hidden="false" customHeight="false" outlineLevel="0" collapsed="false">
      <c r="A360" s="45"/>
      <c r="B360" s="37" t="str">
        <f aca="false">IF($A360="","",WEEKNUM($A360,2))</f>
        <v/>
      </c>
      <c r="C360" s="37" t="str">
        <f aca="false">IF($A360="","",CHOOSE(WEEKDAY($A360,2),"Seg","Ter","Qua","Qui","Sex","Sáb","Dom"))</f>
        <v/>
      </c>
      <c r="D360" s="46"/>
      <c r="E360" s="47"/>
      <c r="F360" s="47"/>
      <c r="G360" s="48"/>
      <c r="H360" s="49"/>
      <c r="I360" s="50"/>
      <c r="J360" s="48"/>
      <c r="K360" s="49"/>
      <c r="L360" s="50"/>
      <c r="M360" s="43" t="str">
        <f aca="false">IF(OR($L360="",$F360=""),"",IFERROR($L360/INDEX(Cadastro!$E$6:$E$8,MATCH($F360,Cadastro!$B$6:$B$8,0)),""))</f>
        <v/>
      </c>
      <c r="N360" s="43" t="str">
        <f aca="false">IF(OR($L360="",$I360="",$I360=0),"",$L360/$I360)</f>
        <v/>
      </c>
      <c r="O360" s="51"/>
    </row>
    <row r="361" customFormat="false" ht="15" hidden="false" customHeight="false" outlineLevel="0" collapsed="false">
      <c r="A361" s="45"/>
      <c r="B361" s="37" t="str">
        <f aca="false">IF($A361="","",WEEKNUM($A361,2))</f>
        <v/>
      </c>
      <c r="C361" s="37" t="str">
        <f aca="false">IF($A361="","",CHOOSE(WEEKDAY($A361,2),"Seg","Ter","Qua","Qui","Sex","Sáb","Dom"))</f>
        <v/>
      </c>
      <c r="D361" s="46"/>
      <c r="E361" s="47"/>
      <c r="F361" s="47"/>
      <c r="G361" s="48"/>
      <c r="H361" s="49"/>
      <c r="I361" s="50"/>
      <c r="J361" s="48"/>
      <c r="K361" s="49"/>
      <c r="L361" s="50"/>
      <c r="M361" s="43" t="str">
        <f aca="false">IF(OR($L361="",$F361=""),"",IFERROR($L361/INDEX(Cadastro!$E$6:$E$8,MATCH($F361,Cadastro!$B$6:$B$8,0)),""))</f>
        <v/>
      </c>
      <c r="N361" s="43" t="str">
        <f aca="false">IF(OR($L361="",$I361="",$I361=0),"",$L361/$I361)</f>
        <v/>
      </c>
      <c r="O361" s="51"/>
    </row>
    <row r="362" customFormat="false" ht="15" hidden="false" customHeight="false" outlineLevel="0" collapsed="false">
      <c r="A362" s="45"/>
      <c r="B362" s="37" t="str">
        <f aca="false">IF($A362="","",WEEKNUM($A362,2))</f>
        <v/>
      </c>
      <c r="C362" s="37" t="str">
        <f aca="false">IF($A362="","",CHOOSE(WEEKDAY($A362,2),"Seg","Ter","Qua","Qui","Sex","Sáb","Dom"))</f>
        <v/>
      </c>
      <c r="D362" s="46"/>
      <c r="E362" s="47"/>
      <c r="F362" s="47"/>
      <c r="G362" s="48"/>
      <c r="H362" s="49"/>
      <c r="I362" s="50"/>
      <c r="J362" s="48"/>
      <c r="K362" s="49"/>
      <c r="L362" s="50"/>
      <c r="M362" s="43" t="str">
        <f aca="false">IF(OR($L362="",$F362=""),"",IFERROR($L362/INDEX(Cadastro!$E$6:$E$8,MATCH($F362,Cadastro!$B$6:$B$8,0)),""))</f>
        <v/>
      </c>
      <c r="N362" s="43" t="str">
        <f aca="false">IF(OR($L362="",$I362="",$I362=0),"",$L362/$I362)</f>
        <v/>
      </c>
      <c r="O362" s="51"/>
    </row>
    <row r="363" customFormat="false" ht="15" hidden="false" customHeight="false" outlineLevel="0" collapsed="false">
      <c r="A363" s="45"/>
      <c r="B363" s="37" t="str">
        <f aca="false">IF($A363="","",WEEKNUM($A363,2))</f>
        <v/>
      </c>
      <c r="C363" s="37" t="str">
        <f aca="false">IF($A363="","",CHOOSE(WEEKDAY($A363,2),"Seg","Ter","Qua","Qui","Sex","Sáb","Dom"))</f>
        <v/>
      </c>
      <c r="D363" s="46"/>
      <c r="E363" s="47"/>
      <c r="F363" s="47"/>
      <c r="G363" s="48"/>
      <c r="H363" s="49"/>
      <c r="I363" s="50"/>
      <c r="J363" s="48"/>
      <c r="K363" s="49"/>
      <c r="L363" s="50"/>
      <c r="M363" s="43" t="str">
        <f aca="false">IF(OR($L363="",$F363=""),"",IFERROR($L363/INDEX(Cadastro!$E$6:$E$8,MATCH($F363,Cadastro!$B$6:$B$8,0)),""))</f>
        <v/>
      </c>
      <c r="N363" s="43" t="str">
        <f aca="false">IF(OR($L363="",$I363="",$I363=0),"",$L363/$I363)</f>
        <v/>
      </c>
      <c r="O363" s="51"/>
    </row>
    <row r="364" customFormat="false" ht="15" hidden="false" customHeight="false" outlineLevel="0" collapsed="false">
      <c r="A364" s="45"/>
      <c r="B364" s="37" t="str">
        <f aca="false">IF($A364="","",WEEKNUM($A364,2))</f>
        <v/>
      </c>
      <c r="C364" s="37" t="str">
        <f aca="false">IF($A364="","",CHOOSE(WEEKDAY($A364,2),"Seg","Ter","Qua","Qui","Sex","Sáb","Dom"))</f>
        <v/>
      </c>
      <c r="D364" s="46"/>
      <c r="E364" s="47"/>
      <c r="F364" s="47"/>
      <c r="G364" s="48"/>
      <c r="H364" s="49"/>
      <c r="I364" s="50"/>
      <c r="J364" s="48"/>
      <c r="K364" s="49"/>
      <c r="L364" s="50"/>
      <c r="M364" s="43" t="str">
        <f aca="false">IF(OR($L364="",$F364=""),"",IFERROR($L364/INDEX(Cadastro!$E$6:$E$8,MATCH($F364,Cadastro!$B$6:$B$8,0)),""))</f>
        <v/>
      </c>
      <c r="N364" s="43" t="str">
        <f aca="false">IF(OR($L364="",$I364="",$I364=0),"",$L364/$I364)</f>
        <v/>
      </c>
      <c r="O364" s="51"/>
    </row>
    <row r="365" customFormat="false" ht="15" hidden="false" customHeight="false" outlineLevel="0" collapsed="false">
      <c r="A365" s="45"/>
      <c r="B365" s="37" t="str">
        <f aca="false">IF($A365="","",WEEKNUM($A365,2))</f>
        <v/>
      </c>
      <c r="C365" s="37" t="str">
        <f aca="false">IF($A365="","",CHOOSE(WEEKDAY($A365,2),"Seg","Ter","Qua","Qui","Sex","Sáb","Dom"))</f>
        <v/>
      </c>
      <c r="D365" s="46"/>
      <c r="E365" s="47"/>
      <c r="F365" s="47"/>
      <c r="G365" s="48"/>
      <c r="H365" s="49"/>
      <c r="I365" s="50"/>
      <c r="J365" s="48"/>
      <c r="K365" s="49"/>
      <c r="L365" s="50"/>
      <c r="M365" s="43" t="str">
        <f aca="false">IF(OR($L365="",$F365=""),"",IFERROR($L365/INDEX(Cadastro!$E$6:$E$8,MATCH($F365,Cadastro!$B$6:$B$8,0)),""))</f>
        <v/>
      </c>
      <c r="N365" s="43" t="str">
        <f aca="false">IF(OR($L365="",$I365="",$I365=0),"",$L365/$I365)</f>
        <v/>
      </c>
      <c r="O365" s="51"/>
    </row>
    <row r="366" customFormat="false" ht="15" hidden="false" customHeight="false" outlineLevel="0" collapsed="false">
      <c r="A366" s="45"/>
      <c r="B366" s="37" t="str">
        <f aca="false">IF($A366="","",WEEKNUM($A366,2))</f>
        <v/>
      </c>
      <c r="C366" s="37" t="str">
        <f aca="false">IF($A366="","",CHOOSE(WEEKDAY($A366,2),"Seg","Ter","Qua","Qui","Sex","Sáb","Dom"))</f>
        <v/>
      </c>
      <c r="D366" s="46"/>
      <c r="E366" s="47"/>
      <c r="F366" s="47"/>
      <c r="G366" s="48"/>
      <c r="H366" s="49"/>
      <c r="I366" s="50"/>
      <c r="J366" s="48"/>
      <c r="K366" s="49"/>
      <c r="L366" s="50"/>
      <c r="M366" s="43" t="str">
        <f aca="false">IF(OR($L366="",$F366=""),"",IFERROR($L366/INDEX(Cadastro!$E$6:$E$8,MATCH($F366,Cadastro!$B$6:$B$8,0)),""))</f>
        <v/>
      </c>
      <c r="N366" s="43" t="str">
        <f aca="false">IF(OR($L366="",$I366="",$I366=0),"",$L366/$I366)</f>
        <v/>
      </c>
      <c r="O366" s="51"/>
    </row>
    <row r="367" customFormat="false" ht="15" hidden="false" customHeight="false" outlineLevel="0" collapsed="false">
      <c r="A367" s="45"/>
      <c r="B367" s="37" t="str">
        <f aca="false">IF($A367="","",WEEKNUM($A367,2))</f>
        <v/>
      </c>
      <c r="C367" s="37" t="str">
        <f aca="false">IF($A367="","",CHOOSE(WEEKDAY($A367,2),"Seg","Ter","Qua","Qui","Sex","Sáb","Dom"))</f>
        <v/>
      </c>
      <c r="D367" s="46"/>
      <c r="E367" s="47"/>
      <c r="F367" s="47"/>
      <c r="G367" s="48"/>
      <c r="H367" s="49"/>
      <c r="I367" s="50"/>
      <c r="J367" s="48"/>
      <c r="K367" s="49"/>
      <c r="L367" s="50"/>
      <c r="M367" s="43" t="str">
        <f aca="false">IF(OR($L367="",$F367=""),"",IFERROR($L367/INDEX(Cadastro!$E$6:$E$8,MATCH($F367,Cadastro!$B$6:$B$8,0)),""))</f>
        <v/>
      </c>
      <c r="N367" s="43" t="str">
        <f aca="false">IF(OR($L367="",$I367="",$I367=0),"",$L367/$I367)</f>
        <v/>
      </c>
      <c r="O367" s="51"/>
    </row>
    <row r="368" customFormat="false" ht="15" hidden="false" customHeight="false" outlineLevel="0" collapsed="false">
      <c r="A368" s="45"/>
      <c r="B368" s="37" t="str">
        <f aca="false">IF($A368="","",WEEKNUM($A368,2))</f>
        <v/>
      </c>
      <c r="C368" s="37" t="str">
        <f aca="false">IF($A368="","",CHOOSE(WEEKDAY($A368,2),"Seg","Ter","Qua","Qui","Sex","Sáb","Dom"))</f>
        <v/>
      </c>
      <c r="D368" s="46"/>
      <c r="E368" s="47"/>
      <c r="F368" s="47"/>
      <c r="G368" s="48"/>
      <c r="H368" s="49"/>
      <c r="I368" s="50"/>
      <c r="J368" s="48"/>
      <c r="K368" s="49"/>
      <c r="L368" s="50"/>
      <c r="M368" s="43" t="str">
        <f aca="false">IF(OR($L368="",$F368=""),"",IFERROR($L368/INDEX(Cadastro!$E$6:$E$8,MATCH($F368,Cadastro!$B$6:$B$8,0)),""))</f>
        <v/>
      </c>
      <c r="N368" s="43" t="str">
        <f aca="false">IF(OR($L368="",$I368="",$I368=0),"",$L368/$I368)</f>
        <v/>
      </c>
      <c r="O368" s="51"/>
    </row>
    <row r="369" customFormat="false" ht="15" hidden="false" customHeight="false" outlineLevel="0" collapsed="false">
      <c r="A369" s="45"/>
      <c r="B369" s="37" t="str">
        <f aca="false">IF($A369="","",WEEKNUM($A369,2))</f>
        <v/>
      </c>
      <c r="C369" s="37" t="str">
        <f aca="false">IF($A369="","",CHOOSE(WEEKDAY($A369,2),"Seg","Ter","Qua","Qui","Sex","Sáb","Dom"))</f>
        <v/>
      </c>
      <c r="D369" s="46"/>
      <c r="E369" s="47"/>
      <c r="F369" s="47"/>
      <c r="G369" s="48"/>
      <c r="H369" s="49"/>
      <c r="I369" s="50"/>
      <c r="J369" s="48"/>
      <c r="K369" s="49"/>
      <c r="L369" s="50"/>
      <c r="M369" s="43" t="str">
        <f aca="false">IF(OR($L369="",$F369=""),"",IFERROR($L369/INDEX(Cadastro!$E$6:$E$8,MATCH($F369,Cadastro!$B$6:$B$8,0)),""))</f>
        <v/>
      </c>
      <c r="N369" s="43" t="str">
        <f aca="false">IF(OR($L369="",$I369="",$I369=0),"",$L369/$I369)</f>
        <v/>
      </c>
      <c r="O369" s="51"/>
    </row>
    <row r="370" customFormat="false" ht="15" hidden="false" customHeight="false" outlineLevel="0" collapsed="false">
      <c r="A370" s="45"/>
      <c r="B370" s="37" t="str">
        <f aca="false">IF($A370="","",WEEKNUM($A370,2))</f>
        <v/>
      </c>
      <c r="C370" s="37" t="str">
        <f aca="false">IF($A370="","",CHOOSE(WEEKDAY($A370,2),"Seg","Ter","Qua","Qui","Sex","Sáb","Dom"))</f>
        <v/>
      </c>
      <c r="D370" s="46"/>
      <c r="E370" s="47"/>
      <c r="F370" s="47"/>
      <c r="G370" s="48"/>
      <c r="H370" s="49"/>
      <c r="I370" s="50"/>
      <c r="J370" s="48"/>
      <c r="K370" s="49"/>
      <c r="L370" s="50"/>
      <c r="M370" s="43" t="str">
        <f aca="false">IF(OR($L370="",$F370=""),"",IFERROR($L370/INDEX(Cadastro!$E$6:$E$8,MATCH($F370,Cadastro!$B$6:$B$8,0)),""))</f>
        <v/>
      </c>
      <c r="N370" s="43" t="str">
        <f aca="false">IF(OR($L370="",$I370="",$I370=0),"",$L370/$I370)</f>
        <v/>
      </c>
      <c r="O370" s="51"/>
    </row>
    <row r="371" customFormat="false" ht="15" hidden="false" customHeight="false" outlineLevel="0" collapsed="false">
      <c r="A371" s="45"/>
      <c r="B371" s="37" t="str">
        <f aca="false">IF($A371="","",WEEKNUM($A371,2))</f>
        <v/>
      </c>
      <c r="C371" s="37" t="str">
        <f aca="false">IF($A371="","",CHOOSE(WEEKDAY($A371,2),"Seg","Ter","Qua","Qui","Sex","Sáb","Dom"))</f>
        <v/>
      </c>
      <c r="D371" s="46"/>
      <c r="E371" s="47"/>
      <c r="F371" s="47"/>
      <c r="G371" s="48"/>
      <c r="H371" s="49"/>
      <c r="I371" s="50"/>
      <c r="J371" s="48"/>
      <c r="K371" s="49"/>
      <c r="L371" s="50"/>
      <c r="M371" s="43" t="str">
        <f aca="false">IF(OR($L371="",$F371=""),"",IFERROR($L371/INDEX(Cadastro!$E$6:$E$8,MATCH($F371,Cadastro!$B$6:$B$8,0)),""))</f>
        <v/>
      </c>
      <c r="N371" s="43" t="str">
        <f aca="false">IF(OR($L371="",$I371="",$I371=0),"",$L371/$I371)</f>
        <v/>
      </c>
      <c r="O371" s="51"/>
    </row>
    <row r="372" customFormat="false" ht="15" hidden="false" customHeight="false" outlineLevel="0" collapsed="false">
      <c r="A372" s="45"/>
      <c r="B372" s="37" t="str">
        <f aca="false">IF($A372="","",WEEKNUM($A372,2))</f>
        <v/>
      </c>
      <c r="C372" s="37" t="str">
        <f aca="false">IF($A372="","",CHOOSE(WEEKDAY($A372,2),"Seg","Ter","Qua","Qui","Sex","Sáb","Dom"))</f>
        <v/>
      </c>
      <c r="D372" s="46"/>
      <c r="E372" s="47"/>
      <c r="F372" s="47"/>
      <c r="G372" s="48"/>
      <c r="H372" s="49"/>
      <c r="I372" s="50"/>
      <c r="J372" s="48"/>
      <c r="K372" s="49"/>
      <c r="L372" s="50"/>
      <c r="M372" s="43" t="str">
        <f aca="false">IF(OR($L372="",$F372=""),"",IFERROR($L372/INDEX(Cadastro!$E$6:$E$8,MATCH($F372,Cadastro!$B$6:$B$8,0)),""))</f>
        <v/>
      </c>
      <c r="N372" s="43" t="str">
        <f aca="false">IF(OR($L372="",$I372="",$I372=0),"",$L372/$I372)</f>
        <v/>
      </c>
      <c r="O372" s="51"/>
    </row>
    <row r="373" customFormat="false" ht="15" hidden="false" customHeight="false" outlineLevel="0" collapsed="false">
      <c r="A373" s="45"/>
      <c r="B373" s="37" t="str">
        <f aca="false">IF($A373="","",WEEKNUM($A373,2))</f>
        <v/>
      </c>
      <c r="C373" s="37" t="str">
        <f aca="false">IF($A373="","",CHOOSE(WEEKDAY($A373,2),"Seg","Ter","Qua","Qui","Sex","Sáb","Dom"))</f>
        <v/>
      </c>
      <c r="D373" s="46"/>
      <c r="E373" s="47"/>
      <c r="F373" s="47"/>
      <c r="G373" s="48"/>
      <c r="H373" s="49"/>
      <c r="I373" s="50"/>
      <c r="J373" s="48"/>
      <c r="K373" s="49"/>
      <c r="L373" s="50"/>
      <c r="M373" s="43" t="str">
        <f aca="false">IF(OR($L373="",$F373=""),"",IFERROR($L373/INDEX(Cadastro!$E$6:$E$8,MATCH($F373,Cadastro!$B$6:$B$8,0)),""))</f>
        <v/>
      </c>
      <c r="N373" s="43" t="str">
        <f aca="false">IF(OR($L373="",$I373="",$I373=0),"",$L373/$I373)</f>
        <v/>
      </c>
      <c r="O373" s="51"/>
    </row>
    <row r="374" customFormat="false" ht="15" hidden="false" customHeight="false" outlineLevel="0" collapsed="false">
      <c r="A374" s="45"/>
      <c r="B374" s="37" t="str">
        <f aca="false">IF($A374="","",WEEKNUM($A374,2))</f>
        <v/>
      </c>
      <c r="C374" s="37" t="str">
        <f aca="false">IF($A374="","",CHOOSE(WEEKDAY($A374,2),"Seg","Ter","Qua","Qui","Sex","Sáb","Dom"))</f>
        <v/>
      </c>
      <c r="D374" s="46"/>
      <c r="E374" s="47"/>
      <c r="F374" s="47"/>
      <c r="G374" s="48"/>
      <c r="H374" s="49"/>
      <c r="I374" s="50"/>
      <c r="J374" s="48"/>
      <c r="K374" s="49"/>
      <c r="L374" s="50"/>
      <c r="M374" s="43" t="str">
        <f aca="false">IF(OR($L374="",$F374=""),"",IFERROR($L374/INDEX(Cadastro!$E$6:$E$8,MATCH($F374,Cadastro!$B$6:$B$8,0)),""))</f>
        <v/>
      </c>
      <c r="N374" s="43" t="str">
        <f aca="false">IF(OR($L374="",$I374="",$I374=0),"",$L374/$I374)</f>
        <v/>
      </c>
      <c r="O374" s="51"/>
    </row>
    <row r="375" customFormat="false" ht="15" hidden="false" customHeight="false" outlineLevel="0" collapsed="false">
      <c r="A375" s="45"/>
      <c r="B375" s="37" t="str">
        <f aca="false">IF($A375="","",WEEKNUM($A375,2))</f>
        <v/>
      </c>
      <c r="C375" s="37" t="str">
        <f aca="false">IF($A375="","",CHOOSE(WEEKDAY($A375,2),"Seg","Ter","Qua","Qui","Sex","Sáb","Dom"))</f>
        <v/>
      </c>
      <c r="D375" s="46"/>
      <c r="E375" s="47"/>
      <c r="F375" s="47"/>
      <c r="G375" s="48"/>
      <c r="H375" s="49"/>
      <c r="I375" s="50"/>
      <c r="J375" s="48"/>
      <c r="K375" s="49"/>
      <c r="L375" s="50"/>
      <c r="M375" s="43" t="str">
        <f aca="false">IF(OR($L375="",$F375=""),"",IFERROR($L375/INDEX(Cadastro!$E$6:$E$8,MATCH($F375,Cadastro!$B$6:$B$8,0)),""))</f>
        <v/>
      </c>
      <c r="N375" s="43" t="str">
        <f aca="false">IF(OR($L375="",$I375="",$I375=0),"",$L375/$I375)</f>
        <v/>
      </c>
      <c r="O375" s="51"/>
    </row>
    <row r="376" customFormat="false" ht="15" hidden="false" customHeight="false" outlineLevel="0" collapsed="false">
      <c r="A376" s="45"/>
      <c r="B376" s="37" t="str">
        <f aca="false">IF($A376="","",WEEKNUM($A376,2))</f>
        <v/>
      </c>
      <c r="C376" s="37" t="str">
        <f aca="false">IF($A376="","",CHOOSE(WEEKDAY($A376,2),"Seg","Ter","Qua","Qui","Sex","Sáb","Dom"))</f>
        <v/>
      </c>
      <c r="D376" s="46"/>
      <c r="E376" s="47"/>
      <c r="F376" s="47"/>
      <c r="G376" s="48"/>
      <c r="H376" s="49"/>
      <c r="I376" s="50"/>
      <c r="J376" s="48"/>
      <c r="K376" s="49"/>
      <c r="L376" s="50"/>
      <c r="M376" s="43" t="str">
        <f aca="false">IF(OR($L376="",$F376=""),"",IFERROR($L376/INDEX(Cadastro!$E$6:$E$8,MATCH($F376,Cadastro!$B$6:$B$8,0)),""))</f>
        <v/>
      </c>
      <c r="N376" s="43" t="str">
        <f aca="false">IF(OR($L376="",$I376="",$I376=0),"",$L376/$I376)</f>
        <v/>
      </c>
      <c r="O376" s="51"/>
    </row>
    <row r="377" customFormat="false" ht="15" hidden="false" customHeight="false" outlineLevel="0" collapsed="false">
      <c r="A377" s="45"/>
      <c r="B377" s="37" t="str">
        <f aca="false">IF($A377="","",WEEKNUM($A377,2))</f>
        <v/>
      </c>
      <c r="C377" s="37" t="str">
        <f aca="false">IF($A377="","",CHOOSE(WEEKDAY($A377,2),"Seg","Ter","Qua","Qui","Sex","Sáb","Dom"))</f>
        <v/>
      </c>
      <c r="D377" s="46"/>
      <c r="E377" s="47"/>
      <c r="F377" s="47"/>
      <c r="G377" s="48"/>
      <c r="H377" s="49"/>
      <c r="I377" s="50"/>
      <c r="J377" s="48"/>
      <c r="K377" s="49"/>
      <c r="L377" s="50"/>
      <c r="M377" s="43" t="str">
        <f aca="false">IF(OR($L377="",$F377=""),"",IFERROR($L377/INDEX(Cadastro!$E$6:$E$8,MATCH($F377,Cadastro!$B$6:$B$8,0)),""))</f>
        <v/>
      </c>
      <c r="N377" s="43" t="str">
        <f aca="false">IF(OR($L377="",$I377="",$I377=0),"",$L377/$I377)</f>
        <v/>
      </c>
      <c r="O377" s="51"/>
    </row>
    <row r="378" customFormat="false" ht="15" hidden="false" customHeight="false" outlineLevel="0" collapsed="false">
      <c r="A378" s="45"/>
      <c r="B378" s="37" t="str">
        <f aca="false">IF($A378="","",WEEKNUM($A378,2))</f>
        <v/>
      </c>
      <c r="C378" s="37" t="str">
        <f aca="false">IF($A378="","",CHOOSE(WEEKDAY($A378,2),"Seg","Ter","Qua","Qui","Sex","Sáb","Dom"))</f>
        <v/>
      </c>
      <c r="D378" s="46"/>
      <c r="E378" s="47"/>
      <c r="F378" s="47"/>
      <c r="G378" s="48"/>
      <c r="H378" s="49"/>
      <c r="I378" s="50"/>
      <c r="J378" s="48"/>
      <c r="K378" s="49"/>
      <c r="L378" s="50"/>
      <c r="M378" s="43" t="str">
        <f aca="false">IF(OR($L378="",$F378=""),"",IFERROR($L378/INDEX(Cadastro!$E$6:$E$8,MATCH($F378,Cadastro!$B$6:$B$8,0)),""))</f>
        <v/>
      </c>
      <c r="N378" s="43" t="str">
        <f aca="false">IF(OR($L378="",$I378="",$I378=0),"",$L378/$I378)</f>
        <v/>
      </c>
      <c r="O378" s="51"/>
    </row>
    <row r="379" customFormat="false" ht="15" hidden="false" customHeight="false" outlineLevel="0" collapsed="false">
      <c r="A379" s="45"/>
      <c r="B379" s="37" t="str">
        <f aca="false">IF($A379="","",WEEKNUM($A379,2))</f>
        <v/>
      </c>
      <c r="C379" s="37" t="str">
        <f aca="false">IF($A379="","",CHOOSE(WEEKDAY($A379,2),"Seg","Ter","Qua","Qui","Sex","Sáb","Dom"))</f>
        <v/>
      </c>
      <c r="D379" s="46"/>
      <c r="E379" s="47"/>
      <c r="F379" s="47"/>
      <c r="G379" s="48"/>
      <c r="H379" s="49"/>
      <c r="I379" s="50"/>
      <c r="J379" s="48"/>
      <c r="K379" s="49"/>
      <c r="L379" s="50"/>
      <c r="M379" s="43" t="str">
        <f aca="false">IF(OR($L379="",$F379=""),"",IFERROR($L379/INDEX(Cadastro!$E$6:$E$8,MATCH($F379,Cadastro!$B$6:$B$8,0)),""))</f>
        <v/>
      </c>
      <c r="N379" s="43" t="str">
        <f aca="false">IF(OR($L379="",$I379="",$I379=0),"",$L379/$I379)</f>
        <v/>
      </c>
      <c r="O379" s="51"/>
    </row>
    <row r="380" customFormat="false" ht="15" hidden="false" customHeight="false" outlineLevel="0" collapsed="false">
      <c r="A380" s="45"/>
      <c r="B380" s="37" t="str">
        <f aca="false">IF($A380="","",WEEKNUM($A380,2))</f>
        <v/>
      </c>
      <c r="C380" s="37" t="str">
        <f aca="false">IF($A380="","",CHOOSE(WEEKDAY($A380,2),"Seg","Ter","Qua","Qui","Sex","Sáb","Dom"))</f>
        <v/>
      </c>
      <c r="D380" s="46"/>
      <c r="E380" s="47"/>
      <c r="F380" s="47"/>
      <c r="G380" s="48"/>
      <c r="H380" s="49"/>
      <c r="I380" s="50"/>
      <c r="J380" s="48"/>
      <c r="K380" s="49"/>
      <c r="L380" s="50"/>
      <c r="M380" s="43" t="str">
        <f aca="false">IF(OR($L380="",$F380=""),"",IFERROR($L380/INDEX(Cadastro!$E$6:$E$8,MATCH($F380,Cadastro!$B$6:$B$8,0)),""))</f>
        <v/>
      </c>
      <c r="N380" s="43" t="str">
        <f aca="false">IF(OR($L380="",$I380="",$I380=0),"",$L380/$I380)</f>
        <v/>
      </c>
      <c r="O380" s="51"/>
    </row>
    <row r="381" customFormat="false" ht="15" hidden="false" customHeight="false" outlineLevel="0" collapsed="false">
      <c r="A381" s="45"/>
      <c r="B381" s="37" t="str">
        <f aca="false">IF($A381="","",WEEKNUM($A381,2))</f>
        <v/>
      </c>
      <c r="C381" s="37" t="str">
        <f aca="false">IF($A381="","",CHOOSE(WEEKDAY($A381,2),"Seg","Ter","Qua","Qui","Sex","Sáb","Dom"))</f>
        <v/>
      </c>
      <c r="D381" s="46"/>
      <c r="E381" s="47"/>
      <c r="F381" s="47"/>
      <c r="G381" s="48"/>
      <c r="H381" s="49"/>
      <c r="I381" s="50"/>
      <c r="J381" s="48"/>
      <c r="K381" s="49"/>
      <c r="L381" s="50"/>
      <c r="M381" s="43" t="str">
        <f aca="false">IF(OR($L381="",$F381=""),"",IFERROR($L381/INDEX(Cadastro!$E$6:$E$8,MATCH($F381,Cadastro!$B$6:$B$8,0)),""))</f>
        <v/>
      </c>
      <c r="N381" s="43" t="str">
        <f aca="false">IF(OR($L381="",$I381="",$I381=0),"",$L381/$I381)</f>
        <v/>
      </c>
      <c r="O381" s="51"/>
    </row>
    <row r="382" customFormat="false" ht="15" hidden="false" customHeight="false" outlineLevel="0" collapsed="false">
      <c r="A382" s="45"/>
      <c r="B382" s="37" t="str">
        <f aca="false">IF($A382="","",WEEKNUM($A382,2))</f>
        <v/>
      </c>
      <c r="C382" s="37" t="str">
        <f aca="false">IF($A382="","",CHOOSE(WEEKDAY($A382,2),"Seg","Ter","Qua","Qui","Sex","Sáb","Dom"))</f>
        <v/>
      </c>
      <c r="D382" s="46"/>
      <c r="E382" s="47"/>
      <c r="F382" s="47"/>
      <c r="G382" s="48"/>
      <c r="H382" s="49"/>
      <c r="I382" s="50"/>
      <c r="J382" s="48"/>
      <c r="K382" s="49"/>
      <c r="L382" s="50"/>
      <c r="M382" s="43" t="str">
        <f aca="false">IF(OR($L382="",$F382=""),"",IFERROR($L382/INDEX(Cadastro!$E$6:$E$8,MATCH($F382,Cadastro!$B$6:$B$8,0)),""))</f>
        <v/>
      </c>
      <c r="N382" s="43" t="str">
        <f aca="false">IF(OR($L382="",$I382="",$I382=0),"",$L382/$I382)</f>
        <v/>
      </c>
      <c r="O382" s="51"/>
    </row>
    <row r="383" customFormat="false" ht="15" hidden="false" customHeight="false" outlineLevel="0" collapsed="false">
      <c r="A383" s="45"/>
      <c r="B383" s="37" t="str">
        <f aca="false">IF($A383="","",WEEKNUM($A383,2))</f>
        <v/>
      </c>
      <c r="C383" s="37" t="str">
        <f aca="false">IF($A383="","",CHOOSE(WEEKDAY($A383,2),"Seg","Ter","Qua","Qui","Sex","Sáb","Dom"))</f>
        <v/>
      </c>
      <c r="D383" s="46"/>
      <c r="E383" s="47"/>
      <c r="F383" s="47"/>
      <c r="G383" s="48"/>
      <c r="H383" s="49"/>
      <c r="I383" s="50"/>
      <c r="J383" s="48"/>
      <c r="K383" s="49"/>
      <c r="L383" s="50"/>
      <c r="M383" s="43" t="str">
        <f aca="false">IF(OR($L383="",$F383=""),"",IFERROR($L383/INDEX(Cadastro!$E$6:$E$8,MATCH($F383,Cadastro!$B$6:$B$8,0)),""))</f>
        <v/>
      </c>
      <c r="N383" s="43" t="str">
        <f aca="false">IF(OR($L383="",$I383="",$I383=0),"",$L383/$I383)</f>
        <v/>
      </c>
      <c r="O383" s="51"/>
    </row>
    <row r="384" customFormat="false" ht="15" hidden="false" customHeight="false" outlineLevel="0" collapsed="false">
      <c r="A384" s="45"/>
      <c r="B384" s="37" t="str">
        <f aca="false">IF($A384="","",WEEKNUM($A384,2))</f>
        <v/>
      </c>
      <c r="C384" s="37" t="str">
        <f aca="false">IF($A384="","",CHOOSE(WEEKDAY($A384,2),"Seg","Ter","Qua","Qui","Sex","Sáb","Dom"))</f>
        <v/>
      </c>
      <c r="D384" s="46"/>
      <c r="E384" s="47"/>
      <c r="F384" s="47"/>
      <c r="G384" s="48"/>
      <c r="H384" s="49"/>
      <c r="I384" s="50"/>
      <c r="J384" s="48"/>
      <c r="K384" s="49"/>
      <c r="L384" s="50"/>
      <c r="M384" s="43" t="str">
        <f aca="false">IF(OR($L384="",$F384=""),"",IFERROR($L384/INDEX(Cadastro!$E$6:$E$8,MATCH($F384,Cadastro!$B$6:$B$8,0)),""))</f>
        <v/>
      </c>
      <c r="N384" s="43" t="str">
        <f aca="false">IF(OR($L384="",$I384="",$I384=0),"",$L384/$I384)</f>
        <v/>
      </c>
      <c r="O384" s="51"/>
    </row>
    <row r="385" customFormat="false" ht="15" hidden="false" customHeight="false" outlineLevel="0" collapsed="false">
      <c r="A385" s="45"/>
      <c r="B385" s="37" t="str">
        <f aca="false">IF($A385="","",WEEKNUM($A385,2))</f>
        <v/>
      </c>
      <c r="C385" s="37" t="str">
        <f aca="false">IF($A385="","",CHOOSE(WEEKDAY($A385,2),"Seg","Ter","Qua","Qui","Sex","Sáb","Dom"))</f>
        <v/>
      </c>
      <c r="D385" s="46"/>
      <c r="E385" s="47"/>
      <c r="F385" s="47"/>
      <c r="G385" s="48"/>
      <c r="H385" s="49"/>
      <c r="I385" s="50"/>
      <c r="J385" s="48"/>
      <c r="K385" s="49"/>
      <c r="L385" s="50"/>
      <c r="M385" s="43" t="str">
        <f aca="false">IF(OR($L385="",$F385=""),"",IFERROR($L385/INDEX(Cadastro!$E$6:$E$8,MATCH($F385,Cadastro!$B$6:$B$8,0)),""))</f>
        <v/>
      </c>
      <c r="N385" s="43" t="str">
        <f aca="false">IF(OR($L385="",$I385="",$I385=0),"",$L385/$I385)</f>
        <v/>
      </c>
      <c r="O385" s="51"/>
    </row>
    <row r="386" customFormat="false" ht="15" hidden="false" customHeight="false" outlineLevel="0" collapsed="false">
      <c r="A386" s="45"/>
      <c r="B386" s="37" t="str">
        <f aca="false">IF($A386="","",WEEKNUM($A386,2))</f>
        <v/>
      </c>
      <c r="C386" s="37" t="str">
        <f aca="false">IF($A386="","",CHOOSE(WEEKDAY($A386,2),"Seg","Ter","Qua","Qui","Sex","Sáb","Dom"))</f>
        <v/>
      </c>
      <c r="D386" s="46"/>
      <c r="E386" s="47"/>
      <c r="F386" s="47"/>
      <c r="G386" s="48"/>
      <c r="H386" s="49"/>
      <c r="I386" s="50"/>
      <c r="J386" s="48"/>
      <c r="K386" s="49"/>
      <c r="L386" s="50"/>
      <c r="M386" s="43" t="str">
        <f aca="false">IF(OR($L386="",$F386=""),"",IFERROR($L386/INDEX(Cadastro!$E$6:$E$8,MATCH($F386,Cadastro!$B$6:$B$8,0)),""))</f>
        <v/>
      </c>
      <c r="N386" s="43" t="str">
        <f aca="false">IF(OR($L386="",$I386="",$I386=0),"",$L386/$I386)</f>
        <v/>
      </c>
      <c r="O386" s="51"/>
    </row>
    <row r="387" customFormat="false" ht="15" hidden="false" customHeight="false" outlineLevel="0" collapsed="false">
      <c r="A387" s="45"/>
      <c r="B387" s="37" t="str">
        <f aca="false">IF($A387="","",WEEKNUM($A387,2))</f>
        <v/>
      </c>
      <c r="C387" s="37" t="str">
        <f aca="false">IF($A387="","",CHOOSE(WEEKDAY($A387,2),"Seg","Ter","Qua","Qui","Sex","Sáb","Dom"))</f>
        <v/>
      </c>
      <c r="D387" s="46"/>
      <c r="E387" s="47"/>
      <c r="F387" s="47"/>
      <c r="G387" s="48"/>
      <c r="H387" s="49"/>
      <c r="I387" s="50"/>
      <c r="J387" s="48"/>
      <c r="K387" s="49"/>
      <c r="L387" s="50"/>
      <c r="M387" s="43" t="str">
        <f aca="false">IF(OR($L387="",$F387=""),"",IFERROR($L387/INDEX(Cadastro!$E$6:$E$8,MATCH($F387,Cadastro!$B$6:$B$8,0)),""))</f>
        <v/>
      </c>
      <c r="N387" s="43" t="str">
        <f aca="false">IF(OR($L387="",$I387="",$I387=0),"",$L387/$I387)</f>
        <v/>
      </c>
      <c r="O387" s="51"/>
    </row>
    <row r="388" customFormat="false" ht="15" hidden="false" customHeight="false" outlineLevel="0" collapsed="false">
      <c r="A388" s="45"/>
      <c r="B388" s="37" t="str">
        <f aca="false">IF($A388="","",WEEKNUM($A388,2))</f>
        <v/>
      </c>
      <c r="C388" s="37" t="str">
        <f aca="false">IF($A388="","",CHOOSE(WEEKDAY($A388,2),"Seg","Ter","Qua","Qui","Sex","Sáb","Dom"))</f>
        <v/>
      </c>
      <c r="D388" s="46"/>
      <c r="E388" s="47"/>
      <c r="F388" s="47"/>
      <c r="G388" s="48"/>
      <c r="H388" s="49"/>
      <c r="I388" s="50"/>
      <c r="J388" s="48"/>
      <c r="K388" s="49"/>
      <c r="L388" s="50"/>
      <c r="M388" s="43" t="str">
        <f aca="false">IF(OR($L388="",$F388=""),"",IFERROR($L388/INDEX(Cadastro!$E$6:$E$8,MATCH($F388,Cadastro!$B$6:$B$8,0)),""))</f>
        <v/>
      </c>
      <c r="N388" s="43" t="str">
        <f aca="false">IF(OR($L388="",$I388="",$I388=0),"",$L388/$I388)</f>
        <v/>
      </c>
      <c r="O388" s="51"/>
    </row>
    <row r="389" customFormat="false" ht="15" hidden="false" customHeight="false" outlineLevel="0" collapsed="false">
      <c r="A389" s="45"/>
      <c r="B389" s="37" t="str">
        <f aca="false">IF($A389="","",WEEKNUM($A389,2))</f>
        <v/>
      </c>
      <c r="C389" s="37" t="str">
        <f aca="false">IF($A389="","",CHOOSE(WEEKDAY($A389,2),"Seg","Ter","Qua","Qui","Sex","Sáb","Dom"))</f>
        <v/>
      </c>
      <c r="D389" s="46"/>
      <c r="E389" s="47"/>
      <c r="F389" s="47"/>
      <c r="G389" s="48"/>
      <c r="H389" s="49"/>
      <c r="I389" s="50"/>
      <c r="J389" s="48"/>
      <c r="K389" s="49"/>
      <c r="L389" s="50"/>
      <c r="M389" s="43" t="str">
        <f aca="false">IF(OR($L389="",$F389=""),"",IFERROR($L389/INDEX(Cadastro!$E$6:$E$8,MATCH($F389,Cadastro!$B$6:$B$8,0)),""))</f>
        <v/>
      </c>
      <c r="N389" s="43" t="str">
        <f aca="false">IF(OR($L389="",$I389="",$I389=0),"",$L389/$I389)</f>
        <v/>
      </c>
      <c r="O389" s="51"/>
    </row>
    <row r="390" customFormat="false" ht="15" hidden="false" customHeight="false" outlineLevel="0" collapsed="false">
      <c r="A390" s="45"/>
      <c r="B390" s="37" t="str">
        <f aca="false">IF($A390="","",WEEKNUM($A390,2))</f>
        <v/>
      </c>
      <c r="C390" s="37" t="str">
        <f aca="false">IF($A390="","",CHOOSE(WEEKDAY($A390,2),"Seg","Ter","Qua","Qui","Sex","Sáb","Dom"))</f>
        <v/>
      </c>
      <c r="D390" s="46"/>
      <c r="E390" s="47"/>
      <c r="F390" s="47"/>
      <c r="G390" s="48"/>
      <c r="H390" s="49"/>
      <c r="I390" s="50"/>
      <c r="J390" s="48"/>
      <c r="K390" s="49"/>
      <c r="L390" s="50"/>
      <c r="M390" s="43" t="str">
        <f aca="false">IF(OR($L390="",$F390=""),"",IFERROR($L390/INDEX(Cadastro!$E$6:$E$8,MATCH($F390,Cadastro!$B$6:$B$8,0)),""))</f>
        <v/>
      </c>
      <c r="N390" s="43" t="str">
        <f aca="false">IF(OR($L390="",$I390="",$I390=0),"",$L390/$I390)</f>
        <v/>
      </c>
      <c r="O390" s="51"/>
    </row>
    <row r="391" customFormat="false" ht="15" hidden="false" customHeight="false" outlineLevel="0" collapsed="false">
      <c r="A391" s="45"/>
      <c r="B391" s="37" t="str">
        <f aca="false">IF($A391="","",WEEKNUM($A391,2))</f>
        <v/>
      </c>
      <c r="C391" s="37" t="str">
        <f aca="false">IF($A391="","",CHOOSE(WEEKDAY($A391,2),"Seg","Ter","Qua","Qui","Sex","Sáb","Dom"))</f>
        <v/>
      </c>
      <c r="D391" s="46"/>
      <c r="E391" s="47"/>
      <c r="F391" s="47"/>
      <c r="G391" s="48"/>
      <c r="H391" s="49"/>
      <c r="I391" s="50"/>
      <c r="J391" s="48"/>
      <c r="K391" s="49"/>
      <c r="L391" s="50"/>
      <c r="M391" s="43" t="str">
        <f aca="false">IF(OR($L391="",$F391=""),"",IFERROR($L391/INDEX(Cadastro!$E$6:$E$8,MATCH($F391,Cadastro!$B$6:$B$8,0)),""))</f>
        <v/>
      </c>
      <c r="N391" s="43" t="str">
        <f aca="false">IF(OR($L391="",$I391="",$I391=0),"",$L391/$I391)</f>
        <v/>
      </c>
      <c r="O391" s="51"/>
    </row>
    <row r="392" customFormat="false" ht="15" hidden="false" customHeight="false" outlineLevel="0" collapsed="false">
      <c r="A392" s="45"/>
      <c r="B392" s="37" t="str">
        <f aca="false">IF($A392="","",WEEKNUM($A392,2))</f>
        <v/>
      </c>
      <c r="C392" s="37" t="str">
        <f aca="false">IF($A392="","",CHOOSE(WEEKDAY($A392,2),"Seg","Ter","Qua","Qui","Sex","Sáb","Dom"))</f>
        <v/>
      </c>
      <c r="D392" s="46"/>
      <c r="E392" s="47"/>
      <c r="F392" s="47"/>
      <c r="G392" s="48"/>
      <c r="H392" s="49"/>
      <c r="I392" s="50"/>
      <c r="J392" s="48"/>
      <c r="K392" s="49"/>
      <c r="L392" s="50"/>
      <c r="M392" s="43" t="str">
        <f aca="false">IF(OR($L392="",$F392=""),"",IFERROR($L392/INDEX(Cadastro!$E$6:$E$8,MATCH($F392,Cadastro!$B$6:$B$8,0)),""))</f>
        <v/>
      </c>
      <c r="N392" s="43" t="str">
        <f aca="false">IF(OR($L392="",$I392="",$I392=0),"",$L392/$I392)</f>
        <v/>
      </c>
      <c r="O392" s="51"/>
    </row>
    <row r="393" customFormat="false" ht="15" hidden="false" customHeight="false" outlineLevel="0" collapsed="false">
      <c r="A393" s="45"/>
      <c r="B393" s="37" t="str">
        <f aca="false">IF($A393="","",WEEKNUM($A393,2))</f>
        <v/>
      </c>
      <c r="C393" s="37" t="str">
        <f aca="false">IF($A393="","",CHOOSE(WEEKDAY($A393,2),"Seg","Ter","Qua","Qui","Sex","Sáb","Dom"))</f>
        <v/>
      </c>
      <c r="D393" s="46"/>
      <c r="E393" s="47"/>
      <c r="F393" s="47"/>
      <c r="G393" s="48"/>
      <c r="H393" s="49"/>
      <c r="I393" s="50"/>
      <c r="J393" s="48"/>
      <c r="K393" s="49"/>
      <c r="L393" s="50"/>
      <c r="M393" s="43" t="str">
        <f aca="false">IF(OR($L393="",$F393=""),"",IFERROR($L393/INDEX(Cadastro!$E$6:$E$8,MATCH($F393,Cadastro!$B$6:$B$8,0)),""))</f>
        <v/>
      </c>
      <c r="N393" s="43" t="str">
        <f aca="false">IF(OR($L393="",$I393="",$I393=0),"",$L393/$I393)</f>
        <v/>
      </c>
      <c r="O393" s="51"/>
    </row>
    <row r="394" customFormat="false" ht="15" hidden="false" customHeight="false" outlineLevel="0" collapsed="false">
      <c r="A394" s="45"/>
      <c r="B394" s="37" t="str">
        <f aca="false">IF($A394="","",WEEKNUM($A394,2))</f>
        <v/>
      </c>
      <c r="C394" s="37" t="str">
        <f aca="false">IF($A394="","",CHOOSE(WEEKDAY($A394,2),"Seg","Ter","Qua","Qui","Sex","Sáb","Dom"))</f>
        <v/>
      </c>
      <c r="D394" s="46"/>
      <c r="E394" s="47"/>
      <c r="F394" s="47"/>
      <c r="G394" s="48"/>
      <c r="H394" s="49"/>
      <c r="I394" s="50"/>
      <c r="J394" s="48"/>
      <c r="K394" s="49"/>
      <c r="L394" s="50"/>
      <c r="M394" s="43" t="str">
        <f aca="false">IF(OR($L394="",$F394=""),"",IFERROR($L394/INDEX(Cadastro!$E$6:$E$8,MATCH($F394,Cadastro!$B$6:$B$8,0)),""))</f>
        <v/>
      </c>
      <c r="N394" s="43" t="str">
        <f aca="false">IF(OR($L394="",$I394="",$I394=0),"",$L394/$I394)</f>
        <v/>
      </c>
      <c r="O394" s="51"/>
    </row>
    <row r="395" customFormat="false" ht="15" hidden="false" customHeight="false" outlineLevel="0" collapsed="false">
      <c r="A395" s="45"/>
      <c r="B395" s="37" t="str">
        <f aca="false">IF($A395="","",WEEKNUM($A395,2))</f>
        <v/>
      </c>
      <c r="C395" s="37" t="str">
        <f aca="false">IF($A395="","",CHOOSE(WEEKDAY($A395,2),"Seg","Ter","Qua","Qui","Sex","Sáb","Dom"))</f>
        <v/>
      </c>
      <c r="D395" s="46"/>
      <c r="E395" s="47"/>
      <c r="F395" s="47"/>
      <c r="G395" s="48"/>
      <c r="H395" s="49"/>
      <c r="I395" s="50"/>
      <c r="J395" s="48"/>
      <c r="K395" s="49"/>
      <c r="L395" s="50"/>
      <c r="M395" s="43" t="str">
        <f aca="false">IF(OR($L395="",$F395=""),"",IFERROR($L395/INDEX(Cadastro!$E$6:$E$8,MATCH($F395,Cadastro!$B$6:$B$8,0)),""))</f>
        <v/>
      </c>
      <c r="N395" s="43" t="str">
        <f aca="false">IF(OR($L395="",$I395="",$I395=0),"",$L395/$I395)</f>
        <v/>
      </c>
      <c r="O395" s="51"/>
    </row>
    <row r="396" customFormat="false" ht="15" hidden="false" customHeight="false" outlineLevel="0" collapsed="false">
      <c r="A396" s="45"/>
      <c r="B396" s="37" t="str">
        <f aca="false">IF($A396="","",WEEKNUM($A396,2))</f>
        <v/>
      </c>
      <c r="C396" s="37" t="str">
        <f aca="false">IF($A396="","",CHOOSE(WEEKDAY($A396,2),"Seg","Ter","Qua","Qui","Sex","Sáb","Dom"))</f>
        <v/>
      </c>
      <c r="D396" s="46"/>
      <c r="E396" s="47"/>
      <c r="F396" s="47"/>
      <c r="G396" s="48"/>
      <c r="H396" s="49"/>
      <c r="I396" s="50"/>
      <c r="J396" s="48"/>
      <c r="K396" s="49"/>
      <c r="L396" s="50"/>
      <c r="M396" s="43" t="str">
        <f aca="false">IF(OR($L396="",$F396=""),"",IFERROR($L396/INDEX(Cadastro!$E$6:$E$8,MATCH($F396,Cadastro!$B$6:$B$8,0)),""))</f>
        <v/>
      </c>
      <c r="N396" s="43" t="str">
        <f aca="false">IF(OR($L396="",$I396="",$I396=0),"",$L396/$I396)</f>
        <v/>
      </c>
      <c r="O396" s="51"/>
    </row>
    <row r="397" customFormat="false" ht="15" hidden="false" customHeight="false" outlineLevel="0" collapsed="false">
      <c r="A397" s="45"/>
      <c r="B397" s="37" t="str">
        <f aca="false">IF($A397="","",WEEKNUM($A397,2))</f>
        <v/>
      </c>
      <c r="C397" s="37" t="str">
        <f aca="false">IF($A397="","",CHOOSE(WEEKDAY($A397,2),"Seg","Ter","Qua","Qui","Sex","Sáb","Dom"))</f>
        <v/>
      </c>
      <c r="D397" s="46"/>
      <c r="E397" s="47"/>
      <c r="F397" s="47"/>
      <c r="G397" s="48"/>
      <c r="H397" s="49"/>
      <c r="I397" s="50"/>
      <c r="J397" s="48"/>
      <c r="K397" s="49"/>
      <c r="L397" s="50"/>
      <c r="M397" s="43" t="str">
        <f aca="false">IF(OR($L397="",$F397=""),"",IFERROR($L397/INDEX(Cadastro!$E$6:$E$8,MATCH($F397,Cadastro!$B$6:$B$8,0)),""))</f>
        <v/>
      </c>
      <c r="N397" s="43" t="str">
        <f aca="false">IF(OR($L397="",$I397="",$I397=0),"",$L397/$I397)</f>
        <v/>
      </c>
      <c r="O397" s="51"/>
    </row>
    <row r="398" customFormat="false" ht="15" hidden="false" customHeight="false" outlineLevel="0" collapsed="false">
      <c r="A398" s="45"/>
      <c r="B398" s="37" t="str">
        <f aca="false">IF($A398="","",WEEKNUM($A398,2))</f>
        <v/>
      </c>
      <c r="C398" s="37" t="str">
        <f aca="false">IF($A398="","",CHOOSE(WEEKDAY($A398,2),"Seg","Ter","Qua","Qui","Sex","Sáb","Dom"))</f>
        <v/>
      </c>
      <c r="D398" s="46"/>
      <c r="E398" s="47"/>
      <c r="F398" s="47"/>
      <c r="G398" s="48"/>
      <c r="H398" s="49"/>
      <c r="I398" s="50"/>
      <c r="J398" s="48"/>
      <c r="K398" s="49"/>
      <c r="L398" s="50"/>
      <c r="M398" s="43" t="str">
        <f aca="false">IF(OR($L398="",$F398=""),"",IFERROR($L398/INDEX(Cadastro!$E$6:$E$8,MATCH($F398,Cadastro!$B$6:$B$8,0)),""))</f>
        <v/>
      </c>
      <c r="N398" s="43" t="str">
        <f aca="false">IF(OR($L398="",$I398="",$I398=0),"",$L398/$I398)</f>
        <v/>
      </c>
      <c r="O398" s="51"/>
    </row>
    <row r="399" customFormat="false" ht="15" hidden="false" customHeight="false" outlineLevel="0" collapsed="false">
      <c r="A399" s="45"/>
      <c r="B399" s="37" t="str">
        <f aca="false">IF($A399="","",WEEKNUM($A399,2))</f>
        <v/>
      </c>
      <c r="C399" s="37" t="str">
        <f aca="false">IF($A399="","",CHOOSE(WEEKDAY($A399,2),"Seg","Ter","Qua","Qui","Sex","Sáb","Dom"))</f>
        <v/>
      </c>
      <c r="D399" s="46"/>
      <c r="E399" s="47"/>
      <c r="F399" s="47"/>
      <c r="G399" s="48"/>
      <c r="H399" s="49"/>
      <c r="I399" s="50"/>
      <c r="J399" s="48"/>
      <c r="K399" s="49"/>
      <c r="L399" s="50"/>
      <c r="M399" s="43" t="str">
        <f aca="false">IF(OR($L399="",$F399=""),"",IFERROR($L399/INDEX(Cadastro!$E$6:$E$8,MATCH($F399,Cadastro!$B$6:$B$8,0)),""))</f>
        <v/>
      </c>
      <c r="N399" s="43" t="str">
        <f aca="false">IF(OR($L399="",$I399="",$I399=0),"",$L399/$I399)</f>
        <v/>
      </c>
      <c r="O399" s="51"/>
    </row>
    <row r="400" customFormat="false" ht="15" hidden="false" customHeight="false" outlineLevel="0" collapsed="false">
      <c r="A400" s="45"/>
      <c r="B400" s="37" t="str">
        <f aca="false">IF($A400="","",WEEKNUM($A400,2))</f>
        <v/>
      </c>
      <c r="C400" s="37" t="str">
        <f aca="false">IF($A400="","",CHOOSE(WEEKDAY($A400,2),"Seg","Ter","Qua","Qui","Sex","Sáb","Dom"))</f>
        <v/>
      </c>
      <c r="D400" s="46"/>
      <c r="E400" s="47"/>
      <c r="F400" s="47"/>
      <c r="G400" s="48"/>
      <c r="H400" s="49"/>
      <c r="I400" s="50"/>
      <c r="J400" s="48"/>
      <c r="K400" s="49"/>
      <c r="L400" s="50"/>
      <c r="M400" s="43" t="str">
        <f aca="false">IF(OR($L400="",$F400=""),"",IFERROR($L400/INDEX(Cadastro!$E$6:$E$8,MATCH($F400,Cadastro!$B$6:$B$8,0)),""))</f>
        <v/>
      </c>
      <c r="N400" s="43" t="str">
        <f aca="false">IF(OR($L400="",$I400="",$I400=0),"",$L400/$I400)</f>
        <v/>
      </c>
      <c r="O400" s="51"/>
    </row>
    <row r="401" customFormat="false" ht="15" hidden="false" customHeight="false" outlineLevel="0" collapsed="false">
      <c r="A401" s="45"/>
      <c r="B401" s="37" t="str">
        <f aca="false">IF($A401="","",WEEKNUM($A401,2))</f>
        <v/>
      </c>
      <c r="C401" s="37" t="str">
        <f aca="false">IF($A401="","",CHOOSE(WEEKDAY($A401,2),"Seg","Ter","Qua","Qui","Sex","Sáb","Dom"))</f>
        <v/>
      </c>
      <c r="D401" s="46"/>
      <c r="E401" s="47"/>
      <c r="F401" s="47"/>
      <c r="G401" s="48"/>
      <c r="H401" s="49"/>
      <c r="I401" s="50"/>
      <c r="J401" s="48"/>
      <c r="K401" s="49"/>
      <c r="L401" s="50"/>
      <c r="M401" s="43" t="str">
        <f aca="false">IF(OR($L401="",$F401=""),"",IFERROR($L401/INDEX(Cadastro!$E$6:$E$8,MATCH($F401,Cadastro!$B$6:$B$8,0)),""))</f>
        <v/>
      </c>
      <c r="N401" s="43" t="str">
        <f aca="false">IF(OR($L401="",$I401="",$I401=0),"",$L401/$I401)</f>
        <v/>
      </c>
      <c r="O401" s="51"/>
    </row>
    <row r="402" customFormat="false" ht="15" hidden="false" customHeight="false" outlineLevel="0" collapsed="false">
      <c r="A402" s="45"/>
      <c r="B402" s="37" t="str">
        <f aca="false">IF($A402="","",WEEKNUM($A402,2))</f>
        <v/>
      </c>
      <c r="C402" s="37" t="str">
        <f aca="false">IF($A402="","",CHOOSE(WEEKDAY($A402,2),"Seg","Ter","Qua","Qui","Sex","Sáb","Dom"))</f>
        <v/>
      </c>
      <c r="D402" s="46"/>
      <c r="E402" s="47"/>
      <c r="F402" s="47"/>
      <c r="G402" s="48"/>
      <c r="H402" s="49"/>
      <c r="I402" s="50"/>
      <c r="J402" s="48"/>
      <c r="K402" s="49"/>
      <c r="L402" s="50"/>
      <c r="M402" s="43" t="str">
        <f aca="false">IF(OR($L402="",$F402=""),"",IFERROR($L402/INDEX(Cadastro!$E$6:$E$8,MATCH($F402,Cadastro!$B$6:$B$8,0)),""))</f>
        <v/>
      </c>
      <c r="N402" s="43" t="str">
        <f aca="false">IF(OR($L402="",$I402="",$I402=0),"",$L402/$I402)</f>
        <v/>
      </c>
      <c r="O402" s="51"/>
    </row>
    <row r="403" customFormat="false" ht="15" hidden="false" customHeight="false" outlineLevel="0" collapsed="false">
      <c r="A403" s="45"/>
      <c r="B403" s="37" t="str">
        <f aca="false">IF($A403="","",WEEKNUM($A403,2))</f>
        <v/>
      </c>
      <c r="C403" s="37" t="str">
        <f aca="false">IF($A403="","",CHOOSE(WEEKDAY($A403,2),"Seg","Ter","Qua","Qui","Sex","Sáb","Dom"))</f>
        <v/>
      </c>
      <c r="D403" s="46"/>
      <c r="E403" s="47"/>
      <c r="F403" s="47"/>
      <c r="G403" s="48"/>
      <c r="H403" s="49"/>
      <c r="I403" s="50"/>
      <c r="J403" s="48"/>
      <c r="K403" s="49"/>
      <c r="L403" s="50"/>
      <c r="M403" s="43" t="str">
        <f aca="false">IF(OR($L403="",$F403=""),"",IFERROR($L403/INDEX(Cadastro!$E$6:$E$8,MATCH($F403,Cadastro!$B$6:$B$8,0)),""))</f>
        <v/>
      </c>
      <c r="N403" s="43" t="str">
        <f aca="false">IF(OR($L403="",$I403="",$I403=0),"",$L403/$I403)</f>
        <v/>
      </c>
      <c r="O403" s="51"/>
    </row>
    <row r="404" customFormat="false" ht="15" hidden="false" customHeight="false" outlineLevel="0" collapsed="false">
      <c r="A404" s="45"/>
      <c r="B404" s="37" t="str">
        <f aca="false">IF($A404="","",WEEKNUM($A404,2))</f>
        <v/>
      </c>
      <c r="C404" s="37" t="str">
        <f aca="false">IF($A404="","",CHOOSE(WEEKDAY($A404,2),"Seg","Ter","Qua","Qui","Sex","Sáb","Dom"))</f>
        <v/>
      </c>
      <c r="D404" s="46"/>
      <c r="E404" s="47"/>
      <c r="F404" s="47"/>
      <c r="G404" s="48"/>
      <c r="H404" s="49"/>
      <c r="I404" s="50"/>
      <c r="J404" s="48"/>
      <c r="K404" s="49"/>
      <c r="L404" s="50"/>
      <c r="M404" s="43" t="str">
        <f aca="false">IF(OR($L404="",$F404=""),"",IFERROR($L404/INDEX(Cadastro!$E$6:$E$8,MATCH($F404,Cadastro!$B$6:$B$8,0)),""))</f>
        <v/>
      </c>
      <c r="N404" s="43" t="str">
        <f aca="false">IF(OR($L404="",$I404="",$I404=0),"",$L404/$I404)</f>
        <v/>
      </c>
      <c r="O404" s="51"/>
    </row>
    <row r="405" customFormat="false" ht="15" hidden="false" customHeight="false" outlineLevel="0" collapsed="false">
      <c r="A405" s="45"/>
      <c r="B405" s="37" t="str">
        <f aca="false">IF($A405="","",WEEKNUM($A405,2))</f>
        <v/>
      </c>
      <c r="C405" s="37" t="str">
        <f aca="false">IF($A405="","",CHOOSE(WEEKDAY($A405,2),"Seg","Ter","Qua","Qui","Sex","Sáb","Dom"))</f>
        <v/>
      </c>
      <c r="D405" s="46"/>
      <c r="E405" s="47"/>
      <c r="F405" s="47"/>
      <c r="G405" s="48"/>
      <c r="H405" s="49"/>
      <c r="I405" s="50"/>
      <c r="J405" s="48"/>
      <c r="K405" s="49"/>
      <c r="L405" s="50"/>
      <c r="M405" s="43" t="str">
        <f aca="false">IF(OR($L405="",$F405=""),"",IFERROR($L405/INDEX(Cadastro!$E$6:$E$8,MATCH($F405,Cadastro!$B$6:$B$8,0)),""))</f>
        <v/>
      </c>
      <c r="N405" s="43" t="str">
        <f aca="false">IF(OR($L405="",$I405="",$I405=0),"",$L405/$I405)</f>
        <v/>
      </c>
      <c r="O405" s="51"/>
    </row>
    <row r="406" customFormat="false" ht="15" hidden="false" customHeight="false" outlineLevel="0" collapsed="false">
      <c r="A406" s="45"/>
      <c r="B406" s="37" t="str">
        <f aca="false">IF($A406="","",WEEKNUM($A406,2))</f>
        <v/>
      </c>
      <c r="C406" s="37" t="str">
        <f aca="false">IF($A406="","",CHOOSE(WEEKDAY($A406,2),"Seg","Ter","Qua","Qui","Sex","Sáb","Dom"))</f>
        <v/>
      </c>
      <c r="D406" s="46"/>
      <c r="E406" s="47"/>
      <c r="F406" s="47"/>
      <c r="G406" s="48"/>
      <c r="H406" s="49"/>
      <c r="I406" s="50"/>
      <c r="J406" s="48"/>
      <c r="K406" s="49"/>
      <c r="L406" s="50"/>
      <c r="M406" s="43" t="str">
        <f aca="false">IF(OR($L406="",$F406=""),"",IFERROR($L406/INDEX(Cadastro!$E$6:$E$8,MATCH($F406,Cadastro!$B$6:$B$8,0)),""))</f>
        <v/>
      </c>
      <c r="N406" s="43" t="str">
        <f aca="false">IF(OR($L406="",$I406="",$I406=0),"",$L406/$I406)</f>
        <v/>
      </c>
      <c r="O406" s="51"/>
    </row>
    <row r="407" customFormat="false" ht="15" hidden="false" customHeight="false" outlineLevel="0" collapsed="false">
      <c r="A407" s="45"/>
      <c r="B407" s="37" t="str">
        <f aca="false">IF($A407="","",WEEKNUM($A407,2))</f>
        <v/>
      </c>
      <c r="C407" s="37" t="str">
        <f aca="false">IF($A407="","",CHOOSE(WEEKDAY($A407,2),"Seg","Ter","Qua","Qui","Sex","Sáb","Dom"))</f>
        <v/>
      </c>
      <c r="D407" s="46"/>
      <c r="E407" s="47"/>
      <c r="F407" s="47"/>
      <c r="G407" s="48"/>
      <c r="H407" s="49"/>
      <c r="I407" s="50"/>
      <c r="J407" s="48"/>
      <c r="K407" s="49"/>
      <c r="L407" s="50"/>
      <c r="M407" s="43" t="str">
        <f aca="false">IF(OR($L407="",$F407=""),"",IFERROR($L407/INDEX(Cadastro!$E$6:$E$8,MATCH($F407,Cadastro!$B$6:$B$8,0)),""))</f>
        <v/>
      </c>
      <c r="N407" s="43" t="str">
        <f aca="false">IF(OR($L407="",$I407="",$I407=0),"",$L407/$I407)</f>
        <v/>
      </c>
      <c r="O407" s="51"/>
    </row>
    <row r="408" customFormat="false" ht="15" hidden="false" customHeight="false" outlineLevel="0" collapsed="false">
      <c r="A408" s="45"/>
      <c r="B408" s="37" t="str">
        <f aca="false">IF($A408="","",WEEKNUM($A408,2))</f>
        <v/>
      </c>
      <c r="C408" s="37" t="str">
        <f aca="false">IF($A408="","",CHOOSE(WEEKDAY($A408,2),"Seg","Ter","Qua","Qui","Sex","Sáb","Dom"))</f>
        <v/>
      </c>
      <c r="D408" s="46"/>
      <c r="E408" s="47"/>
      <c r="F408" s="47"/>
      <c r="G408" s="48"/>
      <c r="H408" s="49"/>
      <c r="I408" s="50"/>
      <c r="J408" s="48"/>
      <c r="K408" s="49"/>
      <c r="L408" s="50"/>
      <c r="M408" s="43" t="str">
        <f aca="false">IF(OR($L408="",$F408=""),"",IFERROR($L408/INDEX(Cadastro!$E$6:$E$8,MATCH($F408,Cadastro!$B$6:$B$8,0)),""))</f>
        <v/>
      </c>
      <c r="N408" s="43" t="str">
        <f aca="false">IF(OR($L408="",$I408="",$I408=0),"",$L408/$I408)</f>
        <v/>
      </c>
      <c r="O408" s="51"/>
    </row>
    <row r="409" customFormat="false" ht="15" hidden="false" customHeight="false" outlineLevel="0" collapsed="false">
      <c r="A409" s="45"/>
      <c r="B409" s="37" t="str">
        <f aca="false">IF($A409="","",WEEKNUM($A409,2))</f>
        <v/>
      </c>
      <c r="C409" s="37" t="str">
        <f aca="false">IF($A409="","",CHOOSE(WEEKDAY($A409,2),"Seg","Ter","Qua","Qui","Sex","Sáb","Dom"))</f>
        <v/>
      </c>
      <c r="D409" s="46"/>
      <c r="E409" s="47"/>
      <c r="F409" s="47"/>
      <c r="G409" s="48"/>
      <c r="H409" s="49"/>
      <c r="I409" s="50"/>
      <c r="J409" s="48"/>
      <c r="K409" s="49"/>
      <c r="L409" s="50"/>
      <c r="M409" s="43" t="str">
        <f aca="false">IF(OR($L409="",$F409=""),"",IFERROR($L409/INDEX(Cadastro!$E$6:$E$8,MATCH($F409,Cadastro!$B$6:$B$8,0)),""))</f>
        <v/>
      </c>
      <c r="N409" s="43" t="str">
        <f aca="false">IF(OR($L409="",$I409="",$I409=0),"",$L409/$I409)</f>
        <v/>
      </c>
      <c r="O409" s="51"/>
    </row>
    <row r="410" customFormat="false" ht="15" hidden="false" customHeight="false" outlineLevel="0" collapsed="false">
      <c r="A410" s="45"/>
      <c r="B410" s="37" t="str">
        <f aca="false">IF($A410="","",WEEKNUM($A410,2))</f>
        <v/>
      </c>
      <c r="C410" s="37" t="str">
        <f aca="false">IF($A410="","",CHOOSE(WEEKDAY($A410,2),"Seg","Ter","Qua","Qui","Sex","Sáb","Dom"))</f>
        <v/>
      </c>
      <c r="D410" s="46"/>
      <c r="E410" s="47"/>
      <c r="F410" s="47"/>
      <c r="G410" s="48"/>
      <c r="H410" s="49"/>
      <c r="I410" s="50"/>
      <c r="J410" s="48"/>
      <c r="K410" s="49"/>
      <c r="L410" s="50"/>
      <c r="M410" s="43" t="str">
        <f aca="false">IF(OR($L410="",$F410=""),"",IFERROR($L410/INDEX(Cadastro!$E$6:$E$8,MATCH($F410,Cadastro!$B$6:$B$8,0)),""))</f>
        <v/>
      </c>
      <c r="N410" s="43" t="str">
        <f aca="false">IF(OR($L410="",$I410="",$I410=0),"",$L410/$I410)</f>
        <v/>
      </c>
      <c r="O410" s="51"/>
    </row>
    <row r="411" customFormat="false" ht="15" hidden="false" customHeight="false" outlineLevel="0" collapsed="false">
      <c r="A411" s="45"/>
      <c r="B411" s="37" t="str">
        <f aca="false">IF($A411="","",WEEKNUM($A411,2))</f>
        <v/>
      </c>
      <c r="C411" s="37" t="str">
        <f aca="false">IF($A411="","",CHOOSE(WEEKDAY($A411,2),"Seg","Ter","Qua","Qui","Sex","Sáb","Dom"))</f>
        <v/>
      </c>
      <c r="D411" s="46"/>
      <c r="E411" s="47"/>
      <c r="F411" s="47"/>
      <c r="G411" s="48"/>
      <c r="H411" s="49"/>
      <c r="I411" s="50"/>
      <c r="J411" s="48"/>
      <c r="K411" s="49"/>
      <c r="L411" s="50"/>
      <c r="M411" s="43" t="str">
        <f aca="false">IF(OR($L411="",$F411=""),"",IFERROR($L411/INDEX(Cadastro!$E$6:$E$8,MATCH($F411,Cadastro!$B$6:$B$8,0)),""))</f>
        <v/>
      </c>
      <c r="N411" s="43" t="str">
        <f aca="false">IF(OR($L411="",$I411="",$I411=0),"",$L411/$I411)</f>
        <v/>
      </c>
      <c r="O411" s="51"/>
    </row>
    <row r="412" customFormat="false" ht="15" hidden="false" customHeight="false" outlineLevel="0" collapsed="false">
      <c r="A412" s="45"/>
      <c r="B412" s="37" t="str">
        <f aca="false">IF($A412="","",WEEKNUM($A412,2))</f>
        <v/>
      </c>
      <c r="C412" s="37" t="str">
        <f aca="false">IF($A412="","",CHOOSE(WEEKDAY($A412,2),"Seg","Ter","Qua","Qui","Sex","Sáb","Dom"))</f>
        <v/>
      </c>
      <c r="D412" s="46"/>
      <c r="E412" s="47"/>
      <c r="F412" s="47"/>
      <c r="G412" s="48"/>
      <c r="H412" s="49"/>
      <c r="I412" s="50"/>
      <c r="J412" s="48"/>
      <c r="K412" s="49"/>
      <c r="L412" s="50"/>
      <c r="M412" s="43" t="str">
        <f aca="false">IF(OR($L412="",$F412=""),"",IFERROR($L412/INDEX(Cadastro!$E$6:$E$8,MATCH($F412,Cadastro!$B$6:$B$8,0)),""))</f>
        <v/>
      </c>
      <c r="N412" s="43" t="str">
        <f aca="false">IF(OR($L412="",$I412="",$I412=0),"",$L412/$I412)</f>
        <v/>
      </c>
      <c r="O412" s="51"/>
    </row>
    <row r="413" customFormat="false" ht="15" hidden="false" customHeight="false" outlineLevel="0" collapsed="false">
      <c r="A413" s="45"/>
      <c r="B413" s="37" t="str">
        <f aca="false">IF($A413="","",WEEKNUM($A413,2))</f>
        <v/>
      </c>
      <c r="C413" s="37" t="str">
        <f aca="false">IF($A413="","",CHOOSE(WEEKDAY($A413,2),"Seg","Ter","Qua","Qui","Sex","Sáb","Dom"))</f>
        <v/>
      </c>
      <c r="D413" s="46"/>
      <c r="E413" s="47"/>
      <c r="F413" s="47"/>
      <c r="G413" s="48"/>
      <c r="H413" s="49"/>
      <c r="I413" s="50"/>
      <c r="J413" s="48"/>
      <c r="K413" s="49"/>
      <c r="L413" s="50"/>
      <c r="M413" s="43" t="str">
        <f aca="false">IF(OR($L413="",$F413=""),"",IFERROR($L413/INDEX(Cadastro!$E$6:$E$8,MATCH($F413,Cadastro!$B$6:$B$8,0)),""))</f>
        <v/>
      </c>
      <c r="N413" s="43" t="str">
        <f aca="false">IF(OR($L413="",$I413="",$I413=0),"",$L413/$I413)</f>
        <v/>
      </c>
      <c r="O413" s="51"/>
    </row>
    <row r="414" customFormat="false" ht="15" hidden="false" customHeight="false" outlineLevel="0" collapsed="false">
      <c r="A414" s="45"/>
      <c r="B414" s="37" t="str">
        <f aca="false">IF($A414="","",WEEKNUM($A414,2))</f>
        <v/>
      </c>
      <c r="C414" s="37" t="str">
        <f aca="false">IF($A414="","",CHOOSE(WEEKDAY($A414,2),"Seg","Ter","Qua","Qui","Sex","Sáb","Dom"))</f>
        <v/>
      </c>
      <c r="D414" s="46"/>
      <c r="E414" s="47"/>
      <c r="F414" s="47"/>
      <c r="G414" s="48"/>
      <c r="H414" s="49"/>
      <c r="I414" s="50"/>
      <c r="J414" s="48"/>
      <c r="K414" s="49"/>
      <c r="L414" s="50"/>
      <c r="M414" s="43" t="str">
        <f aca="false">IF(OR($L414="",$F414=""),"",IFERROR($L414/INDEX(Cadastro!$E$6:$E$8,MATCH($F414,Cadastro!$B$6:$B$8,0)),""))</f>
        <v/>
      </c>
      <c r="N414" s="43" t="str">
        <f aca="false">IF(OR($L414="",$I414="",$I414=0),"",$L414/$I414)</f>
        <v/>
      </c>
      <c r="O414" s="51"/>
    </row>
    <row r="415" customFormat="false" ht="15" hidden="false" customHeight="false" outlineLevel="0" collapsed="false">
      <c r="A415" s="45"/>
      <c r="B415" s="37" t="str">
        <f aca="false">IF($A415="","",WEEKNUM($A415,2))</f>
        <v/>
      </c>
      <c r="C415" s="37" t="str">
        <f aca="false">IF($A415="","",CHOOSE(WEEKDAY($A415,2),"Seg","Ter","Qua","Qui","Sex","Sáb","Dom"))</f>
        <v/>
      </c>
      <c r="D415" s="46"/>
      <c r="E415" s="47"/>
      <c r="F415" s="47"/>
      <c r="G415" s="48"/>
      <c r="H415" s="49"/>
      <c r="I415" s="50"/>
      <c r="J415" s="48"/>
      <c r="K415" s="49"/>
      <c r="L415" s="50"/>
      <c r="M415" s="43" t="str">
        <f aca="false">IF(OR($L415="",$F415=""),"",IFERROR($L415/INDEX(Cadastro!$E$6:$E$8,MATCH($F415,Cadastro!$B$6:$B$8,0)),""))</f>
        <v/>
      </c>
      <c r="N415" s="43" t="str">
        <f aca="false">IF(OR($L415="",$I415="",$I415=0),"",$L415/$I415)</f>
        <v/>
      </c>
      <c r="O415" s="51"/>
    </row>
    <row r="416" customFormat="false" ht="15" hidden="false" customHeight="false" outlineLevel="0" collapsed="false">
      <c r="A416" s="45"/>
      <c r="B416" s="37" t="str">
        <f aca="false">IF($A416="","",WEEKNUM($A416,2))</f>
        <v/>
      </c>
      <c r="C416" s="37" t="str">
        <f aca="false">IF($A416="","",CHOOSE(WEEKDAY($A416,2),"Seg","Ter","Qua","Qui","Sex","Sáb","Dom"))</f>
        <v/>
      </c>
      <c r="D416" s="46"/>
      <c r="E416" s="47"/>
      <c r="F416" s="47"/>
      <c r="G416" s="48"/>
      <c r="H416" s="49"/>
      <c r="I416" s="50"/>
      <c r="J416" s="48"/>
      <c r="K416" s="49"/>
      <c r="L416" s="50"/>
      <c r="M416" s="43" t="str">
        <f aca="false">IF(OR($L416="",$F416=""),"",IFERROR($L416/INDEX(Cadastro!$E$6:$E$8,MATCH($F416,Cadastro!$B$6:$B$8,0)),""))</f>
        <v/>
      </c>
      <c r="N416" s="43" t="str">
        <f aca="false">IF(OR($L416="",$I416="",$I416=0),"",$L416/$I416)</f>
        <v/>
      </c>
      <c r="O416" s="51"/>
    </row>
    <row r="417" customFormat="false" ht="15" hidden="false" customHeight="false" outlineLevel="0" collapsed="false">
      <c r="A417" s="45"/>
      <c r="B417" s="37" t="str">
        <f aca="false">IF($A417="","",WEEKNUM($A417,2))</f>
        <v/>
      </c>
      <c r="C417" s="37" t="str">
        <f aca="false">IF($A417="","",CHOOSE(WEEKDAY($A417,2),"Seg","Ter","Qua","Qui","Sex","Sáb","Dom"))</f>
        <v/>
      </c>
      <c r="D417" s="46"/>
      <c r="E417" s="47"/>
      <c r="F417" s="47"/>
      <c r="G417" s="48"/>
      <c r="H417" s="49"/>
      <c r="I417" s="50"/>
      <c r="J417" s="48"/>
      <c r="K417" s="49"/>
      <c r="L417" s="50"/>
      <c r="M417" s="43" t="str">
        <f aca="false">IF(OR($L417="",$F417=""),"",IFERROR($L417/INDEX(Cadastro!$E$6:$E$8,MATCH($F417,Cadastro!$B$6:$B$8,0)),""))</f>
        <v/>
      </c>
      <c r="N417" s="43" t="str">
        <f aca="false">IF(OR($L417="",$I417="",$I417=0),"",$L417/$I417)</f>
        <v/>
      </c>
      <c r="O417" s="51"/>
    </row>
    <row r="418" customFormat="false" ht="15" hidden="false" customHeight="false" outlineLevel="0" collapsed="false">
      <c r="A418" s="45"/>
      <c r="B418" s="37" t="str">
        <f aca="false">IF($A418="","",WEEKNUM($A418,2))</f>
        <v/>
      </c>
      <c r="C418" s="37" t="str">
        <f aca="false">IF($A418="","",CHOOSE(WEEKDAY($A418,2),"Seg","Ter","Qua","Qui","Sex","Sáb","Dom"))</f>
        <v/>
      </c>
      <c r="D418" s="46"/>
      <c r="E418" s="47"/>
      <c r="F418" s="47"/>
      <c r="G418" s="48"/>
      <c r="H418" s="49"/>
      <c r="I418" s="50"/>
      <c r="J418" s="48"/>
      <c r="K418" s="49"/>
      <c r="L418" s="50"/>
      <c r="M418" s="43" t="str">
        <f aca="false">IF(OR($L418="",$F418=""),"",IFERROR($L418/INDEX(Cadastro!$E$6:$E$8,MATCH($F418,Cadastro!$B$6:$B$8,0)),""))</f>
        <v/>
      </c>
      <c r="N418" s="43" t="str">
        <f aca="false">IF(OR($L418="",$I418="",$I418=0),"",$L418/$I418)</f>
        <v/>
      </c>
      <c r="O418" s="51"/>
    </row>
    <row r="419" customFormat="false" ht="15" hidden="false" customHeight="false" outlineLevel="0" collapsed="false">
      <c r="A419" s="45"/>
      <c r="B419" s="37" t="str">
        <f aca="false">IF($A419="","",WEEKNUM($A419,2))</f>
        <v/>
      </c>
      <c r="C419" s="37" t="str">
        <f aca="false">IF($A419="","",CHOOSE(WEEKDAY($A419,2),"Seg","Ter","Qua","Qui","Sex","Sáb","Dom"))</f>
        <v/>
      </c>
      <c r="D419" s="46"/>
      <c r="E419" s="47"/>
      <c r="F419" s="47"/>
      <c r="G419" s="48"/>
      <c r="H419" s="49"/>
      <c r="I419" s="50"/>
      <c r="J419" s="48"/>
      <c r="K419" s="49"/>
      <c r="L419" s="50"/>
      <c r="M419" s="43" t="str">
        <f aca="false">IF(OR($L419="",$F419=""),"",IFERROR($L419/INDEX(Cadastro!$E$6:$E$8,MATCH($F419,Cadastro!$B$6:$B$8,0)),""))</f>
        <v/>
      </c>
      <c r="N419" s="43" t="str">
        <f aca="false">IF(OR($L419="",$I419="",$I419=0),"",$L419/$I419)</f>
        <v/>
      </c>
      <c r="O419" s="51"/>
    </row>
    <row r="420" customFormat="false" ht="15" hidden="false" customHeight="false" outlineLevel="0" collapsed="false">
      <c r="A420" s="45"/>
      <c r="B420" s="37" t="str">
        <f aca="false">IF($A420="","",WEEKNUM($A420,2))</f>
        <v/>
      </c>
      <c r="C420" s="37" t="str">
        <f aca="false">IF($A420="","",CHOOSE(WEEKDAY($A420,2),"Seg","Ter","Qua","Qui","Sex","Sáb","Dom"))</f>
        <v/>
      </c>
      <c r="D420" s="46"/>
      <c r="E420" s="47"/>
      <c r="F420" s="47"/>
      <c r="G420" s="48"/>
      <c r="H420" s="49"/>
      <c r="I420" s="50"/>
      <c r="J420" s="48"/>
      <c r="K420" s="49"/>
      <c r="L420" s="50"/>
      <c r="M420" s="43" t="str">
        <f aca="false">IF(OR($L420="",$F420=""),"",IFERROR($L420/INDEX(Cadastro!$E$6:$E$8,MATCH($F420,Cadastro!$B$6:$B$8,0)),""))</f>
        <v/>
      </c>
      <c r="N420" s="43" t="str">
        <f aca="false">IF(OR($L420="",$I420="",$I420=0),"",$L420/$I420)</f>
        <v/>
      </c>
      <c r="O420" s="51"/>
    </row>
    <row r="421" customFormat="false" ht="15" hidden="false" customHeight="false" outlineLevel="0" collapsed="false">
      <c r="A421" s="45"/>
      <c r="B421" s="37" t="str">
        <f aca="false">IF($A421="","",WEEKNUM($A421,2))</f>
        <v/>
      </c>
      <c r="C421" s="37" t="str">
        <f aca="false">IF($A421="","",CHOOSE(WEEKDAY($A421,2),"Seg","Ter","Qua","Qui","Sex","Sáb","Dom"))</f>
        <v/>
      </c>
      <c r="D421" s="46"/>
      <c r="E421" s="47"/>
      <c r="F421" s="47"/>
      <c r="G421" s="48"/>
      <c r="H421" s="49"/>
      <c r="I421" s="50"/>
      <c r="J421" s="48"/>
      <c r="K421" s="49"/>
      <c r="L421" s="50"/>
      <c r="M421" s="43" t="str">
        <f aca="false">IF(OR($L421="",$F421=""),"",IFERROR($L421/INDEX(Cadastro!$E$6:$E$8,MATCH($F421,Cadastro!$B$6:$B$8,0)),""))</f>
        <v/>
      </c>
      <c r="N421" s="43" t="str">
        <f aca="false">IF(OR($L421="",$I421="",$I421=0),"",$L421/$I421)</f>
        <v/>
      </c>
      <c r="O421" s="51"/>
    </row>
    <row r="422" customFormat="false" ht="15" hidden="false" customHeight="false" outlineLevel="0" collapsed="false">
      <c r="A422" s="45"/>
      <c r="B422" s="37" t="str">
        <f aca="false">IF($A422="","",WEEKNUM($A422,2))</f>
        <v/>
      </c>
      <c r="C422" s="37" t="str">
        <f aca="false">IF($A422="","",CHOOSE(WEEKDAY($A422,2),"Seg","Ter","Qua","Qui","Sex","Sáb","Dom"))</f>
        <v/>
      </c>
      <c r="D422" s="46"/>
      <c r="E422" s="47"/>
      <c r="F422" s="47"/>
      <c r="G422" s="48"/>
      <c r="H422" s="49"/>
      <c r="I422" s="50"/>
      <c r="J422" s="48"/>
      <c r="K422" s="49"/>
      <c r="L422" s="50"/>
      <c r="M422" s="43" t="str">
        <f aca="false">IF(OR($L422="",$F422=""),"",IFERROR($L422/INDEX(Cadastro!$E$6:$E$8,MATCH($F422,Cadastro!$B$6:$B$8,0)),""))</f>
        <v/>
      </c>
      <c r="N422" s="43" t="str">
        <f aca="false">IF(OR($L422="",$I422="",$I422=0),"",$L422/$I422)</f>
        <v/>
      </c>
      <c r="O422" s="51"/>
    </row>
    <row r="423" customFormat="false" ht="15" hidden="false" customHeight="false" outlineLevel="0" collapsed="false">
      <c r="A423" s="45"/>
      <c r="B423" s="37" t="str">
        <f aca="false">IF($A423="","",WEEKNUM($A423,2))</f>
        <v/>
      </c>
      <c r="C423" s="37" t="str">
        <f aca="false">IF($A423="","",CHOOSE(WEEKDAY($A423,2),"Seg","Ter","Qua","Qui","Sex","Sáb","Dom"))</f>
        <v/>
      </c>
      <c r="D423" s="46"/>
      <c r="E423" s="47"/>
      <c r="F423" s="47"/>
      <c r="G423" s="48"/>
      <c r="H423" s="49"/>
      <c r="I423" s="50"/>
      <c r="J423" s="48"/>
      <c r="K423" s="49"/>
      <c r="L423" s="50"/>
      <c r="M423" s="43" t="str">
        <f aca="false">IF(OR($L423="",$F423=""),"",IFERROR($L423/INDEX(Cadastro!$E$6:$E$8,MATCH($F423,Cadastro!$B$6:$B$8,0)),""))</f>
        <v/>
      </c>
      <c r="N423" s="43" t="str">
        <f aca="false">IF(OR($L423="",$I423="",$I423=0),"",$L423/$I423)</f>
        <v/>
      </c>
      <c r="O423" s="51"/>
    </row>
    <row r="424" customFormat="false" ht="15" hidden="false" customHeight="false" outlineLevel="0" collapsed="false">
      <c r="A424" s="45"/>
      <c r="B424" s="37" t="str">
        <f aca="false">IF($A424="","",WEEKNUM($A424,2))</f>
        <v/>
      </c>
      <c r="C424" s="37" t="str">
        <f aca="false">IF($A424="","",CHOOSE(WEEKDAY($A424,2),"Seg","Ter","Qua","Qui","Sex","Sáb","Dom"))</f>
        <v/>
      </c>
      <c r="D424" s="46"/>
      <c r="E424" s="47"/>
      <c r="F424" s="47"/>
      <c r="G424" s="48"/>
      <c r="H424" s="49"/>
      <c r="I424" s="50"/>
      <c r="J424" s="48"/>
      <c r="K424" s="49"/>
      <c r="L424" s="50"/>
      <c r="M424" s="43" t="str">
        <f aca="false">IF(OR($L424="",$F424=""),"",IFERROR($L424/INDEX(Cadastro!$E$6:$E$8,MATCH($F424,Cadastro!$B$6:$B$8,0)),""))</f>
        <v/>
      </c>
      <c r="N424" s="43" t="str">
        <f aca="false">IF(OR($L424="",$I424="",$I424=0),"",$L424/$I424)</f>
        <v/>
      </c>
      <c r="O424" s="51"/>
    </row>
    <row r="425" customFormat="false" ht="15" hidden="false" customHeight="false" outlineLevel="0" collapsed="false">
      <c r="A425" s="45"/>
      <c r="B425" s="37" t="str">
        <f aca="false">IF($A425="","",WEEKNUM($A425,2))</f>
        <v/>
      </c>
      <c r="C425" s="37" t="str">
        <f aca="false">IF($A425="","",CHOOSE(WEEKDAY($A425,2),"Seg","Ter","Qua","Qui","Sex","Sáb","Dom"))</f>
        <v/>
      </c>
      <c r="D425" s="46"/>
      <c r="E425" s="47"/>
      <c r="F425" s="47"/>
      <c r="G425" s="48"/>
      <c r="H425" s="49"/>
      <c r="I425" s="50"/>
      <c r="J425" s="48"/>
      <c r="K425" s="49"/>
      <c r="L425" s="50"/>
      <c r="M425" s="43" t="str">
        <f aca="false">IF(OR($L425="",$F425=""),"",IFERROR($L425/INDEX(Cadastro!$E$6:$E$8,MATCH($F425,Cadastro!$B$6:$B$8,0)),""))</f>
        <v/>
      </c>
      <c r="N425" s="43" t="str">
        <f aca="false">IF(OR($L425="",$I425="",$I425=0),"",$L425/$I425)</f>
        <v/>
      </c>
      <c r="O425" s="51"/>
    </row>
    <row r="426" customFormat="false" ht="15" hidden="false" customHeight="false" outlineLevel="0" collapsed="false">
      <c r="A426" s="45"/>
      <c r="B426" s="37" t="str">
        <f aca="false">IF($A426="","",WEEKNUM($A426,2))</f>
        <v/>
      </c>
      <c r="C426" s="37" t="str">
        <f aca="false">IF($A426="","",CHOOSE(WEEKDAY($A426,2),"Seg","Ter","Qua","Qui","Sex","Sáb","Dom"))</f>
        <v/>
      </c>
      <c r="D426" s="46"/>
      <c r="E426" s="47"/>
      <c r="F426" s="47"/>
      <c r="G426" s="48"/>
      <c r="H426" s="49"/>
      <c r="I426" s="50"/>
      <c r="J426" s="48"/>
      <c r="K426" s="49"/>
      <c r="L426" s="50"/>
      <c r="M426" s="43" t="str">
        <f aca="false">IF(OR($L426="",$F426=""),"",IFERROR($L426/INDEX(Cadastro!$E$6:$E$8,MATCH($F426,Cadastro!$B$6:$B$8,0)),""))</f>
        <v/>
      </c>
      <c r="N426" s="43" t="str">
        <f aca="false">IF(OR($L426="",$I426="",$I426=0),"",$L426/$I426)</f>
        <v/>
      </c>
      <c r="O426" s="51"/>
    </row>
    <row r="427" customFormat="false" ht="15" hidden="false" customHeight="false" outlineLevel="0" collapsed="false">
      <c r="A427" s="45"/>
      <c r="B427" s="37" t="str">
        <f aca="false">IF($A427="","",WEEKNUM($A427,2))</f>
        <v/>
      </c>
      <c r="C427" s="37" t="str">
        <f aca="false">IF($A427="","",CHOOSE(WEEKDAY($A427,2),"Seg","Ter","Qua","Qui","Sex","Sáb","Dom"))</f>
        <v/>
      </c>
      <c r="D427" s="46"/>
      <c r="E427" s="47"/>
      <c r="F427" s="47"/>
      <c r="G427" s="48"/>
      <c r="H427" s="49"/>
      <c r="I427" s="50"/>
      <c r="J427" s="48"/>
      <c r="K427" s="49"/>
      <c r="L427" s="50"/>
      <c r="M427" s="43" t="str">
        <f aca="false">IF(OR($L427="",$F427=""),"",IFERROR($L427/INDEX(Cadastro!$E$6:$E$8,MATCH($F427,Cadastro!$B$6:$B$8,0)),""))</f>
        <v/>
      </c>
      <c r="N427" s="43" t="str">
        <f aca="false">IF(OR($L427="",$I427="",$I427=0),"",$L427/$I427)</f>
        <v/>
      </c>
      <c r="O427" s="51"/>
    </row>
    <row r="428" customFormat="false" ht="15" hidden="false" customHeight="false" outlineLevel="0" collapsed="false">
      <c r="A428" s="45"/>
      <c r="B428" s="37" t="str">
        <f aca="false">IF($A428="","",WEEKNUM($A428,2))</f>
        <v/>
      </c>
      <c r="C428" s="37" t="str">
        <f aca="false">IF($A428="","",CHOOSE(WEEKDAY($A428,2),"Seg","Ter","Qua","Qui","Sex","Sáb","Dom"))</f>
        <v/>
      </c>
      <c r="D428" s="46"/>
      <c r="E428" s="47"/>
      <c r="F428" s="47"/>
      <c r="G428" s="48"/>
      <c r="H428" s="49"/>
      <c r="I428" s="50"/>
      <c r="J428" s="48"/>
      <c r="K428" s="49"/>
      <c r="L428" s="50"/>
      <c r="M428" s="43" t="str">
        <f aca="false">IF(OR($L428="",$F428=""),"",IFERROR($L428/INDEX(Cadastro!$E$6:$E$8,MATCH($F428,Cadastro!$B$6:$B$8,0)),""))</f>
        <v/>
      </c>
      <c r="N428" s="43" t="str">
        <f aca="false">IF(OR($L428="",$I428="",$I428=0),"",$L428/$I428)</f>
        <v/>
      </c>
      <c r="O428" s="51"/>
    </row>
    <row r="429" customFormat="false" ht="15" hidden="false" customHeight="false" outlineLevel="0" collapsed="false">
      <c r="A429" s="45"/>
      <c r="B429" s="37" t="str">
        <f aca="false">IF($A429="","",WEEKNUM($A429,2))</f>
        <v/>
      </c>
      <c r="C429" s="37" t="str">
        <f aca="false">IF($A429="","",CHOOSE(WEEKDAY($A429,2),"Seg","Ter","Qua","Qui","Sex","Sáb","Dom"))</f>
        <v/>
      </c>
      <c r="D429" s="46"/>
      <c r="E429" s="47"/>
      <c r="F429" s="47"/>
      <c r="G429" s="48"/>
      <c r="H429" s="49"/>
      <c r="I429" s="50"/>
      <c r="J429" s="48"/>
      <c r="K429" s="49"/>
      <c r="L429" s="50"/>
      <c r="M429" s="43" t="str">
        <f aca="false">IF(OR($L429="",$F429=""),"",IFERROR($L429/INDEX(Cadastro!$E$6:$E$8,MATCH($F429,Cadastro!$B$6:$B$8,0)),""))</f>
        <v/>
      </c>
      <c r="N429" s="43" t="str">
        <f aca="false">IF(OR($L429="",$I429="",$I429=0),"",$L429/$I429)</f>
        <v/>
      </c>
      <c r="O429" s="51"/>
    </row>
    <row r="430" customFormat="false" ht="15" hidden="false" customHeight="false" outlineLevel="0" collapsed="false">
      <c r="A430" s="45"/>
      <c r="B430" s="37" t="str">
        <f aca="false">IF($A430="","",WEEKNUM($A430,2))</f>
        <v/>
      </c>
      <c r="C430" s="37" t="str">
        <f aca="false">IF($A430="","",CHOOSE(WEEKDAY($A430,2),"Seg","Ter","Qua","Qui","Sex","Sáb","Dom"))</f>
        <v/>
      </c>
      <c r="D430" s="46"/>
      <c r="E430" s="47"/>
      <c r="F430" s="47"/>
      <c r="G430" s="48"/>
      <c r="H430" s="49"/>
      <c r="I430" s="50"/>
      <c r="J430" s="48"/>
      <c r="K430" s="49"/>
      <c r="L430" s="50"/>
      <c r="M430" s="43" t="str">
        <f aca="false">IF(OR($L430="",$F430=""),"",IFERROR($L430/INDEX(Cadastro!$E$6:$E$8,MATCH($F430,Cadastro!$B$6:$B$8,0)),""))</f>
        <v/>
      </c>
      <c r="N430" s="43" t="str">
        <f aca="false">IF(OR($L430="",$I430="",$I430=0),"",$L430/$I430)</f>
        <v/>
      </c>
      <c r="O430" s="51"/>
    </row>
    <row r="431" customFormat="false" ht="15" hidden="false" customHeight="false" outlineLevel="0" collapsed="false">
      <c r="A431" s="45"/>
      <c r="B431" s="37" t="str">
        <f aca="false">IF($A431="","",WEEKNUM($A431,2))</f>
        <v/>
      </c>
      <c r="C431" s="37" t="str">
        <f aca="false">IF($A431="","",CHOOSE(WEEKDAY($A431,2),"Seg","Ter","Qua","Qui","Sex","Sáb","Dom"))</f>
        <v/>
      </c>
      <c r="D431" s="46"/>
      <c r="E431" s="47"/>
      <c r="F431" s="47"/>
      <c r="G431" s="48"/>
      <c r="H431" s="49"/>
      <c r="I431" s="50"/>
      <c r="J431" s="48"/>
      <c r="K431" s="49"/>
      <c r="L431" s="50"/>
      <c r="M431" s="43" t="str">
        <f aca="false">IF(OR($L431="",$F431=""),"",IFERROR($L431/INDEX(Cadastro!$E$6:$E$8,MATCH($F431,Cadastro!$B$6:$B$8,0)),""))</f>
        <v/>
      </c>
      <c r="N431" s="43" t="str">
        <f aca="false">IF(OR($L431="",$I431="",$I431=0),"",$L431/$I431)</f>
        <v/>
      </c>
      <c r="O431" s="51"/>
    </row>
    <row r="432" customFormat="false" ht="15" hidden="false" customHeight="false" outlineLevel="0" collapsed="false">
      <c r="A432" s="45"/>
      <c r="B432" s="37" t="str">
        <f aca="false">IF($A432="","",WEEKNUM($A432,2))</f>
        <v/>
      </c>
      <c r="C432" s="37" t="str">
        <f aca="false">IF($A432="","",CHOOSE(WEEKDAY($A432,2),"Seg","Ter","Qua","Qui","Sex","Sáb","Dom"))</f>
        <v/>
      </c>
      <c r="D432" s="46"/>
      <c r="E432" s="47"/>
      <c r="F432" s="47"/>
      <c r="G432" s="48"/>
      <c r="H432" s="49"/>
      <c r="I432" s="50"/>
      <c r="J432" s="48"/>
      <c r="K432" s="49"/>
      <c r="L432" s="50"/>
      <c r="M432" s="43" t="str">
        <f aca="false">IF(OR($L432="",$F432=""),"",IFERROR($L432/INDEX(Cadastro!$E$6:$E$8,MATCH($F432,Cadastro!$B$6:$B$8,0)),""))</f>
        <v/>
      </c>
      <c r="N432" s="43" t="str">
        <f aca="false">IF(OR($L432="",$I432="",$I432=0),"",$L432/$I432)</f>
        <v/>
      </c>
      <c r="O432" s="51"/>
    </row>
    <row r="433" customFormat="false" ht="15" hidden="false" customHeight="false" outlineLevel="0" collapsed="false">
      <c r="A433" s="45"/>
      <c r="B433" s="37" t="str">
        <f aca="false">IF($A433="","",WEEKNUM($A433,2))</f>
        <v/>
      </c>
      <c r="C433" s="37" t="str">
        <f aca="false">IF($A433="","",CHOOSE(WEEKDAY($A433,2),"Seg","Ter","Qua","Qui","Sex","Sáb","Dom"))</f>
        <v/>
      </c>
      <c r="D433" s="46"/>
      <c r="E433" s="47"/>
      <c r="F433" s="47"/>
      <c r="G433" s="48"/>
      <c r="H433" s="49"/>
      <c r="I433" s="50"/>
      <c r="J433" s="48"/>
      <c r="K433" s="49"/>
      <c r="L433" s="50"/>
      <c r="M433" s="43" t="str">
        <f aca="false">IF(OR($L433="",$F433=""),"",IFERROR($L433/INDEX(Cadastro!$E$6:$E$8,MATCH($F433,Cadastro!$B$6:$B$8,0)),""))</f>
        <v/>
      </c>
      <c r="N433" s="43" t="str">
        <f aca="false">IF(OR($L433="",$I433="",$I433=0),"",$L433/$I433)</f>
        <v/>
      </c>
      <c r="O433" s="51"/>
    </row>
    <row r="434" customFormat="false" ht="15" hidden="false" customHeight="false" outlineLevel="0" collapsed="false">
      <c r="A434" s="45"/>
      <c r="B434" s="37" t="str">
        <f aca="false">IF($A434="","",WEEKNUM($A434,2))</f>
        <v/>
      </c>
      <c r="C434" s="37" t="str">
        <f aca="false">IF($A434="","",CHOOSE(WEEKDAY($A434,2),"Seg","Ter","Qua","Qui","Sex","Sáb","Dom"))</f>
        <v/>
      </c>
      <c r="D434" s="46"/>
      <c r="E434" s="47"/>
      <c r="F434" s="47"/>
      <c r="G434" s="48"/>
      <c r="H434" s="49"/>
      <c r="I434" s="50"/>
      <c r="J434" s="48"/>
      <c r="K434" s="49"/>
      <c r="L434" s="50"/>
      <c r="M434" s="43" t="str">
        <f aca="false">IF(OR($L434="",$F434=""),"",IFERROR($L434/INDEX(Cadastro!$E$6:$E$8,MATCH($F434,Cadastro!$B$6:$B$8,0)),""))</f>
        <v/>
      </c>
      <c r="N434" s="43" t="str">
        <f aca="false">IF(OR($L434="",$I434="",$I434=0),"",$L434/$I434)</f>
        <v/>
      </c>
      <c r="O434" s="51"/>
    </row>
    <row r="435" customFormat="false" ht="15" hidden="false" customHeight="false" outlineLevel="0" collapsed="false">
      <c r="A435" s="45"/>
      <c r="B435" s="37" t="str">
        <f aca="false">IF($A435="","",WEEKNUM($A435,2))</f>
        <v/>
      </c>
      <c r="C435" s="37" t="str">
        <f aca="false">IF($A435="","",CHOOSE(WEEKDAY($A435,2),"Seg","Ter","Qua","Qui","Sex","Sáb","Dom"))</f>
        <v/>
      </c>
      <c r="D435" s="46"/>
      <c r="E435" s="47"/>
      <c r="F435" s="47"/>
      <c r="G435" s="48"/>
      <c r="H435" s="49"/>
      <c r="I435" s="50"/>
      <c r="J435" s="48"/>
      <c r="K435" s="49"/>
      <c r="L435" s="50"/>
      <c r="M435" s="43" t="str">
        <f aca="false">IF(OR($L435="",$F435=""),"",IFERROR($L435/INDEX(Cadastro!$E$6:$E$8,MATCH($F435,Cadastro!$B$6:$B$8,0)),""))</f>
        <v/>
      </c>
      <c r="N435" s="43" t="str">
        <f aca="false">IF(OR($L435="",$I435="",$I435=0),"",$L435/$I435)</f>
        <v/>
      </c>
      <c r="O435" s="51"/>
    </row>
    <row r="436" customFormat="false" ht="15" hidden="false" customHeight="false" outlineLevel="0" collapsed="false">
      <c r="A436" s="45"/>
      <c r="B436" s="37" t="str">
        <f aca="false">IF($A436="","",WEEKNUM($A436,2))</f>
        <v/>
      </c>
      <c r="C436" s="37" t="str">
        <f aca="false">IF($A436="","",CHOOSE(WEEKDAY($A436,2),"Seg","Ter","Qua","Qui","Sex","Sáb","Dom"))</f>
        <v/>
      </c>
      <c r="D436" s="46"/>
      <c r="E436" s="47"/>
      <c r="F436" s="47"/>
      <c r="G436" s="48"/>
      <c r="H436" s="49"/>
      <c r="I436" s="50"/>
      <c r="J436" s="48"/>
      <c r="K436" s="49"/>
      <c r="L436" s="50"/>
      <c r="M436" s="43" t="str">
        <f aca="false">IF(OR($L436="",$F436=""),"",IFERROR($L436/INDEX(Cadastro!$E$6:$E$8,MATCH($F436,Cadastro!$B$6:$B$8,0)),""))</f>
        <v/>
      </c>
      <c r="N436" s="43" t="str">
        <f aca="false">IF(OR($L436="",$I436="",$I436=0),"",$L436/$I436)</f>
        <v/>
      </c>
      <c r="O436" s="51"/>
    </row>
    <row r="437" customFormat="false" ht="15" hidden="false" customHeight="false" outlineLevel="0" collapsed="false">
      <c r="A437" s="45"/>
      <c r="B437" s="37" t="str">
        <f aca="false">IF($A437="","",WEEKNUM($A437,2))</f>
        <v/>
      </c>
      <c r="C437" s="37" t="str">
        <f aca="false">IF($A437="","",CHOOSE(WEEKDAY($A437,2),"Seg","Ter","Qua","Qui","Sex","Sáb","Dom"))</f>
        <v/>
      </c>
      <c r="D437" s="46"/>
      <c r="E437" s="47"/>
      <c r="F437" s="47"/>
      <c r="G437" s="48"/>
      <c r="H437" s="49"/>
      <c r="I437" s="50"/>
      <c r="J437" s="48"/>
      <c r="K437" s="49"/>
      <c r="L437" s="50"/>
      <c r="M437" s="43" t="str">
        <f aca="false">IF(OR($L437="",$F437=""),"",IFERROR($L437/INDEX(Cadastro!$E$6:$E$8,MATCH($F437,Cadastro!$B$6:$B$8,0)),""))</f>
        <v/>
      </c>
      <c r="N437" s="43" t="str">
        <f aca="false">IF(OR($L437="",$I437="",$I437=0),"",$L437/$I437)</f>
        <v/>
      </c>
      <c r="O437" s="51"/>
    </row>
    <row r="438" customFormat="false" ht="15" hidden="false" customHeight="false" outlineLevel="0" collapsed="false">
      <c r="A438" s="45"/>
      <c r="B438" s="37" t="str">
        <f aca="false">IF($A438="","",WEEKNUM($A438,2))</f>
        <v/>
      </c>
      <c r="C438" s="37" t="str">
        <f aca="false">IF($A438="","",CHOOSE(WEEKDAY($A438,2),"Seg","Ter","Qua","Qui","Sex","Sáb","Dom"))</f>
        <v/>
      </c>
      <c r="D438" s="46"/>
      <c r="E438" s="47"/>
      <c r="F438" s="47"/>
      <c r="G438" s="48"/>
      <c r="H438" s="49"/>
      <c r="I438" s="50"/>
      <c r="J438" s="48"/>
      <c r="K438" s="49"/>
      <c r="L438" s="50"/>
      <c r="M438" s="43" t="str">
        <f aca="false">IF(OR($L438="",$F438=""),"",IFERROR($L438/INDEX(Cadastro!$E$6:$E$8,MATCH($F438,Cadastro!$B$6:$B$8,0)),""))</f>
        <v/>
      </c>
      <c r="N438" s="43" t="str">
        <f aca="false">IF(OR($L438="",$I438="",$I438=0),"",$L438/$I438)</f>
        <v/>
      </c>
      <c r="O438" s="51"/>
    </row>
    <row r="439" customFormat="false" ht="15" hidden="false" customHeight="false" outlineLevel="0" collapsed="false">
      <c r="A439" s="45"/>
      <c r="B439" s="37" t="str">
        <f aca="false">IF($A439="","",WEEKNUM($A439,2))</f>
        <v/>
      </c>
      <c r="C439" s="37" t="str">
        <f aca="false">IF($A439="","",CHOOSE(WEEKDAY($A439,2),"Seg","Ter","Qua","Qui","Sex","Sáb","Dom"))</f>
        <v/>
      </c>
      <c r="D439" s="46"/>
      <c r="E439" s="47"/>
      <c r="F439" s="47"/>
      <c r="G439" s="48"/>
      <c r="H439" s="49"/>
      <c r="I439" s="50"/>
      <c r="J439" s="48"/>
      <c r="K439" s="49"/>
      <c r="L439" s="50"/>
      <c r="M439" s="43" t="str">
        <f aca="false">IF(OR($L439="",$F439=""),"",IFERROR($L439/INDEX(Cadastro!$E$6:$E$8,MATCH($F439,Cadastro!$B$6:$B$8,0)),""))</f>
        <v/>
      </c>
      <c r="N439" s="43" t="str">
        <f aca="false">IF(OR($L439="",$I439="",$I439=0),"",$L439/$I439)</f>
        <v/>
      </c>
      <c r="O439" s="51"/>
    </row>
    <row r="440" customFormat="false" ht="15" hidden="false" customHeight="false" outlineLevel="0" collapsed="false">
      <c r="A440" s="45"/>
      <c r="B440" s="37" t="str">
        <f aca="false">IF($A440="","",WEEKNUM($A440,2))</f>
        <v/>
      </c>
      <c r="C440" s="37" t="str">
        <f aca="false">IF($A440="","",CHOOSE(WEEKDAY($A440,2),"Seg","Ter","Qua","Qui","Sex","Sáb","Dom"))</f>
        <v/>
      </c>
      <c r="D440" s="46"/>
      <c r="E440" s="47"/>
      <c r="F440" s="47"/>
      <c r="G440" s="48"/>
      <c r="H440" s="49"/>
      <c r="I440" s="50"/>
      <c r="J440" s="48"/>
      <c r="K440" s="49"/>
      <c r="L440" s="50"/>
      <c r="M440" s="43" t="str">
        <f aca="false">IF(OR($L440="",$F440=""),"",IFERROR($L440/INDEX(Cadastro!$E$6:$E$8,MATCH($F440,Cadastro!$B$6:$B$8,0)),""))</f>
        <v/>
      </c>
      <c r="N440" s="43" t="str">
        <f aca="false">IF(OR($L440="",$I440="",$I440=0),"",$L440/$I440)</f>
        <v/>
      </c>
      <c r="O440" s="51"/>
    </row>
    <row r="441" customFormat="false" ht="15" hidden="false" customHeight="false" outlineLevel="0" collapsed="false">
      <c r="A441" s="45"/>
      <c r="B441" s="37" t="str">
        <f aca="false">IF($A441="","",WEEKNUM($A441,2))</f>
        <v/>
      </c>
      <c r="C441" s="37" t="str">
        <f aca="false">IF($A441="","",CHOOSE(WEEKDAY($A441,2),"Seg","Ter","Qua","Qui","Sex","Sáb","Dom"))</f>
        <v/>
      </c>
      <c r="D441" s="46"/>
      <c r="E441" s="47"/>
      <c r="F441" s="47"/>
      <c r="G441" s="48"/>
      <c r="H441" s="49"/>
      <c r="I441" s="50"/>
      <c r="J441" s="48"/>
      <c r="K441" s="49"/>
      <c r="L441" s="50"/>
      <c r="M441" s="43" t="str">
        <f aca="false">IF(OR($L441="",$F441=""),"",IFERROR($L441/INDEX(Cadastro!$E$6:$E$8,MATCH($F441,Cadastro!$B$6:$B$8,0)),""))</f>
        <v/>
      </c>
      <c r="N441" s="43" t="str">
        <f aca="false">IF(OR($L441="",$I441="",$I441=0),"",$L441/$I441)</f>
        <v/>
      </c>
      <c r="O441" s="51"/>
    </row>
    <row r="442" customFormat="false" ht="15" hidden="false" customHeight="false" outlineLevel="0" collapsed="false">
      <c r="A442" s="45"/>
      <c r="B442" s="37" t="str">
        <f aca="false">IF($A442="","",WEEKNUM($A442,2))</f>
        <v/>
      </c>
      <c r="C442" s="37" t="str">
        <f aca="false">IF($A442="","",CHOOSE(WEEKDAY($A442,2),"Seg","Ter","Qua","Qui","Sex","Sáb","Dom"))</f>
        <v/>
      </c>
      <c r="D442" s="46"/>
      <c r="E442" s="47"/>
      <c r="F442" s="47"/>
      <c r="G442" s="48"/>
      <c r="H442" s="49"/>
      <c r="I442" s="50"/>
      <c r="J442" s="48"/>
      <c r="K442" s="49"/>
      <c r="L442" s="50"/>
      <c r="M442" s="43" t="str">
        <f aca="false">IF(OR($L442="",$F442=""),"",IFERROR($L442/INDEX(Cadastro!$E$6:$E$8,MATCH($F442,Cadastro!$B$6:$B$8,0)),""))</f>
        <v/>
      </c>
      <c r="N442" s="43" t="str">
        <f aca="false">IF(OR($L442="",$I442="",$I442=0),"",$L442/$I442)</f>
        <v/>
      </c>
      <c r="O442" s="51"/>
    </row>
    <row r="443" customFormat="false" ht="15" hidden="false" customHeight="false" outlineLevel="0" collapsed="false">
      <c r="A443" s="45"/>
      <c r="B443" s="37" t="str">
        <f aca="false">IF($A443="","",WEEKNUM($A443,2))</f>
        <v/>
      </c>
      <c r="C443" s="37" t="str">
        <f aca="false">IF($A443="","",CHOOSE(WEEKDAY($A443,2),"Seg","Ter","Qua","Qui","Sex","Sáb","Dom"))</f>
        <v/>
      </c>
      <c r="D443" s="46"/>
      <c r="E443" s="47"/>
      <c r="F443" s="47"/>
      <c r="G443" s="48"/>
      <c r="H443" s="49"/>
      <c r="I443" s="50"/>
      <c r="J443" s="48"/>
      <c r="K443" s="49"/>
      <c r="L443" s="50"/>
      <c r="M443" s="43" t="str">
        <f aca="false">IF(OR($L443="",$F443=""),"",IFERROR($L443/INDEX(Cadastro!$E$6:$E$8,MATCH($F443,Cadastro!$B$6:$B$8,0)),""))</f>
        <v/>
      </c>
      <c r="N443" s="43" t="str">
        <f aca="false">IF(OR($L443="",$I443="",$I443=0),"",$L443/$I443)</f>
        <v/>
      </c>
      <c r="O443" s="51"/>
    </row>
    <row r="444" customFormat="false" ht="15" hidden="false" customHeight="false" outlineLevel="0" collapsed="false">
      <c r="A444" s="45"/>
      <c r="B444" s="37" t="str">
        <f aca="false">IF($A444="","",WEEKNUM($A444,2))</f>
        <v/>
      </c>
      <c r="C444" s="37" t="str">
        <f aca="false">IF($A444="","",CHOOSE(WEEKDAY($A444,2),"Seg","Ter","Qua","Qui","Sex","Sáb","Dom"))</f>
        <v/>
      </c>
      <c r="D444" s="46"/>
      <c r="E444" s="47"/>
      <c r="F444" s="47"/>
      <c r="G444" s="48"/>
      <c r="H444" s="49"/>
      <c r="I444" s="50"/>
      <c r="J444" s="48"/>
      <c r="K444" s="49"/>
      <c r="L444" s="50"/>
      <c r="M444" s="43" t="str">
        <f aca="false">IF(OR($L444="",$F444=""),"",IFERROR($L444/INDEX(Cadastro!$E$6:$E$8,MATCH($F444,Cadastro!$B$6:$B$8,0)),""))</f>
        <v/>
      </c>
      <c r="N444" s="43" t="str">
        <f aca="false">IF(OR($L444="",$I444="",$I444=0),"",$L444/$I444)</f>
        <v/>
      </c>
      <c r="O444" s="51"/>
    </row>
    <row r="445" customFormat="false" ht="15" hidden="false" customHeight="false" outlineLevel="0" collapsed="false">
      <c r="A445" s="45"/>
      <c r="B445" s="37" t="str">
        <f aca="false">IF($A445="","",WEEKNUM($A445,2))</f>
        <v/>
      </c>
      <c r="C445" s="37" t="str">
        <f aca="false">IF($A445="","",CHOOSE(WEEKDAY($A445,2),"Seg","Ter","Qua","Qui","Sex","Sáb","Dom"))</f>
        <v/>
      </c>
      <c r="D445" s="46"/>
      <c r="E445" s="47"/>
      <c r="F445" s="47"/>
      <c r="G445" s="48"/>
      <c r="H445" s="49"/>
      <c r="I445" s="50"/>
      <c r="J445" s="48"/>
      <c r="K445" s="49"/>
      <c r="L445" s="50"/>
      <c r="M445" s="43" t="str">
        <f aca="false">IF(OR($L445="",$F445=""),"",IFERROR($L445/INDEX(Cadastro!$E$6:$E$8,MATCH($F445,Cadastro!$B$6:$B$8,0)),""))</f>
        <v/>
      </c>
      <c r="N445" s="43" t="str">
        <f aca="false">IF(OR($L445="",$I445="",$I445=0),"",$L445/$I445)</f>
        <v/>
      </c>
      <c r="O445" s="51"/>
    </row>
    <row r="446" customFormat="false" ht="15" hidden="false" customHeight="false" outlineLevel="0" collapsed="false">
      <c r="A446" s="45"/>
      <c r="B446" s="37" t="str">
        <f aca="false">IF($A446="","",WEEKNUM($A446,2))</f>
        <v/>
      </c>
      <c r="C446" s="37" t="str">
        <f aca="false">IF($A446="","",CHOOSE(WEEKDAY($A446,2),"Seg","Ter","Qua","Qui","Sex","Sáb","Dom"))</f>
        <v/>
      </c>
      <c r="D446" s="46"/>
      <c r="E446" s="47"/>
      <c r="F446" s="47"/>
      <c r="G446" s="48"/>
      <c r="H446" s="49"/>
      <c r="I446" s="50"/>
      <c r="J446" s="48"/>
      <c r="K446" s="49"/>
      <c r="L446" s="50"/>
      <c r="M446" s="43" t="str">
        <f aca="false">IF(OR($L446="",$F446=""),"",IFERROR($L446/INDEX(Cadastro!$E$6:$E$8,MATCH($F446,Cadastro!$B$6:$B$8,0)),""))</f>
        <v/>
      </c>
      <c r="N446" s="43" t="str">
        <f aca="false">IF(OR($L446="",$I446="",$I446=0),"",$L446/$I446)</f>
        <v/>
      </c>
      <c r="O446" s="51"/>
    </row>
    <row r="447" customFormat="false" ht="15" hidden="false" customHeight="false" outlineLevel="0" collapsed="false">
      <c r="A447" s="45"/>
      <c r="B447" s="37" t="str">
        <f aca="false">IF($A447="","",WEEKNUM($A447,2))</f>
        <v/>
      </c>
      <c r="C447" s="37" t="str">
        <f aca="false">IF($A447="","",CHOOSE(WEEKDAY($A447,2),"Seg","Ter","Qua","Qui","Sex","Sáb","Dom"))</f>
        <v/>
      </c>
      <c r="D447" s="46"/>
      <c r="E447" s="47"/>
      <c r="F447" s="47"/>
      <c r="G447" s="48"/>
      <c r="H447" s="49"/>
      <c r="I447" s="50"/>
      <c r="J447" s="48"/>
      <c r="K447" s="49"/>
      <c r="L447" s="50"/>
      <c r="M447" s="43" t="str">
        <f aca="false">IF(OR($L447="",$F447=""),"",IFERROR($L447/INDEX(Cadastro!$E$6:$E$8,MATCH($F447,Cadastro!$B$6:$B$8,0)),""))</f>
        <v/>
      </c>
      <c r="N447" s="43" t="str">
        <f aca="false">IF(OR($L447="",$I447="",$I447=0),"",$L447/$I447)</f>
        <v/>
      </c>
      <c r="O447" s="51"/>
    </row>
    <row r="448" customFormat="false" ht="15" hidden="false" customHeight="false" outlineLevel="0" collapsed="false">
      <c r="A448" s="45"/>
      <c r="B448" s="37" t="str">
        <f aca="false">IF($A448="","",WEEKNUM($A448,2))</f>
        <v/>
      </c>
      <c r="C448" s="37" t="str">
        <f aca="false">IF($A448="","",CHOOSE(WEEKDAY($A448,2),"Seg","Ter","Qua","Qui","Sex","Sáb","Dom"))</f>
        <v/>
      </c>
      <c r="D448" s="46"/>
      <c r="E448" s="47"/>
      <c r="F448" s="47"/>
      <c r="G448" s="48"/>
      <c r="H448" s="49"/>
      <c r="I448" s="50"/>
      <c r="J448" s="48"/>
      <c r="K448" s="49"/>
      <c r="L448" s="50"/>
      <c r="M448" s="43" t="str">
        <f aca="false">IF(OR($L448="",$F448=""),"",IFERROR($L448/INDEX(Cadastro!$E$6:$E$8,MATCH($F448,Cadastro!$B$6:$B$8,0)),""))</f>
        <v/>
      </c>
      <c r="N448" s="43" t="str">
        <f aca="false">IF(OR($L448="",$I448="",$I448=0),"",$L448/$I448)</f>
        <v/>
      </c>
      <c r="O448" s="51"/>
    </row>
    <row r="449" customFormat="false" ht="15" hidden="false" customHeight="false" outlineLevel="0" collapsed="false">
      <c r="A449" s="45"/>
      <c r="B449" s="37" t="str">
        <f aca="false">IF($A449="","",WEEKNUM($A449,2))</f>
        <v/>
      </c>
      <c r="C449" s="37" t="str">
        <f aca="false">IF($A449="","",CHOOSE(WEEKDAY($A449,2),"Seg","Ter","Qua","Qui","Sex","Sáb","Dom"))</f>
        <v/>
      </c>
      <c r="D449" s="46"/>
      <c r="E449" s="47"/>
      <c r="F449" s="47"/>
      <c r="G449" s="48"/>
      <c r="H449" s="49"/>
      <c r="I449" s="50"/>
      <c r="J449" s="48"/>
      <c r="K449" s="49"/>
      <c r="L449" s="50"/>
      <c r="M449" s="43" t="str">
        <f aca="false">IF(OR($L449="",$F449=""),"",IFERROR($L449/INDEX(Cadastro!$E$6:$E$8,MATCH($F449,Cadastro!$B$6:$B$8,0)),""))</f>
        <v/>
      </c>
      <c r="N449" s="43" t="str">
        <f aca="false">IF(OR($L449="",$I449="",$I449=0),"",$L449/$I449)</f>
        <v/>
      </c>
      <c r="O449" s="51"/>
    </row>
    <row r="450" customFormat="false" ht="15" hidden="false" customHeight="false" outlineLevel="0" collapsed="false">
      <c r="A450" s="45"/>
      <c r="B450" s="37" t="str">
        <f aca="false">IF($A450="","",WEEKNUM($A450,2))</f>
        <v/>
      </c>
      <c r="C450" s="37" t="str">
        <f aca="false">IF($A450="","",CHOOSE(WEEKDAY($A450,2),"Seg","Ter","Qua","Qui","Sex","Sáb","Dom"))</f>
        <v/>
      </c>
      <c r="D450" s="46"/>
      <c r="E450" s="47"/>
      <c r="F450" s="47"/>
      <c r="G450" s="48"/>
      <c r="H450" s="49"/>
      <c r="I450" s="50"/>
      <c r="J450" s="48"/>
      <c r="K450" s="49"/>
      <c r="L450" s="50"/>
      <c r="M450" s="43" t="str">
        <f aca="false">IF(OR($L450="",$F450=""),"",IFERROR($L450/INDEX(Cadastro!$E$6:$E$8,MATCH($F450,Cadastro!$B$6:$B$8,0)),""))</f>
        <v/>
      </c>
      <c r="N450" s="43" t="str">
        <f aca="false">IF(OR($L450="",$I450="",$I450=0),"",$L450/$I450)</f>
        <v/>
      </c>
      <c r="O450" s="51"/>
    </row>
    <row r="451" customFormat="false" ht="15" hidden="false" customHeight="false" outlineLevel="0" collapsed="false">
      <c r="A451" s="45"/>
      <c r="B451" s="37" t="str">
        <f aca="false">IF($A451="","",WEEKNUM($A451,2))</f>
        <v/>
      </c>
      <c r="C451" s="37" t="str">
        <f aca="false">IF($A451="","",CHOOSE(WEEKDAY($A451,2),"Seg","Ter","Qua","Qui","Sex","Sáb","Dom"))</f>
        <v/>
      </c>
      <c r="D451" s="46"/>
      <c r="E451" s="47"/>
      <c r="F451" s="47"/>
      <c r="G451" s="48"/>
      <c r="H451" s="49"/>
      <c r="I451" s="50"/>
      <c r="J451" s="48"/>
      <c r="K451" s="49"/>
      <c r="L451" s="50"/>
      <c r="M451" s="43" t="str">
        <f aca="false">IF(OR($L451="",$F451=""),"",IFERROR($L451/INDEX(Cadastro!$E$6:$E$8,MATCH($F451,Cadastro!$B$6:$B$8,0)),""))</f>
        <v/>
      </c>
      <c r="N451" s="43" t="str">
        <f aca="false">IF(OR($L451="",$I451="",$I451=0),"",$L451/$I451)</f>
        <v/>
      </c>
      <c r="O451" s="51"/>
    </row>
    <row r="452" customFormat="false" ht="15" hidden="false" customHeight="false" outlineLevel="0" collapsed="false">
      <c r="A452" s="45"/>
      <c r="B452" s="37" t="str">
        <f aca="false">IF($A452="","",WEEKNUM($A452,2))</f>
        <v/>
      </c>
      <c r="C452" s="37" t="str">
        <f aca="false">IF($A452="","",CHOOSE(WEEKDAY($A452,2),"Seg","Ter","Qua","Qui","Sex","Sáb","Dom"))</f>
        <v/>
      </c>
      <c r="D452" s="46"/>
      <c r="E452" s="47"/>
      <c r="F452" s="47"/>
      <c r="G452" s="48"/>
      <c r="H452" s="49"/>
      <c r="I452" s="50"/>
      <c r="J452" s="48"/>
      <c r="K452" s="49"/>
      <c r="L452" s="50"/>
      <c r="M452" s="43" t="str">
        <f aca="false">IF(OR($L452="",$F452=""),"",IFERROR($L452/INDEX(Cadastro!$E$6:$E$8,MATCH($F452,Cadastro!$B$6:$B$8,0)),""))</f>
        <v/>
      </c>
      <c r="N452" s="43" t="str">
        <f aca="false">IF(OR($L452="",$I452="",$I452=0),"",$L452/$I452)</f>
        <v/>
      </c>
      <c r="O452" s="51"/>
    </row>
    <row r="453" customFormat="false" ht="15" hidden="false" customHeight="false" outlineLevel="0" collapsed="false">
      <c r="A453" s="45"/>
      <c r="B453" s="37" t="str">
        <f aca="false">IF($A453="","",WEEKNUM($A453,2))</f>
        <v/>
      </c>
      <c r="C453" s="37" t="str">
        <f aca="false">IF($A453="","",CHOOSE(WEEKDAY($A453,2),"Seg","Ter","Qua","Qui","Sex","Sáb","Dom"))</f>
        <v/>
      </c>
      <c r="D453" s="46"/>
      <c r="E453" s="47"/>
      <c r="F453" s="47"/>
      <c r="G453" s="48"/>
      <c r="H453" s="49"/>
      <c r="I453" s="50"/>
      <c r="J453" s="48"/>
      <c r="K453" s="49"/>
      <c r="L453" s="50"/>
      <c r="M453" s="43" t="str">
        <f aca="false">IF(OR($L453="",$F453=""),"",IFERROR($L453/INDEX(Cadastro!$E$6:$E$8,MATCH($F453,Cadastro!$B$6:$B$8,0)),""))</f>
        <v/>
      </c>
      <c r="N453" s="43" t="str">
        <f aca="false">IF(OR($L453="",$I453="",$I453=0),"",$L453/$I453)</f>
        <v/>
      </c>
      <c r="O453" s="51"/>
    </row>
    <row r="454" customFormat="false" ht="15" hidden="false" customHeight="false" outlineLevel="0" collapsed="false">
      <c r="A454" s="45"/>
      <c r="B454" s="37" t="str">
        <f aca="false">IF($A454="","",WEEKNUM($A454,2))</f>
        <v/>
      </c>
      <c r="C454" s="37" t="str">
        <f aca="false">IF($A454="","",CHOOSE(WEEKDAY($A454,2),"Seg","Ter","Qua","Qui","Sex","Sáb","Dom"))</f>
        <v/>
      </c>
      <c r="D454" s="46"/>
      <c r="E454" s="47"/>
      <c r="F454" s="47"/>
      <c r="G454" s="48"/>
      <c r="H454" s="49"/>
      <c r="I454" s="50"/>
      <c r="J454" s="48"/>
      <c r="K454" s="49"/>
      <c r="L454" s="50"/>
      <c r="M454" s="43" t="str">
        <f aca="false">IF(OR($L454="",$F454=""),"",IFERROR($L454/INDEX(Cadastro!$E$6:$E$8,MATCH($F454,Cadastro!$B$6:$B$8,0)),""))</f>
        <v/>
      </c>
      <c r="N454" s="43" t="str">
        <f aca="false">IF(OR($L454="",$I454="",$I454=0),"",$L454/$I454)</f>
        <v/>
      </c>
      <c r="O454" s="51"/>
    </row>
    <row r="455" customFormat="false" ht="15" hidden="false" customHeight="false" outlineLevel="0" collapsed="false">
      <c r="A455" s="45"/>
      <c r="B455" s="37" t="str">
        <f aca="false">IF($A455="","",WEEKNUM($A455,2))</f>
        <v/>
      </c>
      <c r="C455" s="37" t="str">
        <f aca="false">IF($A455="","",CHOOSE(WEEKDAY($A455,2),"Seg","Ter","Qua","Qui","Sex","Sáb","Dom"))</f>
        <v/>
      </c>
      <c r="D455" s="46"/>
      <c r="E455" s="47"/>
      <c r="F455" s="47"/>
      <c r="G455" s="48"/>
      <c r="H455" s="49"/>
      <c r="I455" s="50"/>
      <c r="J455" s="48"/>
      <c r="K455" s="49"/>
      <c r="L455" s="50"/>
      <c r="M455" s="43" t="str">
        <f aca="false">IF(OR($L455="",$F455=""),"",IFERROR($L455/INDEX(Cadastro!$E$6:$E$8,MATCH($F455,Cadastro!$B$6:$B$8,0)),""))</f>
        <v/>
      </c>
      <c r="N455" s="43" t="str">
        <f aca="false">IF(OR($L455="",$I455="",$I455=0),"",$L455/$I455)</f>
        <v/>
      </c>
      <c r="O455" s="51"/>
    </row>
    <row r="456" customFormat="false" ht="15" hidden="false" customHeight="false" outlineLevel="0" collapsed="false">
      <c r="A456" s="45"/>
      <c r="B456" s="37" t="str">
        <f aca="false">IF($A456="","",WEEKNUM($A456,2))</f>
        <v/>
      </c>
      <c r="C456" s="37" t="str">
        <f aca="false">IF($A456="","",CHOOSE(WEEKDAY($A456,2),"Seg","Ter","Qua","Qui","Sex","Sáb","Dom"))</f>
        <v/>
      </c>
      <c r="D456" s="46"/>
      <c r="E456" s="47"/>
      <c r="F456" s="47"/>
      <c r="G456" s="48"/>
      <c r="H456" s="49"/>
      <c r="I456" s="50"/>
      <c r="J456" s="48"/>
      <c r="K456" s="49"/>
      <c r="L456" s="50"/>
      <c r="M456" s="43" t="str">
        <f aca="false">IF(OR($L456="",$F456=""),"",IFERROR($L456/INDEX(Cadastro!$E$6:$E$8,MATCH($F456,Cadastro!$B$6:$B$8,0)),""))</f>
        <v/>
      </c>
      <c r="N456" s="43" t="str">
        <f aca="false">IF(OR($L456="",$I456="",$I456=0),"",$L456/$I456)</f>
        <v/>
      </c>
      <c r="O456" s="51"/>
    </row>
    <row r="457" customFormat="false" ht="15" hidden="false" customHeight="false" outlineLevel="0" collapsed="false">
      <c r="A457" s="45"/>
      <c r="B457" s="37" t="str">
        <f aca="false">IF($A457="","",WEEKNUM($A457,2))</f>
        <v/>
      </c>
      <c r="C457" s="37" t="str">
        <f aca="false">IF($A457="","",CHOOSE(WEEKDAY($A457,2),"Seg","Ter","Qua","Qui","Sex","Sáb","Dom"))</f>
        <v/>
      </c>
      <c r="D457" s="46"/>
      <c r="E457" s="47"/>
      <c r="F457" s="47"/>
      <c r="G457" s="48"/>
      <c r="H457" s="49"/>
      <c r="I457" s="50"/>
      <c r="J457" s="48"/>
      <c r="K457" s="49"/>
      <c r="L457" s="50"/>
      <c r="M457" s="43" t="str">
        <f aca="false">IF(OR($L457="",$F457=""),"",IFERROR($L457/INDEX(Cadastro!$E$6:$E$8,MATCH($F457,Cadastro!$B$6:$B$8,0)),""))</f>
        <v/>
      </c>
      <c r="N457" s="43" t="str">
        <f aca="false">IF(OR($L457="",$I457="",$I457=0),"",$L457/$I457)</f>
        <v/>
      </c>
      <c r="O457" s="51"/>
    </row>
    <row r="458" customFormat="false" ht="15" hidden="false" customHeight="false" outlineLevel="0" collapsed="false">
      <c r="A458" s="45"/>
      <c r="B458" s="37" t="str">
        <f aca="false">IF($A458="","",WEEKNUM($A458,2))</f>
        <v/>
      </c>
      <c r="C458" s="37" t="str">
        <f aca="false">IF($A458="","",CHOOSE(WEEKDAY($A458,2),"Seg","Ter","Qua","Qui","Sex","Sáb","Dom"))</f>
        <v/>
      </c>
      <c r="D458" s="46"/>
      <c r="E458" s="47"/>
      <c r="F458" s="47"/>
      <c r="G458" s="48"/>
      <c r="H458" s="49"/>
      <c r="I458" s="50"/>
      <c r="J458" s="48"/>
      <c r="K458" s="49"/>
      <c r="L458" s="50"/>
      <c r="M458" s="43" t="str">
        <f aca="false">IF(OR($L458="",$F458=""),"",IFERROR($L458/INDEX(Cadastro!$E$6:$E$8,MATCH($F458,Cadastro!$B$6:$B$8,0)),""))</f>
        <v/>
      </c>
      <c r="N458" s="43" t="str">
        <f aca="false">IF(OR($L458="",$I458="",$I458=0),"",$L458/$I458)</f>
        <v/>
      </c>
      <c r="O458" s="51"/>
    </row>
    <row r="459" customFormat="false" ht="15" hidden="false" customHeight="false" outlineLevel="0" collapsed="false">
      <c r="A459" s="45"/>
      <c r="B459" s="37" t="str">
        <f aca="false">IF($A459="","",WEEKNUM($A459,2))</f>
        <v/>
      </c>
      <c r="C459" s="37" t="str">
        <f aca="false">IF($A459="","",CHOOSE(WEEKDAY($A459,2),"Seg","Ter","Qua","Qui","Sex","Sáb","Dom"))</f>
        <v/>
      </c>
      <c r="D459" s="46"/>
      <c r="E459" s="47"/>
      <c r="F459" s="47"/>
      <c r="G459" s="48"/>
      <c r="H459" s="49"/>
      <c r="I459" s="50"/>
      <c r="J459" s="48"/>
      <c r="K459" s="49"/>
      <c r="L459" s="50"/>
      <c r="M459" s="43" t="str">
        <f aca="false">IF(OR($L459="",$F459=""),"",IFERROR($L459/INDEX(Cadastro!$E$6:$E$8,MATCH($F459,Cadastro!$B$6:$B$8,0)),""))</f>
        <v/>
      </c>
      <c r="N459" s="43" t="str">
        <f aca="false">IF(OR($L459="",$I459="",$I459=0),"",$L459/$I459)</f>
        <v/>
      </c>
      <c r="O459" s="51"/>
    </row>
    <row r="460" customFormat="false" ht="15" hidden="false" customHeight="false" outlineLevel="0" collapsed="false">
      <c r="A460" s="45"/>
      <c r="B460" s="37" t="str">
        <f aca="false">IF($A460="","",WEEKNUM($A460,2))</f>
        <v/>
      </c>
      <c r="C460" s="37" t="str">
        <f aca="false">IF($A460="","",CHOOSE(WEEKDAY($A460,2),"Seg","Ter","Qua","Qui","Sex","Sáb","Dom"))</f>
        <v/>
      </c>
      <c r="D460" s="46"/>
      <c r="E460" s="47"/>
      <c r="F460" s="47"/>
      <c r="G460" s="48"/>
      <c r="H460" s="49"/>
      <c r="I460" s="50"/>
      <c r="J460" s="48"/>
      <c r="K460" s="49"/>
      <c r="L460" s="50"/>
      <c r="M460" s="43" t="str">
        <f aca="false">IF(OR($L460="",$F460=""),"",IFERROR($L460/INDEX(Cadastro!$E$6:$E$8,MATCH($F460,Cadastro!$B$6:$B$8,0)),""))</f>
        <v/>
      </c>
      <c r="N460" s="43" t="str">
        <f aca="false">IF(OR($L460="",$I460="",$I460=0),"",$L460/$I460)</f>
        <v/>
      </c>
      <c r="O460" s="51"/>
    </row>
    <row r="461" customFormat="false" ht="15" hidden="false" customHeight="false" outlineLevel="0" collapsed="false">
      <c r="A461" s="45"/>
      <c r="B461" s="37" t="str">
        <f aca="false">IF($A461="","",WEEKNUM($A461,2))</f>
        <v/>
      </c>
      <c r="C461" s="37" t="str">
        <f aca="false">IF($A461="","",CHOOSE(WEEKDAY($A461,2),"Seg","Ter","Qua","Qui","Sex","Sáb","Dom"))</f>
        <v/>
      </c>
      <c r="D461" s="46"/>
      <c r="E461" s="47"/>
      <c r="F461" s="47"/>
      <c r="G461" s="48"/>
      <c r="H461" s="49"/>
      <c r="I461" s="50"/>
      <c r="J461" s="48"/>
      <c r="K461" s="49"/>
      <c r="L461" s="50"/>
      <c r="M461" s="43" t="str">
        <f aca="false">IF(OR($L461="",$F461=""),"",IFERROR($L461/INDEX(Cadastro!$E$6:$E$8,MATCH($F461,Cadastro!$B$6:$B$8,0)),""))</f>
        <v/>
      </c>
      <c r="N461" s="43" t="str">
        <f aca="false">IF(OR($L461="",$I461="",$I461=0),"",$L461/$I461)</f>
        <v/>
      </c>
      <c r="O461" s="51"/>
    </row>
    <row r="462" customFormat="false" ht="15" hidden="false" customHeight="false" outlineLevel="0" collapsed="false">
      <c r="A462" s="45"/>
      <c r="B462" s="37" t="str">
        <f aca="false">IF($A462="","",WEEKNUM($A462,2))</f>
        <v/>
      </c>
      <c r="C462" s="37" t="str">
        <f aca="false">IF($A462="","",CHOOSE(WEEKDAY($A462,2),"Seg","Ter","Qua","Qui","Sex","Sáb","Dom"))</f>
        <v/>
      </c>
      <c r="D462" s="46"/>
      <c r="E462" s="47"/>
      <c r="F462" s="47"/>
      <c r="G462" s="48"/>
      <c r="H462" s="49"/>
      <c r="I462" s="50"/>
      <c r="J462" s="48"/>
      <c r="K462" s="49"/>
      <c r="L462" s="50"/>
      <c r="M462" s="43" t="str">
        <f aca="false">IF(OR($L462="",$F462=""),"",IFERROR($L462/INDEX(Cadastro!$E$6:$E$8,MATCH($F462,Cadastro!$B$6:$B$8,0)),""))</f>
        <v/>
      </c>
      <c r="N462" s="43" t="str">
        <f aca="false">IF(OR($L462="",$I462="",$I462=0),"",$L462/$I462)</f>
        <v/>
      </c>
      <c r="O462" s="51"/>
    </row>
    <row r="463" customFormat="false" ht="15" hidden="false" customHeight="false" outlineLevel="0" collapsed="false">
      <c r="A463" s="45"/>
      <c r="B463" s="37" t="str">
        <f aca="false">IF($A463="","",WEEKNUM($A463,2))</f>
        <v/>
      </c>
      <c r="C463" s="37" t="str">
        <f aca="false">IF($A463="","",CHOOSE(WEEKDAY($A463,2),"Seg","Ter","Qua","Qui","Sex","Sáb","Dom"))</f>
        <v/>
      </c>
      <c r="D463" s="46"/>
      <c r="E463" s="47"/>
      <c r="F463" s="47"/>
      <c r="G463" s="48"/>
      <c r="H463" s="49"/>
      <c r="I463" s="50"/>
      <c r="J463" s="48"/>
      <c r="K463" s="49"/>
      <c r="L463" s="50"/>
      <c r="M463" s="43" t="str">
        <f aca="false">IF(OR($L463="",$F463=""),"",IFERROR($L463/INDEX(Cadastro!$E$6:$E$8,MATCH($F463,Cadastro!$B$6:$B$8,0)),""))</f>
        <v/>
      </c>
      <c r="N463" s="43" t="str">
        <f aca="false">IF(OR($L463="",$I463="",$I463=0),"",$L463/$I463)</f>
        <v/>
      </c>
      <c r="O463" s="51"/>
    </row>
    <row r="464" customFormat="false" ht="15" hidden="false" customHeight="false" outlineLevel="0" collapsed="false">
      <c r="A464" s="45"/>
      <c r="B464" s="37" t="str">
        <f aca="false">IF($A464="","",WEEKNUM($A464,2))</f>
        <v/>
      </c>
      <c r="C464" s="37" t="str">
        <f aca="false">IF($A464="","",CHOOSE(WEEKDAY($A464,2),"Seg","Ter","Qua","Qui","Sex","Sáb","Dom"))</f>
        <v/>
      </c>
      <c r="D464" s="46"/>
      <c r="E464" s="47"/>
      <c r="F464" s="47"/>
      <c r="G464" s="48"/>
      <c r="H464" s="49"/>
      <c r="I464" s="50"/>
      <c r="J464" s="48"/>
      <c r="K464" s="49"/>
      <c r="L464" s="50"/>
      <c r="M464" s="43" t="str">
        <f aca="false">IF(OR($L464="",$F464=""),"",IFERROR($L464/INDEX(Cadastro!$E$6:$E$8,MATCH($F464,Cadastro!$B$6:$B$8,0)),""))</f>
        <v/>
      </c>
      <c r="N464" s="43" t="str">
        <f aca="false">IF(OR($L464="",$I464="",$I464=0),"",$L464/$I464)</f>
        <v/>
      </c>
      <c r="O464" s="51"/>
    </row>
    <row r="465" customFormat="false" ht="15" hidden="false" customHeight="false" outlineLevel="0" collapsed="false">
      <c r="A465" s="45"/>
      <c r="B465" s="37" t="str">
        <f aca="false">IF($A465="","",WEEKNUM($A465,2))</f>
        <v/>
      </c>
      <c r="C465" s="37" t="str">
        <f aca="false">IF($A465="","",CHOOSE(WEEKDAY($A465,2),"Seg","Ter","Qua","Qui","Sex","Sáb","Dom"))</f>
        <v/>
      </c>
      <c r="D465" s="46"/>
      <c r="E465" s="47"/>
      <c r="F465" s="47"/>
      <c r="G465" s="48"/>
      <c r="H465" s="49"/>
      <c r="I465" s="50"/>
      <c r="J465" s="48"/>
      <c r="K465" s="49"/>
      <c r="L465" s="50"/>
      <c r="M465" s="43" t="str">
        <f aca="false">IF(OR($L465="",$F465=""),"",IFERROR($L465/INDEX(Cadastro!$E$6:$E$8,MATCH($F465,Cadastro!$B$6:$B$8,0)),""))</f>
        <v/>
      </c>
      <c r="N465" s="43" t="str">
        <f aca="false">IF(OR($L465="",$I465="",$I465=0),"",$L465/$I465)</f>
        <v/>
      </c>
      <c r="O465" s="51"/>
    </row>
    <row r="466" customFormat="false" ht="15" hidden="false" customHeight="false" outlineLevel="0" collapsed="false">
      <c r="A466" s="45"/>
      <c r="B466" s="37" t="str">
        <f aca="false">IF($A466="","",WEEKNUM($A466,2))</f>
        <v/>
      </c>
      <c r="C466" s="37" t="str">
        <f aca="false">IF($A466="","",CHOOSE(WEEKDAY($A466,2),"Seg","Ter","Qua","Qui","Sex","Sáb","Dom"))</f>
        <v/>
      </c>
      <c r="D466" s="46"/>
      <c r="E466" s="47"/>
      <c r="F466" s="47"/>
      <c r="G466" s="48"/>
      <c r="H466" s="49"/>
      <c r="I466" s="50"/>
      <c r="J466" s="48"/>
      <c r="K466" s="49"/>
      <c r="L466" s="50"/>
      <c r="M466" s="43" t="str">
        <f aca="false">IF(OR($L466="",$F466=""),"",IFERROR($L466/INDEX(Cadastro!$E$6:$E$8,MATCH($F466,Cadastro!$B$6:$B$8,0)),""))</f>
        <v/>
      </c>
      <c r="N466" s="43" t="str">
        <f aca="false">IF(OR($L466="",$I466="",$I466=0),"",$L466/$I466)</f>
        <v/>
      </c>
      <c r="O466" s="51"/>
    </row>
    <row r="467" customFormat="false" ht="15" hidden="false" customHeight="false" outlineLevel="0" collapsed="false">
      <c r="A467" s="45"/>
      <c r="B467" s="37" t="str">
        <f aca="false">IF($A467="","",WEEKNUM($A467,2))</f>
        <v/>
      </c>
      <c r="C467" s="37" t="str">
        <f aca="false">IF($A467="","",CHOOSE(WEEKDAY($A467,2),"Seg","Ter","Qua","Qui","Sex","Sáb","Dom"))</f>
        <v/>
      </c>
      <c r="D467" s="46"/>
      <c r="E467" s="47"/>
      <c r="F467" s="47"/>
      <c r="G467" s="48"/>
      <c r="H467" s="49"/>
      <c r="I467" s="50"/>
      <c r="J467" s="48"/>
      <c r="K467" s="49"/>
      <c r="L467" s="50"/>
      <c r="M467" s="43" t="str">
        <f aca="false">IF(OR($L467="",$F467=""),"",IFERROR($L467/INDEX(Cadastro!$E$6:$E$8,MATCH($F467,Cadastro!$B$6:$B$8,0)),""))</f>
        <v/>
      </c>
      <c r="N467" s="43" t="str">
        <f aca="false">IF(OR($L467="",$I467="",$I467=0),"",$L467/$I467)</f>
        <v/>
      </c>
      <c r="O467" s="51"/>
    </row>
    <row r="468" customFormat="false" ht="15" hidden="false" customHeight="false" outlineLevel="0" collapsed="false">
      <c r="A468" s="45"/>
      <c r="B468" s="37" t="str">
        <f aca="false">IF($A468="","",WEEKNUM($A468,2))</f>
        <v/>
      </c>
      <c r="C468" s="37" t="str">
        <f aca="false">IF($A468="","",CHOOSE(WEEKDAY($A468,2),"Seg","Ter","Qua","Qui","Sex","Sáb","Dom"))</f>
        <v/>
      </c>
      <c r="D468" s="46"/>
      <c r="E468" s="47"/>
      <c r="F468" s="47"/>
      <c r="G468" s="48"/>
      <c r="H468" s="49"/>
      <c r="I468" s="50"/>
      <c r="J468" s="48"/>
      <c r="K468" s="49"/>
      <c r="L468" s="50"/>
      <c r="M468" s="43" t="str">
        <f aca="false">IF(OR($L468="",$F468=""),"",IFERROR($L468/INDEX(Cadastro!$E$6:$E$8,MATCH($F468,Cadastro!$B$6:$B$8,0)),""))</f>
        <v/>
      </c>
      <c r="N468" s="43" t="str">
        <f aca="false">IF(OR($L468="",$I468="",$I468=0),"",$L468/$I468)</f>
        <v/>
      </c>
      <c r="O468" s="51"/>
    </row>
    <row r="469" customFormat="false" ht="15" hidden="false" customHeight="false" outlineLevel="0" collapsed="false">
      <c r="A469" s="45"/>
      <c r="B469" s="37" t="str">
        <f aca="false">IF($A469="","",WEEKNUM($A469,2))</f>
        <v/>
      </c>
      <c r="C469" s="37" t="str">
        <f aca="false">IF($A469="","",CHOOSE(WEEKDAY($A469,2),"Seg","Ter","Qua","Qui","Sex","Sáb","Dom"))</f>
        <v/>
      </c>
      <c r="D469" s="46"/>
      <c r="E469" s="47"/>
      <c r="F469" s="47"/>
      <c r="G469" s="48"/>
      <c r="H469" s="49"/>
      <c r="I469" s="50"/>
      <c r="J469" s="48"/>
      <c r="K469" s="49"/>
      <c r="L469" s="50"/>
      <c r="M469" s="43" t="str">
        <f aca="false">IF(OR($L469="",$F469=""),"",IFERROR($L469/INDEX(Cadastro!$E$6:$E$8,MATCH($F469,Cadastro!$B$6:$B$8,0)),""))</f>
        <v/>
      </c>
      <c r="N469" s="43" t="str">
        <f aca="false">IF(OR($L469="",$I469="",$I469=0),"",$L469/$I469)</f>
        <v/>
      </c>
      <c r="O469" s="51"/>
    </row>
    <row r="470" customFormat="false" ht="15" hidden="false" customHeight="false" outlineLevel="0" collapsed="false">
      <c r="A470" s="45"/>
      <c r="B470" s="37" t="str">
        <f aca="false">IF($A470="","",WEEKNUM($A470,2))</f>
        <v/>
      </c>
      <c r="C470" s="37" t="str">
        <f aca="false">IF($A470="","",CHOOSE(WEEKDAY($A470,2),"Seg","Ter","Qua","Qui","Sex","Sáb","Dom"))</f>
        <v/>
      </c>
      <c r="D470" s="46"/>
      <c r="E470" s="47"/>
      <c r="F470" s="47"/>
      <c r="G470" s="48"/>
      <c r="H470" s="49"/>
      <c r="I470" s="50"/>
      <c r="J470" s="48"/>
      <c r="K470" s="49"/>
      <c r="L470" s="50"/>
      <c r="M470" s="43" t="str">
        <f aca="false">IF(OR($L470="",$F470=""),"",IFERROR($L470/INDEX(Cadastro!$E$6:$E$8,MATCH($F470,Cadastro!$B$6:$B$8,0)),""))</f>
        <v/>
      </c>
      <c r="N470" s="43" t="str">
        <f aca="false">IF(OR($L470="",$I470="",$I470=0),"",$L470/$I470)</f>
        <v/>
      </c>
      <c r="O470" s="51"/>
    </row>
    <row r="471" customFormat="false" ht="15" hidden="false" customHeight="false" outlineLevel="0" collapsed="false">
      <c r="A471" s="45"/>
      <c r="B471" s="37" t="str">
        <f aca="false">IF($A471="","",WEEKNUM($A471,2))</f>
        <v/>
      </c>
      <c r="C471" s="37" t="str">
        <f aca="false">IF($A471="","",CHOOSE(WEEKDAY($A471,2),"Seg","Ter","Qua","Qui","Sex","Sáb","Dom"))</f>
        <v/>
      </c>
      <c r="D471" s="46"/>
      <c r="E471" s="47"/>
      <c r="F471" s="47"/>
      <c r="G471" s="48"/>
      <c r="H471" s="49"/>
      <c r="I471" s="50"/>
      <c r="J471" s="48"/>
      <c r="K471" s="49"/>
      <c r="L471" s="50"/>
      <c r="M471" s="43" t="str">
        <f aca="false">IF(OR($L471="",$F471=""),"",IFERROR($L471/INDEX(Cadastro!$E$6:$E$8,MATCH($F471,Cadastro!$B$6:$B$8,0)),""))</f>
        <v/>
      </c>
      <c r="N471" s="43" t="str">
        <f aca="false">IF(OR($L471="",$I471="",$I471=0),"",$L471/$I471)</f>
        <v/>
      </c>
      <c r="O471" s="51"/>
    </row>
    <row r="472" customFormat="false" ht="15" hidden="false" customHeight="false" outlineLevel="0" collapsed="false">
      <c r="A472" s="45"/>
      <c r="B472" s="37" t="str">
        <f aca="false">IF($A472="","",WEEKNUM($A472,2))</f>
        <v/>
      </c>
      <c r="C472" s="37" t="str">
        <f aca="false">IF($A472="","",CHOOSE(WEEKDAY($A472,2),"Seg","Ter","Qua","Qui","Sex","Sáb","Dom"))</f>
        <v/>
      </c>
      <c r="D472" s="46"/>
      <c r="E472" s="47"/>
      <c r="F472" s="47"/>
      <c r="G472" s="48"/>
      <c r="H472" s="49"/>
      <c r="I472" s="50"/>
      <c r="J472" s="48"/>
      <c r="K472" s="49"/>
      <c r="L472" s="50"/>
      <c r="M472" s="43" t="str">
        <f aca="false">IF(OR($L472="",$F472=""),"",IFERROR($L472/INDEX(Cadastro!$E$6:$E$8,MATCH($F472,Cadastro!$B$6:$B$8,0)),""))</f>
        <v/>
      </c>
      <c r="N472" s="43" t="str">
        <f aca="false">IF(OR($L472="",$I472="",$I472=0),"",$L472/$I472)</f>
        <v/>
      </c>
      <c r="O472" s="51"/>
    </row>
    <row r="473" customFormat="false" ht="15" hidden="false" customHeight="false" outlineLevel="0" collapsed="false">
      <c r="A473" s="45"/>
      <c r="B473" s="37" t="str">
        <f aca="false">IF($A473="","",WEEKNUM($A473,2))</f>
        <v/>
      </c>
      <c r="C473" s="37" t="str">
        <f aca="false">IF($A473="","",CHOOSE(WEEKDAY($A473,2),"Seg","Ter","Qua","Qui","Sex","Sáb","Dom"))</f>
        <v/>
      </c>
      <c r="D473" s="46"/>
      <c r="E473" s="47"/>
      <c r="F473" s="47"/>
      <c r="G473" s="48"/>
      <c r="H473" s="49"/>
      <c r="I473" s="50"/>
      <c r="J473" s="48"/>
      <c r="K473" s="49"/>
      <c r="L473" s="50"/>
      <c r="M473" s="43" t="str">
        <f aca="false">IF(OR($L473="",$F473=""),"",IFERROR($L473/INDEX(Cadastro!$E$6:$E$8,MATCH($F473,Cadastro!$B$6:$B$8,0)),""))</f>
        <v/>
      </c>
      <c r="N473" s="43" t="str">
        <f aca="false">IF(OR($L473="",$I473="",$I473=0),"",$L473/$I473)</f>
        <v/>
      </c>
      <c r="O473" s="51"/>
    </row>
    <row r="474" customFormat="false" ht="15" hidden="false" customHeight="false" outlineLevel="0" collapsed="false">
      <c r="A474" s="45"/>
      <c r="B474" s="37" t="str">
        <f aca="false">IF($A474="","",WEEKNUM($A474,2))</f>
        <v/>
      </c>
      <c r="C474" s="37" t="str">
        <f aca="false">IF($A474="","",CHOOSE(WEEKDAY($A474,2),"Seg","Ter","Qua","Qui","Sex","Sáb","Dom"))</f>
        <v/>
      </c>
      <c r="D474" s="46"/>
      <c r="E474" s="47"/>
      <c r="F474" s="47"/>
      <c r="G474" s="48"/>
      <c r="H474" s="49"/>
      <c r="I474" s="50"/>
      <c r="J474" s="48"/>
      <c r="K474" s="49"/>
      <c r="L474" s="50"/>
      <c r="M474" s="43" t="str">
        <f aca="false">IF(OR($L474="",$F474=""),"",IFERROR($L474/INDEX(Cadastro!$E$6:$E$8,MATCH($F474,Cadastro!$B$6:$B$8,0)),""))</f>
        <v/>
      </c>
      <c r="N474" s="43" t="str">
        <f aca="false">IF(OR($L474="",$I474="",$I474=0),"",$L474/$I474)</f>
        <v/>
      </c>
      <c r="O474" s="51"/>
    </row>
    <row r="475" customFormat="false" ht="15" hidden="false" customHeight="false" outlineLevel="0" collapsed="false">
      <c r="A475" s="45"/>
      <c r="B475" s="37" t="str">
        <f aca="false">IF($A475="","",WEEKNUM($A475,2))</f>
        <v/>
      </c>
      <c r="C475" s="37" t="str">
        <f aca="false">IF($A475="","",CHOOSE(WEEKDAY($A475,2),"Seg","Ter","Qua","Qui","Sex","Sáb","Dom"))</f>
        <v/>
      </c>
      <c r="D475" s="46"/>
      <c r="E475" s="47"/>
      <c r="F475" s="47"/>
      <c r="G475" s="48"/>
      <c r="H475" s="49"/>
      <c r="I475" s="50"/>
      <c r="J475" s="48"/>
      <c r="K475" s="49"/>
      <c r="L475" s="50"/>
      <c r="M475" s="43" t="str">
        <f aca="false">IF(OR($L475="",$F475=""),"",IFERROR($L475/INDEX(Cadastro!$E$6:$E$8,MATCH($F475,Cadastro!$B$6:$B$8,0)),""))</f>
        <v/>
      </c>
      <c r="N475" s="43" t="str">
        <f aca="false">IF(OR($L475="",$I475="",$I475=0),"",$L475/$I475)</f>
        <v/>
      </c>
      <c r="O475" s="51"/>
    </row>
    <row r="476" customFormat="false" ht="15" hidden="false" customHeight="false" outlineLevel="0" collapsed="false">
      <c r="A476" s="45"/>
      <c r="B476" s="37" t="str">
        <f aca="false">IF($A476="","",WEEKNUM($A476,2))</f>
        <v/>
      </c>
      <c r="C476" s="37" t="str">
        <f aca="false">IF($A476="","",CHOOSE(WEEKDAY($A476,2),"Seg","Ter","Qua","Qui","Sex","Sáb","Dom"))</f>
        <v/>
      </c>
      <c r="D476" s="46"/>
      <c r="E476" s="47"/>
      <c r="F476" s="47"/>
      <c r="G476" s="48"/>
      <c r="H476" s="49"/>
      <c r="I476" s="50"/>
      <c r="J476" s="48"/>
      <c r="K476" s="49"/>
      <c r="L476" s="50"/>
      <c r="M476" s="43" t="str">
        <f aca="false">IF(OR($L476="",$F476=""),"",IFERROR($L476/INDEX(Cadastro!$E$6:$E$8,MATCH($F476,Cadastro!$B$6:$B$8,0)),""))</f>
        <v/>
      </c>
      <c r="N476" s="43" t="str">
        <f aca="false">IF(OR($L476="",$I476="",$I476=0),"",$L476/$I476)</f>
        <v/>
      </c>
      <c r="O476" s="51"/>
    </row>
    <row r="477" customFormat="false" ht="15" hidden="false" customHeight="false" outlineLevel="0" collapsed="false">
      <c r="A477" s="45"/>
      <c r="B477" s="37" t="str">
        <f aca="false">IF($A477="","",WEEKNUM($A477,2))</f>
        <v/>
      </c>
      <c r="C477" s="37" t="str">
        <f aca="false">IF($A477="","",CHOOSE(WEEKDAY($A477,2),"Seg","Ter","Qua","Qui","Sex","Sáb","Dom"))</f>
        <v/>
      </c>
      <c r="D477" s="46"/>
      <c r="E477" s="47"/>
      <c r="F477" s="47"/>
      <c r="G477" s="48"/>
      <c r="H477" s="49"/>
      <c r="I477" s="50"/>
      <c r="J477" s="48"/>
      <c r="K477" s="49"/>
      <c r="L477" s="50"/>
      <c r="M477" s="43" t="str">
        <f aca="false">IF(OR($L477="",$F477=""),"",IFERROR($L477/INDEX(Cadastro!$E$6:$E$8,MATCH($F477,Cadastro!$B$6:$B$8,0)),""))</f>
        <v/>
      </c>
      <c r="N477" s="43" t="str">
        <f aca="false">IF(OR($L477="",$I477="",$I477=0),"",$L477/$I477)</f>
        <v/>
      </c>
      <c r="O477" s="51"/>
    </row>
    <row r="478" customFormat="false" ht="15" hidden="false" customHeight="false" outlineLevel="0" collapsed="false">
      <c r="A478" s="45"/>
      <c r="B478" s="37" t="str">
        <f aca="false">IF($A478="","",WEEKNUM($A478,2))</f>
        <v/>
      </c>
      <c r="C478" s="37" t="str">
        <f aca="false">IF($A478="","",CHOOSE(WEEKDAY($A478,2),"Seg","Ter","Qua","Qui","Sex","Sáb","Dom"))</f>
        <v/>
      </c>
      <c r="D478" s="46"/>
      <c r="E478" s="47"/>
      <c r="F478" s="47"/>
      <c r="G478" s="48"/>
      <c r="H478" s="49"/>
      <c r="I478" s="50"/>
      <c r="J478" s="48"/>
      <c r="K478" s="49"/>
      <c r="L478" s="50"/>
      <c r="M478" s="43" t="str">
        <f aca="false">IF(OR($L478="",$F478=""),"",IFERROR($L478/INDEX(Cadastro!$E$6:$E$8,MATCH($F478,Cadastro!$B$6:$B$8,0)),""))</f>
        <v/>
      </c>
      <c r="N478" s="43" t="str">
        <f aca="false">IF(OR($L478="",$I478="",$I478=0),"",$L478/$I478)</f>
        <v/>
      </c>
      <c r="O478" s="51"/>
    </row>
    <row r="479" customFormat="false" ht="15" hidden="false" customHeight="false" outlineLevel="0" collapsed="false">
      <c r="A479" s="45"/>
      <c r="B479" s="37" t="str">
        <f aca="false">IF($A479="","",WEEKNUM($A479,2))</f>
        <v/>
      </c>
      <c r="C479" s="37" t="str">
        <f aca="false">IF($A479="","",CHOOSE(WEEKDAY($A479,2),"Seg","Ter","Qua","Qui","Sex","Sáb","Dom"))</f>
        <v/>
      </c>
      <c r="D479" s="46"/>
      <c r="E479" s="47"/>
      <c r="F479" s="47"/>
      <c r="G479" s="48"/>
      <c r="H479" s="49"/>
      <c r="I479" s="50"/>
      <c r="J479" s="48"/>
      <c r="K479" s="49"/>
      <c r="L479" s="50"/>
      <c r="M479" s="43" t="str">
        <f aca="false">IF(OR($L479="",$F479=""),"",IFERROR($L479/INDEX(Cadastro!$E$6:$E$8,MATCH($F479,Cadastro!$B$6:$B$8,0)),""))</f>
        <v/>
      </c>
      <c r="N479" s="43" t="str">
        <f aca="false">IF(OR($L479="",$I479="",$I479=0),"",$L479/$I479)</f>
        <v/>
      </c>
      <c r="O479" s="51"/>
    </row>
    <row r="480" customFormat="false" ht="15" hidden="false" customHeight="false" outlineLevel="0" collapsed="false">
      <c r="A480" s="45"/>
      <c r="B480" s="37" t="str">
        <f aca="false">IF($A480="","",WEEKNUM($A480,2))</f>
        <v/>
      </c>
      <c r="C480" s="37" t="str">
        <f aca="false">IF($A480="","",CHOOSE(WEEKDAY($A480,2),"Seg","Ter","Qua","Qui","Sex","Sáb","Dom"))</f>
        <v/>
      </c>
      <c r="D480" s="46"/>
      <c r="E480" s="47"/>
      <c r="F480" s="47"/>
      <c r="G480" s="48"/>
      <c r="H480" s="49"/>
      <c r="I480" s="50"/>
      <c r="J480" s="48"/>
      <c r="K480" s="49"/>
      <c r="L480" s="50"/>
      <c r="M480" s="43" t="str">
        <f aca="false">IF(OR($L480="",$F480=""),"",IFERROR($L480/INDEX(Cadastro!$E$6:$E$8,MATCH($F480,Cadastro!$B$6:$B$8,0)),""))</f>
        <v/>
      </c>
      <c r="N480" s="43" t="str">
        <f aca="false">IF(OR($L480="",$I480="",$I480=0),"",$L480/$I480)</f>
        <v/>
      </c>
      <c r="O480" s="51"/>
    </row>
    <row r="481" customFormat="false" ht="15" hidden="false" customHeight="false" outlineLevel="0" collapsed="false">
      <c r="A481" s="45"/>
      <c r="B481" s="37" t="str">
        <f aca="false">IF($A481="","",WEEKNUM($A481,2))</f>
        <v/>
      </c>
      <c r="C481" s="37" t="str">
        <f aca="false">IF($A481="","",CHOOSE(WEEKDAY($A481,2),"Seg","Ter","Qua","Qui","Sex","Sáb","Dom"))</f>
        <v/>
      </c>
      <c r="D481" s="46"/>
      <c r="E481" s="47"/>
      <c r="F481" s="47"/>
      <c r="G481" s="48"/>
      <c r="H481" s="49"/>
      <c r="I481" s="50"/>
      <c r="J481" s="48"/>
      <c r="K481" s="49"/>
      <c r="L481" s="50"/>
      <c r="M481" s="43" t="str">
        <f aca="false">IF(OR($L481="",$F481=""),"",IFERROR($L481/INDEX(Cadastro!$E$6:$E$8,MATCH($F481,Cadastro!$B$6:$B$8,0)),""))</f>
        <v/>
      </c>
      <c r="N481" s="43" t="str">
        <f aca="false">IF(OR($L481="",$I481="",$I481=0),"",$L481/$I481)</f>
        <v/>
      </c>
      <c r="O481" s="51"/>
    </row>
    <row r="482" customFormat="false" ht="15" hidden="false" customHeight="false" outlineLevel="0" collapsed="false">
      <c r="A482" s="45"/>
      <c r="B482" s="37" t="str">
        <f aca="false">IF($A482="","",WEEKNUM($A482,2))</f>
        <v/>
      </c>
      <c r="C482" s="37" t="str">
        <f aca="false">IF($A482="","",CHOOSE(WEEKDAY($A482,2),"Seg","Ter","Qua","Qui","Sex","Sáb","Dom"))</f>
        <v/>
      </c>
      <c r="D482" s="46"/>
      <c r="E482" s="47"/>
      <c r="F482" s="47"/>
      <c r="G482" s="48"/>
      <c r="H482" s="49"/>
      <c r="I482" s="50"/>
      <c r="J482" s="48"/>
      <c r="K482" s="49"/>
      <c r="L482" s="50"/>
      <c r="M482" s="43" t="str">
        <f aca="false">IF(OR($L482="",$F482=""),"",IFERROR($L482/INDEX(Cadastro!$E$6:$E$8,MATCH($F482,Cadastro!$B$6:$B$8,0)),""))</f>
        <v/>
      </c>
      <c r="N482" s="43" t="str">
        <f aca="false">IF(OR($L482="",$I482="",$I482=0),"",$L482/$I482)</f>
        <v/>
      </c>
      <c r="O482" s="51"/>
    </row>
    <row r="483" customFormat="false" ht="15" hidden="false" customHeight="false" outlineLevel="0" collapsed="false">
      <c r="A483" s="45"/>
      <c r="B483" s="37" t="str">
        <f aca="false">IF($A483="","",WEEKNUM($A483,2))</f>
        <v/>
      </c>
      <c r="C483" s="37" t="str">
        <f aca="false">IF($A483="","",CHOOSE(WEEKDAY($A483,2),"Seg","Ter","Qua","Qui","Sex","Sáb","Dom"))</f>
        <v/>
      </c>
      <c r="D483" s="46"/>
      <c r="E483" s="47"/>
      <c r="F483" s="47"/>
      <c r="G483" s="48"/>
      <c r="H483" s="49"/>
      <c r="I483" s="50"/>
      <c r="J483" s="48"/>
      <c r="K483" s="49"/>
      <c r="L483" s="50"/>
      <c r="M483" s="43" t="str">
        <f aca="false">IF(OR($L483="",$F483=""),"",IFERROR($L483/INDEX(Cadastro!$E$6:$E$8,MATCH($F483,Cadastro!$B$6:$B$8,0)),""))</f>
        <v/>
      </c>
      <c r="N483" s="43" t="str">
        <f aca="false">IF(OR($L483="",$I483="",$I483=0),"",$L483/$I483)</f>
        <v/>
      </c>
      <c r="O483" s="51"/>
    </row>
    <row r="484" customFormat="false" ht="15" hidden="false" customHeight="false" outlineLevel="0" collapsed="false">
      <c r="A484" s="45"/>
      <c r="B484" s="37" t="str">
        <f aca="false">IF($A484="","",WEEKNUM($A484,2))</f>
        <v/>
      </c>
      <c r="C484" s="37" t="str">
        <f aca="false">IF($A484="","",CHOOSE(WEEKDAY($A484,2),"Seg","Ter","Qua","Qui","Sex","Sáb","Dom"))</f>
        <v/>
      </c>
      <c r="D484" s="46"/>
      <c r="E484" s="47"/>
      <c r="F484" s="47"/>
      <c r="G484" s="48"/>
      <c r="H484" s="49"/>
      <c r="I484" s="50"/>
      <c r="J484" s="48"/>
      <c r="K484" s="49"/>
      <c r="L484" s="50"/>
      <c r="M484" s="43" t="str">
        <f aca="false">IF(OR($L484="",$F484=""),"",IFERROR($L484/INDEX(Cadastro!$E$6:$E$8,MATCH($F484,Cadastro!$B$6:$B$8,0)),""))</f>
        <v/>
      </c>
      <c r="N484" s="43" t="str">
        <f aca="false">IF(OR($L484="",$I484="",$I484=0),"",$L484/$I484)</f>
        <v/>
      </c>
      <c r="O484" s="51"/>
    </row>
    <row r="485" customFormat="false" ht="15" hidden="false" customHeight="false" outlineLevel="0" collapsed="false">
      <c r="A485" s="45"/>
      <c r="B485" s="37" t="str">
        <f aca="false">IF($A485="","",WEEKNUM($A485,2))</f>
        <v/>
      </c>
      <c r="C485" s="37" t="str">
        <f aca="false">IF($A485="","",CHOOSE(WEEKDAY($A485,2),"Seg","Ter","Qua","Qui","Sex","Sáb","Dom"))</f>
        <v/>
      </c>
      <c r="D485" s="46"/>
      <c r="E485" s="47"/>
      <c r="F485" s="47"/>
      <c r="G485" s="48"/>
      <c r="H485" s="49"/>
      <c r="I485" s="50"/>
      <c r="J485" s="48"/>
      <c r="K485" s="49"/>
      <c r="L485" s="50"/>
      <c r="M485" s="43" t="str">
        <f aca="false">IF(OR($L485="",$F485=""),"",IFERROR($L485/INDEX(Cadastro!$E$6:$E$8,MATCH($F485,Cadastro!$B$6:$B$8,0)),""))</f>
        <v/>
      </c>
      <c r="N485" s="43" t="str">
        <f aca="false">IF(OR($L485="",$I485="",$I485=0),"",$L485/$I485)</f>
        <v/>
      </c>
      <c r="O485" s="51"/>
    </row>
    <row r="486" customFormat="false" ht="15" hidden="false" customHeight="false" outlineLevel="0" collapsed="false">
      <c r="A486" s="45"/>
      <c r="B486" s="37" t="str">
        <f aca="false">IF($A486="","",WEEKNUM($A486,2))</f>
        <v/>
      </c>
      <c r="C486" s="37" t="str">
        <f aca="false">IF($A486="","",CHOOSE(WEEKDAY($A486,2),"Seg","Ter","Qua","Qui","Sex","Sáb","Dom"))</f>
        <v/>
      </c>
      <c r="D486" s="46"/>
      <c r="E486" s="47"/>
      <c r="F486" s="47"/>
      <c r="G486" s="48"/>
      <c r="H486" s="49"/>
      <c r="I486" s="50"/>
      <c r="J486" s="48"/>
      <c r="K486" s="49"/>
      <c r="L486" s="50"/>
      <c r="M486" s="43" t="str">
        <f aca="false">IF(OR($L486="",$F486=""),"",IFERROR($L486/INDEX(Cadastro!$E$6:$E$8,MATCH($F486,Cadastro!$B$6:$B$8,0)),""))</f>
        <v/>
      </c>
      <c r="N486" s="43" t="str">
        <f aca="false">IF(OR($L486="",$I486="",$I486=0),"",$L486/$I486)</f>
        <v/>
      </c>
      <c r="O486" s="51"/>
    </row>
    <row r="487" customFormat="false" ht="15" hidden="false" customHeight="false" outlineLevel="0" collapsed="false">
      <c r="A487" s="45"/>
      <c r="B487" s="37" t="str">
        <f aca="false">IF($A487="","",WEEKNUM($A487,2))</f>
        <v/>
      </c>
      <c r="C487" s="37" t="str">
        <f aca="false">IF($A487="","",CHOOSE(WEEKDAY($A487,2),"Seg","Ter","Qua","Qui","Sex","Sáb","Dom"))</f>
        <v/>
      </c>
      <c r="D487" s="46"/>
      <c r="E487" s="47"/>
      <c r="F487" s="47"/>
      <c r="G487" s="48"/>
      <c r="H487" s="49"/>
      <c r="I487" s="50"/>
      <c r="J487" s="48"/>
      <c r="K487" s="49"/>
      <c r="L487" s="50"/>
      <c r="M487" s="43" t="str">
        <f aca="false">IF(OR($L487="",$F487=""),"",IFERROR($L487/INDEX(Cadastro!$E$6:$E$8,MATCH($F487,Cadastro!$B$6:$B$8,0)),""))</f>
        <v/>
      </c>
      <c r="N487" s="43" t="str">
        <f aca="false">IF(OR($L487="",$I487="",$I487=0),"",$L487/$I487)</f>
        <v/>
      </c>
      <c r="O487" s="51"/>
    </row>
    <row r="488" customFormat="false" ht="15" hidden="false" customHeight="false" outlineLevel="0" collapsed="false">
      <c r="A488" s="45"/>
      <c r="B488" s="37" t="str">
        <f aca="false">IF($A488="","",WEEKNUM($A488,2))</f>
        <v/>
      </c>
      <c r="C488" s="37" t="str">
        <f aca="false">IF($A488="","",CHOOSE(WEEKDAY($A488,2),"Seg","Ter","Qua","Qui","Sex","Sáb","Dom"))</f>
        <v/>
      </c>
      <c r="D488" s="46"/>
      <c r="E488" s="47"/>
      <c r="F488" s="47"/>
      <c r="G488" s="48"/>
      <c r="H488" s="49"/>
      <c r="I488" s="50"/>
      <c r="J488" s="48"/>
      <c r="K488" s="49"/>
      <c r="L488" s="50"/>
      <c r="M488" s="43" t="str">
        <f aca="false">IF(OR($L488="",$F488=""),"",IFERROR($L488/INDEX(Cadastro!$E$6:$E$8,MATCH($F488,Cadastro!$B$6:$B$8,0)),""))</f>
        <v/>
      </c>
      <c r="N488" s="43" t="str">
        <f aca="false">IF(OR($L488="",$I488="",$I488=0),"",$L488/$I488)</f>
        <v/>
      </c>
      <c r="O488" s="51"/>
    </row>
    <row r="489" customFormat="false" ht="15" hidden="false" customHeight="false" outlineLevel="0" collapsed="false">
      <c r="A489" s="45"/>
      <c r="B489" s="37" t="str">
        <f aca="false">IF($A489="","",WEEKNUM($A489,2))</f>
        <v/>
      </c>
      <c r="C489" s="37" t="str">
        <f aca="false">IF($A489="","",CHOOSE(WEEKDAY($A489,2),"Seg","Ter","Qua","Qui","Sex","Sáb","Dom"))</f>
        <v/>
      </c>
      <c r="D489" s="46"/>
      <c r="E489" s="47"/>
      <c r="F489" s="47"/>
      <c r="G489" s="48"/>
      <c r="H489" s="49"/>
      <c r="I489" s="50"/>
      <c r="J489" s="48"/>
      <c r="K489" s="49"/>
      <c r="L489" s="50"/>
      <c r="M489" s="43" t="str">
        <f aca="false">IF(OR($L489="",$F489=""),"",IFERROR($L489/INDEX(Cadastro!$E$6:$E$8,MATCH($F489,Cadastro!$B$6:$B$8,0)),""))</f>
        <v/>
      </c>
      <c r="N489" s="43" t="str">
        <f aca="false">IF(OR($L489="",$I489="",$I489=0),"",$L489/$I489)</f>
        <v/>
      </c>
      <c r="O489" s="51"/>
    </row>
    <row r="490" customFormat="false" ht="15" hidden="false" customHeight="false" outlineLevel="0" collapsed="false">
      <c r="A490" s="45"/>
      <c r="B490" s="37" t="str">
        <f aca="false">IF($A490="","",WEEKNUM($A490,2))</f>
        <v/>
      </c>
      <c r="C490" s="37" t="str">
        <f aca="false">IF($A490="","",CHOOSE(WEEKDAY($A490,2),"Seg","Ter","Qua","Qui","Sex","Sáb","Dom"))</f>
        <v/>
      </c>
      <c r="D490" s="46"/>
      <c r="E490" s="47"/>
      <c r="F490" s="47"/>
      <c r="G490" s="48"/>
      <c r="H490" s="49"/>
      <c r="I490" s="50"/>
      <c r="J490" s="48"/>
      <c r="K490" s="49"/>
      <c r="L490" s="50"/>
      <c r="M490" s="43" t="str">
        <f aca="false">IF(OR($L490="",$F490=""),"",IFERROR($L490/INDEX(Cadastro!$E$6:$E$8,MATCH($F490,Cadastro!$B$6:$B$8,0)),""))</f>
        <v/>
      </c>
      <c r="N490" s="43" t="str">
        <f aca="false">IF(OR($L490="",$I490="",$I490=0),"",$L490/$I490)</f>
        <v/>
      </c>
      <c r="O490" s="51"/>
    </row>
    <row r="491" customFormat="false" ht="15" hidden="false" customHeight="false" outlineLevel="0" collapsed="false">
      <c r="A491" s="45"/>
      <c r="B491" s="37" t="str">
        <f aca="false">IF($A491="","",WEEKNUM($A491,2))</f>
        <v/>
      </c>
      <c r="C491" s="37" t="str">
        <f aca="false">IF($A491="","",CHOOSE(WEEKDAY($A491,2),"Seg","Ter","Qua","Qui","Sex","Sáb","Dom"))</f>
        <v/>
      </c>
      <c r="D491" s="46"/>
      <c r="E491" s="47"/>
      <c r="F491" s="47"/>
      <c r="G491" s="48"/>
      <c r="H491" s="49"/>
      <c r="I491" s="50"/>
      <c r="J491" s="48"/>
      <c r="K491" s="49"/>
      <c r="L491" s="50"/>
      <c r="M491" s="43" t="str">
        <f aca="false">IF(OR($L491="",$F491=""),"",IFERROR($L491/INDEX(Cadastro!$E$6:$E$8,MATCH($F491,Cadastro!$B$6:$B$8,0)),""))</f>
        <v/>
      </c>
      <c r="N491" s="43" t="str">
        <f aca="false">IF(OR($L491="",$I491="",$I491=0),"",$L491/$I491)</f>
        <v/>
      </c>
      <c r="O491" s="51"/>
    </row>
    <row r="492" customFormat="false" ht="15" hidden="false" customHeight="false" outlineLevel="0" collapsed="false">
      <c r="A492" s="45"/>
      <c r="B492" s="37" t="str">
        <f aca="false">IF($A492="","",WEEKNUM($A492,2))</f>
        <v/>
      </c>
      <c r="C492" s="37" t="str">
        <f aca="false">IF($A492="","",CHOOSE(WEEKDAY($A492,2),"Seg","Ter","Qua","Qui","Sex","Sáb","Dom"))</f>
        <v/>
      </c>
      <c r="D492" s="46"/>
      <c r="E492" s="47"/>
      <c r="F492" s="47"/>
      <c r="G492" s="48"/>
      <c r="H492" s="49"/>
      <c r="I492" s="50"/>
      <c r="J492" s="48"/>
      <c r="K492" s="49"/>
      <c r="L492" s="50"/>
      <c r="M492" s="43" t="str">
        <f aca="false">IF(OR($L492="",$F492=""),"",IFERROR($L492/INDEX(Cadastro!$E$6:$E$8,MATCH($F492,Cadastro!$B$6:$B$8,0)),""))</f>
        <v/>
      </c>
      <c r="N492" s="43" t="str">
        <f aca="false">IF(OR($L492="",$I492="",$I492=0),"",$L492/$I492)</f>
        <v/>
      </c>
      <c r="O492" s="51"/>
    </row>
    <row r="493" customFormat="false" ht="15" hidden="false" customHeight="false" outlineLevel="0" collapsed="false">
      <c r="A493" s="45"/>
      <c r="B493" s="37" t="str">
        <f aca="false">IF($A493="","",WEEKNUM($A493,2))</f>
        <v/>
      </c>
      <c r="C493" s="37" t="str">
        <f aca="false">IF($A493="","",CHOOSE(WEEKDAY($A493,2),"Seg","Ter","Qua","Qui","Sex","Sáb","Dom"))</f>
        <v/>
      </c>
      <c r="D493" s="46"/>
      <c r="E493" s="47"/>
      <c r="F493" s="47"/>
      <c r="G493" s="48"/>
      <c r="H493" s="49"/>
      <c r="I493" s="50"/>
      <c r="J493" s="48"/>
      <c r="K493" s="49"/>
      <c r="L493" s="50"/>
      <c r="M493" s="43" t="str">
        <f aca="false">IF(OR($L493="",$F493=""),"",IFERROR($L493/INDEX(Cadastro!$E$6:$E$8,MATCH($F493,Cadastro!$B$6:$B$8,0)),""))</f>
        <v/>
      </c>
      <c r="N493" s="43" t="str">
        <f aca="false">IF(OR($L493="",$I493="",$I493=0),"",$L493/$I493)</f>
        <v/>
      </c>
      <c r="O493" s="51"/>
    </row>
    <row r="494" customFormat="false" ht="15" hidden="false" customHeight="false" outlineLevel="0" collapsed="false">
      <c r="A494" s="45"/>
      <c r="B494" s="37" t="str">
        <f aca="false">IF($A494="","",WEEKNUM($A494,2))</f>
        <v/>
      </c>
      <c r="C494" s="37" t="str">
        <f aca="false">IF($A494="","",CHOOSE(WEEKDAY($A494,2),"Seg","Ter","Qua","Qui","Sex","Sáb","Dom"))</f>
        <v/>
      </c>
      <c r="D494" s="46"/>
      <c r="E494" s="47"/>
      <c r="F494" s="47"/>
      <c r="G494" s="48"/>
      <c r="H494" s="49"/>
      <c r="I494" s="50"/>
      <c r="J494" s="48"/>
      <c r="K494" s="49"/>
      <c r="L494" s="50"/>
      <c r="M494" s="43" t="str">
        <f aca="false">IF(OR($L494="",$F494=""),"",IFERROR($L494/INDEX(Cadastro!$E$6:$E$8,MATCH($F494,Cadastro!$B$6:$B$8,0)),""))</f>
        <v/>
      </c>
      <c r="N494" s="43" t="str">
        <f aca="false">IF(OR($L494="",$I494="",$I494=0),"",$L494/$I494)</f>
        <v/>
      </c>
      <c r="O494" s="51"/>
    </row>
    <row r="495" customFormat="false" ht="15" hidden="false" customHeight="false" outlineLevel="0" collapsed="false">
      <c r="A495" s="45"/>
      <c r="B495" s="37" t="str">
        <f aca="false">IF($A495="","",WEEKNUM($A495,2))</f>
        <v/>
      </c>
      <c r="C495" s="37" t="str">
        <f aca="false">IF($A495="","",CHOOSE(WEEKDAY($A495,2),"Seg","Ter","Qua","Qui","Sex","Sáb","Dom"))</f>
        <v/>
      </c>
      <c r="D495" s="46"/>
      <c r="E495" s="47"/>
      <c r="F495" s="47"/>
      <c r="G495" s="48"/>
      <c r="H495" s="49"/>
      <c r="I495" s="50"/>
      <c r="J495" s="48"/>
      <c r="K495" s="49"/>
      <c r="L495" s="50"/>
      <c r="M495" s="43" t="str">
        <f aca="false">IF(OR($L495="",$F495=""),"",IFERROR($L495/INDEX(Cadastro!$E$6:$E$8,MATCH($F495,Cadastro!$B$6:$B$8,0)),""))</f>
        <v/>
      </c>
      <c r="N495" s="43" t="str">
        <f aca="false">IF(OR($L495="",$I495="",$I495=0),"",$L495/$I495)</f>
        <v/>
      </c>
      <c r="O495" s="51"/>
    </row>
    <row r="496" customFormat="false" ht="15" hidden="false" customHeight="false" outlineLevel="0" collapsed="false">
      <c r="A496" s="45"/>
      <c r="B496" s="37" t="str">
        <f aca="false">IF($A496="","",WEEKNUM($A496,2))</f>
        <v/>
      </c>
      <c r="C496" s="37" t="str">
        <f aca="false">IF($A496="","",CHOOSE(WEEKDAY($A496,2),"Seg","Ter","Qua","Qui","Sex","Sáb","Dom"))</f>
        <v/>
      </c>
      <c r="D496" s="46"/>
      <c r="E496" s="47"/>
      <c r="F496" s="47"/>
      <c r="G496" s="48"/>
      <c r="H496" s="49"/>
      <c r="I496" s="50"/>
      <c r="J496" s="48"/>
      <c r="K496" s="49"/>
      <c r="L496" s="50"/>
      <c r="M496" s="43" t="str">
        <f aca="false">IF(OR($L496="",$F496=""),"",IFERROR($L496/INDEX(Cadastro!$E$6:$E$8,MATCH($F496,Cadastro!$B$6:$B$8,0)),""))</f>
        <v/>
      </c>
      <c r="N496" s="43" t="str">
        <f aca="false">IF(OR($L496="",$I496="",$I496=0),"",$L496/$I496)</f>
        <v/>
      </c>
      <c r="O496" s="51"/>
    </row>
    <row r="497" customFormat="false" ht="15" hidden="false" customHeight="false" outlineLevel="0" collapsed="false">
      <c r="A497" s="45"/>
      <c r="B497" s="37" t="str">
        <f aca="false">IF($A497="","",WEEKNUM($A497,2))</f>
        <v/>
      </c>
      <c r="C497" s="37" t="str">
        <f aca="false">IF($A497="","",CHOOSE(WEEKDAY($A497,2),"Seg","Ter","Qua","Qui","Sex","Sáb","Dom"))</f>
        <v/>
      </c>
      <c r="D497" s="46"/>
      <c r="E497" s="47"/>
      <c r="F497" s="47"/>
      <c r="G497" s="48"/>
      <c r="H497" s="49"/>
      <c r="I497" s="50"/>
      <c r="J497" s="48"/>
      <c r="K497" s="49"/>
      <c r="L497" s="50"/>
      <c r="M497" s="43" t="str">
        <f aca="false">IF(OR($L497="",$F497=""),"",IFERROR($L497/INDEX(Cadastro!$E$6:$E$8,MATCH($F497,Cadastro!$B$6:$B$8,0)),""))</f>
        <v/>
      </c>
      <c r="N497" s="43" t="str">
        <f aca="false">IF(OR($L497="",$I497="",$I497=0),"",$L497/$I497)</f>
        <v/>
      </c>
      <c r="O497" s="51"/>
    </row>
    <row r="498" customFormat="false" ht="15" hidden="false" customHeight="false" outlineLevel="0" collapsed="false">
      <c r="A498" s="45"/>
      <c r="B498" s="37" t="str">
        <f aca="false">IF($A498="","",WEEKNUM($A498,2))</f>
        <v/>
      </c>
      <c r="C498" s="37" t="str">
        <f aca="false">IF($A498="","",CHOOSE(WEEKDAY($A498,2),"Seg","Ter","Qua","Qui","Sex","Sáb","Dom"))</f>
        <v/>
      </c>
      <c r="D498" s="46"/>
      <c r="E498" s="47"/>
      <c r="F498" s="47"/>
      <c r="G498" s="48"/>
      <c r="H498" s="49"/>
      <c r="I498" s="50"/>
      <c r="J498" s="48"/>
      <c r="K498" s="49"/>
      <c r="L498" s="50"/>
      <c r="M498" s="43" t="str">
        <f aca="false">IF(OR($L498="",$F498=""),"",IFERROR($L498/INDEX(Cadastro!$E$6:$E$8,MATCH($F498,Cadastro!$B$6:$B$8,0)),""))</f>
        <v/>
      </c>
      <c r="N498" s="43" t="str">
        <f aca="false">IF(OR($L498="",$I498="",$I498=0),"",$L498/$I498)</f>
        <v/>
      </c>
      <c r="O498" s="51"/>
    </row>
    <row r="499" customFormat="false" ht="15" hidden="false" customHeight="false" outlineLevel="0" collapsed="false">
      <c r="A499" s="45"/>
      <c r="B499" s="37" t="str">
        <f aca="false">IF($A499="","",WEEKNUM($A499,2))</f>
        <v/>
      </c>
      <c r="C499" s="37" t="str">
        <f aca="false">IF($A499="","",CHOOSE(WEEKDAY($A499,2),"Seg","Ter","Qua","Qui","Sex","Sáb","Dom"))</f>
        <v/>
      </c>
      <c r="D499" s="46"/>
      <c r="E499" s="47"/>
      <c r="F499" s="47"/>
      <c r="G499" s="48"/>
      <c r="H499" s="49"/>
      <c r="I499" s="50"/>
      <c r="J499" s="48"/>
      <c r="K499" s="49"/>
      <c r="L499" s="50"/>
      <c r="M499" s="43" t="str">
        <f aca="false">IF(OR($L499="",$F499=""),"",IFERROR($L499/INDEX(Cadastro!$E$6:$E$8,MATCH($F499,Cadastro!$B$6:$B$8,0)),""))</f>
        <v/>
      </c>
      <c r="N499" s="43" t="str">
        <f aca="false">IF(OR($L499="",$I499="",$I499=0),"",$L499/$I499)</f>
        <v/>
      </c>
      <c r="O499" s="51"/>
    </row>
    <row r="500" customFormat="false" ht="15" hidden="false" customHeight="false" outlineLevel="0" collapsed="false">
      <c r="A500" s="45"/>
      <c r="B500" s="37" t="str">
        <f aca="false">IF($A500="","",WEEKNUM($A500,2))</f>
        <v/>
      </c>
      <c r="C500" s="37" t="str">
        <f aca="false">IF($A500="","",CHOOSE(WEEKDAY($A500,2),"Seg","Ter","Qua","Qui","Sex","Sáb","Dom"))</f>
        <v/>
      </c>
      <c r="D500" s="46"/>
      <c r="E500" s="47"/>
      <c r="F500" s="47"/>
      <c r="G500" s="48"/>
      <c r="H500" s="49"/>
      <c r="I500" s="50"/>
      <c r="J500" s="48"/>
      <c r="K500" s="49"/>
      <c r="L500" s="50"/>
      <c r="M500" s="43" t="str">
        <f aca="false">IF(OR($L500="",$F500=""),"",IFERROR($L500/INDEX(Cadastro!$E$6:$E$8,MATCH($F500,Cadastro!$B$6:$B$8,0)),""))</f>
        <v/>
      </c>
      <c r="N500" s="43" t="str">
        <f aca="false">IF(OR($L500="",$I500="",$I500=0),"",$L500/$I500)</f>
        <v/>
      </c>
      <c r="O500" s="51"/>
    </row>
    <row r="501" customFormat="false" ht="15" hidden="false" customHeight="false" outlineLevel="0" collapsed="false">
      <c r="A501" s="45"/>
      <c r="B501" s="37" t="str">
        <f aca="false">IF($A501="","",WEEKNUM($A501,2))</f>
        <v/>
      </c>
      <c r="C501" s="37" t="str">
        <f aca="false">IF($A501="","",CHOOSE(WEEKDAY($A501,2),"Seg","Ter","Qua","Qui","Sex","Sáb","Dom"))</f>
        <v/>
      </c>
      <c r="D501" s="46"/>
      <c r="E501" s="47"/>
      <c r="F501" s="47"/>
      <c r="G501" s="48"/>
      <c r="H501" s="49"/>
      <c r="I501" s="50"/>
      <c r="J501" s="48"/>
      <c r="K501" s="49"/>
      <c r="L501" s="50"/>
      <c r="M501" s="43" t="str">
        <f aca="false">IF(OR($L501="",$F501=""),"",IFERROR($L501/INDEX(Cadastro!$E$6:$E$8,MATCH($F501,Cadastro!$B$6:$B$8,0)),""))</f>
        <v/>
      </c>
      <c r="N501" s="43" t="str">
        <f aca="false">IF(OR($L501="",$I501="",$I501=0),"",$L501/$I501)</f>
        <v/>
      </c>
      <c r="O501" s="51"/>
    </row>
    <row r="502" customFormat="false" ht="15" hidden="false" customHeight="false" outlineLevel="0" collapsed="false">
      <c r="A502" s="45"/>
      <c r="B502" s="37" t="str">
        <f aca="false">IF($A502="","",WEEKNUM($A502,2))</f>
        <v/>
      </c>
      <c r="C502" s="37" t="str">
        <f aca="false">IF($A502="","",CHOOSE(WEEKDAY($A502,2),"Seg","Ter","Qua","Qui","Sex","Sáb","Dom"))</f>
        <v/>
      </c>
      <c r="D502" s="46"/>
      <c r="E502" s="47"/>
      <c r="F502" s="47"/>
      <c r="G502" s="48"/>
      <c r="H502" s="49"/>
      <c r="I502" s="50"/>
      <c r="J502" s="48"/>
      <c r="K502" s="49"/>
      <c r="L502" s="50"/>
      <c r="M502" s="43" t="str">
        <f aca="false">IF(OR($L502="",$F502=""),"",IFERROR($L502/INDEX(Cadastro!$E$6:$E$8,MATCH($F502,Cadastro!$B$6:$B$8,0)),""))</f>
        <v/>
      </c>
      <c r="N502" s="43" t="str">
        <f aca="false">IF(OR($L502="",$I502="",$I502=0),"",$L502/$I502)</f>
        <v/>
      </c>
      <c r="O502" s="51"/>
    </row>
    <row r="503" customFormat="false" ht="15" hidden="false" customHeight="false" outlineLevel="0" collapsed="false">
      <c r="A503" s="45"/>
      <c r="B503" s="37" t="str">
        <f aca="false">IF($A503="","",WEEKNUM($A503,2))</f>
        <v/>
      </c>
      <c r="C503" s="37" t="str">
        <f aca="false">IF($A503="","",CHOOSE(WEEKDAY($A503,2),"Seg","Ter","Qua","Qui","Sex","Sáb","Dom"))</f>
        <v/>
      </c>
      <c r="D503" s="46"/>
      <c r="E503" s="47"/>
      <c r="F503" s="47"/>
      <c r="G503" s="48"/>
      <c r="H503" s="49"/>
      <c r="I503" s="50"/>
      <c r="J503" s="48"/>
      <c r="K503" s="49"/>
      <c r="L503" s="50"/>
      <c r="M503" s="43" t="str">
        <f aca="false">IF(OR($L503="",$F503=""),"",IFERROR($L503/INDEX(Cadastro!$E$6:$E$8,MATCH($F503,Cadastro!$B$6:$B$8,0)),""))</f>
        <v/>
      </c>
      <c r="N503" s="43" t="str">
        <f aca="false">IF(OR($L503="",$I503="",$I503=0),"",$L503/$I503)</f>
        <v/>
      </c>
      <c r="O503" s="51"/>
    </row>
    <row r="504" customFormat="false" ht="15" hidden="false" customHeight="false" outlineLevel="0" collapsed="false">
      <c r="A504" s="45"/>
      <c r="B504" s="37" t="str">
        <f aca="false">IF($A504="","",WEEKNUM($A504,2))</f>
        <v/>
      </c>
      <c r="C504" s="37" t="str">
        <f aca="false">IF($A504="","",CHOOSE(WEEKDAY($A504,2),"Seg","Ter","Qua","Qui","Sex","Sáb","Dom"))</f>
        <v/>
      </c>
      <c r="D504" s="46"/>
      <c r="E504" s="47"/>
      <c r="F504" s="47"/>
      <c r="G504" s="48"/>
      <c r="H504" s="49"/>
      <c r="I504" s="50"/>
      <c r="J504" s="48"/>
      <c r="K504" s="49"/>
      <c r="L504" s="50"/>
      <c r="M504" s="43" t="str">
        <f aca="false">IF(OR($L504="",$F504=""),"",IFERROR($L504/INDEX(Cadastro!$E$6:$E$8,MATCH($F504,Cadastro!$B$6:$B$8,0)),""))</f>
        <v/>
      </c>
      <c r="N504" s="43" t="str">
        <f aca="false">IF(OR($L504="",$I504="",$I504=0),"",$L504/$I504)</f>
        <v/>
      </c>
      <c r="O504" s="51"/>
    </row>
    <row r="505" customFormat="false" ht="15" hidden="false" customHeight="false" outlineLevel="0" collapsed="false">
      <c r="A505" s="45"/>
      <c r="B505" s="37" t="str">
        <f aca="false">IF($A505="","",WEEKNUM($A505,2))</f>
        <v/>
      </c>
      <c r="C505" s="37" t="str">
        <f aca="false">IF($A505="","",CHOOSE(WEEKDAY($A505,2),"Seg","Ter","Qua","Qui","Sex","Sáb","Dom"))</f>
        <v/>
      </c>
      <c r="D505" s="46"/>
      <c r="E505" s="47"/>
      <c r="F505" s="47"/>
      <c r="G505" s="48"/>
      <c r="H505" s="49"/>
      <c r="I505" s="50"/>
      <c r="J505" s="48"/>
      <c r="K505" s="49"/>
      <c r="L505" s="50"/>
      <c r="M505" s="43" t="str">
        <f aca="false">IF(OR($L505="",$F505=""),"",IFERROR($L505/INDEX(Cadastro!$E$6:$E$8,MATCH($F505,Cadastro!$B$6:$B$8,0)),""))</f>
        <v/>
      </c>
      <c r="N505" s="43" t="str">
        <f aca="false">IF(OR($L505="",$I505="",$I505=0),"",$L505/$I505)</f>
        <v/>
      </c>
      <c r="O505" s="51"/>
    </row>
    <row r="506" customFormat="false" ht="15" hidden="false" customHeight="false" outlineLevel="0" collapsed="false">
      <c r="A506" s="45"/>
      <c r="B506" s="37" t="str">
        <f aca="false">IF($A506="","",WEEKNUM($A506,2))</f>
        <v/>
      </c>
      <c r="C506" s="37" t="str">
        <f aca="false">IF($A506="","",CHOOSE(WEEKDAY($A506,2),"Seg","Ter","Qua","Qui","Sex","Sáb","Dom"))</f>
        <v/>
      </c>
      <c r="D506" s="46"/>
      <c r="E506" s="47"/>
      <c r="F506" s="47"/>
      <c r="G506" s="48"/>
      <c r="H506" s="49"/>
      <c r="I506" s="50"/>
      <c r="J506" s="48"/>
      <c r="K506" s="49"/>
      <c r="L506" s="50"/>
      <c r="M506" s="43" t="str">
        <f aca="false">IF(OR($L506="",$F506=""),"",IFERROR($L506/INDEX(Cadastro!$E$6:$E$8,MATCH($F506,Cadastro!$B$6:$B$8,0)),""))</f>
        <v/>
      </c>
      <c r="N506" s="43" t="str">
        <f aca="false">IF(OR($L506="",$I506="",$I506=0),"",$L506/$I506)</f>
        <v/>
      </c>
      <c r="O506" s="51"/>
    </row>
    <row r="507" customFormat="false" ht="15" hidden="false" customHeight="false" outlineLevel="0" collapsed="false">
      <c r="A507" s="45"/>
      <c r="B507" s="37" t="str">
        <f aca="false">IF($A507="","",WEEKNUM($A507,2))</f>
        <v/>
      </c>
      <c r="C507" s="37" t="str">
        <f aca="false">IF($A507="","",CHOOSE(WEEKDAY($A507,2),"Seg","Ter","Qua","Qui","Sex","Sáb","Dom"))</f>
        <v/>
      </c>
      <c r="D507" s="46"/>
      <c r="E507" s="47"/>
      <c r="F507" s="47"/>
      <c r="G507" s="48"/>
      <c r="H507" s="49"/>
      <c r="I507" s="50"/>
      <c r="J507" s="48"/>
      <c r="K507" s="49"/>
      <c r="L507" s="50"/>
      <c r="M507" s="43" t="str">
        <f aca="false">IF(OR($L507="",$F507=""),"",IFERROR($L507/INDEX(Cadastro!$E$6:$E$8,MATCH($F507,Cadastro!$B$6:$B$8,0)),""))</f>
        <v/>
      </c>
      <c r="N507" s="43" t="str">
        <f aca="false">IF(OR($L507="",$I507="",$I507=0),"",$L507/$I507)</f>
        <v/>
      </c>
      <c r="O507" s="51"/>
    </row>
    <row r="508" customFormat="false" ht="15" hidden="false" customHeight="false" outlineLevel="0" collapsed="false">
      <c r="A508" s="45"/>
      <c r="B508" s="37" t="str">
        <f aca="false">IF($A508="","",WEEKNUM($A508,2))</f>
        <v/>
      </c>
      <c r="C508" s="37" t="str">
        <f aca="false">IF($A508="","",CHOOSE(WEEKDAY($A508,2),"Seg","Ter","Qua","Qui","Sex","Sáb","Dom"))</f>
        <v/>
      </c>
      <c r="D508" s="46"/>
      <c r="E508" s="47"/>
      <c r="F508" s="47"/>
      <c r="G508" s="48"/>
      <c r="H508" s="49"/>
      <c r="I508" s="50"/>
      <c r="J508" s="48"/>
      <c r="K508" s="49"/>
      <c r="L508" s="50"/>
      <c r="M508" s="43" t="str">
        <f aca="false">IF(OR($L508="",$F508=""),"",IFERROR($L508/INDEX(Cadastro!$E$6:$E$8,MATCH($F508,Cadastro!$B$6:$B$8,0)),""))</f>
        <v/>
      </c>
      <c r="N508" s="43" t="str">
        <f aca="false">IF(OR($L508="",$I508="",$I508=0),"",$L508/$I508)</f>
        <v/>
      </c>
      <c r="O508" s="51"/>
    </row>
    <row r="509" customFormat="false" ht="15" hidden="false" customHeight="false" outlineLevel="0" collapsed="false">
      <c r="A509" s="45"/>
      <c r="B509" s="37" t="str">
        <f aca="false">IF($A509="","",WEEKNUM($A509,2))</f>
        <v/>
      </c>
      <c r="C509" s="37" t="str">
        <f aca="false">IF($A509="","",CHOOSE(WEEKDAY($A509,2),"Seg","Ter","Qua","Qui","Sex","Sáb","Dom"))</f>
        <v/>
      </c>
      <c r="D509" s="46"/>
      <c r="E509" s="47"/>
      <c r="F509" s="47"/>
      <c r="G509" s="48"/>
      <c r="H509" s="49"/>
      <c r="I509" s="50"/>
      <c r="J509" s="48"/>
      <c r="K509" s="49"/>
      <c r="L509" s="50"/>
      <c r="M509" s="43" t="str">
        <f aca="false">IF(OR($L509="",$F509=""),"",IFERROR($L509/INDEX(Cadastro!$E$6:$E$8,MATCH($F509,Cadastro!$B$6:$B$8,0)),""))</f>
        <v/>
      </c>
      <c r="N509" s="43" t="str">
        <f aca="false">IF(OR($L509="",$I509="",$I509=0),"",$L509/$I509)</f>
        <v/>
      </c>
      <c r="O509" s="51"/>
    </row>
    <row r="510" customFormat="false" ht="15" hidden="false" customHeight="false" outlineLevel="0" collapsed="false">
      <c r="A510" s="45"/>
      <c r="B510" s="37" t="str">
        <f aca="false">IF($A510="","",WEEKNUM($A510,2))</f>
        <v/>
      </c>
      <c r="C510" s="37" t="str">
        <f aca="false">IF($A510="","",CHOOSE(WEEKDAY($A510,2),"Seg","Ter","Qua","Qui","Sex","Sáb","Dom"))</f>
        <v/>
      </c>
      <c r="D510" s="46"/>
      <c r="E510" s="47"/>
      <c r="F510" s="47"/>
      <c r="G510" s="48"/>
      <c r="H510" s="49"/>
      <c r="I510" s="50"/>
      <c r="J510" s="48"/>
      <c r="K510" s="49"/>
      <c r="L510" s="50"/>
      <c r="M510" s="43" t="str">
        <f aca="false">IF(OR($L510="",$F510=""),"",IFERROR($L510/INDEX(Cadastro!$E$6:$E$8,MATCH($F510,Cadastro!$B$6:$B$8,0)),""))</f>
        <v/>
      </c>
      <c r="N510" s="43" t="str">
        <f aca="false">IF(OR($L510="",$I510="",$I510=0),"",$L510/$I510)</f>
        <v/>
      </c>
      <c r="O510" s="51"/>
    </row>
    <row r="511" customFormat="false" ht="15" hidden="false" customHeight="false" outlineLevel="0" collapsed="false">
      <c r="A511" s="45"/>
      <c r="B511" s="37" t="str">
        <f aca="false">IF($A511="","",WEEKNUM($A511,2))</f>
        <v/>
      </c>
      <c r="C511" s="37" t="str">
        <f aca="false">IF($A511="","",CHOOSE(WEEKDAY($A511,2),"Seg","Ter","Qua","Qui","Sex","Sáb","Dom"))</f>
        <v/>
      </c>
      <c r="D511" s="46"/>
      <c r="E511" s="47"/>
      <c r="F511" s="47"/>
      <c r="G511" s="48"/>
      <c r="H511" s="49"/>
      <c r="I511" s="50"/>
      <c r="J511" s="48"/>
      <c r="K511" s="49"/>
      <c r="L511" s="50"/>
      <c r="M511" s="43" t="str">
        <f aca="false">IF(OR($L511="",$F511=""),"",IFERROR($L511/INDEX(Cadastro!$E$6:$E$8,MATCH($F511,Cadastro!$B$6:$B$8,0)),""))</f>
        <v/>
      </c>
      <c r="N511" s="43" t="str">
        <f aca="false">IF(OR($L511="",$I511="",$I511=0),"",$L511/$I511)</f>
        <v/>
      </c>
      <c r="O511" s="51"/>
    </row>
    <row r="512" customFormat="false" ht="15" hidden="false" customHeight="false" outlineLevel="0" collapsed="false">
      <c r="A512" s="45"/>
      <c r="B512" s="37" t="str">
        <f aca="false">IF($A512="","",WEEKNUM($A512,2))</f>
        <v/>
      </c>
      <c r="C512" s="37" t="str">
        <f aca="false">IF($A512="","",CHOOSE(WEEKDAY($A512,2),"Seg","Ter","Qua","Qui","Sex","Sáb","Dom"))</f>
        <v/>
      </c>
      <c r="D512" s="46"/>
      <c r="E512" s="47"/>
      <c r="F512" s="47"/>
      <c r="G512" s="48"/>
      <c r="H512" s="49"/>
      <c r="I512" s="50"/>
      <c r="J512" s="48"/>
      <c r="K512" s="49"/>
      <c r="L512" s="50"/>
      <c r="M512" s="43" t="str">
        <f aca="false">IF(OR($L512="",$F512=""),"",IFERROR($L512/INDEX(Cadastro!$E$6:$E$8,MATCH($F512,Cadastro!$B$6:$B$8,0)),""))</f>
        <v/>
      </c>
      <c r="N512" s="43" t="str">
        <f aca="false">IF(OR($L512="",$I512="",$I512=0),"",$L512/$I512)</f>
        <v/>
      </c>
      <c r="O512" s="51"/>
    </row>
    <row r="513" customFormat="false" ht="15" hidden="false" customHeight="false" outlineLevel="0" collapsed="false">
      <c r="A513" s="45"/>
      <c r="B513" s="37" t="str">
        <f aca="false">IF($A513="","",WEEKNUM($A513,2))</f>
        <v/>
      </c>
      <c r="C513" s="37" t="str">
        <f aca="false">IF($A513="","",CHOOSE(WEEKDAY($A513,2),"Seg","Ter","Qua","Qui","Sex","Sáb","Dom"))</f>
        <v/>
      </c>
      <c r="D513" s="46"/>
      <c r="E513" s="47"/>
      <c r="F513" s="47"/>
      <c r="G513" s="48"/>
      <c r="H513" s="49"/>
      <c r="I513" s="50"/>
      <c r="J513" s="48"/>
      <c r="K513" s="49"/>
      <c r="L513" s="50"/>
      <c r="M513" s="43" t="str">
        <f aca="false">IF(OR($L513="",$F513=""),"",IFERROR($L513/INDEX(Cadastro!$E$6:$E$8,MATCH($F513,Cadastro!$B$6:$B$8,0)),""))</f>
        <v/>
      </c>
      <c r="N513" s="43" t="str">
        <f aca="false">IF(OR($L513="",$I513="",$I513=0),"",$L513/$I513)</f>
        <v/>
      </c>
      <c r="O513" s="51"/>
    </row>
    <row r="514" customFormat="false" ht="15" hidden="false" customHeight="false" outlineLevel="0" collapsed="false">
      <c r="A514" s="45"/>
      <c r="B514" s="37" t="str">
        <f aca="false">IF($A514="","",WEEKNUM($A514,2))</f>
        <v/>
      </c>
      <c r="C514" s="37" t="str">
        <f aca="false">IF($A514="","",CHOOSE(WEEKDAY($A514,2),"Seg","Ter","Qua","Qui","Sex","Sáb","Dom"))</f>
        <v/>
      </c>
      <c r="D514" s="46"/>
      <c r="E514" s="47"/>
      <c r="F514" s="47"/>
      <c r="G514" s="48"/>
      <c r="H514" s="49"/>
      <c r="I514" s="50"/>
      <c r="J514" s="48"/>
      <c r="K514" s="49"/>
      <c r="L514" s="50"/>
      <c r="M514" s="43" t="str">
        <f aca="false">IF(OR($L514="",$F514=""),"",IFERROR($L514/INDEX(Cadastro!$E$6:$E$8,MATCH($F514,Cadastro!$B$6:$B$8,0)),""))</f>
        <v/>
      </c>
      <c r="N514" s="43" t="str">
        <f aca="false">IF(OR($L514="",$I514="",$I514=0),"",$L514/$I514)</f>
        <v/>
      </c>
      <c r="O514" s="51"/>
    </row>
    <row r="515" customFormat="false" ht="15" hidden="false" customHeight="false" outlineLevel="0" collapsed="false">
      <c r="A515" s="45"/>
      <c r="B515" s="37" t="str">
        <f aca="false">IF($A515="","",WEEKNUM($A515,2))</f>
        <v/>
      </c>
      <c r="C515" s="37" t="str">
        <f aca="false">IF($A515="","",CHOOSE(WEEKDAY($A515,2),"Seg","Ter","Qua","Qui","Sex","Sáb","Dom"))</f>
        <v/>
      </c>
      <c r="D515" s="46"/>
      <c r="E515" s="47"/>
      <c r="F515" s="47"/>
      <c r="G515" s="48"/>
      <c r="H515" s="49"/>
      <c r="I515" s="50"/>
      <c r="J515" s="48"/>
      <c r="K515" s="49"/>
      <c r="L515" s="50"/>
      <c r="M515" s="43" t="str">
        <f aca="false">IF(OR($L515="",$F515=""),"",IFERROR($L515/INDEX(Cadastro!$E$6:$E$8,MATCH($F515,Cadastro!$B$6:$B$8,0)),""))</f>
        <v/>
      </c>
      <c r="N515" s="43" t="str">
        <f aca="false">IF(OR($L515="",$I515="",$I515=0),"",$L515/$I515)</f>
        <v/>
      </c>
      <c r="O515" s="51"/>
    </row>
    <row r="516" customFormat="false" ht="15" hidden="false" customHeight="false" outlineLevel="0" collapsed="false">
      <c r="A516" s="45"/>
      <c r="B516" s="37" t="str">
        <f aca="false">IF($A516="","",WEEKNUM($A516,2))</f>
        <v/>
      </c>
      <c r="C516" s="37" t="str">
        <f aca="false">IF($A516="","",CHOOSE(WEEKDAY($A516,2),"Seg","Ter","Qua","Qui","Sex","Sáb","Dom"))</f>
        <v/>
      </c>
      <c r="D516" s="46"/>
      <c r="E516" s="47"/>
      <c r="F516" s="47"/>
      <c r="G516" s="48"/>
      <c r="H516" s="49"/>
      <c r="I516" s="50"/>
      <c r="J516" s="48"/>
      <c r="K516" s="49"/>
      <c r="L516" s="50"/>
      <c r="M516" s="43" t="str">
        <f aca="false">IF(OR($L516="",$F516=""),"",IFERROR($L516/INDEX(Cadastro!$E$6:$E$8,MATCH($F516,Cadastro!$B$6:$B$8,0)),""))</f>
        <v/>
      </c>
      <c r="N516" s="43" t="str">
        <f aca="false">IF(OR($L516="",$I516="",$I516=0),"",$L516/$I516)</f>
        <v/>
      </c>
      <c r="O516" s="51"/>
    </row>
    <row r="517" customFormat="false" ht="15" hidden="false" customHeight="false" outlineLevel="0" collapsed="false">
      <c r="A517" s="45"/>
      <c r="B517" s="37" t="str">
        <f aca="false">IF($A517="","",WEEKNUM($A517,2))</f>
        <v/>
      </c>
      <c r="C517" s="37" t="str">
        <f aca="false">IF($A517="","",CHOOSE(WEEKDAY($A517,2),"Seg","Ter","Qua","Qui","Sex","Sáb","Dom"))</f>
        <v/>
      </c>
      <c r="D517" s="46"/>
      <c r="E517" s="47"/>
      <c r="F517" s="47"/>
      <c r="G517" s="48"/>
      <c r="H517" s="49"/>
      <c r="I517" s="50"/>
      <c r="J517" s="48"/>
      <c r="K517" s="49"/>
      <c r="L517" s="50"/>
      <c r="M517" s="43" t="str">
        <f aca="false">IF(OR($L517="",$F517=""),"",IFERROR($L517/INDEX(Cadastro!$E$6:$E$8,MATCH($F517,Cadastro!$B$6:$B$8,0)),""))</f>
        <v/>
      </c>
      <c r="N517" s="43" t="str">
        <f aca="false">IF(OR($L517="",$I517="",$I517=0),"",$L517/$I517)</f>
        <v/>
      </c>
      <c r="O517" s="51"/>
    </row>
    <row r="518" customFormat="false" ht="15" hidden="false" customHeight="false" outlineLevel="0" collapsed="false">
      <c r="A518" s="45"/>
      <c r="B518" s="37" t="str">
        <f aca="false">IF($A518="","",WEEKNUM($A518,2))</f>
        <v/>
      </c>
      <c r="C518" s="37" t="str">
        <f aca="false">IF($A518="","",CHOOSE(WEEKDAY($A518,2),"Seg","Ter","Qua","Qui","Sex","Sáb","Dom"))</f>
        <v/>
      </c>
      <c r="D518" s="46"/>
      <c r="E518" s="47"/>
      <c r="F518" s="47"/>
      <c r="G518" s="48"/>
      <c r="H518" s="49"/>
      <c r="I518" s="50"/>
      <c r="J518" s="48"/>
      <c r="K518" s="49"/>
      <c r="L518" s="50"/>
      <c r="M518" s="43" t="str">
        <f aca="false">IF(OR($L518="",$F518=""),"",IFERROR($L518/INDEX(Cadastro!$E$6:$E$8,MATCH($F518,Cadastro!$B$6:$B$8,0)),""))</f>
        <v/>
      </c>
      <c r="N518" s="43" t="str">
        <f aca="false">IF(OR($L518="",$I518="",$I518=0),"",$L518/$I518)</f>
        <v/>
      </c>
      <c r="O518" s="51"/>
    </row>
    <row r="519" customFormat="false" ht="15" hidden="false" customHeight="false" outlineLevel="0" collapsed="false">
      <c r="A519" s="45"/>
      <c r="B519" s="37" t="str">
        <f aca="false">IF($A519="","",WEEKNUM($A519,2))</f>
        <v/>
      </c>
      <c r="C519" s="37" t="str">
        <f aca="false">IF($A519="","",CHOOSE(WEEKDAY($A519,2),"Seg","Ter","Qua","Qui","Sex","Sáb","Dom"))</f>
        <v/>
      </c>
      <c r="D519" s="46"/>
      <c r="E519" s="47"/>
      <c r="F519" s="47"/>
      <c r="G519" s="48"/>
      <c r="H519" s="49"/>
      <c r="I519" s="50"/>
      <c r="J519" s="48"/>
      <c r="K519" s="49"/>
      <c r="L519" s="50"/>
      <c r="M519" s="43" t="str">
        <f aca="false">IF(OR($L519="",$F519=""),"",IFERROR($L519/INDEX(Cadastro!$E$6:$E$8,MATCH($F519,Cadastro!$B$6:$B$8,0)),""))</f>
        <v/>
      </c>
      <c r="N519" s="43" t="str">
        <f aca="false">IF(OR($L519="",$I519="",$I519=0),"",$L519/$I519)</f>
        <v/>
      </c>
      <c r="O519" s="51"/>
    </row>
    <row r="520" customFormat="false" ht="15" hidden="false" customHeight="false" outlineLevel="0" collapsed="false">
      <c r="A520" s="45"/>
      <c r="B520" s="37" t="str">
        <f aca="false">IF($A520="","",WEEKNUM($A520,2))</f>
        <v/>
      </c>
      <c r="C520" s="37" t="str">
        <f aca="false">IF($A520="","",CHOOSE(WEEKDAY($A520,2),"Seg","Ter","Qua","Qui","Sex","Sáb","Dom"))</f>
        <v/>
      </c>
      <c r="D520" s="46"/>
      <c r="E520" s="47"/>
      <c r="F520" s="47"/>
      <c r="G520" s="48"/>
      <c r="H520" s="49"/>
      <c r="I520" s="50"/>
      <c r="J520" s="48"/>
      <c r="K520" s="49"/>
      <c r="L520" s="50"/>
      <c r="M520" s="43" t="str">
        <f aca="false">IF(OR($L520="",$F520=""),"",IFERROR($L520/INDEX(Cadastro!$E$6:$E$8,MATCH($F520,Cadastro!$B$6:$B$8,0)),""))</f>
        <v/>
      </c>
      <c r="N520" s="43" t="str">
        <f aca="false">IF(OR($L520="",$I520="",$I520=0),"",$L520/$I520)</f>
        <v/>
      </c>
      <c r="O520" s="51"/>
    </row>
    <row r="521" customFormat="false" ht="15" hidden="false" customHeight="false" outlineLevel="0" collapsed="false">
      <c r="A521" s="45"/>
      <c r="B521" s="37" t="str">
        <f aca="false">IF($A521="","",WEEKNUM($A521,2))</f>
        <v/>
      </c>
      <c r="C521" s="37" t="str">
        <f aca="false">IF($A521="","",CHOOSE(WEEKDAY($A521,2),"Seg","Ter","Qua","Qui","Sex","Sáb","Dom"))</f>
        <v/>
      </c>
      <c r="D521" s="46"/>
      <c r="E521" s="47"/>
      <c r="F521" s="47"/>
      <c r="G521" s="48"/>
      <c r="H521" s="49"/>
      <c r="I521" s="50"/>
      <c r="J521" s="48"/>
      <c r="K521" s="49"/>
      <c r="L521" s="50"/>
      <c r="M521" s="43" t="str">
        <f aca="false">IF(OR($L521="",$F521=""),"",IFERROR($L521/INDEX(Cadastro!$E$6:$E$8,MATCH($F521,Cadastro!$B$6:$B$8,0)),""))</f>
        <v/>
      </c>
      <c r="N521" s="43" t="str">
        <f aca="false">IF(OR($L521="",$I521="",$I521=0),"",$L521/$I521)</f>
        <v/>
      </c>
      <c r="O521" s="51"/>
    </row>
    <row r="522" customFormat="false" ht="15" hidden="false" customHeight="false" outlineLevel="0" collapsed="false">
      <c r="A522" s="45"/>
      <c r="B522" s="37" t="str">
        <f aca="false">IF($A522="","",WEEKNUM($A522,2))</f>
        <v/>
      </c>
      <c r="C522" s="37" t="str">
        <f aca="false">IF($A522="","",CHOOSE(WEEKDAY($A522,2),"Seg","Ter","Qua","Qui","Sex","Sáb","Dom"))</f>
        <v/>
      </c>
      <c r="D522" s="46"/>
      <c r="E522" s="47"/>
      <c r="F522" s="47"/>
      <c r="G522" s="48"/>
      <c r="H522" s="49"/>
      <c r="I522" s="50"/>
      <c r="J522" s="48"/>
      <c r="K522" s="49"/>
      <c r="L522" s="50"/>
      <c r="M522" s="43" t="str">
        <f aca="false">IF(OR($L522="",$F522=""),"",IFERROR($L522/INDEX(Cadastro!$E$6:$E$8,MATCH($F522,Cadastro!$B$6:$B$8,0)),""))</f>
        <v/>
      </c>
      <c r="N522" s="43" t="str">
        <f aca="false">IF(OR($L522="",$I522="",$I522=0),"",$L522/$I522)</f>
        <v/>
      </c>
      <c r="O522" s="51"/>
    </row>
    <row r="523" customFormat="false" ht="15" hidden="false" customHeight="false" outlineLevel="0" collapsed="false">
      <c r="A523" s="45"/>
      <c r="B523" s="37" t="str">
        <f aca="false">IF($A523="","",WEEKNUM($A523,2))</f>
        <v/>
      </c>
      <c r="C523" s="37" t="str">
        <f aca="false">IF($A523="","",CHOOSE(WEEKDAY($A523,2),"Seg","Ter","Qua","Qui","Sex","Sáb","Dom"))</f>
        <v/>
      </c>
      <c r="D523" s="46"/>
      <c r="E523" s="47"/>
      <c r="F523" s="47"/>
      <c r="G523" s="48"/>
      <c r="H523" s="49"/>
      <c r="I523" s="50"/>
      <c r="J523" s="48"/>
      <c r="K523" s="49"/>
      <c r="L523" s="50"/>
      <c r="M523" s="43" t="str">
        <f aca="false">IF(OR($L523="",$F523=""),"",IFERROR($L523/INDEX(Cadastro!$E$6:$E$8,MATCH($F523,Cadastro!$B$6:$B$8,0)),""))</f>
        <v/>
      </c>
      <c r="N523" s="43" t="str">
        <f aca="false">IF(OR($L523="",$I523="",$I523=0),"",$L523/$I523)</f>
        <v/>
      </c>
      <c r="O523" s="51"/>
    </row>
    <row r="524" customFormat="false" ht="15" hidden="false" customHeight="false" outlineLevel="0" collapsed="false">
      <c r="A524" s="45"/>
      <c r="B524" s="37" t="str">
        <f aca="false">IF($A524="","",WEEKNUM($A524,2))</f>
        <v/>
      </c>
      <c r="C524" s="37" t="str">
        <f aca="false">IF($A524="","",CHOOSE(WEEKDAY($A524,2),"Seg","Ter","Qua","Qui","Sex","Sáb","Dom"))</f>
        <v/>
      </c>
      <c r="D524" s="46"/>
      <c r="E524" s="47"/>
      <c r="F524" s="47"/>
      <c r="G524" s="48"/>
      <c r="H524" s="49"/>
      <c r="I524" s="50"/>
      <c r="J524" s="48"/>
      <c r="K524" s="49"/>
      <c r="L524" s="50"/>
      <c r="M524" s="43" t="str">
        <f aca="false">IF(OR($L524="",$F524=""),"",IFERROR($L524/INDEX(Cadastro!$E$6:$E$8,MATCH($F524,Cadastro!$B$6:$B$8,0)),""))</f>
        <v/>
      </c>
      <c r="N524" s="43" t="str">
        <f aca="false">IF(OR($L524="",$I524="",$I524=0),"",$L524/$I524)</f>
        <v/>
      </c>
      <c r="O524" s="51"/>
    </row>
    <row r="525" customFormat="false" ht="15" hidden="false" customHeight="false" outlineLevel="0" collapsed="false">
      <c r="A525" s="45"/>
      <c r="B525" s="37" t="str">
        <f aca="false">IF($A525="","",WEEKNUM($A525,2))</f>
        <v/>
      </c>
      <c r="C525" s="37" t="str">
        <f aca="false">IF($A525="","",CHOOSE(WEEKDAY($A525,2),"Seg","Ter","Qua","Qui","Sex","Sáb","Dom"))</f>
        <v/>
      </c>
      <c r="D525" s="46"/>
      <c r="E525" s="47"/>
      <c r="F525" s="47"/>
      <c r="G525" s="48"/>
      <c r="H525" s="49"/>
      <c r="I525" s="50"/>
      <c r="J525" s="48"/>
      <c r="K525" s="49"/>
      <c r="L525" s="50"/>
      <c r="M525" s="43" t="str">
        <f aca="false">IF(OR($L525="",$F525=""),"",IFERROR($L525/INDEX(Cadastro!$E$6:$E$8,MATCH($F525,Cadastro!$B$6:$B$8,0)),""))</f>
        <v/>
      </c>
      <c r="N525" s="43" t="str">
        <f aca="false">IF(OR($L525="",$I525="",$I525=0),"",$L525/$I525)</f>
        <v/>
      </c>
      <c r="O525" s="51"/>
    </row>
    <row r="526" customFormat="false" ht="15" hidden="false" customHeight="false" outlineLevel="0" collapsed="false">
      <c r="A526" s="45"/>
      <c r="B526" s="37" t="str">
        <f aca="false">IF($A526="","",WEEKNUM($A526,2))</f>
        <v/>
      </c>
      <c r="C526" s="37" t="str">
        <f aca="false">IF($A526="","",CHOOSE(WEEKDAY($A526,2),"Seg","Ter","Qua","Qui","Sex","Sáb","Dom"))</f>
        <v/>
      </c>
      <c r="D526" s="46"/>
      <c r="E526" s="47"/>
      <c r="F526" s="47"/>
      <c r="G526" s="48"/>
      <c r="H526" s="49"/>
      <c r="I526" s="50"/>
      <c r="J526" s="48"/>
      <c r="K526" s="49"/>
      <c r="L526" s="50"/>
      <c r="M526" s="43" t="str">
        <f aca="false">IF(OR($L526="",$F526=""),"",IFERROR($L526/INDEX(Cadastro!$E$6:$E$8,MATCH($F526,Cadastro!$B$6:$B$8,0)),""))</f>
        <v/>
      </c>
      <c r="N526" s="43" t="str">
        <f aca="false">IF(OR($L526="",$I526="",$I526=0),"",$L526/$I526)</f>
        <v/>
      </c>
      <c r="O526" s="51"/>
    </row>
    <row r="527" customFormat="false" ht="15" hidden="false" customHeight="false" outlineLevel="0" collapsed="false">
      <c r="A527" s="45"/>
      <c r="B527" s="37" t="str">
        <f aca="false">IF($A527="","",WEEKNUM($A527,2))</f>
        <v/>
      </c>
      <c r="C527" s="37" t="str">
        <f aca="false">IF($A527="","",CHOOSE(WEEKDAY($A527,2),"Seg","Ter","Qua","Qui","Sex","Sáb","Dom"))</f>
        <v/>
      </c>
      <c r="D527" s="46"/>
      <c r="E527" s="47"/>
      <c r="F527" s="47"/>
      <c r="G527" s="48"/>
      <c r="H527" s="49"/>
      <c r="I527" s="50"/>
      <c r="J527" s="48"/>
      <c r="K527" s="49"/>
      <c r="L527" s="50"/>
      <c r="M527" s="43" t="str">
        <f aca="false">IF(OR($L527="",$F527=""),"",IFERROR($L527/INDEX(Cadastro!$E$6:$E$8,MATCH($F527,Cadastro!$B$6:$B$8,0)),""))</f>
        <v/>
      </c>
      <c r="N527" s="43" t="str">
        <f aca="false">IF(OR($L527="",$I527="",$I527=0),"",$L527/$I527)</f>
        <v/>
      </c>
      <c r="O527" s="51"/>
    </row>
    <row r="528" customFormat="false" ht="15" hidden="false" customHeight="false" outlineLevel="0" collapsed="false">
      <c r="A528" s="45"/>
      <c r="B528" s="37" t="str">
        <f aca="false">IF($A528="","",WEEKNUM($A528,2))</f>
        <v/>
      </c>
      <c r="C528" s="37" t="str">
        <f aca="false">IF($A528="","",CHOOSE(WEEKDAY($A528,2),"Seg","Ter","Qua","Qui","Sex","Sáb","Dom"))</f>
        <v/>
      </c>
      <c r="D528" s="46"/>
      <c r="E528" s="47"/>
      <c r="F528" s="47"/>
      <c r="G528" s="48"/>
      <c r="H528" s="49"/>
      <c r="I528" s="50"/>
      <c r="J528" s="48"/>
      <c r="K528" s="49"/>
      <c r="L528" s="50"/>
      <c r="M528" s="43" t="str">
        <f aca="false">IF(OR($L528="",$F528=""),"",IFERROR($L528/INDEX(Cadastro!$E$6:$E$8,MATCH($F528,Cadastro!$B$6:$B$8,0)),""))</f>
        <v/>
      </c>
      <c r="N528" s="43" t="str">
        <f aca="false">IF(OR($L528="",$I528="",$I528=0),"",$L528/$I528)</f>
        <v/>
      </c>
      <c r="O528" s="51"/>
    </row>
    <row r="529" customFormat="false" ht="15" hidden="false" customHeight="false" outlineLevel="0" collapsed="false">
      <c r="A529" s="45"/>
      <c r="B529" s="37" t="str">
        <f aca="false">IF($A529="","",WEEKNUM($A529,2))</f>
        <v/>
      </c>
      <c r="C529" s="37" t="str">
        <f aca="false">IF($A529="","",CHOOSE(WEEKDAY($A529,2),"Seg","Ter","Qua","Qui","Sex","Sáb","Dom"))</f>
        <v/>
      </c>
      <c r="D529" s="46"/>
      <c r="E529" s="47"/>
      <c r="F529" s="47"/>
      <c r="G529" s="48"/>
      <c r="H529" s="49"/>
      <c r="I529" s="50"/>
      <c r="J529" s="48"/>
      <c r="K529" s="49"/>
      <c r="L529" s="50"/>
      <c r="M529" s="43" t="str">
        <f aca="false">IF(OR($L529="",$F529=""),"",IFERROR($L529/INDEX(Cadastro!$E$6:$E$8,MATCH($F529,Cadastro!$B$6:$B$8,0)),""))</f>
        <v/>
      </c>
      <c r="N529" s="43" t="str">
        <f aca="false">IF(OR($L529="",$I529="",$I529=0),"",$L529/$I529)</f>
        <v/>
      </c>
      <c r="O529" s="51"/>
    </row>
    <row r="530" customFormat="false" ht="15" hidden="false" customHeight="false" outlineLevel="0" collapsed="false">
      <c r="A530" s="45"/>
      <c r="B530" s="37" t="str">
        <f aca="false">IF($A530="","",WEEKNUM($A530,2))</f>
        <v/>
      </c>
      <c r="C530" s="37" t="str">
        <f aca="false">IF($A530="","",CHOOSE(WEEKDAY($A530,2),"Seg","Ter","Qua","Qui","Sex","Sáb","Dom"))</f>
        <v/>
      </c>
      <c r="D530" s="46"/>
      <c r="E530" s="47"/>
      <c r="F530" s="47"/>
      <c r="G530" s="48"/>
      <c r="H530" s="49"/>
      <c r="I530" s="50"/>
      <c r="J530" s="48"/>
      <c r="K530" s="49"/>
      <c r="L530" s="50"/>
      <c r="M530" s="43" t="str">
        <f aca="false">IF(OR($L530="",$F530=""),"",IFERROR($L530/INDEX(Cadastro!$E$6:$E$8,MATCH($F530,Cadastro!$B$6:$B$8,0)),""))</f>
        <v/>
      </c>
      <c r="N530" s="43" t="str">
        <f aca="false">IF(OR($L530="",$I530="",$I530=0),"",$L530/$I530)</f>
        <v/>
      </c>
      <c r="O530" s="51"/>
    </row>
    <row r="531" customFormat="false" ht="15" hidden="false" customHeight="false" outlineLevel="0" collapsed="false">
      <c r="A531" s="45"/>
      <c r="B531" s="37" t="str">
        <f aca="false">IF($A531="","",WEEKNUM($A531,2))</f>
        <v/>
      </c>
      <c r="C531" s="37" t="str">
        <f aca="false">IF($A531="","",CHOOSE(WEEKDAY($A531,2),"Seg","Ter","Qua","Qui","Sex","Sáb","Dom"))</f>
        <v/>
      </c>
      <c r="D531" s="46"/>
      <c r="E531" s="47"/>
      <c r="F531" s="47"/>
      <c r="G531" s="48"/>
      <c r="H531" s="49"/>
      <c r="I531" s="50"/>
      <c r="J531" s="48"/>
      <c r="K531" s="49"/>
      <c r="L531" s="50"/>
      <c r="M531" s="43" t="str">
        <f aca="false">IF(OR($L531="",$F531=""),"",IFERROR($L531/INDEX(Cadastro!$E$6:$E$8,MATCH($F531,Cadastro!$B$6:$B$8,0)),""))</f>
        <v/>
      </c>
      <c r="N531" s="43" t="str">
        <f aca="false">IF(OR($L531="",$I531="",$I531=0),"",$L531/$I531)</f>
        <v/>
      </c>
      <c r="O531" s="51"/>
    </row>
    <row r="532" customFormat="false" ht="15" hidden="false" customHeight="false" outlineLevel="0" collapsed="false">
      <c r="A532" s="45"/>
      <c r="B532" s="37" t="str">
        <f aca="false">IF($A532="","",WEEKNUM($A532,2))</f>
        <v/>
      </c>
      <c r="C532" s="37" t="str">
        <f aca="false">IF($A532="","",CHOOSE(WEEKDAY($A532,2),"Seg","Ter","Qua","Qui","Sex","Sáb","Dom"))</f>
        <v/>
      </c>
      <c r="D532" s="46"/>
      <c r="E532" s="47"/>
      <c r="F532" s="47"/>
      <c r="G532" s="48"/>
      <c r="H532" s="49"/>
      <c r="I532" s="50"/>
      <c r="J532" s="48"/>
      <c r="K532" s="49"/>
      <c r="L532" s="50"/>
      <c r="M532" s="43" t="str">
        <f aca="false">IF(OR($L532="",$F532=""),"",IFERROR($L532/INDEX(Cadastro!$E$6:$E$8,MATCH($F532,Cadastro!$B$6:$B$8,0)),""))</f>
        <v/>
      </c>
      <c r="N532" s="43" t="str">
        <f aca="false">IF(OR($L532="",$I532="",$I532=0),"",$L532/$I532)</f>
        <v/>
      </c>
      <c r="O532" s="51"/>
    </row>
    <row r="533" customFormat="false" ht="15" hidden="false" customHeight="false" outlineLevel="0" collapsed="false">
      <c r="A533" s="45"/>
      <c r="B533" s="37" t="str">
        <f aca="false">IF($A533="","",WEEKNUM($A533,2))</f>
        <v/>
      </c>
      <c r="C533" s="37" t="str">
        <f aca="false">IF($A533="","",CHOOSE(WEEKDAY($A533,2),"Seg","Ter","Qua","Qui","Sex","Sáb","Dom"))</f>
        <v/>
      </c>
      <c r="D533" s="46"/>
      <c r="E533" s="47"/>
      <c r="F533" s="47"/>
      <c r="G533" s="48"/>
      <c r="H533" s="49"/>
      <c r="I533" s="50"/>
      <c r="J533" s="48"/>
      <c r="K533" s="49"/>
      <c r="L533" s="50"/>
      <c r="M533" s="43" t="str">
        <f aca="false">IF(OR($L533="",$F533=""),"",IFERROR($L533/INDEX(Cadastro!$E$6:$E$8,MATCH($F533,Cadastro!$B$6:$B$8,0)),""))</f>
        <v/>
      </c>
      <c r="N533" s="43" t="str">
        <f aca="false">IF(OR($L533="",$I533="",$I533=0),"",$L533/$I533)</f>
        <v/>
      </c>
      <c r="O533" s="51"/>
    </row>
    <row r="534" customFormat="false" ht="15" hidden="false" customHeight="false" outlineLevel="0" collapsed="false">
      <c r="A534" s="45"/>
      <c r="B534" s="37" t="str">
        <f aca="false">IF($A534="","",WEEKNUM($A534,2))</f>
        <v/>
      </c>
      <c r="C534" s="37" t="str">
        <f aca="false">IF($A534="","",CHOOSE(WEEKDAY($A534,2),"Seg","Ter","Qua","Qui","Sex","Sáb","Dom"))</f>
        <v/>
      </c>
      <c r="D534" s="46"/>
      <c r="E534" s="47"/>
      <c r="F534" s="47"/>
      <c r="G534" s="48"/>
      <c r="H534" s="49"/>
      <c r="I534" s="50"/>
      <c r="J534" s="48"/>
      <c r="K534" s="49"/>
      <c r="L534" s="50"/>
      <c r="M534" s="43" t="str">
        <f aca="false">IF(OR($L534="",$F534=""),"",IFERROR($L534/INDEX(Cadastro!$E$6:$E$8,MATCH($F534,Cadastro!$B$6:$B$8,0)),""))</f>
        <v/>
      </c>
      <c r="N534" s="43" t="str">
        <f aca="false">IF(OR($L534="",$I534="",$I534=0),"",$L534/$I534)</f>
        <v/>
      </c>
      <c r="O534" s="51"/>
    </row>
    <row r="535" customFormat="false" ht="15" hidden="false" customHeight="false" outlineLevel="0" collapsed="false">
      <c r="A535" s="45"/>
      <c r="B535" s="37" t="str">
        <f aca="false">IF($A535="","",WEEKNUM($A535,2))</f>
        <v/>
      </c>
      <c r="C535" s="37" t="str">
        <f aca="false">IF($A535="","",CHOOSE(WEEKDAY($A535,2),"Seg","Ter","Qua","Qui","Sex","Sáb","Dom"))</f>
        <v/>
      </c>
      <c r="D535" s="46"/>
      <c r="E535" s="47"/>
      <c r="F535" s="47"/>
      <c r="G535" s="48"/>
      <c r="H535" s="49"/>
      <c r="I535" s="50"/>
      <c r="J535" s="48"/>
      <c r="K535" s="49"/>
      <c r="L535" s="50"/>
      <c r="M535" s="43" t="str">
        <f aca="false">IF(OR($L535="",$F535=""),"",IFERROR($L535/INDEX(Cadastro!$E$6:$E$8,MATCH($F535,Cadastro!$B$6:$B$8,0)),""))</f>
        <v/>
      </c>
      <c r="N535" s="43" t="str">
        <f aca="false">IF(OR($L535="",$I535="",$I535=0),"",$L535/$I535)</f>
        <v/>
      </c>
      <c r="O535" s="51"/>
    </row>
    <row r="536" customFormat="false" ht="15" hidden="false" customHeight="false" outlineLevel="0" collapsed="false">
      <c r="A536" s="45"/>
      <c r="B536" s="37" t="str">
        <f aca="false">IF($A536="","",WEEKNUM($A536,2))</f>
        <v/>
      </c>
      <c r="C536" s="37" t="str">
        <f aca="false">IF($A536="","",CHOOSE(WEEKDAY($A536,2),"Seg","Ter","Qua","Qui","Sex","Sáb","Dom"))</f>
        <v/>
      </c>
      <c r="D536" s="46"/>
      <c r="E536" s="47"/>
      <c r="F536" s="47"/>
      <c r="G536" s="48"/>
      <c r="H536" s="49"/>
      <c r="I536" s="50"/>
      <c r="J536" s="48"/>
      <c r="K536" s="49"/>
      <c r="L536" s="50"/>
      <c r="M536" s="43" t="str">
        <f aca="false">IF(OR($L536="",$F536=""),"",IFERROR($L536/INDEX(Cadastro!$E$6:$E$8,MATCH($F536,Cadastro!$B$6:$B$8,0)),""))</f>
        <v/>
      </c>
      <c r="N536" s="43" t="str">
        <f aca="false">IF(OR($L536="",$I536="",$I536=0),"",$L536/$I536)</f>
        <v/>
      </c>
      <c r="O536" s="51"/>
    </row>
    <row r="537" customFormat="false" ht="15" hidden="false" customHeight="false" outlineLevel="0" collapsed="false">
      <c r="A537" s="45"/>
      <c r="B537" s="37" t="str">
        <f aca="false">IF($A537="","",WEEKNUM($A537,2))</f>
        <v/>
      </c>
      <c r="C537" s="37" t="str">
        <f aca="false">IF($A537="","",CHOOSE(WEEKDAY($A537,2),"Seg","Ter","Qua","Qui","Sex","Sáb","Dom"))</f>
        <v/>
      </c>
      <c r="D537" s="46"/>
      <c r="E537" s="47"/>
      <c r="F537" s="47"/>
      <c r="G537" s="48"/>
      <c r="H537" s="49"/>
      <c r="I537" s="50"/>
      <c r="J537" s="48"/>
      <c r="K537" s="49"/>
      <c r="L537" s="50"/>
      <c r="M537" s="43" t="str">
        <f aca="false">IF(OR($L537="",$F537=""),"",IFERROR($L537/INDEX(Cadastro!$E$6:$E$8,MATCH($F537,Cadastro!$B$6:$B$8,0)),""))</f>
        <v/>
      </c>
      <c r="N537" s="43" t="str">
        <f aca="false">IF(OR($L537="",$I537="",$I537=0),"",$L537/$I537)</f>
        <v/>
      </c>
      <c r="O537" s="51"/>
    </row>
    <row r="538" customFormat="false" ht="15" hidden="false" customHeight="false" outlineLevel="0" collapsed="false">
      <c r="A538" s="45"/>
      <c r="B538" s="37" t="str">
        <f aca="false">IF($A538="","",WEEKNUM($A538,2))</f>
        <v/>
      </c>
      <c r="C538" s="37" t="str">
        <f aca="false">IF($A538="","",CHOOSE(WEEKDAY($A538,2),"Seg","Ter","Qua","Qui","Sex","Sáb","Dom"))</f>
        <v/>
      </c>
      <c r="D538" s="46"/>
      <c r="E538" s="47"/>
      <c r="F538" s="47"/>
      <c r="G538" s="48"/>
      <c r="H538" s="49"/>
      <c r="I538" s="50"/>
      <c r="J538" s="48"/>
      <c r="K538" s="49"/>
      <c r="L538" s="50"/>
      <c r="M538" s="43" t="str">
        <f aca="false">IF(OR($L538="",$F538=""),"",IFERROR($L538/INDEX(Cadastro!$E$6:$E$8,MATCH($F538,Cadastro!$B$6:$B$8,0)),""))</f>
        <v/>
      </c>
      <c r="N538" s="43" t="str">
        <f aca="false">IF(OR($L538="",$I538="",$I538=0),"",$L538/$I538)</f>
        <v/>
      </c>
      <c r="O538" s="51"/>
    </row>
    <row r="539" customFormat="false" ht="15" hidden="false" customHeight="false" outlineLevel="0" collapsed="false">
      <c r="A539" s="45"/>
      <c r="B539" s="37" t="str">
        <f aca="false">IF($A539="","",WEEKNUM($A539,2))</f>
        <v/>
      </c>
      <c r="C539" s="37" t="str">
        <f aca="false">IF($A539="","",CHOOSE(WEEKDAY($A539,2),"Seg","Ter","Qua","Qui","Sex","Sáb","Dom"))</f>
        <v/>
      </c>
      <c r="D539" s="46"/>
      <c r="E539" s="47"/>
      <c r="F539" s="47"/>
      <c r="G539" s="48"/>
      <c r="H539" s="49"/>
      <c r="I539" s="50"/>
      <c r="J539" s="48"/>
      <c r="K539" s="49"/>
      <c r="L539" s="50"/>
      <c r="M539" s="43" t="str">
        <f aca="false">IF(OR($L539="",$F539=""),"",IFERROR($L539/INDEX(Cadastro!$E$6:$E$8,MATCH($F539,Cadastro!$B$6:$B$8,0)),""))</f>
        <v/>
      </c>
      <c r="N539" s="43" t="str">
        <f aca="false">IF(OR($L539="",$I539="",$I539=0),"",$L539/$I539)</f>
        <v/>
      </c>
      <c r="O539" s="51"/>
    </row>
    <row r="540" customFormat="false" ht="15" hidden="false" customHeight="false" outlineLevel="0" collapsed="false">
      <c r="A540" s="45"/>
      <c r="B540" s="37" t="str">
        <f aca="false">IF($A540="","",WEEKNUM($A540,2))</f>
        <v/>
      </c>
      <c r="C540" s="37" t="str">
        <f aca="false">IF($A540="","",CHOOSE(WEEKDAY($A540,2),"Seg","Ter","Qua","Qui","Sex","Sáb","Dom"))</f>
        <v/>
      </c>
      <c r="D540" s="46"/>
      <c r="E540" s="47"/>
      <c r="F540" s="47"/>
      <c r="G540" s="48"/>
      <c r="H540" s="49"/>
      <c r="I540" s="50"/>
      <c r="J540" s="48"/>
      <c r="K540" s="49"/>
      <c r="L540" s="50"/>
      <c r="M540" s="43" t="str">
        <f aca="false">IF(OR($L540="",$F540=""),"",IFERROR($L540/INDEX(Cadastro!$E$6:$E$8,MATCH($F540,Cadastro!$B$6:$B$8,0)),""))</f>
        <v/>
      </c>
      <c r="N540" s="43" t="str">
        <f aca="false">IF(OR($L540="",$I540="",$I540=0),"",$L540/$I540)</f>
        <v/>
      </c>
      <c r="O540" s="51"/>
    </row>
    <row r="541" customFormat="false" ht="15" hidden="false" customHeight="false" outlineLevel="0" collapsed="false">
      <c r="A541" s="45"/>
      <c r="B541" s="37" t="str">
        <f aca="false">IF($A541="","",WEEKNUM($A541,2))</f>
        <v/>
      </c>
      <c r="C541" s="37" t="str">
        <f aca="false">IF($A541="","",CHOOSE(WEEKDAY($A541,2),"Seg","Ter","Qua","Qui","Sex","Sáb","Dom"))</f>
        <v/>
      </c>
      <c r="D541" s="46"/>
      <c r="E541" s="47"/>
      <c r="F541" s="47"/>
      <c r="G541" s="48"/>
      <c r="H541" s="49"/>
      <c r="I541" s="50"/>
      <c r="J541" s="48"/>
      <c r="K541" s="49"/>
      <c r="L541" s="50"/>
      <c r="M541" s="43" t="str">
        <f aca="false">IF(OR($L541="",$F541=""),"",IFERROR($L541/INDEX(Cadastro!$E$6:$E$8,MATCH($F541,Cadastro!$B$6:$B$8,0)),""))</f>
        <v/>
      </c>
      <c r="N541" s="43" t="str">
        <f aca="false">IF(OR($L541="",$I541="",$I541=0),"",$L541/$I541)</f>
        <v/>
      </c>
      <c r="O541" s="51"/>
    </row>
    <row r="542" customFormat="false" ht="15" hidden="false" customHeight="false" outlineLevel="0" collapsed="false">
      <c r="A542" s="45"/>
      <c r="B542" s="37" t="str">
        <f aca="false">IF($A542="","",WEEKNUM($A542,2))</f>
        <v/>
      </c>
      <c r="C542" s="37" t="str">
        <f aca="false">IF($A542="","",CHOOSE(WEEKDAY($A542,2),"Seg","Ter","Qua","Qui","Sex","Sáb","Dom"))</f>
        <v/>
      </c>
      <c r="D542" s="46"/>
      <c r="E542" s="47"/>
      <c r="F542" s="47"/>
      <c r="G542" s="48"/>
      <c r="H542" s="49"/>
      <c r="I542" s="50"/>
      <c r="J542" s="48"/>
      <c r="K542" s="49"/>
      <c r="L542" s="50"/>
      <c r="M542" s="43" t="str">
        <f aca="false">IF(OR($L542="",$F542=""),"",IFERROR($L542/INDEX(Cadastro!$E$6:$E$8,MATCH($F542,Cadastro!$B$6:$B$8,0)),""))</f>
        <v/>
      </c>
      <c r="N542" s="43" t="str">
        <f aca="false">IF(OR($L542="",$I542="",$I542=0),"",$L542/$I542)</f>
        <v/>
      </c>
      <c r="O542" s="51"/>
    </row>
    <row r="543" customFormat="false" ht="15" hidden="false" customHeight="false" outlineLevel="0" collapsed="false">
      <c r="A543" s="45"/>
      <c r="B543" s="37" t="str">
        <f aca="false">IF($A543="","",WEEKNUM($A543,2))</f>
        <v/>
      </c>
      <c r="C543" s="37" t="str">
        <f aca="false">IF($A543="","",CHOOSE(WEEKDAY($A543,2),"Seg","Ter","Qua","Qui","Sex","Sáb","Dom"))</f>
        <v/>
      </c>
      <c r="D543" s="46"/>
      <c r="E543" s="47"/>
      <c r="F543" s="47"/>
      <c r="G543" s="48"/>
      <c r="H543" s="49"/>
      <c r="I543" s="50"/>
      <c r="J543" s="48"/>
      <c r="K543" s="49"/>
      <c r="L543" s="50"/>
      <c r="M543" s="43" t="str">
        <f aca="false">IF(OR($L543="",$F543=""),"",IFERROR($L543/INDEX(Cadastro!$E$6:$E$8,MATCH($F543,Cadastro!$B$6:$B$8,0)),""))</f>
        <v/>
      </c>
      <c r="N543" s="43" t="str">
        <f aca="false">IF(OR($L543="",$I543="",$I543=0),"",$L543/$I543)</f>
        <v/>
      </c>
      <c r="O543" s="51"/>
    </row>
    <row r="544" customFormat="false" ht="15" hidden="false" customHeight="false" outlineLevel="0" collapsed="false">
      <c r="A544" s="45"/>
      <c r="B544" s="37" t="str">
        <f aca="false">IF($A544="","",WEEKNUM($A544,2))</f>
        <v/>
      </c>
      <c r="C544" s="37" t="str">
        <f aca="false">IF($A544="","",CHOOSE(WEEKDAY($A544,2),"Seg","Ter","Qua","Qui","Sex","Sáb","Dom"))</f>
        <v/>
      </c>
      <c r="D544" s="46"/>
      <c r="E544" s="47"/>
      <c r="F544" s="47"/>
      <c r="G544" s="48"/>
      <c r="H544" s="49"/>
      <c r="I544" s="50"/>
      <c r="J544" s="48"/>
      <c r="K544" s="49"/>
      <c r="L544" s="50"/>
      <c r="M544" s="43" t="str">
        <f aca="false">IF(OR($L544="",$F544=""),"",IFERROR($L544/INDEX(Cadastro!$E$6:$E$8,MATCH($F544,Cadastro!$B$6:$B$8,0)),""))</f>
        <v/>
      </c>
      <c r="N544" s="43" t="str">
        <f aca="false">IF(OR($L544="",$I544="",$I544=0),"",$L544/$I544)</f>
        <v/>
      </c>
      <c r="O544" s="51"/>
    </row>
    <row r="545" customFormat="false" ht="15" hidden="false" customHeight="false" outlineLevel="0" collapsed="false">
      <c r="A545" s="45"/>
      <c r="B545" s="37" t="str">
        <f aca="false">IF($A545="","",WEEKNUM($A545,2))</f>
        <v/>
      </c>
      <c r="C545" s="37" t="str">
        <f aca="false">IF($A545="","",CHOOSE(WEEKDAY($A545,2),"Seg","Ter","Qua","Qui","Sex","Sáb","Dom"))</f>
        <v/>
      </c>
      <c r="D545" s="46"/>
      <c r="E545" s="47"/>
      <c r="F545" s="47"/>
      <c r="G545" s="48"/>
      <c r="H545" s="49"/>
      <c r="I545" s="50"/>
      <c r="J545" s="48"/>
      <c r="K545" s="49"/>
      <c r="L545" s="50"/>
      <c r="M545" s="43" t="str">
        <f aca="false">IF(OR($L545="",$F545=""),"",IFERROR($L545/INDEX(Cadastro!$E$6:$E$8,MATCH($F545,Cadastro!$B$6:$B$8,0)),""))</f>
        <v/>
      </c>
      <c r="N545" s="43" t="str">
        <f aca="false">IF(OR($L545="",$I545="",$I545=0),"",$L545/$I545)</f>
        <v/>
      </c>
      <c r="O545" s="51"/>
    </row>
    <row r="546" customFormat="false" ht="15" hidden="false" customHeight="false" outlineLevel="0" collapsed="false">
      <c r="A546" s="45"/>
      <c r="B546" s="37" t="str">
        <f aca="false">IF($A546="","",WEEKNUM($A546,2))</f>
        <v/>
      </c>
      <c r="C546" s="37" t="str">
        <f aca="false">IF($A546="","",CHOOSE(WEEKDAY($A546,2),"Seg","Ter","Qua","Qui","Sex","Sáb","Dom"))</f>
        <v/>
      </c>
      <c r="D546" s="46"/>
      <c r="E546" s="47"/>
      <c r="F546" s="47"/>
      <c r="G546" s="48"/>
      <c r="H546" s="49"/>
      <c r="I546" s="50"/>
      <c r="J546" s="48"/>
      <c r="K546" s="49"/>
      <c r="L546" s="50"/>
      <c r="M546" s="43" t="str">
        <f aca="false">IF(OR($L546="",$F546=""),"",IFERROR($L546/INDEX(Cadastro!$E$6:$E$8,MATCH($F546,Cadastro!$B$6:$B$8,0)),""))</f>
        <v/>
      </c>
      <c r="N546" s="43" t="str">
        <f aca="false">IF(OR($L546="",$I546="",$I546=0),"",$L546/$I546)</f>
        <v/>
      </c>
      <c r="O546" s="51"/>
    </row>
    <row r="547" customFormat="false" ht="15" hidden="false" customHeight="false" outlineLevel="0" collapsed="false">
      <c r="A547" s="45"/>
      <c r="B547" s="37" t="str">
        <f aca="false">IF($A547="","",WEEKNUM($A547,2))</f>
        <v/>
      </c>
      <c r="C547" s="37" t="str">
        <f aca="false">IF($A547="","",CHOOSE(WEEKDAY($A547,2),"Seg","Ter","Qua","Qui","Sex","Sáb","Dom"))</f>
        <v/>
      </c>
      <c r="D547" s="46"/>
      <c r="E547" s="47"/>
      <c r="F547" s="47"/>
      <c r="G547" s="48"/>
      <c r="H547" s="49"/>
      <c r="I547" s="50"/>
      <c r="J547" s="48"/>
      <c r="K547" s="49"/>
      <c r="L547" s="50"/>
      <c r="M547" s="43" t="str">
        <f aca="false">IF(OR($L547="",$F547=""),"",IFERROR($L547/INDEX(Cadastro!$E$6:$E$8,MATCH($F547,Cadastro!$B$6:$B$8,0)),""))</f>
        <v/>
      </c>
      <c r="N547" s="43" t="str">
        <f aca="false">IF(OR($L547="",$I547="",$I547=0),"",$L547/$I547)</f>
        <v/>
      </c>
      <c r="O547" s="51"/>
    </row>
    <row r="548" customFormat="false" ht="15" hidden="false" customHeight="false" outlineLevel="0" collapsed="false">
      <c r="A548" s="45"/>
      <c r="B548" s="37" t="str">
        <f aca="false">IF($A548="","",WEEKNUM($A548,2))</f>
        <v/>
      </c>
      <c r="C548" s="37" t="str">
        <f aca="false">IF($A548="","",CHOOSE(WEEKDAY($A548,2),"Seg","Ter","Qua","Qui","Sex","Sáb","Dom"))</f>
        <v/>
      </c>
      <c r="D548" s="46"/>
      <c r="E548" s="47"/>
      <c r="F548" s="47"/>
      <c r="G548" s="48"/>
      <c r="H548" s="49"/>
      <c r="I548" s="50"/>
      <c r="J548" s="48"/>
      <c r="K548" s="49"/>
      <c r="L548" s="50"/>
      <c r="M548" s="43" t="str">
        <f aca="false">IF(OR($L548="",$F548=""),"",IFERROR($L548/INDEX(Cadastro!$E$6:$E$8,MATCH($F548,Cadastro!$B$6:$B$8,0)),""))</f>
        <v/>
      </c>
      <c r="N548" s="43" t="str">
        <f aca="false">IF(OR($L548="",$I548="",$I548=0),"",$L548/$I548)</f>
        <v/>
      </c>
      <c r="O548" s="51"/>
    </row>
    <row r="549" customFormat="false" ht="15" hidden="false" customHeight="false" outlineLevel="0" collapsed="false">
      <c r="A549" s="45"/>
      <c r="B549" s="37" t="str">
        <f aca="false">IF($A549="","",WEEKNUM($A549,2))</f>
        <v/>
      </c>
      <c r="C549" s="37" t="str">
        <f aca="false">IF($A549="","",CHOOSE(WEEKDAY($A549,2),"Seg","Ter","Qua","Qui","Sex","Sáb","Dom"))</f>
        <v/>
      </c>
      <c r="D549" s="46"/>
      <c r="E549" s="47"/>
      <c r="F549" s="47"/>
      <c r="G549" s="48"/>
      <c r="H549" s="49"/>
      <c r="I549" s="50"/>
      <c r="J549" s="48"/>
      <c r="K549" s="49"/>
      <c r="L549" s="50"/>
      <c r="M549" s="43" t="str">
        <f aca="false">IF(OR($L549="",$F549=""),"",IFERROR($L549/INDEX(Cadastro!$E$6:$E$8,MATCH($F549,Cadastro!$B$6:$B$8,0)),""))</f>
        <v/>
      </c>
      <c r="N549" s="43" t="str">
        <f aca="false">IF(OR($L549="",$I549="",$I549=0),"",$L549/$I549)</f>
        <v/>
      </c>
      <c r="O549" s="51"/>
    </row>
    <row r="550" customFormat="false" ht="15" hidden="false" customHeight="false" outlineLevel="0" collapsed="false">
      <c r="A550" s="45"/>
      <c r="B550" s="37" t="str">
        <f aca="false">IF($A550="","",WEEKNUM($A550,2))</f>
        <v/>
      </c>
      <c r="C550" s="37" t="str">
        <f aca="false">IF($A550="","",CHOOSE(WEEKDAY($A550,2),"Seg","Ter","Qua","Qui","Sex","Sáb","Dom"))</f>
        <v/>
      </c>
      <c r="D550" s="46"/>
      <c r="E550" s="47"/>
      <c r="F550" s="47"/>
      <c r="G550" s="48"/>
      <c r="H550" s="49"/>
      <c r="I550" s="50"/>
      <c r="J550" s="48"/>
      <c r="K550" s="49"/>
      <c r="L550" s="50"/>
      <c r="M550" s="43" t="str">
        <f aca="false">IF(OR($L550="",$F550=""),"",IFERROR($L550/INDEX(Cadastro!$E$6:$E$8,MATCH($F550,Cadastro!$B$6:$B$8,0)),""))</f>
        <v/>
      </c>
      <c r="N550" s="43" t="str">
        <f aca="false">IF(OR($L550="",$I550="",$I550=0),"",$L550/$I550)</f>
        <v/>
      </c>
      <c r="O550" s="51"/>
    </row>
    <row r="551" customFormat="false" ht="15" hidden="false" customHeight="false" outlineLevel="0" collapsed="false">
      <c r="A551" s="45"/>
      <c r="B551" s="37" t="str">
        <f aca="false">IF($A551="","",WEEKNUM($A551,2))</f>
        <v/>
      </c>
      <c r="C551" s="37" t="str">
        <f aca="false">IF($A551="","",CHOOSE(WEEKDAY($A551,2),"Seg","Ter","Qua","Qui","Sex","Sáb","Dom"))</f>
        <v/>
      </c>
      <c r="D551" s="46"/>
      <c r="E551" s="47"/>
      <c r="F551" s="47"/>
      <c r="G551" s="48"/>
      <c r="H551" s="49"/>
      <c r="I551" s="50"/>
      <c r="J551" s="48"/>
      <c r="K551" s="49"/>
      <c r="L551" s="50"/>
      <c r="M551" s="43" t="str">
        <f aca="false">IF(OR($L551="",$F551=""),"",IFERROR($L551/INDEX(Cadastro!$E$6:$E$8,MATCH($F551,Cadastro!$B$6:$B$8,0)),""))</f>
        <v/>
      </c>
      <c r="N551" s="43" t="str">
        <f aca="false">IF(OR($L551="",$I551="",$I551=0),"",$L551/$I551)</f>
        <v/>
      </c>
      <c r="O551" s="51"/>
    </row>
    <row r="552" customFormat="false" ht="15" hidden="false" customHeight="false" outlineLevel="0" collapsed="false">
      <c r="A552" s="45"/>
      <c r="B552" s="37" t="str">
        <f aca="false">IF($A552="","",WEEKNUM($A552,2))</f>
        <v/>
      </c>
      <c r="C552" s="37" t="str">
        <f aca="false">IF($A552="","",CHOOSE(WEEKDAY($A552,2),"Seg","Ter","Qua","Qui","Sex","Sáb","Dom"))</f>
        <v/>
      </c>
      <c r="D552" s="46"/>
      <c r="E552" s="47"/>
      <c r="F552" s="47"/>
      <c r="G552" s="48"/>
      <c r="H552" s="49"/>
      <c r="I552" s="50"/>
      <c r="J552" s="48"/>
      <c r="K552" s="49"/>
      <c r="L552" s="50"/>
      <c r="M552" s="43" t="str">
        <f aca="false">IF(OR($L552="",$F552=""),"",IFERROR($L552/INDEX(Cadastro!$E$6:$E$8,MATCH($F552,Cadastro!$B$6:$B$8,0)),""))</f>
        <v/>
      </c>
      <c r="N552" s="43" t="str">
        <f aca="false">IF(OR($L552="",$I552="",$I552=0),"",$L552/$I552)</f>
        <v/>
      </c>
      <c r="O552" s="51"/>
    </row>
    <row r="553" customFormat="false" ht="15" hidden="false" customHeight="false" outlineLevel="0" collapsed="false">
      <c r="A553" s="45"/>
      <c r="B553" s="37" t="str">
        <f aca="false">IF($A553="","",WEEKNUM($A553,2))</f>
        <v/>
      </c>
      <c r="C553" s="37" t="str">
        <f aca="false">IF($A553="","",CHOOSE(WEEKDAY($A553,2),"Seg","Ter","Qua","Qui","Sex","Sáb","Dom"))</f>
        <v/>
      </c>
      <c r="D553" s="46"/>
      <c r="E553" s="47"/>
      <c r="F553" s="47"/>
      <c r="G553" s="48"/>
      <c r="H553" s="49"/>
      <c r="I553" s="50"/>
      <c r="J553" s="48"/>
      <c r="K553" s="49"/>
      <c r="L553" s="50"/>
      <c r="M553" s="43" t="str">
        <f aca="false">IF(OR($L553="",$F553=""),"",IFERROR($L553/INDEX(Cadastro!$E$6:$E$8,MATCH($F553,Cadastro!$B$6:$B$8,0)),""))</f>
        <v/>
      </c>
      <c r="N553" s="43" t="str">
        <f aca="false">IF(OR($L553="",$I553="",$I553=0),"",$L553/$I553)</f>
        <v/>
      </c>
      <c r="O553" s="51"/>
    </row>
    <row r="554" customFormat="false" ht="15" hidden="false" customHeight="false" outlineLevel="0" collapsed="false">
      <c r="A554" s="45"/>
      <c r="B554" s="37" t="str">
        <f aca="false">IF($A554="","",WEEKNUM($A554,2))</f>
        <v/>
      </c>
      <c r="C554" s="37" t="str">
        <f aca="false">IF($A554="","",CHOOSE(WEEKDAY($A554,2),"Seg","Ter","Qua","Qui","Sex","Sáb","Dom"))</f>
        <v/>
      </c>
      <c r="D554" s="46"/>
      <c r="E554" s="47"/>
      <c r="F554" s="47"/>
      <c r="G554" s="48"/>
      <c r="H554" s="49"/>
      <c r="I554" s="50"/>
      <c r="J554" s="48"/>
      <c r="K554" s="49"/>
      <c r="L554" s="50"/>
      <c r="M554" s="43" t="str">
        <f aca="false">IF(OR($L554="",$F554=""),"",IFERROR($L554/INDEX(Cadastro!$E$6:$E$8,MATCH($F554,Cadastro!$B$6:$B$8,0)),""))</f>
        <v/>
      </c>
      <c r="N554" s="43" t="str">
        <f aca="false">IF(OR($L554="",$I554="",$I554=0),"",$L554/$I554)</f>
        <v/>
      </c>
      <c r="O554" s="51"/>
    </row>
    <row r="555" customFormat="false" ht="15" hidden="false" customHeight="false" outlineLevel="0" collapsed="false">
      <c r="A555" s="45"/>
      <c r="B555" s="37" t="str">
        <f aca="false">IF($A555="","",WEEKNUM($A555,2))</f>
        <v/>
      </c>
      <c r="C555" s="37" t="str">
        <f aca="false">IF($A555="","",CHOOSE(WEEKDAY($A555,2),"Seg","Ter","Qua","Qui","Sex","Sáb","Dom"))</f>
        <v/>
      </c>
      <c r="D555" s="46"/>
      <c r="E555" s="47"/>
      <c r="F555" s="47"/>
      <c r="G555" s="48"/>
      <c r="H555" s="49"/>
      <c r="I555" s="50"/>
      <c r="J555" s="48"/>
      <c r="K555" s="49"/>
      <c r="L555" s="50"/>
      <c r="M555" s="43" t="str">
        <f aca="false">IF(OR($L555="",$F555=""),"",IFERROR($L555/INDEX(Cadastro!$E$6:$E$8,MATCH($F555,Cadastro!$B$6:$B$8,0)),""))</f>
        <v/>
      </c>
      <c r="N555" s="43" t="str">
        <f aca="false">IF(OR($L555="",$I555="",$I555=0),"",$L555/$I555)</f>
        <v/>
      </c>
      <c r="O555" s="51"/>
    </row>
    <row r="556" customFormat="false" ht="15" hidden="false" customHeight="false" outlineLevel="0" collapsed="false">
      <c r="A556" s="45"/>
      <c r="B556" s="37" t="str">
        <f aca="false">IF($A556="","",WEEKNUM($A556,2))</f>
        <v/>
      </c>
      <c r="C556" s="37" t="str">
        <f aca="false">IF($A556="","",CHOOSE(WEEKDAY($A556,2),"Seg","Ter","Qua","Qui","Sex","Sáb","Dom"))</f>
        <v/>
      </c>
      <c r="D556" s="46"/>
      <c r="E556" s="47"/>
      <c r="F556" s="47"/>
      <c r="G556" s="48"/>
      <c r="H556" s="49"/>
      <c r="I556" s="50"/>
      <c r="J556" s="48"/>
      <c r="K556" s="49"/>
      <c r="L556" s="50"/>
      <c r="M556" s="43" t="str">
        <f aca="false">IF(OR($L556="",$F556=""),"",IFERROR($L556/INDEX(Cadastro!$E$6:$E$8,MATCH($F556,Cadastro!$B$6:$B$8,0)),""))</f>
        <v/>
      </c>
      <c r="N556" s="43" t="str">
        <f aca="false">IF(OR($L556="",$I556="",$I556=0),"",$L556/$I556)</f>
        <v/>
      </c>
      <c r="O556" s="51"/>
    </row>
    <row r="557" customFormat="false" ht="15" hidden="false" customHeight="false" outlineLevel="0" collapsed="false">
      <c r="A557" s="45"/>
      <c r="B557" s="37" t="str">
        <f aca="false">IF($A557="","",WEEKNUM($A557,2))</f>
        <v/>
      </c>
      <c r="C557" s="37" t="str">
        <f aca="false">IF($A557="","",CHOOSE(WEEKDAY($A557,2),"Seg","Ter","Qua","Qui","Sex","Sáb","Dom"))</f>
        <v/>
      </c>
      <c r="D557" s="46"/>
      <c r="E557" s="47"/>
      <c r="F557" s="47"/>
      <c r="G557" s="48"/>
      <c r="H557" s="49"/>
      <c r="I557" s="50"/>
      <c r="J557" s="48"/>
      <c r="K557" s="49"/>
      <c r="L557" s="50"/>
      <c r="M557" s="43" t="str">
        <f aca="false">IF(OR($L557="",$F557=""),"",IFERROR($L557/INDEX(Cadastro!$E$6:$E$8,MATCH($F557,Cadastro!$B$6:$B$8,0)),""))</f>
        <v/>
      </c>
      <c r="N557" s="43" t="str">
        <f aca="false">IF(OR($L557="",$I557="",$I557=0),"",$L557/$I557)</f>
        <v/>
      </c>
      <c r="O557" s="51"/>
    </row>
    <row r="558" customFormat="false" ht="15" hidden="false" customHeight="false" outlineLevel="0" collapsed="false">
      <c r="A558" s="45"/>
      <c r="B558" s="37" t="str">
        <f aca="false">IF($A558="","",WEEKNUM($A558,2))</f>
        <v/>
      </c>
      <c r="C558" s="37" t="str">
        <f aca="false">IF($A558="","",CHOOSE(WEEKDAY($A558,2),"Seg","Ter","Qua","Qui","Sex","Sáb","Dom"))</f>
        <v/>
      </c>
      <c r="D558" s="46"/>
      <c r="E558" s="47"/>
      <c r="F558" s="47"/>
      <c r="G558" s="48"/>
      <c r="H558" s="49"/>
      <c r="I558" s="50"/>
      <c r="J558" s="48"/>
      <c r="K558" s="49"/>
      <c r="L558" s="50"/>
      <c r="M558" s="43" t="str">
        <f aca="false">IF(OR($L558="",$F558=""),"",IFERROR($L558/INDEX(Cadastro!$E$6:$E$8,MATCH($F558,Cadastro!$B$6:$B$8,0)),""))</f>
        <v/>
      </c>
      <c r="N558" s="43" t="str">
        <f aca="false">IF(OR($L558="",$I558="",$I558=0),"",$L558/$I558)</f>
        <v/>
      </c>
      <c r="O558" s="51"/>
    </row>
    <row r="559" customFormat="false" ht="15" hidden="false" customHeight="false" outlineLevel="0" collapsed="false">
      <c r="A559" s="45"/>
      <c r="B559" s="37" t="str">
        <f aca="false">IF($A559="","",WEEKNUM($A559,2))</f>
        <v/>
      </c>
      <c r="C559" s="37" t="str">
        <f aca="false">IF($A559="","",CHOOSE(WEEKDAY($A559,2),"Seg","Ter","Qua","Qui","Sex","Sáb","Dom"))</f>
        <v/>
      </c>
      <c r="D559" s="46"/>
      <c r="E559" s="47"/>
      <c r="F559" s="47"/>
      <c r="G559" s="48"/>
      <c r="H559" s="49"/>
      <c r="I559" s="50"/>
      <c r="J559" s="48"/>
      <c r="K559" s="49"/>
      <c r="L559" s="50"/>
      <c r="M559" s="43" t="str">
        <f aca="false">IF(OR($L559="",$F559=""),"",IFERROR($L559/INDEX(Cadastro!$E$6:$E$8,MATCH($F559,Cadastro!$B$6:$B$8,0)),""))</f>
        <v/>
      </c>
      <c r="N559" s="43" t="str">
        <f aca="false">IF(OR($L559="",$I559="",$I559=0),"",$L559/$I559)</f>
        <v/>
      </c>
      <c r="O559" s="51"/>
    </row>
    <row r="560" customFormat="false" ht="15" hidden="false" customHeight="false" outlineLevel="0" collapsed="false">
      <c r="A560" s="45"/>
      <c r="B560" s="37" t="str">
        <f aca="false">IF($A560="","",WEEKNUM($A560,2))</f>
        <v/>
      </c>
      <c r="C560" s="37" t="str">
        <f aca="false">IF($A560="","",CHOOSE(WEEKDAY($A560,2),"Seg","Ter","Qua","Qui","Sex","Sáb","Dom"))</f>
        <v/>
      </c>
      <c r="D560" s="46"/>
      <c r="E560" s="47"/>
      <c r="F560" s="47"/>
      <c r="G560" s="48"/>
      <c r="H560" s="49"/>
      <c r="I560" s="50"/>
      <c r="J560" s="48"/>
      <c r="K560" s="49"/>
      <c r="L560" s="50"/>
      <c r="M560" s="43" t="str">
        <f aca="false">IF(OR($L560="",$F560=""),"",IFERROR($L560/INDEX(Cadastro!$E$6:$E$8,MATCH($F560,Cadastro!$B$6:$B$8,0)),""))</f>
        <v/>
      </c>
      <c r="N560" s="43" t="str">
        <f aca="false">IF(OR($L560="",$I560="",$I560=0),"",$L560/$I560)</f>
        <v/>
      </c>
      <c r="O560" s="51"/>
    </row>
    <row r="561" customFormat="false" ht="15" hidden="false" customHeight="false" outlineLevel="0" collapsed="false">
      <c r="A561" s="45"/>
      <c r="B561" s="37" t="str">
        <f aca="false">IF($A561="","",WEEKNUM($A561,2))</f>
        <v/>
      </c>
      <c r="C561" s="37" t="str">
        <f aca="false">IF($A561="","",CHOOSE(WEEKDAY($A561,2),"Seg","Ter","Qua","Qui","Sex","Sáb","Dom"))</f>
        <v/>
      </c>
      <c r="D561" s="46"/>
      <c r="E561" s="47"/>
      <c r="F561" s="47"/>
      <c r="G561" s="48"/>
      <c r="H561" s="49"/>
      <c r="I561" s="50"/>
      <c r="J561" s="48"/>
      <c r="K561" s="49"/>
      <c r="L561" s="50"/>
      <c r="M561" s="43" t="str">
        <f aca="false">IF(OR($L561="",$F561=""),"",IFERROR($L561/INDEX(Cadastro!$E$6:$E$8,MATCH($F561,Cadastro!$B$6:$B$8,0)),""))</f>
        <v/>
      </c>
      <c r="N561" s="43" t="str">
        <f aca="false">IF(OR($L561="",$I561="",$I561=0),"",$L561/$I561)</f>
        <v/>
      </c>
      <c r="O561" s="51"/>
    </row>
    <row r="562" customFormat="false" ht="15" hidden="false" customHeight="false" outlineLevel="0" collapsed="false">
      <c r="A562" s="45"/>
      <c r="B562" s="37" t="str">
        <f aca="false">IF($A562="","",WEEKNUM($A562,2))</f>
        <v/>
      </c>
      <c r="C562" s="37" t="str">
        <f aca="false">IF($A562="","",CHOOSE(WEEKDAY($A562,2),"Seg","Ter","Qua","Qui","Sex","Sáb","Dom"))</f>
        <v/>
      </c>
      <c r="D562" s="46"/>
      <c r="E562" s="47"/>
      <c r="F562" s="47"/>
      <c r="G562" s="48"/>
      <c r="H562" s="49"/>
      <c r="I562" s="50"/>
      <c r="J562" s="48"/>
      <c r="K562" s="49"/>
      <c r="L562" s="50"/>
      <c r="M562" s="43" t="str">
        <f aca="false">IF(OR($L562="",$F562=""),"",IFERROR($L562/INDEX(Cadastro!$E$6:$E$8,MATCH($F562,Cadastro!$B$6:$B$8,0)),""))</f>
        <v/>
      </c>
      <c r="N562" s="43" t="str">
        <f aca="false">IF(OR($L562="",$I562="",$I562=0),"",$L562/$I562)</f>
        <v/>
      </c>
      <c r="O562" s="51"/>
    </row>
    <row r="563" customFormat="false" ht="15" hidden="false" customHeight="false" outlineLevel="0" collapsed="false">
      <c r="A563" s="45"/>
      <c r="B563" s="37" t="str">
        <f aca="false">IF($A563="","",WEEKNUM($A563,2))</f>
        <v/>
      </c>
      <c r="C563" s="37" t="str">
        <f aca="false">IF($A563="","",CHOOSE(WEEKDAY($A563,2),"Seg","Ter","Qua","Qui","Sex","Sáb","Dom"))</f>
        <v/>
      </c>
      <c r="D563" s="46"/>
      <c r="E563" s="47"/>
      <c r="F563" s="47"/>
      <c r="G563" s="48"/>
      <c r="H563" s="49"/>
      <c r="I563" s="50"/>
      <c r="J563" s="48"/>
      <c r="K563" s="49"/>
      <c r="L563" s="50"/>
      <c r="M563" s="43" t="str">
        <f aca="false">IF(OR($L563="",$F563=""),"",IFERROR($L563/INDEX(Cadastro!$E$6:$E$8,MATCH($F563,Cadastro!$B$6:$B$8,0)),""))</f>
        <v/>
      </c>
      <c r="N563" s="43" t="str">
        <f aca="false">IF(OR($L563="",$I563="",$I563=0),"",$L563/$I563)</f>
        <v/>
      </c>
      <c r="O563" s="51"/>
    </row>
    <row r="564" customFormat="false" ht="15" hidden="false" customHeight="false" outlineLevel="0" collapsed="false">
      <c r="A564" s="45"/>
      <c r="B564" s="37" t="str">
        <f aca="false">IF($A564="","",WEEKNUM($A564,2))</f>
        <v/>
      </c>
      <c r="C564" s="37" t="str">
        <f aca="false">IF($A564="","",CHOOSE(WEEKDAY($A564,2),"Seg","Ter","Qua","Qui","Sex","Sáb","Dom"))</f>
        <v/>
      </c>
      <c r="D564" s="46"/>
      <c r="E564" s="47"/>
      <c r="F564" s="47"/>
      <c r="G564" s="48"/>
      <c r="H564" s="49"/>
      <c r="I564" s="50"/>
      <c r="J564" s="48"/>
      <c r="K564" s="49"/>
      <c r="L564" s="50"/>
      <c r="M564" s="43" t="str">
        <f aca="false">IF(OR($L564="",$F564=""),"",IFERROR($L564/INDEX(Cadastro!$E$6:$E$8,MATCH($F564,Cadastro!$B$6:$B$8,0)),""))</f>
        <v/>
      </c>
      <c r="N564" s="43" t="str">
        <f aca="false">IF(OR($L564="",$I564="",$I564=0),"",$L564/$I564)</f>
        <v/>
      </c>
      <c r="O564" s="51"/>
    </row>
    <row r="565" customFormat="false" ht="15" hidden="false" customHeight="false" outlineLevel="0" collapsed="false">
      <c r="A565" s="45"/>
      <c r="B565" s="37" t="str">
        <f aca="false">IF($A565="","",WEEKNUM($A565,2))</f>
        <v/>
      </c>
      <c r="C565" s="37" t="str">
        <f aca="false">IF($A565="","",CHOOSE(WEEKDAY($A565,2),"Seg","Ter","Qua","Qui","Sex","Sáb","Dom"))</f>
        <v/>
      </c>
      <c r="D565" s="46"/>
      <c r="E565" s="47"/>
      <c r="F565" s="47"/>
      <c r="G565" s="48"/>
      <c r="H565" s="49"/>
      <c r="I565" s="50"/>
      <c r="J565" s="48"/>
      <c r="K565" s="49"/>
      <c r="L565" s="50"/>
      <c r="M565" s="43" t="str">
        <f aca="false">IF(OR($L565="",$F565=""),"",IFERROR($L565/INDEX(Cadastro!$E$6:$E$8,MATCH($F565,Cadastro!$B$6:$B$8,0)),""))</f>
        <v/>
      </c>
      <c r="N565" s="43" t="str">
        <f aca="false">IF(OR($L565="",$I565="",$I565=0),"",$L565/$I565)</f>
        <v/>
      </c>
      <c r="O565" s="51"/>
    </row>
    <row r="566" customFormat="false" ht="15" hidden="false" customHeight="false" outlineLevel="0" collapsed="false">
      <c r="A566" s="45"/>
      <c r="B566" s="37" t="str">
        <f aca="false">IF($A566="","",WEEKNUM($A566,2))</f>
        <v/>
      </c>
      <c r="C566" s="37" t="str">
        <f aca="false">IF($A566="","",CHOOSE(WEEKDAY($A566,2),"Seg","Ter","Qua","Qui","Sex","Sáb","Dom"))</f>
        <v/>
      </c>
      <c r="D566" s="46"/>
      <c r="E566" s="47"/>
      <c r="F566" s="47"/>
      <c r="G566" s="48"/>
      <c r="H566" s="49"/>
      <c r="I566" s="50"/>
      <c r="J566" s="48"/>
      <c r="K566" s="49"/>
      <c r="L566" s="50"/>
      <c r="M566" s="43" t="str">
        <f aca="false">IF(OR($L566="",$F566=""),"",IFERROR($L566/INDEX(Cadastro!$E$6:$E$8,MATCH($F566,Cadastro!$B$6:$B$8,0)),""))</f>
        <v/>
      </c>
      <c r="N566" s="43" t="str">
        <f aca="false">IF(OR($L566="",$I566="",$I566=0),"",$L566/$I566)</f>
        <v/>
      </c>
      <c r="O566" s="51"/>
    </row>
    <row r="567" customFormat="false" ht="15" hidden="false" customHeight="false" outlineLevel="0" collapsed="false">
      <c r="A567" s="45"/>
      <c r="B567" s="37" t="str">
        <f aca="false">IF($A567="","",WEEKNUM($A567,2))</f>
        <v/>
      </c>
      <c r="C567" s="37" t="str">
        <f aca="false">IF($A567="","",CHOOSE(WEEKDAY($A567,2),"Seg","Ter","Qua","Qui","Sex","Sáb","Dom"))</f>
        <v/>
      </c>
      <c r="D567" s="46"/>
      <c r="E567" s="47"/>
      <c r="F567" s="47"/>
      <c r="G567" s="48"/>
      <c r="H567" s="49"/>
      <c r="I567" s="50"/>
      <c r="J567" s="48"/>
      <c r="K567" s="49"/>
      <c r="L567" s="50"/>
      <c r="M567" s="43" t="str">
        <f aca="false">IF(OR($L567="",$F567=""),"",IFERROR($L567/INDEX(Cadastro!$E$6:$E$8,MATCH($F567,Cadastro!$B$6:$B$8,0)),""))</f>
        <v/>
      </c>
      <c r="N567" s="43" t="str">
        <f aca="false">IF(OR($L567="",$I567="",$I567=0),"",$L567/$I567)</f>
        <v/>
      </c>
      <c r="O567" s="51"/>
    </row>
    <row r="568" customFormat="false" ht="15" hidden="false" customHeight="false" outlineLevel="0" collapsed="false">
      <c r="A568" s="45"/>
      <c r="B568" s="37" t="str">
        <f aca="false">IF($A568="","",WEEKNUM($A568,2))</f>
        <v/>
      </c>
      <c r="C568" s="37" t="str">
        <f aca="false">IF($A568="","",CHOOSE(WEEKDAY($A568,2),"Seg","Ter","Qua","Qui","Sex","Sáb","Dom"))</f>
        <v/>
      </c>
      <c r="D568" s="46"/>
      <c r="E568" s="47"/>
      <c r="F568" s="47"/>
      <c r="G568" s="48"/>
      <c r="H568" s="49"/>
      <c r="I568" s="50"/>
      <c r="J568" s="48"/>
      <c r="K568" s="49"/>
      <c r="L568" s="50"/>
      <c r="M568" s="43" t="str">
        <f aca="false">IF(OR($L568="",$F568=""),"",IFERROR($L568/INDEX(Cadastro!$E$6:$E$8,MATCH($F568,Cadastro!$B$6:$B$8,0)),""))</f>
        <v/>
      </c>
      <c r="N568" s="43" t="str">
        <f aca="false">IF(OR($L568="",$I568="",$I568=0),"",$L568/$I568)</f>
        <v/>
      </c>
      <c r="O568" s="51"/>
    </row>
    <row r="569" customFormat="false" ht="15" hidden="false" customHeight="false" outlineLevel="0" collapsed="false">
      <c r="A569" s="45"/>
      <c r="B569" s="37" t="str">
        <f aca="false">IF($A569="","",WEEKNUM($A569,2))</f>
        <v/>
      </c>
      <c r="C569" s="37" t="str">
        <f aca="false">IF($A569="","",CHOOSE(WEEKDAY($A569,2),"Seg","Ter","Qua","Qui","Sex","Sáb","Dom"))</f>
        <v/>
      </c>
      <c r="D569" s="46"/>
      <c r="E569" s="47"/>
      <c r="F569" s="47"/>
      <c r="G569" s="48"/>
      <c r="H569" s="49"/>
      <c r="I569" s="50"/>
      <c r="J569" s="48"/>
      <c r="K569" s="49"/>
      <c r="L569" s="50"/>
      <c r="M569" s="43" t="str">
        <f aca="false">IF(OR($L569="",$F569=""),"",IFERROR($L569/INDEX(Cadastro!$E$6:$E$8,MATCH($F569,Cadastro!$B$6:$B$8,0)),""))</f>
        <v/>
      </c>
      <c r="N569" s="43" t="str">
        <f aca="false">IF(OR($L569="",$I569="",$I569=0),"",$L569/$I569)</f>
        <v/>
      </c>
      <c r="O569" s="51"/>
    </row>
    <row r="570" customFormat="false" ht="15" hidden="false" customHeight="false" outlineLevel="0" collapsed="false">
      <c r="A570" s="45"/>
      <c r="B570" s="37" t="str">
        <f aca="false">IF($A570="","",WEEKNUM($A570,2))</f>
        <v/>
      </c>
      <c r="C570" s="37" t="str">
        <f aca="false">IF($A570="","",CHOOSE(WEEKDAY($A570,2),"Seg","Ter","Qua","Qui","Sex","Sáb","Dom"))</f>
        <v/>
      </c>
      <c r="D570" s="46"/>
      <c r="E570" s="47"/>
      <c r="F570" s="47"/>
      <c r="G570" s="48"/>
      <c r="H570" s="49"/>
      <c r="I570" s="50"/>
      <c r="J570" s="48"/>
      <c r="K570" s="49"/>
      <c r="L570" s="50"/>
      <c r="M570" s="43" t="str">
        <f aca="false">IF(OR($L570="",$F570=""),"",IFERROR($L570/INDEX(Cadastro!$E$6:$E$8,MATCH($F570,Cadastro!$B$6:$B$8,0)),""))</f>
        <v/>
      </c>
      <c r="N570" s="43" t="str">
        <f aca="false">IF(OR($L570="",$I570="",$I570=0),"",$L570/$I570)</f>
        <v/>
      </c>
      <c r="O570" s="51"/>
    </row>
    <row r="571" customFormat="false" ht="15" hidden="false" customHeight="false" outlineLevel="0" collapsed="false">
      <c r="A571" s="45"/>
      <c r="B571" s="37" t="str">
        <f aca="false">IF($A571="","",WEEKNUM($A571,2))</f>
        <v/>
      </c>
      <c r="C571" s="37" t="str">
        <f aca="false">IF($A571="","",CHOOSE(WEEKDAY($A571,2),"Seg","Ter","Qua","Qui","Sex","Sáb","Dom"))</f>
        <v/>
      </c>
      <c r="D571" s="46"/>
      <c r="E571" s="47"/>
      <c r="F571" s="47"/>
      <c r="G571" s="48"/>
      <c r="H571" s="49"/>
      <c r="I571" s="50"/>
      <c r="J571" s="48"/>
      <c r="K571" s="49"/>
      <c r="L571" s="50"/>
      <c r="M571" s="43" t="str">
        <f aca="false">IF(OR($L571="",$F571=""),"",IFERROR($L571/INDEX(Cadastro!$E$6:$E$8,MATCH($F571,Cadastro!$B$6:$B$8,0)),""))</f>
        <v/>
      </c>
      <c r="N571" s="43" t="str">
        <f aca="false">IF(OR($L571="",$I571="",$I571=0),"",$L571/$I571)</f>
        <v/>
      </c>
      <c r="O571" s="51"/>
    </row>
    <row r="572" customFormat="false" ht="15" hidden="false" customHeight="false" outlineLevel="0" collapsed="false">
      <c r="A572" s="45"/>
      <c r="B572" s="37" t="str">
        <f aca="false">IF($A572="","",WEEKNUM($A572,2))</f>
        <v/>
      </c>
      <c r="C572" s="37" t="str">
        <f aca="false">IF($A572="","",CHOOSE(WEEKDAY($A572,2),"Seg","Ter","Qua","Qui","Sex","Sáb","Dom"))</f>
        <v/>
      </c>
      <c r="D572" s="46"/>
      <c r="E572" s="47"/>
      <c r="F572" s="47"/>
      <c r="G572" s="48"/>
      <c r="H572" s="49"/>
      <c r="I572" s="50"/>
      <c r="J572" s="48"/>
      <c r="K572" s="49"/>
      <c r="L572" s="50"/>
      <c r="M572" s="43" t="str">
        <f aca="false">IF(OR($L572="",$F572=""),"",IFERROR($L572/INDEX(Cadastro!$E$6:$E$8,MATCH($F572,Cadastro!$B$6:$B$8,0)),""))</f>
        <v/>
      </c>
      <c r="N572" s="43" t="str">
        <f aca="false">IF(OR($L572="",$I572="",$I572=0),"",$L572/$I572)</f>
        <v/>
      </c>
      <c r="O572" s="51"/>
    </row>
    <row r="573" customFormat="false" ht="15" hidden="false" customHeight="false" outlineLevel="0" collapsed="false">
      <c r="A573" s="45"/>
      <c r="B573" s="37" t="str">
        <f aca="false">IF($A573="","",WEEKNUM($A573,2))</f>
        <v/>
      </c>
      <c r="C573" s="37" t="str">
        <f aca="false">IF($A573="","",CHOOSE(WEEKDAY($A573,2),"Seg","Ter","Qua","Qui","Sex","Sáb","Dom"))</f>
        <v/>
      </c>
      <c r="D573" s="46"/>
      <c r="E573" s="47"/>
      <c r="F573" s="47"/>
      <c r="G573" s="48"/>
      <c r="H573" s="49"/>
      <c r="I573" s="50"/>
      <c r="J573" s="48"/>
      <c r="K573" s="49"/>
      <c r="L573" s="50"/>
      <c r="M573" s="43" t="str">
        <f aca="false">IF(OR($L573="",$F573=""),"",IFERROR($L573/INDEX(Cadastro!$E$6:$E$8,MATCH($F573,Cadastro!$B$6:$B$8,0)),""))</f>
        <v/>
      </c>
      <c r="N573" s="43" t="str">
        <f aca="false">IF(OR($L573="",$I573="",$I573=0),"",$L573/$I573)</f>
        <v/>
      </c>
      <c r="O573" s="51"/>
    </row>
    <row r="574" customFormat="false" ht="15" hidden="false" customHeight="false" outlineLevel="0" collapsed="false">
      <c r="A574" s="45"/>
      <c r="B574" s="37" t="str">
        <f aca="false">IF($A574="","",WEEKNUM($A574,2))</f>
        <v/>
      </c>
      <c r="C574" s="37" t="str">
        <f aca="false">IF($A574="","",CHOOSE(WEEKDAY($A574,2),"Seg","Ter","Qua","Qui","Sex","Sáb","Dom"))</f>
        <v/>
      </c>
      <c r="D574" s="46"/>
      <c r="E574" s="47"/>
      <c r="F574" s="47"/>
      <c r="G574" s="48"/>
      <c r="H574" s="49"/>
      <c r="I574" s="50"/>
      <c r="J574" s="48"/>
      <c r="K574" s="49"/>
      <c r="L574" s="50"/>
      <c r="M574" s="43" t="str">
        <f aca="false">IF(OR($L574="",$F574=""),"",IFERROR($L574/INDEX(Cadastro!$E$6:$E$8,MATCH($F574,Cadastro!$B$6:$B$8,0)),""))</f>
        <v/>
      </c>
      <c r="N574" s="43" t="str">
        <f aca="false">IF(OR($L574="",$I574="",$I574=0),"",$L574/$I574)</f>
        <v/>
      </c>
      <c r="O574" s="51"/>
    </row>
    <row r="575" customFormat="false" ht="15" hidden="false" customHeight="false" outlineLevel="0" collapsed="false">
      <c r="A575" s="45"/>
      <c r="B575" s="37" t="str">
        <f aca="false">IF($A575="","",WEEKNUM($A575,2))</f>
        <v/>
      </c>
      <c r="C575" s="37" t="str">
        <f aca="false">IF($A575="","",CHOOSE(WEEKDAY($A575,2),"Seg","Ter","Qua","Qui","Sex","Sáb","Dom"))</f>
        <v/>
      </c>
      <c r="D575" s="46"/>
      <c r="E575" s="47"/>
      <c r="F575" s="47"/>
      <c r="G575" s="48"/>
      <c r="H575" s="49"/>
      <c r="I575" s="50"/>
      <c r="J575" s="48"/>
      <c r="K575" s="49"/>
      <c r="L575" s="50"/>
      <c r="M575" s="43" t="str">
        <f aca="false">IF(OR($L575="",$F575=""),"",IFERROR($L575/INDEX(Cadastro!$E$6:$E$8,MATCH($F575,Cadastro!$B$6:$B$8,0)),""))</f>
        <v/>
      </c>
      <c r="N575" s="43" t="str">
        <f aca="false">IF(OR($L575="",$I575="",$I575=0),"",$L575/$I575)</f>
        <v/>
      </c>
      <c r="O575" s="51"/>
    </row>
    <row r="576" customFormat="false" ht="15" hidden="false" customHeight="false" outlineLevel="0" collapsed="false">
      <c r="A576" s="45"/>
      <c r="B576" s="37" t="str">
        <f aca="false">IF($A576="","",WEEKNUM($A576,2))</f>
        <v/>
      </c>
      <c r="C576" s="37" t="str">
        <f aca="false">IF($A576="","",CHOOSE(WEEKDAY($A576,2),"Seg","Ter","Qua","Qui","Sex","Sáb","Dom"))</f>
        <v/>
      </c>
      <c r="D576" s="46"/>
      <c r="E576" s="47"/>
      <c r="F576" s="47"/>
      <c r="G576" s="48"/>
      <c r="H576" s="49"/>
      <c r="I576" s="50"/>
      <c r="J576" s="48"/>
      <c r="K576" s="49"/>
      <c r="L576" s="50"/>
      <c r="M576" s="43" t="str">
        <f aca="false">IF(OR($L576="",$F576=""),"",IFERROR($L576/INDEX(Cadastro!$E$6:$E$8,MATCH($F576,Cadastro!$B$6:$B$8,0)),""))</f>
        <v/>
      </c>
      <c r="N576" s="43" t="str">
        <f aca="false">IF(OR($L576="",$I576="",$I576=0),"",$L576/$I576)</f>
        <v/>
      </c>
      <c r="O576" s="51"/>
    </row>
    <row r="577" customFormat="false" ht="15" hidden="false" customHeight="false" outlineLevel="0" collapsed="false">
      <c r="A577" s="45"/>
      <c r="B577" s="37" t="str">
        <f aca="false">IF($A577="","",WEEKNUM($A577,2))</f>
        <v/>
      </c>
      <c r="C577" s="37" t="str">
        <f aca="false">IF($A577="","",CHOOSE(WEEKDAY($A577,2),"Seg","Ter","Qua","Qui","Sex","Sáb","Dom"))</f>
        <v/>
      </c>
      <c r="D577" s="46"/>
      <c r="E577" s="47"/>
      <c r="F577" s="47"/>
      <c r="G577" s="48"/>
      <c r="H577" s="49"/>
      <c r="I577" s="50"/>
      <c r="J577" s="48"/>
      <c r="K577" s="49"/>
      <c r="L577" s="50"/>
      <c r="M577" s="43" t="str">
        <f aca="false">IF(OR($L577="",$F577=""),"",IFERROR($L577/INDEX(Cadastro!$E$6:$E$8,MATCH($F577,Cadastro!$B$6:$B$8,0)),""))</f>
        <v/>
      </c>
      <c r="N577" s="43" t="str">
        <f aca="false">IF(OR($L577="",$I577="",$I577=0),"",$L577/$I577)</f>
        <v/>
      </c>
      <c r="O577" s="51"/>
    </row>
    <row r="578" customFormat="false" ht="15" hidden="false" customHeight="false" outlineLevel="0" collapsed="false">
      <c r="A578" s="45"/>
      <c r="B578" s="37" t="str">
        <f aca="false">IF($A578="","",WEEKNUM($A578,2))</f>
        <v/>
      </c>
      <c r="C578" s="37" t="str">
        <f aca="false">IF($A578="","",CHOOSE(WEEKDAY($A578,2),"Seg","Ter","Qua","Qui","Sex","Sáb","Dom"))</f>
        <v/>
      </c>
      <c r="D578" s="46"/>
      <c r="E578" s="47"/>
      <c r="F578" s="47"/>
      <c r="G578" s="48"/>
      <c r="H578" s="49"/>
      <c r="I578" s="50"/>
      <c r="J578" s="48"/>
      <c r="K578" s="49"/>
      <c r="L578" s="50"/>
      <c r="M578" s="43" t="str">
        <f aca="false">IF(OR($L578="",$F578=""),"",IFERROR($L578/INDEX(Cadastro!$E$6:$E$8,MATCH($F578,Cadastro!$B$6:$B$8,0)),""))</f>
        <v/>
      </c>
      <c r="N578" s="43" t="str">
        <f aca="false">IF(OR($L578="",$I578="",$I578=0),"",$L578/$I578)</f>
        <v/>
      </c>
      <c r="O578" s="51"/>
    </row>
    <row r="579" customFormat="false" ht="15" hidden="false" customHeight="false" outlineLevel="0" collapsed="false">
      <c r="A579" s="45"/>
      <c r="B579" s="37" t="str">
        <f aca="false">IF($A579="","",WEEKNUM($A579,2))</f>
        <v/>
      </c>
      <c r="C579" s="37" t="str">
        <f aca="false">IF($A579="","",CHOOSE(WEEKDAY($A579,2),"Seg","Ter","Qua","Qui","Sex","Sáb","Dom"))</f>
        <v/>
      </c>
      <c r="D579" s="46"/>
      <c r="E579" s="47"/>
      <c r="F579" s="47"/>
      <c r="G579" s="48"/>
      <c r="H579" s="49"/>
      <c r="I579" s="50"/>
      <c r="J579" s="48"/>
      <c r="K579" s="49"/>
      <c r="L579" s="50"/>
      <c r="M579" s="43" t="str">
        <f aca="false">IF(OR($L579="",$F579=""),"",IFERROR($L579/INDEX(Cadastro!$E$6:$E$8,MATCH($F579,Cadastro!$B$6:$B$8,0)),""))</f>
        <v/>
      </c>
      <c r="N579" s="43" t="str">
        <f aca="false">IF(OR($L579="",$I579="",$I579=0),"",$L579/$I579)</f>
        <v/>
      </c>
      <c r="O579" s="51"/>
    </row>
    <row r="580" customFormat="false" ht="15" hidden="false" customHeight="false" outlineLevel="0" collapsed="false">
      <c r="A580" s="45"/>
      <c r="B580" s="37" t="str">
        <f aca="false">IF($A580="","",WEEKNUM($A580,2))</f>
        <v/>
      </c>
      <c r="C580" s="37" t="str">
        <f aca="false">IF($A580="","",CHOOSE(WEEKDAY($A580,2),"Seg","Ter","Qua","Qui","Sex","Sáb","Dom"))</f>
        <v/>
      </c>
      <c r="D580" s="46"/>
      <c r="E580" s="47"/>
      <c r="F580" s="47"/>
      <c r="G580" s="48"/>
      <c r="H580" s="49"/>
      <c r="I580" s="50"/>
      <c r="J580" s="48"/>
      <c r="K580" s="49"/>
      <c r="L580" s="50"/>
      <c r="M580" s="43" t="str">
        <f aca="false">IF(OR($L580="",$F580=""),"",IFERROR($L580/INDEX(Cadastro!$E$6:$E$8,MATCH($F580,Cadastro!$B$6:$B$8,0)),""))</f>
        <v/>
      </c>
      <c r="N580" s="43" t="str">
        <f aca="false">IF(OR($L580="",$I580="",$I580=0),"",$L580/$I580)</f>
        <v/>
      </c>
      <c r="O580" s="51"/>
    </row>
    <row r="581" customFormat="false" ht="15" hidden="false" customHeight="false" outlineLevel="0" collapsed="false">
      <c r="A581" s="45"/>
      <c r="B581" s="37" t="str">
        <f aca="false">IF($A581="","",WEEKNUM($A581,2))</f>
        <v/>
      </c>
      <c r="C581" s="37" t="str">
        <f aca="false">IF($A581="","",CHOOSE(WEEKDAY($A581,2),"Seg","Ter","Qua","Qui","Sex","Sáb","Dom"))</f>
        <v/>
      </c>
      <c r="D581" s="46"/>
      <c r="E581" s="47"/>
      <c r="F581" s="47"/>
      <c r="G581" s="48"/>
      <c r="H581" s="49"/>
      <c r="I581" s="50"/>
      <c r="J581" s="48"/>
      <c r="K581" s="49"/>
      <c r="L581" s="50"/>
      <c r="M581" s="43" t="str">
        <f aca="false">IF(OR($L581="",$F581=""),"",IFERROR($L581/INDEX(Cadastro!$E$6:$E$8,MATCH($F581,Cadastro!$B$6:$B$8,0)),""))</f>
        <v/>
      </c>
      <c r="N581" s="43" t="str">
        <f aca="false">IF(OR($L581="",$I581="",$I581=0),"",$L581/$I581)</f>
        <v/>
      </c>
      <c r="O581" s="51"/>
    </row>
    <row r="582" customFormat="false" ht="15" hidden="false" customHeight="false" outlineLevel="0" collapsed="false">
      <c r="A582" s="45"/>
      <c r="B582" s="37" t="str">
        <f aca="false">IF($A582="","",WEEKNUM($A582,2))</f>
        <v/>
      </c>
      <c r="C582" s="37" t="str">
        <f aca="false">IF($A582="","",CHOOSE(WEEKDAY($A582,2),"Seg","Ter","Qua","Qui","Sex","Sáb","Dom"))</f>
        <v/>
      </c>
      <c r="D582" s="46"/>
      <c r="E582" s="47"/>
      <c r="F582" s="47"/>
      <c r="G582" s="48"/>
      <c r="H582" s="49"/>
      <c r="I582" s="50"/>
      <c r="J582" s="48"/>
      <c r="K582" s="49"/>
      <c r="L582" s="50"/>
      <c r="M582" s="43" t="str">
        <f aca="false">IF(OR($L582="",$F582=""),"",IFERROR($L582/INDEX(Cadastro!$E$6:$E$8,MATCH($F582,Cadastro!$B$6:$B$8,0)),""))</f>
        <v/>
      </c>
      <c r="N582" s="43" t="str">
        <f aca="false">IF(OR($L582="",$I582="",$I582=0),"",$L582/$I582)</f>
        <v/>
      </c>
      <c r="O582" s="51"/>
    </row>
    <row r="583" customFormat="false" ht="15" hidden="false" customHeight="false" outlineLevel="0" collapsed="false">
      <c r="A583" s="45"/>
      <c r="B583" s="37" t="str">
        <f aca="false">IF($A583="","",WEEKNUM($A583,2))</f>
        <v/>
      </c>
      <c r="C583" s="37" t="str">
        <f aca="false">IF($A583="","",CHOOSE(WEEKDAY($A583,2),"Seg","Ter","Qua","Qui","Sex","Sáb","Dom"))</f>
        <v/>
      </c>
      <c r="D583" s="46"/>
      <c r="E583" s="47"/>
      <c r="F583" s="47"/>
      <c r="G583" s="48"/>
      <c r="H583" s="49"/>
      <c r="I583" s="50"/>
      <c r="J583" s="48"/>
      <c r="K583" s="49"/>
      <c r="L583" s="50"/>
      <c r="M583" s="43" t="str">
        <f aca="false">IF(OR($L583="",$F583=""),"",IFERROR($L583/INDEX(Cadastro!$E$6:$E$8,MATCH($F583,Cadastro!$B$6:$B$8,0)),""))</f>
        <v/>
      </c>
      <c r="N583" s="43" t="str">
        <f aca="false">IF(OR($L583="",$I583="",$I583=0),"",$L583/$I583)</f>
        <v/>
      </c>
      <c r="O583" s="51"/>
    </row>
    <row r="584" customFormat="false" ht="15" hidden="false" customHeight="false" outlineLevel="0" collapsed="false">
      <c r="A584" s="45"/>
      <c r="B584" s="37" t="str">
        <f aca="false">IF($A584="","",WEEKNUM($A584,2))</f>
        <v/>
      </c>
      <c r="C584" s="37" t="str">
        <f aca="false">IF($A584="","",CHOOSE(WEEKDAY($A584,2),"Seg","Ter","Qua","Qui","Sex","Sáb","Dom"))</f>
        <v/>
      </c>
      <c r="D584" s="46"/>
      <c r="E584" s="47"/>
      <c r="F584" s="47"/>
      <c r="G584" s="48"/>
      <c r="H584" s="49"/>
      <c r="I584" s="50"/>
      <c r="J584" s="48"/>
      <c r="K584" s="49"/>
      <c r="L584" s="50"/>
      <c r="M584" s="43" t="str">
        <f aca="false">IF(OR($L584="",$F584=""),"",IFERROR($L584/INDEX(Cadastro!$E$6:$E$8,MATCH($F584,Cadastro!$B$6:$B$8,0)),""))</f>
        <v/>
      </c>
      <c r="N584" s="43" t="str">
        <f aca="false">IF(OR($L584="",$I584="",$I584=0),"",$L584/$I584)</f>
        <v/>
      </c>
      <c r="O584" s="51"/>
    </row>
    <row r="585" customFormat="false" ht="15" hidden="false" customHeight="false" outlineLevel="0" collapsed="false">
      <c r="A585" s="45"/>
      <c r="B585" s="37" t="str">
        <f aca="false">IF($A585="","",WEEKNUM($A585,2))</f>
        <v/>
      </c>
      <c r="C585" s="37" t="str">
        <f aca="false">IF($A585="","",CHOOSE(WEEKDAY($A585,2),"Seg","Ter","Qua","Qui","Sex","Sáb","Dom"))</f>
        <v/>
      </c>
      <c r="D585" s="46"/>
      <c r="E585" s="47"/>
      <c r="F585" s="47"/>
      <c r="G585" s="48"/>
      <c r="H585" s="49"/>
      <c r="I585" s="50"/>
      <c r="J585" s="48"/>
      <c r="K585" s="49"/>
      <c r="L585" s="50"/>
      <c r="M585" s="43" t="str">
        <f aca="false">IF(OR($L585="",$F585=""),"",IFERROR($L585/INDEX(Cadastro!$E$6:$E$8,MATCH($F585,Cadastro!$B$6:$B$8,0)),""))</f>
        <v/>
      </c>
      <c r="N585" s="43" t="str">
        <f aca="false">IF(OR($L585="",$I585="",$I585=0),"",$L585/$I585)</f>
        <v/>
      </c>
      <c r="O585" s="51"/>
    </row>
    <row r="586" customFormat="false" ht="15" hidden="false" customHeight="false" outlineLevel="0" collapsed="false">
      <c r="A586" s="45"/>
      <c r="B586" s="37" t="str">
        <f aca="false">IF($A586="","",WEEKNUM($A586,2))</f>
        <v/>
      </c>
      <c r="C586" s="37" t="str">
        <f aca="false">IF($A586="","",CHOOSE(WEEKDAY($A586,2),"Seg","Ter","Qua","Qui","Sex","Sáb","Dom"))</f>
        <v/>
      </c>
      <c r="D586" s="46"/>
      <c r="E586" s="47"/>
      <c r="F586" s="47"/>
      <c r="G586" s="48"/>
      <c r="H586" s="49"/>
      <c r="I586" s="50"/>
      <c r="J586" s="48"/>
      <c r="K586" s="49"/>
      <c r="L586" s="50"/>
      <c r="M586" s="43" t="str">
        <f aca="false">IF(OR($L586="",$F586=""),"",IFERROR($L586/INDEX(Cadastro!$E$6:$E$8,MATCH($F586,Cadastro!$B$6:$B$8,0)),""))</f>
        <v/>
      </c>
      <c r="N586" s="43" t="str">
        <f aca="false">IF(OR($L586="",$I586="",$I586=0),"",$L586/$I586)</f>
        <v/>
      </c>
      <c r="O586" s="51"/>
    </row>
    <row r="587" customFormat="false" ht="15" hidden="false" customHeight="false" outlineLevel="0" collapsed="false">
      <c r="A587" s="45"/>
      <c r="B587" s="37" t="str">
        <f aca="false">IF($A587="","",WEEKNUM($A587,2))</f>
        <v/>
      </c>
      <c r="C587" s="37" t="str">
        <f aca="false">IF($A587="","",CHOOSE(WEEKDAY($A587,2),"Seg","Ter","Qua","Qui","Sex","Sáb","Dom"))</f>
        <v/>
      </c>
      <c r="D587" s="46"/>
      <c r="E587" s="47"/>
      <c r="F587" s="47"/>
      <c r="G587" s="48"/>
      <c r="H587" s="49"/>
      <c r="I587" s="50"/>
      <c r="J587" s="48"/>
      <c r="K587" s="49"/>
      <c r="L587" s="50"/>
      <c r="M587" s="43" t="str">
        <f aca="false">IF(OR($L587="",$F587=""),"",IFERROR($L587/INDEX(Cadastro!$E$6:$E$8,MATCH($F587,Cadastro!$B$6:$B$8,0)),""))</f>
        <v/>
      </c>
      <c r="N587" s="43" t="str">
        <f aca="false">IF(OR($L587="",$I587="",$I587=0),"",$L587/$I587)</f>
        <v/>
      </c>
      <c r="O587" s="51"/>
    </row>
    <row r="588" customFormat="false" ht="15" hidden="false" customHeight="false" outlineLevel="0" collapsed="false">
      <c r="A588" s="45"/>
      <c r="B588" s="37" t="str">
        <f aca="false">IF($A588="","",WEEKNUM($A588,2))</f>
        <v/>
      </c>
      <c r="C588" s="37" t="str">
        <f aca="false">IF($A588="","",CHOOSE(WEEKDAY($A588,2),"Seg","Ter","Qua","Qui","Sex","Sáb","Dom"))</f>
        <v/>
      </c>
      <c r="D588" s="46"/>
      <c r="E588" s="47"/>
      <c r="F588" s="47"/>
      <c r="G588" s="48"/>
      <c r="H588" s="49"/>
      <c r="I588" s="50"/>
      <c r="J588" s="48"/>
      <c r="K588" s="49"/>
      <c r="L588" s="50"/>
      <c r="M588" s="43" t="str">
        <f aca="false">IF(OR($L588="",$F588=""),"",IFERROR($L588/INDEX(Cadastro!$E$6:$E$8,MATCH($F588,Cadastro!$B$6:$B$8,0)),""))</f>
        <v/>
      </c>
      <c r="N588" s="43" t="str">
        <f aca="false">IF(OR($L588="",$I588="",$I588=0),"",$L588/$I588)</f>
        <v/>
      </c>
      <c r="O588" s="51"/>
    </row>
    <row r="589" customFormat="false" ht="15" hidden="false" customHeight="false" outlineLevel="0" collapsed="false">
      <c r="A589" s="45"/>
      <c r="B589" s="37" t="str">
        <f aca="false">IF($A589="","",WEEKNUM($A589,2))</f>
        <v/>
      </c>
      <c r="C589" s="37" t="str">
        <f aca="false">IF($A589="","",CHOOSE(WEEKDAY($A589,2),"Seg","Ter","Qua","Qui","Sex","Sáb","Dom"))</f>
        <v/>
      </c>
      <c r="D589" s="46"/>
      <c r="E589" s="47"/>
      <c r="F589" s="47"/>
      <c r="G589" s="48"/>
      <c r="H589" s="49"/>
      <c r="I589" s="50"/>
      <c r="J589" s="48"/>
      <c r="K589" s="49"/>
      <c r="L589" s="50"/>
      <c r="M589" s="43" t="str">
        <f aca="false">IF(OR($L589="",$F589=""),"",IFERROR($L589/INDEX(Cadastro!$E$6:$E$8,MATCH($F589,Cadastro!$B$6:$B$8,0)),""))</f>
        <v/>
      </c>
      <c r="N589" s="43" t="str">
        <f aca="false">IF(OR($L589="",$I589="",$I589=0),"",$L589/$I589)</f>
        <v/>
      </c>
      <c r="O589" s="51"/>
    </row>
    <row r="590" customFormat="false" ht="15" hidden="false" customHeight="false" outlineLevel="0" collapsed="false">
      <c r="A590" s="45"/>
      <c r="B590" s="37" t="str">
        <f aca="false">IF($A590="","",WEEKNUM($A590,2))</f>
        <v/>
      </c>
      <c r="C590" s="37" t="str">
        <f aca="false">IF($A590="","",CHOOSE(WEEKDAY($A590,2),"Seg","Ter","Qua","Qui","Sex","Sáb","Dom"))</f>
        <v/>
      </c>
      <c r="D590" s="46"/>
      <c r="E590" s="47"/>
      <c r="F590" s="47"/>
      <c r="G590" s="48"/>
      <c r="H590" s="49"/>
      <c r="I590" s="50"/>
      <c r="J590" s="48"/>
      <c r="K590" s="49"/>
      <c r="L590" s="50"/>
      <c r="M590" s="43" t="str">
        <f aca="false">IF(OR($L590="",$F590=""),"",IFERROR($L590/INDEX(Cadastro!$E$6:$E$8,MATCH($F590,Cadastro!$B$6:$B$8,0)),""))</f>
        <v/>
      </c>
      <c r="N590" s="43" t="str">
        <f aca="false">IF(OR($L590="",$I590="",$I590=0),"",$L590/$I590)</f>
        <v/>
      </c>
      <c r="O590" s="51"/>
    </row>
    <row r="591" customFormat="false" ht="15" hidden="false" customHeight="false" outlineLevel="0" collapsed="false">
      <c r="A591" s="45"/>
      <c r="B591" s="37" t="str">
        <f aca="false">IF($A591="","",WEEKNUM($A591,2))</f>
        <v/>
      </c>
      <c r="C591" s="37" t="str">
        <f aca="false">IF($A591="","",CHOOSE(WEEKDAY($A591,2),"Seg","Ter","Qua","Qui","Sex","Sáb","Dom"))</f>
        <v/>
      </c>
      <c r="D591" s="46"/>
      <c r="E591" s="47"/>
      <c r="F591" s="47"/>
      <c r="G591" s="48"/>
      <c r="H591" s="49"/>
      <c r="I591" s="50"/>
      <c r="J591" s="48"/>
      <c r="K591" s="49"/>
      <c r="L591" s="50"/>
      <c r="M591" s="43" t="str">
        <f aca="false">IF(OR($L591="",$F591=""),"",IFERROR($L591/INDEX(Cadastro!$E$6:$E$8,MATCH($F591,Cadastro!$B$6:$B$8,0)),""))</f>
        <v/>
      </c>
      <c r="N591" s="43" t="str">
        <f aca="false">IF(OR($L591="",$I591="",$I591=0),"",$L591/$I591)</f>
        <v/>
      </c>
      <c r="O591" s="51"/>
    </row>
    <row r="592" customFormat="false" ht="15" hidden="false" customHeight="false" outlineLevel="0" collapsed="false">
      <c r="A592" s="45"/>
      <c r="B592" s="37" t="str">
        <f aca="false">IF($A592="","",WEEKNUM($A592,2))</f>
        <v/>
      </c>
      <c r="C592" s="37" t="str">
        <f aca="false">IF($A592="","",CHOOSE(WEEKDAY($A592,2),"Seg","Ter","Qua","Qui","Sex","Sáb","Dom"))</f>
        <v/>
      </c>
      <c r="D592" s="46"/>
      <c r="E592" s="47"/>
      <c r="F592" s="47"/>
      <c r="G592" s="48"/>
      <c r="H592" s="49"/>
      <c r="I592" s="50"/>
      <c r="J592" s="48"/>
      <c r="K592" s="49"/>
      <c r="L592" s="50"/>
      <c r="M592" s="43" t="str">
        <f aca="false">IF(OR($L592="",$F592=""),"",IFERROR($L592/INDEX(Cadastro!$E$6:$E$8,MATCH($F592,Cadastro!$B$6:$B$8,0)),""))</f>
        <v/>
      </c>
      <c r="N592" s="43" t="str">
        <f aca="false">IF(OR($L592="",$I592="",$I592=0),"",$L592/$I592)</f>
        <v/>
      </c>
      <c r="O592" s="51"/>
    </row>
    <row r="593" customFormat="false" ht="15" hidden="false" customHeight="false" outlineLevel="0" collapsed="false">
      <c r="A593" s="45"/>
      <c r="B593" s="37" t="str">
        <f aca="false">IF($A593="","",WEEKNUM($A593,2))</f>
        <v/>
      </c>
      <c r="C593" s="37" t="str">
        <f aca="false">IF($A593="","",CHOOSE(WEEKDAY($A593,2),"Seg","Ter","Qua","Qui","Sex","Sáb","Dom"))</f>
        <v/>
      </c>
      <c r="D593" s="46"/>
      <c r="E593" s="47"/>
      <c r="F593" s="47"/>
      <c r="G593" s="48"/>
      <c r="H593" s="49"/>
      <c r="I593" s="50"/>
      <c r="J593" s="48"/>
      <c r="K593" s="49"/>
      <c r="L593" s="50"/>
      <c r="M593" s="43" t="str">
        <f aca="false">IF(OR($L593="",$F593=""),"",IFERROR($L593/INDEX(Cadastro!$E$6:$E$8,MATCH($F593,Cadastro!$B$6:$B$8,0)),""))</f>
        <v/>
      </c>
      <c r="N593" s="43" t="str">
        <f aca="false">IF(OR($L593="",$I593="",$I593=0),"",$L593/$I593)</f>
        <v/>
      </c>
      <c r="O593" s="51"/>
    </row>
    <row r="594" customFormat="false" ht="15" hidden="false" customHeight="false" outlineLevel="0" collapsed="false">
      <c r="A594" s="45"/>
      <c r="B594" s="37" t="str">
        <f aca="false">IF($A594="","",WEEKNUM($A594,2))</f>
        <v/>
      </c>
      <c r="C594" s="37" t="str">
        <f aca="false">IF($A594="","",CHOOSE(WEEKDAY($A594,2),"Seg","Ter","Qua","Qui","Sex","Sáb","Dom"))</f>
        <v/>
      </c>
      <c r="D594" s="46"/>
      <c r="E594" s="47"/>
      <c r="F594" s="47"/>
      <c r="G594" s="48"/>
      <c r="H594" s="49"/>
      <c r="I594" s="50"/>
      <c r="J594" s="48"/>
      <c r="K594" s="49"/>
      <c r="L594" s="50"/>
      <c r="M594" s="43" t="str">
        <f aca="false">IF(OR($L594="",$F594=""),"",IFERROR($L594/INDEX(Cadastro!$E$6:$E$8,MATCH($F594,Cadastro!$B$6:$B$8,0)),""))</f>
        <v/>
      </c>
      <c r="N594" s="43" t="str">
        <f aca="false">IF(OR($L594="",$I594="",$I594=0),"",$L594/$I594)</f>
        <v/>
      </c>
      <c r="O594" s="51"/>
    </row>
    <row r="595" customFormat="false" ht="15" hidden="false" customHeight="false" outlineLevel="0" collapsed="false">
      <c r="A595" s="45"/>
      <c r="B595" s="37" t="str">
        <f aca="false">IF($A595="","",WEEKNUM($A595,2))</f>
        <v/>
      </c>
      <c r="C595" s="37" t="str">
        <f aca="false">IF($A595="","",CHOOSE(WEEKDAY($A595,2),"Seg","Ter","Qua","Qui","Sex","Sáb","Dom"))</f>
        <v/>
      </c>
      <c r="D595" s="46"/>
      <c r="E595" s="47"/>
      <c r="F595" s="47"/>
      <c r="G595" s="48"/>
      <c r="H595" s="49"/>
      <c r="I595" s="50"/>
      <c r="J595" s="48"/>
      <c r="K595" s="49"/>
      <c r="L595" s="50"/>
      <c r="M595" s="43" t="str">
        <f aca="false">IF(OR($L595="",$F595=""),"",IFERROR($L595/INDEX(Cadastro!$E$6:$E$8,MATCH($F595,Cadastro!$B$6:$B$8,0)),""))</f>
        <v/>
      </c>
      <c r="N595" s="43" t="str">
        <f aca="false">IF(OR($L595="",$I595="",$I595=0),"",$L595/$I595)</f>
        <v/>
      </c>
      <c r="O595" s="51"/>
    </row>
    <row r="596" customFormat="false" ht="15" hidden="false" customHeight="false" outlineLevel="0" collapsed="false">
      <c r="A596" s="45"/>
      <c r="B596" s="37" t="str">
        <f aca="false">IF($A596="","",WEEKNUM($A596,2))</f>
        <v/>
      </c>
      <c r="C596" s="37" t="str">
        <f aca="false">IF($A596="","",CHOOSE(WEEKDAY($A596,2),"Seg","Ter","Qua","Qui","Sex","Sáb","Dom"))</f>
        <v/>
      </c>
      <c r="D596" s="46"/>
      <c r="E596" s="47"/>
      <c r="F596" s="47"/>
      <c r="G596" s="48"/>
      <c r="H596" s="49"/>
      <c r="I596" s="50"/>
      <c r="J596" s="48"/>
      <c r="K596" s="49"/>
      <c r="L596" s="50"/>
      <c r="M596" s="43" t="str">
        <f aca="false">IF(OR($L596="",$F596=""),"",IFERROR($L596/INDEX(Cadastro!$E$6:$E$8,MATCH($F596,Cadastro!$B$6:$B$8,0)),""))</f>
        <v/>
      </c>
      <c r="N596" s="43" t="str">
        <f aca="false">IF(OR($L596="",$I596="",$I596=0),"",$L596/$I596)</f>
        <v/>
      </c>
      <c r="O596" s="51"/>
    </row>
    <row r="597" customFormat="false" ht="15" hidden="false" customHeight="false" outlineLevel="0" collapsed="false">
      <c r="A597" s="45"/>
      <c r="B597" s="37" t="str">
        <f aca="false">IF($A597="","",WEEKNUM($A597,2))</f>
        <v/>
      </c>
      <c r="C597" s="37" t="str">
        <f aca="false">IF($A597="","",CHOOSE(WEEKDAY($A597,2),"Seg","Ter","Qua","Qui","Sex","Sáb","Dom"))</f>
        <v/>
      </c>
      <c r="D597" s="46"/>
      <c r="E597" s="47"/>
      <c r="F597" s="47"/>
      <c r="G597" s="48"/>
      <c r="H597" s="49"/>
      <c r="I597" s="50"/>
      <c r="J597" s="48"/>
      <c r="K597" s="49"/>
      <c r="L597" s="50"/>
      <c r="M597" s="43" t="str">
        <f aca="false">IF(OR($L597="",$F597=""),"",IFERROR($L597/INDEX(Cadastro!$E$6:$E$8,MATCH($F597,Cadastro!$B$6:$B$8,0)),""))</f>
        <v/>
      </c>
      <c r="N597" s="43" t="str">
        <f aca="false">IF(OR($L597="",$I597="",$I597=0),"",$L597/$I597)</f>
        <v/>
      </c>
      <c r="O597" s="51"/>
    </row>
    <row r="598" customFormat="false" ht="15" hidden="false" customHeight="false" outlineLevel="0" collapsed="false">
      <c r="A598" s="45"/>
      <c r="B598" s="37" t="str">
        <f aca="false">IF($A598="","",WEEKNUM($A598,2))</f>
        <v/>
      </c>
      <c r="C598" s="37" t="str">
        <f aca="false">IF($A598="","",CHOOSE(WEEKDAY($A598,2),"Seg","Ter","Qua","Qui","Sex","Sáb","Dom"))</f>
        <v/>
      </c>
      <c r="D598" s="46"/>
      <c r="E598" s="47"/>
      <c r="F598" s="47"/>
      <c r="G598" s="48"/>
      <c r="H598" s="49"/>
      <c r="I598" s="50"/>
      <c r="J598" s="48"/>
      <c r="K598" s="49"/>
      <c r="L598" s="50"/>
      <c r="M598" s="43" t="str">
        <f aca="false">IF(OR($L598="",$F598=""),"",IFERROR($L598/INDEX(Cadastro!$E$6:$E$8,MATCH($F598,Cadastro!$B$6:$B$8,0)),""))</f>
        <v/>
      </c>
      <c r="N598" s="43" t="str">
        <f aca="false">IF(OR($L598="",$I598="",$I598=0),"",$L598/$I598)</f>
        <v/>
      </c>
      <c r="O598" s="51"/>
    </row>
    <row r="599" customFormat="false" ht="15" hidden="false" customHeight="false" outlineLevel="0" collapsed="false">
      <c r="A599" s="45"/>
      <c r="B599" s="37" t="str">
        <f aca="false">IF($A599="","",WEEKNUM($A599,2))</f>
        <v/>
      </c>
      <c r="C599" s="37" t="str">
        <f aca="false">IF($A599="","",CHOOSE(WEEKDAY($A599,2),"Seg","Ter","Qua","Qui","Sex","Sáb","Dom"))</f>
        <v/>
      </c>
      <c r="D599" s="46"/>
      <c r="E599" s="47"/>
      <c r="F599" s="47"/>
      <c r="G599" s="48"/>
      <c r="H599" s="49"/>
      <c r="I599" s="50"/>
      <c r="J599" s="48"/>
      <c r="K599" s="49"/>
      <c r="L599" s="50"/>
      <c r="M599" s="43" t="str">
        <f aca="false">IF(OR($L599="",$F599=""),"",IFERROR($L599/INDEX(Cadastro!$E$6:$E$8,MATCH($F599,Cadastro!$B$6:$B$8,0)),""))</f>
        <v/>
      </c>
      <c r="N599" s="43" t="str">
        <f aca="false">IF(OR($L599="",$I599="",$I599=0),"",$L599/$I599)</f>
        <v/>
      </c>
      <c r="O599" s="51"/>
    </row>
    <row r="600" customFormat="false" ht="15" hidden="false" customHeight="false" outlineLevel="0" collapsed="false">
      <c r="A600" s="45"/>
      <c r="B600" s="37" t="str">
        <f aca="false">IF($A600="","",WEEKNUM($A600,2))</f>
        <v/>
      </c>
      <c r="C600" s="37" t="str">
        <f aca="false">IF($A600="","",CHOOSE(WEEKDAY($A600,2),"Seg","Ter","Qua","Qui","Sex","Sáb","Dom"))</f>
        <v/>
      </c>
      <c r="D600" s="46"/>
      <c r="E600" s="47"/>
      <c r="F600" s="47"/>
      <c r="G600" s="48"/>
      <c r="H600" s="49"/>
      <c r="I600" s="50"/>
      <c r="J600" s="48"/>
      <c r="K600" s="49"/>
      <c r="L600" s="50"/>
      <c r="M600" s="43" t="str">
        <f aca="false">IF(OR($L600="",$F600=""),"",IFERROR($L600/INDEX(Cadastro!$E$6:$E$8,MATCH($F600,Cadastro!$B$6:$B$8,0)),""))</f>
        <v/>
      </c>
      <c r="N600" s="43" t="str">
        <f aca="false">IF(OR($L600="",$I600="",$I600=0),"",$L600/$I600)</f>
        <v/>
      </c>
      <c r="O600" s="51"/>
    </row>
    <row r="601" customFormat="false" ht="15" hidden="false" customHeight="false" outlineLevel="0" collapsed="false">
      <c r="A601" s="45"/>
      <c r="B601" s="37" t="str">
        <f aca="false">IF($A601="","",WEEKNUM($A601,2))</f>
        <v/>
      </c>
      <c r="C601" s="37" t="str">
        <f aca="false">IF($A601="","",CHOOSE(WEEKDAY($A601,2),"Seg","Ter","Qua","Qui","Sex","Sáb","Dom"))</f>
        <v/>
      </c>
      <c r="D601" s="46"/>
      <c r="E601" s="47"/>
      <c r="F601" s="47"/>
      <c r="G601" s="48"/>
      <c r="H601" s="49"/>
      <c r="I601" s="50"/>
      <c r="J601" s="48"/>
      <c r="K601" s="49"/>
      <c r="L601" s="50"/>
      <c r="M601" s="43" t="str">
        <f aca="false">IF(OR($L601="",$F601=""),"",IFERROR($L601/INDEX(Cadastro!$E$6:$E$8,MATCH($F601,Cadastro!$B$6:$B$8,0)),""))</f>
        <v/>
      </c>
      <c r="N601" s="43" t="str">
        <f aca="false">IF(OR($L601="",$I601="",$I601=0),"",$L601/$I601)</f>
        <v/>
      </c>
      <c r="O601" s="51"/>
    </row>
    <row r="602" customFormat="false" ht="15" hidden="false" customHeight="false" outlineLevel="0" collapsed="false">
      <c r="A602" s="45"/>
      <c r="B602" s="37" t="str">
        <f aca="false">IF($A602="","",WEEKNUM($A602,2))</f>
        <v/>
      </c>
      <c r="C602" s="37" t="str">
        <f aca="false">IF($A602="","",CHOOSE(WEEKDAY($A602,2),"Seg","Ter","Qua","Qui","Sex","Sáb","Dom"))</f>
        <v/>
      </c>
      <c r="D602" s="46"/>
      <c r="E602" s="47"/>
      <c r="F602" s="47"/>
      <c r="G602" s="48"/>
      <c r="H602" s="49"/>
      <c r="I602" s="50"/>
      <c r="J602" s="48"/>
      <c r="K602" s="49"/>
      <c r="L602" s="50"/>
      <c r="M602" s="43" t="str">
        <f aca="false">IF(OR($L602="",$F602=""),"",IFERROR($L602/INDEX(Cadastro!$E$6:$E$8,MATCH($F602,Cadastro!$B$6:$B$8,0)),""))</f>
        <v/>
      </c>
      <c r="N602" s="43" t="str">
        <f aca="false">IF(OR($L602="",$I602="",$I602=0),"",$L602/$I602)</f>
        <v/>
      </c>
      <c r="O602" s="51"/>
    </row>
    <row r="603" customFormat="false" ht="15" hidden="false" customHeight="false" outlineLevel="0" collapsed="false">
      <c r="A603" s="45"/>
      <c r="B603" s="37" t="str">
        <f aca="false">IF($A603="","",WEEKNUM($A603,2))</f>
        <v/>
      </c>
      <c r="C603" s="37" t="str">
        <f aca="false">IF($A603="","",CHOOSE(WEEKDAY($A603,2),"Seg","Ter","Qua","Qui","Sex","Sáb","Dom"))</f>
        <v/>
      </c>
      <c r="D603" s="46"/>
      <c r="E603" s="47"/>
      <c r="F603" s="47"/>
      <c r="G603" s="48"/>
      <c r="H603" s="49"/>
      <c r="I603" s="50"/>
      <c r="J603" s="48"/>
      <c r="K603" s="49"/>
      <c r="L603" s="50"/>
      <c r="M603" s="43" t="str">
        <f aca="false">IF(OR($L603="",$F603=""),"",IFERROR($L603/INDEX(Cadastro!$E$6:$E$8,MATCH($F603,Cadastro!$B$6:$B$8,0)),""))</f>
        <v/>
      </c>
      <c r="N603" s="43" t="str">
        <f aca="false">IF(OR($L603="",$I603="",$I603=0),"",$L603/$I603)</f>
        <v/>
      </c>
      <c r="O603" s="51"/>
    </row>
    <row r="604" customFormat="false" ht="15" hidden="false" customHeight="false" outlineLevel="0" collapsed="false">
      <c r="A604" s="45"/>
      <c r="B604" s="37" t="str">
        <f aca="false">IF($A604="","",WEEKNUM($A604,2))</f>
        <v/>
      </c>
      <c r="C604" s="37" t="str">
        <f aca="false">IF($A604="","",CHOOSE(WEEKDAY($A604,2),"Seg","Ter","Qua","Qui","Sex","Sáb","Dom"))</f>
        <v/>
      </c>
      <c r="D604" s="46"/>
      <c r="E604" s="47"/>
      <c r="F604" s="47"/>
      <c r="G604" s="48"/>
      <c r="H604" s="49"/>
      <c r="I604" s="50"/>
      <c r="J604" s="48"/>
      <c r="K604" s="49"/>
      <c r="L604" s="50"/>
      <c r="M604" s="43" t="str">
        <f aca="false">IF(OR($L604="",$F604=""),"",IFERROR($L604/INDEX(Cadastro!$E$6:$E$8,MATCH($F604,Cadastro!$B$6:$B$8,0)),""))</f>
        <v/>
      </c>
      <c r="N604" s="43" t="str">
        <f aca="false">IF(OR($L604="",$I604="",$I604=0),"",$L604/$I604)</f>
        <v/>
      </c>
      <c r="O604" s="51"/>
    </row>
    <row r="605" customFormat="false" ht="15" hidden="false" customHeight="false" outlineLevel="0" collapsed="false">
      <c r="A605" s="45"/>
      <c r="B605" s="37" t="str">
        <f aca="false">IF($A605="","",WEEKNUM($A605,2))</f>
        <v/>
      </c>
      <c r="C605" s="37" t="str">
        <f aca="false">IF($A605="","",CHOOSE(WEEKDAY($A605,2),"Seg","Ter","Qua","Qui","Sex","Sáb","Dom"))</f>
        <v/>
      </c>
      <c r="D605" s="46"/>
      <c r="E605" s="47"/>
      <c r="F605" s="47"/>
      <c r="G605" s="48"/>
      <c r="H605" s="49"/>
      <c r="I605" s="50"/>
      <c r="J605" s="48"/>
      <c r="K605" s="49"/>
      <c r="L605" s="50"/>
      <c r="M605" s="43" t="str">
        <f aca="false">IF(OR($L605="",$F605=""),"",IFERROR($L605/INDEX(Cadastro!$E$6:$E$8,MATCH($F605,Cadastro!$B$6:$B$8,0)),""))</f>
        <v/>
      </c>
      <c r="N605" s="43" t="str">
        <f aca="false">IF(OR($L605="",$I605="",$I605=0),"",$L605/$I605)</f>
        <v/>
      </c>
      <c r="O605" s="51"/>
    </row>
    <row r="606" customFormat="false" ht="15" hidden="false" customHeight="false" outlineLevel="0" collapsed="false">
      <c r="A606" s="45"/>
      <c r="B606" s="37" t="str">
        <f aca="false">IF($A606="","",WEEKNUM($A606,2))</f>
        <v/>
      </c>
      <c r="C606" s="37" t="str">
        <f aca="false">IF($A606="","",CHOOSE(WEEKDAY($A606,2),"Seg","Ter","Qua","Qui","Sex","Sáb","Dom"))</f>
        <v/>
      </c>
      <c r="D606" s="46"/>
      <c r="E606" s="47"/>
      <c r="F606" s="47"/>
      <c r="G606" s="48"/>
      <c r="H606" s="49"/>
      <c r="I606" s="50"/>
      <c r="J606" s="48"/>
      <c r="K606" s="49"/>
      <c r="L606" s="50"/>
      <c r="M606" s="43" t="str">
        <f aca="false">IF(OR($L606="",$F606=""),"",IFERROR($L606/INDEX(Cadastro!$E$6:$E$8,MATCH($F606,Cadastro!$B$6:$B$8,0)),""))</f>
        <v/>
      </c>
      <c r="N606" s="43" t="str">
        <f aca="false">IF(OR($L606="",$I606="",$I606=0),"",$L606/$I606)</f>
        <v/>
      </c>
      <c r="O606" s="51"/>
    </row>
    <row r="607" customFormat="false" ht="15" hidden="false" customHeight="false" outlineLevel="0" collapsed="false">
      <c r="A607" s="45"/>
      <c r="B607" s="37" t="str">
        <f aca="false">IF($A607="","",WEEKNUM($A607,2))</f>
        <v/>
      </c>
      <c r="C607" s="37" t="str">
        <f aca="false">IF($A607="","",CHOOSE(WEEKDAY($A607,2),"Seg","Ter","Qua","Qui","Sex","Sáb","Dom"))</f>
        <v/>
      </c>
      <c r="D607" s="46"/>
      <c r="E607" s="47"/>
      <c r="F607" s="47"/>
      <c r="G607" s="48"/>
      <c r="H607" s="49"/>
      <c r="I607" s="50"/>
      <c r="J607" s="48"/>
      <c r="K607" s="49"/>
      <c r="L607" s="50"/>
      <c r="M607" s="43" t="str">
        <f aca="false">IF(OR($L607="",$F607=""),"",IFERROR($L607/INDEX(Cadastro!$E$6:$E$8,MATCH($F607,Cadastro!$B$6:$B$8,0)),""))</f>
        <v/>
      </c>
      <c r="N607" s="43" t="str">
        <f aca="false">IF(OR($L607="",$I607="",$I607=0),"",$L607/$I607)</f>
        <v/>
      </c>
      <c r="O607" s="51"/>
    </row>
    <row r="608" customFormat="false" ht="15" hidden="false" customHeight="false" outlineLevel="0" collapsed="false">
      <c r="A608" s="45"/>
      <c r="B608" s="37" t="str">
        <f aca="false">IF($A608="","",WEEKNUM($A608,2))</f>
        <v/>
      </c>
      <c r="C608" s="37" t="str">
        <f aca="false">IF($A608="","",CHOOSE(WEEKDAY($A608,2),"Seg","Ter","Qua","Qui","Sex","Sáb","Dom"))</f>
        <v/>
      </c>
      <c r="D608" s="46"/>
      <c r="E608" s="47"/>
      <c r="F608" s="47"/>
      <c r="G608" s="48"/>
      <c r="H608" s="49"/>
      <c r="I608" s="50"/>
      <c r="J608" s="48"/>
      <c r="K608" s="49"/>
      <c r="L608" s="50"/>
      <c r="M608" s="43" t="str">
        <f aca="false">IF(OR($L608="",$F608=""),"",IFERROR($L608/INDEX(Cadastro!$E$6:$E$8,MATCH($F608,Cadastro!$B$6:$B$8,0)),""))</f>
        <v/>
      </c>
      <c r="N608" s="43" t="str">
        <f aca="false">IF(OR($L608="",$I608="",$I608=0),"",$L608/$I608)</f>
        <v/>
      </c>
      <c r="O608" s="51"/>
    </row>
    <row r="609" customFormat="false" ht="15" hidden="false" customHeight="false" outlineLevel="0" collapsed="false">
      <c r="A609" s="45"/>
      <c r="B609" s="37" t="str">
        <f aca="false">IF($A609="","",WEEKNUM($A609,2))</f>
        <v/>
      </c>
      <c r="C609" s="37" t="str">
        <f aca="false">IF($A609="","",CHOOSE(WEEKDAY($A609,2),"Seg","Ter","Qua","Qui","Sex","Sáb","Dom"))</f>
        <v/>
      </c>
      <c r="D609" s="46"/>
      <c r="E609" s="47"/>
      <c r="F609" s="47"/>
      <c r="G609" s="48"/>
      <c r="H609" s="49"/>
      <c r="I609" s="50"/>
      <c r="J609" s="48"/>
      <c r="K609" s="49"/>
      <c r="L609" s="50"/>
      <c r="M609" s="43" t="str">
        <f aca="false">IF(OR($L609="",$F609=""),"",IFERROR($L609/INDEX(Cadastro!$E$6:$E$8,MATCH($F609,Cadastro!$B$6:$B$8,0)),""))</f>
        <v/>
      </c>
      <c r="N609" s="43" t="str">
        <f aca="false">IF(OR($L609="",$I609="",$I609=0),"",$L609/$I609)</f>
        <v/>
      </c>
      <c r="O609" s="51"/>
    </row>
    <row r="610" customFormat="false" ht="15" hidden="false" customHeight="false" outlineLevel="0" collapsed="false">
      <c r="A610" s="45"/>
      <c r="B610" s="37" t="str">
        <f aca="false">IF($A610="","",WEEKNUM($A610,2))</f>
        <v/>
      </c>
      <c r="C610" s="37" t="str">
        <f aca="false">IF($A610="","",CHOOSE(WEEKDAY($A610,2),"Seg","Ter","Qua","Qui","Sex","Sáb","Dom"))</f>
        <v/>
      </c>
      <c r="D610" s="46"/>
      <c r="E610" s="47"/>
      <c r="F610" s="47"/>
      <c r="G610" s="48"/>
      <c r="H610" s="49"/>
      <c r="I610" s="50"/>
      <c r="J610" s="48"/>
      <c r="K610" s="49"/>
      <c r="L610" s="50"/>
      <c r="M610" s="43" t="str">
        <f aca="false">IF(OR($L610="",$F610=""),"",IFERROR($L610/INDEX(Cadastro!$E$6:$E$8,MATCH($F610,Cadastro!$B$6:$B$8,0)),""))</f>
        <v/>
      </c>
      <c r="N610" s="43" t="str">
        <f aca="false">IF(OR($L610="",$I610="",$I610=0),"",$L610/$I610)</f>
        <v/>
      </c>
      <c r="O610" s="51"/>
    </row>
    <row r="611" customFormat="false" ht="15" hidden="false" customHeight="false" outlineLevel="0" collapsed="false">
      <c r="A611" s="45"/>
      <c r="B611" s="37" t="str">
        <f aca="false">IF($A611="","",WEEKNUM($A611,2))</f>
        <v/>
      </c>
      <c r="C611" s="37" t="str">
        <f aca="false">IF($A611="","",CHOOSE(WEEKDAY($A611,2),"Seg","Ter","Qua","Qui","Sex","Sáb","Dom"))</f>
        <v/>
      </c>
      <c r="D611" s="46"/>
      <c r="E611" s="47"/>
      <c r="F611" s="47"/>
      <c r="G611" s="48"/>
      <c r="H611" s="49"/>
      <c r="I611" s="50"/>
      <c r="J611" s="48"/>
      <c r="K611" s="49"/>
      <c r="L611" s="50"/>
      <c r="M611" s="43" t="str">
        <f aca="false">IF(OR($L611="",$F611=""),"",IFERROR($L611/INDEX(Cadastro!$E$6:$E$8,MATCH($F611,Cadastro!$B$6:$B$8,0)),""))</f>
        <v/>
      </c>
      <c r="N611" s="43" t="str">
        <f aca="false">IF(OR($L611="",$I611="",$I611=0),"",$L611/$I611)</f>
        <v/>
      </c>
      <c r="O611" s="51"/>
    </row>
    <row r="612" customFormat="false" ht="15" hidden="false" customHeight="false" outlineLevel="0" collapsed="false">
      <c r="A612" s="45"/>
      <c r="B612" s="37" t="str">
        <f aca="false">IF($A612="","",WEEKNUM($A612,2))</f>
        <v/>
      </c>
      <c r="C612" s="37" t="str">
        <f aca="false">IF($A612="","",CHOOSE(WEEKDAY($A612,2),"Seg","Ter","Qua","Qui","Sex","Sáb","Dom"))</f>
        <v/>
      </c>
      <c r="D612" s="46"/>
      <c r="E612" s="47"/>
      <c r="F612" s="47"/>
      <c r="G612" s="48"/>
      <c r="H612" s="49"/>
      <c r="I612" s="50"/>
      <c r="J612" s="48"/>
      <c r="K612" s="49"/>
      <c r="L612" s="50"/>
      <c r="M612" s="43" t="str">
        <f aca="false">IF(OR($L612="",$F612=""),"",IFERROR($L612/INDEX(Cadastro!$E$6:$E$8,MATCH($F612,Cadastro!$B$6:$B$8,0)),""))</f>
        <v/>
      </c>
      <c r="N612" s="43" t="str">
        <f aca="false">IF(OR($L612="",$I612="",$I612=0),"",$L612/$I612)</f>
        <v/>
      </c>
      <c r="O612" s="51"/>
    </row>
    <row r="613" customFormat="false" ht="15" hidden="false" customHeight="false" outlineLevel="0" collapsed="false">
      <c r="A613" s="45"/>
      <c r="B613" s="37" t="str">
        <f aca="false">IF($A613="","",WEEKNUM($A613,2))</f>
        <v/>
      </c>
      <c r="C613" s="37" t="str">
        <f aca="false">IF($A613="","",CHOOSE(WEEKDAY($A613,2),"Seg","Ter","Qua","Qui","Sex","Sáb","Dom"))</f>
        <v/>
      </c>
      <c r="D613" s="46"/>
      <c r="E613" s="47"/>
      <c r="F613" s="47"/>
      <c r="G613" s="48"/>
      <c r="H613" s="49"/>
      <c r="I613" s="50"/>
      <c r="J613" s="48"/>
      <c r="K613" s="49"/>
      <c r="L613" s="50"/>
      <c r="M613" s="43" t="str">
        <f aca="false">IF(OR($L613="",$F613=""),"",IFERROR($L613/INDEX(Cadastro!$E$6:$E$8,MATCH($F613,Cadastro!$B$6:$B$8,0)),""))</f>
        <v/>
      </c>
      <c r="N613" s="43" t="str">
        <f aca="false">IF(OR($L613="",$I613="",$I613=0),"",$L613/$I613)</f>
        <v/>
      </c>
      <c r="O613" s="51"/>
    </row>
    <row r="614" customFormat="false" ht="15" hidden="false" customHeight="false" outlineLevel="0" collapsed="false">
      <c r="A614" s="45"/>
      <c r="B614" s="37" t="str">
        <f aca="false">IF($A614="","",WEEKNUM($A614,2))</f>
        <v/>
      </c>
      <c r="C614" s="37" t="str">
        <f aca="false">IF($A614="","",CHOOSE(WEEKDAY($A614,2),"Seg","Ter","Qua","Qui","Sex","Sáb","Dom"))</f>
        <v/>
      </c>
      <c r="D614" s="46"/>
      <c r="E614" s="47"/>
      <c r="F614" s="47"/>
      <c r="G614" s="48"/>
      <c r="H614" s="49"/>
      <c r="I614" s="50"/>
      <c r="J614" s="48"/>
      <c r="K614" s="49"/>
      <c r="L614" s="50"/>
      <c r="M614" s="43" t="str">
        <f aca="false">IF(OR($L614="",$F614=""),"",IFERROR($L614/INDEX(Cadastro!$E$6:$E$8,MATCH($F614,Cadastro!$B$6:$B$8,0)),""))</f>
        <v/>
      </c>
      <c r="N614" s="43" t="str">
        <f aca="false">IF(OR($L614="",$I614="",$I614=0),"",$L614/$I614)</f>
        <v/>
      </c>
      <c r="O614" s="51"/>
    </row>
    <row r="615" customFormat="false" ht="15" hidden="false" customHeight="false" outlineLevel="0" collapsed="false">
      <c r="A615" s="45"/>
      <c r="B615" s="37" t="str">
        <f aca="false">IF($A615="","",WEEKNUM($A615,2))</f>
        <v/>
      </c>
      <c r="C615" s="37" t="str">
        <f aca="false">IF($A615="","",CHOOSE(WEEKDAY($A615,2),"Seg","Ter","Qua","Qui","Sex","Sáb","Dom"))</f>
        <v/>
      </c>
      <c r="D615" s="46"/>
      <c r="E615" s="47"/>
      <c r="F615" s="47"/>
      <c r="G615" s="48"/>
      <c r="H615" s="49"/>
      <c r="I615" s="50"/>
      <c r="J615" s="48"/>
      <c r="K615" s="49"/>
      <c r="L615" s="50"/>
      <c r="M615" s="43" t="str">
        <f aca="false">IF(OR($L615="",$F615=""),"",IFERROR($L615/INDEX(Cadastro!$E$6:$E$8,MATCH($F615,Cadastro!$B$6:$B$8,0)),""))</f>
        <v/>
      </c>
      <c r="N615" s="43" t="str">
        <f aca="false">IF(OR($L615="",$I615="",$I615=0),"",$L615/$I615)</f>
        <v/>
      </c>
      <c r="O615" s="51"/>
    </row>
    <row r="616" customFormat="false" ht="15" hidden="false" customHeight="false" outlineLevel="0" collapsed="false">
      <c r="A616" s="45"/>
      <c r="B616" s="37" t="str">
        <f aca="false">IF($A616="","",WEEKNUM($A616,2))</f>
        <v/>
      </c>
      <c r="C616" s="37" t="str">
        <f aca="false">IF($A616="","",CHOOSE(WEEKDAY($A616,2),"Seg","Ter","Qua","Qui","Sex","Sáb","Dom"))</f>
        <v/>
      </c>
      <c r="D616" s="46"/>
      <c r="E616" s="47"/>
      <c r="F616" s="47"/>
      <c r="G616" s="48"/>
      <c r="H616" s="49"/>
      <c r="I616" s="50"/>
      <c r="J616" s="48"/>
      <c r="K616" s="49"/>
      <c r="L616" s="50"/>
      <c r="M616" s="43" t="str">
        <f aca="false">IF(OR($L616="",$F616=""),"",IFERROR($L616/INDEX(Cadastro!$E$6:$E$8,MATCH($F616,Cadastro!$B$6:$B$8,0)),""))</f>
        <v/>
      </c>
      <c r="N616" s="43" t="str">
        <f aca="false">IF(OR($L616="",$I616="",$I616=0),"",$L616/$I616)</f>
        <v/>
      </c>
      <c r="O616" s="51"/>
    </row>
    <row r="617" customFormat="false" ht="15" hidden="false" customHeight="false" outlineLevel="0" collapsed="false">
      <c r="A617" s="45"/>
      <c r="B617" s="37" t="str">
        <f aca="false">IF($A617="","",WEEKNUM($A617,2))</f>
        <v/>
      </c>
      <c r="C617" s="37" t="str">
        <f aca="false">IF($A617="","",CHOOSE(WEEKDAY($A617,2),"Seg","Ter","Qua","Qui","Sex","Sáb","Dom"))</f>
        <v/>
      </c>
      <c r="D617" s="46"/>
      <c r="E617" s="47"/>
      <c r="F617" s="47"/>
      <c r="G617" s="48"/>
      <c r="H617" s="49"/>
      <c r="I617" s="50"/>
      <c r="J617" s="48"/>
      <c r="K617" s="49"/>
      <c r="L617" s="50"/>
      <c r="M617" s="43" t="str">
        <f aca="false">IF(OR($L617="",$F617=""),"",IFERROR($L617/INDEX(Cadastro!$E$6:$E$8,MATCH($F617,Cadastro!$B$6:$B$8,0)),""))</f>
        <v/>
      </c>
      <c r="N617" s="43" t="str">
        <f aca="false">IF(OR($L617="",$I617="",$I617=0),"",$L617/$I617)</f>
        <v/>
      </c>
      <c r="O617" s="51"/>
    </row>
    <row r="618" customFormat="false" ht="15" hidden="false" customHeight="false" outlineLevel="0" collapsed="false">
      <c r="A618" s="45"/>
      <c r="B618" s="37" t="str">
        <f aca="false">IF($A618="","",WEEKNUM($A618,2))</f>
        <v/>
      </c>
      <c r="C618" s="37" t="str">
        <f aca="false">IF($A618="","",CHOOSE(WEEKDAY($A618,2),"Seg","Ter","Qua","Qui","Sex","Sáb","Dom"))</f>
        <v/>
      </c>
      <c r="D618" s="46"/>
      <c r="E618" s="47"/>
      <c r="F618" s="47"/>
      <c r="G618" s="48"/>
      <c r="H618" s="49"/>
      <c r="I618" s="50"/>
      <c r="J618" s="48"/>
      <c r="K618" s="49"/>
      <c r="L618" s="50"/>
      <c r="M618" s="43" t="str">
        <f aca="false">IF(OR($L618="",$F618=""),"",IFERROR($L618/INDEX(Cadastro!$E$6:$E$8,MATCH($F618,Cadastro!$B$6:$B$8,0)),""))</f>
        <v/>
      </c>
      <c r="N618" s="43" t="str">
        <f aca="false">IF(OR($L618="",$I618="",$I618=0),"",$L618/$I618)</f>
        <v/>
      </c>
      <c r="O618" s="51"/>
    </row>
    <row r="619" customFormat="false" ht="15" hidden="false" customHeight="false" outlineLevel="0" collapsed="false">
      <c r="A619" s="45"/>
      <c r="B619" s="37" t="str">
        <f aca="false">IF($A619="","",WEEKNUM($A619,2))</f>
        <v/>
      </c>
      <c r="C619" s="37" t="str">
        <f aca="false">IF($A619="","",CHOOSE(WEEKDAY($A619,2),"Seg","Ter","Qua","Qui","Sex","Sáb","Dom"))</f>
        <v/>
      </c>
      <c r="D619" s="46"/>
      <c r="E619" s="47"/>
      <c r="F619" s="47"/>
      <c r="G619" s="48"/>
      <c r="H619" s="49"/>
      <c r="I619" s="50"/>
      <c r="J619" s="48"/>
      <c r="K619" s="49"/>
      <c r="L619" s="50"/>
      <c r="M619" s="43" t="str">
        <f aca="false">IF(OR($L619="",$F619=""),"",IFERROR($L619/INDEX(Cadastro!$E$6:$E$8,MATCH($F619,Cadastro!$B$6:$B$8,0)),""))</f>
        <v/>
      </c>
      <c r="N619" s="43" t="str">
        <f aca="false">IF(OR($L619="",$I619="",$I619=0),"",$L619/$I619)</f>
        <v/>
      </c>
      <c r="O619" s="51"/>
    </row>
    <row r="620" customFormat="false" ht="15" hidden="false" customHeight="false" outlineLevel="0" collapsed="false">
      <c r="A620" s="45"/>
      <c r="B620" s="37" t="str">
        <f aca="false">IF($A620="","",WEEKNUM($A620,2))</f>
        <v/>
      </c>
      <c r="C620" s="37" t="str">
        <f aca="false">IF($A620="","",CHOOSE(WEEKDAY($A620,2),"Seg","Ter","Qua","Qui","Sex","Sáb","Dom"))</f>
        <v/>
      </c>
      <c r="D620" s="46"/>
      <c r="E620" s="47"/>
      <c r="F620" s="47"/>
      <c r="G620" s="48"/>
      <c r="H620" s="49"/>
      <c r="I620" s="50"/>
      <c r="J620" s="48"/>
      <c r="K620" s="49"/>
      <c r="L620" s="50"/>
      <c r="M620" s="43" t="str">
        <f aca="false">IF(OR($L620="",$F620=""),"",IFERROR($L620/INDEX(Cadastro!$E$6:$E$8,MATCH($F620,Cadastro!$B$6:$B$8,0)),""))</f>
        <v/>
      </c>
      <c r="N620" s="43" t="str">
        <f aca="false">IF(OR($L620="",$I620="",$I620=0),"",$L620/$I620)</f>
        <v/>
      </c>
      <c r="O620" s="51"/>
    </row>
    <row r="621" customFormat="false" ht="15" hidden="false" customHeight="false" outlineLevel="0" collapsed="false">
      <c r="A621" s="45"/>
      <c r="B621" s="37" t="str">
        <f aca="false">IF($A621="","",WEEKNUM($A621,2))</f>
        <v/>
      </c>
      <c r="C621" s="37" t="str">
        <f aca="false">IF($A621="","",CHOOSE(WEEKDAY($A621,2),"Seg","Ter","Qua","Qui","Sex","Sáb","Dom"))</f>
        <v/>
      </c>
      <c r="D621" s="46"/>
      <c r="E621" s="47"/>
      <c r="F621" s="47"/>
      <c r="G621" s="48"/>
      <c r="H621" s="49"/>
      <c r="I621" s="50"/>
      <c r="J621" s="48"/>
      <c r="K621" s="49"/>
      <c r="L621" s="50"/>
      <c r="M621" s="43" t="str">
        <f aca="false">IF(OR($L621="",$F621=""),"",IFERROR($L621/INDEX(Cadastro!$E$6:$E$8,MATCH($F621,Cadastro!$B$6:$B$8,0)),""))</f>
        <v/>
      </c>
      <c r="N621" s="43" t="str">
        <f aca="false">IF(OR($L621="",$I621="",$I621=0),"",$L621/$I621)</f>
        <v/>
      </c>
      <c r="O621" s="51"/>
    </row>
    <row r="622" customFormat="false" ht="15" hidden="false" customHeight="false" outlineLevel="0" collapsed="false">
      <c r="A622" s="45"/>
      <c r="B622" s="37" t="str">
        <f aca="false">IF($A622="","",WEEKNUM($A622,2))</f>
        <v/>
      </c>
      <c r="C622" s="37" t="str">
        <f aca="false">IF($A622="","",CHOOSE(WEEKDAY($A622,2),"Seg","Ter","Qua","Qui","Sex","Sáb","Dom"))</f>
        <v/>
      </c>
      <c r="D622" s="46"/>
      <c r="E622" s="47"/>
      <c r="F622" s="47"/>
      <c r="G622" s="48"/>
      <c r="H622" s="49"/>
      <c r="I622" s="50"/>
      <c r="J622" s="48"/>
      <c r="K622" s="49"/>
      <c r="L622" s="50"/>
      <c r="M622" s="43" t="str">
        <f aca="false">IF(OR($L622="",$F622=""),"",IFERROR($L622/INDEX(Cadastro!$E$6:$E$8,MATCH($F622,Cadastro!$B$6:$B$8,0)),""))</f>
        <v/>
      </c>
      <c r="N622" s="43" t="str">
        <f aca="false">IF(OR($L622="",$I622="",$I622=0),"",$L622/$I622)</f>
        <v/>
      </c>
      <c r="O622" s="51"/>
    </row>
    <row r="623" customFormat="false" ht="15" hidden="false" customHeight="false" outlineLevel="0" collapsed="false">
      <c r="A623" s="45"/>
      <c r="B623" s="37" t="str">
        <f aca="false">IF($A623="","",WEEKNUM($A623,2))</f>
        <v/>
      </c>
      <c r="C623" s="37" t="str">
        <f aca="false">IF($A623="","",CHOOSE(WEEKDAY($A623,2),"Seg","Ter","Qua","Qui","Sex","Sáb","Dom"))</f>
        <v/>
      </c>
      <c r="D623" s="46"/>
      <c r="E623" s="47"/>
      <c r="F623" s="47"/>
      <c r="G623" s="48"/>
      <c r="H623" s="49"/>
      <c r="I623" s="50"/>
      <c r="J623" s="48"/>
      <c r="K623" s="49"/>
      <c r="L623" s="50"/>
      <c r="M623" s="43" t="str">
        <f aca="false">IF(OR($L623="",$F623=""),"",IFERROR($L623/INDEX(Cadastro!$E$6:$E$8,MATCH($F623,Cadastro!$B$6:$B$8,0)),""))</f>
        <v/>
      </c>
      <c r="N623" s="43" t="str">
        <f aca="false">IF(OR($L623="",$I623="",$I623=0),"",$L623/$I623)</f>
        <v/>
      </c>
      <c r="O623" s="51"/>
    </row>
    <row r="624" customFormat="false" ht="15" hidden="false" customHeight="false" outlineLevel="0" collapsed="false">
      <c r="A624" s="45"/>
      <c r="B624" s="37" t="str">
        <f aca="false">IF($A624="","",WEEKNUM($A624,2))</f>
        <v/>
      </c>
      <c r="C624" s="37" t="str">
        <f aca="false">IF($A624="","",CHOOSE(WEEKDAY($A624,2),"Seg","Ter","Qua","Qui","Sex","Sáb","Dom"))</f>
        <v/>
      </c>
      <c r="D624" s="46"/>
      <c r="E624" s="47"/>
      <c r="F624" s="47"/>
      <c r="G624" s="48"/>
      <c r="H624" s="49"/>
      <c r="I624" s="50"/>
      <c r="J624" s="48"/>
      <c r="K624" s="49"/>
      <c r="L624" s="50"/>
      <c r="M624" s="43" t="str">
        <f aca="false">IF(OR($L624="",$F624=""),"",IFERROR($L624/INDEX(Cadastro!$E$6:$E$8,MATCH($F624,Cadastro!$B$6:$B$8,0)),""))</f>
        <v/>
      </c>
      <c r="N624" s="43" t="str">
        <f aca="false">IF(OR($L624="",$I624="",$I624=0),"",$L624/$I624)</f>
        <v/>
      </c>
      <c r="O624" s="51"/>
    </row>
    <row r="625" customFormat="false" ht="15" hidden="false" customHeight="false" outlineLevel="0" collapsed="false">
      <c r="A625" s="45"/>
      <c r="B625" s="37" t="str">
        <f aca="false">IF($A625="","",WEEKNUM($A625,2))</f>
        <v/>
      </c>
      <c r="C625" s="37" t="str">
        <f aca="false">IF($A625="","",CHOOSE(WEEKDAY($A625,2),"Seg","Ter","Qua","Qui","Sex","Sáb","Dom"))</f>
        <v/>
      </c>
      <c r="D625" s="46"/>
      <c r="E625" s="47"/>
      <c r="F625" s="47"/>
      <c r="G625" s="48"/>
      <c r="H625" s="49"/>
      <c r="I625" s="50"/>
      <c r="J625" s="48"/>
      <c r="K625" s="49"/>
      <c r="L625" s="50"/>
      <c r="M625" s="43" t="str">
        <f aca="false">IF(OR($L625="",$F625=""),"",IFERROR($L625/INDEX(Cadastro!$E$6:$E$8,MATCH($F625,Cadastro!$B$6:$B$8,0)),""))</f>
        <v/>
      </c>
      <c r="N625" s="43" t="str">
        <f aca="false">IF(OR($L625="",$I625="",$I625=0),"",$L625/$I625)</f>
        <v/>
      </c>
      <c r="O625" s="51"/>
    </row>
    <row r="626" customFormat="false" ht="15" hidden="false" customHeight="false" outlineLevel="0" collapsed="false">
      <c r="A626" s="45"/>
      <c r="B626" s="37" t="str">
        <f aca="false">IF($A626="","",WEEKNUM($A626,2))</f>
        <v/>
      </c>
      <c r="C626" s="37" t="str">
        <f aca="false">IF($A626="","",CHOOSE(WEEKDAY($A626,2),"Seg","Ter","Qua","Qui","Sex","Sáb","Dom"))</f>
        <v/>
      </c>
      <c r="D626" s="46"/>
      <c r="E626" s="47"/>
      <c r="F626" s="47"/>
      <c r="G626" s="48"/>
      <c r="H626" s="49"/>
      <c r="I626" s="50"/>
      <c r="J626" s="48"/>
      <c r="K626" s="49"/>
      <c r="L626" s="50"/>
      <c r="M626" s="43" t="str">
        <f aca="false">IF(OR($L626="",$F626=""),"",IFERROR($L626/INDEX(Cadastro!$E$6:$E$8,MATCH($F626,Cadastro!$B$6:$B$8,0)),""))</f>
        <v/>
      </c>
      <c r="N626" s="43" t="str">
        <f aca="false">IF(OR($L626="",$I626="",$I626=0),"",$L626/$I626)</f>
        <v/>
      </c>
      <c r="O626" s="51"/>
    </row>
    <row r="627" customFormat="false" ht="15" hidden="false" customHeight="false" outlineLevel="0" collapsed="false">
      <c r="A627" s="45"/>
      <c r="B627" s="37" t="str">
        <f aca="false">IF($A627="","",WEEKNUM($A627,2))</f>
        <v/>
      </c>
      <c r="C627" s="37" t="str">
        <f aca="false">IF($A627="","",CHOOSE(WEEKDAY($A627,2),"Seg","Ter","Qua","Qui","Sex","Sáb","Dom"))</f>
        <v/>
      </c>
      <c r="D627" s="46"/>
      <c r="E627" s="47"/>
      <c r="F627" s="47"/>
      <c r="G627" s="48"/>
      <c r="H627" s="49"/>
      <c r="I627" s="50"/>
      <c r="J627" s="48"/>
      <c r="K627" s="49"/>
      <c r="L627" s="50"/>
      <c r="M627" s="43" t="str">
        <f aca="false">IF(OR($L627="",$F627=""),"",IFERROR($L627/INDEX(Cadastro!$E$6:$E$8,MATCH($F627,Cadastro!$B$6:$B$8,0)),""))</f>
        <v/>
      </c>
      <c r="N627" s="43" t="str">
        <f aca="false">IF(OR($L627="",$I627="",$I627=0),"",$L627/$I627)</f>
        <v/>
      </c>
      <c r="O627" s="51"/>
    </row>
    <row r="628" customFormat="false" ht="15" hidden="false" customHeight="false" outlineLevel="0" collapsed="false">
      <c r="A628" s="45"/>
      <c r="B628" s="37" t="str">
        <f aca="false">IF($A628="","",WEEKNUM($A628,2))</f>
        <v/>
      </c>
      <c r="C628" s="37" t="str">
        <f aca="false">IF($A628="","",CHOOSE(WEEKDAY($A628,2),"Seg","Ter","Qua","Qui","Sex","Sáb","Dom"))</f>
        <v/>
      </c>
      <c r="D628" s="46"/>
      <c r="E628" s="47"/>
      <c r="F628" s="47"/>
      <c r="G628" s="48"/>
      <c r="H628" s="49"/>
      <c r="I628" s="50"/>
      <c r="J628" s="48"/>
      <c r="K628" s="49"/>
      <c r="L628" s="50"/>
      <c r="M628" s="43" t="str">
        <f aca="false">IF(OR($L628="",$F628=""),"",IFERROR($L628/INDEX(Cadastro!$E$6:$E$8,MATCH($F628,Cadastro!$B$6:$B$8,0)),""))</f>
        <v/>
      </c>
      <c r="N628" s="43" t="str">
        <f aca="false">IF(OR($L628="",$I628="",$I628=0),"",$L628/$I628)</f>
        <v/>
      </c>
      <c r="O628" s="51"/>
    </row>
    <row r="629" customFormat="false" ht="15" hidden="false" customHeight="false" outlineLevel="0" collapsed="false">
      <c r="A629" s="45"/>
      <c r="B629" s="37" t="str">
        <f aca="false">IF($A629="","",WEEKNUM($A629,2))</f>
        <v/>
      </c>
      <c r="C629" s="37" t="str">
        <f aca="false">IF($A629="","",CHOOSE(WEEKDAY($A629,2),"Seg","Ter","Qua","Qui","Sex","Sáb","Dom"))</f>
        <v/>
      </c>
      <c r="D629" s="46"/>
      <c r="E629" s="47"/>
      <c r="F629" s="47"/>
      <c r="G629" s="48"/>
      <c r="H629" s="49"/>
      <c r="I629" s="50"/>
      <c r="J629" s="48"/>
      <c r="K629" s="49"/>
      <c r="L629" s="50"/>
      <c r="M629" s="43" t="str">
        <f aca="false">IF(OR($L629="",$F629=""),"",IFERROR($L629/INDEX(Cadastro!$E$6:$E$8,MATCH($F629,Cadastro!$B$6:$B$8,0)),""))</f>
        <v/>
      </c>
      <c r="N629" s="43" t="str">
        <f aca="false">IF(OR($L629="",$I629="",$I629=0),"",$L629/$I629)</f>
        <v/>
      </c>
      <c r="O629" s="51"/>
    </row>
    <row r="630" customFormat="false" ht="15" hidden="false" customHeight="false" outlineLevel="0" collapsed="false">
      <c r="A630" s="45"/>
      <c r="B630" s="37" t="str">
        <f aca="false">IF($A630="","",WEEKNUM($A630,2))</f>
        <v/>
      </c>
      <c r="C630" s="37" t="str">
        <f aca="false">IF($A630="","",CHOOSE(WEEKDAY($A630,2),"Seg","Ter","Qua","Qui","Sex","Sáb","Dom"))</f>
        <v/>
      </c>
      <c r="D630" s="46"/>
      <c r="E630" s="47"/>
      <c r="F630" s="47"/>
      <c r="G630" s="48"/>
      <c r="H630" s="49"/>
      <c r="I630" s="50"/>
      <c r="J630" s="48"/>
      <c r="K630" s="49"/>
      <c r="L630" s="50"/>
      <c r="M630" s="43" t="str">
        <f aca="false">IF(OR($L630="",$F630=""),"",IFERROR($L630/INDEX(Cadastro!$E$6:$E$8,MATCH($F630,Cadastro!$B$6:$B$8,0)),""))</f>
        <v/>
      </c>
      <c r="N630" s="43" t="str">
        <f aca="false">IF(OR($L630="",$I630="",$I630=0),"",$L630/$I630)</f>
        <v/>
      </c>
      <c r="O630" s="51"/>
    </row>
    <row r="631" customFormat="false" ht="15" hidden="false" customHeight="false" outlineLevel="0" collapsed="false">
      <c r="A631" s="45"/>
      <c r="B631" s="37" t="str">
        <f aca="false">IF($A631="","",WEEKNUM($A631,2))</f>
        <v/>
      </c>
      <c r="C631" s="37" t="str">
        <f aca="false">IF($A631="","",CHOOSE(WEEKDAY($A631,2),"Seg","Ter","Qua","Qui","Sex","Sáb","Dom"))</f>
        <v/>
      </c>
      <c r="D631" s="46"/>
      <c r="E631" s="47"/>
      <c r="F631" s="47"/>
      <c r="G631" s="48"/>
      <c r="H631" s="49"/>
      <c r="I631" s="50"/>
      <c r="J631" s="48"/>
      <c r="K631" s="49"/>
      <c r="L631" s="50"/>
      <c r="M631" s="43" t="str">
        <f aca="false">IF(OR($L631="",$F631=""),"",IFERROR($L631/INDEX(Cadastro!$E$6:$E$8,MATCH($F631,Cadastro!$B$6:$B$8,0)),""))</f>
        <v/>
      </c>
      <c r="N631" s="43" t="str">
        <f aca="false">IF(OR($L631="",$I631="",$I631=0),"",$L631/$I631)</f>
        <v/>
      </c>
      <c r="O631" s="51"/>
    </row>
    <row r="632" customFormat="false" ht="15" hidden="false" customHeight="false" outlineLevel="0" collapsed="false">
      <c r="A632" s="45"/>
      <c r="B632" s="37" t="str">
        <f aca="false">IF($A632="","",WEEKNUM($A632,2))</f>
        <v/>
      </c>
      <c r="C632" s="37" t="str">
        <f aca="false">IF($A632="","",CHOOSE(WEEKDAY($A632,2),"Seg","Ter","Qua","Qui","Sex","Sáb","Dom"))</f>
        <v/>
      </c>
      <c r="D632" s="46"/>
      <c r="E632" s="47"/>
      <c r="F632" s="47"/>
      <c r="G632" s="48"/>
      <c r="H632" s="49"/>
      <c r="I632" s="50"/>
      <c r="J632" s="48"/>
      <c r="K632" s="49"/>
      <c r="L632" s="50"/>
      <c r="M632" s="43" t="str">
        <f aca="false">IF(OR($L632="",$F632=""),"",IFERROR($L632/INDEX(Cadastro!$E$6:$E$8,MATCH($F632,Cadastro!$B$6:$B$8,0)),""))</f>
        <v/>
      </c>
      <c r="N632" s="43" t="str">
        <f aca="false">IF(OR($L632="",$I632="",$I632=0),"",$L632/$I632)</f>
        <v/>
      </c>
      <c r="O632" s="51"/>
    </row>
    <row r="633" customFormat="false" ht="15" hidden="false" customHeight="false" outlineLevel="0" collapsed="false">
      <c r="A633" s="45"/>
      <c r="B633" s="37" t="str">
        <f aca="false">IF($A633="","",WEEKNUM($A633,2))</f>
        <v/>
      </c>
      <c r="C633" s="37" t="str">
        <f aca="false">IF($A633="","",CHOOSE(WEEKDAY($A633,2),"Seg","Ter","Qua","Qui","Sex","Sáb","Dom"))</f>
        <v/>
      </c>
      <c r="D633" s="46"/>
      <c r="E633" s="47"/>
      <c r="F633" s="47"/>
      <c r="G633" s="48"/>
      <c r="H633" s="49"/>
      <c r="I633" s="50"/>
      <c r="J633" s="48"/>
      <c r="K633" s="49"/>
      <c r="L633" s="50"/>
      <c r="M633" s="43" t="str">
        <f aca="false">IF(OR($L633="",$F633=""),"",IFERROR($L633/INDEX(Cadastro!$E$6:$E$8,MATCH($F633,Cadastro!$B$6:$B$8,0)),""))</f>
        <v/>
      </c>
      <c r="N633" s="43" t="str">
        <f aca="false">IF(OR($L633="",$I633="",$I633=0),"",$L633/$I633)</f>
        <v/>
      </c>
      <c r="O633" s="51"/>
    </row>
    <row r="634" customFormat="false" ht="15" hidden="false" customHeight="false" outlineLevel="0" collapsed="false">
      <c r="A634" s="45"/>
      <c r="B634" s="37" t="str">
        <f aca="false">IF($A634="","",WEEKNUM($A634,2))</f>
        <v/>
      </c>
      <c r="C634" s="37" t="str">
        <f aca="false">IF($A634="","",CHOOSE(WEEKDAY($A634,2),"Seg","Ter","Qua","Qui","Sex","Sáb","Dom"))</f>
        <v/>
      </c>
      <c r="D634" s="46"/>
      <c r="E634" s="47"/>
      <c r="F634" s="47"/>
      <c r="G634" s="48"/>
      <c r="H634" s="49"/>
      <c r="I634" s="50"/>
      <c r="J634" s="48"/>
      <c r="K634" s="49"/>
      <c r="L634" s="50"/>
      <c r="M634" s="43" t="str">
        <f aca="false">IF(OR($L634="",$F634=""),"",IFERROR($L634/INDEX(Cadastro!$E$6:$E$8,MATCH($F634,Cadastro!$B$6:$B$8,0)),""))</f>
        <v/>
      </c>
      <c r="N634" s="43" t="str">
        <f aca="false">IF(OR($L634="",$I634="",$I634=0),"",$L634/$I634)</f>
        <v/>
      </c>
      <c r="O634" s="51"/>
    </row>
    <row r="635" customFormat="false" ht="15" hidden="false" customHeight="false" outlineLevel="0" collapsed="false">
      <c r="A635" s="45"/>
      <c r="B635" s="37" t="str">
        <f aca="false">IF($A635="","",WEEKNUM($A635,2))</f>
        <v/>
      </c>
      <c r="C635" s="37" t="str">
        <f aca="false">IF($A635="","",CHOOSE(WEEKDAY($A635,2),"Seg","Ter","Qua","Qui","Sex","Sáb","Dom"))</f>
        <v/>
      </c>
      <c r="D635" s="46"/>
      <c r="E635" s="47"/>
      <c r="F635" s="47"/>
      <c r="G635" s="48"/>
      <c r="H635" s="49"/>
      <c r="I635" s="50"/>
      <c r="J635" s="48"/>
      <c r="K635" s="49"/>
      <c r="L635" s="50"/>
      <c r="M635" s="43" t="str">
        <f aca="false">IF(OR($L635="",$F635=""),"",IFERROR($L635/INDEX(Cadastro!$E$6:$E$8,MATCH($F635,Cadastro!$B$6:$B$8,0)),""))</f>
        <v/>
      </c>
      <c r="N635" s="43" t="str">
        <f aca="false">IF(OR($L635="",$I635="",$I635=0),"",$L635/$I635)</f>
        <v/>
      </c>
      <c r="O635" s="51"/>
    </row>
    <row r="636" customFormat="false" ht="15" hidden="false" customHeight="false" outlineLevel="0" collapsed="false">
      <c r="A636" s="45"/>
      <c r="B636" s="37" t="str">
        <f aca="false">IF($A636="","",WEEKNUM($A636,2))</f>
        <v/>
      </c>
      <c r="C636" s="37" t="str">
        <f aca="false">IF($A636="","",CHOOSE(WEEKDAY($A636,2),"Seg","Ter","Qua","Qui","Sex","Sáb","Dom"))</f>
        <v/>
      </c>
      <c r="D636" s="46"/>
      <c r="E636" s="47"/>
      <c r="F636" s="47"/>
      <c r="G636" s="48"/>
      <c r="H636" s="49"/>
      <c r="I636" s="50"/>
      <c r="J636" s="48"/>
      <c r="K636" s="49"/>
      <c r="L636" s="50"/>
      <c r="M636" s="43" t="str">
        <f aca="false">IF(OR($L636="",$F636=""),"",IFERROR($L636/INDEX(Cadastro!$E$6:$E$8,MATCH($F636,Cadastro!$B$6:$B$8,0)),""))</f>
        <v/>
      </c>
      <c r="N636" s="43" t="str">
        <f aca="false">IF(OR($L636="",$I636="",$I636=0),"",$L636/$I636)</f>
        <v/>
      </c>
      <c r="O636" s="51"/>
    </row>
    <row r="637" customFormat="false" ht="15" hidden="false" customHeight="false" outlineLevel="0" collapsed="false">
      <c r="A637" s="45"/>
      <c r="B637" s="37" t="str">
        <f aca="false">IF($A637="","",WEEKNUM($A637,2))</f>
        <v/>
      </c>
      <c r="C637" s="37" t="str">
        <f aca="false">IF($A637="","",CHOOSE(WEEKDAY($A637,2),"Seg","Ter","Qua","Qui","Sex","Sáb","Dom"))</f>
        <v/>
      </c>
      <c r="D637" s="46"/>
      <c r="E637" s="47"/>
      <c r="F637" s="47"/>
      <c r="G637" s="48"/>
      <c r="H637" s="49"/>
      <c r="I637" s="50"/>
      <c r="J637" s="48"/>
      <c r="K637" s="49"/>
      <c r="L637" s="50"/>
      <c r="M637" s="43" t="str">
        <f aca="false">IF(OR($L637="",$F637=""),"",IFERROR($L637/INDEX(Cadastro!$E$6:$E$8,MATCH($F637,Cadastro!$B$6:$B$8,0)),""))</f>
        <v/>
      </c>
      <c r="N637" s="43" t="str">
        <f aca="false">IF(OR($L637="",$I637="",$I637=0),"",$L637/$I637)</f>
        <v/>
      </c>
      <c r="O637" s="51"/>
    </row>
    <row r="638" customFormat="false" ht="15" hidden="false" customHeight="false" outlineLevel="0" collapsed="false">
      <c r="A638" s="45"/>
      <c r="B638" s="37" t="str">
        <f aca="false">IF($A638="","",WEEKNUM($A638,2))</f>
        <v/>
      </c>
      <c r="C638" s="37" t="str">
        <f aca="false">IF($A638="","",CHOOSE(WEEKDAY($A638,2),"Seg","Ter","Qua","Qui","Sex","Sáb","Dom"))</f>
        <v/>
      </c>
      <c r="D638" s="46"/>
      <c r="E638" s="47"/>
      <c r="F638" s="47"/>
      <c r="G638" s="48"/>
      <c r="H638" s="49"/>
      <c r="I638" s="50"/>
      <c r="J638" s="48"/>
      <c r="K638" s="49"/>
      <c r="L638" s="50"/>
      <c r="M638" s="43" t="str">
        <f aca="false">IF(OR($L638="",$F638=""),"",IFERROR($L638/INDEX(Cadastro!$E$6:$E$8,MATCH($F638,Cadastro!$B$6:$B$8,0)),""))</f>
        <v/>
      </c>
      <c r="N638" s="43" t="str">
        <f aca="false">IF(OR($L638="",$I638="",$I638=0),"",$L638/$I638)</f>
        <v/>
      </c>
      <c r="O638" s="51"/>
    </row>
    <row r="639" customFormat="false" ht="15" hidden="false" customHeight="false" outlineLevel="0" collapsed="false">
      <c r="A639" s="45"/>
      <c r="B639" s="37" t="str">
        <f aca="false">IF($A639="","",WEEKNUM($A639,2))</f>
        <v/>
      </c>
      <c r="C639" s="37" t="str">
        <f aca="false">IF($A639="","",CHOOSE(WEEKDAY($A639,2),"Seg","Ter","Qua","Qui","Sex","Sáb","Dom"))</f>
        <v/>
      </c>
      <c r="D639" s="46"/>
      <c r="E639" s="47"/>
      <c r="F639" s="47"/>
      <c r="G639" s="48"/>
      <c r="H639" s="49"/>
      <c r="I639" s="50"/>
      <c r="J639" s="48"/>
      <c r="K639" s="49"/>
      <c r="L639" s="50"/>
      <c r="M639" s="43" t="str">
        <f aca="false">IF(OR($L639="",$F639=""),"",IFERROR($L639/INDEX(Cadastro!$E$6:$E$8,MATCH($F639,Cadastro!$B$6:$B$8,0)),""))</f>
        <v/>
      </c>
      <c r="N639" s="43" t="str">
        <f aca="false">IF(OR($L639="",$I639="",$I639=0),"",$L639/$I639)</f>
        <v/>
      </c>
      <c r="O639" s="51"/>
    </row>
    <row r="640" customFormat="false" ht="15" hidden="false" customHeight="false" outlineLevel="0" collapsed="false">
      <c r="A640" s="45"/>
      <c r="B640" s="37" t="str">
        <f aca="false">IF($A640="","",WEEKNUM($A640,2))</f>
        <v/>
      </c>
      <c r="C640" s="37" t="str">
        <f aca="false">IF($A640="","",CHOOSE(WEEKDAY($A640,2),"Seg","Ter","Qua","Qui","Sex","Sáb","Dom"))</f>
        <v/>
      </c>
      <c r="D640" s="46"/>
      <c r="E640" s="47"/>
      <c r="F640" s="47"/>
      <c r="G640" s="48"/>
      <c r="H640" s="49"/>
      <c r="I640" s="50"/>
      <c r="J640" s="48"/>
      <c r="K640" s="49"/>
      <c r="L640" s="50"/>
      <c r="M640" s="43" t="str">
        <f aca="false">IF(OR($L640="",$F640=""),"",IFERROR($L640/INDEX(Cadastro!$E$6:$E$8,MATCH($F640,Cadastro!$B$6:$B$8,0)),""))</f>
        <v/>
      </c>
      <c r="N640" s="43" t="str">
        <f aca="false">IF(OR($L640="",$I640="",$I640=0),"",$L640/$I640)</f>
        <v/>
      </c>
      <c r="O640" s="51"/>
    </row>
    <row r="641" customFormat="false" ht="15" hidden="false" customHeight="false" outlineLevel="0" collapsed="false">
      <c r="A641" s="45"/>
      <c r="B641" s="37" t="str">
        <f aca="false">IF($A641="","",WEEKNUM($A641,2))</f>
        <v/>
      </c>
      <c r="C641" s="37" t="str">
        <f aca="false">IF($A641="","",CHOOSE(WEEKDAY($A641,2),"Seg","Ter","Qua","Qui","Sex","Sáb","Dom"))</f>
        <v/>
      </c>
      <c r="D641" s="46"/>
      <c r="E641" s="47"/>
      <c r="F641" s="47"/>
      <c r="G641" s="48"/>
      <c r="H641" s="49"/>
      <c r="I641" s="50"/>
      <c r="J641" s="48"/>
      <c r="K641" s="49"/>
      <c r="L641" s="50"/>
      <c r="M641" s="43" t="str">
        <f aca="false">IF(OR($L641="",$F641=""),"",IFERROR($L641/INDEX(Cadastro!$E$6:$E$8,MATCH($F641,Cadastro!$B$6:$B$8,0)),""))</f>
        <v/>
      </c>
      <c r="N641" s="43" t="str">
        <f aca="false">IF(OR($L641="",$I641="",$I641=0),"",$L641/$I641)</f>
        <v/>
      </c>
      <c r="O641" s="51"/>
    </row>
    <row r="642" customFormat="false" ht="15" hidden="false" customHeight="false" outlineLevel="0" collapsed="false">
      <c r="A642" s="45"/>
      <c r="B642" s="37" t="str">
        <f aca="false">IF($A642="","",WEEKNUM($A642,2))</f>
        <v/>
      </c>
      <c r="C642" s="37" t="str">
        <f aca="false">IF($A642="","",CHOOSE(WEEKDAY($A642,2),"Seg","Ter","Qua","Qui","Sex","Sáb","Dom"))</f>
        <v/>
      </c>
      <c r="D642" s="46"/>
      <c r="E642" s="47"/>
      <c r="F642" s="47"/>
      <c r="G642" s="48"/>
      <c r="H642" s="49"/>
      <c r="I642" s="50"/>
      <c r="J642" s="48"/>
      <c r="K642" s="49"/>
      <c r="L642" s="50"/>
      <c r="M642" s="43" t="str">
        <f aca="false">IF(OR($L642="",$F642=""),"",IFERROR($L642/INDEX(Cadastro!$E$6:$E$8,MATCH($F642,Cadastro!$B$6:$B$8,0)),""))</f>
        <v/>
      </c>
      <c r="N642" s="43" t="str">
        <f aca="false">IF(OR($L642="",$I642="",$I642=0),"",$L642/$I642)</f>
        <v/>
      </c>
      <c r="O642" s="51"/>
    </row>
    <row r="643" customFormat="false" ht="15" hidden="false" customHeight="false" outlineLevel="0" collapsed="false">
      <c r="A643" s="45"/>
      <c r="B643" s="37" t="str">
        <f aca="false">IF($A643="","",WEEKNUM($A643,2))</f>
        <v/>
      </c>
      <c r="C643" s="37" t="str">
        <f aca="false">IF($A643="","",CHOOSE(WEEKDAY($A643,2),"Seg","Ter","Qua","Qui","Sex","Sáb","Dom"))</f>
        <v/>
      </c>
      <c r="D643" s="46"/>
      <c r="E643" s="47"/>
      <c r="F643" s="47"/>
      <c r="G643" s="48"/>
      <c r="H643" s="49"/>
      <c r="I643" s="50"/>
      <c r="J643" s="48"/>
      <c r="K643" s="49"/>
      <c r="L643" s="50"/>
      <c r="M643" s="43" t="str">
        <f aca="false">IF(OR($L643="",$F643=""),"",IFERROR($L643/INDEX(Cadastro!$E$6:$E$8,MATCH($F643,Cadastro!$B$6:$B$8,0)),""))</f>
        <v/>
      </c>
      <c r="N643" s="43" t="str">
        <f aca="false">IF(OR($L643="",$I643="",$I643=0),"",$L643/$I643)</f>
        <v/>
      </c>
      <c r="O643" s="51"/>
    </row>
    <row r="644" customFormat="false" ht="15" hidden="false" customHeight="false" outlineLevel="0" collapsed="false">
      <c r="A644" s="45"/>
      <c r="B644" s="37" t="str">
        <f aca="false">IF($A644="","",WEEKNUM($A644,2))</f>
        <v/>
      </c>
      <c r="C644" s="37" t="str">
        <f aca="false">IF($A644="","",CHOOSE(WEEKDAY($A644,2),"Seg","Ter","Qua","Qui","Sex","Sáb","Dom"))</f>
        <v/>
      </c>
      <c r="D644" s="46"/>
      <c r="E644" s="47"/>
      <c r="F644" s="47"/>
      <c r="G644" s="48"/>
      <c r="H644" s="49"/>
      <c r="I644" s="50"/>
      <c r="J644" s="48"/>
      <c r="K644" s="49"/>
      <c r="L644" s="50"/>
      <c r="M644" s="43" t="str">
        <f aca="false">IF(OR($L644="",$F644=""),"",IFERROR($L644/INDEX(Cadastro!$E$6:$E$8,MATCH($F644,Cadastro!$B$6:$B$8,0)),""))</f>
        <v/>
      </c>
      <c r="N644" s="43" t="str">
        <f aca="false">IF(OR($L644="",$I644="",$I644=0),"",$L644/$I644)</f>
        <v/>
      </c>
      <c r="O644" s="51"/>
    </row>
    <row r="645" customFormat="false" ht="15" hidden="false" customHeight="false" outlineLevel="0" collapsed="false">
      <c r="A645" s="45"/>
      <c r="B645" s="37" t="str">
        <f aca="false">IF($A645="","",WEEKNUM($A645,2))</f>
        <v/>
      </c>
      <c r="C645" s="37" t="str">
        <f aca="false">IF($A645="","",CHOOSE(WEEKDAY($A645,2),"Seg","Ter","Qua","Qui","Sex","Sáb","Dom"))</f>
        <v/>
      </c>
      <c r="D645" s="46"/>
      <c r="E645" s="47"/>
      <c r="F645" s="47"/>
      <c r="G645" s="48"/>
      <c r="H645" s="49"/>
      <c r="I645" s="50"/>
      <c r="J645" s="48"/>
      <c r="K645" s="49"/>
      <c r="L645" s="50"/>
      <c r="M645" s="43" t="str">
        <f aca="false">IF(OR($L645="",$F645=""),"",IFERROR($L645/INDEX(Cadastro!$E$6:$E$8,MATCH($F645,Cadastro!$B$6:$B$8,0)),""))</f>
        <v/>
      </c>
      <c r="N645" s="43" t="str">
        <f aca="false">IF(OR($L645="",$I645="",$I645=0),"",$L645/$I645)</f>
        <v/>
      </c>
      <c r="O645" s="51"/>
    </row>
    <row r="646" customFormat="false" ht="15" hidden="false" customHeight="false" outlineLevel="0" collapsed="false">
      <c r="A646" s="45"/>
      <c r="B646" s="37" t="str">
        <f aca="false">IF($A646="","",WEEKNUM($A646,2))</f>
        <v/>
      </c>
      <c r="C646" s="37" t="str">
        <f aca="false">IF($A646="","",CHOOSE(WEEKDAY($A646,2),"Seg","Ter","Qua","Qui","Sex","Sáb","Dom"))</f>
        <v/>
      </c>
      <c r="D646" s="46"/>
      <c r="E646" s="47"/>
      <c r="F646" s="47"/>
      <c r="G646" s="48"/>
      <c r="H646" s="49"/>
      <c r="I646" s="50"/>
      <c r="J646" s="48"/>
      <c r="K646" s="49"/>
      <c r="L646" s="50"/>
      <c r="M646" s="43" t="str">
        <f aca="false">IF(OR($L646="",$F646=""),"",IFERROR($L646/INDEX(Cadastro!$E$6:$E$8,MATCH($F646,Cadastro!$B$6:$B$8,0)),""))</f>
        <v/>
      </c>
      <c r="N646" s="43" t="str">
        <f aca="false">IF(OR($L646="",$I646="",$I646=0),"",$L646/$I646)</f>
        <v/>
      </c>
      <c r="O646" s="51"/>
    </row>
    <row r="647" customFormat="false" ht="15" hidden="false" customHeight="false" outlineLevel="0" collapsed="false">
      <c r="A647" s="45"/>
      <c r="B647" s="37" t="str">
        <f aca="false">IF($A647="","",WEEKNUM($A647,2))</f>
        <v/>
      </c>
      <c r="C647" s="37" t="str">
        <f aca="false">IF($A647="","",CHOOSE(WEEKDAY($A647,2),"Seg","Ter","Qua","Qui","Sex","Sáb","Dom"))</f>
        <v/>
      </c>
      <c r="D647" s="46"/>
      <c r="E647" s="47"/>
      <c r="F647" s="47"/>
      <c r="G647" s="48"/>
      <c r="H647" s="49"/>
      <c r="I647" s="50"/>
      <c r="J647" s="48"/>
      <c r="K647" s="49"/>
      <c r="L647" s="50"/>
      <c r="M647" s="43" t="str">
        <f aca="false">IF(OR($L647="",$F647=""),"",IFERROR($L647/INDEX(Cadastro!$E$6:$E$8,MATCH($F647,Cadastro!$B$6:$B$8,0)),""))</f>
        <v/>
      </c>
      <c r="N647" s="43" t="str">
        <f aca="false">IF(OR($L647="",$I647="",$I647=0),"",$L647/$I647)</f>
        <v/>
      </c>
      <c r="O647" s="51"/>
    </row>
    <row r="648" customFormat="false" ht="15" hidden="false" customHeight="false" outlineLevel="0" collapsed="false">
      <c r="A648" s="45"/>
      <c r="B648" s="37" t="str">
        <f aca="false">IF($A648="","",WEEKNUM($A648,2))</f>
        <v/>
      </c>
      <c r="C648" s="37" t="str">
        <f aca="false">IF($A648="","",CHOOSE(WEEKDAY($A648,2),"Seg","Ter","Qua","Qui","Sex","Sáb","Dom"))</f>
        <v/>
      </c>
      <c r="D648" s="46"/>
      <c r="E648" s="47"/>
      <c r="F648" s="47"/>
      <c r="G648" s="48"/>
      <c r="H648" s="49"/>
      <c r="I648" s="50"/>
      <c r="J648" s="48"/>
      <c r="K648" s="49"/>
      <c r="L648" s="50"/>
      <c r="M648" s="43" t="str">
        <f aca="false">IF(OR($L648="",$F648=""),"",IFERROR($L648/INDEX(Cadastro!$E$6:$E$8,MATCH($F648,Cadastro!$B$6:$B$8,0)),""))</f>
        <v/>
      </c>
      <c r="N648" s="43" t="str">
        <f aca="false">IF(OR($L648="",$I648="",$I648=0),"",$L648/$I648)</f>
        <v/>
      </c>
      <c r="O648" s="51"/>
    </row>
    <row r="649" customFormat="false" ht="15" hidden="false" customHeight="false" outlineLevel="0" collapsed="false">
      <c r="A649" s="45"/>
      <c r="B649" s="37" t="str">
        <f aca="false">IF($A649="","",WEEKNUM($A649,2))</f>
        <v/>
      </c>
      <c r="C649" s="37" t="str">
        <f aca="false">IF($A649="","",CHOOSE(WEEKDAY($A649,2),"Seg","Ter","Qua","Qui","Sex","Sáb","Dom"))</f>
        <v/>
      </c>
      <c r="D649" s="46"/>
      <c r="E649" s="47"/>
      <c r="F649" s="47"/>
      <c r="G649" s="48"/>
      <c r="H649" s="49"/>
      <c r="I649" s="50"/>
      <c r="J649" s="48"/>
      <c r="K649" s="49"/>
      <c r="L649" s="50"/>
      <c r="M649" s="43" t="str">
        <f aca="false">IF(OR($L649="",$F649=""),"",IFERROR($L649/INDEX(Cadastro!$E$6:$E$8,MATCH($F649,Cadastro!$B$6:$B$8,0)),""))</f>
        <v/>
      </c>
      <c r="N649" s="43" t="str">
        <f aca="false">IF(OR($L649="",$I649="",$I649=0),"",$L649/$I649)</f>
        <v/>
      </c>
      <c r="O649" s="51"/>
    </row>
    <row r="650" customFormat="false" ht="15" hidden="false" customHeight="false" outlineLevel="0" collapsed="false">
      <c r="A650" s="45"/>
      <c r="B650" s="37" t="str">
        <f aca="false">IF($A650="","",WEEKNUM($A650,2))</f>
        <v/>
      </c>
      <c r="C650" s="37" t="str">
        <f aca="false">IF($A650="","",CHOOSE(WEEKDAY($A650,2),"Seg","Ter","Qua","Qui","Sex","Sáb","Dom"))</f>
        <v/>
      </c>
      <c r="D650" s="46"/>
      <c r="E650" s="47"/>
      <c r="F650" s="47"/>
      <c r="G650" s="48"/>
      <c r="H650" s="49"/>
      <c r="I650" s="50"/>
      <c r="J650" s="48"/>
      <c r="K650" s="49"/>
      <c r="L650" s="50"/>
      <c r="M650" s="43" t="str">
        <f aca="false">IF(OR($L650="",$F650=""),"",IFERROR($L650/INDEX(Cadastro!$E$6:$E$8,MATCH($F650,Cadastro!$B$6:$B$8,0)),""))</f>
        <v/>
      </c>
      <c r="N650" s="43" t="str">
        <f aca="false">IF(OR($L650="",$I650="",$I650=0),"",$L650/$I650)</f>
        <v/>
      </c>
      <c r="O650" s="51"/>
    </row>
    <row r="651" customFormat="false" ht="15" hidden="false" customHeight="false" outlineLevel="0" collapsed="false">
      <c r="A651" s="45"/>
      <c r="B651" s="37" t="str">
        <f aca="false">IF($A651="","",WEEKNUM($A651,2))</f>
        <v/>
      </c>
      <c r="C651" s="37" t="str">
        <f aca="false">IF($A651="","",CHOOSE(WEEKDAY($A651,2),"Seg","Ter","Qua","Qui","Sex","Sáb","Dom"))</f>
        <v/>
      </c>
      <c r="D651" s="46"/>
      <c r="E651" s="47"/>
      <c r="F651" s="47"/>
      <c r="G651" s="48"/>
      <c r="H651" s="49"/>
      <c r="I651" s="50"/>
      <c r="J651" s="48"/>
      <c r="K651" s="49"/>
      <c r="L651" s="50"/>
      <c r="M651" s="43" t="str">
        <f aca="false">IF(OR($L651="",$F651=""),"",IFERROR($L651/INDEX(Cadastro!$E$6:$E$8,MATCH($F651,Cadastro!$B$6:$B$8,0)),""))</f>
        <v/>
      </c>
      <c r="N651" s="43" t="str">
        <f aca="false">IF(OR($L651="",$I651="",$I651=0),"",$L651/$I651)</f>
        <v/>
      </c>
      <c r="O651" s="51"/>
    </row>
    <row r="652" customFormat="false" ht="15" hidden="false" customHeight="false" outlineLevel="0" collapsed="false">
      <c r="A652" s="45"/>
      <c r="B652" s="37" t="str">
        <f aca="false">IF($A652="","",WEEKNUM($A652,2))</f>
        <v/>
      </c>
      <c r="C652" s="37" t="str">
        <f aca="false">IF($A652="","",CHOOSE(WEEKDAY($A652,2),"Seg","Ter","Qua","Qui","Sex","Sáb","Dom"))</f>
        <v/>
      </c>
      <c r="D652" s="46"/>
      <c r="E652" s="47"/>
      <c r="F652" s="47"/>
      <c r="G652" s="48"/>
      <c r="H652" s="49"/>
      <c r="I652" s="50"/>
      <c r="J652" s="48"/>
      <c r="K652" s="49"/>
      <c r="L652" s="50"/>
      <c r="M652" s="43" t="str">
        <f aca="false">IF(OR($L652="",$F652=""),"",IFERROR($L652/INDEX(Cadastro!$E$6:$E$8,MATCH($F652,Cadastro!$B$6:$B$8,0)),""))</f>
        <v/>
      </c>
      <c r="N652" s="43" t="str">
        <f aca="false">IF(OR($L652="",$I652="",$I652=0),"",$L652/$I652)</f>
        <v/>
      </c>
      <c r="O652" s="51"/>
    </row>
    <row r="653" customFormat="false" ht="15" hidden="false" customHeight="false" outlineLevel="0" collapsed="false">
      <c r="A653" s="45"/>
      <c r="B653" s="37" t="str">
        <f aca="false">IF($A653="","",WEEKNUM($A653,2))</f>
        <v/>
      </c>
      <c r="C653" s="37" t="str">
        <f aca="false">IF($A653="","",CHOOSE(WEEKDAY($A653,2),"Seg","Ter","Qua","Qui","Sex","Sáb","Dom"))</f>
        <v/>
      </c>
      <c r="D653" s="46"/>
      <c r="E653" s="47"/>
      <c r="F653" s="47"/>
      <c r="G653" s="48"/>
      <c r="H653" s="49"/>
      <c r="I653" s="50"/>
      <c r="J653" s="48"/>
      <c r="K653" s="49"/>
      <c r="L653" s="50"/>
      <c r="M653" s="43" t="str">
        <f aca="false">IF(OR($L653="",$F653=""),"",IFERROR($L653/INDEX(Cadastro!$E$6:$E$8,MATCH($F653,Cadastro!$B$6:$B$8,0)),""))</f>
        <v/>
      </c>
      <c r="N653" s="43" t="str">
        <f aca="false">IF(OR($L653="",$I653="",$I653=0),"",$L653/$I653)</f>
        <v/>
      </c>
      <c r="O653" s="51"/>
    </row>
    <row r="654" customFormat="false" ht="15" hidden="false" customHeight="false" outlineLevel="0" collapsed="false">
      <c r="A654" s="45"/>
      <c r="B654" s="37" t="str">
        <f aca="false">IF($A654="","",WEEKNUM($A654,2))</f>
        <v/>
      </c>
      <c r="C654" s="37" t="str">
        <f aca="false">IF($A654="","",CHOOSE(WEEKDAY($A654,2),"Seg","Ter","Qua","Qui","Sex","Sáb","Dom"))</f>
        <v/>
      </c>
      <c r="D654" s="46"/>
      <c r="E654" s="47"/>
      <c r="F654" s="47"/>
      <c r="G654" s="48"/>
      <c r="H654" s="49"/>
      <c r="I654" s="50"/>
      <c r="J654" s="48"/>
      <c r="K654" s="49"/>
      <c r="L654" s="50"/>
      <c r="M654" s="43" t="str">
        <f aca="false">IF(OR($L654="",$F654=""),"",IFERROR($L654/INDEX(Cadastro!$E$6:$E$8,MATCH($F654,Cadastro!$B$6:$B$8,0)),""))</f>
        <v/>
      </c>
      <c r="N654" s="43" t="str">
        <f aca="false">IF(OR($L654="",$I654="",$I654=0),"",$L654/$I654)</f>
        <v/>
      </c>
      <c r="O654" s="51"/>
    </row>
    <row r="655" customFormat="false" ht="15" hidden="false" customHeight="false" outlineLevel="0" collapsed="false">
      <c r="A655" s="45"/>
      <c r="B655" s="37" t="str">
        <f aca="false">IF($A655="","",WEEKNUM($A655,2))</f>
        <v/>
      </c>
      <c r="C655" s="37" t="str">
        <f aca="false">IF($A655="","",CHOOSE(WEEKDAY($A655,2),"Seg","Ter","Qua","Qui","Sex","Sáb","Dom"))</f>
        <v/>
      </c>
      <c r="D655" s="46"/>
      <c r="E655" s="47"/>
      <c r="F655" s="47"/>
      <c r="G655" s="48"/>
      <c r="H655" s="49"/>
      <c r="I655" s="50"/>
      <c r="J655" s="48"/>
      <c r="K655" s="49"/>
      <c r="L655" s="50"/>
      <c r="M655" s="43" t="str">
        <f aca="false">IF(OR($L655="",$F655=""),"",IFERROR($L655/INDEX(Cadastro!$E$6:$E$8,MATCH($F655,Cadastro!$B$6:$B$8,0)),""))</f>
        <v/>
      </c>
      <c r="N655" s="43" t="str">
        <f aca="false">IF(OR($L655="",$I655="",$I655=0),"",$L655/$I655)</f>
        <v/>
      </c>
      <c r="O655" s="51"/>
    </row>
    <row r="656" customFormat="false" ht="15" hidden="false" customHeight="false" outlineLevel="0" collapsed="false">
      <c r="A656" s="45"/>
      <c r="B656" s="37" t="str">
        <f aca="false">IF($A656="","",WEEKNUM($A656,2))</f>
        <v/>
      </c>
      <c r="C656" s="37" t="str">
        <f aca="false">IF($A656="","",CHOOSE(WEEKDAY($A656,2),"Seg","Ter","Qua","Qui","Sex","Sáb","Dom"))</f>
        <v/>
      </c>
      <c r="D656" s="46"/>
      <c r="E656" s="47"/>
      <c r="F656" s="47"/>
      <c r="G656" s="48"/>
      <c r="H656" s="49"/>
      <c r="I656" s="50"/>
      <c r="J656" s="48"/>
      <c r="K656" s="49"/>
      <c r="L656" s="50"/>
      <c r="M656" s="43" t="str">
        <f aca="false">IF(OR($L656="",$F656=""),"",IFERROR($L656/INDEX(Cadastro!$E$6:$E$8,MATCH($F656,Cadastro!$B$6:$B$8,0)),""))</f>
        <v/>
      </c>
      <c r="N656" s="43" t="str">
        <f aca="false">IF(OR($L656="",$I656="",$I656=0),"",$L656/$I656)</f>
        <v/>
      </c>
      <c r="O656" s="51"/>
    </row>
    <row r="657" customFormat="false" ht="15" hidden="false" customHeight="false" outlineLevel="0" collapsed="false">
      <c r="A657" s="45"/>
      <c r="B657" s="37" t="str">
        <f aca="false">IF($A657="","",WEEKNUM($A657,2))</f>
        <v/>
      </c>
      <c r="C657" s="37" t="str">
        <f aca="false">IF($A657="","",CHOOSE(WEEKDAY($A657,2),"Seg","Ter","Qua","Qui","Sex","Sáb","Dom"))</f>
        <v/>
      </c>
      <c r="D657" s="46"/>
      <c r="E657" s="47"/>
      <c r="F657" s="47"/>
      <c r="G657" s="48"/>
      <c r="H657" s="49"/>
      <c r="I657" s="50"/>
      <c r="J657" s="48"/>
      <c r="K657" s="49"/>
      <c r="L657" s="50"/>
      <c r="M657" s="43" t="str">
        <f aca="false">IF(OR($L657="",$F657=""),"",IFERROR($L657/INDEX(Cadastro!$E$6:$E$8,MATCH($F657,Cadastro!$B$6:$B$8,0)),""))</f>
        <v/>
      </c>
      <c r="N657" s="43" t="str">
        <f aca="false">IF(OR($L657="",$I657="",$I657=0),"",$L657/$I657)</f>
        <v/>
      </c>
      <c r="O657" s="51"/>
    </row>
    <row r="658" customFormat="false" ht="15" hidden="false" customHeight="false" outlineLevel="0" collapsed="false">
      <c r="A658" s="45"/>
      <c r="B658" s="37" t="str">
        <f aca="false">IF($A658="","",WEEKNUM($A658,2))</f>
        <v/>
      </c>
      <c r="C658" s="37" t="str">
        <f aca="false">IF($A658="","",CHOOSE(WEEKDAY($A658,2),"Seg","Ter","Qua","Qui","Sex","Sáb","Dom"))</f>
        <v/>
      </c>
      <c r="D658" s="46"/>
      <c r="E658" s="47"/>
      <c r="F658" s="47"/>
      <c r="G658" s="48"/>
      <c r="H658" s="49"/>
      <c r="I658" s="50"/>
      <c r="J658" s="48"/>
      <c r="K658" s="49"/>
      <c r="L658" s="50"/>
      <c r="M658" s="43" t="str">
        <f aca="false">IF(OR($L658="",$F658=""),"",IFERROR($L658/INDEX(Cadastro!$E$6:$E$8,MATCH($F658,Cadastro!$B$6:$B$8,0)),""))</f>
        <v/>
      </c>
      <c r="N658" s="43" t="str">
        <f aca="false">IF(OR($L658="",$I658="",$I658=0),"",$L658/$I658)</f>
        <v/>
      </c>
      <c r="O658" s="51"/>
    </row>
    <row r="659" customFormat="false" ht="15" hidden="false" customHeight="false" outlineLevel="0" collapsed="false">
      <c r="A659" s="45"/>
      <c r="B659" s="37" t="str">
        <f aca="false">IF($A659="","",WEEKNUM($A659,2))</f>
        <v/>
      </c>
      <c r="C659" s="37" t="str">
        <f aca="false">IF($A659="","",CHOOSE(WEEKDAY($A659,2),"Seg","Ter","Qua","Qui","Sex","Sáb","Dom"))</f>
        <v/>
      </c>
      <c r="D659" s="46"/>
      <c r="E659" s="47"/>
      <c r="F659" s="47"/>
      <c r="G659" s="48"/>
      <c r="H659" s="49"/>
      <c r="I659" s="50"/>
      <c r="J659" s="48"/>
      <c r="K659" s="49"/>
      <c r="L659" s="50"/>
      <c r="M659" s="43" t="str">
        <f aca="false">IF(OR($L659="",$F659=""),"",IFERROR($L659/INDEX(Cadastro!$E$6:$E$8,MATCH($F659,Cadastro!$B$6:$B$8,0)),""))</f>
        <v/>
      </c>
      <c r="N659" s="43" t="str">
        <f aca="false">IF(OR($L659="",$I659="",$I659=0),"",$L659/$I659)</f>
        <v/>
      </c>
      <c r="O659" s="51"/>
    </row>
    <row r="660" customFormat="false" ht="15" hidden="false" customHeight="false" outlineLevel="0" collapsed="false">
      <c r="A660" s="45"/>
      <c r="B660" s="37" t="str">
        <f aca="false">IF($A660="","",WEEKNUM($A660,2))</f>
        <v/>
      </c>
      <c r="C660" s="37" t="str">
        <f aca="false">IF($A660="","",CHOOSE(WEEKDAY($A660,2),"Seg","Ter","Qua","Qui","Sex","Sáb","Dom"))</f>
        <v/>
      </c>
      <c r="D660" s="46"/>
      <c r="E660" s="47"/>
      <c r="F660" s="47"/>
      <c r="G660" s="48"/>
      <c r="H660" s="49"/>
      <c r="I660" s="50"/>
      <c r="J660" s="48"/>
      <c r="K660" s="49"/>
      <c r="L660" s="50"/>
      <c r="M660" s="43" t="str">
        <f aca="false">IF(OR($L660="",$F660=""),"",IFERROR($L660/INDEX(Cadastro!$E$6:$E$8,MATCH($F660,Cadastro!$B$6:$B$8,0)),""))</f>
        <v/>
      </c>
      <c r="N660" s="43" t="str">
        <f aca="false">IF(OR($L660="",$I660="",$I660=0),"",$L660/$I660)</f>
        <v/>
      </c>
      <c r="O660" s="51"/>
    </row>
    <row r="661" customFormat="false" ht="15" hidden="false" customHeight="false" outlineLevel="0" collapsed="false">
      <c r="A661" s="45"/>
      <c r="B661" s="37" t="str">
        <f aca="false">IF($A661="","",WEEKNUM($A661,2))</f>
        <v/>
      </c>
      <c r="C661" s="37" t="str">
        <f aca="false">IF($A661="","",CHOOSE(WEEKDAY($A661,2),"Seg","Ter","Qua","Qui","Sex","Sáb","Dom"))</f>
        <v/>
      </c>
      <c r="D661" s="46"/>
      <c r="E661" s="47"/>
      <c r="F661" s="47"/>
      <c r="G661" s="48"/>
      <c r="H661" s="49"/>
      <c r="I661" s="50"/>
      <c r="J661" s="48"/>
      <c r="K661" s="49"/>
      <c r="L661" s="50"/>
      <c r="M661" s="43" t="str">
        <f aca="false">IF(OR($L661="",$F661=""),"",IFERROR($L661/INDEX(Cadastro!$E$6:$E$8,MATCH($F661,Cadastro!$B$6:$B$8,0)),""))</f>
        <v/>
      </c>
      <c r="N661" s="43" t="str">
        <f aca="false">IF(OR($L661="",$I661="",$I661=0),"",$L661/$I661)</f>
        <v/>
      </c>
      <c r="O661" s="51"/>
    </row>
    <row r="662" customFormat="false" ht="15" hidden="false" customHeight="false" outlineLevel="0" collapsed="false">
      <c r="A662" s="45"/>
      <c r="B662" s="37" t="str">
        <f aca="false">IF($A662="","",WEEKNUM($A662,2))</f>
        <v/>
      </c>
      <c r="C662" s="37" t="str">
        <f aca="false">IF($A662="","",CHOOSE(WEEKDAY($A662,2),"Seg","Ter","Qua","Qui","Sex","Sáb","Dom"))</f>
        <v/>
      </c>
      <c r="D662" s="46"/>
      <c r="E662" s="47"/>
      <c r="F662" s="47"/>
      <c r="G662" s="48"/>
      <c r="H662" s="49"/>
      <c r="I662" s="50"/>
      <c r="J662" s="48"/>
      <c r="K662" s="49"/>
      <c r="L662" s="50"/>
      <c r="M662" s="43" t="str">
        <f aca="false">IF(OR($L662="",$F662=""),"",IFERROR($L662/INDEX(Cadastro!$E$6:$E$8,MATCH($F662,Cadastro!$B$6:$B$8,0)),""))</f>
        <v/>
      </c>
      <c r="N662" s="43" t="str">
        <f aca="false">IF(OR($L662="",$I662="",$I662=0),"",$L662/$I662)</f>
        <v/>
      </c>
      <c r="O662" s="51"/>
    </row>
    <row r="663" customFormat="false" ht="15" hidden="false" customHeight="false" outlineLevel="0" collapsed="false">
      <c r="A663" s="45"/>
      <c r="B663" s="37" t="str">
        <f aca="false">IF($A663="","",WEEKNUM($A663,2))</f>
        <v/>
      </c>
      <c r="C663" s="37" t="str">
        <f aca="false">IF($A663="","",CHOOSE(WEEKDAY($A663,2),"Seg","Ter","Qua","Qui","Sex","Sáb","Dom"))</f>
        <v/>
      </c>
      <c r="D663" s="46"/>
      <c r="E663" s="47"/>
      <c r="F663" s="47"/>
      <c r="G663" s="48"/>
      <c r="H663" s="49"/>
      <c r="I663" s="50"/>
      <c r="J663" s="48"/>
      <c r="K663" s="49"/>
      <c r="L663" s="50"/>
      <c r="M663" s="43" t="str">
        <f aca="false">IF(OR($L663="",$F663=""),"",IFERROR($L663/INDEX(Cadastro!$E$6:$E$8,MATCH($F663,Cadastro!$B$6:$B$8,0)),""))</f>
        <v/>
      </c>
      <c r="N663" s="43" t="str">
        <f aca="false">IF(OR($L663="",$I663="",$I663=0),"",$L663/$I663)</f>
        <v/>
      </c>
      <c r="O663" s="51"/>
    </row>
    <row r="664" customFormat="false" ht="15" hidden="false" customHeight="false" outlineLevel="0" collapsed="false">
      <c r="A664" s="45"/>
      <c r="B664" s="37" t="str">
        <f aca="false">IF($A664="","",WEEKNUM($A664,2))</f>
        <v/>
      </c>
      <c r="C664" s="37" t="str">
        <f aca="false">IF($A664="","",CHOOSE(WEEKDAY($A664,2),"Seg","Ter","Qua","Qui","Sex","Sáb","Dom"))</f>
        <v/>
      </c>
      <c r="D664" s="46"/>
      <c r="E664" s="47"/>
      <c r="F664" s="47"/>
      <c r="G664" s="48"/>
      <c r="H664" s="49"/>
      <c r="I664" s="50"/>
      <c r="J664" s="48"/>
      <c r="K664" s="49"/>
      <c r="L664" s="50"/>
      <c r="M664" s="43" t="str">
        <f aca="false">IF(OR($L664="",$F664=""),"",IFERROR($L664/INDEX(Cadastro!$E$6:$E$8,MATCH($F664,Cadastro!$B$6:$B$8,0)),""))</f>
        <v/>
      </c>
      <c r="N664" s="43" t="str">
        <f aca="false">IF(OR($L664="",$I664="",$I664=0),"",$L664/$I664)</f>
        <v/>
      </c>
      <c r="O664" s="51"/>
    </row>
    <row r="665" customFormat="false" ht="15" hidden="false" customHeight="false" outlineLevel="0" collapsed="false">
      <c r="A665" s="45"/>
      <c r="B665" s="37" t="str">
        <f aca="false">IF($A665="","",WEEKNUM($A665,2))</f>
        <v/>
      </c>
      <c r="C665" s="37" t="str">
        <f aca="false">IF($A665="","",CHOOSE(WEEKDAY($A665,2),"Seg","Ter","Qua","Qui","Sex","Sáb","Dom"))</f>
        <v/>
      </c>
      <c r="D665" s="46"/>
      <c r="E665" s="47"/>
      <c r="F665" s="47"/>
      <c r="G665" s="48"/>
      <c r="H665" s="49"/>
      <c r="I665" s="50"/>
      <c r="J665" s="48"/>
      <c r="K665" s="49"/>
      <c r="L665" s="50"/>
      <c r="M665" s="43" t="str">
        <f aca="false">IF(OR($L665="",$F665=""),"",IFERROR($L665/INDEX(Cadastro!$E$6:$E$8,MATCH($F665,Cadastro!$B$6:$B$8,0)),""))</f>
        <v/>
      </c>
      <c r="N665" s="43" t="str">
        <f aca="false">IF(OR($L665="",$I665="",$I665=0),"",$L665/$I665)</f>
        <v/>
      </c>
      <c r="O665" s="51"/>
    </row>
    <row r="666" customFormat="false" ht="15" hidden="false" customHeight="false" outlineLevel="0" collapsed="false">
      <c r="A666" s="45"/>
      <c r="B666" s="37" t="str">
        <f aca="false">IF($A666="","",WEEKNUM($A666,2))</f>
        <v/>
      </c>
      <c r="C666" s="37" t="str">
        <f aca="false">IF($A666="","",CHOOSE(WEEKDAY($A666,2),"Seg","Ter","Qua","Qui","Sex","Sáb","Dom"))</f>
        <v/>
      </c>
      <c r="D666" s="46"/>
      <c r="E666" s="47"/>
      <c r="F666" s="47"/>
      <c r="G666" s="48"/>
      <c r="H666" s="49"/>
      <c r="I666" s="50"/>
      <c r="J666" s="48"/>
      <c r="K666" s="49"/>
      <c r="L666" s="50"/>
      <c r="M666" s="43" t="str">
        <f aca="false">IF(OR($L666="",$F666=""),"",IFERROR($L666/INDEX(Cadastro!$E$6:$E$8,MATCH($F666,Cadastro!$B$6:$B$8,0)),""))</f>
        <v/>
      </c>
      <c r="N666" s="43" t="str">
        <f aca="false">IF(OR($L666="",$I666="",$I666=0),"",$L666/$I666)</f>
        <v/>
      </c>
      <c r="O666" s="51"/>
    </row>
    <row r="667" customFormat="false" ht="15" hidden="false" customHeight="false" outlineLevel="0" collapsed="false">
      <c r="A667" s="45"/>
      <c r="B667" s="37" t="str">
        <f aca="false">IF($A667="","",WEEKNUM($A667,2))</f>
        <v/>
      </c>
      <c r="C667" s="37" t="str">
        <f aca="false">IF($A667="","",CHOOSE(WEEKDAY($A667,2),"Seg","Ter","Qua","Qui","Sex","Sáb","Dom"))</f>
        <v/>
      </c>
      <c r="D667" s="46"/>
      <c r="E667" s="47"/>
      <c r="F667" s="47"/>
      <c r="G667" s="48"/>
      <c r="H667" s="49"/>
      <c r="I667" s="50"/>
      <c r="J667" s="48"/>
      <c r="K667" s="49"/>
      <c r="L667" s="50"/>
      <c r="M667" s="43" t="str">
        <f aca="false">IF(OR($L667="",$F667=""),"",IFERROR($L667/INDEX(Cadastro!$E$6:$E$8,MATCH($F667,Cadastro!$B$6:$B$8,0)),""))</f>
        <v/>
      </c>
      <c r="N667" s="43" t="str">
        <f aca="false">IF(OR($L667="",$I667="",$I667=0),"",$L667/$I667)</f>
        <v/>
      </c>
      <c r="O667" s="51"/>
    </row>
    <row r="668" customFormat="false" ht="15" hidden="false" customHeight="false" outlineLevel="0" collapsed="false">
      <c r="A668" s="45"/>
      <c r="B668" s="37" t="str">
        <f aca="false">IF($A668="","",WEEKNUM($A668,2))</f>
        <v/>
      </c>
      <c r="C668" s="37" t="str">
        <f aca="false">IF($A668="","",CHOOSE(WEEKDAY($A668,2),"Seg","Ter","Qua","Qui","Sex","Sáb","Dom"))</f>
        <v/>
      </c>
      <c r="D668" s="46"/>
      <c r="E668" s="47"/>
      <c r="F668" s="47"/>
      <c r="G668" s="48"/>
      <c r="H668" s="49"/>
      <c r="I668" s="50"/>
      <c r="J668" s="48"/>
      <c r="K668" s="49"/>
      <c r="L668" s="50"/>
      <c r="M668" s="43" t="str">
        <f aca="false">IF(OR($L668="",$F668=""),"",IFERROR($L668/INDEX(Cadastro!$E$6:$E$8,MATCH($F668,Cadastro!$B$6:$B$8,0)),""))</f>
        <v/>
      </c>
      <c r="N668" s="43" t="str">
        <f aca="false">IF(OR($L668="",$I668="",$I668=0),"",$L668/$I668)</f>
        <v/>
      </c>
      <c r="O668" s="51"/>
    </row>
    <row r="669" customFormat="false" ht="15" hidden="false" customHeight="false" outlineLevel="0" collapsed="false">
      <c r="A669" s="45"/>
      <c r="B669" s="37" t="str">
        <f aca="false">IF($A669="","",WEEKNUM($A669,2))</f>
        <v/>
      </c>
      <c r="C669" s="37" t="str">
        <f aca="false">IF($A669="","",CHOOSE(WEEKDAY($A669,2),"Seg","Ter","Qua","Qui","Sex","Sáb","Dom"))</f>
        <v/>
      </c>
      <c r="D669" s="46"/>
      <c r="E669" s="47"/>
      <c r="F669" s="47"/>
      <c r="G669" s="48"/>
      <c r="H669" s="49"/>
      <c r="I669" s="50"/>
      <c r="J669" s="48"/>
      <c r="K669" s="49"/>
      <c r="L669" s="50"/>
      <c r="M669" s="43" t="str">
        <f aca="false">IF(OR($L669="",$F669=""),"",IFERROR($L669/INDEX(Cadastro!$E$6:$E$8,MATCH($F669,Cadastro!$B$6:$B$8,0)),""))</f>
        <v/>
      </c>
      <c r="N669" s="43" t="str">
        <f aca="false">IF(OR($L669="",$I669="",$I669=0),"",$L669/$I669)</f>
        <v/>
      </c>
      <c r="O669" s="51"/>
    </row>
    <row r="670" customFormat="false" ht="15" hidden="false" customHeight="false" outlineLevel="0" collapsed="false">
      <c r="A670" s="45"/>
      <c r="B670" s="37" t="str">
        <f aca="false">IF($A670="","",WEEKNUM($A670,2))</f>
        <v/>
      </c>
      <c r="C670" s="37" t="str">
        <f aca="false">IF($A670="","",CHOOSE(WEEKDAY($A670,2),"Seg","Ter","Qua","Qui","Sex","Sáb","Dom"))</f>
        <v/>
      </c>
      <c r="D670" s="46"/>
      <c r="E670" s="47"/>
      <c r="F670" s="47"/>
      <c r="G670" s="48"/>
      <c r="H670" s="49"/>
      <c r="I670" s="50"/>
      <c r="J670" s="48"/>
      <c r="K670" s="49"/>
      <c r="L670" s="50"/>
      <c r="M670" s="43" t="str">
        <f aca="false">IF(OR($L670="",$F670=""),"",IFERROR($L670/INDEX(Cadastro!$E$6:$E$8,MATCH($F670,Cadastro!$B$6:$B$8,0)),""))</f>
        <v/>
      </c>
      <c r="N670" s="43" t="str">
        <f aca="false">IF(OR($L670="",$I670="",$I670=0),"",$L670/$I670)</f>
        <v/>
      </c>
      <c r="O670" s="51"/>
    </row>
    <row r="671" customFormat="false" ht="15" hidden="false" customHeight="false" outlineLevel="0" collapsed="false">
      <c r="A671" s="45"/>
      <c r="B671" s="37" t="str">
        <f aca="false">IF($A671="","",WEEKNUM($A671,2))</f>
        <v/>
      </c>
      <c r="C671" s="37" t="str">
        <f aca="false">IF($A671="","",CHOOSE(WEEKDAY($A671,2),"Seg","Ter","Qua","Qui","Sex","Sáb","Dom"))</f>
        <v/>
      </c>
      <c r="D671" s="46"/>
      <c r="E671" s="47"/>
      <c r="F671" s="47"/>
      <c r="G671" s="48"/>
      <c r="H671" s="49"/>
      <c r="I671" s="50"/>
      <c r="J671" s="48"/>
      <c r="K671" s="49"/>
      <c r="L671" s="50"/>
      <c r="M671" s="43" t="str">
        <f aca="false">IF(OR($L671="",$F671=""),"",IFERROR($L671/INDEX(Cadastro!$E$6:$E$8,MATCH($F671,Cadastro!$B$6:$B$8,0)),""))</f>
        <v/>
      </c>
      <c r="N671" s="43" t="str">
        <f aca="false">IF(OR($L671="",$I671="",$I671=0),"",$L671/$I671)</f>
        <v/>
      </c>
      <c r="O671" s="51"/>
    </row>
    <row r="672" customFormat="false" ht="15" hidden="false" customHeight="false" outlineLevel="0" collapsed="false">
      <c r="A672" s="45"/>
      <c r="B672" s="37" t="str">
        <f aca="false">IF($A672="","",WEEKNUM($A672,2))</f>
        <v/>
      </c>
      <c r="C672" s="37" t="str">
        <f aca="false">IF($A672="","",CHOOSE(WEEKDAY($A672,2),"Seg","Ter","Qua","Qui","Sex","Sáb","Dom"))</f>
        <v/>
      </c>
      <c r="D672" s="46"/>
      <c r="E672" s="47"/>
      <c r="F672" s="47"/>
      <c r="G672" s="48"/>
      <c r="H672" s="49"/>
      <c r="I672" s="50"/>
      <c r="J672" s="48"/>
      <c r="K672" s="49"/>
      <c r="L672" s="50"/>
      <c r="M672" s="43" t="str">
        <f aca="false">IF(OR($L672="",$F672=""),"",IFERROR($L672/INDEX(Cadastro!$E$6:$E$8,MATCH($F672,Cadastro!$B$6:$B$8,0)),""))</f>
        <v/>
      </c>
      <c r="N672" s="43" t="str">
        <f aca="false">IF(OR($L672="",$I672="",$I672=0),"",$L672/$I672)</f>
        <v/>
      </c>
      <c r="O672" s="51"/>
    </row>
    <row r="673" customFormat="false" ht="15" hidden="false" customHeight="false" outlineLevel="0" collapsed="false">
      <c r="A673" s="45"/>
      <c r="B673" s="37" t="str">
        <f aca="false">IF($A673="","",WEEKNUM($A673,2))</f>
        <v/>
      </c>
      <c r="C673" s="37" t="str">
        <f aca="false">IF($A673="","",CHOOSE(WEEKDAY($A673,2),"Seg","Ter","Qua","Qui","Sex","Sáb","Dom"))</f>
        <v/>
      </c>
      <c r="D673" s="46"/>
      <c r="E673" s="47"/>
      <c r="F673" s="47"/>
      <c r="G673" s="48"/>
      <c r="H673" s="49"/>
      <c r="I673" s="50"/>
      <c r="J673" s="48"/>
      <c r="K673" s="49"/>
      <c r="L673" s="50"/>
      <c r="M673" s="43" t="str">
        <f aca="false">IF(OR($L673="",$F673=""),"",IFERROR($L673/INDEX(Cadastro!$E$6:$E$8,MATCH($F673,Cadastro!$B$6:$B$8,0)),""))</f>
        <v/>
      </c>
      <c r="N673" s="43" t="str">
        <f aca="false">IF(OR($L673="",$I673="",$I673=0),"",$L673/$I673)</f>
        <v/>
      </c>
      <c r="O673" s="51"/>
    </row>
    <row r="674" customFormat="false" ht="15" hidden="false" customHeight="false" outlineLevel="0" collapsed="false">
      <c r="A674" s="45"/>
      <c r="B674" s="37" t="str">
        <f aca="false">IF($A674="","",WEEKNUM($A674,2))</f>
        <v/>
      </c>
      <c r="C674" s="37" t="str">
        <f aca="false">IF($A674="","",CHOOSE(WEEKDAY($A674,2),"Seg","Ter","Qua","Qui","Sex","Sáb","Dom"))</f>
        <v/>
      </c>
      <c r="D674" s="46"/>
      <c r="E674" s="47"/>
      <c r="F674" s="47"/>
      <c r="G674" s="48"/>
      <c r="H674" s="49"/>
      <c r="I674" s="50"/>
      <c r="J674" s="48"/>
      <c r="K674" s="49"/>
      <c r="L674" s="50"/>
      <c r="M674" s="43" t="str">
        <f aca="false">IF(OR($L674="",$F674=""),"",IFERROR($L674/INDEX(Cadastro!$E$6:$E$8,MATCH($F674,Cadastro!$B$6:$B$8,0)),""))</f>
        <v/>
      </c>
      <c r="N674" s="43" t="str">
        <f aca="false">IF(OR($L674="",$I674="",$I674=0),"",$L674/$I674)</f>
        <v/>
      </c>
      <c r="O674" s="51"/>
    </row>
    <row r="675" customFormat="false" ht="15" hidden="false" customHeight="false" outlineLevel="0" collapsed="false">
      <c r="A675" s="45"/>
      <c r="B675" s="37" t="str">
        <f aca="false">IF($A675="","",WEEKNUM($A675,2))</f>
        <v/>
      </c>
      <c r="C675" s="37" t="str">
        <f aca="false">IF($A675="","",CHOOSE(WEEKDAY($A675,2),"Seg","Ter","Qua","Qui","Sex","Sáb","Dom"))</f>
        <v/>
      </c>
      <c r="D675" s="46"/>
      <c r="E675" s="47"/>
      <c r="F675" s="47"/>
      <c r="G675" s="48"/>
      <c r="H675" s="49"/>
      <c r="I675" s="50"/>
      <c r="J675" s="48"/>
      <c r="K675" s="49"/>
      <c r="L675" s="50"/>
      <c r="M675" s="43" t="str">
        <f aca="false">IF(OR($L675="",$F675=""),"",IFERROR($L675/INDEX(Cadastro!$E$6:$E$8,MATCH($F675,Cadastro!$B$6:$B$8,0)),""))</f>
        <v/>
      </c>
      <c r="N675" s="43" t="str">
        <f aca="false">IF(OR($L675="",$I675="",$I675=0),"",$L675/$I675)</f>
        <v/>
      </c>
      <c r="O675" s="51"/>
    </row>
    <row r="676" customFormat="false" ht="15" hidden="false" customHeight="false" outlineLevel="0" collapsed="false">
      <c r="A676" s="45"/>
      <c r="B676" s="37" t="str">
        <f aca="false">IF($A676="","",WEEKNUM($A676,2))</f>
        <v/>
      </c>
      <c r="C676" s="37" t="str">
        <f aca="false">IF($A676="","",CHOOSE(WEEKDAY($A676,2),"Seg","Ter","Qua","Qui","Sex","Sáb","Dom"))</f>
        <v/>
      </c>
      <c r="D676" s="46"/>
      <c r="E676" s="47"/>
      <c r="F676" s="47"/>
      <c r="G676" s="48"/>
      <c r="H676" s="49"/>
      <c r="I676" s="50"/>
      <c r="J676" s="48"/>
      <c r="K676" s="49"/>
      <c r="L676" s="50"/>
      <c r="M676" s="43" t="str">
        <f aca="false">IF(OR($L676="",$F676=""),"",IFERROR($L676/INDEX(Cadastro!$E$6:$E$8,MATCH($F676,Cadastro!$B$6:$B$8,0)),""))</f>
        <v/>
      </c>
      <c r="N676" s="43" t="str">
        <f aca="false">IF(OR($L676="",$I676="",$I676=0),"",$L676/$I676)</f>
        <v/>
      </c>
      <c r="O676" s="51"/>
    </row>
    <row r="677" customFormat="false" ht="15" hidden="false" customHeight="false" outlineLevel="0" collapsed="false">
      <c r="A677" s="45"/>
      <c r="B677" s="37" t="str">
        <f aca="false">IF($A677="","",WEEKNUM($A677,2))</f>
        <v/>
      </c>
      <c r="C677" s="37" t="str">
        <f aca="false">IF($A677="","",CHOOSE(WEEKDAY($A677,2),"Seg","Ter","Qua","Qui","Sex","Sáb","Dom"))</f>
        <v/>
      </c>
      <c r="D677" s="46"/>
      <c r="E677" s="47"/>
      <c r="F677" s="47"/>
      <c r="G677" s="48"/>
      <c r="H677" s="49"/>
      <c r="I677" s="50"/>
      <c r="J677" s="48"/>
      <c r="K677" s="49"/>
      <c r="L677" s="50"/>
      <c r="M677" s="43" t="str">
        <f aca="false">IF(OR($L677="",$F677=""),"",IFERROR($L677/INDEX(Cadastro!$E$6:$E$8,MATCH($F677,Cadastro!$B$6:$B$8,0)),""))</f>
        <v/>
      </c>
      <c r="N677" s="43" t="str">
        <f aca="false">IF(OR($L677="",$I677="",$I677=0),"",$L677/$I677)</f>
        <v/>
      </c>
      <c r="O677" s="51"/>
    </row>
    <row r="678" customFormat="false" ht="15" hidden="false" customHeight="false" outlineLevel="0" collapsed="false">
      <c r="A678" s="45"/>
      <c r="B678" s="37" t="str">
        <f aca="false">IF($A678="","",WEEKNUM($A678,2))</f>
        <v/>
      </c>
      <c r="C678" s="37" t="str">
        <f aca="false">IF($A678="","",CHOOSE(WEEKDAY($A678,2),"Seg","Ter","Qua","Qui","Sex","Sáb","Dom"))</f>
        <v/>
      </c>
      <c r="D678" s="46"/>
      <c r="E678" s="47"/>
      <c r="F678" s="47"/>
      <c r="G678" s="48"/>
      <c r="H678" s="49"/>
      <c r="I678" s="50"/>
      <c r="J678" s="48"/>
      <c r="K678" s="49"/>
      <c r="L678" s="50"/>
      <c r="M678" s="43" t="str">
        <f aca="false">IF(OR($L678="",$F678=""),"",IFERROR($L678/INDEX(Cadastro!$E$6:$E$8,MATCH($F678,Cadastro!$B$6:$B$8,0)),""))</f>
        <v/>
      </c>
      <c r="N678" s="43" t="str">
        <f aca="false">IF(OR($L678="",$I678="",$I678=0),"",$L678/$I678)</f>
        <v/>
      </c>
      <c r="O678" s="51"/>
    </row>
    <row r="679" customFormat="false" ht="15" hidden="false" customHeight="false" outlineLevel="0" collapsed="false">
      <c r="A679" s="45"/>
      <c r="B679" s="37" t="str">
        <f aca="false">IF($A679="","",WEEKNUM($A679,2))</f>
        <v/>
      </c>
      <c r="C679" s="37" t="str">
        <f aca="false">IF($A679="","",CHOOSE(WEEKDAY($A679,2),"Seg","Ter","Qua","Qui","Sex","Sáb","Dom"))</f>
        <v/>
      </c>
      <c r="D679" s="46"/>
      <c r="E679" s="47"/>
      <c r="F679" s="47"/>
      <c r="G679" s="48"/>
      <c r="H679" s="49"/>
      <c r="I679" s="50"/>
      <c r="J679" s="48"/>
      <c r="K679" s="49"/>
      <c r="L679" s="50"/>
      <c r="M679" s="43" t="str">
        <f aca="false">IF(OR($L679="",$F679=""),"",IFERROR($L679/INDEX(Cadastro!$E$6:$E$8,MATCH($F679,Cadastro!$B$6:$B$8,0)),""))</f>
        <v/>
      </c>
      <c r="N679" s="43" t="str">
        <f aca="false">IF(OR($L679="",$I679="",$I679=0),"",$L679/$I679)</f>
        <v/>
      </c>
      <c r="O679" s="51"/>
    </row>
    <row r="680" customFormat="false" ht="15" hidden="false" customHeight="false" outlineLevel="0" collapsed="false">
      <c r="A680" s="45"/>
      <c r="B680" s="37" t="str">
        <f aca="false">IF($A680="","",WEEKNUM($A680,2))</f>
        <v/>
      </c>
      <c r="C680" s="37" t="str">
        <f aca="false">IF($A680="","",CHOOSE(WEEKDAY($A680,2),"Seg","Ter","Qua","Qui","Sex","Sáb","Dom"))</f>
        <v/>
      </c>
      <c r="D680" s="46"/>
      <c r="E680" s="47"/>
      <c r="F680" s="47"/>
      <c r="G680" s="48"/>
      <c r="H680" s="49"/>
      <c r="I680" s="50"/>
      <c r="J680" s="48"/>
      <c r="K680" s="49"/>
      <c r="L680" s="50"/>
      <c r="M680" s="43" t="str">
        <f aca="false">IF(OR($L680="",$F680=""),"",IFERROR($L680/INDEX(Cadastro!$E$6:$E$8,MATCH($F680,Cadastro!$B$6:$B$8,0)),""))</f>
        <v/>
      </c>
      <c r="N680" s="43" t="str">
        <f aca="false">IF(OR($L680="",$I680="",$I680=0),"",$L680/$I680)</f>
        <v/>
      </c>
      <c r="O680" s="51"/>
    </row>
    <row r="681" customFormat="false" ht="15" hidden="false" customHeight="false" outlineLevel="0" collapsed="false">
      <c r="A681" s="45"/>
      <c r="B681" s="37" t="str">
        <f aca="false">IF($A681="","",WEEKNUM($A681,2))</f>
        <v/>
      </c>
      <c r="C681" s="37" t="str">
        <f aca="false">IF($A681="","",CHOOSE(WEEKDAY($A681,2),"Seg","Ter","Qua","Qui","Sex","Sáb","Dom"))</f>
        <v/>
      </c>
      <c r="D681" s="46"/>
      <c r="E681" s="47"/>
      <c r="F681" s="47"/>
      <c r="G681" s="48"/>
      <c r="H681" s="49"/>
      <c r="I681" s="50"/>
      <c r="J681" s="48"/>
      <c r="K681" s="49"/>
      <c r="L681" s="50"/>
      <c r="M681" s="43" t="str">
        <f aca="false">IF(OR($L681="",$F681=""),"",IFERROR($L681/INDEX(Cadastro!$E$6:$E$8,MATCH($F681,Cadastro!$B$6:$B$8,0)),""))</f>
        <v/>
      </c>
      <c r="N681" s="43" t="str">
        <f aca="false">IF(OR($L681="",$I681="",$I681=0),"",$L681/$I681)</f>
        <v/>
      </c>
      <c r="O681" s="51"/>
    </row>
    <row r="682" customFormat="false" ht="15" hidden="false" customHeight="false" outlineLevel="0" collapsed="false">
      <c r="A682" s="45"/>
      <c r="B682" s="37" t="str">
        <f aca="false">IF($A682="","",WEEKNUM($A682,2))</f>
        <v/>
      </c>
      <c r="C682" s="37" t="str">
        <f aca="false">IF($A682="","",CHOOSE(WEEKDAY($A682,2),"Seg","Ter","Qua","Qui","Sex","Sáb","Dom"))</f>
        <v/>
      </c>
      <c r="D682" s="46"/>
      <c r="E682" s="47"/>
      <c r="F682" s="47"/>
      <c r="G682" s="48"/>
      <c r="H682" s="49"/>
      <c r="I682" s="50"/>
      <c r="J682" s="48"/>
      <c r="K682" s="49"/>
      <c r="L682" s="50"/>
      <c r="M682" s="43" t="str">
        <f aca="false">IF(OR($L682="",$F682=""),"",IFERROR($L682/INDEX(Cadastro!$E$6:$E$8,MATCH($F682,Cadastro!$B$6:$B$8,0)),""))</f>
        <v/>
      </c>
      <c r="N682" s="43" t="str">
        <f aca="false">IF(OR($L682="",$I682="",$I682=0),"",$L682/$I682)</f>
        <v/>
      </c>
      <c r="O682" s="51"/>
    </row>
    <row r="683" customFormat="false" ht="15" hidden="false" customHeight="false" outlineLevel="0" collapsed="false">
      <c r="A683" s="45"/>
      <c r="B683" s="37" t="str">
        <f aca="false">IF($A683="","",WEEKNUM($A683,2))</f>
        <v/>
      </c>
      <c r="C683" s="37" t="str">
        <f aca="false">IF($A683="","",CHOOSE(WEEKDAY($A683,2),"Seg","Ter","Qua","Qui","Sex","Sáb","Dom"))</f>
        <v/>
      </c>
      <c r="D683" s="46"/>
      <c r="E683" s="47"/>
      <c r="F683" s="47"/>
      <c r="G683" s="48"/>
      <c r="H683" s="49"/>
      <c r="I683" s="50"/>
      <c r="J683" s="48"/>
      <c r="K683" s="49"/>
      <c r="L683" s="50"/>
      <c r="M683" s="43" t="str">
        <f aca="false">IF(OR($L683="",$F683=""),"",IFERROR($L683/INDEX(Cadastro!$E$6:$E$8,MATCH($F683,Cadastro!$B$6:$B$8,0)),""))</f>
        <v/>
      </c>
      <c r="N683" s="43" t="str">
        <f aca="false">IF(OR($L683="",$I683="",$I683=0),"",$L683/$I683)</f>
        <v/>
      </c>
      <c r="O683" s="51"/>
    </row>
    <row r="684" customFormat="false" ht="15" hidden="false" customHeight="false" outlineLevel="0" collapsed="false">
      <c r="A684" s="45"/>
      <c r="B684" s="37" t="str">
        <f aca="false">IF($A684="","",WEEKNUM($A684,2))</f>
        <v/>
      </c>
      <c r="C684" s="37" t="str">
        <f aca="false">IF($A684="","",CHOOSE(WEEKDAY($A684,2),"Seg","Ter","Qua","Qui","Sex","Sáb","Dom"))</f>
        <v/>
      </c>
      <c r="D684" s="46"/>
      <c r="E684" s="47"/>
      <c r="F684" s="47"/>
      <c r="G684" s="48"/>
      <c r="H684" s="49"/>
      <c r="I684" s="50"/>
      <c r="J684" s="48"/>
      <c r="K684" s="49"/>
      <c r="L684" s="50"/>
      <c r="M684" s="43" t="str">
        <f aca="false">IF(OR($L684="",$F684=""),"",IFERROR($L684/INDEX(Cadastro!$E$6:$E$8,MATCH($F684,Cadastro!$B$6:$B$8,0)),""))</f>
        <v/>
      </c>
      <c r="N684" s="43" t="str">
        <f aca="false">IF(OR($L684="",$I684="",$I684=0),"",$L684/$I684)</f>
        <v/>
      </c>
      <c r="O684" s="51"/>
    </row>
    <row r="685" customFormat="false" ht="15" hidden="false" customHeight="false" outlineLevel="0" collapsed="false">
      <c r="A685" s="45"/>
      <c r="B685" s="37" t="str">
        <f aca="false">IF($A685="","",WEEKNUM($A685,2))</f>
        <v/>
      </c>
      <c r="C685" s="37" t="str">
        <f aca="false">IF($A685="","",CHOOSE(WEEKDAY($A685,2),"Seg","Ter","Qua","Qui","Sex","Sáb","Dom"))</f>
        <v/>
      </c>
      <c r="D685" s="46"/>
      <c r="E685" s="47"/>
      <c r="F685" s="47"/>
      <c r="G685" s="48"/>
      <c r="H685" s="49"/>
      <c r="I685" s="50"/>
      <c r="J685" s="48"/>
      <c r="K685" s="49"/>
      <c r="L685" s="50"/>
      <c r="M685" s="43" t="str">
        <f aca="false">IF(OR($L685="",$F685=""),"",IFERROR($L685/INDEX(Cadastro!$E$6:$E$8,MATCH($F685,Cadastro!$B$6:$B$8,0)),""))</f>
        <v/>
      </c>
      <c r="N685" s="43" t="str">
        <f aca="false">IF(OR($L685="",$I685="",$I685=0),"",$L685/$I685)</f>
        <v/>
      </c>
      <c r="O685" s="51"/>
    </row>
    <row r="686" customFormat="false" ht="15" hidden="false" customHeight="false" outlineLevel="0" collapsed="false">
      <c r="A686" s="45"/>
      <c r="B686" s="37" t="str">
        <f aca="false">IF($A686="","",WEEKNUM($A686,2))</f>
        <v/>
      </c>
      <c r="C686" s="37" t="str">
        <f aca="false">IF($A686="","",CHOOSE(WEEKDAY($A686,2),"Seg","Ter","Qua","Qui","Sex","Sáb","Dom"))</f>
        <v/>
      </c>
      <c r="D686" s="46"/>
      <c r="E686" s="47"/>
      <c r="F686" s="47"/>
      <c r="G686" s="48"/>
      <c r="H686" s="49"/>
      <c r="I686" s="50"/>
      <c r="J686" s="48"/>
      <c r="K686" s="49"/>
      <c r="L686" s="50"/>
      <c r="M686" s="43" t="str">
        <f aca="false">IF(OR($L686="",$F686=""),"",IFERROR($L686/INDEX(Cadastro!$E$6:$E$8,MATCH($F686,Cadastro!$B$6:$B$8,0)),""))</f>
        <v/>
      </c>
      <c r="N686" s="43" t="str">
        <f aca="false">IF(OR($L686="",$I686="",$I686=0),"",$L686/$I686)</f>
        <v/>
      </c>
      <c r="O686" s="51"/>
    </row>
    <row r="687" customFormat="false" ht="15" hidden="false" customHeight="false" outlineLevel="0" collapsed="false">
      <c r="A687" s="45"/>
      <c r="B687" s="37" t="str">
        <f aca="false">IF($A687="","",WEEKNUM($A687,2))</f>
        <v/>
      </c>
      <c r="C687" s="37" t="str">
        <f aca="false">IF($A687="","",CHOOSE(WEEKDAY($A687,2),"Seg","Ter","Qua","Qui","Sex","Sáb","Dom"))</f>
        <v/>
      </c>
      <c r="D687" s="46"/>
      <c r="E687" s="47"/>
      <c r="F687" s="47"/>
      <c r="G687" s="48"/>
      <c r="H687" s="49"/>
      <c r="I687" s="50"/>
      <c r="J687" s="48"/>
      <c r="K687" s="49"/>
      <c r="L687" s="50"/>
      <c r="M687" s="43" t="str">
        <f aca="false">IF(OR($L687="",$F687=""),"",IFERROR($L687/INDEX(Cadastro!$E$6:$E$8,MATCH($F687,Cadastro!$B$6:$B$8,0)),""))</f>
        <v/>
      </c>
      <c r="N687" s="43" t="str">
        <f aca="false">IF(OR($L687="",$I687="",$I687=0),"",$L687/$I687)</f>
        <v/>
      </c>
      <c r="O687" s="51"/>
    </row>
    <row r="688" customFormat="false" ht="15" hidden="false" customHeight="false" outlineLevel="0" collapsed="false">
      <c r="A688" s="45"/>
      <c r="B688" s="37" t="str">
        <f aca="false">IF($A688="","",WEEKNUM($A688,2))</f>
        <v/>
      </c>
      <c r="C688" s="37" t="str">
        <f aca="false">IF($A688="","",CHOOSE(WEEKDAY($A688,2),"Seg","Ter","Qua","Qui","Sex","Sáb","Dom"))</f>
        <v/>
      </c>
      <c r="D688" s="46"/>
      <c r="E688" s="47"/>
      <c r="F688" s="47"/>
      <c r="G688" s="48"/>
      <c r="H688" s="49"/>
      <c r="I688" s="50"/>
      <c r="J688" s="48"/>
      <c r="K688" s="49"/>
      <c r="L688" s="50"/>
      <c r="M688" s="43" t="str">
        <f aca="false">IF(OR($L688="",$F688=""),"",IFERROR($L688/INDEX(Cadastro!$E$6:$E$8,MATCH($F688,Cadastro!$B$6:$B$8,0)),""))</f>
        <v/>
      </c>
      <c r="N688" s="43" t="str">
        <f aca="false">IF(OR($L688="",$I688="",$I688=0),"",$L688/$I688)</f>
        <v/>
      </c>
      <c r="O688" s="51"/>
    </row>
    <row r="689" customFormat="false" ht="15" hidden="false" customHeight="false" outlineLevel="0" collapsed="false">
      <c r="A689" s="45"/>
      <c r="B689" s="37" t="str">
        <f aca="false">IF($A689="","",WEEKNUM($A689,2))</f>
        <v/>
      </c>
      <c r="C689" s="37" t="str">
        <f aca="false">IF($A689="","",CHOOSE(WEEKDAY($A689,2),"Seg","Ter","Qua","Qui","Sex","Sáb","Dom"))</f>
        <v/>
      </c>
      <c r="D689" s="46"/>
      <c r="E689" s="47"/>
      <c r="F689" s="47"/>
      <c r="G689" s="48"/>
      <c r="H689" s="49"/>
      <c r="I689" s="50"/>
      <c r="J689" s="48"/>
      <c r="K689" s="49"/>
      <c r="L689" s="50"/>
      <c r="M689" s="43" t="str">
        <f aca="false">IF(OR($L689="",$F689=""),"",IFERROR($L689/INDEX(Cadastro!$E$6:$E$8,MATCH($F689,Cadastro!$B$6:$B$8,0)),""))</f>
        <v/>
      </c>
      <c r="N689" s="43" t="str">
        <f aca="false">IF(OR($L689="",$I689="",$I689=0),"",$L689/$I689)</f>
        <v/>
      </c>
      <c r="O689" s="51"/>
    </row>
    <row r="690" customFormat="false" ht="15" hidden="false" customHeight="false" outlineLevel="0" collapsed="false">
      <c r="A690" s="45"/>
      <c r="B690" s="37" t="str">
        <f aca="false">IF($A690="","",WEEKNUM($A690,2))</f>
        <v/>
      </c>
      <c r="C690" s="37" t="str">
        <f aca="false">IF($A690="","",CHOOSE(WEEKDAY($A690,2),"Seg","Ter","Qua","Qui","Sex","Sáb","Dom"))</f>
        <v/>
      </c>
      <c r="D690" s="46"/>
      <c r="E690" s="47"/>
      <c r="F690" s="47"/>
      <c r="G690" s="48"/>
      <c r="H690" s="49"/>
      <c r="I690" s="50"/>
      <c r="J690" s="48"/>
      <c r="K690" s="49"/>
      <c r="L690" s="50"/>
      <c r="M690" s="43" t="str">
        <f aca="false">IF(OR($L690="",$F690=""),"",IFERROR($L690/INDEX(Cadastro!$E$6:$E$8,MATCH($F690,Cadastro!$B$6:$B$8,0)),""))</f>
        <v/>
      </c>
      <c r="N690" s="43" t="str">
        <f aca="false">IF(OR($L690="",$I690="",$I690=0),"",$L690/$I690)</f>
        <v/>
      </c>
      <c r="O690" s="51"/>
    </row>
    <row r="691" customFormat="false" ht="15" hidden="false" customHeight="false" outlineLevel="0" collapsed="false">
      <c r="A691" s="45"/>
      <c r="B691" s="37" t="str">
        <f aca="false">IF($A691="","",WEEKNUM($A691,2))</f>
        <v/>
      </c>
      <c r="C691" s="37" t="str">
        <f aca="false">IF($A691="","",CHOOSE(WEEKDAY($A691,2),"Seg","Ter","Qua","Qui","Sex","Sáb","Dom"))</f>
        <v/>
      </c>
      <c r="D691" s="46"/>
      <c r="E691" s="47"/>
      <c r="F691" s="47"/>
      <c r="G691" s="48"/>
      <c r="H691" s="49"/>
      <c r="I691" s="50"/>
      <c r="J691" s="48"/>
      <c r="K691" s="49"/>
      <c r="L691" s="50"/>
      <c r="M691" s="43" t="str">
        <f aca="false">IF(OR($L691="",$F691=""),"",IFERROR($L691/INDEX(Cadastro!$E$6:$E$8,MATCH($F691,Cadastro!$B$6:$B$8,0)),""))</f>
        <v/>
      </c>
      <c r="N691" s="43" t="str">
        <f aca="false">IF(OR($L691="",$I691="",$I691=0),"",$L691/$I691)</f>
        <v/>
      </c>
      <c r="O691" s="51"/>
    </row>
    <row r="692" customFormat="false" ht="15" hidden="false" customHeight="false" outlineLevel="0" collapsed="false">
      <c r="A692" s="45"/>
      <c r="B692" s="37" t="str">
        <f aca="false">IF($A692="","",WEEKNUM($A692,2))</f>
        <v/>
      </c>
      <c r="C692" s="37" t="str">
        <f aca="false">IF($A692="","",CHOOSE(WEEKDAY($A692,2),"Seg","Ter","Qua","Qui","Sex","Sáb","Dom"))</f>
        <v/>
      </c>
      <c r="D692" s="46"/>
      <c r="E692" s="47"/>
      <c r="F692" s="47"/>
      <c r="G692" s="48"/>
      <c r="H692" s="49"/>
      <c r="I692" s="50"/>
      <c r="J692" s="48"/>
      <c r="K692" s="49"/>
      <c r="L692" s="50"/>
      <c r="M692" s="43" t="str">
        <f aca="false">IF(OR($L692="",$F692=""),"",IFERROR($L692/INDEX(Cadastro!$E$6:$E$8,MATCH($F692,Cadastro!$B$6:$B$8,0)),""))</f>
        <v/>
      </c>
      <c r="N692" s="43" t="str">
        <f aca="false">IF(OR($L692="",$I692="",$I692=0),"",$L692/$I692)</f>
        <v/>
      </c>
      <c r="O692" s="51"/>
    </row>
    <row r="693" customFormat="false" ht="15" hidden="false" customHeight="false" outlineLevel="0" collapsed="false">
      <c r="A693" s="45"/>
      <c r="B693" s="37" t="str">
        <f aca="false">IF($A693="","",WEEKNUM($A693,2))</f>
        <v/>
      </c>
      <c r="C693" s="37" t="str">
        <f aca="false">IF($A693="","",CHOOSE(WEEKDAY($A693,2),"Seg","Ter","Qua","Qui","Sex","Sáb","Dom"))</f>
        <v/>
      </c>
      <c r="D693" s="46"/>
      <c r="E693" s="47"/>
      <c r="F693" s="47"/>
      <c r="G693" s="48"/>
      <c r="H693" s="49"/>
      <c r="I693" s="50"/>
      <c r="J693" s="48"/>
      <c r="K693" s="49"/>
      <c r="L693" s="50"/>
      <c r="M693" s="43" t="str">
        <f aca="false">IF(OR($L693="",$F693=""),"",IFERROR($L693/INDEX(Cadastro!$E$6:$E$8,MATCH($F693,Cadastro!$B$6:$B$8,0)),""))</f>
        <v/>
      </c>
      <c r="N693" s="43" t="str">
        <f aca="false">IF(OR($L693="",$I693="",$I693=0),"",$L693/$I693)</f>
        <v/>
      </c>
      <c r="O693" s="51"/>
    </row>
    <row r="694" customFormat="false" ht="15" hidden="false" customHeight="false" outlineLevel="0" collapsed="false">
      <c r="A694" s="45"/>
      <c r="B694" s="37" t="str">
        <f aca="false">IF($A694="","",WEEKNUM($A694,2))</f>
        <v/>
      </c>
      <c r="C694" s="37" t="str">
        <f aca="false">IF($A694="","",CHOOSE(WEEKDAY($A694,2),"Seg","Ter","Qua","Qui","Sex","Sáb","Dom"))</f>
        <v/>
      </c>
      <c r="D694" s="46"/>
      <c r="E694" s="47"/>
      <c r="F694" s="47"/>
      <c r="G694" s="48"/>
      <c r="H694" s="49"/>
      <c r="I694" s="50"/>
      <c r="J694" s="48"/>
      <c r="K694" s="49"/>
      <c r="L694" s="50"/>
      <c r="M694" s="43" t="str">
        <f aca="false">IF(OR($L694="",$F694=""),"",IFERROR($L694/INDEX(Cadastro!$E$6:$E$8,MATCH($F694,Cadastro!$B$6:$B$8,0)),""))</f>
        <v/>
      </c>
      <c r="N694" s="43" t="str">
        <f aca="false">IF(OR($L694="",$I694="",$I694=0),"",$L694/$I694)</f>
        <v/>
      </c>
      <c r="O694" s="51"/>
    </row>
    <row r="695" customFormat="false" ht="15" hidden="false" customHeight="false" outlineLevel="0" collapsed="false">
      <c r="A695" s="45"/>
      <c r="B695" s="37" t="str">
        <f aca="false">IF($A695="","",WEEKNUM($A695,2))</f>
        <v/>
      </c>
      <c r="C695" s="37" t="str">
        <f aca="false">IF($A695="","",CHOOSE(WEEKDAY($A695,2),"Seg","Ter","Qua","Qui","Sex","Sáb","Dom"))</f>
        <v/>
      </c>
      <c r="D695" s="46"/>
      <c r="E695" s="47"/>
      <c r="F695" s="47"/>
      <c r="G695" s="48"/>
      <c r="H695" s="49"/>
      <c r="I695" s="50"/>
      <c r="J695" s="48"/>
      <c r="K695" s="49"/>
      <c r="L695" s="50"/>
      <c r="M695" s="43" t="str">
        <f aca="false">IF(OR($L695="",$F695=""),"",IFERROR($L695/INDEX(Cadastro!$E$6:$E$8,MATCH($F695,Cadastro!$B$6:$B$8,0)),""))</f>
        <v/>
      </c>
      <c r="N695" s="43" t="str">
        <f aca="false">IF(OR($L695="",$I695="",$I695=0),"",$L695/$I695)</f>
        <v/>
      </c>
      <c r="O695" s="51"/>
    </row>
    <row r="696" customFormat="false" ht="15" hidden="false" customHeight="false" outlineLevel="0" collapsed="false">
      <c r="A696" s="45"/>
      <c r="B696" s="37" t="str">
        <f aca="false">IF($A696="","",WEEKNUM($A696,2))</f>
        <v/>
      </c>
      <c r="C696" s="37" t="str">
        <f aca="false">IF($A696="","",CHOOSE(WEEKDAY($A696,2),"Seg","Ter","Qua","Qui","Sex","Sáb","Dom"))</f>
        <v/>
      </c>
      <c r="D696" s="46"/>
      <c r="E696" s="47"/>
      <c r="F696" s="47"/>
      <c r="G696" s="48"/>
      <c r="H696" s="49"/>
      <c r="I696" s="50"/>
      <c r="J696" s="48"/>
      <c r="K696" s="49"/>
      <c r="L696" s="50"/>
      <c r="M696" s="43" t="str">
        <f aca="false">IF(OR($L696="",$F696=""),"",IFERROR($L696/INDEX(Cadastro!$E$6:$E$8,MATCH($F696,Cadastro!$B$6:$B$8,0)),""))</f>
        <v/>
      </c>
      <c r="N696" s="43" t="str">
        <f aca="false">IF(OR($L696="",$I696="",$I696=0),"",$L696/$I696)</f>
        <v/>
      </c>
      <c r="O696" s="51"/>
    </row>
    <row r="697" customFormat="false" ht="15" hidden="false" customHeight="false" outlineLevel="0" collapsed="false">
      <c r="A697" s="45"/>
      <c r="B697" s="37" t="str">
        <f aca="false">IF($A697="","",WEEKNUM($A697,2))</f>
        <v/>
      </c>
      <c r="C697" s="37" t="str">
        <f aca="false">IF($A697="","",CHOOSE(WEEKDAY($A697,2),"Seg","Ter","Qua","Qui","Sex","Sáb","Dom"))</f>
        <v/>
      </c>
      <c r="D697" s="46"/>
      <c r="E697" s="47"/>
      <c r="F697" s="47"/>
      <c r="G697" s="48"/>
      <c r="H697" s="49"/>
      <c r="I697" s="50"/>
      <c r="J697" s="48"/>
      <c r="K697" s="49"/>
      <c r="L697" s="50"/>
      <c r="M697" s="43" t="str">
        <f aca="false">IF(OR($L697="",$F697=""),"",IFERROR($L697/INDEX(Cadastro!$E$6:$E$8,MATCH($F697,Cadastro!$B$6:$B$8,0)),""))</f>
        <v/>
      </c>
      <c r="N697" s="43" t="str">
        <f aca="false">IF(OR($L697="",$I697="",$I697=0),"",$L697/$I697)</f>
        <v/>
      </c>
      <c r="O697" s="51"/>
    </row>
    <row r="698" customFormat="false" ht="15" hidden="false" customHeight="false" outlineLevel="0" collapsed="false">
      <c r="A698" s="45"/>
      <c r="B698" s="37" t="str">
        <f aca="false">IF($A698="","",WEEKNUM($A698,2))</f>
        <v/>
      </c>
      <c r="C698" s="37" t="str">
        <f aca="false">IF($A698="","",CHOOSE(WEEKDAY($A698,2),"Seg","Ter","Qua","Qui","Sex","Sáb","Dom"))</f>
        <v/>
      </c>
      <c r="D698" s="46"/>
      <c r="E698" s="47"/>
      <c r="F698" s="47"/>
      <c r="G698" s="48"/>
      <c r="H698" s="49"/>
      <c r="I698" s="50"/>
      <c r="J698" s="48"/>
      <c r="K698" s="49"/>
      <c r="L698" s="50"/>
      <c r="M698" s="43" t="str">
        <f aca="false">IF(OR($L698="",$F698=""),"",IFERROR($L698/INDEX(Cadastro!$E$6:$E$8,MATCH($F698,Cadastro!$B$6:$B$8,0)),""))</f>
        <v/>
      </c>
      <c r="N698" s="43" t="str">
        <f aca="false">IF(OR($L698="",$I698="",$I698=0),"",$L698/$I698)</f>
        <v/>
      </c>
      <c r="O698" s="51"/>
    </row>
    <row r="699" customFormat="false" ht="15" hidden="false" customHeight="false" outlineLevel="0" collapsed="false">
      <c r="A699" s="45"/>
      <c r="B699" s="37" t="str">
        <f aca="false">IF($A699="","",WEEKNUM($A699,2))</f>
        <v/>
      </c>
      <c r="C699" s="37" t="str">
        <f aca="false">IF($A699="","",CHOOSE(WEEKDAY($A699,2),"Seg","Ter","Qua","Qui","Sex","Sáb","Dom"))</f>
        <v/>
      </c>
      <c r="D699" s="46"/>
      <c r="E699" s="47"/>
      <c r="F699" s="47"/>
      <c r="G699" s="48"/>
      <c r="H699" s="49"/>
      <c r="I699" s="50"/>
      <c r="J699" s="48"/>
      <c r="K699" s="49"/>
      <c r="L699" s="50"/>
      <c r="M699" s="43" t="str">
        <f aca="false">IF(OR($L699="",$F699=""),"",IFERROR($L699/INDEX(Cadastro!$E$6:$E$8,MATCH($F699,Cadastro!$B$6:$B$8,0)),""))</f>
        <v/>
      </c>
      <c r="N699" s="43" t="str">
        <f aca="false">IF(OR($L699="",$I699="",$I699=0),"",$L699/$I699)</f>
        <v/>
      </c>
      <c r="O699" s="51"/>
    </row>
    <row r="700" customFormat="false" ht="15" hidden="false" customHeight="false" outlineLevel="0" collapsed="false">
      <c r="A700" s="45"/>
      <c r="B700" s="37" t="str">
        <f aca="false">IF($A700="","",WEEKNUM($A700,2))</f>
        <v/>
      </c>
      <c r="C700" s="37" t="str">
        <f aca="false">IF($A700="","",CHOOSE(WEEKDAY($A700,2),"Seg","Ter","Qua","Qui","Sex","Sáb","Dom"))</f>
        <v/>
      </c>
      <c r="D700" s="46"/>
      <c r="E700" s="47"/>
      <c r="F700" s="47"/>
      <c r="G700" s="48"/>
      <c r="H700" s="49"/>
      <c r="I700" s="50"/>
      <c r="J700" s="48"/>
      <c r="K700" s="49"/>
      <c r="L700" s="50"/>
      <c r="M700" s="43" t="str">
        <f aca="false">IF(OR($L700="",$F700=""),"",IFERROR($L700/INDEX(Cadastro!$E$6:$E$8,MATCH($F700,Cadastro!$B$6:$B$8,0)),""))</f>
        <v/>
      </c>
      <c r="N700" s="43" t="str">
        <f aca="false">IF(OR($L700="",$I700="",$I700=0),"",$L700/$I700)</f>
        <v/>
      </c>
      <c r="O700" s="51"/>
    </row>
    <row r="701" customFormat="false" ht="15" hidden="false" customHeight="false" outlineLevel="0" collapsed="false">
      <c r="A701" s="45"/>
      <c r="B701" s="37" t="str">
        <f aca="false">IF($A701="","",WEEKNUM($A701,2))</f>
        <v/>
      </c>
      <c r="C701" s="37" t="str">
        <f aca="false">IF($A701="","",CHOOSE(WEEKDAY($A701,2),"Seg","Ter","Qua","Qui","Sex","Sáb","Dom"))</f>
        <v/>
      </c>
      <c r="D701" s="46"/>
      <c r="E701" s="47"/>
      <c r="F701" s="47"/>
      <c r="G701" s="48"/>
      <c r="H701" s="49"/>
      <c r="I701" s="50"/>
      <c r="J701" s="48"/>
      <c r="K701" s="49"/>
      <c r="L701" s="50"/>
      <c r="M701" s="43" t="str">
        <f aca="false">IF(OR($L701="",$F701=""),"",IFERROR($L701/INDEX(Cadastro!$E$6:$E$8,MATCH($F701,Cadastro!$B$6:$B$8,0)),""))</f>
        <v/>
      </c>
      <c r="N701" s="43" t="str">
        <f aca="false">IF(OR($L701="",$I701="",$I701=0),"",$L701/$I701)</f>
        <v/>
      </c>
      <c r="O701" s="51"/>
    </row>
    <row r="702" customFormat="false" ht="15" hidden="false" customHeight="false" outlineLevel="0" collapsed="false">
      <c r="A702" s="45"/>
      <c r="B702" s="37" t="str">
        <f aca="false">IF($A702="","",WEEKNUM($A702,2))</f>
        <v/>
      </c>
      <c r="C702" s="37" t="str">
        <f aca="false">IF($A702="","",CHOOSE(WEEKDAY($A702,2),"Seg","Ter","Qua","Qui","Sex","Sáb","Dom"))</f>
        <v/>
      </c>
      <c r="D702" s="46"/>
      <c r="E702" s="47"/>
      <c r="F702" s="47"/>
      <c r="G702" s="48"/>
      <c r="H702" s="49"/>
      <c r="I702" s="50"/>
      <c r="J702" s="48"/>
      <c r="K702" s="49"/>
      <c r="L702" s="50"/>
      <c r="M702" s="43" t="str">
        <f aca="false">IF(OR($L702="",$F702=""),"",IFERROR($L702/INDEX(Cadastro!$E$6:$E$8,MATCH($F702,Cadastro!$B$6:$B$8,0)),""))</f>
        <v/>
      </c>
      <c r="N702" s="43" t="str">
        <f aca="false">IF(OR($L702="",$I702="",$I702=0),"",$L702/$I702)</f>
        <v/>
      </c>
      <c r="O702" s="51"/>
    </row>
    <row r="703" customFormat="false" ht="15" hidden="false" customHeight="false" outlineLevel="0" collapsed="false">
      <c r="A703" s="45"/>
      <c r="B703" s="37" t="str">
        <f aca="false">IF($A703="","",WEEKNUM($A703,2))</f>
        <v/>
      </c>
      <c r="C703" s="37" t="str">
        <f aca="false">IF($A703="","",CHOOSE(WEEKDAY($A703,2),"Seg","Ter","Qua","Qui","Sex","Sáb","Dom"))</f>
        <v/>
      </c>
      <c r="D703" s="46"/>
      <c r="E703" s="47"/>
      <c r="F703" s="47"/>
      <c r="G703" s="48"/>
      <c r="H703" s="49"/>
      <c r="I703" s="50"/>
      <c r="J703" s="48"/>
      <c r="K703" s="49"/>
      <c r="L703" s="50"/>
      <c r="M703" s="43" t="str">
        <f aca="false">IF(OR($L703="",$F703=""),"",IFERROR($L703/INDEX(Cadastro!$E$6:$E$8,MATCH($F703,Cadastro!$B$6:$B$8,0)),""))</f>
        <v/>
      </c>
      <c r="N703" s="43" t="str">
        <f aca="false">IF(OR($L703="",$I703="",$I703=0),"",$L703/$I703)</f>
        <v/>
      </c>
      <c r="O703" s="51"/>
    </row>
    <row r="704" customFormat="false" ht="15" hidden="false" customHeight="false" outlineLevel="0" collapsed="false">
      <c r="A704" s="45"/>
      <c r="B704" s="37" t="str">
        <f aca="false">IF($A704="","",WEEKNUM($A704,2))</f>
        <v/>
      </c>
      <c r="C704" s="37" t="str">
        <f aca="false">IF($A704="","",CHOOSE(WEEKDAY($A704,2),"Seg","Ter","Qua","Qui","Sex","Sáb","Dom"))</f>
        <v/>
      </c>
      <c r="D704" s="46"/>
      <c r="E704" s="47"/>
      <c r="F704" s="47"/>
      <c r="G704" s="48"/>
      <c r="H704" s="49"/>
      <c r="I704" s="50"/>
      <c r="J704" s="48"/>
      <c r="K704" s="49"/>
      <c r="L704" s="50"/>
      <c r="M704" s="43" t="str">
        <f aca="false">IF(OR($L704="",$F704=""),"",IFERROR($L704/INDEX(Cadastro!$E$6:$E$8,MATCH($F704,Cadastro!$B$6:$B$8,0)),""))</f>
        <v/>
      </c>
      <c r="N704" s="43" t="str">
        <f aca="false">IF(OR($L704="",$I704="",$I704=0),"",$L704/$I704)</f>
        <v/>
      </c>
      <c r="O704" s="51"/>
    </row>
    <row r="705" customFormat="false" ht="15" hidden="false" customHeight="false" outlineLevel="0" collapsed="false">
      <c r="A705" s="45"/>
      <c r="B705" s="37" t="str">
        <f aca="false">IF($A705="","",WEEKNUM($A705,2))</f>
        <v/>
      </c>
      <c r="C705" s="37" t="str">
        <f aca="false">IF($A705="","",CHOOSE(WEEKDAY($A705,2),"Seg","Ter","Qua","Qui","Sex","Sáb","Dom"))</f>
        <v/>
      </c>
      <c r="D705" s="46"/>
      <c r="E705" s="47"/>
      <c r="F705" s="47"/>
      <c r="G705" s="48"/>
      <c r="H705" s="49"/>
      <c r="I705" s="50"/>
      <c r="J705" s="48"/>
      <c r="K705" s="49"/>
      <c r="L705" s="50"/>
      <c r="M705" s="43" t="str">
        <f aca="false">IF(OR($L705="",$F705=""),"",IFERROR($L705/INDEX(Cadastro!$E$6:$E$8,MATCH($F705,Cadastro!$B$6:$B$8,0)),""))</f>
        <v/>
      </c>
      <c r="N705" s="43" t="str">
        <f aca="false">IF(OR($L705="",$I705="",$I705=0),"",$L705/$I705)</f>
        <v/>
      </c>
      <c r="O705" s="51"/>
    </row>
    <row r="706" customFormat="false" ht="15" hidden="false" customHeight="false" outlineLevel="0" collapsed="false">
      <c r="A706" s="45"/>
      <c r="B706" s="37" t="str">
        <f aca="false">IF($A706="","",WEEKNUM($A706,2))</f>
        <v/>
      </c>
      <c r="C706" s="37" t="str">
        <f aca="false">IF($A706="","",CHOOSE(WEEKDAY($A706,2),"Seg","Ter","Qua","Qui","Sex","Sáb","Dom"))</f>
        <v/>
      </c>
      <c r="D706" s="46"/>
      <c r="E706" s="47"/>
      <c r="F706" s="47"/>
      <c r="G706" s="48"/>
      <c r="H706" s="49"/>
      <c r="I706" s="50"/>
      <c r="J706" s="48"/>
      <c r="K706" s="49"/>
      <c r="L706" s="50"/>
      <c r="M706" s="43" t="str">
        <f aca="false">IF(OR($L706="",$F706=""),"",IFERROR($L706/INDEX(Cadastro!$E$6:$E$8,MATCH($F706,Cadastro!$B$6:$B$8,0)),""))</f>
        <v/>
      </c>
      <c r="N706" s="43" t="str">
        <f aca="false">IF(OR($L706="",$I706="",$I706=0),"",$L706/$I706)</f>
        <v/>
      </c>
      <c r="O706" s="51"/>
    </row>
    <row r="707" customFormat="false" ht="15" hidden="false" customHeight="false" outlineLevel="0" collapsed="false">
      <c r="A707" s="45"/>
      <c r="B707" s="37" t="str">
        <f aca="false">IF($A707="","",WEEKNUM($A707,2))</f>
        <v/>
      </c>
      <c r="C707" s="37" t="str">
        <f aca="false">IF($A707="","",CHOOSE(WEEKDAY($A707,2),"Seg","Ter","Qua","Qui","Sex","Sáb","Dom"))</f>
        <v/>
      </c>
      <c r="D707" s="46"/>
      <c r="E707" s="47"/>
      <c r="F707" s="47"/>
      <c r="G707" s="48"/>
      <c r="H707" s="49"/>
      <c r="I707" s="50"/>
      <c r="J707" s="48"/>
      <c r="K707" s="49"/>
      <c r="L707" s="50"/>
      <c r="M707" s="43" t="str">
        <f aca="false">IF(OR($L707="",$F707=""),"",IFERROR($L707/INDEX(Cadastro!$E$6:$E$8,MATCH($F707,Cadastro!$B$6:$B$8,0)),""))</f>
        <v/>
      </c>
      <c r="N707" s="43" t="str">
        <f aca="false">IF(OR($L707="",$I707="",$I707=0),"",$L707/$I707)</f>
        <v/>
      </c>
      <c r="O707" s="51"/>
    </row>
    <row r="708" customFormat="false" ht="15" hidden="false" customHeight="false" outlineLevel="0" collapsed="false">
      <c r="A708" s="45"/>
      <c r="B708" s="37" t="str">
        <f aca="false">IF($A708="","",WEEKNUM($A708,2))</f>
        <v/>
      </c>
      <c r="C708" s="37" t="str">
        <f aca="false">IF($A708="","",CHOOSE(WEEKDAY($A708,2),"Seg","Ter","Qua","Qui","Sex","Sáb","Dom"))</f>
        <v/>
      </c>
      <c r="D708" s="46"/>
      <c r="E708" s="47"/>
      <c r="F708" s="47"/>
      <c r="G708" s="48"/>
      <c r="H708" s="49"/>
      <c r="I708" s="50"/>
      <c r="J708" s="48"/>
      <c r="K708" s="49"/>
      <c r="L708" s="50"/>
      <c r="M708" s="43" t="str">
        <f aca="false">IF(OR($L708="",$F708=""),"",IFERROR($L708/INDEX(Cadastro!$E$6:$E$8,MATCH($F708,Cadastro!$B$6:$B$8,0)),""))</f>
        <v/>
      </c>
      <c r="N708" s="43" t="str">
        <f aca="false">IF(OR($L708="",$I708="",$I708=0),"",$L708/$I708)</f>
        <v/>
      </c>
      <c r="O708" s="51"/>
    </row>
    <row r="709" customFormat="false" ht="15" hidden="false" customHeight="false" outlineLevel="0" collapsed="false">
      <c r="A709" s="45"/>
      <c r="B709" s="37" t="str">
        <f aca="false">IF($A709="","",WEEKNUM($A709,2))</f>
        <v/>
      </c>
      <c r="C709" s="37" t="str">
        <f aca="false">IF($A709="","",CHOOSE(WEEKDAY($A709,2),"Seg","Ter","Qua","Qui","Sex","Sáb","Dom"))</f>
        <v/>
      </c>
      <c r="D709" s="46"/>
      <c r="E709" s="47"/>
      <c r="F709" s="47"/>
      <c r="G709" s="48"/>
      <c r="H709" s="49"/>
      <c r="I709" s="50"/>
      <c r="J709" s="48"/>
      <c r="K709" s="49"/>
      <c r="L709" s="50"/>
      <c r="M709" s="43" t="str">
        <f aca="false">IF(OR($L709="",$F709=""),"",IFERROR($L709/INDEX(Cadastro!$E$6:$E$8,MATCH($F709,Cadastro!$B$6:$B$8,0)),""))</f>
        <v/>
      </c>
      <c r="N709" s="43" t="str">
        <f aca="false">IF(OR($L709="",$I709="",$I709=0),"",$L709/$I709)</f>
        <v/>
      </c>
      <c r="O709" s="51"/>
    </row>
    <row r="710" customFormat="false" ht="15" hidden="false" customHeight="false" outlineLevel="0" collapsed="false">
      <c r="A710" s="45"/>
      <c r="B710" s="37" t="str">
        <f aca="false">IF($A710="","",WEEKNUM($A710,2))</f>
        <v/>
      </c>
      <c r="C710" s="37" t="str">
        <f aca="false">IF($A710="","",CHOOSE(WEEKDAY($A710,2),"Seg","Ter","Qua","Qui","Sex","Sáb","Dom"))</f>
        <v/>
      </c>
      <c r="D710" s="46"/>
      <c r="E710" s="47"/>
      <c r="F710" s="47"/>
      <c r="G710" s="48"/>
      <c r="H710" s="49"/>
      <c r="I710" s="50"/>
      <c r="J710" s="48"/>
      <c r="K710" s="49"/>
      <c r="L710" s="50"/>
      <c r="M710" s="43" t="str">
        <f aca="false">IF(OR($L710="",$F710=""),"",IFERROR($L710/INDEX(Cadastro!$E$6:$E$8,MATCH($F710,Cadastro!$B$6:$B$8,0)),""))</f>
        <v/>
      </c>
      <c r="N710" s="43" t="str">
        <f aca="false">IF(OR($L710="",$I710="",$I710=0),"",$L710/$I710)</f>
        <v/>
      </c>
      <c r="O710" s="51"/>
    </row>
    <row r="711" customFormat="false" ht="15" hidden="false" customHeight="false" outlineLevel="0" collapsed="false">
      <c r="A711" s="45"/>
      <c r="B711" s="37" t="str">
        <f aca="false">IF($A711="","",WEEKNUM($A711,2))</f>
        <v/>
      </c>
      <c r="C711" s="37" t="str">
        <f aca="false">IF($A711="","",CHOOSE(WEEKDAY($A711,2),"Seg","Ter","Qua","Qui","Sex","Sáb","Dom"))</f>
        <v/>
      </c>
      <c r="D711" s="46"/>
      <c r="E711" s="47"/>
      <c r="F711" s="47"/>
      <c r="G711" s="48"/>
      <c r="H711" s="49"/>
      <c r="I711" s="50"/>
      <c r="J711" s="48"/>
      <c r="K711" s="49"/>
      <c r="L711" s="50"/>
      <c r="M711" s="43" t="str">
        <f aca="false">IF(OR($L711="",$F711=""),"",IFERROR($L711/INDEX(Cadastro!$E$6:$E$8,MATCH($F711,Cadastro!$B$6:$B$8,0)),""))</f>
        <v/>
      </c>
      <c r="N711" s="43" t="str">
        <f aca="false">IF(OR($L711="",$I711="",$I711=0),"",$L711/$I711)</f>
        <v/>
      </c>
      <c r="O711" s="51"/>
    </row>
    <row r="712" customFormat="false" ht="15" hidden="false" customHeight="false" outlineLevel="0" collapsed="false">
      <c r="A712" s="45"/>
      <c r="B712" s="37" t="str">
        <f aca="false">IF($A712="","",WEEKNUM($A712,2))</f>
        <v/>
      </c>
      <c r="C712" s="37" t="str">
        <f aca="false">IF($A712="","",CHOOSE(WEEKDAY($A712,2),"Seg","Ter","Qua","Qui","Sex","Sáb","Dom"))</f>
        <v/>
      </c>
      <c r="D712" s="46"/>
      <c r="E712" s="47"/>
      <c r="F712" s="47"/>
      <c r="G712" s="48"/>
      <c r="H712" s="49"/>
      <c r="I712" s="50"/>
      <c r="J712" s="48"/>
      <c r="K712" s="49"/>
      <c r="L712" s="50"/>
      <c r="M712" s="43" t="str">
        <f aca="false">IF(OR($L712="",$F712=""),"",IFERROR($L712/INDEX(Cadastro!$E$6:$E$8,MATCH($F712,Cadastro!$B$6:$B$8,0)),""))</f>
        <v/>
      </c>
      <c r="N712" s="43" t="str">
        <f aca="false">IF(OR($L712="",$I712="",$I712=0),"",$L712/$I712)</f>
        <v/>
      </c>
      <c r="O712" s="51"/>
    </row>
    <row r="713" customFormat="false" ht="15" hidden="false" customHeight="false" outlineLevel="0" collapsed="false">
      <c r="A713" s="45"/>
      <c r="B713" s="37" t="str">
        <f aca="false">IF($A713="","",WEEKNUM($A713,2))</f>
        <v/>
      </c>
      <c r="C713" s="37" t="str">
        <f aca="false">IF($A713="","",CHOOSE(WEEKDAY($A713,2),"Seg","Ter","Qua","Qui","Sex","Sáb","Dom"))</f>
        <v/>
      </c>
      <c r="D713" s="46"/>
      <c r="E713" s="47"/>
      <c r="F713" s="47"/>
      <c r="G713" s="48"/>
      <c r="H713" s="49"/>
      <c r="I713" s="50"/>
      <c r="J713" s="48"/>
      <c r="K713" s="49"/>
      <c r="L713" s="50"/>
      <c r="M713" s="43" t="str">
        <f aca="false">IF(OR($L713="",$F713=""),"",IFERROR($L713/INDEX(Cadastro!$E$6:$E$8,MATCH($F713,Cadastro!$B$6:$B$8,0)),""))</f>
        <v/>
      </c>
      <c r="N713" s="43" t="str">
        <f aca="false">IF(OR($L713="",$I713="",$I713=0),"",$L713/$I713)</f>
        <v/>
      </c>
      <c r="O713" s="51"/>
    </row>
    <row r="714" customFormat="false" ht="15" hidden="false" customHeight="false" outlineLevel="0" collapsed="false">
      <c r="A714" s="45"/>
      <c r="B714" s="37" t="str">
        <f aca="false">IF($A714="","",WEEKNUM($A714,2))</f>
        <v/>
      </c>
      <c r="C714" s="37" t="str">
        <f aca="false">IF($A714="","",CHOOSE(WEEKDAY($A714,2),"Seg","Ter","Qua","Qui","Sex","Sáb","Dom"))</f>
        <v/>
      </c>
      <c r="D714" s="46"/>
      <c r="E714" s="47"/>
      <c r="F714" s="47"/>
      <c r="G714" s="48"/>
      <c r="H714" s="49"/>
      <c r="I714" s="50"/>
      <c r="J714" s="48"/>
      <c r="K714" s="49"/>
      <c r="L714" s="50"/>
      <c r="M714" s="43" t="str">
        <f aca="false">IF(OR($L714="",$F714=""),"",IFERROR($L714/INDEX(Cadastro!$E$6:$E$8,MATCH($F714,Cadastro!$B$6:$B$8,0)),""))</f>
        <v/>
      </c>
      <c r="N714" s="43" t="str">
        <f aca="false">IF(OR($L714="",$I714="",$I714=0),"",$L714/$I714)</f>
        <v/>
      </c>
      <c r="O714" s="51"/>
    </row>
    <row r="715" customFormat="false" ht="15" hidden="false" customHeight="false" outlineLevel="0" collapsed="false">
      <c r="A715" s="45"/>
      <c r="B715" s="37" t="str">
        <f aca="false">IF($A715="","",WEEKNUM($A715,2))</f>
        <v/>
      </c>
      <c r="C715" s="37" t="str">
        <f aca="false">IF($A715="","",CHOOSE(WEEKDAY($A715,2),"Seg","Ter","Qua","Qui","Sex","Sáb","Dom"))</f>
        <v/>
      </c>
      <c r="D715" s="46"/>
      <c r="E715" s="47"/>
      <c r="F715" s="47"/>
      <c r="G715" s="48"/>
      <c r="H715" s="49"/>
      <c r="I715" s="50"/>
      <c r="J715" s="48"/>
      <c r="K715" s="49"/>
      <c r="L715" s="50"/>
      <c r="M715" s="43" t="str">
        <f aca="false">IF(OR($L715="",$F715=""),"",IFERROR($L715/INDEX(Cadastro!$E$6:$E$8,MATCH($F715,Cadastro!$B$6:$B$8,0)),""))</f>
        <v/>
      </c>
      <c r="N715" s="43" t="str">
        <f aca="false">IF(OR($L715="",$I715="",$I715=0),"",$L715/$I715)</f>
        <v/>
      </c>
      <c r="O715" s="51"/>
    </row>
    <row r="716" customFormat="false" ht="15" hidden="false" customHeight="false" outlineLevel="0" collapsed="false">
      <c r="A716" s="45"/>
      <c r="B716" s="37" t="str">
        <f aca="false">IF($A716="","",WEEKNUM($A716,2))</f>
        <v/>
      </c>
      <c r="C716" s="37" t="str">
        <f aca="false">IF($A716="","",CHOOSE(WEEKDAY($A716,2),"Seg","Ter","Qua","Qui","Sex","Sáb","Dom"))</f>
        <v/>
      </c>
      <c r="D716" s="46"/>
      <c r="E716" s="47"/>
      <c r="F716" s="47"/>
      <c r="G716" s="48"/>
      <c r="H716" s="49"/>
      <c r="I716" s="50"/>
      <c r="J716" s="48"/>
      <c r="K716" s="49"/>
      <c r="L716" s="50"/>
      <c r="M716" s="43" t="str">
        <f aca="false">IF(OR($L716="",$F716=""),"",IFERROR($L716/INDEX(Cadastro!$E$6:$E$8,MATCH($F716,Cadastro!$B$6:$B$8,0)),""))</f>
        <v/>
      </c>
      <c r="N716" s="43" t="str">
        <f aca="false">IF(OR($L716="",$I716="",$I716=0),"",$L716/$I716)</f>
        <v/>
      </c>
      <c r="O716" s="51"/>
    </row>
    <row r="717" customFormat="false" ht="15" hidden="false" customHeight="false" outlineLevel="0" collapsed="false">
      <c r="A717" s="45"/>
      <c r="B717" s="37" t="str">
        <f aca="false">IF($A717="","",WEEKNUM($A717,2))</f>
        <v/>
      </c>
      <c r="C717" s="37" t="str">
        <f aca="false">IF($A717="","",CHOOSE(WEEKDAY($A717,2),"Seg","Ter","Qua","Qui","Sex","Sáb","Dom"))</f>
        <v/>
      </c>
      <c r="D717" s="46"/>
      <c r="E717" s="47"/>
      <c r="F717" s="47"/>
      <c r="G717" s="48"/>
      <c r="H717" s="49"/>
      <c r="I717" s="50"/>
      <c r="J717" s="48"/>
      <c r="K717" s="49"/>
      <c r="L717" s="50"/>
      <c r="M717" s="43" t="str">
        <f aca="false">IF(OR($L717="",$F717=""),"",IFERROR($L717/INDEX(Cadastro!$E$6:$E$8,MATCH($F717,Cadastro!$B$6:$B$8,0)),""))</f>
        <v/>
      </c>
      <c r="N717" s="43" t="str">
        <f aca="false">IF(OR($L717="",$I717="",$I717=0),"",$L717/$I717)</f>
        <v/>
      </c>
      <c r="O717" s="51"/>
    </row>
    <row r="718" customFormat="false" ht="15" hidden="false" customHeight="false" outlineLevel="0" collapsed="false">
      <c r="A718" s="45"/>
      <c r="B718" s="37" t="str">
        <f aca="false">IF($A718="","",WEEKNUM($A718,2))</f>
        <v/>
      </c>
      <c r="C718" s="37" t="str">
        <f aca="false">IF($A718="","",CHOOSE(WEEKDAY($A718,2),"Seg","Ter","Qua","Qui","Sex","Sáb","Dom"))</f>
        <v/>
      </c>
      <c r="D718" s="46"/>
      <c r="E718" s="47"/>
      <c r="F718" s="47"/>
      <c r="G718" s="48"/>
      <c r="H718" s="49"/>
      <c r="I718" s="50"/>
      <c r="J718" s="48"/>
      <c r="K718" s="49"/>
      <c r="L718" s="50"/>
      <c r="M718" s="43" t="str">
        <f aca="false">IF(OR($L718="",$F718=""),"",IFERROR($L718/INDEX(Cadastro!$E$6:$E$8,MATCH($F718,Cadastro!$B$6:$B$8,0)),""))</f>
        <v/>
      </c>
      <c r="N718" s="43" t="str">
        <f aca="false">IF(OR($L718="",$I718="",$I718=0),"",$L718/$I718)</f>
        <v/>
      </c>
      <c r="O718" s="51"/>
    </row>
    <row r="719" customFormat="false" ht="15" hidden="false" customHeight="false" outlineLevel="0" collapsed="false">
      <c r="A719" s="45"/>
      <c r="B719" s="37" t="str">
        <f aca="false">IF($A719="","",WEEKNUM($A719,2))</f>
        <v/>
      </c>
      <c r="C719" s="37" t="str">
        <f aca="false">IF($A719="","",CHOOSE(WEEKDAY($A719,2),"Seg","Ter","Qua","Qui","Sex","Sáb","Dom"))</f>
        <v/>
      </c>
      <c r="D719" s="46"/>
      <c r="E719" s="47"/>
      <c r="F719" s="47"/>
      <c r="G719" s="48"/>
      <c r="H719" s="49"/>
      <c r="I719" s="50"/>
      <c r="J719" s="48"/>
      <c r="K719" s="49"/>
      <c r="L719" s="50"/>
      <c r="M719" s="43" t="str">
        <f aca="false">IF(OR($L719="",$F719=""),"",IFERROR($L719/INDEX(Cadastro!$E$6:$E$8,MATCH($F719,Cadastro!$B$6:$B$8,0)),""))</f>
        <v/>
      </c>
      <c r="N719" s="43" t="str">
        <f aca="false">IF(OR($L719="",$I719="",$I719=0),"",$L719/$I719)</f>
        <v/>
      </c>
      <c r="O719" s="51"/>
    </row>
    <row r="720" customFormat="false" ht="15" hidden="false" customHeight="false" outlineLevel="0" collapsed="false">
      <c r="A720" s="45"/>
      <c r="B720" s="37" t="str">
        <f aca="false">IF($A720="","",WEEKNUM($A720,2))</f>
        <v/>
      </c>
      <c r="C720" s="37" t="str">
        <f aca="false">IF($A720="","",CHOOSE(WEEKDAY($A720,2),"Seg","Ter","Qua","Qui","Sex","Sáb","Dom"))</f>
        <v/>
      </c>
      <c r="D720" s="46"/>
      <c r="E720" s="47"/>
      <c r="F720" s="47"/>
      <c r="G720" s="48"/>
      <c r="H720" s="49"/>
      <c r="I720" s="50"/>
      <c r="J720" s="48"/>
      <c r="K720" s="49"/>
      <c r="L720" s="50"/>
      <c r="M720" s="43" t="str">
        <f aca="false">IF(OR($L720="",$F720=""),"",IFERROR($L720/INDEX(Cadastro!$E$6:$E$8,MATCH($F720,Cadastro!$B$6:$B$8,0)),""))</f>
        <v/>
      </c>
      <c r="N720" s="43" t="str">
        <f aca="false">IF(OR($L720="",$I720="",$I720=0),"",$L720/$I720)</f>
        <v/>
      </c>
      <c r="O720" s="51"/>
    </row>
    <row r="721" customFormat="false" ht="15" hidden="false" customHeight="false" outlineLevel="0" collapsed="false">
      <c r="A721" s="45"/>
      <c r="B721" s="37" t="str">
        <f aca="false">IF($A721="","",WEEKNUM($A721,2))</f>
        <v/>
      </c>
      <c r="C721" s="37" t="str">
        <f aca="false">IF($A721="","",CHOOSE(WEEKDAY($A721,2),"Seg","Ter","Qua","Qui","Sex","Sáb","Dom"))</f>
        <v/>
      </c>
      <c r="D721" s="46"/>
      <c r="E721" s="47"/>
      <c r="F721" s="47"/>
      <c r="G721" s="48"/>
      <c r="H721" s="49"/>
      <c r="I721" s="50"/>
      <c r="J721" s="48"/>
      <c r="K721" s="49"/>
      <c r="L721" s="50"/>
      <c r="M721" s="43" t="str">
        <f aca="false">IF(OR($L721="",$F721=""),"",IFERROR($L721/INDEX(Cadastro!$E$6:$E$8,MATCH($F721,Cadastro!$B$6:$B$8,0)),""))</f>
        <v/>
      </c>
      <c r="N721" s="43" t="str">
        <f aca="false">IF(OR($L721="",$I721="",$I721=0),"",$L721/$I721)</f>
        <v/>
      </c>
      <c r="O721" s="51"/>
    </row>
    <row r="722" customFormat="false" ht="15" hidden="false" customHeight="false" outlineLevel="0" collapsed="false">
      <c r="A722" s="45"/>
      <c r="B722" s="37" t="str">
        <f aca="false">IF($A722="","",WEEKNUM($A722,2))</f>
        <v/>
      </c>
      <c r="C722" s="37" t="str">
        <f aca="false">IF($A722="","",CHOOSE(WEEKDAY($A722,2),"Seg","Ter","Qua","Qui","Sex","Sáb","Dom"))</f>
        <v/>
      </c>
      <c r="D722" s="46"/>
      <c r="E722" s="47"/>
      <c r="F722" s="47"/>
      <c r="G722" s="48"/>
      <c r="H722" s="49"/>
      <c r="I722" s="50"/>
      <c r="J722" s="48"/>
      <c r="K722" s="49"/>
      <c r="L722" s="50"/>
      <c r="M722" s="43" t="str">
        <f aca="false">IF(OR($L722="",$F722=""),"",IFERROR($L722/INDEX(Cadastro!$E$6:$E$8,MATCH($F722,Cadastro!$B$6:$B$8,0)),""))</f>
        <v/>
      </c>
      <c r="N722" s="43" t="str">
        <f aca="false">IF(OR($L722="",$I722="",$I722=0),"",$L722/$I722)</f>
        <v/>
      </c>
      <c r="O722" s="51"/>
    </row>
    <row r="723" customFormat="false" ht="15" hidden="false" customHeight="false" outlineLevel="0" collapsed="false">
      <c r="A723" s="45"/>
      <c r="B723" s="37" t="str">
        <f aca="false">IF($A723="","",WEEKNUM($A723,2))</f>
        <v/>
      </c>
      <c r="C723" s="37" t="str">
        <f aca="false">IF($A723="","",CHOOSE(WEEKDAY($A723,2),"Seg","Ter","Qua","Qui","Sex","Sáb","Dom"))</f>
        <v/>
      </c>
      <c r="D723" s="46"/>
      <c r="E723" s="47"/>
      <c r="F723" s="47"/>
      <c r="G723" s="48"/>
      <c r="H723" s="49"/>
      <c r="I723" s="50"/>
      <c r="J723" s="48"/>
      <c r="K723" s="49"/>
      <c r="L723" s="50"/>
      <c r="M723" s="43" t="str">
        <f aca="false">IF(OR($L723="",$F723=""),"",IFERROR($L723/INDEX(Cadastro!$E$6:$E$8,MATCH($F723,Cadastro!$B$6:$B$8,0)),""))</f>
        <v/>
      </c>
      <c r="N723" s="43" t="str">
        <f aca="false">IF(OR($L723="",$I723="",$I723=0),"",$L723/$I723)</f>
        <v/>
      </c>
      <c r="O723" s="51"/>
    </row>
    <row r="724" customFormat="false" ht="15" hidden="false" customHeight="false" outlineLevel="0" collapsed="false">
      <c r="A724" s="45"/>
      <c r="B724" s="37" t="str">
        <f aca="false">IF($A724="","",WEEKNUM($A724,2))</f>
        <v/>
      </c>
      <c r="C724" s="37" t="str">
        <f aca="false">IF($A724="","",CHOOSE(WEEKDAY($A724,2),"Seg","Ter","Qua","Qui","Sex","Sáb","Dom"))</f>
        <v/>
      </c>
      <c r="D724" s="46"/>
      <c r="E724" s="47"/>
      <c r="F724" s="47"/>
      <c r="G724" s="48"/>
      <c r="H724" s="49"/>
      <c r="I724" s="50"/>
      <c r="J724" s="48"/>
      <c r="K724" s="49"/>
      <c r="L724" s="50"/>
      <c r="M724" s="43" t="str">
        <f aca="false">IF(OR($L724="",$F724=""),"",IFERROR($L724/INDEX(Cadastro!$E$6:$E$8,MATCH($F724,Cadastro!$B$6:$B$8,0)),""))</f>
        <v/>
      </c>
      <c r="N724" s="43" t="str">
        <f aca="false">IF(OR($L724="",$I724="",$I724=0),"",$L724/$I724)</f>
        <v/>
      </c>
      <c r="O724" s="51"/>
    </row>
    <row r="725" customFormat="false" ht="15" hidden="false" customHeight="false" outlineLevel="0" collapsed="false">
      <c r="A725" s="45"/>
      <c r="B725" s="37" t="str">
        <f aca="false">IF($A725="","",WEEKNUM($A725,2))</f>
        <v/>
      </c>
      <c r="C725" s="37" t="str">
        <f aca="false">IF($A725="","",CHOOSE(WEEKDAY($A725,2),"Seg","Ter","Qua","Qui","Sex","Sáb","Dom"))</f>
        <v/>
      </c>
      <c r="D725" s="46"/>
      <c r="E725" s="47"/>
      <c r="F725" s="47"/>
      <c r="G725" s="48"/>
      <c r="H725" s="49"/>
      <c r="I725" s="50"/>
      <c r="J725" s="48"/>
      <c r="K725" s="49"/>
      <c r="L725" s="50"/>
      <c r="M725" s="43" t="str">
        <f aca="false">IF(OR($L725="",$F725=""),"",IFERROR($L725/INDEX(Cadastro!$E$6:$E$8,MATCH($F725,Cadastro!$B$6:$B$8,0)),""))</f>
        <v/>
      </c>
      <c r="N725" s="43" t="str">
        <f aca="false">IF(OR($L725="",$I725="",$I725=0),"",$L725/$I725)</f>
        <v/>
      </c>
      <c r="O725" s="51"/>
    </row>
    <row r="726" customFormat="false" ht="15" hidden="false" customHeight="false" outlineLevel="0" collapsed="false">
      <c r="A726" s="45"/>
      <c r="B726" s="37" t="str">
        <f aca="false">IF($A726="","",WEEKNUM($A726,2))</f>
        <v/>
      </c>
      <c r="C726" s="37" t="str">
        <f aca="false">IF($A726="","",CHOOSE(WEEKDAY($A726,2),"Seg","Ter","Qua","Qui","Sex","Sáb","Dom"))</f>
        <v/>
      </c>
      <c r="D726" s="46"/>
      <c r="E726" s="47"/>
      <c r="F726" s="47"/>
      <c r="G726" s="48"/>
      <c r="H726" s="49"/>
      <c r="I726" s="50"/>
      <c r="J726" s="48"/>
      <c r="K726" s="49"/>
      <c r="L726" s="50"/>
      <c r="M726" s="43" t="str">
        <f aca="false">IF(OR($L726="",$F726=""),"",IFERROR($L726/INDEX(Cadastro!$E$6:$E$8,MATCH($F726,Cadastro!$B$6:$B$8,0)),""))</f>
        <v/>
      </c>
      <c r="N726" s="43" t="str">
        <f aca="false">IF(OR($L726="",$I726="",$I726=0),"",$L726/$I726)</f>
        <v/>
      </c>
      <c r="O726" s="51"/>
    </row>
    <row r="727" customFormat="false" ht="15" hidden="false" customHeight="false" outlineLevel="0" collapsed="false">
      <c r="A727" s="45"/>
      <c r="B727" s="37" t="str">
        <f aca="false">IF($A727="","",WEEKNUM($A727,2))</f>
        <v/>
      </c>
      <c r="C727" s="37" t="str">
        <f aca="false">IF($A727="","",CHOOSE(WEEKDAY($A727,2),"Seg","Ter","Qua","Qui","Sex","Sáb","Dom"))</f>
        <v/>
      </c>
      <c r="D727" s="46"/>
      <c r="E727" s="47"/>
      <c r="F727" s="47"/>
      <c r="G727" s="48"/>
      <c r="H727" s="49"/>
      <c r="I727" s="50"/>
      <c r="J727" s="48"/>
      <c r="K727" s="49"/>
      <c r="L727" s="50"/>
      <c r="M727" s="43" t="str">
        <f aca="false">IF(OR($L727="",$F727=""),"",IFERROR($L727/INDEX(Cadastro!$E$6:$E$8,MATCH($F727,Cadastro!$B$6:$B$8,0)),""))</f>
        <v/>
      </c>
      <c r="N727" s="43" t="str">
        <f aca="false">IF(OR($L727="",$I727="",$I727=0),"",$L727/$I727)</f>
        <v/>
      </c>
      <c r="O727" s="51"/>
    </row>
    <row r="728" customFormat="false" ht="15" hidden="false" customHeight="false" outlineLevel="0" collapsed="false">
      <c r="A728" s="45"/>
      <c r="B728" s="37" t="str">
        <f aca="false">IF($A728="","",WEEKNUM($A728,2))</f>
        <v/>
      </c>
      <c r="C728" s="37" t="str">
        <f aca="false">IF($A728="","",CHOOSE(WEEKDAY($A728,2),"Seg","Ter","Qua","Qui","Sex","Sáb","Dom"))</f>
        <v/>
      </c>
      <c r="D728" s="46"/>
      <c r="E728" s="47"/>
      <c r="F728" s="47"/>
      <c r="G728" s="48"/>
      <c r="H728" s="49"/>
      <c r="I728" s="50"/>
      <c r="J728" s="48"/>
      <c r="K728" s="49"/>
      <c r="L728" s="50"/>
      <c r="M728" s="43" t="str">
        <f aca="false">IF(OR($L728="",$F728=""),"",IFERROR($L728/INDEX(Cadastro!$E$6:$E$8,MATCH($F728,Cadastro!$B$6:$B$8,0)),""))</f>
        <v/>
      </c>
      <c r="N728" s="43" t="str">
        <f aca="false">IF(OR($L728="",$I728="",$I728=0),"",$L728/$I728)</f>
        <v/>
      </c>
      <c r="O728" s="51"/>
    </row>
    <row r="729" customFormat="false" ht="15" hidden="false" customHeight="false" outlineLevel="0" collapsed="false">
      <c r="A729" s="45"/>
      <c r="B729" s="37" t="str">
        <f aca="false">IF($A729="","",WEEKNUM($A729,2))</f>
        <v/>
      </c>
      <c r="C729" s="37" t="str">
        <f aca="false">IF($A729="","",CHOOSE(WEEKDAY($A729,2),"Seg","Ter","Qua","Qui","Sex","Sáb","Dom"))</f>
        <v/>
      </c>
      <c r="D729" s="46"/>
      <c r="E729" s="47"/>
      <c r="F729" s="47"/>
      <c r="G729" s="48"/>
      <c r="H729" s="49"/>
      <c r="I729" s="50"/>
      <c r="J729" s="48"/>
      <c r="K729" s="49"/>
      <c r="L729" s="50"/>
      <c r="M729" s="43" t="str">
        <f aca="false">IF(OR($L729="",$F729=""),"",IFERROR($L729/INDEX(Cadastro!$E$6:$E$8,MATCH($F729,Cadastro!$B$6:$B$8,0)),""))</f>
        <v/>
      </c>
      <c r="N729" s="43" t="str">
        <f aca="false">IF(OR($L729="",$I729="",$I729=0),"",$L729/$I729)</f>
        <v/>
      </c>
      <c r="O729" s="51"/>
    </row>
    <row r="730" customFormat="false" ht="15" hidden="false" customHeight="false" outlineLevel="0" collapsed="false">
      <c r="A730" s="45"/>
      <c r="B730" s="37" t="str">
        <f aca="false">IF($A730="","",WEEKNUM($A730,2))</f>
        <v/>
      </c>
      <c r="C730" s="37" t="str">
        <f aca="false">IF($A730="","",CHOOSE(WEEKDAY($A730,2),"Seg","Ter","Qua","Qui","Sex","Sáb","Dom"))</f>
        <v/>
      </c>
      <c r="D730" s="46"/>
      <c r="E730" s="47"/>
      <c r="F730" s="47"/>
      <c r="G730" s="48"/>
      <c r="H730" s="49"/>
      <c r="I730" s="50"/>
      <c r="J730" s="48"/>
      <c r="K730" s="49"/>
      <c r="L730" s="50"/>
      <c r="M730" s="43" t="str">
        <f aca="false">IF(OR($L730="",$F730=""),"",IFERROR($L730/INDEX(Cadastro!$E$6:$E$8,MATCH($F730,Cadastro!$B$6:$B$8,0)),""))</f>
        <v/>
      </c>
      <c r="N730" s="43" t="str">
        <f aca="false">IF(OR($L730="",$I730="",$I730=0),"",$L730/$I730)</f>
        <v/>
      </c>
      <c r="O730" s="51"/>
    </row>
    <row r="731" customFormat="false" ht="15" hidden="false" customHeight="false" outlineLevel="0" collapsed="false">
      <c r="A731" s="45"/>
      <c r="B731" s="37" t="str">
        <f aca="false">IF($A731="","",WEEKNUM($A731,2))</f>
        <v/>
      </c>
      <c r="C731" s="37" t="str">
        <f aca="false">IF($A731="","",CHOOSE(WEEKDAY($A731,2),"Seg","Ter","Qua","Qui","Sex","Sáb","Dom"))</f>
        <v/>
      </c>
      <c r="D731" s="46"/>
      <c r="E731" s="47"/>
      <c r="F731" s="47"/>
      <c r="G731" s="48"/>
      <c r="H731" s="49"/>
      <c r="I731" s="50"/>
      <c r="J731" s="48"/>
      <c r="K731" s="49"/>
      <c r="L731" s="50"/>
      <c r="M731" s="43" t="str">
        <f aca="false">IF(OR($L731="",$F731=""),"",IFERROR($L731/INDEX(Cadastro!$E$6:$E$8,MATCH($F731,Cadastro!$B$6:$B$8,0)),""))</f>
        <v/>
      </c>
      <c r="N731" s="43" t="str">
        <f aca="false">IF(OR($L731="",$I731="",$I731=0),"",$L731/$I731)</f>
        <v/>
      </c>
      <c r="O731" s="51"/>
    </row>
    <row r="732" customFormat="false" ht="15" hidden="false" customHeight="false" outlineLevel="0" collapsed="false">
      <c r="A732" s="45"/>
      <c r="B732" s="37" t="str">
        <f aca="false">IF($A732="","",WEEKNUM($A732,2))</f>
        <v/>
      </c>
      <c r="C732" s="37" t="str">
        <f aca="false">IF($A732="","",CHOOSE(WEEKDAY($A732,2),"Seg","Ter","Qua","Qui","Sex","Sáb","Dom"))</f>
        <v/>
      </c>
      <c r="D732" s="46"/>
      <c r="E732" s="47"/>
      <c r="F732" s="47"/>
      <c r="G732" s="48"/>
      <c r="H732" s="49"/>
      <c r="I732" s="50"/>
      <c r="J732" s="48"/>
      <c r="K732" s="49"/>
      <c r="L732" s="50"/>
      <c r="M732" s="43" t="str">
        <f aca="false">IF(OR($L732="",$F732=""),"",IFERROR($L732/INDEX(Cadastro!$E$6:$E$8,MATCH($F732,Cadastro!$B$6:$B$8,0)),""))</f>
        <v/>
      </c>
      <c r="N732" s="43" t="str">
        <f aca="false">IF(OR($L732="",$I732="",$I732=0),"",$L732/$I732)</f>
        <v/>
      </c>
      <c r="O732" s="51"/>
    </row>
    <row r="733" customFormat="false" ht="15" hidden="false" customHeight="false" outlineLevel="0" collapsed="false">
      <c r="A733" s="45"/>
      <c r="B733" s="37" t="str">
        <f aca="false">IF($A733="","",WEEKNUM($A733,2))</f>
        <v/>
      </c>
      <c r="C733" s="37" t="str">
        <f aca="false">IF($A733="","",CHOOSE(WEEKDAY($A733,2),"Seg","Ter","Qua","Qui","Sex","Sáb","Dom"))</f>
        <v/>
      </c>
      <c r="D733" s="46"/>
      <c r="E733" s="47"/>
      <c r="F733" s="47"/>
      <c r="G733" s="48"/>
      <c r="H733" s="49"/>
      <c r="I733" s="50"/>
      <c r="J733" s="48"/>
      <c r="K733" s="49"/>
      <c r="L733" s="50"/>
      <c r="M733" s="43" t="str">
        <f aca="false">IF(OR($L733="",$F733=""),"",IFERROR($L733/INDEX(Cadastro!$E$6:$E$8,MATCH($F733,Cadastro!$B$6:$B$8,0)),""))</f>
        <v/>
      </c>
      <c r="N733" s="43" t="str">
        <f aca="false">IF(OR($L733="",$I733="",$I733=0),"",$L733/$I733)</f>
        <v/>
      </c>
      <c r="O733" s="51"/>
    </row>
    <row r="734" customFormat="false" ht="15" hidden="false" customHeight="false" outlineLevel="0" collapsed="false">
      <c r="A734" s="45"/>
      <c r="B734" s="37" t="str">
        <f aca="false">IF($A734="","",WEEKNUM($A734,2))</f>
        <v/>
      </c>
      <c r="C734" s="37" t="str">
        <f aca="false">IF($A734="","",CHOOSE(WEEKDAY($A734,2),"Seg","Ter","Qua","Qui","Sex","Sáb","Dom"))</f>
        <v/>
      </c>
      <c r="D734" s="46"/>
      <c r="E734" s="47"/>
      <c r="F734" s="47"/>
      <c r="G734" s="48"/>
      <c r="H734" s="49"/>
      <c r="I734" s="50"/>
      <c r="J734" s="48"/>
      <c r="K734" s="49"/>
      <c r="L734" s="50"/>
      <c r="M734" s="43" t="str">
        <f aca="false">IF(OR($L734="",$F734=""),"",IFERROR($L734/INDEX(Cadastro!$E$6:$E$8,MATCH($F734,Cadastro!$B$6:$B$8,0)),""))</f>
        <v/>
      </c>
      <c r="N734" s="43" t="str">
        <f aca="false">IF(OR($L734="",$I734="",$I734=0),"",$L734/$I734)</f>
        <v/>
      </c>
      <c r="O734" s="51"/>
    </row>
    <row r="735" customFormat="false" ht="15" hidden="false" customHeight="false" outlineLevel="0" collapsed="false">
      <c r="A735" s="45"/>
      <c r="B735" s="37" t="str">
        <f aca="false">IF($A735="","",WEEKNUM($A735,2))</f>
        <v/>
      </c>
      <c r="C735" s="37" t="str">
        <f aca="false">IF($A735="","",CHOOSE(WEEKDAY($A735,2),"Seg","Ter","Qua","Qui","Sex","Sáb","Dom"))</f>
        <v/>
      </c>
      <c r="D735" s="46"/>
      <c r="E735" s="47"/>
      <c r="F735" s="47"/>
      <c r="G735" s="48"/>
      <c r="H735" s="49"/>
      <c r="I735" s="50"/>
      <c r="J735" s="48"/>
      <c r="K735" s="49"/>
      <c r="L735" s="50"/>
      <c r="M735" s="43" t="str">
        <f aca="false">IF(OR($L735="",$F735=""),"",IFERROR($L735/INDEX(Cadastro!$E$6:$E$8,MATCH($F735,Cadastro!$B$6:$B$8,0)),""))</f>
        <v/>
      </c>
      <c r="N735" s="43" t="str">
        <f aca="false">IF(OR($L735="",$I735="",$I735=0),"",$L735/$I735)</f>
        <v/>
      </c>
      <c r="O735" s="51"/>
    </row>
    <row r="736" customFormat="false" ht="15" hidden="false" customHeight="false" outlineLevel="0" collapsed="false">
      <c r="A736" s="45"/>
      <c r="B736" s="37" t="str">
        <f aca="false">IF($A736="","",WEEKNUM($A736,2))</f>
        <v/>
      </c>
      <c r="C736" s="37" t="str">
        <f aca="false">IF($A736="","",CHOOSE(WEEKDAY($A736,2),"Seg","Ter","Qua","Qui","Sex","Sáb","Dom"))</f>
        <v/>
      </c>
      <c r="D736" s="46"/>
      <c r="E736" s="47"/>
      <c r="F736" s="47"/>
      <c r="G736" s="48"/>
      <c r="H736" s="49"/>
      <c r="I736" s="50"/>
      <c r="J736" s="48"/>
      <c r="K736" s="49"/>
      <c r="L736" s="50"/>
      <c r="M736" s="43" t="str">
        <f aca="false">IF(OR($L736="",$F736=""),"",IFERROR($L736/INDEX(Cadastro!$E$6:$E$8,MATCH($F736,Cadastro!$B$6:$B$8,0)),""))</f>
        <v/>
      </c>
      <c r="N736" s="43" t="str">
        <f aca="false">IF(OR($L736="",$I736="",$I736=0),"",$L736/$I736)</f>
        <v/>
      </c>
      <c r="O736" s="51"/>
    </row>
    <row r="737" customFormat="false" ht="15" hidden="false" customHeight="false" outlineLevel="0" collapsed="false">
      <c r="A737" s="45"/>
      <c r="B737" s="37" t="str">
        <f aca="false">IF($A737="","",WEEKNUM($A737,2))</f>
        <v/>
      </c>
      <c r="C737" s="37" t="str">
        <f aca="false">IF($A737="","",CHOOSE(WEEKDAY($A737,2),"Seg","Ter","Qua","Qui","Sex","Sáb","Dom"))</f>
        <v/>
      </c>
      <c r="D737" s="46"/>
      <c r="E737" s="47"/>
      <c r="F737" s="47"/>
      <c r="G737" s="48"/>
      <c r="H737" s="49"/>
      <c r="I737" s="50"/>
      <c r="J737" s="48"/>
      <c r="K737" s="49"/>
      <c r="L737" s="50"/>
      <c r="M737" s="43" t="str">
        <f aca="false">IF(OR($L737="",$F737=""),"",IFERROR($L737/INDEX(Cadastro!$E$6:$E$8,MATCH($F737,Cadastro!$B$6:$B$8,0)),""))</f>
        <v/>
      </c>
      <c r="N737" s="43" t="str">
        <f aca="false">IF(OR($L737="",$I737="",$I737=0),"",$L737/$I737)</f>
        <v/>
      </c>
      <c r="O737" s="51"/>
    </row>
    <row r="738" customFormat="false" ht="15" hidden="false" customHeight="false" outlineLevel="0" collapsed="false">
      <c r="A738" s="45"/>
      <c r="B738" s="37" t="str">
        <f aca="false">IF($A738="","",WEEKNUM($A738,2))</f>
        <v/>
      </c>
      <c r="C738" s="37" t="str">
        <f aca="false">IF($A738="","",CHOOSE(WEEKDAY($A738,2),"Seg","Ter","Qua","Qui","Sex","Sáb","Dom"))</f>
        <v/>
      </c>
      <c r="D738" s="46"/>
      <c r="E738" s="47"/>
      <c r="F738" s="47"/>
      <c r="G738" s="48"/>
      <c r="H738" s="49"/>
      <c r="I738" s="50"/>
      <c r="J738" s="48"/>
      <c r="K738" s="49"/>
      <c r="L738" s="50"/>
      <c r="M738" s="43" t="str">
        <f aca="false">IF(OR($L738="",$F738=""),"",IFERROR($L738/INDEX(Cadastro!$E$6:$E$8,MATCH($F738,Cadastro!$B$6:$B$8,0)),""))</f>
        <v/>
      </c>
      <c r="N738" s="43" t="str">
        <f aca="false">IF(OR($L738="",$I738="",$I738=0),"",$L738/$I738)</f>
        <v/>
      </c>
      <c r="O738" s="51"/>
    </row>
    <row r="739" customFormat="false" ht="15" hidden="false" customHeight="false" outlineLevel="0" collapsed="false">
      <c r="A739" s="45"/>
      <c r="B739" s="37" t="str">
        <f aca="false">IF($A739="","",WEEKNUM($A739,2))</f>
        <v/>
      </c>
      <c r="C739" s="37" t="str">
        <f aca="false">IF($A739="","",CHOOSE(WEEKDAY($A739,2),"Seg","Ter","Qua","Qui","Sex","Sáb","Dom"))</f>
        <v/>
      </c>
      <c r="D739" s="46"/>
      <c r="E739" s="47"/>
      <c r="F739" s="47"/>
      <c r="G739" s="48"/>
      <c r="H739" s="49"/>
      <c r="I739" s="50"/>
      <c r="J739" s="48"/>
      <c r="K739" s="49"/>
      <c r="L739" s="50"/>
      <c r="M739" s="43" t="str">
        <f aca="false">IF(OR($L739="",$F739=""),"",IFERROR($L739/INDEX(Cadastro!$E$6:$E$8,MATCH($F739,Cadastro!$B$6:$B$8,0)),""))</f>
        <v/>
      </c>
      <c r="N739" s="43" t="str">
        <f aca="false">IF(OR($L739="",$I739="",$I739=0),"",$L739/$I739)</f>
        <v/>
      </c>
      <c r="O739" s="51"/>
    </row>
    <row r="740" customFormat="false" ht="15" hidden="false" customHeight="false" outlineLevel="0" collapsed="false">
      <c r="A740" s="45"/>
      <c r="B740" s="37" t="str">
        <f aca="false">IF($A740="","",WEEKNUM($A740,2))</f>
        <v/>
      </c>
      <c r="C740" s="37" t="str">
        <f aca="false">IF($A740="","",CHOOSE(WEEKDAY($A740,2),"Seg","Ter","Qua","Qui","Sex","Sáb","Dom"))</f>
        <v/>
      </c>
      <c r="D740" s="46"/>
      <c r="E740" s="47"/>
      <c r="F740" s="47"/>
      <c r="G740" s="48"/>
      <c r="H740" s="49"/>
      <c r="I740" s="50"/>
      <c r="J740" s="48"/>
      <c r="K740" s="49"/>
      <c r="L740" s="50"/>
      <c r="M740" s="43" t="str">
        <f aca="false">IF(OR($L740="",$F740=""),"",IFERROR($L740/INDEX(Cadastro!$E$6:$E$8,MATCH($F740,Cadastro!$B$6:$B$8,0)),""))</f>
        <v/>
      </c>
      <c r="N740" s="43" t="str">
        <f aca="false">IF(OR($L740="",$I740="",$I740=0),"",$L740/$I740)</f>
        <v/>
      </c>
      <c r="O740" s="51"/>
    </row>
    <row r="741" customFormat="false" ht="15" hidden="false" customHeight="false" outlineLevel="0" collapsed="false">
      <c r="A741" s="45"/>
      <c r="B741" s="37" t="str">
        <f aca="false">IF($A741="","",WEEKNUM($A741,2))</f>
        <v/>
      </c>
      <c r="C741" s="37" t="str">
        <f aca="false">IF($A741="","",CHOOSE(WEEKDAY($A741,2),"Seg","Ter","Qua","Qui","Sex","Sáb","Dom"))</f>
        <v/>
      </c>
      <c r="D741" s="46"/>
      <c r="E741" s="47"/>
      <c r="F741" s="47"/>
      <c r="G741" s="48"/>
      <c r="H741" s="49"/>
      <c r="I741" s="50"/>
      <c r="J741" s="48"/>
      <c r="K741" s="49"/>
      <c r="L741" s="50"/>
      <c r="M741" s="43" t="str">
        <f aca="false">IF(OR($L741="",$F741=""),"",IFERROR($L741/INDEX(Cadastro!$E$6:$E$8,MATCH($F741,Cadastro!$B$6:$B$8,0)),""))</f>
        <v/>
      </c>
      <c r="N741" s="43" t="str">
        <f aca="false">IF(OR($L741="",$I741="",$I741=0),"",$L741/$I741)</f>
        <v/>
      </c>
      <c r="O741" s="51"/>
    </row>
    <row r="742" customFormat="false" ht="15" hidden="false" customHeight="false" outlineLevel="0" collapsed="false">
      <c r="A742" s="45"/>
      <c r="B742" s="37" t="str">
        <f aca="false">IF($A742="","",WEEKNUM($A742,2))</f>
        <v/>
      </c>
      <c r="C742" s="37" t="str">
        <f aca="false">IF($A742="","",CHOOSE(WEEKDAY($A742,2),"Seg","Ter","Qua","Qui","Sex","Sáb","Dom"))</f>
        <v/>
      </c>
      <c r="D742" s="46"/>
      <c r="E742" s="47"/>
      <c r="F742" s="47"/>
      <c r="G742" s="48"/>
      <c r="H742" s="49"/>
      <c r="I742" s="50"/>
      <c r="J742" s="48"/>
      <c r="K742" s="49"/>
      <c r="L742" s="50"/>
      <c r="M742" s="43" t="str">
        <f aca="false">IF(OR($L742="",$F742=""),"",IFERROR($L742/INDEX(Cadastro!$E$6:$E$8,MATCH($F742,Cadastro!$B$6:$B$8,0)),""))</f>
        <v/>
      </c>
      <c r="N742" s="43" t="str">
        <f aca="false">IF(OR($L742="",$I742="",$I742=0),"",$L742/$I742)</f>
        <v/>
      </c>
      <c r="O742" s="51"/>
    </row>
    <row r="743" customFormat="false" ht="15" hidden="false" customHeight="false" outlineLevel="0" collapsed="false">
      <c r="A743" s="45"/>
      <c r="B743" s="37" t="str">
        <f aca="false">IF($A743="","",WEEKNUM($A743,2))</f>
        <v/>
      </c>
      <c r="C743" s="37" t="str">
        <f aca="false">IF($A743="","",CHOOSE(WEEKDAY($A743,2),"Seg","Ter","Qua","Qui","Sex","Sáb","Dom"))</f>
        <v/>
      </c>
      <c r="D743" s="46"/>
      <c r="E743" s="47"/>
      <c r="F743" s="47"/>
      <c r="G743" s="48"/>
      <c r="H743" s="49"/>
      <c r="I743" s="50"/>
      <c r="J743" s="48"/>
      <c r="K743" s="49"/>
      <c r="L743" s="50"/>
      <c r="M743" s="43" t="str">
        <f aca="false">IF(OR($L743="",$F743=""),"",IFERROR($L743/INDEX(Cadastro!$E$6:$E$8,MATCH($F743,Cadastro!$B$6:$B$8,0)),""))</f>
        <v/>
      </c>
      <c r="N743" s="43" t="str">
        <f aca="false">IF(OR($L743="",$I743="",$I743=0),"",$L743/$I743)</f>
        <v/>
      </c>
      <c r="O743" s="51"/>
    </row>
    <row r="744" customFormat="false" ht="15" hidden="false" customHeight="false" outlineLevel="0" collapsed="false">
      <c r="A744" s="45"/>
      <c r="B744" s="37" t="str">
        <f aca="false">IF($A744="","",WEEKNUM($A744,2))</f>
        <v/>
      </c>
      <c r="C744" s="37" t="str">
        <f aca="false">IF($A744="","",CHOOSE(WEEKDAY($A744,2),"Seg","Ter","Qua","Qui","Sex","Sáb","Dom"))</f>
        <v/>
      </c>
      <c r="D744" s="46"/>
      <c r="E744" s="47"/>
      <c r="F744" s="47"/>
      <c r="G744" s="48"/>
      <c r="H744" s="49"/>
      <c r="I744" s="50"/>
      <c r="J744" s="48"/>
      <c r="K744" s="49"/>
      <c r="L744" s="50"/>
      <c r="M744" s="43" t="str">
        <f aca="false">IF(OR($L744="",$F744=""),"",IFERROR($L744/INDEX(Cadastro!$E$6:$E$8,MATCH($F744,Cadastro!$B$6:$B$8,0)),""))</f>
        <v/>
      </c>
      <c r="N744" s="43" t="str">
        <f aca="false">IF(OR($L744="",$I744="",$I744=0),"",$L744/$I744)</f>
        <v/>
      </c>
      <c r="O744" s="51"/>
    </row>
    <row r="745" customFormat="false" ht="15" hidden="false" customHeight="false" outlineLevel="0" collapsed="false">
      <c r="A745" s="45"/>
      <c r="B745" s="37" t="str">
        <f aca="false">IF($A745="","",WEEKNUM($A745,2))</f>
        <v/>
      </c>
      <c r="C745" s="37" t="str">
        <f aca="false">IF($A745="","",CHOOSE(WEEKDAY($A745,2),"Seg","Ter","Qua","Qui","Sex","Sáb","Dom"))</f>
        <v/>
      </c>
      <c r="D745" s="46"/>
      <c r="E745" s="47"/>
      <c r="F745" s="47"/>
      <c r="G745" s="48"/>
      <c r="H745" s="49"/>
      <c r="I745" s="50"/>
      <c r="J745" s="48"/>
      <c r="K745" s="49"/>
      <c r="L745" s="50"/>
      <c r="M745" s="43" t="str">
        <f aca="false">IF(OR($L745="",$F745=""),"",IFERROR($L745/INDEX(Cadastro!$E$6:$E$8,MATCH($F745,Cadastro!$B$6:$B$8,0)),""))</f>
        <v/>
      </c>
      <c r="N745" s="43" t="str">
        <f aca="false">IF(OR($L745="",$I745="",$I745=0),"",$L745/$I745)</f>
        <v/>
      </c>
      <c r="O745" s="51"/>
    </row>
    <row r="746" customFormat="false" ht="15" hidden="false" customHeight="false" outlineLevel="0" collapsed="false">
      <c r="A746" s="45"/>
      <c r="B746" s="37" t="str">
        <f aca="false">IF($A746="","",WEEKNUM($A746,2))</f>
        <v/>
      </c>
      <c r="C746" s="37" t="str">
        <f aca="false">IF($A746="","",CHOOSE(WEEKDAY($A746,2),"Seg","Ter","Qua","Qui","Sex","Sáb","Dom"))</f>
        <v/>
      </c>
      <c r="D746" s="46"/>
      <c r="E746" s="47"/>
      <c r="F746" s="47"/>
      <c r="G746" s="48"/>
      <c r="H746" s="49"/>
      <c r="I746" s="50"/>
      <c r="J746" s="48"/>
      <c r="K746" s="49"/>
      <c r="L746" s="50"/>
      <c r="M746" s="43" t="str">
        <f aca="false">IF(OR($L746="",$F746=""),"",IFERROR($L746/INDEX(Cadastro!$E$6:$E$8,MATCH($F746,Cadastro!$B$6:$B$8,0)),""))</f>
        <v/>
      </c>
      <c r="N746" s="43" t="str">
        <f aca="false">IF(OR($L746="",$I746="",$I746=0),"",$L746/$I746)</f>
        <v/>
      </c>
      <c r="O746" s="51"/>
    </row>
    <row r="747" customFormat="false" ht="15" hidden="false" customHeight="false" outlineLevel="0" collapsed="false">
      <c r="A747" s="45"/>
      <c r="B747" s="37" t="str">
        <f aca="false">IF($A747="","",WEEKNUM($A747,2))</f>
        <v/>
      </c>
      <c r="C747" s="37" t="str">
        <f aca="false">IF($A747="","",CHOOSE(WEEKDAY($A747,2),"Seg","Ter","Qua","Qui","Sex","Sáb","Dom"))</f>
        <v/>
      </c>
      <c r="D747" s="46"/>
      <c r="E747" s="47"/>
      <c r="F747" s="47"/>
      <c r="G747" s="48"/>
      <c r="H747" s="49"/>
      <c r="I747" s="50"/>
      <c r="J747" s="48"/>
      <c r="K747" s="49"/>
      <c r="L747" s="50"/>
      <c r="M747" s="43" t="str">
        <f aca="false">IF(OR($L747="",$F747=""),"",IFERROR($L747/INDEX(Cadastro!$E$6:$E$8,MATCH($F747,Cadastro!$B$6:$B$8,0)),""))</f>
        <v/>
      </c>
      <c r="N747" s="43" t="str">
        <f aca="false">IF(OR($L747="",$I747="",$I747=0),"",$L747/$I747)</f>
        <v/>
      </c>
      <c r="O747" s="51"/>
    </row>
    <row r="748" customFormat="false" ht="15" hidden="false" customHeight="false" outlineLevel="0" collapsed="false">
      <c r="A748" s="45"/>
      <c r="B748" s="37" t="str">
        <f aca="false">IF($A748="","",WEEKNUM($A748,2))</f>
        <v/>
      </c>
      <c r="C748" s="37" t="str">
        <f aca="false">IF($A748="","",CHOOSE(WEEKDAY($A748,2),"Seg","Ter","Qua","Qui","Sex","Sáb","Dom"))</f>
        <v/>
      </c>
      <c r="D748" s="46"/>
      <c r="E748" s="47"/>
      <c r="F748" s="47"/>
      <c r="G748" s="48"/>
      <c r="H748" s="49"/>
      <c r="I748" s="50"/>
      <c r="J748" s="48"/>
      <c r="K748" s="49"/>
      <c r="L748" s="50"/>
      <c r="M748" s="43" t="str">
        <f aca="false">IF(OR($L748="",$F748=""),"",IFERROR($L748/INDEX(Cadastro!$E$6:$E$8,MATCH($F748,Cadastro!$B$6:$B$8,0)),""))</f>
        <v/>
      </c>
      <c r="N748" s="43" t="str">
        <f aca="false">IF(OR($L748="",$I748="",$I748=0),"",$L748/$I748)</f>
        <v/>
      </c>
      <c r="O748" s="51"/>
    </row>
    <row r="749" customFormat="false" ht="15" hidden="false" customHeight="false" outlineLevel="0" collapsed="false">
      <c r="A749" s="45"/>
      <c r="B749" s="37" t="str">
        <f aca="false">IF($A749="","",WEEKNUM($A749,2))</f>
        <v/>
      </c>
      <c r="C749" s="37" t="str">
        <f aca="false">IF($A749="","",CHOOSE(WEEKDAY($A749,2),"Seg","Ter","Qua","Qui","Sex","Sáb","Dom"))</f>
        <v/>
      </c>
      <c r="D749" s="46"/>
      <c r="E749" s="47"/>
      <c r="F749" s="47"/>
      <c r="G749" s="48"/>
      <c r="H749" s="49"/>
      <c r="I749" s="50"/>
      <c r="J749" s="48"/>
      <c r="K749" s="49"/>
      <c r="L749" s="50"/>
      <c r="M749" s="43" t="str">
        <f aca="false">IF(OR($L749="",$F749=""),"",IFERROR($L749/INDEX(Cadastro!$E$6:$E$8,MATCH($F749,Cadastro!$B$6:$B$8,0)),""))</f>
        <v/>
      </c>
      <c r="N749" s="43" t="str">
        <f aca="false">IF(OR($L749="",$I749="",$I749=0),"",$L749/$I749)</f>
        <v/>
      </c>
      <c r="O749" s="51"/>
    </row>
    <row r="750" customFormat="false" ht="15" hidden="false" customHeight="false" outlineLevel="0" collapsed="false">
      <c r="A750" s="45"/>
      <c r="B750" s="37" t="str">
        <f aca="false">IF($A750="","",WEEKNUM($A750,2))</f>
        <v/>
      </c>
      <c r="C750" s="37" t="str">
        <f aca="false">IF($A750="","",CHOOSE(WEEKDAY($A750,2),"Seg","Ter","Qua","Qui","Sex","Sáb","Dom"))</f>
        <v/>
      </c>
      <c r="D750" s="46"/>
      <c r="E750" s="47"/>
      <c r="F750" s="47"/>
      <c r="G750" s="48"/>
      <c r="H750" s="49"/>
      <c r="I750" s="50"/>
      <c r="J750" s="48"/>
      <c r="K750" s="49"/>
      <c r="L750" s="50"/>
      <c r="M750" s="43" t="str">
        <f aca="false">IF(OR($L750="",$F750=""),"",IFERROR($L750/INDEX(Cadastro!$E$6:$E$8,MATCH($F750,Cadastro!$B$6:$B$8,0)),""))</f>
        <v/>
      </c>
      <c r="N750" s="43" t="str">
        <f aca="false">IF(OR($L750="",$I750="",$I750=0),"",$L750/$I750)</f>
        <v/>
      </c>
      <c r="O750" s="51"/>
    </row>
    <row r="751" customFormat="false" ht="15" hidden="false" customHeight="false" outlineLevel="0" collapsed="false">
      <c r="A751" s="45"/>
      <c r="B751" s="37" t="str">
        <f aca="false">IF($A751="","",WEEKNUM($A751,2))</f>
        <v/>
      </c>
      <c r="C751" s="37" t="str">
        <f aca="false">IF($A751="","",CHOOSE(WEEKDAY($A751,2),"Seg","Ter","Qua","Qui","Sex","Sáb","Dom"))</f>
        <v/>
      </c>
      <c r="D751" s="46"/>
      <c r="E751" s="47"/>
      <c r="F751" s="47"/>
      <c r="G751" s="48"/>
      <c r="H751" s="49"/>
      <c r="I751" s="50"/>
      <c r="J751" s="48"/>
      <c r="K751" s="49"/>
      <c r="L751" s="50"/>
      <c r="M751" s="43" t="str">
        <f aca="false">IF(OR($L751="",$F751=""),"",IFERROR($L751/INDEX(Cadastro!$E$6:$E$8,MATCH($F751,Cadastro!$B$6:$B$8,0)),""))</f>
        <v/>
      </c>
      <c r="N751" s="43" t="str">
        <f aca="false">IF(OR($L751="",$I751="",$I751=0),"",$L751/$I751)</f>
        <v/>
      </c>
      <c r="O751" s="51"/>
    </row>
    <row r="752" customFormat="false" ht="15" hidden="false" customHeight="false" outlineLevel="0" collapsed="false">
      <c r="A752" s="45"/>
      <c r="B752" s="37" t="str">
        <f aca="false">IF($A752="","",WEEKNUM($A752,2))</f>
        <v/>
      </c>
      <c r="C752" s="37" t="str">
        <f aca="false">IF($A752="","",CHOOSE(WEEKDAY($A752,2),"Seg","Ter","Qua","Qui","Sex","Sáb","Dom"))</f>
        <v/>
      </c>
      <c r="D752" s="46"/>
      <c r="E752" s="47"/>
      <c r="F752" s="47"/>
      <c r="G752" s="48"/>
      <c r="H752" s="49"/>
      <c r="I752" s="50"/>
      <c r="J752" s="48"/>
      <c r="K752" s="49"/>
      <c r="L752" s="50"/>
      <c r="M752" s="43" t="str">
        <f aca="false">IF(OR($L752="",$F752=""),"",IFERROR($L752/INDEX(Cadastro!$E$6:$E$8,MATCH($F752,Cadastro!$B$6:$B$8,0)),""))</f>
        <v/>
      </c>
      <c r="N752" s="43" t="str">
        <f aca="false">IF(OR($L752="",$I752="",$I752=0),"",$L752/$I752)</f>
        <v/>
      </c>
      <c r="O752" s="51"/>
    </row>
    <row r="753" customFormat="false" ht="15" hidden="false" customHeight="false" outlineLevel="0" collapsed="false">
      <c r="A753" s="45"/>
      <c r="B753" s="37" t="str">
        <f aca="false">IF($A753="","",WEEKNUM($A753,2))</f>
        <v/>
      </c>
      <c r="C753" s="37" t="str">
        <f aca="false">IF($A753="","",CHOOSE(WEEKDAY($A753,2),"Seg","Ter","Qua","Qui","Sex","Sáb","Dom"))</f>
        <v/>
      </c>
      <c r="D753" s="46"/>
      <c r="E753" s="47"/>
      <c r="F753" s="47"/>
      <c r="G753" s="48"/>
      <c r="H753" s="49"/>
      <c r="I753" s="50"/>
      <c r="J753" s="48"/>
      <c r="K753" s="49"/>
      <c r="L753" s="50"/>
      <c r="M753" s="43" t="str">
        <f aca="false">IF(OR($L753="",$F753=""),"",IFERROR($L753/INDEX(Cadastro!$E$6:$E$8,MATCH($F753,Cadastro!$B$6:$B$8,0)),""))</f>
        <v/>
      </c>
      <c r="N753" s="43" t="str">
        <f aca="false">IF(OR($L753="",$I753="",$I753=0),"",$L753/$I753)</f>
        <v/>
      </c>
      <c r="O753" s="51"/>
    </row>
    <row r="754" customFormat="false" ht="15" hidden="false" customHeight="false" outlineLevel="0" collapsed="false">
      <c r="A754" s="45"/>
      <c r="B754" s="37" t="str">
        <f aca="false">IF($A754="","",WEEKNUM($A754,2))</f>
        <v/>
      </c>
      <c r="C754" s="37" t="str">
        <f aca="false">IF($A754="","",CHOOSE(WEEKDAY($A754,2),"Seg","Ter","Qua","Qui","Sex","Sáb","Dom"))</f>
        <v/>
      </c>
      <c r="D754" s="46"/>
      <c r="E754" s="47"/>
      <c r="F754" s="47"/>
      <c r="G754" s="48"/>
      <c r="H754" s="49"/>
      <c r="I754" s="50"/>
      <c r="J754" s="48"/>
      <c r="K754" s="49"/>
      <c r="L754" s="50"/>
      <c r="M754" s="43" t="str">
        <f aca="false">IF(OR($L754="",$F754=""),"",IFERROR($L754/INDEX(Cadastro!$E$6:$E$8,MATCH($F754,Cadastro!$B$6:$B$8,0)),""))</f>
        <v/>
      </c>
      <c r="N754" s="43" t="str">
        <f aca="false">IF(OR($L754="",$I754="",$I754=0),"",$L754/$I754)</f>
        <v/>
      </c>
      <c r="O754" s="51"/>
    </row>
    <row r="755" customFormat="false" ht="15" hidden="false" customHeight="false" outlineLevel="0" collapsed="false">
      <c r="A755" s="45"/>
      <c r="B755" s="37" t="str">
        <f aca="false">IF($A755="","",WEEKNUM($A755,2))</f>
        <v/>
      </c>
      <c r="C755" s="37" t="str">
        <f aca="false">IF($A755="","",CHOOSE(WEEKDAY($A755,2),"Seg","Ter","Qua","Qui","Sex","Sáb","Dom"))</f>
        <v/>
      </c>
      <c r="D755" s="46"/>
      <c r="E755" s="47"/>
      <c r="F755" s="47"/>
      <c r="G755" s="48"/>
      <c r="H755" s="49"/>
      <c r="I755" s="50"/>
      <c r="J755" s="48"/>
      <c r="K755" s="49"/>
      <c r="L755" s="50"/>
      <c r="M755" s="43" t="str">
        <f aca="false">IF(OR($L755="",$F755=""),"",IFERROR($L755/INDEX(Cadastro!$E$6:$E$8,MATCH($F755,Cadastro!$B$6:$B$8,0)),""))</f>
        <v/>
      </c>
      <c r="N755" s="43" t="str">
        <f aca="false">IF(OR($L755="",$I755="",$I755=0),"",$L755/$I755)</f>
        <v/>
      </c>
      <c r="O755" s="51"/>
    </row>
    <row r="756" customFormat="false" ht="15" hidden="false" customHeight="false" outlineLevel="0" collapsed="false">
      <c r="A756" s="45"/>
      <c r="B756" s="37" t="str">
        <f aca="false">IF($A756="","",WEEKNUM($A756,2))</f>
        <v/>
      </c>
      <c r="C756" s="37" t="str">
        <f aca="false">IF($A756="","",CHOOSE(WEEKDAY($A756,2),"Seg","Ter","Qua","Qui","Sex","Sáb","Dom"))</f>
        <v/>
      </c>
      <c r="D756" s="46"/>
      <c r="E756" s="47"/>
      <c r="F756" s="47"/>
      <c r="G756" s="48"/>
      <c r="H756" s="49"/>
      <c r="I756" s="50"/>
      <c r="J756" s="48"/>
      <c r="K756" s="49"/>
      <c r="L756" s="50"/>
      <c r="M756" s="43" t="str">
        <f aca="false">IF(OR($L756="",$F756=""),"",IFERROR($L756/INDEX(Cadastro!$E$6:$E$8,MATCH($F756,Cadastro!$B$6:$B$8,0)),""))</f>
        <v/>
      </c>
      <c r="N756" s="43" t="str">
        <f aca="false">IF(OR($L756="",$I756="",$I756=0),"",$L756/$I756)</f>
        <v/>
      </c>
      <c r="O756" s="51"/>
    </row>
    <row r="757" customFormat="false" ht="15" hidden="false" customHeight="false" outlineLevel="0" collapsed="false">
      <c r="A757" s="45"/>
      <c r="B757" s="37" t="str">
        <f aca="false">IF($A757="","",WEEKNUM($A757,2))</f>
        <v/>
      </c>
      <c r="C757" s="37" t="str">
        <f aca="false">IF($A757="","",CHOOSE(WEEKDAY($A757,2),"Seg","Ter","Qua","Qui","Sex","Sáb","Dom"))</f>
        <v/>
      </c>
      <c r="D757" s="46"/>
      <c r="E757" s="47"/>
      <c r="F757" s="47"/>
      <c r="G757" s="48"/>
      <c r="H757" s="49"/>
      <c r="I757" s="50"/>
      <c r="J757" s="48"/>
      <c r="K757" s="49"/>
      <c r="L757" s="50"/>
      <c r="M757" s="43" t="str">
        <f aca="false">IF(OR($L757="",$F757=""),"",IFERROR($L757/INDEX(Cadastro!$E$6:$E$8,MATCH($F757,Cadastro!$B$6:$B$8,0)),""))</f>
        <v/>
      </c>
      <c r="N757" s="43" t="str">
        <f aca="false">IF(OR($L757="",$I757="",$I757=0),"",$L757/$I757)</f>
        <v/>
      </c>
      <c r="O757" s="51"/>
    </row>
    <row r="758" customFormat="false" ht="15" hidden="false" customHeight="false" outlineLevel="0" collapsed="false">
      <c r="A758" s="45"/>
      <c r="B758" s="37" t="str">
        <f aca="false">IF($A758="","",WEEKNUM($A758,2))</f>
        <v/>
      </c>
      <c r="C758" s="37" t="str">
        <f aca="false">IF($A758="","",CHOOSE(WEEKDAY($A758,2),"Seg","Ter","Qua","Qui","Sex","Sáb","Dom"))</f>
        <v/>
      </c>
      <c r="D758" s="46"/>
      <c r="E758" s="47"/>
      <c r="F758" s="47"/>
      <c r="G758" s="48"/>
      <c r="H758" s="49"/>
      <c r="I758" s="50"/>
      <c r="J758" s="48"/>
      <c r="K758" s="49"/>
      <c r="L758" s="50"/>
      <c r="M758" s="43" t="str">
        <f aca="false">IF(OR($L758="",$F758=""),"",IFERROR($L758/INDEX(Cadastro!$E$6:$E$8,MATCH($F758,Cadastro!$B$6:$B$8,0)),""))</f>
        <v/>
      </c>
      <c r="N758" s="43" t="str">
        <f aca="false">IF(OR($L758="",$I758="",$I758=0),"",$L758/$I758)</f>
        <v/>
      </c>
      <c r="O758" s="51"/>
    </row>
    <row r="759" customFormat="false" ht="15" hidden="false" customHeight="false" outlineLevel="0" collapsed="false">
      <c r="A759" s="45"/>
      <c r="B759" s="37" t="str">
        <f aca="false">IF($A759="","",WEEKNUM($A759,2))</f>
        <v/>
      </c>
      <c r="C759" s="37" t="str">
        <f aca="false">IF($A759="","",CHOOSE(WEEKDAY($A759,2),"Seg","Ter","Qua","Qui","Sex","Sáb","Dom"))</f>
        <v/>
      </c>
      <c r="D759" s="46"/>
      <c r="E759" s="47"/>
      <c r="F759" s="47"/>
      <c r="G759" s="48"/>
      <c r="H759" s="49"/>
      <c r="I759" s="50"/>
      <c r="J759" s="48"/>
      <c r="K759" s="49"/>
      <c r="L759" s="50"/>
      <c r="M759" s="43" t="str">
        <f aca="false">IF(OR($L759="",$F759=""),"",IFERROR($L759/INDEX(Cadastro!$E$6:$E$8,MATCH($F759,Cadastro!$B$6:$B$8,0)),""))</f>
        <v/>
      </c>
      <c r="N759" s="43" t="str">
        <f aca="false">IF(OR($L759="",$I759="",$I759=0),"",$L759/$I759)</f>
        <v/>
      </c>
      <c r="O759" s="51"/>
    </row>
    <row r="760" customFormat="false" ht="15" hidden="false" customHeight="false" outlineLevel="0" collapsed="false">
      <c r="A760" s="45"/>
      <c r="B760" s="37" t="str">
        <f aca="false">IF($A760="","",WEEKNUM($A760,2))</f>
        <v/>
      </c>
      <c r="C760" s="37" t="str">
        <f aca="false">IF($A760="","",CHOOSE(WEEKDAY($A760,2),"Seg","Ter","Qua","Qui","Sex","Sáb","Dom"))</f>
        <v/>
      </c>
      <c r="D760" s="46"/>
      <c r="E760" s="47"/>
      <c r="F760" s="47"/>
      <c r="G760" s="48"/>
      <c r="H760" s="49"/>
      <c r="I760" s="50"/>
      <c r="J760" s="48"/>
      <c r="K760" s="49"/>
      <c r="L760" s="50"/>
      <c r="M760" s="43" t="str">
        <f aca="false">IF(OR($L760="",$F760=""),"",IFERROR($L760/INDEX(Cadastro!$E$6:$E$8,MATCH($F760,Cadastro!$B$6:$B$8,0)),""))</f>
        <v/>
      </c>
      <c r="N760" s="43" t="str">
        <f aca="false">IF(OR($L760="",$I760="",$I760=0),"",$L760/$I760)</f>
        <v/>
      </c>
      <c r="O760" s="51"/>
    </row>
    <row r="761" customFormat="false" ht="15" hidden="false" customHeight="false" outlineLevel="0" collapsed="false">
      <c r="A761" s="45"/>
      <c r="B761" s="37" t="str">
        <f aca="false">IF($A761="","",WEEKNUM($A761,2))</f>
        <v/>
      </c>
      <c r="C761" s="37" t="str">
        <f aca="false">IF($A761="","",CHOOSE(WEEKDAY($A761,2),"Seg","Ter","Qua","Qui","Sex","Sáb","Dom"))</f>
        <v/>
      </c>
      <c r="D761" s="46"/>
      <c r="E761" s="47"/>
      <c r="F761" s="47"/>
      <c r="G761" s="48"/>
      <c r="H761" s="49"/>
      <c r="I761" s="50"/>
      <c r="J761" s="48"/>
      <c r="K761" s="49"/>
      <c r="L761" s="50"/>
      <c r="M761" s="43" t="str">
        <f aca="false">IF(OR($L761="",$F761=""),"",IFERROR($L761/INDEX(Cadastro!$E$6:$E$8,MATCH($F761,Cadastro!$B$6:$B$8,0)),""))</f>
        <v/>
      </c>
      <c r="N761" s="43" t="str">
        <f aca="false">IF(OR($L761="",$I761="",$I761=0),"",$L761/$I761)</f>
        <v/>
      </c>
      <c r="O761" s="51"/>
    </row>
    <row r="762" customFormat="false" ht="15" hidden="false" customHeight="false" outlineLevel="0" collapsed="false">
      <c r="A762" s="45"/>
      <c r="B762" s="37" t="str">
        <f aca="false">IF($A762="","",WEEKNUM($A762,2))</f>
        <v/>
      </c>
      <c r="C762" s="37" t="str">
        <f aca="false">IF($A762="","",CHOOSE(WEEKDAY($A762,2),"Seg","Ter","Qua","Qui","Sex","Sáb","Dom"))</f>
        <v/>
      </c>
      <c r="D762" s="46"/>
      <c r="E762" s="47"/>
      <c r="F762" s="47"/>
      <c r="G762" s="48"/>
      <c r="H762" s="49"/>
      <c r="I762" s="50"/>
      <c r="J762" s="48"/>
      <c r="K762" s="49"/>
      <c r="L762" s="50"/>
      <c r="M762" s="43" t="str">
        <f aca="false">IF(OR($L762="",$F762=""),"",IFERROR($L762/INDEX(Cadastro!$E$6:$E$8,MATCH($F762,Cadastro!$B$6:$B$8,0)),""))</f>
        <v/>
      </c>
      <c r="N762" s="43" t="str">
        <f aca="false">IF(OR($L762="",$I762="",$I762=0),"",$L762/$I762)</f>
        <v/>
      </c>
      <c r="O762" s="51"/>
    </row>
    <row r="763" customFormat="false" ht="15" hidden="false" customHeight="false" outlineLevel="0" collapsed="false">
      <c r="A763" s="45"/>
      <c r="B763" s="37" t="str">
        <f aca="false">IF($A763="","",WEEKNUM($A763,2))</f>
        <v/>
      </c>
      <c r="C763" s="37" t="str">
        <f aca="false">IF($A763="","",CHOOSE(WEEKDAY($A763,2),"Seg","Ter","Qua","Qui","Sex","Sáb","Dom"))</f>
        <v/>
      </c>
      <c r="D763" s="46"/>
      <c r="E763" s="47"/>
      <c r="F763" s="47"/>
      <c r="G763" s="48"/>
      <c r="H763" s="49"/>
      <c r="I763" s="50"/>
      <c r="J763" s="48"/>
      <c r="K763" s="49"/>
      <c r="L763" s="50"/>
      <c r="M763" s="43" t="str">
        <f aca="false">IF(OR($L763="",$F763=""),"",IFERROR($L763/INDEX(Cadastro!$E$6:$E$8,MATCH($F763,Cadastro!$B$6:$B$8,0)),""))</f>
        <v/>
      </c>
      <c r="N763" s="43" t="str">
        <f aca="false">IF(OR($L763="",$I763="",$I763=0),"",$L763/$I763)</f>
        <v/>
      </c>
      <c r="O763" s="51"/>
    </row>
    <row r="764" customFormat="false" ht="15" hidden="false" customHeight="false" outlineLevel="0" collapsed="false">
      <c r="A764" s="45"/>
      <c r="B764" s="37" t="str">
        <f aca="false">IF($A764="","",WEEKNUM($A764,2))</f>
        <v/>
      </c>
      <c r="C764" s="37" t="str">
        <f aca="false">IF($A764="","",CHOOSE(WEEKDAY($A764,2),"Seg","Ter","Qua","Qui","Sex","Sáb","Dom"))</f>
        <v/>
      </c>
      <c r="D764" s="46"/>
      <c r="E764" s="47"/>
      <c r="F764" s="47"/>
      <c r="G764" s="48"/>
      <c r="H764" s="49"/>
      <c r="I764" s="50"/>
      <c r="J764" s="48"/>
      <c r="K764" s="49"/>
      <c r="L764" s="50"/>
      <c r="M764" s="43" t="str">
        <f aca="false">IF(OR($L764="",$F764=""),"",IFERROR($L764/INDEX(Cadastro!$E$6:$E$8,MATCH($F764,Cadastro!$B$6:$B$8,0)),""))</f>
        <v/>
      </c>
      <c r="N764" s="43" t="str">
        <f aca="false">IF(OR($L764="",$I764="",$I764=0),"",$L764/$I764)</f>
        <v/>
      </c>
      <c r="O764" s="51"/>
    </row>
    <row r="765" customFormat="false" ht="15" hidden="false" customHeight="false" outlineLevel="0" collapsed="false">
      <c r="A765" s="45"/>
      <c r="B765" s="37" t="str">
        <f aca="false">IF($A765="","",WEEKNUM($A765,2))</f>
        <v/>
      </c>
      <c r="C765" s="37" t="str">
        <f aca="false">IF($A765="","",CHOOSE(WEEKDAY($A765,2),"Seg","Ter","Qua","Qui","Sex","Sáb","Dom"))</f>
        <v/>
      </c>
      <c r="D765" s="46"/>
      <c r="E765" s="47"/>
      <c r="F765" s="47"/>
      <c r="G765" s="48"/>
      <c r="H765" s="49"/>
      <c r="I765" s="50"/>
      <c r="J765" s="48"/>
      <c r="K765" s="49"/>
      <c r="L765" s="50"/>
      <c r="M765" s="43" t="str">
        <f aca="false">IF(OR($L765="",$F765=""),"",IFERROR($L765/INDEX(Cadastro!$E$6:$E$8,MATCH($F765,Cadastro!$B$6:$B$8,0)),""))</f>
        <v/>
      </c>
      <c r="N765" s="43" t="str">
        <f aca="false">IF(OR($L765="",$I765="",$I765=0),"",$L765/$I765)</f>
        <v/>
      </c>
      <c r="O765" s="51"/>
    </row>
    <row r="766" customFormat="false" ht="15" hidden="false" customHeight="false" outlineLevel="0" collapsed="false">
      <c r="A766" s="45"/>
      <c r="B766" s="37" t="str">
        <f aca="false">IF($A766="","",WEEKNUM($A766,2))</f>
        <v/>
      </c>
      <c r="C766" s="37" t="str">
        <f aca="false">IF($A766="","",CHOOSE(WEEKDAY($A766,2),"Seg","Ter","Qua","Qui","Sex","Sáb","Dom"))</f>
        <v/>
      </c>
      <c r="D766" s="46"/>
      <c r="E766" s="47"/>
      <c r="F766" s="47"/>
      <c r="G766" s="48"/>
      <c r="H766" s="49"/>
      <c r="I766" s="50"/>
      <c r="J766" s="48"/>
      <c r="K766" s="49"/>
      <c r="L766" s="50"/>
      <c r="M766" s="43" t="str">
        <f aca="false">IF(OR($L766="",$F766=""),"",IFERROR($L766/INDEX(Cadastro!$E$6:$E$8,MATCH($F766,Cadastro!$B$6:$B$8,0)),""))</f>
        <v/>
      </c>
      <c r="N766" s="43" t="str">
        <f aca="false">IF(OR($L766="",$I766="",$I766=0),"",$L766/$I766)</f>
        <v/>
      </c>
      <c r="O766" s="51"/>
    </row>
    <row r="767" customFormat="false" ht="15" hidden="false" customHeight="false" outlineLevel="0" collapsed="false">
      <c r="A767" s="45"/>
      <c r="B767" s="37" t="str">
        <f aca="false">IF($A767="","",WEEKNUM($A767,2))</f>
        <v/>
      </c>
      <c r="C767" s="37" t="str">
        <f aca="false">IF($A767="","",CHOOSE(WEEKDAY($A767,2),"Seg","Ter","Qua","Qui","Sex","Sáb","Dom"))</f>
        <v/>
      </c>
      <c r="D767" s="46"/>
      <c r="E767" s="47"/>
      <c r="F767" s="47"/>
      <c r="G767" s="48"/>
      <c r="H767" s="49"/>
      <c r="I767" s="50"/>
      <c r="J767" s="48"/>
      <c r="K767" s="49"/>
      <c r="L767" s="50"/>
      <c r="M767" s="43" t="str">
        <f aca="false">IF(OR($L767="",$F767=""),"",IFERROR($L767/INDEX(Cadastro!$E$6:$E$8,MATCH($F767,Cadastro!$B$6:$B$8,0)),""))</f>
        <v/>
      </c>
      <c r="N767" s="43" t="str">
        <f aca="false">IF(OR($L767="",$I767="",$I767=0),"",$L767/$I767)</f>
        <v/>
      </c>
      <c r="O767" s="51"/>
    </row>
    <row r="768" customFormat="false" ht="15" hidden="false" customHeight="false" outlineLevel="0" collapsed="false">
      <c r="A768" s="45"/>
      <c r="B768" s="37" t="str">
        <f aca="false">IF($A768="","",WEEKNUM($A768,2))</f>
        <v/>
      </c>
      <c r="C768" s="37" t="str">
        <f aca="false">IF($A768="","",CHOOSE(WEEKDAY($A768,2),"Seg","Ter","Qua","Qui","Sex","Sáb","Dom"))</f>
        <v/>
      </c>
      <c r="D768" s="46"/>
      <c r="E768" s="47"/>
      <c r="F768" s="47"/>
      <c r="G768" s="48"/>
      <c r="H768" s="49"/>
      <c r="I768" s="50"/>
      <c r="J768" s="48"/>
      <c r="K768" s="49"/>
      <c r="L768" s="50"/>
      <c r="M768" s="43" t="str">
        <f aca="false">IF(OR($L768="",$F768=""),"",IFERROR($L768/INDEX(Cadastro!$E$6:$E$8,MATCH($F768,Cadastro!$B$6:$B$8,0)),""))</f>
        <v/>
      </c>
      <c r="N768" s="43" t="str">
        <f aca="false">IF(OR($L768="",$I768="",$I768=0),"",$L768/$I768)</f>
        <v/>
      </c>
      <c r="O768" s="51"/>
    </row>
    <row r="769" customFormat="false" ht="15" hidden="false" customHeight="false" outlineLevel="0" collapsed="false">
      <c r="A769" s="45"/>
      <c r="B769" s="37" t="str">
        <f aca="false">IF($A769="","",WEEKNUM($A769,2))</f>
        <v/>
      </c>
      <c r="C769" s="37" t="str">
        <f aca="false">IF($A769="","",CHOOSE(WEEKDAY($A769,2),"Seg","Ter","Qua","Qui","Sex","Sáb","Dom"))</f>
        <v/>
      </c>
      <c r="D769" s="46"/>
      <c r="E769" s="47"/>
      <c r="F769" s="47"/>
      <c r="G769" s="48"/>
      <c r="H769" s="49"/>
      <c r="I769" s="50"/>
      <c r="J769" s="48"/>
      <c r="K769" s="49"/>
      <c r="L769" s="50"/>
      <c r="M769" s="43" t="str">
        <f aca="false">IF(OR($L769="",$F769=""),"",IFERROR($L769/INDEX(Cadastro!$E$6:$E$8,MATCH($F769,Cadastro!$B$6:$B$8,0)),""))</f>
        <v/>
      </c>
      <c r="N769" s="43" t="str">
        <f aca="false">IF(OR($L769="",$I769="",$I769=0),"",$L769/$I769)</f>
        <v/>
      </c>
      <c r="O769" s="51"/>
    </row>
    <row r="770" customFormat="false" ht="15" hidden="false" customHeight="false" outlineLevel="0" collapsed="false">
      <c r="A770" s="45"/>
      <c r="B770" s="37" t="str">
        <f aca="false">IF($A770="","",WEEKNUM($A770,2))</f>
        <v/>
      </c>
      <c r="C770" s="37" t="str">
        <f aca="false">IF($A770="","",CHOOSE(WEEKDAY($A770,2),"Seg","Ter","Qua","Qui","Sex","Sáb","Dom"))</f>
        <v/>
      </c>
      <c r="D770" s="46"/>
      <c r="E770" s="47"/>
      <c r="F770" s="47"/>
      <c r="G770" s="48"/>
      <c r="H770" s="49"/>
      <c r="I770" s="50"/>
      <c r="J770" s="48"/>
      <c r="K770" s="49"/>
      <c r="L770" s="50"/>
      <c r="M770" s="43" t="str">
        <f aca="false">IF(OR($L770="",$F770=""),"",IFERROR($L770/INDEX(Cadastro!$E$6:$E$8,MATCH($F770,Cadastro!$B$6:$B$8,0)),""))</f>
        <v/>
      </c>
      <c r="N770" s="43" t="str">
        <f aca="false">IF(OR($L770="",$I770="",$I770=0),"",$L770/$I770)</f>
        <v/>
      </c>
      <c r="O770" s="51"/>
    </row>
    <row r="771" customFormat="false" ht="15" hidden="false" customHeight="false" outlineLevel="0" collapsed="false">
      <c r="A771" s="45"/>
      <c r="B771" s="37" t="str">
        <f aca="false">IF($A771="","",WEEKNUM($A771,2))</f>
        <v/>
      </c>
      <c r="C771" s="37" t="str">
        <f aca="false">IF($A771="","",CHOOSE(WEEKDAY($A771,2),"Seg","Ter","Qua","Qui","Sex","Sáb","Dom"))</f>
        <v/>
      </c>
      <c r="D771" s="46"/>
      <c r="E771" s="47"/>
      <c r="F771" s="47"/>
      <c r="G771" s="48"/>
      <c r="H771" s="49"/>
      <c r="I771" s="50"/>
      <c r="J771" s="48"/>
      <c r="K771" s="49"/>
      <c r="L771" s="50"/>
      <c r="M771" s="43" t="str">
        <f aca="false">IF(OR($L771="",$F771=""),"",IFERROR($L771/INDEX(Cadastro!$E$6:$E$8,MATCH($F771,Cadastro!$B$6:$B$8,0)),""))</f>
        <v/>
      </c>
      <c r="N771" s="43" t="str">
        <f aca="false">IF(OR($L771="",$I771="",$I771=0),"",$L771/$I771)</f>
        <v/>
      </c>
      <c r="O771" s="51"/>
    </row>
    <row r="772" customFormat="false" ht="15" hidden="false" customHeight="false" outlineLevel="0" collapsed="false">
      <c r="A772" s="45"/>
      <c r="B772" s="37" t="str">
        <f aca="false">IF($A772="","",WEEKNUM($A772,2))</f>
        <v/>
      </c>
      <c r="C772" s="37" t="str">
        <f aca="false">IF($A772="","",CHOOSE(WEEKDAY($A772,2),"Seg","Ter","Qua","Qui","Sex","Sáb","Dom"))</f>
        <v/>
      </c>
      <c r="D772" s="46"/>
      <c r="E772" s="47"/>
      <c r="F772" s="47"/>
      <c r="G772" s="48"/>
      <c r="H772" s="49"/>
      <c r="I772" s="50"/>
      <c r="J772" s="48"/>
      <c r="K772" s="49"/>
      <c r="L772" s="50"/>
      <c r="M772" s="43" t="str">
        <f aca="false">IF(OR($L772="",$F772=""),"",IFERROR($L772/INDEX(Cadastro!$E$6:$E$8,MATCH($F772,Cadastro!$B$6:$B$8,0)),""))</f>
        <v/>
      </c>
      <c r="N772" s="43" t="str">
        <f aca="false">IF(OR($L772="",$I772="",$I772=0),"",$L772/$I772)</f>
        <v/>
      </c>
      <c r="O772" s="51"/>
    </row>
    <row r="773" customFormat="false" ht="15" hidden="false" customHeight="false" outlineLevel="0" collapsed="false">
      <c r="A773" s="45"/>
      <c r="B773" s="37" t="str">
        <f aca="false">IF($A773="","",WEEKNUM($A773,2))</f>
        <v/>
      </c>
      <c r="C773" s="37" t="str">
        <f aca="false">IF($A773="","",CHOOSE(WEEKDAY($A773,2),"Seg","Ter","Qua","Qui","Sex","Sáb","Dom"))</f>
        <v/>
      </c>
      <c r="D773" s="46"/>
      <c r="E773" s="47"/>
      <c r="F773" s="47"/>
      <c r="G773" s="48"/>
      <c r="H773" s="49"/>
      <c r="I773" s="50"/>
      <c r="J773" s="48"/>
      <c r="K773" s="49"/>
      <c r="L773" s="50"/>
      <c r="M773" s="43" t="str">
        <f aca="false">IF(OR($L773="",$F773=""),"",IFERROR($L773/INDEX(Cadastro!$E$6:$E$8,MATCH($F773,Cadastro!$B$6:$B$8,0)),""))</f>
        <v/>
      </c>
      <c r="N773" s="43" t="str">
        <f aca="false">IF(OR($L773="",$I773="",$I773=0),"",$L773/$I773)</f>
        <v/>
      </c>
      <c r="O773" s="51"/>
    </row>
    <row r="774" customFormat="false" ht="15" hidden="false" customHeight="false" outlineLevel="0" collapsed="false">
      <c r="A774" s="45"/>
      <c r="B774" s="37" t="str">
        <f aca="false">IF($A774="","",WEEKNUM($A774,2))</f>
        <v/>
      </c>
      <c r="C774" s="37" t="str">
        <f aca="false">IF($A774="","",CHOOSE(WEEKDAY($A774,2),"Seg","Ter","Qua","Qui","Sex","Sáb","Dom"))</f>
        <v/>
      </c>
      <c r="D774" s="46"/>
      <c r="E774" s="47"/>
      <c r="F774" s="47"/>
      <c r="G774" s="48"/>
      <c r="H774" s="49"/>
      <c r="I774" s="50"/>
      <c r="J774" s="48"/>
      <c r="K774" s="49"/>
      <c r="L774" s="50"/>
      <c r="M774" s="43" t="str">
        <f aca="false">IF(OR($L774="",$F774=""),"",IFERROR($L774/INDEX(Cadastro!$E$6:$E$8,MATCH($F774,Cadastro!$B$6:$B$8,0)),""))</f>
        <v/>
      </c>
      <c r="N774" s="43" t="str">
        <f aca="false">IF(OR($L774="",$I774="",$I774=0),"",$L774/$I774)</f>
        <v/>
      </c>
      <c r="O774" s="51"/>
    </row>
    <row r="775" customFormat="false" ht="15" hidden="false" customHeight="false" outlineLevel="0" collapsed="false">
      <c r="A775" s="45"/>
      <c r="B775" s="37" t="str">
        <f aca="false">IF($A775="","",WEEKNUM($A775,2))</f>
        <v/>
      </c>
      <c r="C775" s="37" t="str">
        <f aca="false">IF($A775="","",CHOOSE(WEEKDAY($A775,2),"Seg","Ter","Qua","Qui","Sex","Sáb","Dom"))</f>
        <v/>
      </c>
      <c r="D775" s="46"/>
      <c r="E775" s="47"/>
      <c r="F775" s="47"/>
      <c r="G775" s="48"/>
      <c r="H775" s="49"/>
      <c r="I775" s="50"/>
      <c r="J775" s="48"/>
      <c r="K775" s="49"/>
      <c r="L775" s="50"/>
      <c r="M775" s="43" t="str">
        <f aca="false">IF(OR($L775="",$F775=""),"",IFERROR($L775/INDEX(Cadastro!$E$6:$E$8,MATCH($F775,Cadastro!$B$6:$B$8,0)),""))</f>
        <v/>
      </c>
      <c r="N775" s="43" t="str">
        <f aca="false">IF(OR($L775="",$I775="",$I775=0),"",$L775/$I775)</f>
        <v/>
      </c>
      <c r="O775" s="51"/>
    </row>
    <row r="776" customFormat="false" ht="15" hidden="false" customHeight="false" outlineLevel="0" collapsed="false">
      <c r="A776" s="45"/>
      <c r="B776" s="37" t="str">
        <f aca="false">IF($A776="","",WEEKNUM($A776,2))</f>
        <v/>
      </c>
      <c r="C776" s="37" t="str">
        <f aca="false">IF($A776="","",CHOOSE(WEEKDAY($A776,2),"Seg","Ter","Qua","Qui","Sex","Sáb","Dom"))</f>
        <v/>
      </c>
      <c r="D776" s="46"/>
      <c r="E776" s="47"/>
      <c r="F776" s="47"/>
      <c r="G776" s="48"/>
      <c r="H776" s="49"/>
      <c r="I776" s="50"/>
      <c r="J776" s="48"/>
      <c r="K776" s="49"/>
      <c r="L776" s="50"/>
      <c r="M776" s="43" t="str">
        <f aca="false">IF(OR($L776="",$F776=""),"",IFERROR($L776/INDEX(Cadastro!$E$6:$E$8,MATCH($F776,Cadastro!$B$6:$B$8,0)),""))</f>
        <v/>
      </c>
      <c r="N776" s="43" t="str">
        <f aca="false">IF(OR($L776="",$I776="",$I776=0),"",$L776/$I776)</f>
        <v/>
      </c>
      <c r="O776" s="51"/>
    </row>
    <row r="777" customFormat="false" ht="15" hidden="false" customHeight="false" outlineLevel="0" collapsed="false">
      <c r="A777" s="45"/>
      <c r="B777" s="37" t="str">
        <f aca="false">IF($A777="","",WEEKNUM($A777,2))</f>
        <v/>
      </c>
      <c r="C777" s="37" t="str">
        <f aca="false">IF($A777="","",CHOOSE(WEEKDAY($A777,2),"Seg","Ter","Qua","Qui","Sex","Sáb","Dom"))</f>
        <v/>
      </c>
      <c r="D777" s="46"/>
      <c r="E777" s="47"/>
      <c r="F777" s="47"/>
      <c r="G777" s="48"/>
      <c r="H777" s="49"/>
      <c r="I777" s="50"/>
      <c r="J777" s="48"/>
      <c r="K777" s="49"/>
      <c r="L777" s="50"/>
      <c r="M777" s="43" t="str">
        <f aca="false">IF(OR($L777="",$F777=""),"",IFERROR($L777/INDEX(Cadastro!$E$6:$E$8,MATCH($F777,Cadastro!$B$6:$B$8,0)),""))</f>
        <v/>
      </c>
      <c r="N777" s="43" t="str">
        <f aca="false">IF(OR($L777="",$I777="",$I777=0),"",$L777/$I777)</f>
        <v/>
      </c>
      <c r="O777" s="51"/>
    </row>
    <row r="778" customFormat="false" ht="15" hidden="false" customHeight="false" outlineLevel="0" collapsed="false">
      <c r="A778" s="45"/>
      <c r="B778" s="37" t="str">
        <f aca="false">IF($A778="","",WEEKNUM($A778,2))</f>
        <v/>
      </c>
      <c r="C778" s="37" t="str">
        <f aca="false">IF($A778="","",CHOOSE(WEEKDAY($A778,2),"Seg","Ter","Qua","Qui","Sex","Sáb","Dom"))</f>
        <v/>
      </c>
      <c r="D778" s="46"/>
      <c r="E778" s="47"/>
      <c r="F778" s="47"/>
      <c r="G778" s="48"/>
      <c r="H778" s="49"/>
      <c r="I778" s="50"/>
      <c r="J778" s="48"/>
      <c r="K778" s="49"/>
      <c r="L778" s="50"/>
      <c r="M778" s="43" t="str">
        <f aca="false">IF(OR($L778="",$F778=""),"",IFERROR($L778/INDEX(Cadastro!$E$6:$E$8,MATCH($F778,Cadastro!$B$6:$B$8,0)),""))</f>
        <v/>
      </c>
      <c r="N778" s="43" t="str">
        <f aca="false">IF(OR($L778="",$I778="",$I778=0),"",$L778/$I778)</f>
        <v/>
      </c>
      <c r="O778" s="51"/>
    </row>
    <row r="779" customFormat="false" ht="15" hidden="false" customHeight="false" outlineLevel="0" collapsed="false">
      <c r="A779" s="45"/>
      <c r="B779" s="37" t="str">
        <f aca="false">IF($A779="","",WEEKNUM($A779,2))</f>
        <v/>
      </c>
      <c r="C779" s="37" t="str">
        <f aca="false">IF($A779="","",CHOOSE(WEEKDAY($A779,2),"Seg","Ter","Qua","Qui","Sex","Sáb","Dom"))</f>
        <v/>
      </c>
      <c r="D779" s="46"/>
      <c r="E779" s="47"/>
      <c r="F779" s="47"/>
      <c r="G779" s="48"/>
      <c r="H779" s="49"/>
      <c r="I779" s="50"/>
      <c r="J779" s="48"/>
      <c r="K779" s="49"/>
      <c r="L779" s="50"/>
      <c r="M779" s="43" t="str">
        <f aca="false">IF(OR($L779="",$F779=""),"",IFERROR($L779/INDEX(Cadastro!$E$6:$E$8,MATCH($F779,Cadastro!$B$6:$B$8,0)),""))</f>
        <v/>
      </c>
      <c r="N779" s="43" t="str">
        <f aca="false">IF(OR($L779="",$I779="",$I779=0),"",$L779/$I779)</f>
        <v/>
      </c>
      <c r="O779" s="51"/>
    </row>
    <row r="780" customFormat="false" ht="15" hidden="false" customHeight="false" outlineLevel="0" collapsed="false">
      <c r="A780" s="45"/>
      <c r="B780" s="37" t="str">
        <f aca="false">IF($A780="","",WEEKNUM($A780,2))</f>
        <v/>
      </c>
      <c r="C780" s="37" t="str">
        <f aca="false">IF($A780="","",CHOOSE(WEEKDAY($A780,2),"Seg","Ter","Qua","Qui","Sex","Sáb","Dom"))</f>
        <v/>
      </c>
      <c r="D780" s="46"/>
      <c r="E780" s="47"/>
      <c r="F780" s="47"/>
      <c r="G780" s="48"/>
      <c r="H780" s="49"/>
      <c r="I780" s="50"/>
      <c r="J780" s="48"/>
      <c r="K780" s="49"/>
      <c r="L780" s="50"/>
      <c r="M780" s="43" t="str">
        <f aca="false">IF(OR($L780="",$F780=""),"",IFERROR($L780/INDEX(Cadastro!$E$6:$E$8,MATCH($F780,Cadastro!$B$6:$B$8,0)),""))</f>
        <v/>
      </c>
      <c r="N780" s="43" t="str">
        <f aca="false">IF(OR($L780="",$I780="",$I780=0),"",$L780/$I780)</f>
        <v/>
      </c>
      <c r="O780" s="51"/>
    </row>
    <row r="781" customFormat="false" ht="15" hidden="false" customHeight="false" outlineLevel="0" collapsed="false">
      <c r="A781" s="45"/>
      <c r="B781" s="37" t="str">
        <f aca="false">IF($A781="","",WEEKNUM($A781,2))</f>
        <v/>
      </c>
      <c r="C781" s="37" t="str">
        <f aca="false">IF($A781="","",CHOOSE(WEEKDAY($A781,2),"Seg","Ter","Qua","Qui","Sex","Sáb","Dom"))</f>
        <v/>
      </c>
      <c r="D781" s="46"/>
      <c r="E781" s="47"/>
      <c r="F781" s="47"/>
      <c r="G781" s="48"/>
      <c r="H781" s="49"/>
      <c r="I781" s="50"/>
      <c r="J781" s="48"/>
      <c r="K781" s="49"/>
      <c r="L781" s="50"/>
      <c r="M781" s="43" t="str">
        <f aca="false">IF(OR($L781="",$F781=""),"",IFERROR($L781/INDEX(Cadastro!$E$6:$E$8,MATCH($F781,Cadastro!$B$6:$B$8,0)),""))</f>
        <v/>
      </c>
      <c r="N781" s="43" t="str">
        <f aca="false">IF(OR($L781="",$I781="",$I781=0),"",$L781/$I781)</f>
        <v/>
      </c>
      <c r="O781" s="51"/>
    </row>
    <row r="782" customFormat="false" ht="15" hidden="false" customHeight="false" outlineLevel="0" collapsed="false">
      <c r="A782" s="45"/>
      <c r="B782" s="37" t="str">
        <f aca="false">IF($A782="","",WEEKNUM($A782,2))</f>
        <v/>
      </c>
      <c r="C782" s="37" t="str">
        <f aca="false">IF($A782="","",CHOOSE(WEEKDAY($A782,2),"Seg","Ter","Qua","Qui","Sex","Sáb","Dom"))</f>
        <v/>
      </c>
      <c r="D782" s="46"/>
      <c r="E782" s="47"/>
      <c r="F782" s="47"/>
      <c r="G782" s="48"/>
      <c r="H782" s="49"/>
      <c r="I782" s="50"/>
      <c r="J782" s="48"/>
      <c r="K782" s="49"/>
      <c r="L782" s="50"/>
      <c r="M782" s="43" t="str">
        <f aca="false">IF(OR($L782="",$F782=""),"",IFERROR($L782/INDEX(Cadastro!$E$6:$E$8,MATCH($F782,Cadastro!$B$6:$B$8,0)),""))</f>
        <v/>
      </c>
      <c r="N782" s="43" t="str">
        <f aca="false">IF(OR($L782="",$I782="",$I782=0),"",$L782/$I782)</f>
        <v/>
      </c>
      <c r="O782" s="51"/>
    </row>
    <row r="783" customFormat="false" ht="15" hidden="false" customHeight="false" outlineLevel="0" collapsed="false">
      <c r="A783" s="45"/>
      <c r="B783" s="37" t="str">
        <f aca="false">IF($A783="","",WEEKNUM($A783,2))</f>
        <v/>
      </c>
      <c r="C783" s="37" t="str">
        <f aca="false">IF($A783="","",CHOOSE(WEEKDAY($A783,2),"Seg","Ter","Qua","Qui","Sex","Sáb","Dom"))</f>
        <v/>
      </c>
      <c r="D783" s="46"/>
      <c r="E783" s="47"/>
      <c r="F783" s="47"/>
      <c r="G783" s="48"/>
      <c r="H783" s="49"/>
      <c r="I783" s="50"/>
      <c r="J783" s="48"/>
      <c r="K783" s="49"/>
      <c r="L783" s="50"/>
      <c r="M783" s="43" t="str">
        <f aca="false">IF(OR($L783="",$F783=""),"",IFERROR($L783/INDEX(Cadastro!$E$6:$E$8,MATCH($F783,Cadastro!$B$6:$B$8,0)),""))</f>
        <v/>
      </c>
      <c r="N783" s="43" t="str">
        <f aca="false">IF(OR($L783="",$I783="",$I783=0),"",$L783/$I783)</f>
        <v/>
      </c>
      <c r="O783" s="51"/>
    </row>
    <row r="784" customFormat="false" ht="15" hidden="false" customHeight="false" outlineLevel="0" collapsed="false">
      <c r="A784" s="45"/>
      <c r="B784" s="37" t="str">
        <f aca="false">IF($A784="","",WEEKNUM($A784,2))</f>
        <v/>
      </c>
      <c r="C784" s="37" t="str">
        <f aca="false">IF($A784="","",CHOOSE(WEEKDAY($A784,2),"Seg","Ter","Qua","Qui","Sex","Sáb","Dom"))</f>
        <v/>
      </c>
      <c r="D784" s="46"/>
      <c r="E784" s="47"/>
      <c r="F784" s="47"/>
      <c r="G784" s="48"/>
      <c r="H784" s="49"/>
      <c r="I784" s="50"/>
      <c r="J784" s="48"/>
      <c r="K784" s="49"/>
      <c r="L784" s="50"/>
      <c r="M784" s="43" t="str">
        <f aca="false">IF(OR($L784="",$F784=""),"",IFERROR($L784/INDEX(Cadastro!$E$6:$E$8,MATCH($F784,Cadastro!$B$6:$B$8,0)),""))</f>
        <v/>
      </c>
      <c r="N784" s="43" t="str">
        <f aca="false">IF(OR($L784="",$I784="",$I784=0),"",$L784/$I784)</f>
        <v/>
      </c>
      <c r="O784" s="51"/>
    </row>
    <row r="785" customFormat="false" ht="15" hidden="false" customHeight="false" outlineLevel="0" collapsed="false">
      <c r="A785" s="45"/>
      <c r="B785" s="37" t="str">
        <f aca="false">IF($A785="","",WEEKNUM($A785,2))</f>
        <v/>
      </c>
      <c r="C785" s="37" t="str">
        <f aca="false">IF($A785="","",CHOOSE(WEEKDAY($A785,2),"Seg","Ter","Qua","Qui","Sex","Sáb","Dom"))</f>
        <v/>
      </c>
      <c r="D785" s="46"/>
      <c r="E785" s="47"/>
      <c r="F785" s="47"/>
      <c r="G785" s="48"/>
      <c r="H785" s="49"/>
      <c r="I785" s="50"/>
      <c r="J785" s="48"/>
      <c r="K785" s="49"/>
      <c r="L785" s="50"/>
      <c r="M785" s="43" t="str">
        <f aca="false">IF(OR($L785="",$F785=""),"",IFERROR($L785/INDEX(Cadastro!$E$6:$E$8,MATCH($F785,Cadastro!$B$6:$B$8,0)),""))</f>
        <v/>
      </c>
      <c r="N785" s="43" t="str">
        <f aca="false">IF(OR($L785="",$I785="",$I785=0),"",$L785/$I785)</f>
        <v/>
      </c>
      <c r="O785" s="51"/>
    </row>
    <row r="786" customFormat="false" ht="15" hidden="false" customHeight="false" outlineLevel="0" collapsed="false">
      <c r="A786" s="45"/>
      <c r="B786" s="37" t="str">
        <f aca="false">IF($A786="","",WEEKNUM($A786,2))</f>
        <v/>
      </c>
      <c r="C786" s="37" t="str">
        <f aca="false">IF($A786="","",CHOOSE(WEEKDAY($A786,2),"Seg","Ter","Qua","Qui","Sex","Sáb","Dom"))</f>
        <v/>
      </c>
      <c r="D786" s="46"/>
      <c r="E786" s="47"/>
      <c r="F786" s="47"/>
      <c r="G786" s="48"/>
      <c r="H786" s="49"/>
      <c r="I786" s="50"/>
      <c r="J786" s="48"/>
      <c r="K786" s="49"/>
      <c r="L786" s="50"/>
      <c r="M786" s="43" t="str">
        <f aca="false">IF(OR($L786="",$F786=""),"",IFERROR($L786/INDEX(Cadastro!$E$6:$E$8,MATCH($F786,Cadastro!$B$6:$B$8,0)),""))</f>
        <v/>
      </c>
      <c r="N786" s="43" t="str">
        <f aca="false">IF(OR($L786="",$I786="",$I786=0),"",$L786/$I786)</f>
        <v/>
      </c>
      <c r="O786" s="51"/>
    </row>
    <row r="787" customFormat="false" ht="15" hidden="false" customHeight="false" outlineLevel="0" collapsed="false">
      <c r="A787" s="45"/>
      <c r="B787" s="37" t="str">
        <f aca="false">IF($A787="","",WEEKNUM($A787,2))</f>
        <v/>
      </c>
      <c r="C787" s="37" t="str">
        <f aca="false">IF($A787="","",CHOOSE(WEEKDAY($A787,2),"Seg","Ter","Qua","Qui","Sex","Sáb","Dom"))</f>
        <v/>
      </c>
      <c r="D787" s="46"/>
      <c r="E787" s="47"/>
      <c r="F787" s="47"/>
      <c r="G787" s="48"/>
      <c r="H787" s="49"/>
      <c r="I787" s="50"/>
      <c r="J787" s="48"/>
      <c r="K787" s="49"/>
      <c r="L787" s="50"/>
      <c r="M787" s="43" t="str">
        <f aca="false">IF(OR($L787="",$F787=""),"",IFERROR($L787/INDEX(Cadastro!$E$6:$E$8,MATCH($F787,Cadastro!$B$6:$B$8,0)),""))</f>
        <v/>
      </c>
      <c r="N787" s="43" t="str">
        <f aca="false">IF(OR($L787="",$I787="",$I787=0),"",$L787/$I787)</f>
        <v/>
      </c>
      <c r="O787" s="51"/>
    </row>
    <row r="788" customFormat="false" ht="15" hidden="false" customHeight="false" outlineLevel="0" collapsed="false">
      <c r="A788" s="45"/>
      <c r="B788" s="37" t="str">
        <f aca="false">IF($A788="","",WEEKNUM($A788,2))</f>
        <v/>
      </c>
      <c r="C788" s="37" t="str">
        <f aca="false">IF($A788="","",CHOOSE(WEEKDAY($A788,2),"Seg","Ter","Qua","Qui","Sex","Sáb","Dom"))</f>
        <v/>
      </c>
      <c r="D788" s="46"/>
      <c r="E788" s="47"/>
      <c r="F788" s="47"/>
      <c r="G788" s="48"/>
      <c r="H788" s="49"/>
      <c r="I788" s="50"/>
      <c r="J788" s="48"/>
      <c r="K788" s="49"/>
      <c r="L788" s="50"/>
      <c r="M788" s="43" t="str">
        <f aca="false">IF(OR($L788="",$F788=""),"",IFERROR($L788/INDEX(Cadastro!$E$6:$E$8,MATCH($F788,Cadastro!$B$6:$B$8,0)),""))</f>
        <v/>
      </c>
      <c r="N788" s="43" t="str">
        <f aca="false">IF(OR($L788="",$I788="",$I788=0),"",$L788/$I788)</f>
        <v/>
      </c>
      <c r="O788" s="51"/>
    </row>
    <row r="789" customFormat="false" ht="15" hidden="false" customHeight="false" outlineLevel="0" collapsed="false">
      <c r="A789" s="45"/>
      <c r="B789" s="37" t="str">
        <f aca="false">IF($A789="","",WEEKNUM($A789,2))</f>
        <v/>
      </c>
      <c r="C789" s="37" t="str">
        <f aca="false">IF($A789="","",CHOOSE(WEEKDAY($A789,2),"Seg","Ter","Qua","Qui","Sex","Sáb","Dom"))</f>
        <v/>
      </c>
      <c r="D789" s="46"/>
      <c r="E789" s="47"/>
      <c r="F789" s="47"/>
      <c r="G789" s="48"/>
      <c r="H789" s="49"/>
      <c r="I789" s="50"/>
      <c r="J789" s="48"/>
      <c r="K789" s="49"/>
      <c r="L789" s="50"/>
      <c r="M789" s="43" t="str">
        <f aca="false">IF(OR($L789="",$F789=""),"",IFERROR($L789/INDEX(Cadastro!$E$6:$E$8,MATCH($F789,Cadastro!$B$6:$B$8,0)),""))</f>
        <v/>
      </c>
      <c r="N789" s="43" t="str">
        <f aca="false">IF(OR($L789="",$I789="",$I789=0),"",$L789/$I789)</f>
        <v/>
      </c>
      <c r="O789" s="51"/>
    </row>
    <row r="790" customFormat="false" ht="15" hidden="false" customHeight="false" outlineLevel="0" collapsed="false">
      <c r="A790" s="45"/>
      <c r="B790" s="37" t="str">
        <f aca="false">IF($A790="","",WEEKNUM($A790,2))</f>
        <v/>
      </c>
      <c r="C790" s="37" t="str">
        <f aca="false">IF($A790="","",CHOOSE(WEEKDAY($A790,2),"Seg","Ter","Qua","Qui","Sex","Sáb","Dom"))</f>
        <v/>
      </c>
      <c r="D790" s="46"/>
      <c r="E790" s="47"/>
      <c r="F790" s="47"/>
      <c r="G790" s="48"/>
      <c r="H790" s="49"/>
      <c r="I790" s="50"/>
      <c r="J790" s="48"/>
      <c r="K790" s="49"/>
      <c r="L790" s="50"/>
      <c r="M790" s="43" t="str">
        <f aca="false">IF(OR($L790="",$F790=""),"",IFERROR($L790/INDEX(Cadastro!$E$6:$E$8,MATCH($F790,Cadastro!$B$6:$B$8,0)),""))</f>
        <v/>
      </c>
      <c r="N790" s="43" t="str">
        <f aca="false">IF(OR($L790="",$I790="",$I790=0),"",$L790/$I790)</f>
        <v/>
      </c>
      <c r="O790" s="51"/>
    </row>
    <row r="791" customFormat="false" ht="15" hidden="false" customHeight="false" outlineLevel="0" collapsed="false">
      <c r="A791" s="45"/>
      <c r="B791" s="37" t="str">
        <f aca="false">IF($A791="","",WEEKNUM($A791,2))</f>
        <v/>
      </c>
      <c r="C791" s="37" t="str">
        <f aca="false">IF($A791="","",CHOOSE(WEEKDAY($A791,2),"Seg","Ter","Qua","Qui","Sex","Sáb","Dom"))</f>
        <v/>
      </c>
      <c r="D791" s="46"/>
      <c r="E791" s="47"/>
      <c r="F791" s="47"/>
      <c r="G791" s="48"/>
      <c r="H791" s="49"/>
      <c r="I791" s="50"/>
      <c r="J791" s="48"/>
      <c r="K791" s="49"/>
      <c r="L791" s="50"/>
      <c r="M791" s="43" t="str">
        <f aca="false">IF(OR($L791="",$F791=""),"",IFERROR($L791/INDEX(Cadastro!$E$6:$E$8,MATCH($F791,Cadastro!$B$6:$B$8,0)),""))</f>
        <v/>
      </c>
      <c r="N791" s="43" t="str">
        <f aca="false">IF(OR($L791="",$I791="",$I791=0),"",$L791/$I791)</f>
        <v/>
      </c>
      <c r="O791" s="51"/>
    </row>
    <row r="792" customFormat="false" ht="15" hidden="false" customHeight="false" outlineLevel="0" collapsed="false">
      <c r="A792" s="45"/>
      <c r="B792" s="37" t="str">
        <f aca="false">IF($A792="","",WEEKNUM($A792,2))</f>
        <v/>
      </c>
      <c r="C792" s="37" t="str">
        <f aca="false">IF($A792="","",CHOOSE(WEEKDAY($A792,2),"Seg","Ter","Qua","Qui","Sex","Sáb","Dom"))</f>
        <v/>
      </c>
      <c r="D792" s="46"/>
      <c r="E792" s="47"/>
      <c r="F792" s="47"/>
      <c r="G792" s="48"/>
      <c r="H792" s="49"/>
      <c r="I792" s="50"/>
      <c r="J792" s="48"/>
      <c r="K792" s="49"/>
      <c r="L792" s="50"/>
      <c r="M792" s="43" t="str">
        <f aca="false">IF(OR($L792="",$F792=""),"",IFERROR($L792/INDEX(Cadastro!$E$6:$E$8,MATCH($F792,Cadastro!$B$6:$B$8,0)),""))</f>
        <v/>
      </c>
      <c r="N792" s="43" t="str">
        <f aca="false">IF(OR($L792="",$I792="",$I792=0),"",$L792/$I792)</f>
        <v/>
      </c>
      <c r="O792" s="51"/>
    </row>
    <row r="793" customFormat="false" ht="15" hidden="false" customHeight="false" outlineLevel="0" collapsed="false">
      <c r="A793" s="45"/>
      <c r="B793" s="37" t="str">
        <f aca="false">IF($A793="","",WEEKNUM($A793,2))</f>
        <v/>
      </c>
      <c r="C793" s="37" t="str">
        <f aca="false">IF($A793="","",CHOOSE(WEEKDAY($A793,2),"Seg","Ter","Qua","Qui","Sex","Sáb","Dom"))</f>
        <v/>
      </c>
      <c r="D793" s="46"/>
      <c r="E793" s="47"/>
      <c r="F793" s="47"/>
      <c r="G793" s="48"/>
      <c r="H793" s="49"/>
      <c r="I793" s="50"/>
      <c r="J793" s="48"/>
      <c r="K793" s="49"/>
      <c r="L793" s="50"/>
      <c r="M793" s="43" t="str">
        <f aca="false">IF(OR($L793="",$F793=""),"",IFERROR($L793/INDEX(Cadastro!$E$6:$E$8,MATCH($F793,Cadastro!$B$6:$B$8,0)),""))</f>
        <v/>
      </c>
      <c r="N793" s="43" t="str">
        <f aca="false">IF(OR($L793="",$I793="",$I793=0),"",$L793/$I793)</f>
        <v/>
      </c>
      <c r="O793" s="51"/>
    </row>
    <row r="794" customFormat="false" ht="15" hidden="false" customHeight="false" outlineLevel="0" collapsed="false">
      <c r="A794" s="45"/>
      <c r="B794" s="37" t="str">
        <f aca="false">IF($A794="","",WEEKNUM($A794,2))</f>
        <v/>
      </c>
      <c r="C794" s="37" t="str">
        <f aca="false">IF($A794="","",CHOOSE(WEEKDAY($A794,2),"Seg","Ter","Qua","Qui","Sex","Sáb","Dom"))</f>
        <v/>
      </c>
      <c r="D794" s="46"/>
      <c r="E794" s="47"/>
      <c r="F794" s="47"/>
      <c r="G794" s="48"/>
      <c r="H794" s="49"/>
      <c r="I794" s="50"/>
      <c r="J794" s="48"/>
      <c r="K794" s="49"/>
      <c r="L794" s="50"/>
      <c r="M794" s="43" t="str">
        <f aca="false">IF(OR($L794="",$F794=""),"",IFERROR($L794/INDEX(Cadastro!$E$6:$E$8,MATCH($F794,Cadastro!$B$6:$B$8,0)),""))</f>
        <v/>
      </c>
      <c r="N794" s="43" t="str">
        <f aca="false">IF(OR($L794="",$I794="",$I794=0),"",$L794/$I794)</f>
        <v/>
      </c>
      <c r="O794" s="51"/>
    </row>
    <row r="795" customFormat="false" ht="15" hidden="false" customHeight="false" outlineLevel="0" collapsed="false">
      <c r="A795" s="45"/>
      <c r="B795" s="37" t="str">
        <f aca="false">IF($A795="","",WEEKNUM($A795,2))</f>
        <v/>
      </c>
      <c r="C795" s="37" t="str">
        <f aca="false">IF($A795="","",CHOOSE(WEEKDAY($A795,2),"Seg","Ter","Qua","Qui","Sex","Sáb","Dom"))</f>
        <v/>
      </c>
      <c r="D795" s="46"/>
      <c r="E795" s="47"/>
      <c r="F795" s="47"/>
      <c r="G795" s="48"/>
      <c r="H795" s="49"/>
      <c r="I795" s="50"/>
      <c r="J795" s="48"/>
      <c r="K795" s="49"/>
      <c r="L795" s="50"/>
      <c r="M795" s="43" t="str">
        <f aca="false">IF(OR($L795="",$F795=""),"",IFERROR($L795/INDEX(Cadastro!$E$6:$E$8,MATCH($F795,Cadastro!$B$6:$B$8,0)),""))</f>
        <v/>
      </c>
      <c r="N795" s="43" t="str">
        <f aca="false">IF(OR($L795="",$I795="",$I795=0),"",$L795/$I795)</f>
        <v/>
      </c>
      <c r="O795" s="51"/>
    </row>
    <row r="796" customFormat="false" ht="15" hidden="false" customHeight="false" outlineLevel="0" collapsed="false">
      <c r="A796" s="45"/>
      <c r="B796" s="37" t="str">
        <f aca="false">IF($A796="","",WEEKNUM($A796,2))</f>
        <v/>
      </c>
      <c r="C796" s="37" t="str">
        <f aca="false">IF($A796="","",CHOOSE(WEEKDAY($A796,2),"Seg","Ter","Qua","Qui","Sex","Sáb","Dom"))</f>
        <v/>
      </c>
      <c r="D796" s="46"/>
      <c r="E796" s="47"/>
      <c r="F796" s="47"/>
      <c r="G796" s="48"/>
      <c r="H796" s="49"/>
      <c r="I796" s="50"/>
      <c r="J796" s="48"/>
      <c r="K796" s="49"/>
      <c r="L796" s="50"/>
      <c r="M796" s="43" t="str">
        <f aca="false">IF(OR($L796="",$F796=""),"",IFERROR($L796/INDEX(Cadastro!$E$6:$E$8,MATCH($F796,Cadastro!$B$6:$B$8,0)),""))</f>
        <v/>
      </c>
      <c r="N796" s="43" t="str">
        <f aca="false">IF(OR($L796="",$I796="",$I796=0),"",$L796/$I796)</f>
        <v/>
      </c>
      <c r="O796" s="51"/>
    </row>
    <row r="797" customFormat="false" ht="15" hidden="false" customHeight="false" outlineLevel="0" collapsed="false">
      <c r="A797" s="45"/>
      <c r="B797" s="37" t="str">
        <f aca="false">IF($A797="","",WEEKNUM($A797,2))</f>
        <v/>
      </c>
      <c r="C797" s="37" t="str">
        <f aca="false">IF($A797="","",CHOOSE(WEEKDAY($A797,2),"Seg","Ter","Qua","Qui","Sex","Sáb","Dom"))</f>
        <v/>
      </c>
      <c r="D797" s="46"/>
      <c r="E797" s="47"/>
      <c r="F797" s="47"/>
      <c r="G797" s="48"/>
      <c r="H797" s="49"/>
      <c r="I797" s="50"/>
      <c r="J797" s="48"/>
      <c r="K797" s="49"/>
      <c r="L797" s="50"/>
      <c r="M797" s="43" t="str">
        <f aca="false">IF(OR($L797="",$F797=""),"",IFERROR($L797/INDEX(Cadastro!$E$6:$E$8,MATCH($F797,Cadastro!$B$6:$B$8,0)),""))</f>
        <v/>
      </c>
      <c r="N797" s="43" t="str">
        <f aca="false">IF(OR($L797="",$I797="",$I797=0),"",$L797/$I797)</f>
        <v/>
      </c>
      <c r="O797" s="51"/>
    </row>
    <row r="798" customFormat="false" ht="15" hidden="false" customHeight="false" outlineLevel="0" collapsed="false">
      <c r="A798" s="45"/>
      <c r="B798" s="37" t="str">
        <f aca="false">IF($A798="","",WEEKNUM($A798,2))</f>
        <v/>
      </c>
      <c r="C798" s="37" t="str">
        <f aca="false">IF($A798="","",CHOOSE(WEEKDAY($A798,2),"Seg","Ter","Qua","Qui","Sex","Sáb","Dom"))</f>
        <v/>
      </c>
      <c r="D798" s="46"/>
      <c r="E798" s="47"/>
      <c r="F798" s="47"/>
      <c r="G798" s="48"/>
      <c r="H798" s="49"/>
      <c r="I798" s="50"/>
      <c r="J798" s="48"/>
      <c r="K798" s="49"/>
      <c r="L798" s="50"/>
      <c r="M798" s="43" t="str">
        <f aca="false">IF(OR($L798="",$F798=""),"",IFERROR($L798/INDEX(Cadastro!$E$6:$E$8,MATCH($F798,Cadastro!$B$6:$B$8,0)),""))</f>
        <v/>
      </c>
      <c r="N798" s="43" t="str">
        <f aca="false">IF(OR($L798="",$I798="",$I798=0),"",$L798/$I798)</f>
        <v/>
      </c>
      <c r="O798" s="51"/>
    </row>
    <row r="799" customFormat="false" ht="15" hidden="false" customHeight="false" outlineLevel="0" collapsed="false">
      <c r="A799" s="45"/>
      <c r="B799" s="37" t="str">
        <f aca="false">IF($A799="","",WEEKNUM($A799,2))</f>
        <v/>
      </c>
      <c r="C799" s="37" t="str">
        <f aca="false">IF($A799="","",CHOOSE(WEEKDAY($A799,2),"Seg","Ter","Qua","Qui","Sex","Sáb","Dom"))</f>
        <v/>
      </c>
      <c r="D799" s="46"/>
      <c r="E799" s="47"/>
      <c r="F799" s="47"/>
      <c r="G799" s="48"/>
      <c r="H799" s="49"/>
      <c r="I799" s="50"/>
      <c r="J799" s="48"/>
      <c r="K799" s="49"/>
      <c r="L799" s="50"/>
      <c r="M799" s="43" t="str">
        <f aca="false">IF(OR($L799="",$F799=""),"",IFERROR($L799/INDEX(Cadastro!$E$6:$E$8,MATCH($F799,Cadastro!$B$6:$B$8,0)),""))</f>
        <v/>
      </c>
      <c r="N799" s="43" t="str">
        <f aca="false">IF(OR($L799="",$I799="",$I799=0),"",$L799/$I799)</f>
        <v/>
      </c>
      <c r="O799" s="51"/>
    </row>
    <row r="800" customFormat="false" ht="15" hidden="false" customHeight="false" outlineLevel="0" collapsed="false">
      <c r="A800" s="45"/>
      <c r="B800" s="37" t="str">
        <f aca="false">IF($A800="","",WEEKNUM($A800,2))</f>
        <v/>
      </c>
      <c r="C800" s="37" t="str">
        <f aca="false">IF($A800="","",CHOOSE(WEEKDAY($A800,2),"Seg","Ter","Qua","Qui","Sex","Sáb","Dom"))</f>
        <v/>
      </c>
      <c r="D800" s="46"/>
      <c r="E800" s="47"/>
      <c r="F800" s="47"/>
      <c r="G800" s="48"/>
      <c r="H800" s="49"/>
      <c r="I800" s="50"/>
      <c r="J800" s="48"/>
      <c r="K800" s="49"/>
      <c r="L800" s="50"/>
      <c r="M800" s="43" t="str">
        <f aca="false">IF(OR($L800="",$F800=""),"",IFERROR($L800/INDEX(Cadastro!$E$6:$E$8,MATCH($F800,Cadastro!$B$6:$B$8,0)),""))</f>
        <v/>
      </c>
      <c r="N800" s="43" t="str">
        <f aca="false">IF(OR($L800="",$I800="",$I800=0),"",$L800/$I800)</f>
        <v/>
      </c>
      <c r="O800" s="51"/>
    </row>
    <row r="801" customFormat="false" ht="15" hidden="false" customHeight="false" outlineLevel="0" collapsed="false">
      <c r="A801" s="45"/>
      <c r="B801" s="37" t="str">
        <f aca="false">IF($A801="","",WEEKNUM($A801,2))</f>
        <v/>
      </c>
      <c r="C801" s="37" t="str">
        <f aca="false">IF($A801="","",CHOOSE(WEEKDAY($A801,2),"Seg","Ter","Qua","Qui","Sex","Sáb","Dom"))</f>
        <v/>
      </c>
      <c r="D801" s="46"/>
      <c r="E801" s="47"/>
      <c r="F801" s="47"/>
      <c r="G801" s="48"/>
      <c r="H801" s="49"/>
      <c r="I801" s="50"/>
      <c r="J801" s="48"/>
      <c r="K801" s="49"/>
      <c r="L801" s="50"/>
      <c r="M801" s="43" t="str">
        <f aca="false">IF(OR($L801="",$F801=""),"",IFERROR($L801/INDEX(Cadastro!$E$6:$E$8,MATCH($F801,Cadastro!$B$6:$B$8,0)),""))</f>
        <v/>
      </c>
      <c r="N801" s="43" t="str">
        <f aca="false">IF(OR($L801="",$I801="",$I801=0),"",$L801/$I801)</f>
        <v/>
      </c>
      <c r="O801" s="51"/>
    </row>
    <row r="802" customFormat="false" ht="15" hidden="false" customHeight="false" outlineLevel="0" collapsed="false">
      <c r="A802" s="45"/>
      <c r="B802" s="37" t="str">
        <f aca="false">IF($A802="","",WEEKNUM($A802,2))</f>
        <v/>
      </c>
      <c r="C802" s="37" t="str">
        <f aca="false">IF($A802="","",CHOOSE(WEEKDAY($A802,2),"Seg","Ter","Qua","Qui","Sex","Sáb","Dom"))</f>
        <v/>
      </c>
      <c r="D802" s="46"/>
      <c r="E802" s="47"/>
      <c r="F802" s="47"/>
      <c r="G802" s="48"/>
      <c r="H802" s="49"/>
      <c r="I802" s="50"/>
      <c r="J802" s="48"/>
      <c r="K802" s="49"/>
      <c r="L802" s="50"/>
      <c r="M802" s="43" t="str">
        <f aca="false">IF(OR($L802="",$F802=""),"",IFERROR($L802/INDEX(Cadastro!$E$6:$E$8,MATCH($F802,Cadastro!$B$6:$B$8,0)),""))</f>
        <v/>
      </c>
      <c r="N802" s="43" t="str">
        <f aca="false">IF(OR($L802="",$I802="",$I802=0),"",$L802/$I802)</f>
        <v/>
      </c>
      <c r="O802" s="51"/>
    </row>
    <row r="803" customFormat="false" ht="15" hidden="false" customHeight="false" outlineLevel="0" collapsed="false">
      <c r="A803" s="45"/>
      <c r="B803" s="37" t="str">
        <f aca="false">IF($A803="","",WEEKNUM($A803,2))</f>
        <v/>
      </c>
      <c r="C803" s="37" t="str">
        <f aca="false">IF($A803="","",CHOOSE(WEEKDAY($A803,2),"Seg","Ter","Qua","Qui","Sex","Sáb","Dom"))</f>
        <v/>
      </c>
      <c r="D803" s="46"/>
      <c r="E803" s="47"/>
      <c r="F803" s="47"/>
      <c r="G803" s="48"/>
      <c r="H803" s="49"/>
      <c r="I803" s="50"/>
      <c r="J803" s="48"/>
      <c r="K803" s="49"/>
      <c r="L803" s="50"/>
      <c r="M803" s="43" t="str">
        <f aca="false">IF(OR($L803="",$F803=""),"",IFERROR($L803/INDEX(Cadastro!$E$6:$E$8,MATCH($F803,Cadastro!$B$6:$B$8,0)),""))</f>
        <v/>
      </c>
      <c r="N803" s="43" t="str">
        <f aca="false">IF(OR($L803="",$I803="",$I803=0),"",$L803/$I803)</f>
        <v/>
      </c>
      <c r="O803" s="51"/>
    </row>
    <row r="804" customFormat="false" ht="15" hidden="false" customHeight="false" outlineLevel="0" collapsed="false">
      <c r="A804" s="45"/>
      <c r="B804" s="37" t="str">
        <f aca="false">IF($A804="","",WEEKNUM($A804,2))</f>
        <v/>
      </c>
      <c r="C804" s="37" t="str">
        <f aca="false">IF($A804="","",CHOOSE(WEEKDAY($A804,2),"Seg","Ter","Qua","Qui","Sex","Sáb","Dom"))</f>
        <v/>
      </c>
      <c r="D804" s="46"/>
      <c r="E804" s="47"/>
      <c r="F804" s="47"/>
      <c r="G804" s="48"/>
      <c r="H804" s="49"/>
      <c r="I804" s="50"/>
      <c r="J804" s="48"/>
      <c r="K804" s="49"/>
      <c r="L804" s="50"/>
      <c r="M804" s="43" t="str">
        <f aca="false">IF(OR($L804="",$F804=""),"",IFERROR($L804/INDEX(Cadastro!$E$6:$E$8,MATCH($F804,Cadastro!$B$6:$B$8,0)),""))</f>
        <v/>
      </c>
      <c r="N804" s="43" t="str">
        <f aca="false">IF(OR($L804="",$I804="",$I804=0),"",$L804/$I804)</f>
        <v/>
      </c>
      <c r="O804" s="51"/>
    </row>
    <row r="805" customFormat="false" ht="15" hidden="false" customHeight="false" outlineLevel="0" collapsed="false">
      <c r="A805" s="45"/>
      <c r="B805" s="37" t="str">
        <f aca="false">IF($A805="","",WEEKNUM($A805,2))</f>
        <v/>
      </c>
      <c r="C805" s="37" t="str">
        <f aca="false">IF($A805="","",CHOOSE(WEEKDAY($A805,2),"Seg","Ter","Qua","Qui","Sex","Sáb","Dom"))</f>
        <v/>
      </c>
      <c r="D805" s="46"/>
      <c r="E805" s="47"/>
      <c r="F805" s="47"/>
      <c r="G805" s="48"/>
      <c r="H805" s="49"/>
      <c r="I805" s="50"/>
      <c r="J805" s="48"/>
      <c r="K805" s="49"/>
      <c r="L805" s="50"/>
      <c r="M805" s="43" t="str">
        <f aca="false">IF(OR($L805="",$F805=""),"",IFERROR($L805/INDEX(Cadastro!$E$6:$E$8,MATCH($F805,Cadastro!$B$6:$B$8,0)),""))</f>
        <v/>
      </c>
      <c r="N805" s="43" t="str">
        <f aca="false">IF(OR($L805="",$I805="",$I805=0),"",$L805/$I805)</f>
        <v/>
      </c>
      <c r="O805" s="51"/>
    </row>
    <row r="806" customFormat="false" ht="15" hidden="false" customHeight="false" outlineLevel="0" collapsed="false">
      <c r="A806" s="45"/>
      <c r="B806" s="37" t="str">
        <f aca="false">IF($A806="","",WEEKNUM($A806,2))</f>
        <v/>
      </c>
      <c r="C806" s="37" t="str">
        <f aca="false">IF($A806="","",CHOOSE(WEEKDAY($A806,2),"Seg","Ter","Qua","Qui","Sex","Sáb","Dom"))</f>
        <v/>
      </c>
      <c r="D806" s="46"/>
      <c r="E806" s="47"/>
      <c r="F806" s="47"/>
      <c r="G806" s="48"/>
      <c r="H806" s="49"/>
      <c r="I806" s="50"/>
      <c r="J806" s="48"/>
      <c r="K806" s="49"/>
      <c r="L806" s="50"/>
      <c r="M806" s="43" t="str">
        <f aca="false">IF(OR($L806="",$F806=""),"",IFERROR($L806/INDEX(Cadastro!$E$6:$E$8,MATCH($F806,Cadastro!$B$6:$B$8,0)),""))</f>
        <v/>
      </c>
      <c r="N806" s="43" t="str">
        <f aca="false">IF(OR($L806="",$I806="",$I806=0),"",$L806/$I806)</f>
        <v/>
      </c>
      <c r="O806" s="51"/>
    </row>
    <row r="807" customFormat="false" ht="15" hidden="false" customHeight="false" outlineLevel="0" collapsed="false">
      <c r="A807" s="45"/>
      <c r="B807" s="37" t="str">
        <f aca="false">IF($A807="","",WEEKNUM($A807,2))</f>
        <v/>
      </c>
      <c r="C807" s="37" t="str">
        <f aca="false">IF($A807="","",CHOOSE(WEEKDAY($A807,2),"Seg","Ter","Qua","Qui","Sex","Sáb","Dom"))</f>
        <v/>
      </c>
      <c r="D807" s="46"/>
      <c r="E807" s="47"/>
      <c r="F807" s="47"/>
      <c r="G807" s="48"/>
      <c r="H807" s="49"/>
      <c r="I807" s="50"/>
      <c r="J807" s="48"/>
      <c r="K807" s="49"/>
      <c r="L807" s="50"/>
      <c r="M807" s="43" t="str">
        <f aca="false">IF(OR($L807="",$F807=""),"",IFERROR($L807/INDEX(Cadastro!$E$6:$E$8,MATCH($F807,Cadastro!$B$6:$B$8,0)),""))</f>
        <v/>
      </c>
      <c r="N807" s="43" t="str">
        <f aca="false">IF(OR($L807="",$I807="",$I807=0),"",$L807/$I807)</f>
        <v/>
      </c>
      <c r="O807" s="51"/>
    </row>
    <row r="808" customFormat="false" ht="15" hidden="false" customHeight="false" outlineLevel="0" collapsed="false">
      <c r="A808" s="45"/>
      <c r="B808" s="37" t="str">
        <f aca="false">IF($A808="","",WEEKNUM($A808,2))</f>
        <v/>
      </c>
      <c r="C808" s="37" t="str">
        <f aca="false">IF($A808="","",CHOOSE(WEEKDAY($A808,2),"Seg","Ter","Qua","Qui","Sex","Sáb","Dom"))</f>
        <v/>
      </c>
      <c r="D808" s="46"/>
      <c r="E808" s="47"/>
      <c r="F808" s="47"/>
      <c r="G808" s="48"/>
      <c r="H808" s="49"/>
      <c r="I808" s="50"/>
      <c r="J808" s="48"/>
      <c r="K808" s="49"/>
      <c r="L808" s="50"/>
      <c r="M808" s="43" t="str">
        <f aca="false">IF(OR($L808="",$F808=""),"",IFERROR($L808/INDEX(Cadastro!$E$6:$E$8,MATCH($F808,Cadastro!$B$6:$B$8,0)),""))</f>
        <v/>
      </c>
      <c r="N808" s="43" t="str">
        <f aca="false">IF(OR($L808="",$I808="",$I808=0),"",$L808/$I808)</f>
        <v/>
      </c>
      <c r="O808" s="51"/>
    </row>
    <row r="809" customFormat="false" ht="15" hidden="false" customHeight="false" outlineLevel="0" collapsed="false">
      <c r="A809" s="45"/>
      <c r="B809" s="37" t="str">
        <f aca="false">IF($A809="","",WEEKNUM($A809,2))</f>
        <v/>
      </c>
      <c r="C809" s="37" t="str">
        <f aca="false">IF($A809="","",CHOOSE(WEEKDAY($A809,2),"Seg","Ter","Qua","Qui","Sex","Sáb","Dom"))</f>
        <v/>
      </c>
      <c r="D809" s="46"/>
      <c r="E809" s="47"/>
      <c r="F809" s="47"/>
      <c r="G809" s="48"/>
      <c r="H809" s="49"/>
      <c r="I809" s="50"/>
      <c r="J809" s="48"/>
      <c r="K809" s="49"/>
      <c r="L809" s="50"/>
      <c r="M809" s="43" t="str">
        <f aca="false">IF(OR($L809="",$F809=""),"",IFERROR($L809/INDEX(Cadastro!$E$6:$E$8,MATCH($F809,Cadastro!$B$6:$B$8,0)),""))</f>
        <v/>
      </c>
      <c r="N809" s="43" t="str">
        <f aca="false">IF(OR($L809="",$I809="",$I809=0),"",$L809/$I809)</f>
        <v/>
      </c>
      <c r="O809" s="51"/>
    </row>
    <row r="810" customFormat="false" ht="15" hidden="false" customHeight="false" outlineLevel="0" collapsed="false">
      <c r="A810" s="45"/>
      <c r="B810" s="37" t="str">
        <f aca="false">IF($A810="","",WEEKNUM($A810,2))</f>
        <v/>
      </c>
      <c r="C810" s="37" t="str">
        <f aca="false">IF($A810="","",CHOOSE(WEEKDAY($A810,2),"Seg","Ter","Qua","Qui","Sex","Sáb","Dom"))</f>
        <v/>
      </c>
      <c r="D810" s="46"/>
      <c r="E810" s="47"/>
      <c r="F810" s="47"/>
      <c r="G810" s="48"/>
      <c r="H810" s="49"/>
      <c r="I810" s="50"/>
      <c r="J810" s="48"/>
      <c r="K810" s="49"/>
      <c r="L810" s="50"/>
      <c r="M810" s="43" t="str">
        <f aca="false">IF(OR($L810="",$F810=""),"",IFERROR($L810/INDEX(Cadastro!$E$6:$E$8,MATCH($F810,Cadastro!$B$6:$B$8,0)),""))</f>
        <v/>
      </c>
      <c r="N810" s="43" t="str">
        <f aca="false">IF(OR($L810="",$I810="",$I810=0),"",$L810/$I810)</f>
        <v/>
      </c>
      <c r="O810" s="51"/>
    </row>
    <row r="811" customFormat="false" ht="15" hidden="false" customHeight="false" outlineLevel="0" collapsed="false">
      <c r="A811" s="45"/>
      <c r="B811" s="37" t="str">
        <f aca="false">IF($A811="","",WEEKNUM($A811,2))</f>
        <v/>
      </c>
      <c r="C811" s="37" t="str">
        <f aca="false">IF($A811="","",CHOOSE(WEEKDAY($A811,2),"Seg","Ter","Qua","Qui","Sex","Sáb","Dom"))</f>
        <v/>
      </c>
      <c r="D811" s="46"/>
      <c r="E811" s="47"/>
      <c r="F811" s="47"/>
      <c r="G811" s="48"/>
      <c r="H811" s="49"/>
      <c r="I811" s="50"/>
      <c r="J811" s="48"/>
      <c r="K811" s="49"/>
      <c r="L811" s="50"/>
      <c r="M811" s="43" t="str">
        <f aca="false">IF(OR($L811="",$F811=""),"",IFERROR($L811/INDEX(Cadastro!$E$6:$E$8,MATCH($F811,Cadastro!$B$6:$B$8,0)),""))</f>
        <v/>
      </c>
      <c r="N811" s="43" t="str">
        <f aca="false">IF(OR($L811="",$I811="",$I811=0),"",$L811/$I811)</f>
        <v/>
      </c>
      <c r="O811" s="51"/>
    </row>
    <row r="812" customFormat="false" ht="15" hidden="false" customHeight="false" outlineLevel="0" collapsed="false">
      <c r="A812" s="45"/>
      <c r="B812" s="37" t="str">
        <f aca="false">IF($A812="","",WEEKNUM($A812,2))</f>
        <v/>
      </c>
      <c r="C812" s="37" t="str">
        <f aca="false">IF($A812="","",CHOOSE(WEEKDAY($A812,2),"Seg","Ter","Qua","Qui","Sex","Sáb","Dom"))</f>
        <v/>
      </c>
      <c r="D812" s="46"/>
      <c r="E812" s="47"/>
      <c r="F812" s="47"/>
      <c r="G812" s="48"/>
      <c r="H812" s="49"/>
      <c r="I812" s="50"/>
      <c r="J812" s="48"/>
      <c r="K812" s="49"/>
      <c r="L812" s="50"/>
      <c r="M812" s="43" t="str">
        <f aca="false">IF(OR($L812="",$F812=""),"",IFERROR($L812/INDEX(Cadastro!$E$6:$E$8,MATCH($F812,Cadastro!$B$6:$B$8,0)),""))</f>
        <v/>
      </c>
      <c r="N812" s="43" t="str">
        <f aca="false">IF(OR($L812="",$I812="",$I812=0),"",$L812/$I812)</f>
        <v/>
      </c>
      <c r="O812" s="51"/>
    </row>
    <row r="813" customFormat="false" ht="15" hidden="false" customHeight="false" outlineLevel="0" collapsed="false">
      <c r="A813" s="45"/>
      <c r="B813" s="37" t="str">
        <f aca="false">IF($A813="","",WEEKNUM($A813,2))</f>
        <v/>
      </c>
      <c r="C813" s="37" t="str">
        <f aca="false">IF($A813="","",CHOOSE(WEEKDAY($A813,2),"Seg","Ter","Qua","Qui","Sex","Sáb","Dom"))</f>
        <v/>
      </c>
      <c r="D813" s="46"/>
      <c r="E813" s="47"/>
      <c r="F813" s="47"/>
      <c r="G813" s="48"/>
      <c r="H813" s="49"/>
      <c r="I813" s="50"/>
      <c r="J813" s="48"/>
      <c r="K813" s="49"/>
      <c r="L813" s="50"/>
      <c r="M813" s="43" t="str">
        <f aca="false">IF(OR($L813="",$F813=""),"",IFERROR($L813/INDEX(Cadastro!$E$6:$E$8,MATCH($F813,Cadastro!$B$6:$B$8,0)),""))</f>
        <v/>
      </c>
      <c r="N813" s="43" t="str">
        <f aca="false">IF(OR($L813="",$I813="",$I813=0),"",$L813/$I813)</f>
        <v/>
      </c>
      <c r="O813" s="51"/>
    </row>
    <row r="814" customFormat="false" ht="15" hidden="false" customHeight="false" outlineLevel="0" collapsed="false">
      <c r="A814" s="45"/>
      <c r="B814" s="37" t="str">
        <f aca="false">IF($A814="","",WEEKNUM($A814,2))</f>
        <v/>
      </c>
      <c r="C814" s="37" t="str">
        <f aca="false">IF($A814="","",CHOOSE(WEEKDAY($A814,2),"Seg","Ter","Qua","Qui","Sex","Sáb","Dom"))</f>
        <v/>
      </c>
      <c r="D814" s="46"/>
      <c r="E814" s="47"/>
      <c r="F814" s="47"/>
      <c r="G814" s="48"/>
      <c r="H814" s="49"/>
      <c r="I814" s="50"/>
      <c r="J814" s="48"/>
      <c r="K814" s="49"/>
      <c r="L814" s="50"/>
      <c r="M814" s="43" t="str">
        <f aca="false">IF(OR($L814="",$F814=""),"",IFERROR($L814/INDEX(Cadastro!$E$6:$E$8,MATCH($F814,Cadastro!$B$6:$B$8,0)),""))</f>
        <v/>
      </c>
      <c r="N814" s="43" t="str">
        <f aca="false">IF(OR($L814="",$I814="",$I814=0),"",$L814/$I814)</f>
        <v/>
      </c>
      <c r="O814" s="51"/>
    </row>
    <row r="815" customFormat="false" ht="15" hidden="false" customHeight="false" outlineLevel="0" collapsed="false">
      <c r="A815" s="45"/>
      <c r="B815" s="37" t="str">
        <f aca="false">IF($A815="","",WEEKNUM($A815,2))</f>
        <v/>
      </c>
      <c r="C815" s="37" t="str">
        <f aca="false">IF($A815="","",CHOOSE(WEEKDAY($A815,2),"Seg","Ter","Qua","Qui","Sex","Sáb","Dom"))</f>
        <v/>
      </c>
      <c r="D815" s="46"/>
      <c r="E815" s="47"/>
      <c r="F815" s="47"/>
      <c r="G815" s="48"/>
      <c r="H815" s="49"/>
      <c r="I815" s="50"/>
      <c r="J815" s="48"/>
      <c r="K815" s="49"/>
      <c r="L815" s="50"/>
      <c r="M815" s="43" t="str">
        <f aca="false">IF(OR($L815="",$F815=""),"",IFERROR($L815/INDEX(Cadastro!$E$6:$E$8,MATCH($F815,Cadastro!$B$6:$B$8,0)),""))</f>
        <v/>
      </c>
      <c r="N815" s="43" t="str">
        <f aca="false">IF(OR($L815="",$I815="",$I815=0),"",$L815/$I815)</f>
        <v/>
      </c>
      <c r="O815" s="51"/>
    </row>
    <row r="816" customFormat="false" ht="15" hidden="false" customHeight="false" outlineLevel="0" collapsed="false">
      <c r="A816" s="45"/>
      <c r="B816" s="37" t="str">
        <f aca="false">IF($A816="","",WEEKNUM($A816,2))</f>
        <v/>
      </c>
      <c r="C816" s="37" t="str">
        <f aca="false">IF($A816="","",CHOOSE(WEEKDAY($A816,2),"Seg","Ter","Qua","Qui","Sex","Sáb","Dom"))</f>
        <v/>
      </c>
      <c r="D816" s="46"/>
      <c r="E816" s="47"/>
      <c r="F816" s="47"/>
      <c r="G816" s="48"/>
      <c r="H816" s="49"/>
      <c r="I816" s="50"/>
      <c r="J816" s="48"/>
      <c r="K816" s="49"/>
      <c r="L816" s="50"/>
      <c r="M816" s="43" t="str">
        <f aca="false">IF(OR($L816="",$F816=""),"",IFERROR($L816/INDEX(Cadastro!$E$6:$E$8,MATCH($F816,Cadastro!$B$6:$B$8,0)),""))</f>
        <v/>
      </c>
      <c r="N816" s="43" t="str">
        <f aca="false">IF(OR($L816="",$I816="",$I816=0),"",$L816/$I816)</f>
        <v/>
      </c>
      <c r="O816" s="51"/>
    </row>
    <row r="817" customFormat="false" ht="15" hidden="false" customHeight="false" outlineLevel="0" collapsed="false">
      <c r="A817" s="45"/>
      <c r="B817" s="37" t="str">
        <f aca="false">IF($A817="","",WEEKNUM($A817,2))</f>
        <v/>
      </c>
      <c r="C817" s="37" t="str">
        <f aca="false">IF($A817="","",CHOOSE(WEEKDAY($A817,2),"Seg","Ter","Qua","Qui","Sex","Sáb","Dom"))</f>
        <v/>
      </c>
      <c r="D817" s="46"/>
      <c r="E817" s="47"/>
      <c r="F817" s="47"/>
      <c r="G817" s="48"/>
      <c r="H817" s="49"/>
      <c r="I817" s="50"/>
      <c r="J817" s="48"/>
      <c r="K817" s="49"/>
      <c r="L817" s="50"/>
      <c r="M817" s="43" t="str">
        <f aca="false">IF(OR($L817="",$F817=""),"",IFERROR($L817/INDEX(Cadastro!$E$6:$E$8,MATCH($F817,Cadastro!$B$6:$B$8,0)),""))</f>
        <v/>
      </c>
      <c r="N817" s="43" t="str">
        <f aca="false">IF(OR($L817="",$I817="",$I817=0),"",$L817/$I817)</f>
        <v/>
      </c>
      <c r="O817" s="51"/>
    </row>
    <row r="818" customFormat="false" ht="15" hidden="false" customHeight="false" outlineLevel="0" collapsed="false">
      <c r="A818" s="45"/>
      <c r="B818" s="37" t="str">
        <f aca="false">IF($A818="","",WEEKNUM($A818,2))</f>
        <v/>
      </c>
      <c r="C818" s="37" t="str">
        <f aca="false">IF($A818="","",CHOOSE(WEEKDAY($A818,2),"Seg","Ter","Qua","Qui","Sex","Sáb","Dom"))</f>
        <v/>
      </c>
      <c r="D818" s="46"/>
      <c r="E818" s="47"/>
      <c r="F818" s="47"/>
      <c r="G818" s="48"/>
      <c r="H818" s="49"/>
      <c r="I818" s="50"/>
      <c r="J818" s="48"/>
      <c r="K818" s="49"/>
      <c r="L818" s="50"/>
      <c r="M818" s="43" t="str">
        <f aca="false">IF(OR($L818="",$F818=""),"",IFERROR($L818/INDEX(Cadastro!$E$6:$E$8,MATCH($F818,Cadastro!$B$6:$B$8,0)),""))</f>
        <v/>
      </c>
      <c r="N818" s="43" t="str">
        <f aca="false">IF(OR($L818="",$I818="",$I818=0),"",$L818/$I818)</f>
        <v/>
      </c>
      <c r="O818" s="51"/>
    </row>
    <row r="819" customFormat="false" ht="15" hidden="false" customHeight="false" outlineLevel="0" collapsed="false">
      <c r="A819" s="45"/>
      <c r="B819" s="37" t="str">
        <f aca="false">IF($A819="","",WEEKNUM($A819,2))</f>
        <v/>
      </c>
      <c r="C819" s="37" t="str">
        <f aca="false">IF($A819="","",CHOOSE(WEEKDAY($A819,2),"Seg","Ter","Qua","Qui","Sex","Sáb","Dom"))</f>
        <v/>
      </c>
      <c r="D819" s="46"/>
      <c r="E819" s="47"/>
      <c r="F819" s="47"/>
      <c r="G819" s="48"/>
      <c r="H819" s="49"/>
      <c r="I819" s="50"/>
      <c r="J819" s="48"/>
      <c r="K819" s="49"/>
      <c r="L819" s="50"/>
      <c r="M819" s="43" t="str">
        <f aca="false">IF(OR($L819="",$F819=""),"",IFERROR($L819/INDEX(Cadastro!$E$6:$E$8,MATCH($F819,Cadastro!$B$6:$B$8,0)),""))</f>
        <v/>
      </c>
      <c r="N819" s="43" t="str">
        <f aca="false">IF(OR($L819="",$I819="",$I819=0),"",$L819/$I819)</f>
        <v/>
      </c>
      <c r="O819" s="51"/>
    </row>
    <row r="820" customFormat="false" ht="15" hidden="false" customHeight="false" outlineLevel="0" collapsed="false">
      <c r="A820" s="45"/>
      <c r="B820" s="37" t="str">
        <f aca="false">IF($A820="","",WEEKNUM($A820,2))</f>
        <v/>
      </c>
      <c r="C820" s="37" t="str">
        <f aca="false">IF($A820="","",CHOOSE(WEEKDAY($A820,2),"Seg","Ter","Qua","Qui","Sex","Sáb","Dom"))</f>
        <v/>
      </c>
      <c r="D820" s="46"/>
      <c r="E820" s="47"/>
      <c r="F820" s="47"/>
      <c r="G820" s="48"/>
      <c r="H820" s="49"/>
      <c r="I820" s="50"/>
      <c r="J820" s="48"/>
      <c r="K820" s="49"/>
      <c r="L820" s="50"/>
      <c r="M820" s="43" t="str">
        <f aca="false">IF(OR($L820="",$F820=""),"",IFERROR($L820/INDEX(Cadastro!$E$6:$E$8,MATCH($F820,Cadastro!$B$6:$B$8,0)),""))</f>
        <v/>
      </c>
      <c r="N820" s="43" t="str">
        <f aca="false">IF(OR($L820="",$I820="",$I820=0),"",$L820/$I820)</f>
        <v/>
      </c>
      <c r="O820" s="51"/>
    </row>
    <row r="821" customFormat="false" ht="15" hidden="false" customHeight="false" outlineLevel="0" collapsed="false">
      <c r="A821" s="45"/>
      <c r="B821" s="37" t="str">
        <f aca="false">IF($A821="","",WEEKNUM($A821,2))</f>
        <v/>
      </c>
      <c r="C821" s="37" t="str">
        <f aca="false">IF($A821="","",CHOOSE(WEEKDAY($A821,2),"Seg","Ter","Qua","Qui","Sex","Sáb","Dom"))</f>
        <v/>
      </c>
      <c r="D821" s="46"/>
      <c r="E821" s="47"/>
      <c r="F821" s="47"/>
      <c r="G821" s="48"/>
      <c r="H821" s="49"/>
      <c r="I821" s="50"/>
      <c r="J821" s="48"/>
      <c r="K821" s="49"/>
      <c r="L821" s="50"/>
      <c r="M821" s="43" t="str">
        <f aca="false">IF(OR($L821="",$F821=""),"",IFERROR($L821/INDEX(Cadastro!$E$6:$E$8,MATCH($F821,Cadastro!$B$6:$B$8,0)),""))</f>
        <v/>
      </c>
      <c r="N821" s="43" t="str">
        <f aca="false">IF(OR($L821="",$I821="",$I821=0),"",$L821/$I821)</f>
        <v/>
      </c>
      <c r="O821" s="51"/>
    </row>
    <row r="822" customFormat="false" ht="15" hidden="false" customHeight="false" outlineLevel="0" collapsed="false">
      <c r="A822" s="45"/>
      <c r="B822" s="37" t="str">
        <f aca="false">IF($A822="","",WEEKNUM($A822,2))</f>
        <v/>
      </c>
      <c r="C822" s="37" t="str">
        <f aca="false">IF($A822="","",CHOOSE(WEEKDAY($A822,2),"Seg","Ter","Qua","Qui","Sex","Sáb","Dom"))</f>
        <v/>
      </c>
      <c r="D822" s="46"/>
      <c r="E822" s="47"/>
      <c r="F822" s="47"/>
      <c r="G822" s="48"/>
      <c r="H822" s="49"/>
      <c r="I822" s="50"/>
      <c r="J822" s="48"/>
      <c r="K822" s="49"/>
      <c r="L822" s="50"/>
      <c r="M822" s="43" t="str">
        <f aca="false">IF(OR($L822="",$F822=""),"",IFERROR($L822/INDEX(Cadastro!$E$6:$E$8,MATCH($F822,Cadastro!$B$6:$B$8,0)),""))</f>
        <v/>
      </c>
      <c r="N822" s="43" t="str">
        <f aca="false">IF(OR($L822="",$I822="",$I822=0),"",$L822/$I822)</f>
        <v/>
      </c>
      <c r="O822" s="51"/>
    </row>
    <row r="823" customFormat="false" ht="15" hidden="false" customHeight="false" outlineLevel="0" collapsed="false">
      <c r="A823" s="45"/>
      <c r="B823" s="37" t="str">
        <f aca="false">IF($A823="","",WEEKNUM($A823,2))</f>
        <v/>
      </c>
      <c r="C823" s="37" t="str">
        <f aca="false">IF($A823="","",CHOOSE(WEEKDAY($A823,2),"Seg","Ter","Qua","Qui","Sex","Sáb","Dom"))</f>
        <v/>
      </c>
      <c r="D823" s="46"/>
      <c r="E823" s="47"/>
      <c r="F823" s="47"/>
      <c r="G823" s="48"/>
      <c r="H823" s="49"/>
      <c r="I823" s="50"/>
      <c r="J823" s="48"/>
      <c r="K823" s="49"/>
      <c r="L823" s="50"/>
      <c r="M823" s="43" t="str">
        <f aca="false">IF(OR($L823="",$F823=""),"",IFERROR($L823/INDEX(Cadastro!$E$6:$E$8,MATCH($F823,Cadastro!$B$6:$B$8,0)),""))</f>
        <v/>
      </c>
      <c r="N823" s="43" t="str">
        <f aca="false">IF(OR($L823="",$I823="",$I823=0),"",$L823/$I823)</f>
        <v/>
      </c>
      <c r="O823" s="51"/>
    </row>
    <row r="824" customFormat="false" ht="15" hidden="false" customHeight="false" outlineLevel="0" collapsed="false">
      <c r="A824" s="45"/>
      <c r="B824" s="37" t="str">
        <f aca="false">IF($A824="","",WEEKNUM($A824,2))</f>
        <v/>
      </c>
      <c r="C824" s="37" t="str">
        <f aca="false">IF($A824="","",CHOOSE(WEEKDAY($A824,2),"Seg","Ter","Qua","Qui","Sex","Sáb","Dom"))</f>
        <v/>
      </c>
      <c r="D824" s="46"/>
      <c r="E824" s="47"/>
      <c r="F824" s="47"/>
      <c r="G824" s="48"/>
      <c r="H824" s="49"/>
      <c r="I824" s="50"/>
      <c r="J824" s="48"/>
      <c r="K824" s="49"/>
      <c r="L824" s="50"/>
      <c r="M824" s="43" t="str">
        <f aca="false">IF(OR($L824="",$F824=""),"",IFERROR($L824/INDEX(Cadastro!$E$6:$E$8,MATCH($F824,Cadastro!$B$6:$B$8,0)),""))</f>
        <v/>
      </c>
      <c r="N824" s="43" t="str">
        <f aca="false">IF(OR($L824="",$I824="",$I824=0),"",$L824/$I824)</f>
        <v/>
      </c>
      <c r="O824" s="51"/>
    </row>
    <row r="825" customFormat="false" ht="15" hidden="false" customHeight="false" outlineLevel="0" collapsed="false">
      <c r="A825" s="45"/>
      <c r="B825" s="37" t="str">
        <f aca="false">IF($A825="","",WEEKNUM($A825,2))</f>
        <v/>
      </c>
      <c r="C825" s="37" t="str">
        <f aca="false">IF($A825="","",CHOOSE(WEEKDAY($A825,2),"Seg","Ter","Qua","Qui","Sex","Sáb","Dom"))</f>
        <v/>
      </c>
      <c r="D825" s="46"/>
      <c r="E825" s="47"/>
      <c r="F825" s="47"/>
      <c r="G825" s="48"/>
      <c r="H825" s="49"/>
      <c r="I825" s="50"/>
      <c r="J825" s="48"/>
      <c r="K825" s="49"/>
      <c r="L825" s="50"/>
      <c r="M825" s="43" t="str">
        <f aca="false">IF(OR($L825="",$F825=""),"",IFERROR($L825/INDEX(Cadastro!$E$6:$E$8,MATCH($F825,Cadastro!$B$6:$B$8,0)),""))</f>
        <v/>
      </c>
      <c r="N825" s="43" t="str">
        <f aca="false">IF(OR($L825="",$I825="",$I825=0),"",$L825/$I825)</f>
        <v/>
      </c>
      <c r="O825" s="51"/>
    </row>
    <row r="826" customFormat="false" ht="15" hidden="false" customHeight="false" outlineLevel="0" collapsed="false">
      <c r="A826" s="45"/>
      <c r="B826" s="37" t="str">
        <f aca="false">IF($A826="","",WEEKNUM($A826,2))</f>
        <v/>
      </c>
      <c r="C826" s="37" t="str">
        <f aca="false">IF($A826="","",CHOOSE(WEEKDAY($A826,2),"Seg","Ter","Qua","Qui","Sex","Sáb","Dom"))</f>
        <v/>
      </c>
      <c r="D826" s="46"/>
      <c r="E826" s="47"/>
      <c r="F826" s="47"/>
      <c r="G826" s="48"/>
      <c r="H826" s="49"/>
      <c r="I826" s="50"/>
      <c r="J826" s="48"/>
      <c r="K826" s="49"/>
      <c r="L826" s="50"/>
      <c r="M826" s="43" t="str">
        <f aca="false">IF(OR($L826="",$F826=""),"",IFERROR($L826/INDEX(Cadastro!$E$6:$E$8,MATCH($F826,Cadastro!$B$6:$B$8,0)),""))</f>
        <v/>
      </c>
      <c r="N826" s="43" t="str">
        <f aca="false">IF(OR($L826="",$I826="",$I826=0),"",$L826/$I826)</f>
        <v/>
      </c>
      <c r="O826" s="51"/>
    </row>
    <row r="827" customFormat="false" ht="15" hidden="false" customHeight="false" outlineLevel="0" collapsed="false">
      <c r="A827" s="45"/>
      <c r="B827" s="37" t="str">
        <f aca="false">IF($A827="","",WEEKNUM($A827,2))</f>
        <v/>
      </c>
      <c r="C827" s="37" t="str">
        <f aca="false">IF($A827="","",CHOOSE(WEEKDAY($A827,2),"Seg","Ter","Qua","Qui","Sex","Sáb","Dom"))</f>
        <v/>
      </c>
      <c r="D827" s="46"/>
      <c r="E827" s="47"/>
      <c r="F827" s="47"/>
      <c r="G827" s="48"/>
      <c r="H827" s="49"/>
      <c r="I827" s="50"/>
      <c r="J827" s="48"/>
      <c r="K827" s="49"/>
      <c r="L827" s="50"/>
      <c r="M827" s="43" t="str">
        <f aca="false">IF(OR($L827="",$F827=""),"",IFERROR($L827/INDEX(Cadastro!$E$6:$E$8,MATCH($F827,Cadastro!$B$6:$B$8,0)),""))</f>
        <v/>
      </c>
      <c r="N827" s="43" t="str">
        <f aca="false">IF(OR($L827="",$I827="",$I827=0),"",$L827/$I827)</f>
        <v/>
      </c>
      <c r="O827" s="51"/>
    </row>
    <row r="828" customFormat="false" ht="15" hidden="false" customHeight="false" outlineLevel="0" collapsed="false">
      <c r="A828" s="45"/>
      <c r="B828" s="37" t="str">
        <f aca="false">IF($A828="","",WEEKNUM($A828,2))</f>
        <v/>
      </c>
      <c r="C828" s="37" t="str">
        <f aca="false">IF($A828="","",CHOOSE(WEEKDAY($A828,2),"Seg","Ter","Qua","Qui","Sex","Sáb","Dom"))</f>
        <v/>
      </c>
      <c r="D828" s="46"/>
      <c r="E828" s="47"/>
      <c r="F828" s="47"/>
      <c r="G828" s="48"/>
      <c r="H828" s="49"/>
      <c r="I828" s="50"/>
      <c r="J828" s="48"/>
      <c r="K828" s="49"/>
      <c r="L828" s="50"/>
      <c r="M828" s="43" t="str">
        <f aca="false">IF(OR($L828="",$F828=""),"",IFERROR($L828/INDEX(Cadastro!$E$6:$E$8,MATCH($F828,Cadastro!$B$6:$B$8,0)),""))</f>
        <v/>
      </c>
      <c r="N828" s="43" t="str">
        <f aca="false">IF(OR($L828="",$I828="",$I828=0),"",$L828/$I828)</f>
        <v/>
      </c>
      <c r="O828" s="51"/>
    </row>
    <row r="829" customFormat="false" ht="15" hidden="false" customHeight="false" outlineLevel="0" collapsed="false">
      <c r="A829" s="45"/>
      <c r="B829" s="37" t="str">
        <f aca="false">IF($A829="","",WEEKNUM($A829,2))</f>
        <v/>
      </c>
      <c r="C829" s="37" t="str">
        <f aca="false">IF($A829="","",CHOOSE(WEEKDAY($A829,2),"Seg","Ter","Qua","Qui","Sex","Sáb","Dom"))</f>
        <v/>
      </c>
      <c r="D829" s="46"/>
      <c r="E829" s="47"/>
      <c r="F829" s="47"/>
      <c r="G829" s="48"/>
      <c r="H829" s="49"/>
      <c r="I829" s="50"/>
      <c r="J829" s="48"/>
      <c r="K829" s="49"/>
      <c r="L829" s="50"/>
      <c r="M829" s="43" t="str">
        <f aca="false">IF(OR($L829="",$F829=""),"",IFERROR($L829/INDEX(Cadastro!$E$6:$E$8,MATCH($F829,Cadastro!$B$6:$B$8,0)),""))</f>
        <v/>
      </c>
      <c r="N829" s="43" t="str">
        <f aca="false">IF(OR($L829="",$I829="",$I829=0),"",$L829/$I829)</f>
        <v/>
      </c>
      <c r="O829" s="51"/>
    </row>
    <row r="830" customFormat="false" ht="15" hidden="false" customHeight="false" outlineLevel="0" collapsed="false">
      <c r="A830" s="45"/>
      <c r="B830" s="37" t="str">
        <f aca="false">IF($A830="","",WEEKNUM($A830,2))</f>
        <v/>
      </c>
      <c r="C830" s="37" t="str">
        <f aca="false">IF($A830="","",CHOOSE(WEEKDAY($A830,2),"Seg","Ter","Qua","Qui","Sex","Sáb","Dom"))</f>
        <v/>
      </c>
      <c r="D830" s="46"/>
      <c r="E830" s="47"/>
      <c r="F830" s="47"/>
      <c r="G830" s="48"/>
      <c r="H830" s="49"/>
      <c r="I830" s="50"/>
      <c r="J830" s="48"/>
      <c r="K830" s="49"/>
      <c r="L830" s="50"/>
      <c r="M830" s="43" t="str">
        <f aca="false">IF(OR($L830="",$F830=""),"",IFERROR($L830/INDEX(Cadastro!$E$6:$E$8,MATCH($F830,Cadastro!$B$6:$B$8,0)),""))</f>
        <v/>
      </c>
      <c r="N830" s="43" t="str">
        <f aca="false">IF(OR($L830="",$I830="",$I830=0),"",$L830/$I830)</f>
        <v/>
      </c>
      <c r="O830" s="51"/>
    </row>
    <row r="831" customFormat="false" ht="15" hidden="false" customHeight="false" outlineLevel="0" collapsed="false">
      <c r="A831" s="45"/>
      <c r="B831" s="37" t="str">
        <f aca="false">IF($A831="","",WEEKNUM($A831,2))</f>
        <v/>
      </c>
      <c r="C831" s="37" t="str">
        <f aca="false">IF($A831="","",CHOOSE(WEEKDAY($A831,2),"Seg","Ter","Qua","Qui","Sex","Sáb","Dom"))</f>
        <v/>
      </c>
      <c r="D831" s="46"/>
      <c r="E831" s="47"/>
      <c r="F831" s="47"/>
      <c r="G831" s="48"/>
      <c r="H831" s="49"/>
      <c r="I831" s="50"/>
      <c r="J831" s="48"/>
      <c r="K831" s="49"/>
      <c r="L831" s="50"/>
      <c r="M831" s="43" t="str">
        <f aca="false">IF(OR($L831="",$F831=""),"",IFERROR($L831/INDEX(Cadastro!$E$6:$E$8,MATCH($F831,Cadastro!$B$6:$B$8,0)),""))</f>
        <v/>
      </c>
      <c r="N831" s="43" t="str">
        <f aca="false">IF(OR($L831="",$I831="",$I831=0),"",$L831/$I831)</f>
        <v/>
      </c>
      <c r="O831" s="51"/>
    </row>
    <row r="832" customFormat="false" ht="15" hidden="false" customHeight="false" outlineLevel="0" collapsed="false">
      <c r="A832" s="45"/>
      <c r="B832" s="37" t="str">
        <f aca="false">IF($A832="","",WEEKNUM($A832,2))</f>
        <v/>
      </c>
      <c r="C832" s="37" t="str">
        <f aca="false">IF($A832="","",CHOOSE(WEEKDAY($A832,2),"Seg","Ter","Qua","Qui","Sex","Sáb","Dom"))</f>
        <v/>
      </c>
      <c r="D832" s="46"/>
      <c r="E832" s="47"/>
      <c r="F832" s="47"/>
      <c r="G832" s="48"/>
      <c r="H832" s="49"/>
      <c r="I832" s="50"/>
      <c r="J832" s="48"/>
      <c r="K832" s="49"/>
      <c r="L832" s="50"/>
      <c r="M832" s="43" t="str">
        <f aca="false">IF(OR($L832="",$F832=""),"",IFERROR($L832/INDEX(Cadastro!$E$6:$E$8,MATCH($F832,Cadastro!$B$6:$B$8,0)),""))</f>
        <v/>
      </c>
      <c r="N832" s="43" t="str">
        <f aca="false">IF(OR($L832="",$I832="",$I832=0),"",$L832/$I832)</f>
        <v/>
      </c>
      <c r="O832" s="51"/>
    </row>
    <row r="833" customFormat="false" ht="15" hidden="false" customHeight="false" outlineLevel="0" collapsed="false">
      <c r="A833" s="45"/>
      <c r="B833" s="37" t="str">
        <f aca="false">IF($A833="","",WEEKNUM($A833,2))</f>
        <v/>
      </c>
      <c r="C833" s="37" t="str">
        <f aca="false">IF($A833="","",CHOOSE(WEEKDAY($A833,2),"Seg","Ter","Qua","Qui","Sex","Sáb","Dom"))</f>
        <v/>
      </c>
      <c r="D833" s="46"/>
      <c r="E833" s="47"/>
      <c r="F833" s="47"/>
      <c r="G833" s="48"/>
      <c r="H833" s="49"/>
      <c r="I833" s="50"/>
      <c r="J833" s="48"/>
      <c r="K833" s="49"/>
      <c r="L833" s="50"/>
      <c r="M833" s="43" t="str">
        <f aca="false">IF(OR($L833="",$F833=""),"",IFERROR($L833/INDEX(Cadastro!$E$6:$E$8,MATCH($F833,Cadastro!$B$6:$B$8,0)),""))</f>
        <v/>
      </c>
      <c r="N833" s="43" t="str">
        <f aca="false">IF(OR($L833="",$I833="",$I833=0),"",$L833/$I833)</f>
        <v/>
      </c>
      <c r="O833" s="51"/>
    </row>
    <row r="834" customFormat="false" ht="15" hidden="false" customHeight="false" outlineLevel="0" collapsed="false">
      <c r="A834" s="45"/>
      <c r="B834" s="37" t="str">
        <f aca="false">IF($A834="","",WEEKNUM($A834,2))</f>
        <v/>
      </c>
      <c r="C834" s="37" t="str">
        <f aca="false">IF($A834="","",CHOOSE(WEEKDAY($A834,2),"Seg","Ter","Qua","Qui","Sex","Sáb","Dom"))</f>
        <v/>
      </c>
      <c r="D834" s="46"/>
      <c r="E834" s="47"/>
      <c r="F834" s="47"/>
      <c r="G834" s="48"/>
      <c r="H834" s="49"/>
      <c r="I834" s="50"/>
      <c r="J834" s="48"/>
      <c r="K834" s="49"/>
      <c r="L834" s="50"/>
      <c r="M834" s="43" t="str">
        <f aca="false">IF(OR($L834="",$F834=""),"",IFERROR($L834/INDEX(Cadastro!$E$6:$E$8,MATCH($F834,Cadastro!$B$6:$B$8,0)),""))</f>
        <v/>
      </c>
      <c r="N834" s="43" t="str">
        <f aca="false">IF(OR($L834="",$I834="",$I834=0),"",$L834/$I834)</f>
        <v/>
      </c>
      <c r="O834" s="51"/>
    </row>
    <row r="835" customFormat="false" ht="15" hidden="false" customHeight="false" outlineLevel="0" collapsed="false">
      <c r="A835" s="45"/>
      <c r="B835" s="37" t="str">
        <f aca="false">IF($A835="","",WEEKNUM($A835,2))</f>
        <v/>
      </c>
      <c r="C835" s="37" t="str">
        <f aca="false">IF($A835="","",CHOOSE(WEEKDAY($A835,2),"Seg","Ter","Qua","Qui","Sex","Sáb","Dom"))</f>
        <v/>
      </c>
      <c r="D835" s="46"/>
      <c r="E835" s="47"/>
      <c r="F835" s="47"/>
      <c r="G835" s="48"/>
      <c r="H835" s="49"/>
      <c r="I835" s="50"/>
      <c r="J835" s="48"/>
      <c r="K835" s="49"/>
      <c r="L835" s="50"/>
      <c r="M835" s="43" t="str">
        <f aca="false">IF(OR($L835="",$F835=""),"",IFERROR($L835/INDEX(Cadastro!$E$6:$E$8,MATCH($F835,Cadastro!$B$6:$B$8,0)),""))</f>
        <v/>
      </c>
      <c r="N835" s="43" t="str">
        <f aca="false">IF(OR($L835="",$I835="",$I835=0),"",$L835/$I835)</f>
        <v/>
      </c>
      <c r="O835" s="51"/>
    </row>
    <row r="836" customFormat="false" ht="15" hidden="false" customHeight="false" outlineLevel="0" collapsed="false">
      <c r="A836" s="45"/>
      <c r="B836" s="37" t="str">
        <f aca="false">IF($A836="","",WEEKNUM($A836,2))</f>
        <v/>
      </c>
      <c r="C836" s="37" t="str">
        <f aca="false">IF($A836="","",CHOOSE(WEEKDAY($A836,2),"Seg","Ter","Qua","Qui","Sex","Sáb","Dom"))</f>
        <v/>
      </c>
      <c r="D836" s="46"/>
      <c r="E836" s="47"/>
      <c r="F836" s="47"/>
      <c r="G836" s="48"/>
      <c r="H836" s="49"/>
      <c r="I836" s="50"/>
      <c r="J836" s="48"/>
      <c r="K836" s="49"/>
      <c r="L836" s="50"/>
      <c r="M836" s="43" t="str">
        <f aca="false">IF(OR($L836="",$F836=""),"",IFERROR($L836/INDEX(Cadastro!$E$6:$E$8,MATCH($F836,Cadastro!$B$6:$B$8,0)),""))</f>
        <v/>
      </c>
      <c r="N836" s="43" t="str">
        <f aca="false">IF(OR($L836="",$I836="",$I836=0),"",$L836/$I836)</f>
        <v/>
      </c>
      <c r="O836" s="51"/>
    </row>
    <row r="837" customFormat="false" ht="15" hidden="false" customHeight="false" outlineLevel="0" collapsed="false">
      <c r="A837" s="45"/>
      <c r="B837" s="37" t="str">
        <f aca="false">IF($A837="","",WEEKNUM($A837,2))</f>
        <v/>
      </c>
      <c r="C837" s="37" t="str">
        <f aca="false">IF($A837="","",CHOOSE(WEEKDAY($A837,2),"Seg","Ter","Qua","Qui","Sex","Sáb","Dom"))</f>
        <v/>
      </c>
      <c r="D837" s="46"/>
      <c r="E837" s="47"/>
      <c r="F837" s="47"/>
      <c r="G837" s="48"/>
      <c r="H837" s="49"/>
      <c r="I837" s="50"/>
      <c r="J837" s="48"/>
      <c r="K837" s="49"/>
      <c r="L837" s="50"/>
      <c r="M837" s="43" t="str">
        <f aca="false">IF(OR($L837="",$F837=""),"",IFERROR($L837/INDEX(Cadastro!$E$6:$E$8,MATCH($F837,Cadastro!$B$6:$B$8,0)),""))</f>
        <v/>
      </c>
      <c r="N837" s="43" t="str">
        <f aca="false">IF(OR($L837="",$I837="",$I837=0),"",$L837/$I837)</f>
        <v/>
      </c>
      <c r="O837" s="51"/>
    </row>
    <row r="838" customFormat="false" ht="15" hidden="false" customHeight="false" outlineLevel="0" collapsed="false">
      <c r="A838" s="45"/>
      <c r="B838" s="37" t="str">
        <f aca="false">IF($A838="","",WEEKNUM($A838,2))</f>
        <v/>
      </c>
      <c r="C838" s="37" t="str">
        <f aca="false">IF($A838="","",CHOOSE(WEEKDAY($A838,2),"Seg","Ter","Qua","Qui","Sex","Sáb","Dom"))</f>
        <v/>
      </c>
      <c r="D838" s="46"/>
      <c r="E838" s="47"/>
      <c r="F838" s="47"/>
      <c r="G838" s="48"/>
      <c r="H838" s="49"/>
      <c r="I838" s="50"/>
      <c r="J838" s="48"/>
      <c r="K838" s="49"/>
      <c r="L838" s="50"/>
      <c r="M838" s="43" t="str">
        <f aca="false">IF(OR($L838="",$F838=""),"",IFERROR($L838/INDEX(Cadastro!$E$6:$E$8,MATCH($F838,Cadastro!$B$6:$B$8,0)),""))</f>
        <v/>
      </c>
      <c r="N838" s="43" t="str">
        <f aca="false">IF(OR($L838="",$I838="",$I838=0),"",$L838/$I838)</f>
        <v/>
      </c>
      <c r="O838" s="51"/>
    </row>
    <row r="839" customFormat="false" ht="15" hidden="false" customHeight="false" outlineLevel="0" collapsed="false">
      <c r="A839" s="45"/>
      <c r="B839" s="37" t="str">
        <f aca="false">IF($A839="","",WEEKNUM($A839,2))</f>
        <v/>
      </c>
      <c r="C839" s="37" t="str">
        <f aca="false">IF($A839="","",CHOOSE(WEEKDAY($A839,2),"Seg","Ter","Qua","Qui","Sex","Sáb","Dom"))</f>
        <v/>
      </c>
      <c r="D839" s="46"/>
      <c r="E839" s="47"/>
      <c r="F839" s="47"/>
      <c r="G839" s="48"/>
      <c r="H839" s="49"/>
      <c r="I839" s="50"/>
      <c r="J839" s="48"/>
      <c r="K839" s="49"/>
      <c r="L839" s="50"/>
      <c r="M839" s="43" t="str">
        <f aca="false">IF(OR($L839="",$F839=""),"",IFERROR($L839/INDEX(Cadastro!$E$6:$E$8,MATCH($F839,Cadastro!$B$6:$B$8,0)),""))</f>
        <v/>
      </c>
      <c r="N839" s="43" t="str">
        <f aca="false">IF(OR($L839="",$I839="",$I839=0),"",$L839/$I839)</f>
        <v/>
      </c>
      <c r="O839" s="51"/>
    </row>
    <row r="840" customFormat="false" ht="15" hidden="false" customHeight="false" outlineLevel="0" collapsed="false">
      <c r="A840" s="45"/>
      <c r="B840" s="37" t="str">
        <f aca="false">IF($A840="","",WEEKNUM($A840,2))</f>
        <v/>
      </c>
      <c r="C840" s="37" t="str">
        <f aca="false">IF($A840="","",CHOOSE(WEEKDAY($A840,2),"Seg","Ter","Qua","Qui","Sex","Sáb","Dom"))</f>
        <v/>
      </c>
      <c r="D840" s="46"/>
      <c r="E840" s="47"/>
      <c r="F840" s="47"/>
      <c r="G840" s="48"/>
      <c r="H840" s="49"/>
      <c r="I840" s="50"/>
      <c r="J840" s="48"/>
      <c r="K840" s="49"/>
      <c r="L840" s="50"/>
      <c r="M840" s="43" t="str">
        <f aca="false">IF(OR($L840="",$F840=""),"",IFERROR($L840/INDEX(Cadastro!$E$6:$E$8,MATCH($F840,Cadastro!$B$6:$B$8,0)),""))</f>
        <v/>
      </c>
      <c r="N840" s="43" t="str">
        <f aca="false">IF(OR($L840="",$I840="",$I840=0),"",$L840/$I840)</f>
        <v/>
      </c>
      <c r="O840" s="51"/>
    </row>
    <row r="841" customFormat="false" ht="15" hidden="false" customHeight="false" outlineLevel="0" collapsed="false">
      <c r="A841" s="45"/>
      <c r="B841" s="37" t="str">
        <f aca="false">IF($A841="","",WEEKNUM($A841,2))</f>
        <v/>
      </c>
      <c r="C841" s="37" t="str">
        <f aca="false">IF($A841="","",CHOOSE(WEEKDAY($A841,2),"Seg","Ter","Qua","Qui","Sex","Sáb","Dom"))</f>
        <v/>
      </c>
      <c r="D841" s="46"/>
      <c r="E841" s="47"/>
      <c r="F841" s="47"/>
      <c r="G841" s="48"/>
      <c r="H841" s="49"/>
      <c r="I841" s="50"/>
      <c r="J841" s="48"/>
      <c r="K841" s="49"/>
      <c r="L841" s="50"/>
      <c r="M841" s="43" t="str">
        <f aca="false">IF(OR($L841="",$F841=""),"",IFERROR($L841/INDEX(Cadastro!$E$6:$E$8,MATCH($F841,Cadastro!$B$6:$B$8,0)),""))</f>
        <v/>
      </c>
      <c r="N841" s="43" t="str">
        <f aca="false">IF(OR($L841="",$I841="",$I841=0),"",$L841/$I841)</f>
        <v/>
      </c>
      <c r="O841" s="51"/>
    </row>
    <row r="842" customFormat="false" ht="15" hidden="false" customHeight="false" outlineLevel="0" collapsed="false">
      <c r="A842" s="45"/>
      <c r="B842" s="37" t="str">
        <f aca="false">IF($A842="","",WEEKNUM($A842,2))</f>
        <v/>
      </c>
      <c r="C842" s="37" t="str">
        <f aca="false">IF($A842="","",CHOOSE(WEEKDAY($A842,2),"Seg","Ter","Qua","Qui","Sex","Sáb","Dom"))</f>
        <v/>
      </c>
      <c r="D842" s="46"/>
      <c r="E842" s="47"/>
      <c r="F842" s="47"/>
      <c r="G842" s="48"/>
      <c r="H842" s="49"/>
      <c r="I842" s="50"/>
      <c r="J842" s="48"/>
      <c r="K842" s="49"/>
      <c r="L842" s="50"/>
      <c r="M842" s="43" t="str">
        <f aca="false">IF(OR($L842="",$F842=""),"",IFERROR($L842/INDEX(Cadastro!$E$6:$E$8,MATCH($F842,Cadastro!$B$6:$B$8,0)),""))</f>
        <v/>
      </c>
      <c r="N842" s="43" t="str">
        <f aca="false">IF(OR($L842="",$I842="",$I842=0),"",$L842/$I842)</f>
        <v/>
      </c>
      <c r="O842" s="51"/>
    </row>
    <row r="843" customFormat="false" ht="15" hidden="false" customHeight="false" outlineLevel="0" collapsed="false">
      <c r="A843" s="45"/>
      <c r="B843" s="37" t="str">
        <f aca="false">IF($A843="","",WEEKNUM($A843,2))</f>
        <v/>
      </c>
      <c r="C843" s="37" t="str">
        <f aca="false">IF($A843="","",CHOOSE(WEEKDAY($A843,2),"Seg","Ter","Qua","Qui","Sex","Sáb","Dom"))</f>
        <v/>
      </c>
      <c r="D843" s="46"/>
      <c r="E843" s="47"/>
      <c r="F843" s="47"/>
      <c r="G843" s="48"/>
      <c r="H843" s="49"/>
      <c r="I843" s="50"/>
      <c r="J843" s="48"/>
      <c r="K843" s="49"/>
      <c r="L843" s="50"/>
      <c r="M843" s="43" t="str">
        <f aca="false">IF(OR($L843="",$F843=""),"",IFERROR($L843/INDEX(Cadastro!$E$6:$E$8,MATCH($F843,Cadastro!$B$6:$B$8,0)),""))</f>
        <v/>
      </c>
      <c r="N843" s="43" t="str">
        <f aca="false">IF(OR($L843="",$I843="",$I843=0),"",$L843/$I843)</f>
        <v/>
      </c>
      <c r="O843" s="51"/>
    </row>
    <row r="844" customFormat="false" ht="15" hidden="false" customHeight="false" outlineLevel="0" collapsed="false">
      <c r="A844" s="45"/>
      <c r="B844" s="37" t="str">
        <f aca="false">IF($A844="","",WEEKNUM($A844,2))</f>
        <v/>
      </c>
      <c r="C844" s="37" t="str">
        <f aca="false">IF($A844="","",CHOOSE(WEEKDAY($A844,2),"Seg","Ter","Qua","Qui","Sex","Sáb","Dom"))</f>
        <v/>
      </c>
      <c r="D844" s="46"/>
      <c r="E844" s="47"/>
      <c r="F844" s="47"/>
      <c r="G844" s="48"/>
      <c r="H844" s="49"/>
      <c r="I844" s="50"/>
      <c r="J844" s="48"/>
      <c r="K844" s="49"/>
      <c r="L844" s="50"/>
      <c r="M844" s="43" t="str">
        <f aca="false">IF(OR($L844="",$F844=""),"",IFERROR($L844/INDEX(Cadastro!$E$6:$E$8,MATCH($F844,Cadastro!$B$6:$B$8,0)),""))</f>
        <v/>
      </c>
      <c r="N844" s="43" t="str">
        <f aca="false">IF(OR($L844="",$I844="",$I844=0),"",$L844/$I844)</f>
        <v/>
      </c>
      <c r="O844" s="51"/>
    </row>
    <row r="845" customFormat="false" ht="15" hidden="false" customHeight="false" outlineLevel="0" collapsed="false">
      <c r="A845" s="45"/>
      <c r="B845" s="37" t="str">
        <f aca="false">IF($A845="","",WEEKNUM($A845,2))</f>
        <v/>
      </c>
      <c r="C845" s="37" t="str">
        <f aca="false">IF($A845="","",CHOOSE(WEEKDAY($A845,2),"Seg","Ter","Qua","Qui","Sex","Sáb","Dom"))</f>
        <v/>
      </c>
      <c r="D845" s="46"/>
      <c r="E845" s="47"/>
      <c r="F845" s="47"/>
      <c r="G845" s="48"/>
      <c r="H845" s="49"/>
      <c r="I845" s="50"/>
      <c r="J845" s="48"/>
      <c r="K845" s="49"/>
      <c r="L845" s="50"/>
      <c r="M845" s="43" t="str">
        <f aca="false">IF(OR($L845="",$F845=""),"",IFERROR($L845/INDEX(Cadastro!$E$6:$E$8,MATCH($F845,Cadastro!$B$6:$B$8,0)),""))</f>
        <v/>
      </c>
      <c r="N845" s="43" t="str">
        <f aca="false">IF(OR($L845="",$I845="",$I845=0),"",$L845/$I845)</f>
        <v/>
      </c>
      <c r="O845" s="51"/>
    </row>
    <row r="846" customFormat="false" ht="15" hidden="false" customHeight="false" outlineLevel="0" collapsed="false">
      <c r="A846" s="45"/>
      <c r="B846" s="37" t="str">
        <f aca="false">IF($A846="","",WEEKNUM($A846,2))</f>
        <v/>
      </c>
      <c r="C846" s="37" t="str">
        <f aca="false">IF($A846="","",CHOOSE(WEEKDAY($A846,2),"Seg","Ter","Qua","Qui","Sex","Sáb","Dom"))</f>
        <v/>
      </c>
      <c r="D846" s="46"/>
      <c r="E846" s="47"/>
      <c r="F846" s="47"/>
      <c r="G846" s="48"/>
      <c r="H846" s="49"/>
      <c r="I846" s="50"/>
      <c r="J846" s="48"/>
      <c r="K846" s="49"/>
      <c r="L846" s="50"/>
      <c r="M846" s="43" t="str">
        <f aca="false">IF(OR($L846="",$F846=""),"",IFERROR($L846/INDEX(Cadastro!$E$6:$E$8,MATCH($F846,Cadastro!$B$6:$B$8,0)),""))</f>
        <v/>
      </c>
      <c r="N846" s="43" t="str">
        <f aca="false">IF(OR($L846="",$I846="",$I846=0),"",$L846/$I846)</f>
        <v/>
      </c>
      <c r="O846" s="51"/>
    </row>
    <row r="847" customFormat="false" ht="15" hidden="false" customHeight="false" outlineLevel="0" collapsed="false">
      <c r="A847" s="45"/>
      <c r="B847" s="37" t="str">
        <f aca="false">IF($A847="","",WEEKNUM($A847,2))</f>
        <v/>
      </c>
      <c r="C847" s="37" t="str">
        <f aca="false">IF($A847="","",CHOOSE(WEEKDAY($A847,2),"Seg","Ter","Qua","Qui","Sex","Sáb","Dom"))</f>
        <v/>
      </c>
      <c r="D847" s="46"/>
      <c r="E847" s="47"/>
      <c r="F847" s="47"/>
      <c r="G847" s="48"/>
      <c r="H847" s="49"/>
      <c r="I847" s="50"/>
      <c r="J847" s="48"/>
      <c r="K847" s="49"/>
      <c r="L847" s="50"/>
      <c r="M847" s="43" t="str">
        <f aca="false">IF(OR($L847="",$F847=""),"",IFERROR($L847/INDEX(Cadastro!$E$6:$E$8,MATCH($F847,Cadastro!$B$6:$B$8,0)),""))</f>
        <v/>
      </c>
      <c r="N847" s="43" t="str">
        <f aca="false">IF(OR($L847="",$I847="",$I847=0),"",$L847/$I847)</f>
        <v/>
      </c>
      <c r="O847" s="51"/>
    </row>
    <row r="848" customFormat="false" ht="15" hidden="false" customHeight="false" outlineLevel="0" collapsed="false">
      <c r="A848" s="45"/>
      <c r="B848" s="37" t="str">
        <f aca="false">IF($A848="","",WEEKNUM($A848,2))</f>
        <v/>
      </c>
      <c r="C848" s="37" t="str">
        <f aca="false">IF($A848="","",CHOOSE(WEEKDAY($A848,2),"Seg","Ter","Qua","Qui","Sex","Sáb","Dom"))</f>
        <v/>
      </c>
      <c r="D848" s="46"/>
      <c r="E848" s="47"/>
      <c r="F848" s="47"/>
      <c r="G848" s="48"/>
      <c r="H848" s="49"/>
      <c r="I848" s="50"/>
      <c r="J848" s="48"/>
      <c r="K848" s="49"/>
      <c r="L848" s="50"/>
      <c r="M848" s="43" t="str">
        <f aca="false">IF(OR($L848="",$F848=""),"",IFERROR($L848/INDEX(Cadastro!$E$6:$E$8,MATCH($F848,Cadastro!$B$6:$B$8,0)),""))</f>
        <v/>
      </c>
      <c r="N848" s="43" t="str">
        <f aca="false">IF(OR($L848="",$I848="",$I848=0),"",$L848/$I848)</f>
        <v/>
      </c>
      <c r="O848" s="51"/>
    </row>
    <row r="849" customFormat="false" ht="15" hidden="false" customHeight="false" outlineLevel="0" collapsed="false">
      <c r="A849" s="45"/>
      <c r="B849" s="37" t="str">
        <f aca="false">IF($A849="","",WEEKNUM($A849,2))</f>
        <v/>
      </c>
      <c r="C849" s="37" t="str">
        <f aca="false">IF($A849="","",CHOOSE(WEEKDAY($A849,2),"Seg","Ter","Qua","Qui","Sex","Sáb","Dom"))</f>
        <v/>
      </c>
      <c r="D849" s="46"/>
      <c r="E849" s="47"/>
      <c r="F849" s="47"/>
      <c r="G849" s="48"/>
      <c r="H849" s="49"/>
      <c r="I849" s="50"/>
      <c r="J849" s="48"/>
      <c r="K849" s="49"/>
      <c r="L849" s="50"/>
      <c r="M849" s="43" t="str">
        <f aca="false">IF(OR($L849="",$F849=""),"",IFERROR($L849/INDEX(Cadastro!$E$6:$E$8,MATCH($F849,Cadastro!$B$6:$B$8,0)),""))</f>
        <v/>
      </c>
      <c r="N849" s="43" t="str">
        <f aca="false">IF(OR($L849="",$I849="",$I849=0),"",$L849/$I849)</f>
        <v/>
      </c>
      <c r="O849" s="51"/>
    </row>
    <row r="850" customFormat="false" ht="15" hidden="false" customHeight="false" outlineLevel="0" collapsed="false">
      <c r="A850" s="45"/>
      <c r="B850" s="37" t="str">
        <f aca="false">IF($A850="","",WEEKNUM($A850,2))</f>
        <v/>
      </c>
      <c r="C850" s="37" t="str">
        <f aca="false">IF($A850="","",CHOOSE(WEEKDAY($A850,2),"Seg","Ter","Qua","Qui","Sex","Sáb","Dom"))</f>
        <v/>
      </c>
      <c r="D850" s="46"/>
      <c r="E850" s="47"/>
      <c r="F850" s="47"/>
      <c r="G850" s="48"/>
      <c r="H850" s="49"/>
      <c r="I850" s="50"/>
      <c r="J850" s="48"/>
      <c r="K850" s="49"/>
      <c r="L850" s="50"/>
      <c r="M850" s="43" t="str">
        <f aca="false">IF(OR($L850="",$F850=""),"",IFERROR($L850/INDEX(Cadastro!$E$6:$E$8,MATCH($F850,Cadastro!$B$6:$B$8,0)),""))</f>
        <v/>
      </c>
      <c r="N850" s="43" t="str">
        <f aca="false">IF(OR($L850="",$I850="",$I850=0),"",$L850/$I850)</f>
        <v/>
      </c>
      <c r="O850" s="51"/>
    </row>
    <row r="851" customFormat="false" ht="15" hidden="false" customHeight="false" outlineLevel="0" collapsed="false">
      <c r="A851" s="45"/>
      <c r="B851" s="37" t="str">
        <f aca="false">IF($A851="","",WEEKNUM($A851,2))</f>
        <v/>
      </c>
      <c r="C851" s="37" t="str">
        <f aca="false">IF($A851="","",CHOOSE(WEEKDAY($A851,2),"Seg","Ter","Qua","Qui","Sex","Sáb","Dom"))</f>
        <v/>
      </c>
      <c r="D851" s="46"/>
      <c r="E851" s="47"/>
      <c r="F851" s="47"/>
      <c r="G851" s="48"/>
      <c r="H851" s="49"/>
      <c r="I851" s="50"/>
      <c r="J851" s="48"/>
      <c r="K851" s="49"/>
      <c r="L851" s="50"/>
      <c r="M851" s="43" t="str">
        <f aca="false">IF(OR($L851="",$F851=""),"",IFERROR($L851/INDEX(Cadastro!$E$6:$E$8,MATCH($F851,Cadastro!$B$6:$B$8,0)),""))</f>
        <v/>
      </c>
      <c r="N851" s="43" t="str">
        <f aca="false">IF(OR($L851="",$I851="",$I851=0),"",$L851/$I851)</f>
        <v/>
      </c>
      <c r="O851" s="51"/>
    </row>
    <row r="852" customFormat="false" ht="15" hidden="false" customHeight="false" outlineLevel="0" collapsed="false">
      <c r="A852" s="45"/>
      <c r="B852" s="37" t="str">
        <f aca="false">IF($A852="","",WEEKNUM($A852,2))</f>
        <v/>
      </c>
      <c r="C852" s="37" t="str">
        <f aca="false">IF($A852="","",CHOOSE(WEEKDAY($A852,2),"Seg","Ter","Qua","Qui","Sex","Sáb","Dom"))</f>
        <v/>
      </c>
      <c r="D852" s="46"/>
      <c r="E852" s="47"/>
      <c r="F852" s="47"/>
      <c r="G852" s="48"/>
      <c r="H852" s="49"/>
      <c r="I852" s="50"/>
      <c r="J852" s="48"/>
      <c r="K852" s="49"/>
      <c r="L852" s="50"/>
      <c r="M852" s="43" t="str">
        <f aca="false">IF(OR($L852="",$F852=""),"",IFERROR($L852/INDEX(Cadastro!$E$6:$E$8,MATCH($F852,Cadastro!$B$6:$B$8,0)),""))</f>
        <v/>
      </c>
      <c r="N852" s="43" t="str">
        <f aca="false">IF(OR($L852="",$I852="",$I852=0),"",$L852/$I852)</f>
        <v/>
      </c>
      <c r="O852" s="51"/>
    </row>
    <row r="853" customFormat="false" ht="15" hidden="false" customHeight="false" outlineLevel="0" collapsed="false">
      <c r="A853" s="45"/>
      <c r="B853" s="37" t="str">
        <f aca="false">IF($A853="","",WEEKNUM($A853,2))</f>
        <v/>
      </c>
      <c r="C853" s="37" t="str">
        <f aca="false">IF($A853="","",CHOOSE(WEEKDAY($A853,2),"Seg","Ter","Qua","Qui","Sex","Sáb","Dom"))</f>
        <v/>
      </c>
      <c r="D853" s="46"/>
      <c r="E853" s="47"/>
      <c r="F853" s="47"/>
      <c r="G853" s="48"/>
      <c r="H853" s="49"/>
      <c r="I853" s="50"/>
      <c r="J853" s="48"/>
      <c r="K853" s="49"/>
      <c r="L853" s="50"/>
      <c r="M853" s="43" t="str">
        <f aca="false">IF(OR($L853="",$F853=""),"",IFERROR($L853/INDEX(Cadastro!$E$6:$E$8,MATCH($F853,Cadastro!$B$6:$B$8,0)),""))</f>
        <v/>
      </c>
      <c r="N853" s="43" t="str">
        <f aca="false">IF(OR($L853="",$I853="",$I853=0),"",$L853/$I853)</f>
        <v/>
      </c>
      <c r="O853" s="51"/>
    </row>
    <row r="854" customFormat="false" ht="15" hidden="false" customHeight="false" outlineLevel="0" collapsed="false">
      <c r="A854" s="45"/>
      <c r="B854" s="37" t="str">
        <f aca="false">IF($A854="","",WEEKNUM($A854,2))</f>
        <v/>
      </c>
      <c r="C854" s="37" t="str">
        <f aca="false">IF($A854="","",CHOOSE(WEEKDAY($A854,2),"Seg","Ter","Qua","Qui","Sex","Sáb","Dom"))</f>
        <v/>
      </c>
      <c r="D854" s="46"/>
      <c r="E854" s="47"/>
      <c r="F854" s="47"/>
      <c r="G854" s="48"/>
      <c r="H854" s="49"/>
      <c r="I854" s="50"/>
      <c r="J854" s="48"/>
      <c r="K854" s="49"/>
      <c r="L854" s="50"/>
      <c r="M854" s="43" t="str">
        <f aca="false">IF(OR($L854="",$F854=""),"",IFERROR($L854/INDEX(Cadastro!$E$6:$E$8,MATCH($F854,Cadastro!$B$6:$B$8,0)),""))</f>
        <v/>
      </c>
      <c r="N854" s="43" t="str">
        <f aca="false">IF(OR($L854="",$I854="",$I854=0),"",$L854/$I854)</f>
        <v/>
      </c>
      <c r="O854" s="51"/>
    </row>
    <row r="855" customFormat="false" ht="15" hidden="false" customHeight="false" outlineLevel="0" collapsed="false">
      <c r="A855" s="45"/>
      <c r="B855" s="37" t="str">
        <f aca="false">IF($A855="","",WEEKNUM($A855,2))</f>
        <v/>
      </c>
      <c r="C855" s="37" t="str">
        <f aca="false">IF($A855="","",CHOOSE(WEEKDAY($A855,2),"Seg","Ter","Qua","Qui","Sex","Sáb","Dom"))</f>
        <v/>
      </c>
      <c r="D855" s="46"/>
      <c r="E855" s="47"/>
      <c r="F855" s="47"/>
      <c r="G855" s="48"/>
      <c r="H855" s="49"/>
      <c r="I855" s="50"/>
      <c r="J855" s="48"/>
      <c r="K855" s="49"/>
      <c r="L855" s="50"/>
      <c r="M855" s="43" t="str">
        <f aca="false">IF(OR($L855="",$F855=""),"",IFERROR($L855/INDEX(Cadastro!$E$6:$E$8,MATCH($F855,Cadastro!$B$6:$B$8,0)),""))</f>
        <v/>
      </c>
      <c r="N855" s="43" t="str">
        <f aca="false">IF(OR($L855="",$I855="",$I855=0),"",$L855/$I855)</f>
        <v/>
      </c>
      <c r="O855" s="51"/>
    </row>
    <row r="856" customFormat="false" ht="15" hidden="false" customHeight="false" outlineLevel="0" collapsed="false">
      <c r="A856" s="45"/>
      <c r="B856" s="37" t="str">
        <f aca="false">IF($A856="","",WEEKNUM($A856,2))</f>
        <v/>
      </c>
      <c r="C856" s="37" t="str">
        <f aca="false">IF($A856="","",CHOOSE(WEEKDAY($A856,2),"Seg","Ter","Qua","Qui","Sex","Sáb","Dom"))</f>
        <v/>
      </c>
      <c r="D856" s="46"/>
      <c r="E856" s="47"/>
      <c r="F856" s="47"/>
      <c r="G856" s="48"/>
      <c r="H856" s="49"/>
      <c r="I856" s="50"/>
      <c r="J856" s="48"/>
      <c r="K856" s="49"/>
      <c r="L856" s="50"/>
      <c r="M856" s="43" t="str">
        <f aca="false">IF(OR($L856="",$F856=""),"",IFERROR($L856/INDEX(Cadastro!$E$6:$E$8,MATCH($F856,Cadastro!$B$6:$B$8,0)),""))</f>
        <v/>
      </c>
      <c r="N856" s="43" t="str">
        <f aca="false">IF(OR($L856="",$I856="",$I856=0),"",$L856/$I856)</f>
        <v/>
      </c>
      <c r="O856" s="51"/>
    </row>
    <row r="857" customFormat="false" ht="15" hidden="false" customHeight="false" outlineLevel="0" collapsed="false">
      <c r="A857" s="45"/>
      <c r="B857" s="37" t="str">
        <f aca="false">IF($A857="","",WEEKNUM($A857,2))</f>
        <v/>
      </c>
      <c r="C857" s="37" t="str">
        <f aca="false">IF($A857="","",CHOOSE(WEEKDAY($A857,2),"Seg","Ter","Qua","Qui","Sex","Sáb","Dom"))</f>
        <v/>
      </c>
      <c r="D857" s="46"/>
      <c r="E857" s="47"/>
      <c r="F857" s="47"/>
      <c r="G857" s="48"/>
      <c r="H857" s="49"/>
      <c r="I857" s="50"/>
      <c r="J857" s="48"/>
      <c r="K857" s="49"/>
      <c r="L857" s="50"/>
      <c r="M857" s="43" t="str">
        <f aca="false">IF(OR($L857="",$F857=""),"",IFERROR($L857/INDEX(Cadastro!$E$6:$E$8,MATCH($F857,Cadastro!$B$6:$B$8,0)),""))</f>
        <v/>
      </c>
      <c r="N857" s="43" t="str">
        <f aca="false">IF(OR($L857="",$I857="",$I857=0),"",$L857/$I857)</f>
        <v/>
      </c>
      <c r="O857" s="51"/>
    </row>
    <row r="858" customFormat="false" ht="15" hidden="false" customHeight="false" outlineLevel="0" collapsed="false">
      <c r="A858" s="45"/>
      <c r="B858" s="37" t="str">
        <f aca="false">IF($A858="","",WEEKNUM($A858,2))</f>
        <v/>
      </c>
      <c r="C858" s="37" t="str">
        <f aca="false">IF($A858="","",CHOOSE(WEEKDAY($A858,2),"Seg","Ter","Qua","Qui","Sex","Sáb","Dom"))</f>
        <v/>
      </c>
      <c r="D858" s="46"/>
      <c r="E858" s="47"/>
      <c r="F858" s="47"/>
      <c r="G858" s="48"/>
      <c r="H858" s="49"/>
      <c r="I858" s="50"/>
      <c r="J858" s="48"/>
      <c r="K858" s="49"/>
      <c r="L858" s="50"/>
      <c r="M858" s="43" t="str">
        <f aca="false">IF(OR($L858="",$F858=""),"",IFERROR($L858/INDEX(Cadastro!$E$6:$E$8,MATCH($F858,Cadastro!$B$6:$B$8,0)),""))</f>
        <v/>
      </c>
      <c r="N858" s="43" t="str">
        <f aca="false">IF(OR($L858="",$I858="",$I858=0),"",$L858/$I858)</f>
        <v/>
      </c>
      <c r="O858" s="51"/>
    </row>
    <row r="859" customFormat="false" ht="15" hidden="false" customHeight="false" outlineLevel="0" collapsed="false">
      <c r="A859" s="45"/>
      <c r="B859" s="37" t="str">
        <f aca="false">IF($A859="","",WEEKNUM($A859,2))</f>
        <v/>
      </c>
      <c r="C859" s="37" t="str">
        <f aca="false">IF($A859="","",CHOOSE(WEEKDAY($A859,2),"Seg","Ter","Qua","Qui","Sex","Sáb","Dom"))</f>
        <v/>
      </c>
      <c r="D859" s="46"/>
      <c r="E859" s="47"/>
      <c r="F859" s="47"/>
      <c r="G859" s="48"/>
      <c r="H859" s="49"/>
      <c r="I859" s="50"/>
      <c r="J859" s="48"/>
      <c r="K859" s="49"/>
      <c r="L859" s="50"/>
      <c r="M859" s="43" t="str">
        <f aca="false">IF(OR($L859="",$F859=""),"",IFERROR($L859/INDEX(Cadastro!$E$6:$E$8,MATCH($F859,Cadastro!$B$6:$B$8,0)),""))</f>
        <v/>
      </c>
      <c r="N859" s="43" t="str">
        <f aca="false">IF(OR($L859="",$I859="",$I859=0),"",$L859/$I859)</f>
        <v/>
      </c>
      <c r="O859" s="51"/>
    </row>
    <row r="860" customFormat="false" ht="15" hidden="false" customHeight="false" outlineLevel="0" collapsed="false">
      <c r="A860" s="45"/>
      <c r="B860" s="37" t="str">
        <f aca="false">IF($A860="","",WEEKNUM($A860,2))</f>
        <v/>
      </c>
      <c r="C860" s="37" t="str">
        <f aca="false">IF($A860="","",CHOOSE(WEEKDAY($A860,2),"Seg","Ter","Qua","Qui","Sex","Sáb","Dom"))</f>
        <v/>
      </c>
      <c r="D860" s="46"/>
      <c r="E860" s="47"/>
      <c r="F860" s="47"/>
      <c r="G860" s="48"/>
      <c r="H860" s="49"/>
      <c r="I860" s="50"/>
      <c r="J860" s="48"/>
      <c r="K860" s="49"/>
      <c r="L860" s="50"/>
      <c r="M860" s="43" t="str">
        <f aca="false">IF(OR($L860="",$F860=""),"",IFERROR($L860/INDEX(Cadastro!$E$6:$E$8,MATCH($F860,Cadastro!$B$6:$B$8,0)),""))</f>
        <v/>
      </c>
      <c r="N860" s="43" t="str">
        <f aca="false">IF(OR($L860="",$I860="",$I860=0),"",$L860/$I860)</f>
        <v/>
      </c>
      <c r="O860" s="51"/>
    </row>
    <row r="861" customFormat="false" ht="15" hidden="false" customHeight="false" outlineLevel="0" collapsed="false">
      <c r="A861" s="45"/>
      <c r="B861" s="37" t="str">
        <f aca="false">IF($A861="","",WEEKNUM($A861,2))</f>
        <v/>
      </c>
      <c r="C861" s="37" t="str">
        <f aca="false">IF($A861="","",CHOOSE(WEEKDAY($A861,2),"Seg","Ter","Qua","Qui","Sex","Sáb","Dom"))</f>
        <v/>
      </c>
      <c r="D861" s="46"/>
      <c r="E861" s="47"/>
      <c r="F861" s="47"/>
      <c r="G861" s="48"/>
      <c r="H861" s="49"/>
      <c r="I861" s="50"/>
      <c r="J861" s="48"/>
      <c r="K861" s="49"/>
      <c r="L861" s="50"/>
      <c r="M861" s="43" t="str">
        <f aca="false">IF(OR($L861="",$F861=""),"",IFERROR($L861/INDEX(Cadastro!$E$6:$E$8,MATCH($F861,Cadastro!$B$6:$B$8,0)),""))</f>
        <v/>
      </c>
      <c r="N861" s="43" t="str">
        <f aca="false">IF(OR($L861="",$I861="",$I861=0),"",$L861/$I861)</f>
        <v/>
      </c>
      <c r="O861" s="51"/>
    </row>
    <row r="862" customFormat="false" ht="15" hidden="false" customHeight="false" outlineLevel="0" collapsed="false">
      <c r="A862" s="45"/>
      <c r="B862" s="37" t="str">
        <f aca="false">IF($A862="","",WEEKNUM($A862,2))</f>
        <v/>
      </c>
      <c r="C862" s="37" t="str">
        <f aca="false">IF($A862="","",CHOOSE(WEEKDAY($A862,2),"Seg","Ter","Qua","Qui","Sex","Sáb","Dom"))</f>
        <v/>
      </c>
      <c r="D862" s="46"/>
      <c r="E862" s="47"/>
      <c r="F862" s="47"/>
      <c r="G862" s="48"/>
      <c r="H862" s="49"/>
      <c r="I862" s="50"/>
      <c r="J862" s="48"/>
      <c r="K862" s="49"/>
      <c r="L862" s="50"/>
      <c r="M862" s="43" t="str">
        <f aca="false">IF(OR($L862="",$F862=""),"",IFERROR($L862/INDEX(Cadastro!$E$6:$E$8,MATCH($F862,Cadastro!$B$6:$B$8,0)),""))</f>
        <v/>
      </c>
      <c r="N862" s="43" t="str">
        <f aca="false">IF(OR($L862="",$I862="",$I862=0),"",$L862/$I862)</f>
        <v/>
      </c>
      <c r="O862" s="51"/>
    </row>
    <row r="863" customFormat="false" ht="15" hidden="false" customHeight="false" outlineLevel="0" collapsed="false">
      <c r="A863" s="45"/>
      <c r="B863" s="37" t="str">
        <f aca="false">IF($A863="","",WEEKNUM($A863,2))</f>
        <v/>
      </c>
      <c r="C863" s="37" t="str">
        <f aca="false">IF($A863="","",CHOOSE(WEEKDAY($A863,2),"Seg","Ter","Qua","Qui","Sex","Sáb","Dom"))</f>
        <v/>
      </c>
      <c r="D863" s="46"/>
      <c r="E863" s="47"/>
      <c r="F863" s="47"/>
      <c r="G863" s="48"/>
      <c r="H863" s="49"/>
      <c r="I863" s="50"/>
      <c r="J863" s="48"/>
      <c r="K863" s="49"/>
      <c r="L863" s="50"/>
      <c r="M863" s="43" t="str">
        <f aca="false">IF(OR($L863="",$F863=""),"",IFERROR($L863/INDEX(Cadastro!$E$6:$E$8,MATCH($F863,Cadastro!$B$6:$B$8,0)),""))</f>
        <v/>
      </c>
      <c r="N863" s="43" t="str">
        <f aca="false">IF(OR($L863="",$I863="",$I863=0),"",$L863/$I863)</f>
        <v/>
      </c>
      <c r="O863" s="51"/>
    </row>
    <row r="864" customFormat="false" ht="15" hidden="false" customHeight="false" outlineLevel="0" collapsed="false">
      <c r="A864" s="45"/>
      <c r="B864" s="37" t="str">
        <f aca="false">IF($A864="","",WEEKNUM($A864,2))</f>
        <v/>
      </c>
      <c r="C864" s="37" t="str">
        <f aca="false">IF($A864="","",CHOOSE(WEEKDAY($A864,2),"Seg","Ter","Qua","Qui","Sex","Sáb","Dom"))</f>
        <v/>
      </c>
      <c r="D864" s="46"/>
      <c r="E864" s="47"/>
      <c r="F864" s="47"/>
      <c r="G864" s="48"/>
      <c r="H864" s="49"/>
      <c r="I864" s="50"/>
      <c r="J864" s="48"/>
      <c r="K864" s="49"/>
      <c r="L864" s="50"/>
      <c r="M864" s="43" t="str">
        <f aca="false">IF(OR($L864="",$F864=""),"",IFERROR($L864/INDEX(Cadastro!$E$6:$E$8,MATCH($F864,Cadastro!$B$6:$B$8,0)),""))</f>
        <v/>
      </c>
      <c r="N864" s="43" t="str">
        <f aca="false">IF(OR($L864="",$I864="",$I864=0),"",$L864/$I864)</f>
        <v/>
      </c>
      <c r="O864" s="51"/>
    </row>
    <row r="865" customFormat="false" ht="15" hidden="false" customHeight="false" outlineLevel="0" collapsed="false">
      <c r="A865" s="45"/>
      <c r="B865" s="37" t="str">
        <f aca="false">IF($A865="","",WEEKNUM($A865,2))</f>
        <v/>
      </c>
      <c r="C865" s="37" t="str">
        <f aca="false">IF($A865="","",CHOOSE(WEEKDAY($A865,2),"Seg","Ter","Qua","Qui","Sex","Sáb","Dom"))</f>
        <v/>
      </c>
      <c r="D865" s="46"/>
      <c r="E865" s="47"/>
      <c r="F865" s="47"/>
      <c r="G865" s="48"/>
      <c r="H865" s="49"/>
      <c r="I865" s="50"/>
      <c r="J865" s="48"/>
      <c r="K865" s="49"/>
      <c r="L865" s="50"/>
      <c r="M865" s="43" t="str">
        <f aca="false">IF(OR($L865="",$F865=""),"",IFERROR($L865/INDEX(Cadastro!$E$6:$E$8,MATCH($F865,Cadastro!$B$6:$B$8,0)),""))</f>
        <v/>
      </c>
      <c r="N865" s="43" t="str">
        <f aca="false">IF(OR($L865="",$I865="",$I865=0),"",$L865/$I865)</f>
        <v/>
      </c>
      <c r="O865" s="51"/>
    </row>
    <row r="866" customFormat="false" ht="15" hidden="false" customHeight="false" outlineLevel="0" collapsed="false">
      <c r="A866" s="45"/>
      <c r="B866" s="37" t="str">
        <f aca="false">IF($A866="","",WEEKNUM($A866,2))</f>
        <v/>
      </c>
      <c r="C866" s="37" t="str">
        <f aca="false">IF($A866="","",CHOOSE(WEEKDAY($A866,2),"Seg","Ter","Qua","Qui","Sex","Sáb","Dom"))</f>
        <v/>
      </c>
      <c r="D866" s="46"/>
      <c r="E866" s="47"/>
      <c r="F866" s="47"/>
      <c r="G866" s="48"/>
      <c r="H866" s="49"/>
      <c r="I866" s="50"/>
      <c r="J866" s="48"/>
      <c r="K866" s="49"/>
      <c r="L866" s="50"/>
      <c r="M866" s="43" t="str">
        <f aca="false">IF(OR($L866="",$F866=""),"",IFERROR($L866/INDEX(Cadastro!$E$6:$E$8,MATCH($F866,Cadastro!$B$6:$B$8,0)),""))</f>
        <v/>
      </c>
      <c r="N866" s="43" t="str">
        <f aca="false">IF(OR($L866="",$I866="",$I866=0),"",$L866/$I866)</f>
        <v/>
      </c>
      <c r="O866" s="51"/>
    </row>
    <row r="867" customFormat="false" ht="15" hidden="false" customHeight="false" outlineLevel="0" collapsed="false">
      <c r="A867" s="45"/>
      <c r="B867" s="37" t="str">
        <f aca="false">IF($A867="","",WEEKNUM($A867,2))</f>
        <v/>
      </c>
      <c r="C867" s="37" t="str">
        <f aca="false">IF($A867="","",CHOOSE(WEEKDAY($A867,2),"Seg","Ter","Qua","Qui","Sex","Sáb","Dom"))</f>
        <v/>
      </c>
      <c r="D867" s="46"/>
      <c r="E867" s="47"/>
      <c r="F867" s="47"/>
      <c r="G867" s="48"/>
      <c r="H867" s="49"/>
      <c r="I867" s="50"/>
      <c r="J867" s="48"/>
      <c r="K867" s="49"/>
      <c r="L867" s="50"/>
      <c r="M867" s="43" t="str">
        <f aca="false">IF(OR($L867="",$F867=""),"",IFERROR($L867/INDEX(Cadastro!$E$6:$E$8,MATCH($F867,Cadastro!$B$6:$B$8,0)),""))</f>
        <v/>
      </c>
      <c r="N867" s="43" t="str">
        <f aca="false">IF(OR($L867="",$I867="",$I867=0),"",$L867/$I867)</f>
        <v/>
      </c>
      <c r="O867" s="51"/>
    </row>
    <row r="868" customFormat="false" ht="15" hidden="false" customHeight="false" outlineLevel="0" collapsed="false">
      <c r="A868" s="45"/>
      <c r="B868" s="37" t="str">
        <f aca="false">IF($A868="","",WEEKNUM($A868,2))</f>
        <v/>
      </c>
      <c r="C868" s="37" t="str">
        <f aca="false">IF($A868="","",CHOOSE(WEEKDAY($A868,2),"Seg","Ter","Qua","Qui","Sex","Sáb","Dom"))</f>
        <v/>
      </c>
      <c r="D868" s="46"/>
      <c r="E868" s="47"/>
      <c r="F868" s="47"/>
      <c r="G868" s="48"/>
      <c r="H868" s="49"/>
      <c r="I868" s="50"/>
      <c r="J868" s="48"/>
      <c r="K868" s="49"/>
      <c r="L868" s="50"/>
      <c r="M868" s="43" t="str">
        <f aca="false">IF(OR($L868="",$F868=""),"",IFERROR($L868/INDEX(Cadastro!$E$6:$E$8,MATCH($F868,Cadastro!$B$6:$B$8,0)),""))</f>
        <v/>
      </c>
      <c r="N868" s="43" t="str">
        <f aca="false">IF(OR($L868="",$I868="",$I868=0),"",$L868/$I868)</f>
        <v/>
      </c>
      <c r="O868" s="51"/>
    </row>
    <row r="869" customFormat="false" ht="15" hidden="false" customHeight="false" outlineLevel="0" collapsed="false">
      <c r="A869" s="45"/>
      <c r="B869" s="37" t="str">
        <f aca="false">IF($A869="","",WEEKNUM($A869,2))</f>
        <v/>
      </c>
      <c r="C869" s="37" t="str">
        <f aca="false">IF($A869="","",CHOOSE(WEEKDAY($A869,2),"Seg","Ter","Qua","Qui","Sex","Sáb","Dom"))</f>
        <v/>
      </c>
      <c r="D869" s="46"/>
      <c r="E869" s="47"/>
      <c r="F869" s="47"/>
      <c r="G869" s="48"/>
      <c r="H869" s="49"/>
      <c r="I869" s="50"/>
      <c r="J869" s="48"/>
      <c r="K869" s="49"/>
      <c r="L869" s="50"/>
      <c r="M869" s="43" t="str">
        <f aca="false">IF(OR($L869="",$F869=""),"",IFERROR($L869/INDEX(Cadastro!$E$6:$E$8,MATCH($F869,Cadastro!$B$6:$B$8,0)),""))</f>
        <v/>
      </c>
      <c r="N869" s="43" t="str">
        <f aca="false">IF(OR($L869="",$I869="",$I869=0),"",$L869/$I869)</f>
        <v/>
      </c>
      <c r="O869" s="51"/>
    </row>
    <row r="870" customFormat="false" ht="15" hidden="false" customHeight="false" outlineLevel="0" collapsed="false">
      <c r="A870" s="45"/>
      <c r="B870" s="37" t="str">
        <f aca="false">IF($A870="","",WEEKNUM($A870,2))</f>
        <v/>
      </c>
      <c r="C870" s="37" t="str">
        <f aca="false">IF($A870="","",CHOOSE(WEEKDAY($A870,2),"Seg","Ter","Qua","Qui","Sex","Sáb","Dom"))</f>
        <v/>
      </c>
      <c r="D870" s="46"/>
      <c r="E870" s="47"/>
      <c r="F870" s="47"/>
      <c r="G870" s="48"/>
      <c r="H870" s="49"/>
      <c r="I870" s="50"/>
      <c r="J870" s="48"/>
      <c r="K870" s="49"/>
      <c r="L870" s="50"/>
      <c r="M870" s="43" t="str">
        <f aca="false">IF(OR($L870="",$F870=""),"",IFERROR($L870/INDEX(Cadastro!$E$6:$E$8,MATCH($F870,Cadastro!$B$6:$B$8,0)),""))</f>
        <v/>
      </c>
      <c r="N870" s="43" t="str">
        <f aca="false">IF(OR($L870="",$I870="",$I870=0),"",$L870/$I870)</f>
        <v/>
      </c>
      <c r="O870" s="51"/>
    </row>
    <row r="871" customFormat="false" ht="15" hidden="false" customHeight="false" outlineLevel="0" collapsed="false">
      <c r="A871" s="45"/>
      <c r="B871" s="37" t="str">
        <f aca="false">IF($A871="","",WEEKNUM($A871,2))</f>
        <v/>
      </c>
      <c r="C871" s="37" t="str">
        <f aca="false">IF($A871="","",CHOOSE(WEEKDAY($A871,2),"Seg","Ter","Qua","Qui","Sex","Sáb","Dom"))</f>
        <v/>
      </c>
      <c r="D871" s="46"/>
      <c r="E871" s="47"/>
      <c r="F871" s="47"/>
      <c r="G871" s="48"/>
      <c r="H871" s="49"/>
      <c r="I871" s="50"/>
      <c r="J871" s="48"/>
      <c r="K871" s="49"/>
      <c r="L871" s="50"/>
      <c r="M871" s="43" t="str">
        <f aca="false">IF(OR($L871="",$F871=""),"",IFERROR($L871/INDEX(Cadastro!$E$6:$E$8,MATCH($F871,Cadastro!$B$6:$B$8,0)),""))</f>
        <v/>
      </c>
      <c r="N871" s="43" t="str">
        <f aca="false">IF(OR($L871="",$I871="",$I871=0),"",$L871/$I871)</f>
        <v/>
      </c>
      <c r="O871" s="51"/>
    </row>
    <row r="872" customFormat="false" ht="15" hidden="false" customHeight="false" outlineLevel="0" collapsed="false">
      <c r="A872" s="45"/>
      <c r="B872" s="37" t="str">
        <f aca="false">IF($A872="","",WEEKNUM($A872,2))</f>
        <v/>
      </c>
      <c r="C872" s="37" t="str">
        <f aca="false">IF($A872="","",CHOOSE(WEEKDAY($A872,2),"Seg","Ter","Qua","Qui","Sex","Sáb","Dom"))</f>
        <v/>
      </c>
      <c r="D872" s="46"/>
      <c r="E872" s="47"/>
      <c r="F872" s="47"/>
      <c r="G872" s="48"/>
      <c r="H872" s="49"/>
      <c r="I872" s="50"/>
      <c r="J872" s="48"/>
      <c r="K872" s="49"/>
      <c r="L872" s="50"/>
      <c r="M872" s="43" t="str">
        <f aca="false">IF(OR($L872="",$F872=""),"",IFERROR($L872/INDEX(Cadastro!$E$6:$E$8,MATCH($F872,Cadastro!$B$6:$B$8,0)),""))</f>
        <v/>
      </c>
      <c r="N872" s="43" t="str">
        <f aca="false">IF(OR($L872="",$I872="",$I872=0),"",$L872/$I872)</f>
        <v/>
      </c>
      <c r="O872" s="51"/>
    </row>
    <row r="873" customFormat="false" ht="15" hidden="false" customHeight="false" outlineLevel="0" collapsed="false">
      <c r="A873" s="45"/>
      <c r="B873" s="37" t="str">
        <f aca="false">IF($A873="","",WEEKNUM($A873,2))</f>
        <v/>
      </c>
      <c r="C873" s="37" t="str">
        <f aca="false">IF($A873="","",CHOOSE(WEEKDAY($A873,2),"Seg","Ter","Qua","Qui","Sex","Sáb","Dom"))</f>
        <v/>
      </c>
      <c r="D873" s="46"/>
      <c r="E873" s="47"/>
      <c r="F873" s="47"/>
      <c r="G873" s="48"/>
      <c r="H873" s="49"/>
      <c r="I873" s="50"/>
      <c r="J873" s="48"/>
      <c r="K873" s="49"/>
      <c r="L873" s="50"/>
      <c r="M873" s="43" t="str">
        <f aca="false">IF(OR($L873="",$F873=""),"",IFERROR($L873/INDEX(Cadastro!$E$6:$E$8,MATCH($F873,Cadastro!$B$6:$B$8,0)),""))</f>
        <v/>
      </c>
      <c r="N873" s="43" t="str">
        <f aca="false">IF(OR($L873="",$I873="",$I873=0),"",$L873/$I873)</f>
        <v/>
      </c>
      <c r="O873" s="51"/>
    </row>
    <row r="874" customFormat="false" ht="15" hidden="false" customHeight="false" outlineLevel="0" collapsed="false">
      <c r="A874" s="45"/>
      <c r="B874" s="37" t="str">
        <f aca="false">IF($A874="","",WEEKNUM($A874,2))</f>
        <v/>
      </c>
      <c r="C874" s="37" t="str">
        <f aca="false">IF($A874="","",CHOOSE(WEEKDAY($A874,2),"Seg","Ter","Qua","Qui","Sex","Sáb","Dom"))</f>
        <v/>
      </c>
      <c r="D874" s="46"/>
      <c r="E874" s="47"/>
      <c r="F874" s="47"/>
      <c r="G874" s="48"/>
      <c r="H874" s="49"/>
      <c r="I874" s="50"/>
      <c r="J874" s="48"/>
      <c r="K874" s="49"/>
      <c r="L874" s="50"/>
      <c r="M874" s="43" t="str">
        <f aca="false">IF(OR($L874="",$F874=""),"",IFERROR($L874/INDEX(Cadastro!$E$6:$E$8,MATCH($F874,Cadastro!$B$6:$B$8,0)),""))</f>
        <v/>
      </c>
      <c r="N874" s="43" t="str">
        <f aca="false">IF(OR($L874="",$I874="",$I874=0),"",$L874/$I874)</f>
        <v/>
      </c>
      <c r="O874" s="51"/>
    </row>
    <row r="875" customFormat="false" ht="15" hidden="false" customHeight="false" outlineLevel="0" collapsed="false">
      <c r="A875" s="45"/>
      <c r="B875" s="37" t="str">
        <f aca="false">IF($A875="","",WEEKNUM($A875,2))</f>
        <v/>
      </c>
      <c r="C875" s="37" t="str">
        <f aca="false">IF($A875="","",CHOOSE(WEEKDAY($A875,2),"Seg","Ter","Qua","Qui","Sex","Sáb","Dom"))</f>
        <v/>
      </c>
      <c r="D875" s="46"/>
      <c r="E875" s="47"/>
      <c r="F875" s="47"/>
      <c r="G875" s="48"/>
      <c r="H875" s="49"/>
      <c r="I875" s="50"/>
      <c r="J875" s="48"/>
      <c r="K875" s="49"/>
      <c r="L875" s="50"/>
      <c r="M875" s="43" t="str">
        <f aca="false">IF(OR($L875="",$F875=""),"",IFERROR($L875/INDEX(Cadastro!$E$6:$E$8,MATCH($F875,Cadastro!$B$6:$B$8,0)),""))</f>
        <v/>
      </c>
      <c r="N875" s="43" t="str">
        <f aca="false">IF(OR($L875="",$I875="",$I875=0),"",$L875/$I875)</f>
        <v/>
      </c>
      <c r="O875" s="51"/>
    </row>
    <row r="876" customFormat="false" ht="15" hidden="false" customHeight="false" outlineLevel="0" collapsed="false">
      <c r="A876" s="45"/>
      <c r="B876" s="37" t="str">
        <f aca="false">IF($A876="","",WEEKNUM($A876,2))</f>
        <v/>
      </c>
      <c r="C876" s="37" t="str">
        <f aca="false">IF($A876="","",CHOOSE(WEEKDAY($A876,2),"Seg","Ter","Qua","Qui","Sex","Sáb","Dom"))</f>
        <v/>
      </c>
      <c r="D876" s="46"/>
      <c r="E876" s="47"/>
      <c r="F876" s="47"/>
      <c r="G876" s="48"/>
      <c r="H876" s="49"/>
      <c r="I876" s="50"/>
      <c r="J876" s="48"/>
      <c r="K876" s="49"/>
      <c r="L876" s="50"/>
      <c r="M876" s="43" t="str">
        <f aca="false">IF(OR($L876="",$F876=""),"",IFERROR($L876/INDEX(Cadastro!$E$6:$E$8,MATCH($F876,Cadastro!$B$6:$B$8,0)),""))</f>
        <v/>
      </c>
      <c r="N876" s="43" t="str">
        <f aca="false">IF(OR($L876="",$I876="",$I876=0),"",$L876/$I876)</f>
        <v/>
      </c>
      <c r="O876" s="51"/>
    </row>
    <row r="877" customFormat="false" ht="15" hidden="false" customHeight="false" outlineLevel="0" collapsed="false">
      <c r="A877" s="45"/>
      <c r="B877" s="37" t="str">
        <f aca="false">IF($A877="","",WEEKNUM($A877,2))</f>
        <v/>
      </c>
      <c r="C877" s="37" t="str">
        <f aca="false">IF($A877="","",CHOOSE(WEEKDAY($A877,2),"Seg","Ter","Qua","Qui","Sex","Sáb","Dom"))</f>
        <v/>
      </c>
      <c r="D877" s="46"/>
      <c r="E877" s="47"/>
      <c r="F877" s="47"/>
      <c r="G877" s="48"/>
      <c r="H877" s="49"/>
      <c r="I877" s="50"/>
      <c r="J877" s="48"/>
      <c r="K877" s="49"/>
      <c r="L877" s="50"/>
      <c r="M877" s="43" t="str">
        <f aca="false">IF(OR($L877="",$F877=""),"",IFERROR($L877/INDEX(Cadastro!$E$6:$E$8,MATCH($F877,Cadastro!$B$6:$B$8,0)),""))</f>
        <v/>
      </c>
      <c r="N877" s="43" t="str">
        <f aca="false">IF(OR($L877="",$I877="",$I877=0),"",$L877/$I877)</f>
        <v/>
      </c>
      <c r="O877" s="51"/>
    </row>
    <row r="878" customFormat="false" ht="15" hidden="false" customHeight="false" outlineLevel="0" collapsed="false">
      <c r="A878" s="45"/>
      <c r="B878" s="37" t="str">
        <f aca="false">IF($A878="","",WEEKNUM($A878,2))</f>
        <v/>
      </c>
      <c r="C878" s="37" t="str">
        <f aca="false">IF($A878="","",CHOOSE(WEEKDAY($A878,2),"Seg","Ter","Qua","Qui","Sex","Sáb","Dom"))</f>
        <v/>
      </c>
      <c r="D878" s="46"/>
      <c r="E878" s="47"/>
      <c r="F878" s="47"/>
      <c r="G878" s="48"/>
      <c r="H878" s="49"/>
      <c r="I878" s="50"/>
      <c r="J878" s="48"/>
      <c r="K878" s="49"/>
      <c r="L878" s="50"/>
      <c r="M878" s="43" t="str">
        <f aca="false">IF(OR($L878="",$F878=""),"",IFERROR($L878/INDEX(Cadastro!$E$6:$E$8,MATCH($F878,Cadastro!$B$6:$B$8,0)),""))</f>
        <v/>
      </c>
      <c r="N878" s="43" t="str">
        <f aca="false">IF(OR($L878="",$I878="",$I878=0),"",$L878/$I878)</f>
        <v/>
      </c>
      <c r="O878" s="51"/>
    </row>
    <row r="879" customFormat="false" ht="15" hidden="false" customHeight="false" outlineLevel="0" collapsed="false">
      <c r="A879" s="45"/>
      <c r="B879" s="37" t="str">
        <f aca="false">IF($A879="","",WEEKNUM($A879,2))</f>
        <v/>
      </c>
      <c r="C879" s="37" t="str">
        <f aca="false">IF($A879="","",CHOOSE(WEEKDAY($A879,2),"Seg","Ter","Qua","Qui","Sex","Sáb","Dom"))</f>
        <v/>
      </c>
      <c r="D879" s="46"/>
      <c r="E879" s="47"/>
      <c r="F879" s="47"/>
      <c r="G879" s="48"/>
      <c r="H879" s="49"/>
      <c r="I879" s="50"/>
      <c r="J879" s="48"/>
      <c r="K879" s="49"/>
      <c r="L879" s="50"/>
      <c r="M879" s="43" t="str">
        <f aca="false">IF(OR($L879="",$F879=""),"",IFERROR($L879/INDEX(Cadastro!$E$6:$E$8,MATCH($F879,Cadastro!$B$6:$B$8,0)),""))</f>
        <v/>
      </c>
      <c r="N879" s="43" t="str">
        <f aca="false">IF(OR($L879="",$I879="",$I879=0),"",$L879/$I879)</f>
        <v/>
      </c>
      <c r="O879" s="51"/>
    </row>
    <row r="880" customFormat="false" ht="15" hidden="false" customHeight="false" outlineLevel="0" collapsed="false">
      <c r="A880" s="45"/>
      <c r="B880" s="37" t="str">
        <f aca="false">IF($A880="","",WEEKNUM($A880,2))</f>
        <v/>
      </c>
      <c r="C880" s="37" t="str">
        <f aca="false">IF($A880="","",CHOOSE(WEEKDAY($A880,2),"Seg","Ter","Qua","Qui","Sex","Sáb","Dom"))</f>
        <v/>
      </c>
      <c r="D880" s="46"/>
      <c r="E880" s="47"/>
      <c r="F880" s="47"/>
      <c r="G880" s="48"/>
      <c r="H880" s="49"/>
      <c r="I880" s="50"/>
      <c r="J880" s="48"/>
      <c r="K880" s="49"/>
      <c r="L880" s="50"/>
      <c r="M880" s="43" t="str">
        <f aca="false">IF(OR($L880="",$F880=""),"",IFERROR($L880/INDEX(Cadastro!$E$6:$E$8,MATCH($F880,Cadastro!$B$6:$B$8,0)),""))</f>
        <v/>
      </c>
      <c r="N880" s="43" t="str">
        <f aca="false">IF(OR($L880="",$I880="",$I880=0),"",$L880/$I880)</f>
        <v/>
      </c>
      <c r="O880" s="51"/>
    </row>
    <row r="881" customFormat="false" ht="15" hidden="false" customHeight="false" outlineLevel="0" collapsed="false">
      <c r="A881" s="45"/>
      <c r="B881" s="37" t="str">
        <f aca="false">IF($A881="","",WEEKNUM($A881,2))</f>
        <v/>
      </c>
      <c r="C881" s="37" t="str">
        <f aca="false">IF($A881="","",CHOOSE(WEEKDAY($A881,2),"Seg","Ter","Qua","Qui","Sex","Sáb","Dom"))</f>
        <v/>
      </c>
      <c r="D881" s="46"/>
      <c r="E881" s="47"/>
      <c r="F881" s="47"/>
      <c r="G881" s="48"/>
      <c r="H881" s="49"/>
      <c r="I881" s="50"/>
      <c r="J881" s="48"/>
      <c r="K881" s="49"/>
      <c r="L881" s="50"/>
      <c r="M881" s="43" t="str">
        <f aca="false">IF(OR($L881="",$F881=""),"",IFERROR($L881/INDEX(Cadastro!$E$6:$E$8,MATCH($F881,Cadastro!$B$6:$B$8,0)),""))</f>
        <v/>
      </c>
      <c r="N881" s="43" t="str">
        <f aca="false">IF(OR($L881="",$I881="",$I881=0),"",$L881/$I881)</f>
        <v/>
      </c>
      <c r="O881" s="51"/>
    </row>
    <row r="882" customFormat="false" ht="15" hidden="false" customHeight="false" outlineLevel="0" collapsed="false">
      <c r="A882" s="45"/>
      <c r="B882" s="37" t="str">
        <f aca="false">IF($A882="","",WEEKNUM($A882,2))</f>
        <v/>
      </c>
      <c r="C882" s="37" t="str">
        <f aca="false">IF($A882="","",CHOOSE(WEEKDAY($A882,2),"Seg","Ter","Qua","Qui","Sex","Sáb","Dom"))</f>
        <v/>
      </c>
      <c r="D882" s="46"/>
      <c r="E882" s="47"/>
      <c r="F882" s="47"/>
      <c r="G882" s="48"/>
      <c r="H882" s="49"/>
      <c r="I882" s="50"/>
      <c r="J882" s="48"/>
      <c r="K882" s="49"/>
      <c r="L882" s="50"/>
      <c r="M882" s="43" t="str">
        <f aca="false">IF(OR($L882="",$F882=""),"",IFERROR($L882/INDEX(Cadastro!$E$6:$E$8,MATCH($F882,Cadastro!$B$6:$B$8,0)),""))</f>
        <v/>
      </c>
      <c r="N882" s="43" t="str">
        <f aca="false">IF(OR($L882="",$I882="",$I882=0),"",$L882/$I882)</f>
        <v/>
      </c>
      <c r="O882" s="51"/>
    </row>
    <row r="883" customFormat="false" ht="15" hidden="false" customHeight="false" outlineLevel="0" collapsed="false">
      <c r="A883" s="45"/>
      <c r="B883" s="37" t="str">
        <f aca="false">IF($A883="","",WEEKNUM($A883,2))</f>
        <v/>
      </c>
      <c r="C883" s="37" t="str">
        <f aca="false">IF($A883="","",CHOOSE(WEEKDAY($A883,2),"Seg","Ter","Qua","Qui","Sex","Sáb","Dom"))</f>
        <v/>
      </c>
      <c r="D883" s="46"/>
      <c r="E883" s="47"/>
      <c r="F883" s="47"/>
      <c r="G883" s="48"/>
      <c r="H883" s="49"/>
      <c r="I883" s="50"/>
      <c r="J883" s="48"/>
      <c r="K883" s="49"/>
      <c r="L883" s="50"/>
      <c r="M883" s="43" t="str">
        <f aca="false">IF(OR($L883="",$F883=""),"",IFERROR($L883/INDEX(Cadastro!$E$6:$E$8,MATCH($F883,Cadastro!$B$6:$B$8,0)),""))</f>
        <v/>
      </c>
      <c r="N883" s="43" t="str">
        <f aca="false">IF(OR($L883="",$I883="",$I883=0),"",$L883/$I883)</f>
        <v/>
      </c>
      <c r="O883" s="51"/>
    </row>
    <row r="884" customFormat="false" ht="15" hidden="false" customHeight="false" outlineLevel="0" collapsed="false">
      <c r="A884" s="45"/>
      <c r="B884" s="37" t="str">
        <f aca="false">IF($A884="","",WEEKNUM($A884,2))</f>
        <v/>
      </c>
      <c r="C884" s="37" t="str">
        <f aca="false">IF($A884="","",CHOOSE(WEEKDAY($A884,2),"Seg","Ter","Qua","Qui","Sex","Sáb","Dom"))</f>
        <v/>
      </c>
      <c r="D884" s="46"/>
      <c r="E884" s="47"/>
      <c r="F884" s="47"/>
      <c r="G884" s="48"/>
      <c r="H884" s="49"/>
      <c r="I884" s="50"/>
      <c r="J884" s="48"/>
      <c r="K884" s="49"/>
      <c r="L884" s="50"/>
      <c r="M884" s="43" t="str">
        <f aca="false">IF(OR($L884="",$F884=""),"",IFERROR($L884/INDEX(Cadastro!$E$6:$E$8,MATCH($F884,Cadastro!$B$6:$B$8,0)),""))</f>
        <v/>
      </c>
      <c r="N884" s="43" t="str">
        <f aca="false">IF(OR($L884="",$I884="",$I884=0),"",$L884/$I884)</f>
        <v/>
      </c>
      <c r="O884" s="51"/>
    </row>
    <row r="885" customFormat="false" ht="15" hidden="false" customHeight="false" outlineLevel="0" collapsed="false">
      <c r="A885" s="45"/>
      <c r="B885" s="37" t="str">
        <f aca="false">IF($A885="","",WEEKNUM($A885,2))</f>
        <v/>
      </c>
      <c r="C885" s="37" t="str">
        <f aca="false">IF($A885="","",CHOOSE(WEEKDAY($A885,2),"Seg","Ter","Qua","Qui","Sex","Sáb","Dom"))</f>
        <v/>
      </c>
      <c r="D885" s="46"/>
      <c r="E885" s="47"/>
      <c r="F885" s="47"/>
      <c r="G885" s="48"/>
      <c r="H885" s="49"/>
      <c r="I885" s="50"/>
      <c r="J885" s="48"/>
      <c r="K885" s="49"/>
      <c r="L885" s="50"/>
      <c r="M885" s="43" t="str">
        <f aca="false">IF(OR($L885="",$F885=""),"",IFERROR($L885/INDEX(Cadastro!$E$6:$E$8,MATCH($F885,Cadastro!$B$6:$B$8,0)),""))</f>
        <v/>
      </c>
      <c r="N885" s="43" t="str">
        <f aca="false">IF(OR($L885="",$I885="",$I885=0),"",$L885/$I885)</f>
        <v/>
      </c>
      <c r="O885" s="51"/>
    </row>
    <row r="886" customFormat="false" ht="15" hidden="false" customHeight="false" outlineLevel="0" collapsed="false">
      <c r="A886" s="45"/>
      <c r="B886" s="37" t="str">
        <f aca="false">IF($A886="","",WEEKNUM($A886,2))</f>
        <v/>
      </c>
      <c r="C886" s="37" t="str">
        <f aca="false">IF($A886="","",CHOOSE(WEEKDAY($A886,2),"Seg","Ter","Qua","Qui","Sex","Sáb","Dom"))</f>
        <v/>
      </c>
      <c r="D886" s="46"/>
      <c r="E886" s="47"/>
      <c r="F886" s="47"/>
      <c r="G886" s="48"/>
      <c r="H886" s="49"/>
      <c r="I886" s="50"/>
      <c r="J886" s="48"/>
      <c r="K886" s="49"/>
      <c r="L886" s="50"/>
      <c r="M886" s="43" t="str">
        <f aca="false">IF(OR($L886="",$F886=""),"",IFERROR($L886/INDEX(Cadastro!$E$6:$E$8,MATCH($F886,Cadastro!$B$6:$B$8,0)),""))</f>
        <v/>
      </c>
      <c r="N886" s="43" t="str">
        <f aca="false">IF(OR($L886="",$I886="",$I886=0),"",$L886/$I886)</f>
        <v/>
      </c>
      <c r="O886" s="51"/>
    </row>
    <row r="887" customFormat="false" ht="15" hidden="false" customHeight="false" outlineLevel="0" collapsed="false">
      <c r="A887" s="45"/>
      <c r="B887" s="37" t="str">
        <f aca="false">IF($A887="","",WEEKNUM($A887,2))</f>
        <v/>
      </c>
      <c r="C887" s="37" t="str">
        <f aca="false">IF($A887="","",CHOOSE(WEEKDAY($A887,2),"Seg","Ter","Qua","Qui","Sex","Sáb","Dom"))</f>
        <v/>
      </c>
      <c r="D887" s="46"/>
      <c r="E887" s="47"/>
      <c r="F887" s="47"/>
      <c r="G887" s="48"/>
      <c r="H887" s="49"/>
      <c r="I887" s="50"/>
      <c r="J887" s="48"/>
      <c r="K887" s="49"/>
      <c r="L887" s="50"/>
      <c r="M887" s="43" t="str">
        <f aca="false">IF(OR($L887="",$F887=""),"",IFERROR($L887/INDEX(Cadastro!$E$6:$E$8,MATCH($F887,Cadastro!$B$6:$B$8,0)),""))</f>
        <v/>
      </c>
      <c r="N887" s="43" t="str">
        <f aca="false">IF(OR($L887="",$I887="",$I887=0),"",$L887/$I887)</f>
        <v/>
      </c>
      <c r="O887" s="51"/>
    </row>
    <row r="888" customFormat="false" ht="15" hidden="false" customHeight="false" outlineLevel="0" collapsed="false">
      <c r="A888" s="45"/>
      <c r="B888" s="37" t="str">
        <f aca="false">IF($A888="","",WEEKNUM($A888,2))</f>
        <v/>
      </c>
      <c r="C888" s="37" t="str">
        <f aca="false">IF($A888="","",CHOOSE(WEEKDAY($A888,2),"Seg","Ter","Qua","Qui","Sex","Sáb","Dom"))</f>
        <v/>
      </c>
      <c r="D888" s="46"/>
      <c r="E888" s="47"/>
      <c r="F888" s="47"/>
      <c r="G888" s="48"/>
      <c r="H888" s="49"/>
      <c r="I888" s="50"/>
      <c r="J888" s="48"/>
      <c r="K888" s="49"/>
      <c r="L888" s="50"/>
      <c r="M888" s="43" t="str">
        <f aca="false">IF(OR($L888="",$F888=""),"",IFERROR($L888/INDEX(Cadastro!$E$6:$E$8,MATCH($F888,Cadastro!$B$6:$B$8,0)),""))</f>
        <v/>
      </c>
      <c r="N888" s="43" t="str">
        <f aca="false">IF(OR($L888="",$I888="",$I888=0),"",$L888/$I888)</f>
        <v/>
      </c>
      <c r="O888" s="51"/>
    </row>
    <row r="889" customFormat="false" ht="15" hidden="false" customHeight="false" outlineLevel="0" collapsed="false">
      <c r="A889" s="45"/>
      <c r="B889" s="37" t="str">
        <f aca="false">IF($A889="","",WEEKNUM($A889,2))</f>
        <v/>
      </c>
      <c r="C889" s="37" t="str">
        <f aca="false">IF($A889="","",CHOOSE(WEEKDAY($A889,2),"Seg","Ter","Qua","Qui","Sex","Sáb","Dom"))</f>
        <v/>
      </c>
      <c r="D889" s="46"/>
      <c r="E889" s="47"/>
      <c r="F889" s="47"/>
      <c r="G889" s="48"/>
      <c r="H889" s="49"/>
      <c r="I889" s="50"/>
      <c r="J889" s="48"/>
      <c r="K889" s="49"/>
      <c r="L889" s="50"/>
      <c r="M889" s="43" t="str">
        <f aca="false">IF(OR($L889="",$F889=""),"",IFERROR($L889/INDEX(Cadastro!$E$6:$E$8,MATCH($F889,Cadastro!$B$6:$B$8,0)),""))</f>
        <v/>
      </c>
      <c r="N889" s="43" t="str">
        <f aca="false">IF(OR($L889="",$I889="",$I889=0),"",$L889/$I889)</f>
        <v/>
      </c>
      <c r="O889" s="51"/>
    </row>
    <row r="890" customFormat="false" ht="15" hidden="false" customHeight="false" outlineLevel="0" collapsed="false">
      <c r="A890" s="45"/>
      <c r="B890" s="37" t="str">
        <f aca="false">IF($A890="","",WEEKNUM($A890,2))</f>
        <v/>
      </c>
      <c r="C890" s="37" t="str">
        <f aca="false">IF($A890="","",CHOOSE(WEEKDAY($A890,2),"Seg","Ter","Qua","Qui","Sex","Sáb","Dom"))</f>
        <v/>
      </c>
      <c r="D890" s="46"/>
      <c r="E890" s="47"/>
      <c r="F890" s="47"/>
      <c r="G890" s="48"/>
      <c r="H890" s="49"/>
      <c r="I890" s="50"/>
      <c r="J890" s="48"/>
      <c r="K890" s="49"/>
      <c r="L890" s="50"/>
      <c r="M890" s="43" t="str">
        <f aca="false">IF(OR($L890="",$F890=""),"",IFERROR($L890/INDEX(Cadastro!$E$6:$E$8,MATCH($F890,Cadastro!$B$6:$B$8,0)),""))</f>
        <v/>
      </c>
      <c r="N890" s="43" t="str">
        <f aca="false">IF(OR($L890="",$I890="",$I890=0),"",$L890/$I890)</f>
        <v/>
      </c>
      <c r="O890" s="51"/>
    </row>
    <row r="891" customFormat="false" ht="15" hidden="false" customHeight="false" outlineLevel="0" collapsed="false">
      <c r="A891" s="45"/>
      <c r="B891" s="37" t="str">
        <f aca="false">IF($A891="","",WEEKNUM($A891,2))</f>
        <v/>
      </c>
      <c r="C891" s="37" t="str">
        <f aca="false">IF($A891="","",CHOOSE(WEEKDAY($A891,2),"Seg","Ter","Qua","Qui","Sex","Sáb","Dom"))</f>
        <v/>
      </c>
      <c r="D891" s="46"/>
      <c r="E891" s="47"/>
      <c r="F891" s="47"/>
      <c r="G891" s="48"/>
      <c r="H891" s="49"/>
      <c r="I891" s="50"/>
      <c r="J891" s="48"/>
      <c r="K891" s="49"/>
      <c r="L891" s="50"/>
      <c r="M891" s="43" t="str">
        <f aca="false">IF(OR($L891="",$F891=""),"",IFERROR($L891/INDEX(Cadastro!$E$6:$E$8,MATCH($F891,Cadastro!$B$6:$B$8,0)),""))</f>
        <v/>
      </c>
      <c r="N891" s="43" t="str">
        <f aca="false">IF(OR($L891="",$I891="",$I891=0),"",$L891/$I891)</f>
        <v/>
      </c>
      <c r="O891" s="51"/>
    </row>
    <row r="892" customFormat="false" ht="15" hidden="false" customHeight="false" outlineLevel="0" collapsed="false">
      <c r="A892" s="45"/>
      <c r="B892" s="37" t="str">
        <f aca="false">IF($A892="","",WEEKNUM($A892,2))</f>
        <v/>
      </c>
      <c r="C892" s="37" t="str">
        <f aca="false">IF($A892="","",CHOOSE(WEEKDAY($A892,2),"Seg","Ter","Qua","Qui","Sex","Sáb","Dom"))</f>
        <v/>
      </c>
      <c r="D892" s="46"/>
      <c r="E892" s="47"/>
      <c r="F892" s="47"/>
      <c r="G892" s="48"/>
      <c r="H892" s="49"/>
      <c r="I892" s="50"/>
      <c r="J892" s="48"/>
      <c r="K892" s="49"/>
      <c r="L892" s="50"/>
      <c r="M892" s="43" t="str">
        <f aca="false">IF(OR($L892="",$F892=""),"",IFERROR($L892/INDEX(Cadastro!$E$6:$E$8,MATCH($F892,Cadastro!$B$6:$B$8,0)),""))</f>
        <v/>
      </c>
      <c r="N892" s="43" t="str">
        <f aca="false">IF(OR($L892="",$I892="",$I892=0),"",$L892/$I892)</f>
        <v/>
      </c>
      <c r="O892" s="51"/>
    </row>
    <row r="893" customFormat="false" ht="15" hidden="false" customHeight="false" outlineLevel="0" collapsed="false">
      <c r="A893" s="45"/>
      <c r="B893" s="37" t="str">
        <f aca="false">IF($A893="","",WEEKNUM($A893,2))</f>
        <v/>
      </c>
      <c r="C893" s="37" t="str">
        <f aca="false">IF($A893="","",CHOOSE(WEEKDAY($A893,2),"Seg","Ter","Qua","Qui","Sex","Sáb","Dom"))</f>
        <v/>
      </c>
      <c r="D893" s="46"/>
      <c r="E893" s="47"/>
      <c r="F893" s="47"/>
      <c r="G893" s="48"/>
      <c r="H893" s="49"/>
      <c r="I893" s="50"/>
      <c r="J893" s="48"/>
      <c r="K893" s="49"/>
      <c r="L893" s="50"/>
      <c r="M893" s="43" t="str">
        <f aca="false">IF(OR($L893="",$F893=""),"",IFERROR($L893/INDEX(Cadastro!$E$6:$E$8,MATCH($F893,Cadastro!$B$6:$B$8,0)),""))</f>
        <v/>
      </c>
      <c r="N893" s="43" t="str">
        <f aca="false">IF(OR($L893="",$I893="",$I893=0),"",$L893/$I893)</f>
        <v/>
      </c>
      <c r="O893" s="51"/>
    </row>
    <row r="894" customFormat="false" ht="15" hidden="false" customHeight="false" outlineLevel="0" collapsed="false">
      <c r="A894" s="45"/>
      <c r="B894" s="37" t="str">
        <f aca="false">IF($A894="","",WEEKNUM($A894,2))</f>
        <v/>
      </c>
      <c r="C894" s="37" t="str">
        <f aca="false">IF($A894="","",CHOOSE(WEEKDAY($A894,2),"Seg","Ter","Qua","Qui","Sex","Sáb","Dom"))</f>
        <v/>
      </c>
      <c r="D894" s="46"/>
      <c r="E894" s="47"/>
      <c r="F894" s="47"/>
      <c r="G894" s="48"/>
      <c r="H894" s="49"/>
      <c r="I894" s="50"/>
      <c r="J894" s="48"/>
      <c r="K894" s="49"/>
      <c r="L894" s="50"/>
      <c r="M894" s="43" t="str">
        <f aca="false">IF(OR($L894="",$F894=""),"",IFERROR($L894/INDEX(Cadastro!$E$6:$E$8,MATCH($F894,Cadastro!$B$6:$B$8,0)),""))</f>
        <v/>
      </c>
      <c r="N894" s="43" t="str">
        <f aca="false">IF(OR($L894="",$I894="",$I894=0),"",$L894/$I894)</f>
        <v/>
      </c>
      <c r="O894" s="51"/>
    </row>
    <row r="895" customFormat="false" ht="15" hidden="false" customHeight="false" outlineLevel="0" collapsed="false">
      <c r="A895" s="45"/>
      <c r="B895" s="37" t="str">
        <f aca="false">IF($A895="","",WEEKNUM($A895,2))</f>
        <v/>
      </c>
      <c r="C895" s="37" t="str">
        <f aca="false">IF($A895="","",CHOOSE(WEEKDAY($A895,2),"Seg","Ter","Qua","Qui","Sex","Sáb","Dom"))</f>
        <v/>
      </c>
      <c r="D895" s="46"/>
      <c r="E895" s="47"/>
      <c r="F895" s="47"/>
      <c r="G895" s="48"/>
      <c r="H895" s="49"/>
      <c r="I895" s="50"/>
      <c r="J895" s="48"/>
      <c r="K895" s="49"/>
      <c r="L895" s="50"/>
      <c r="M895" s="43" t="str">
        <f aca="false">IF(OR($L895="",$F895=""),"",IFERROR($L895/INDEX(Cadastro!$E$6:$E$8,MATCH($F895,Cadastro!$B$6:$B$8,0)),""))</f>
        <v/>
      </c>
      <c r="N895" s="43" t="str">
        <f aca="false">IF(OR($L895="",$I895="",$I895=0),"",$L895/$I895)</f>
        <v/>
      </c>
      <c r="O895" s="51"/>
    </row>
    <row r="896" customFormat="false" ht="15" hidden="false" customHeight="false" outlineLevel="0" collapsed="false">
      <c r="A896" s="45"/>
      <c r="B896" s="37" t="str">
        <f aca="false">IF($A896="","",WEEKNUM($A896,2))</f>
        <v/>
      </c>
      <c r="C896" s="37" t="str">
        <f aca="false">IF($A896="","",CHOOSE(WEEKDAY($A896,2),"Seg","Ter","Qua","Qui","Sex","Sáb","Dom"))</f>
        <v/>
      </c>
      <c r="D896" s="46"/>
      <c r="E896" s="47"/>
      <c r="F896" s="47"/>
      <c r="G896" s="48"/>
      <c r="H896" s="49"/>
      <c r="I896" s="50"/>
      <c r="J896" s="48"/>
      <c r="K896" s="49"/>
      <c r="L896" s="50"/>
      <c r="M896" s="43" t="str">
        <f aca="false">IF(OR($L896="",$F896=""),"",IFERROR($L896/INDEX(Cadastro!$E$6:$E$8,MATCH($F896,Cadastro!$B$6:$B$8,0)),""))</f>
        <v/>
      </c>
      <c r="N896" s="43" t="str">
        <f aca="false">IF(OR($L896="",$I896="",$I896=0),"",$L896/$I896)</f>
        <v/>
      </c>
      <c r="O896" s="51"/>
    </row>
    <row r="897" customFormat="false" ht="15" hidden="false" customHeight="false" outlineLevel="0" collapsed="false">
      <c r="A897" s="45"/>
      <c r="B897" s="37" t="str">
        <f aca="false">IF($A897="","",WEEKNUM($A897,2))</f>
        <v/>
      </c>
      <c r="C897" s="37" t="str">
        <f aca="false">IF($A897="","",CHOOSE(WEEKDAY($A897,2),"Seg","Ter","Qua","Qui","Sex","Sáb","Dom"))</f>
        <v/>
      </c>
      <c r="D897" s="46"/>
      <c r="E897" s="47"/>
      <c r="F897" s="47"/>
      <c r="G897" s="48"/>
      <c r="H897" s="49"/>
      <c r="I897" s="50"/>
      <c r="J897" s="48"/>
      <c r="K897" s="49"/>
      <c r="L897" s="50"/>
      <c r="M897" s="43" t="str">
        <f aca="false">IF(OR($L897="",$F897=""),"",IFERROR($L897/INDEX(Cadastro!$E$6:$E$8,MATCH($F897,Cadastro!$B$6:$B$8,0)),""))</f>
        <v/>
      </c>
      <c r="N897" s="43" t="str">
        <f aca="false">IF(OR($L897="",$I897="",$I897=0),"",$L897/$I897)</f>
        <v/>
      </c>
      <c r="O897" s="51"/>
    </row>
    <row r="898" customFormat="false" ht="15" hidden="false" customHeight="false" outlineLevel="0" collapsed="false">
      <c r="A898" s="45"/>
      <c r="B898" s="37" t="str">
        <f aca="false">IF($A898="","",WEEKNUM($A898,2))</f>
        <v/>
      </c>
      <c r="C898" s="37" t="str">
        <f aca="false">IF($A898="","",CHOOSE(WEEKDAY($A898,2),"Seg","Ter","Qua","Qui","Sex","Sáb","Dom"))</f>
        <v/>
      </c>
      <c r="D898" s="46"/>
      <c r="E898" s="47"/>
      <c r="F898" s="47"/>
      <c r="G898" s="48"/>
      <c r="H898" s="49"/>
      <c r="I898" s="50"/>
      <c r="J898" s="48"/>
      <c r="K898" s="49"/>
      <c r="L898" s="50"/>
      <c r="M898" s="43" t="str">
        <f aca="false">IF(OR($L898="",$F898=""),"",IFERROR($L898/INDEX(Cadastro!$E$6:$E$8,MATCH($F898,Cadastro!$B$6:$B$8,0)),""))</f>
        <v/>
      </c>
      <c r="N898" s="43" t="str">
        <f aca="false">IF(OR($L898="",$I898="",$I898=0),"",$L898/$I898)</f>
        <v/>
      </c>
      <c r="O898" s="51"/>
    </row>
    <row r="899" customFormat="false" ht="15" hidden="false" customHeight="false" outlineLevel="0" collapsed="false">
      <c r="A899" s="45"/>
      <c r="B899" s="37" t="str">
        <f aca="false">IF($A899="","",WEEKNUM($A899,2))</f>
        <v/>
      </c>
      <c r="C899" s="37" t="str">
        <f aca="false">IF($A899="","",CHOOSE(WEEKDAY($A899,2),"Seg","Ter","Qua","Qui","Sex","Sáb","Dom"))</f>
        <v/>
      </c>
      <c r="D899" s="46"/>
      <c r="E899" s="47"/>
      <c r="F899" s="47"/>
      <c r="G899" s="48"/>
      <c r="H899" s="49"/>
      <c r="I899" s="50"/>
      <c r="J899" s="48"/>
      <c r="K899" s="49"/>
      <c r="L899" s="50"/>
      <c r="M899" s="43" t="str">
        <f aca="false">IF(OR($L899="",$F899=""),"",IFERROR($L899/INDEX(Cadastro!$E$6:$E$8,MATCH($F899,Cadastro!$B$6:$B$8,0)),""))</f>
        <v/>
      </c>
      <c r="N899" s="43" t="str">
        <f aca="false">IF(OR($L899="",$I899="",$I899=0),"",$L899/$I899)</f>
        <v/>
      </c>
      <c r="O899" s="51"/>
    </row>
    <row r="900" customFormat="false" ht="15" hidden="false" customHeight="false" outlineLevel="0" collapsed="false">
      <c r="A900" s="45"/>
      <c r="B900" s="37" t="str">
        <f aca="false">IF($A900="","",WEEKNUM($A900,2))</f>
        <v/>
      </c>
      <c r="C900" s="37" t="str">
        <f aca="false">IF($A900="","",CHOOSE(WEEKDAY($A900,2),"Seg","Ter","Qua","Qui","Sex","Sáb","Dom"))</f>
        <v/>
      </c>
      <c r="D900" s="46"/>
      <c r="E900" s="47"/>
      <c r="F900" s="47"/>
      <c r="G900" s="48"/>
      <c r="H900" s="49"/>
      <c r="I900" s="50"/>
      <c r="J900" s="48"/>
      <c r="K900" s="49"/>
      <c r="L900" s="50"/>
      <c r="M900" s="43" t="str">
        <f aca="false">IF(OR($L900="",$F900=""),"",IFERROR($L900/INDEX(Cadastro!$E$6:$E$8,MATCH($F900,Cadastro!$B$6:$B$8,0)),""))</f>
        <v/>
      </c>
      <c r="N900" s="43" t="str">
        <f aca="false">IF(OR($L900="",$I900="",$I900=0),"",$L900/$I900)</f>
        <v/>
      </c>
      <c r="O900" s="51"/>
    </row>
    <row r="901" customFormat="false" ht="15" hidden="false" customHeight="false" outlineLevel="0" collapsed="false">
      <c r="A901" s="45"/>
      <c r="B901" s="37" t="str">
        <f aca="false">IF($A901="","",WEEKNUM($A901,2))</f>
        <v/>
      </c>
      <c r="C901" s="37" t="str">
        <f aca="false">IF($A901="","",CHOOSE(WEEKDAY($A901,2),"Seg","Ter","Qua","Qui","Sex","Sáb","Dom"))</f>
        <v/>
      </c>
      <c r="D901" s="46"/>
      <c r="E901" s="47"/>
      <c r="F901" s="47"/>
      <c r="G901" s="48"/>
      <c r="H901" s="49"/>
      <c r="I901" s="50"/>
      <c r="J901" s="48"/>
      <c r="K901" s="49"/>
      <c r="L901" s="50"/>
      <c r="M901" s="43" t="str">
        <f aca="false">IF(OR($L901="",$F901=""),"",IFERROR($L901/INDEX(Cadastro!$E$6:$E$8,MATCH($F901,Cadastro!$B$6:$B$8,0)),""))</f>
        <v/>
      </c>
      <c r="N901" s="43" t="str">
        <f aca="false">IF(OR($L901="",$I901="",$I901=0),"",$L901/$I901)</f>
        <v/>
      </c>
      <c r="O901" s="51"/>
    </row>
    <row r="902" customFormat="false" ht="15" hidden="false" customHeight="false" outlineLevel="0" collapsed="false">
      <c r="A902" s="45"/>
      <c r="B902" s="37" t="str">
        <f aca="false">IF($A902="","",WEEKNUM($A902,2))</f>
        <v/>
      </c>
      <c r="C902" s="37" t="str">
        <f aca="false">IF($A902="","",CHOOSE(WEEKDAY($A902,2),"Seg","Ter","Qua","Qui","Sex","Sáb","Dom"))</f>
        <v/>
      </c>
      <c r="D902" s="46"/>
      <c r="E902" s="47"/>
      <c r="F902" s="47"/>
      <c r="G902" s="48"/>
      <c r="H902" s="49"/>
      <c r="I902" s="50"/>
      <c r="J902" s="48"/>
      <c r="K902" s="49"/>
      <c r="L902" s="50"/>
      <c r="M902" s="43" t="str">
        <f aca="false">IF(OR($L902="",$F902=""),"",IFERROR($L902/INDEX(Cadastro!$E$6:$E$8,MATCH($F902,Cadastro!$B$6:$B$8,0)),""))</f>
        <v/>
      </c>
      <c r="N902" s="43" t="str">
        <f aca="false">IF(OR($L902="",$I902="",$I902=0),"",$L902/$I902)</f>
        <v/>
      </c>
      <c r="O902" s="51"/>
    </row>
    <row r="903" customFormat="false" ht="15" hidden="false" customHeight="false" outlineLevel="0" collapsed="false">
      <c r="A903" s="45"/>
      <c r="B903" s="37" t="str">
        <f aca="false">IF($A903="","",WEEKNUM($A903,2))</f>
        <v/>
      </c>
      <c r="C903" s="37" t="str">
        <f aca="false">IF($A903="","",CHOOSE(WEEKDAY($A903,2),"Seg","Ter","Qua","Qui","Sex","Sáb","Dom"))</f>
        <v/>
      </c>
      <c r="D903" s="46"/>
      <c r="E903" s="47"/>
      <c r="F903" s="47"/>
      <c r="G903" s="48"/>
      <c r="H903" s="49"/>
      <c r="I903" s="50"/>
      <c r="J903" s="48"/>
      <c r="K903" s="49"/>
      <c r="L903" s="50"/>
      <c r="M903" s="43" t="str">
        <f aca="false">IF(OR($L903="",$F903=""),"",IFERROR($L903/INDEX(Cadastro!$E$6:$E$8,MATCH($F903,Cadastro!$B$6:$B$8,0)),""))</f>
        <v/>
      </c>
      <c r="N903" s="43" t="str">
        <f aca="false">IF(OR($L903="",$I903="",$I903=0),"",$L903/$I903)</f>
        <v/>
      </c>
      <c r="O903" s="51"/>
    </row>
    <row r="904" customFormat="false" ht="15" hidden="false" customHeight="false" outlineLevel="0" collapsed="false">
      <c r="A904" s="45"/>
      <c r="B904" s="37" t="str">
        <f aca="false">IF($A904="","",WEEKNUM($A904,2))</f>
        <v/>
      </c>
      <c r="C904" s="37" t="str">
        <f aca="false">IF($A904="","",CHOOSE(WEEKDAY($A904,2),"Seg","Ter","Qua","Qui","Sex","Sáb","Dom"))</f>
        <v/>
      </c>
      <c r="D904" s="46"/>
      <c r="E904" s="47"/>
      <c r="F904" s="47"/>
      <c r="G904" s="48"/>
      <c r="H904" s="49"/>
      <c r="I904" s="50"/>
      <c r="J904" s="48"/>
      <c r="K904" s="49"/>
      <c r="L904" s="50"/>
      <c r="M904" s="43" t="str">
        <f aca="false">IF(OR($L904="",$F904=""),"",IFERROR($L904/INDEX(Cadastro!$E$6:$E$8,MATCH($F904,Cadastro!$B$6:$B$8,0)),""))</f>
        <v/>
      </c>
      <c r="N904" s="43" t="str">
        <f aca="false">IF(OR($L904="",$I904="",$I904=0),"",$L904/$I904)</f>
        <v/>
      </c>
      <c r="O904" s="51"/>
    </row>
    <row r="905" customFormat="false" ht="15" hidden="false" customHeight="false" outlineLevel="0" collapsed="false">
      <c r="A905" s="45"/>
      <c r="B905" s="37" t="str">
        <f aca="false">IF($A905="","",WEEKNUM($A905,2))</f>
        <v/>
      </c>
      <c r="C905" s="37" t="str">
        <f aca="false">IF($A905="","",CHOOSE(WEEKDAY($A905,2),"Seg","Ter","Qua","Qui","Sex","Sáb","Dom"))</f>
        <v/>
      </c>
      <c r="D905" s="46"/>
      <c r="E905" s="47"/>
      <c r="F905" s="47"/>
      <c r="G905" s="48"/>
      <c r="H905" s="49"/>
      <c r="I905" s="50"/>
      <c r="J905" s="48"/>
      <c r="K905" s="49"/>
      <c r="L905" s="50"/>
      <c r="M905" s="43" t="str">
        <f aca="false">IF(OR($L905="",$F905=""),"",IFERROR($L905/INDEX(Cadastro!$E$6:$E$8,MATCH($F905,Cadastro!$B$6:$B$8,0)),""))</f>
        <v/>
      </c>
      <c r="N905" s="43" t="str">
        <f aca="false">IF(OR($L905="",$I905="",$I905=0),"",$L905/$I905)</f>
        <v/>
      </c>
      <c r="O905" s="51"/>
    </row>
    <row r="906" customFormat="false" ht="15" hidden="false" customHeight="false" outlineLevel="0" collapsed="false">
      <c r="A906" s="45"/>
      <c r="B906" s="37" t="str">
        <f aca="false">IF($A906="","",WEEKNUM($A906,2))</f>
        <v/>
      </c>
      <c r="C906" s="37" t="str">
        <f aca="false">IF($A906="","",CHOOSE(WEEKDAY($A906,2),"Seg","Ter","Qua","Qui","Sex","Sáb","Dom"))</f>
        <v/>
      </c>
      <c r="D906" s="46"/>
      <c r="E906" s="47"/>
      <c r="F906" s="47"/>
      <c r="G906" s="48"/>
      <c r="H906" s="49"/>
      <c r="I906" s="50"/>
      <c r="J906" s="48"/>
      <c r="K906" s="49"/>
      <c r="L906" s="50"/>
      <c r="M906" s="43" t="str">
        <f aca="false">IF(OR($L906="",$F906=""),"",IFERROR($L906/INDEX(Cadastro!$E$6:$E$8,MATCH($F906,Cadastro!$B$6:$B$8,0)),""))</f>
        <v/>
      </c>
      <c r="N906" s="43" t="str">
        <f aca="false">IF(OR($L906="",$I906="",$I906=0),"",$L906/$I906)</f>
        <v/>
      </c>
      <c r="O906" s="51"/>
    </row>
    <row r="907" customFormat="false" ht="15" hidden="false" customHeight="false" outlineLevel="0" collapsed="false">
      <c r="A907" s="45"/>
      <c r="B907" s="37" t="str">
        <f aca="false">IF($A907="","",WEEKNUM($A907,2))</f>
        <v/>
      </c>
      <c r="C907" s="37" t="str">
        <f aca="false">IF($A907="","",CHOOSE(WEEKDAY($A907,2),"Seg","Ter","Qua","Qui","Sex","Sáb","Dom"))</f>
        <v/>
      </c>
      <c r="D907" s="46"/>
      <c r="E907" s="47"/>
      <c r="F907" s="47"/>
      <c r="G907" s="48"/>
      <c r="H907" s="49"/>
      <c r="I907" s="50"/>
      <c r="J907" s="48"/>
      <c r="K907" s="49"/>
      <c r="L907" s="50"/>
      <c r="M907" s="43" t="str">
        <f aca="false">IF(OR($L907="",$F907=""),"",IFERROR($L907/INDEX(Cadastro!$E$6:$E$8,MATCH($F907,Cadastro!$B$6:$B$8,0)),""))</f>
        <v/>
      </c>
      <c r="N907" s="43" t="str">
        <f aca="false">IF(OR($L907="",$I907="",$I907=0),"",$L907/$I907)</f>
        <v/>
      </c>
      <c r="O907" s="51"/>
    </row>
    <row r="908" customFormat="false" ht="15" hidden="false" customHeight="false" outlineLevel="0" collapsed="false">
      <c r="A908" s="45"/>
      <c r="B908" s="37" t="str">
        <f aca="false">IF($A908="","",WEEKNUM($A908,2))</f>
        <v/>
      </c>
      <c r="C908" s="37" t="str">
        <f aca="false">IF($A908="","",CHOOSE(WEEKDAY($A908,2),"Seg","Ter","Qua","Qui","Sex","Sáb","Dom"))</f>
        <v/>
      </c>
      <c r="D908" s="46"/>
      <c r="E908" s="47"/>
      <c r="F908" s="47"/>
      <c r="G908" s="48"/>
      <c r="H908" s="49"/>
      <c r="I908" s="50"/>
      <c r="J908" s="48"/>
      <c r="K908" s="49"/>
      <c r="L908" s="50"/>
      <c r="M908" s="43" t="str">
        <f aca="false">IF(OR($L908="",$F908=""),"",IFERROR($L908/INDEX(Cadastro!$E$6:$E$8,MATCH($F908,Cadastro!$B$6:$B$8,0)),""))</f>
        <v/>
      </c>
      <c r="N908" s="43" t="str">
        <f aca="false">IF(OR($L908="",$I908="",$I908=0),"",$L908/$I908)</f>
        <v/>
      </c>
      <c r="O908" s="51"/>
    </row>
    <row r="909" customFormat="false" ht="15" hidden="false" customHeight="false" outlineLevel="0" collapsed="false">
      <c r="A909" s="45"/>
      <c r="B909" s="37" t="str">
        <f aca="false">IF($A909="","",WEEKNUM($A909,2))</f>
        <v/>
      </c>
      <c r="C909" s="37" t="str">
        <f aca="false">IF($A909="","",CHOOSE(WEEKDAY($A909,2),"Seg","Ter","Qua","Qui","Sex","Sáb","Dom"))</f>
        <v/>
      </c>
      <c r="D909" s="46"/>
      <c r="E909" s="47"/>
      <c r="F909" s="47"/>
      <c r="G909" s="48"/>
      <c r="H909" s="49"/>
      <c r="I909" s="50"/>
      <c r="J909" s="48"/>
      <c r="K909" s="49"/>
      <c r="L909" s="50"/>
      <c r="M909" s="43" t="str">
        <f aca="false">IF(OR($L909="",$F909=""),"",IFERROR($L909/INDEX(Cadastro!$E$6:$E$8,MATCH($F909,Cadastro!$B$6:$B$8,0)),""))</f>
        <v/>
      </c>
      <c r="N909" s="43" t="str">
        <f aca="false">IF(OR($L909="",$I909="",$I909=0),"",$L909/$I909)</f>
        <v/>
      </c>
      <c r="O909" s="51"/>
    </row>
    <row r="910" customFormat="false" ht="15" hidden="false" customHeight="false" outlineLevel="0" collapsed="false">
      <c r="A910" s="45"/>
      <c r="B910" s="37" t="str">
        <f aca="false">IF($A910="","",WEEKNUM($A910,2))</f>
        <v/>
      </c>
      <c r="C910" s="37" t="str">
        <f aca="false">IF($A910="","",CHOOSE(WEEKDAY($A910,2),"Seg","Ter","Qua","Qui","Sex","Sáb","Dom"))</f>
        <v/>
      </c>
      <c r="D910" s="46"/>
      <c r="E910" s="47"/>
      <c r="F910" s="47"/>
      <c r="G910" s="48"/>
      <c r="H910" s="49"/>
      <c r="I910" s="50"/>
      <c r="J910" s="48"/>
      <c r="K910" s="49"/>
      <c r="L910" s="50"/>
      <c r="M910" s="43" t="str">
        <f aca="false">IF(OR($L910="",$F910=""),"",IFERROR($L910/INDEX(Cadastro!$E$6:$E$8,MATCH($F910,Cadastro!$B$6:$B$8,0)),""))</f>
        <v/>
      </c>
      <c r="N910" s="43" t="str">
        <f aca="false">IF(OR($L910="",$I910="",$I910=0),"",$L910/$I910)</f>
        <v/>
      </c>
      <c r="O910" s="51"/>
    </row>
    <row r="911" customFormat="false" ht="15" hidden="false" customHeight="false" outlineLevel="0" collapsed="false">
      <c r="A911" s="45"/>
      <c r="B911" s="37" t="str">
        <f aca="false">IF($A911="","",WEEKNUM($A911,2))</f>
        <v/>
      </c>
      <c r="C911" s="37" t="str">
        <f aca="false">IF($A911="","",CHOOSE(WEEKDAY($A911,2),"Seg","Ter","Qua","Qui","Sex","Sáb","Dom"))</f>
        <v/>
      </c>
      <c r="D911" s="46"/>
      <c r="E911" s="47"/>
      <c r="F911" s="47"/>
      <c r="G911" s="48"/>
      <c r="H911" s="49"/>
      <c r="I911" s="50"/>
      <c r="J911" s="48"/>
      <c r="K911" s="49"/>
      <c r="L911" s="50"/>
      <c r="M911" s="43" t="str">
        <f aca="false">IF(OR($L911="",$F911=""),"",IFERROR($L911/INDEX(Cadastro!$E$6:$E$8,MATCH($F911,Cadastro!$B$6:$B$8,0)),""))</f>
        <v/>
      </c>
      <c r="N911" s="43" t="str">
        <f aca="false">IF(OR($L911="",$I911="",$I911=0),"",$L911/$I911)</f>
        <v/>
      </c>
      <c r="O911" s="51"/>
    </row>
    <row r="912" customFormat="false" ht="15" hidden="false" customHeight="false" outlineLevel="0" collapsed="false">
      <c r="A912" s="45"/>
      <c r="B912" s="37" t="str">
        <f aca="false">IF($A912="","",WEEKNUM($A912,2))</f>
        <v/>
      </c>
      <c r="C912" s="37" t="str">
        <f aca="false">IF($A912="","",CHOOSE(WEEKDAY($A912,2),"Seg","Ter","Qua","Qui","Sex","Sáb","Dom"))</f>
        <v/>
      </c>
      <c r="D912" s="46"/>
      <c r="E912" s="47"/>
      <c r="F912" s="47"/>
      <c r="G912" s="48"/>
      <c r="H912" s="49"/>
      <c r="I912" s="50"/>
      <c r="J912" s="48"/>
      <c r="K912" s="49"/>
      <c r="L912" s="50"/>
      <c r="M912" s="43" t="str">
        <f aca="false">IF(OR($L912="",$F912=""),"",IFERROR($L912/INDEX(Cadastro!$E$6:$E$8,MATCH($F912,Cadastro!$B$6:$B$8,0)),""))</f>
        <v/>
      </c>
      <c r="N912" s="43" t="str">
        <f aca="false">IF(OR($L912="",$I912="",$I912=0),"",$L912/$I912)</f>
        <v/>
      </c>
      <c r="O912" s="51"/>
    </row>
    <row r="913" customFormat="false" ht="15" hidden="false" customHeight="false" outlineLevel="0" collapsed="false">
      <c r="A913" s="45"/>
      <c r="B913" s="37" t="str">
        <f aca="false">IF($A913="","",WEEKNUM($A913,2))</f>
        <v/>
      </c>
      <c r="C913" s="37" t="str">
        <f aca="false">IF($A913="","",CHOOSE(WEEKDAY($A913,2),"Seg","Ter","Qua","Qui","Sex","Sáb","Dom"))</f>
        <v/>
      </c>
      <c r="D913" s="46"/>
      <c r="E913" s="47"/>
      <c r="F913" s="47"/>
      <c r="G913" s="48"/>
      <c r="H913" s="49"/>
      <c r="I913" s="50"/>
      <c r="J913" s="48"/>
      <c r="K913" s="49"/>
      <c r="L913" s="50"/>
      <c r="M913" s="43" t="str">
        <f aca="false">IF(OR($L913="",$F913=""),"",IFERROR($L913/INDEX(Cadastro!$E$6:$E$8,MATCH($F913,Cadastro!$B$6:$B$8,0)),""))</f>
        <v/>
      </c>
      <c r="N913" s="43" t="str">
        <f aca="false">IF(OR($L913="",$I913="",$I913=0),"",$L913/$I913)</f>
        <v/>
      </c>
      <c r="O913" s="51"/>
    </row>
    <row r="914" customFormat="false" ht="15" hidden="false" customHeight="false" outlineLevel="0" collapsed="false">
      <c r="A914" s="45"/>
      <c r="B914" s="37" t="str">
        <f aca="false">IF($A914="","",WEEKNUM($A914,2))</f>
        <v/>
      </c>
      <c r="C914" s="37" t="str">
        <f aca="false">IF($A914="","",CHOOSE(WEEKDAY($A914,2),"Seg","Ter","Qua","Qui","Sex","Sáb","Dom"))</f>
        <v/>
      </c>
      <c r="D914" s="46"/>
      <c r="E914" s="47"/>
      <c r="F914" s="47"/>
      <c r="G914" s="48"/>
      <c r="H914" s="49"/>
      <c r="I914" s="50"/>
      <c r="J914" s="48"/>
      <c r="K914" s="49"/>
      <c r="L914" s="50"/>
      <c r="M914" s="43" t="str">
        <f aca="false">IF(OR($L914="",$F914=""),"",IFERROR($L914/INDEX(Cadastro!$E$6:$E$8,MATCH($F914,Cadastro!$B$6:$B$8,0)),""))</f>
        <v/>
      </c>
      <c r="N914" s="43" t="str">
        <f aca="false">IF(OR($L914="",$I914="",$I914=0),"",$L914/$I914)</f>
        <v/>
      </c>
      <c r="O914" s="51"/>
    </row>
    <row r="915" customFormat="false" ht="15" hidden="false" customHeight="false" outlineLevel="0" collapsed="false">
      <c r="A915" s="45"/>
      <c r="B915" s="37" t="str">
        <f aca="false">IF($A915="","",WEEKNUM($A915,2))</f>
        <v/>
      </c>
      <c r="C915" s="37" t="str">
        <f aca="false">IF($A915="","",CHOOSE(WEEKDAY($A915,2),"Seg","Ter","Qua","Qui","Sex","Sáb","Dom"))</f>
        <v/>
      </c>
      <c r="D915" s="46"/>
      <c r="E915" s="47"/>
      <c r="F915" s="47"/>
      <c r="G915" s="48"/>
      <c r="H915" s="49"/>
      <c r="I915" s="50"/>
      <c r="J915" s="48"/>
      <c r="K915" s="49"/>
      <c r="L915" s="50"/>
      <c r="M915" s="43" t="str">
        <f aca="false">IF(OR($L915="",$F915=""),"",IFERROR($L915/INDEX(Cadastro!$E$6:$E$8,MATCH($F915,Cadastro!$B$6:$B$8,0)),""))</f>
        <v/>
      </c>
      <c r="N915" s="43" t="str">
        <f aca="false">IF(OR($L915="",$I915="",$I915=0),"",$L915/$I915)</f>
        <v/>
      </c>
      <c r="O915" s="51"/>
    </row>
    <row r="916" customFormat="false" ht="15" hidden="false" customHeight="false" outlineLevel="0" collapsed="false">
      <c r="A916" s="45"/>
      <c r="B916" s="37" t="str">
        <f aca="false">IF($A916="","",WEEKNUM($A916,2))</f>
        <v/>
      </c>
      <c r="C916" s="37" t="str">
        <f aca="false">IF($A916="","",CHOOSE(WEEKDAY($A916,2),"Seg","Ter","Qua","Qui","Sex","Sáb","Dom"))</f>
        <v/>
      </c>
      <c r="D916" s="46"/>
      <c r="E916" s="47"/>
      <c r="F916" s="47"/>
      <c r="G916" s="48"/>
      <c r="H916" s="49"/>
      <c r="I916" s="50"/>
      <c r="J916" s="48"/>
      <c r="K916" s="49"/>
      <c r="L916" s="50"/>
      <c r="M916" s="43" t="str">
        <f aca="false">IF(OR($L916="",$F916=""),"",IFERROR($L916/INDEX(Cadastro!$E$6:$E$8,MATCH($F916,Cadastro!$B$6:$B$8,0)),""))</f>
        <v/>
      </c>
      <c r="N916" s="43" t="str">
        <f aca="false">IF(OR($L916="",$I916="",$I916=0),"",$L916/$I916)</f>
        <v/>
      </c>
      <c r="O916" s="51"/>
    </row>
    <row r="917" customFormat="false" ht="15" hidden="false" customHeight="false" outlineLevel="0" collapsed="false">
      <c r="A917" s="45"/>
      <c r="B917" s="37" t="str">
        <f aca="false">IF($A917="","",WEEKNUM($A917,2))</f>
        <v/>
      </c>
      <c r="C917" s="37" t="str">
        <f aca="false">IF($A917="","",CHOOSE(WEEKDAY($A917,2),"Seg","Ter","Qua","Qui","Sex","Sáb","Dom"))</f>
        <v/>
      </c>
      <c r="D917" s="46"/>
      <c r="E917" s="47"/>
      <c r="F917" s="47"/>
      <c r="G917" s="48"/>
      <c r="H917" s="49"/>
      <c r="I917" s="50"/>
      <c r="J917" s="48"/>
      <c r="K917" s="49"/>
      <c r="L917" s="50"/>
      <c r="M917" s="43" t="str">
        <f aca="false">IF(OR($L917="",$F917=""),"",IFERROR($L917/INDEX(Cadastro!$E$6:$E$8,MATCH($F917,Cadastro!$B$6:$B$8,0)),""))</f>
        <v/>
      </c>
      <c r="N917" s="43" t="str">
        <f aca="false">IF(OR($L917="",$I917="",$I917=0),"",$L917/$I917)</f>
        <v/>
      </c>
      <c r="O917" s="51"/>
    </row>
    <row r="918" customFormat="false" ht="15" hidden="false" customHeight="false" outlineLevel="0" collapsed="false">
      <c r="A918" s="45"/>
      <c r="B918" s="37" t="str">
        <f aca="false">IF($A918="","",WEEKNUM($A918,2))</f>
        <v/>
      </c>
      <c r="C918" s="37" t="str">
        <f aca="false">IF($A918="","",CHOOSE(WEEKDAY($A918,2),"Seg","Ter","Qua","Qui","Sex","Sáb","Dom"))</f>
        <v/>
      </c>
      <c r="D918" s="46"/>
      <c r="E918" s="47"/>
      <c r="F918" s="47"/>
      <c r="G918" s="48"/>
      <c r="H918" s="49"/>
      <c r="I918" s="50"/>
      <c r="J918" s="48"/>
      <c r="K918" s="49"/>
      <c r="L918" s="50"/>
      <c r="M918" s="43" t="str">
        <f aca="false">IF(OR($L918="",$F918=""),"",IFERROR($L918/INDEX(Cadastro!$E$6:$E$8,MATCH($F918,Cadastro!$B$6:$B$8,0)),""))</f>
        <v/>
      </c>
      <c r="N918" s="43" t="str">
        <f aca="false">IF(OR($L918="",$I918="",$I918=0),"",$L918/$I918)</f>
        <v/>
      </c>
      <c r="O918" s="51"/>
    </row>
    <row r="919" customFormat="false" ht="15" hidden="false" customHeight="false" outlineLevel="0" collapsed="false">
      <c r="A919" s="45"/>
      <c r="B919" s="37" t="str">
        <f aca="false">IF($A919="","",WEEKNUM($A919,2))</f>
        <v/>
      </c>
      <c r="C919" s="37" t="str">
        <f aca="false">IF($A919="","",CHOOSE(WEEKDAY($A919,2),"Seg","Ter","Qua","Qui","Sex","Sáb","Dom"))</f>
        <v/>
      </c>
      <c r="D919" s="46"/>
      <c r="E919" s="47"/>
      <c r="F919" s="47"/>
      <c r="G919" s="48"/>
      <c r="H919" s="49"/>
      <c r="I919" s="50"/>
      <c r="J919" s="48"/>
      <c r="K919" s="49"/>
      <c r="L919" s="50"/>
      <c r="M919" s="43" t="str">
        <f aca="false">IF(OR($L919="",$F919=""),"",IFERROR($L919/INDEX(Cadastro!$E$6:$E$8,MATCH($F919,Cadastro!$B$6:$B$8,0)),""))</f>
        <v/>
      </c>
      <c r="N919" s="43" t="str">
        <f aca="false">IF(OR($L919="",$I919="",$I919=0),"",$L919/$I919)</f>
        <v/>
      </c>
      <c r="O919" s="51"/>
    </row>
    <row r="920" customFormat="false" ht="15" hidden="false" customHeight="false" outlineLevel="0" collapsed="false">
      <c r="A920" s="45"/>
      <c r="B920" s="37" t="str">
        <f aca="false">IF($A920="","",WEEKNUM($A920,2))</f>
        <v/>
      </c>
      <c r="C920" s="37" t="str">
        <f aca="false">IF($A920="","",CHOOSE(WEEKDAY($A920,2),"Seg","Ter","Qua","Qui","Sex","Sáb","Dom"))</f>
        <v/>
      </c>
      <c r="D920" s="46"/>
      <c r="E920" s="47"/>
      <c r="F920" s="47"/>
      <c r="G920" s="48"/>
      <c r="H920" s="49"/>
      <c r="I920" s="50"/>
      <c r="J920" s="48"/>
      <c r="K920" s="49"/>
      <c r="L920" s="50"/>
      <c r="M920" s="43" t="str">
        <f aca="false">IF(OR($L920="",$F920=""),"",IFERROR($L920/INDEX(Cadastro!$E$6:$E$8,MATCH($F920,Cadastro!$B$6:$B$8,0)),""))</f>
        <v/>
      </c>
      <c r="N920" s="43" t="str">
        <f aca="false">IF(OR($L920="",$I920="",$I920=0),"",$L920/$I920)</f>
        <v/>
      </c>
      <c r="O920" s="51"/>
    </row>
    <row r="921" customFormat="false" ht="15" hidden="false" customHeight="false" outlineLevel="0" collapsed="false">
      <c r="A921" s="45"/>
      <c r="B921" s="37" t="str">
        <f aca="false">IF($A921="","",WEEKNUM($A921,2))</f>
        <v/>
      </c>
      <c r="C921" s="37" t="str">
        <f aca="false">IF($A921="","",CHOOSE(WEEKDAY($A921,2),"Seg","Ter","Qua","Qui","Sex","Sáb","Dom"))</f>
        <v/>
      </c>
      <c r="D921" s="46"/>
      <c r="E921" s="47"/>
      <c r="F921" s="47"/>
      <c r="G921" s="48"/>
      <c r="H921" s="49"/>
      <c r="I921" s="50"/>
      <c r="J921" s="48"/>
      <c r="K921" s="49"/>
      <c r="L921" s="50"/>
      <c r="M921" s="43" t="str">
        <f aca="false">IF(OR($L921="",$F921=""),"",IFERROR($L921/INDEX(Cadastro!$E$6:$E$8,MATCH($F921,Cadastro!$B$6:$B$8,0)),""))</f>
        <v/>
      </c>
      <c r="N921" s="43" t="str">
        <f aca="false">IF(OR($L921="",$I921="",$I921=0),"",$L921/$I921)</f>
        <v/>
      </c>
      <c r="O921" s="51"/>
    </row>
    <row r="922" customFormat="false" ht="15" hidden="false" customHeight="false" outlineLevel="0" collapsed="false">
      <c r="A922" s="45"/>
      <c r="B922" s="37" t="str">
        <f aca="false">IF($A922="","",WEEKNUM($A922,2))</f>
        <v/>
      </c>
      <c r="C922" s="37" t="str">
        <f aca="false">IF($A922="","",CHOOSE(WEEKDAY($A922,2),"Seg","Ter","Qua","Qui","Sex","Sáb","Dom"))</f>
        <v/>
      </c>
      <c r="D922" s="46"/>
      <c r="E922" s="47"/>
      <c r="F922" s="47"/>
      <c r="G922" s="48"/>
      <c r="H922" s="49"/>
      <c r="I922" s="50"/>
      <c r="J922" s="48"/>
      <c r="K922" s="49"/>
      <c r="L922" s="50"/>
      <c r="M922" s="43" t="str">
        <f aca="false">IF(OR($L922="",$F922=""),"",IFERROR($L922/INDEX(Cadastro!$E$6:$E$8,MATCH($F922,Cadastro!$B$6:$B$8,0)),""))</f>
        <v/>
      </c>
      <c r="N922" s="43" t="str">
        <f aca="false">IF(OR($L922="",$I922="",$I922=0),"",$L922/$I922)</f>
        <v/>
      </c>
      <c r="O922" s="51"/>
    </row>
    <row r="923" customFormat="false" ht="15" hidden="false" customHeight="false" outlineLevel="0" collapsed="false">
      <c r="A923" s="45"/>
      <c r="B923" s="37" t="str">
        <f aca="false">IF($A923="","",WEEKNUM($A923,2))</f>
        <v/>
      </c>
      <c r="C923" s="37" t="str">
        <f aca="false">IF($A923="","",CHOOSE(WEEKDAY($A923,2),"Seg","Ter","Qua","Qui","Sex","Sáb","Dom"))</f>
        <v/>
      </c>
      <c r="D923" s="46"/>
      <c r="E923" s="47"/>
      <c r="F923" s="47"/>
      <c r="G923" s="48"/>
      <c r="H923" s="49"/>
      <c r="I923" s="50"/>
      <c r="J923" s="48"/>
      <c r="K923" s="49"/>
      <c r="L923" s="50"/>
      <c r="M923" s="43" t="str">
        <f aca="false">IF(OR($L923="",$F923=""),"",IFERROR($L923/INDEX(Cadastro!$E$6:$E$8,MATCH($F923,Cadastro!$B$6:$B$8,0)),""))</f>
        <v/>
      </c>
      <c r="N923" s="43" t="str">
        <f aca="false">IF(OR($L923="",$I923="",$I923=0),"",$L923/$I923)</f>
        <v/>
      </c>
      <c r="O923" s="51"/>
    </row>
    <row r="924" customFormat="false" ht="15" hidden="false" customHeight="false" outlineLevel="0" collapsed="false">
      <c r="A924" s="45"/>
      <c r="B924" s="37" t="str">
        <f aca="false">IF($A924="","",WEEKNUM($A924,2))</f>
        <v/>
      </c>
      <c r="C924" s="37" t="str">
        <f aca="false">IF($A924="","",CHOOSE(WEEKDAY($A924,2),"Seg","Ter","Qua","Qui","Sex","Sáb","Dom"))</f>
        <v/>
      </c>
      <c r="D924" s="46"/>
      <c r="E924" s="47"/>
      <c r="F924" s="47"/>
      <c r="G924" s="48"/>
      <c r="H924" s="49"/>
      <c r="I924" s="50"/>
      <c r="J924" s="48"/>
      <c r="K924" s="49"/>
      <c r="L924" s="50"/>
      <c r="M924" s="43" t="str">
        <f aca="false">IF(OR($L924="",$F924=""),"",IFERROR($L924/INDEX(Cadastro!$E$6:$E$8,MATCH($F924,Cadastro!$B$6:$B$8,0)),""))</f>
        <v/>
      </c>
      <c r="N924" s="43" t="str">
        <f aca="false">IF(OR($L924="",$I924="",$I924=0),"",$L924/$I924)</f>
        <v/>
      </c>
      <c r="O924" s="51"/>
    </row>
    <row r="925" customFormat="false" ht="15" hidden="false" customHeight="false" outlineLevel="0" collapsed="false">
      <c r="A925" s="45"/>
      <c r="B925" s="37" t="str">
        <f aca="false">IF($A925="","",WEEKNUM($A925,2))</f>
        <v/>
      </c>
      <c r="C925" s="37" t="str">
        <f aca="false">IF($A925="","",CHOOSE(WEEKDAY($A925,2),"Seg","Ter","Qua","Qui","Sex","Sáb","Dom"))</f>
        <v/>
      </c>
      <c r="D925" s="46"/>
      <c r="E925" s="47"/>
      <c r="F925" s="47"/>
      <c r="G925" s="48"/>
      <c r="H925" s="49"/>
      <c r="I925" s="50"/>
      <c r="J925" s="48"/>
      <c r="K925" s="49"/>
      <c r="L925" s="50"/>
      <c r="M925" s="43" t="str">
        <f aca="false">IF(OR($L925="",$F925=""),"",IFERROR($L925/INDEX(Cadastro!$E$6:$E$8,MATCH($F925,Cadastro!$B$6:$B$8,0)),""))</f>
        <v/>
      </c>
      <c r="N925" s="43" t="str">
        <f aca="false">IF(OR($L925="",$I925="",$I925=0),"",$L925/$I925)</f>
        <v/>
      </c>
      <c r="O925" s="51"/>
    </row>
    <row r="926" customFormat="false" ht="15" hidden="false" customHeight="false" outlineLevel="0" collapsed="false">
      <c r="A926" s="45"/>
      <c r="B926" s="37" t="str">
        <f aca="false">IF($A926="","",WEEKNUM($A926,2))</f>
        <v/>
      </c>
      <c r="C926" s="37" t="str">
        <f aca="false">IF($A926="","",CHOOSE(WEEKDAY($A926,2),"Seg","Ter","Qua","Qui","Sex","Sáb","Dom"))</f>
        <v/>
      </c>
      <c r="D926" s="46"/>
      <c r="E926" s="47"/>
      <c r="F926" s="47"/>
      <c r="G926" s="48"/>
      <c r="H926" s="49"/>
      <c r="I926" s="50"/>
      <c r="J926" s="48"/>
      <c r="K926" s="49"/>
      <c r="L926" s="50"/>
      <c r="M926" s="43" t="str">
        <f aca="false">IF(OR($L926="",$F926=""),"",IFERROR($L926/INDEX(Cadastro!$E$6:$E$8,MATCH($F926,Cadastro!$B$6:$B$8,0)),""))</f>
        <v/>
      </c>
      <c r="N926" s="43" t="str">
        <f aca="false">IF(OR($L926="",$I926="",$I926=0),"",$L926/$I926)</f>
        <v/>
      </c>
      <c r="O926" s="51"/>
    </row>
    <row r="927" customFormat="false" ht="15" hidden="false" customHeight="false" outlineLevel="0" collapsed="false">
      <c r="A927" s="45"/>
      <c r="B927" s="37" t="str">
        <f aca="false">IF($A927="","",WEEKNUM($A927,2))</f>
        <v/>
      </c>
      <c r="C927" s="37" t="str">
        <f aca="false">IF($A927="","",CHOOSE(WEEKDAY($A927,2),"Seg","Ter","Qua","Qui","Sex","Sáb","Dom"))</f>
        <v/>
      </c>
      <c r="D927" s="46"/>
      <c r="E927" s="47"/>
      <c r="F927" s="47"/>
      <c r="G927" s="48"/>
      <c r="H927" s="49"/>
      <c r="I927" s="50"/>
      <c r="J927" s="48"/>
      <c r="K927" s="49"/>
      <c r="L927" s="50"/>
      <c r="M927" s="43" t="str">
        <f aca="false">IF(OR($L927="",$F927=""),"",IFERROR($L927/INDEX(Cadastro!$E$6:$E$8,MATCH($F927,Cadastro!$B$6:$B$8,0)),""))</f>
        <v/>
      </c>
      <c r="N927" s="43" t="str">
        <f aca="false">IF(OR($L927="",$I927="",$I927=0),"",$L927/$I927)</f>
        <v/>
      </c>
      <c r="O927" s="51"/>
    </row>
    <row r="928" customFormat="false" ht="15" hidden="false" customHeight="false" outlineLevel="0" collapsed="false">
      <c r="A928" s="45"/>
      <c r="B928" s="37" t="str">
        <f aca="false">IF($A928="","",WEEKNUM($A928,2))</f>
        <v/>
      </c>
      <c r="C928" s="37" t="str">
        <f aca="false">IF($A928="","",CHOOSE(WEEKDAY($A928,2),"Seg","Ter","Qua","Qui","Sex","Sáb","Dom"))</f>
        <v/>
      </c>
      <c r="D928" s="46"/>
      <c r="E928" s="47"/>
      <c r="F928" s="47"/>
      <c r="G928" s="48"/>
      <c r="H928" s="49"/>
      <c r="I928" s="50"/>
      <c r="J928" s="48"/>
      <c r="K928" s="49"/>
      <c r="L928" s="50"/>
      <c r="M928" s="43" t="str">
        <f aca="false">IF(OR($L928="",$F928=""),"",IFERROR($L928/INDEX(Cadastro!$E$6:$E$8,MATCH($F928,Cadastro!$B$6:$B$8,0)),""))</f>
        <v/>
      </c>
      <c r="N928" s="43" t="str">
        <f aca="false">IF(OR($L928="",$I928="",$I928=0),"",$L928/$I928)</f>
        <v/>
      </c>
      <c r="O928" s="51"/>
    </row>
    <row r="929" customFormat="false" ht="15" hidden="false" customHeight="false" outlineLevel="0" collapsed="false">
      <c r="A929" s="45"/>
      <c r="B929" s="37" t="str">
        <f aca="false">IF($A929="","",WEEKNUM($A929,2))</f>
        <v/>
      </c>
      <c r="C929" s="37" t="str">
        <f aca="false">IF($A929="","",CHOOSE(WEEKDAY($A929,2),"Seg","Ter","Qua","Qui","Sex","Sáb","Dom"))</f>
        <v/>
      </c>
      <c r="D929" s="46"/>
      <c r="E929" s="47"/>
      <c r="F929" s="47"/>
      <c r="G929" s="48"/>
      <c r="H929" s="49"/>
      <c r="I929" s="50"/>
      <c r="J929" s="48"/>
      <c r="K929" s="49"/>
      <c r="L929" s="50"/>
      <c r="M929" s="43" t="str">
        <f aca="false">IF(OR($L929="",$F929=""),"",IFERROR($L929/INDEX(Cadastro!$E$6:$E$8,MATCH($F929,Cadastro!$B$6:$B$8,0)),""))</f>
        <v/>
      </c>
      <c r="N929" s="43" t="str">
        <f aca="false">IF(OR($L929="",$I929="",$I929=0),"",$L929/$I929)</f>
        <v/>
      </c>
      <c r="O929" s="51"/>
    </row>
    <row r="930" customFormat="false" ht="15" hidden="false" customHeight="false" outlineLevel="0" collapsed="false">
      <c r="A930" s="45"/>
      <c r="B930" s="37" t="str">
        <f aca="false">IF($A930="","",WEEKNUM($A930,2))</f>
        <v/>
      </c>
      <c r="C930" s="37" t="str">
        <f aca="false">IF($A930="","",CHOOSE(WEEKDAY($A930,2),"Seg","Ter","Qua","Qui","Sex","Sáb","Dom"))</f>
        <v/>
      </c>
      <c r="D930" s="46"/>
      <c r="E930" s="47"/>
      <c r="F930" s="47"/>
      <c r="G930" s="48"/>
      <c r="H930" s="49"/>
      <c r="I930" s="50"/>
      <c r="J930" s="48"/>
      <c r="K930" s="49"/>
      <c r="L930" s="50"/>
      <c r="M930" s="43" t="str">
        <f aca="false">IF(OR($L930="",$F930=""),"",IFERROR($L930/INDEX(Cadastro!$E$6:$E$8,MATCH($F930,Cadastro!$B$6:$B$8,0)),""))</f>
        <v/>
      </c>
      <c r="N930" s="43" t="str">
        <f aca="false">IF(OR($L930="",$I930="",$I930=0),"",$L930/$I930)</f>
        <v/>
      </c>
      <c r="O930" s="51"/>
    </row>
    <row r="931" customFormat="false" ht="15" hidden="false" customHeight="false" outlineLevel="0" collapsed="false">
      <c r="A931" s="45"/>
      <c r="B931" s="37" t="str">
        <f aca="false">IF($A931="","",WEEKNUM($A931,2))</f>
        <v/>
      </c>
      <c r="C931" s="37" t="str">
        <f aca="false">IF($A931="","",CHOOSE(WEEKDAY($A931,2),"Seg","Ter","Qua","Qui","Sex","Sáb","Dom"))</f>
        <v/>
      </c>
      <c r="D931" s="46"/>
      <c r="E931" s="47"/>
      <c r="F931" s="47"/>
      <c r="G931" s="48"/>
      <c r="H931" s="49"/>
      <c r="I931" s="50"/>
      <c r="J931" s="48"/>
      <c r="K931" s="49"/>
      <c r="L931" s="50"/>
      <c r="M931" s="43" t="str">
        <f aca="false">IF(OR($L931="",$F931=""),"",IFERROR($L931/INDEX(Cadastro!$E$6:$E$8,MATCH($F931,Cadastro!$B$6:$B$8,0)),""))</f>
        <v/>
      </c>
      <c r="N931" s="43" t="str">
        <f aca="false">IF(OR($L931="",$I931="",$I931=0),"",$L931/$I931)</f>
        <v/>
      </c>
      <c r="O931" s="51"/>
    </row>
    <row r="932" customFormat="false" ht="15" hidden="false" customHeight="false" outlineLevel="0" collapsed="false">
      <c r="A932" s="45"/>
      <c r="B932" s="37" t="str">
        <f aca="false">IF($A932="","",WEEKNUM($A932,2))</f>
        <v/>
      </c>
      <c r="C932" s="37" t="str">
        <f aca="false">IF($A932="","",CHOOSE(WEEKDAY($A932,2),"Seg","Ter","Qua","Qui","Sex","Sáb","Dom"))</f>
        <v/>
      </c>
      <c r="D932" s="46"/>
      <c r="E932" s="47"/>
      <c r="F932" s="47"/>
      <c r="G932" s="48"/>
      <c r="H932" s="49"/>
      <c r="I932" s="50"/>
      <c r="J932" s="48"/>
      <c r="K932" s="49"/>
      <c r="L932" s="50"/>
      <c r="M932" s="43" t="str">
        <f aca="false">IF(OR($L932="",$F932=""),"",IFERROR($L932/INDEX(Cadastro!$E$6:$E$8,MATCH($F932,Cadastro!$B$6:$B$8,0)),""))</f>
        <v/>
      </c>
      <c r="N932" s="43" t="str">
        <f aca="false">IF(OR($L932="",$I932="",$I932=0),"",$L932/$I932)</f>
        <v/>
      </c>
      <c r="O932" s="51"/>
    </row>
    <row r="933" customFormat="false" ht="15" hidden="false" customHeight="false" outlineLevel="0" collapsed="false">
      <c r="A933" s="45"/>
      <c r="B933" s="37" t="str">
        <f aca="false">IF($A933="","",WEEKNUM($A933,2))</f>
        <v/>
      </c>
      <c r="C933" s="37" t="str">
        <f aca="false">IF($A933="","",CHOOSE(WEEKDAY($A933,2),"Seg","Ter","Qua","Qui","Sex","Sáb","Dom"))</f>
        <v/>
      </c>
      <c r="D933" s="46"/>
      <c r="E933" s="47"/>
      <c r="F933" s="47"/>
      <c r="G933" s="48"/>
      <c r="H933" s="49"/>
      <c r="I933" s="50"/>
      <c r="J933" s="48"/>
      <c r="K933" s="49"/>
      <c r="L933" s="50"/>
      <c r="M933" s="43" t="str">
        <f aca="false">IF(OR($L933="",$F933=""),"",IFERROR($L933/INDEX(Cadastro!$E$6:$E$8,MATCH($F933,Cadastro!$B$6:$B$8,0)),""))</f>
        <v/>
      </c>
      <c r="N933" s="43" t="str">
        <f aca="false">IF(OR($L933="",$I933="",$I933=0),"",$L933/$I933)</f>
        <v/>
      </c>
      <c r="O933" s="51"/>
    </row>
    <row r="934" customFormat="false" ht="15" hidden="false" customHeight="false" outlineLevel="0" collapsed="false">
      <c r="A934" s="45"/>
      <c r="B934" s="37" t="str">
        <f aca="false">IF($A934="","",WEEKNUM($A934,2))</f>
        <v/>
      </c>
      <c r="C934" s="37" t="str">
        <f aca="false">IF($A934="","",CHOOSE(WEEKDAY($A934,2),"Seg","Ter","Qua","Qui","Sex","Sáb","Dom"))</f>
        <v/>
      </c>
      <c r="D934" s="46"/>
      <c r="E934" s="47"/>
      <c r="F934" s="47"/>
      <c r="G934" s="48"/>
      <c r="H934" s="49"/>
      <c r="I934" s="50"/>
      <c r="J934" s="48"/>
      <c r="K934" s="49"/>
      <c r="L934" s="50"/>
      <c r="M934" s="43" t="str">
        <f aca="false">IF(OR($L934="",$F934=""),"",IFERROR($L934/INDEX(Cadastro!$E$6:$E$8,MATCH($F934,Cadastro!$B$6:$B$8,0)),""))</f>
        <v/>
      </c>
      <c r="N934" s="43" t="str">
        <f aca="false">IF(OR($L934="",$I934="",$I934=0),"",$L934/$I934)</f>
        <v/>
      </c>
      <c r="O934" s="51"/>
    </row>
    <row r="935" customFormat="false" ht="15" hidden="false" customHeight="false" outlineLevel="0" collapsed="false">
      <c r="A935" s="45"/>
      <c r="B935" s="37" t="str">
        <f aca="false">IF($A935="","",WEEKNUM($A935,2))</f>
        <v/>
      </c>
      <c r="C935" s="37" t="str">
        <f aca="false">IF($A935="","",CHOOSE(WEEKDAY($A935,2),"Seg","Ter","Qua","Qui","Sex","Sáb","Dom"))</f>
        <v/>
      </c>
      <c r="D935" s="46"/>
      <c r="E935" s="47"/>
      <c r="F935" s="47"/>
      <c r="G935" s="48"/>
      <c r="H935" s="49"/>
      <c r="I935" s="50"/>
      <c r="J935" s="48"/>
      <c r="K935" s="49"/>
      <c r="L935" s="50"/>
      <c r="M935" s="43" t="str">
        <f aca="false">IF(OR($L935="",$F935=""),"",IFERROR($L935/INDEX(Cadastro!$E$6:$E$8,MATCH($F935,Cadastro!$B$6:$B$8,0)),""))</f>
        <v/>
      </c>
      <c r="N935" s="43" t="str">
        <f aca="false">IF(OR($L935="",$I935="",$I935=0),"",$L935/$I935)</f>
        <v/>
      </c>
      <c r="O935" s="51"/>
    </row>
    <row r="936" customFormat="false" ht="15" hidden="false" customHeight="false" outlineLevel="0" collapsed="false">
      <c r="A936" s="45"/>
      <c r="B936" s="37" t="str">
        <f aca="false">IF($A936="","",WEEKNUM($A936,2))</f>
        <v/>
      </c>
      <c r="C936" s="37" t="str">
        <f aca="false">IF($A936="","",CHOOSE(WEEKDAY($A936,2),"Seg","Ter","Qua","Qui","Sex","Sáb","Dom"))</f>
        <v/>
      </c>
      <c r="D936" s="46"/>
      <c r="E936" s="47"/>
      <c r="F936" s="47"/>
      <c r="G936" s="48"/>
      <c r="H936" s="49"/>
      <c r="I936" s="50"/>
      <c r="J936" s="48"/>
      <c r="K936" s="49"/>
      <c r="L936" s="50"/>
      <c r="M936" s="43" t="str">
        <f aca="false">IF(OR($L936="",$F936=""),"",IFERROR($L936/INDEX(Cadastro!$E$6:$E$8,MATCH($F936,Cadastro!$B$6:$B$8,0)),""))</f>
        <v/>
      </c>
      <c r="N936" s="43" t="str">
        <f aca="false">IF(OR($L936="",$I936="",$I936=0),"",$L936/$I936)</f>
        <v/>
      </c>
      <c r="O936" s="51"/>
    </row>
    <row r="937" customFormat="false" ht="15" hidden="false" customHeight="false" outlineLevel="0" collapsed="false">
      <c r="A937" s="45"/>
      <c r="B937" s="37" t="str">
        <f aca="false">IF($A937="","",WEEKNUM($A937,2))</f>
        <v/>
      </c>
      <c r="C937" s="37" t="str">
        <f aca="false">IF($A937="","",CHOOSE(WEEKDAY($A937,2),"Seg","Ter","Qua","Qui","Sex","Sáb","Dom"))</f>
        <v/>
      </c>
      <c r="D937" s="46"/>
      <c r="E937" s="47"/>
      <c r="F937" s="47"/>
      <c r="G937" s="48"/>
      <c r="H937" s="49"/>
      <c r="I937" s="50"/>
      <c r="J937" s="48"/>
      <c r="K937" s="49"/>
      <c r="L937" s="50"/>
      <c r="M937" s="43" t="str">
        <f aca="false">IF(OR($L937="",$F937=""),"",IFERROR($L937/INDEX(Cadastro!$E$6:$E$8,MATCH($F937,Cadastro!$B$6:$B$8,0)),""))</f>
        <v/>
      </c>
      <c r="N937" s="43" t="str">
        <f aca="false">IF(OR($L937="",$I937="",$I937=0),"",$L937/$I937)</f>
        <v/>
      </c>
      <c r="O937" s="51"/>
    </row>
    <row r="938" customFormat="false" ht="15" hidden="false" customHeight="false" outlineLevel="0" collapsed="false">
      <c r="A938" s="45"/>
      <c r="B938" s="37" t="str">
        <f aca="false">IF($A938="","",WEEKNUM($A938,2))</f>
        <v/>
      </c>
      <c r="C938" s="37" t="str">
        <f aca="false">IF($A938="","",CHOOSE(WEEKDAY($A938,2),"Seg","Ter","Qua","Qui","Sex","Sáb","Dom"))</f>
        <v/>
      </c>
      <c r="D938" s="46"/>
      <c r="E938" s="47"/>
      <c r="F938" s="47"/>
      <c r="G938" s="48"/>
      <c r="H938" s="49"/>
      <c r="I938" s="50"/>
      <c r="J938" s="48"/>
      <c r="K938" s="49"/>
      <c r="L938" s="50"/>
      <c r="M938" s="43" t="str">
        <f aca="false">IF(OR($L938="",$F938=""),"",IFERROR($L938/INDEX(Cadastro!$E$6:$E$8,MATCH($F938,Cadastro!$B$6:$B$8,0)),""))</f>
        <v/>
      </c>
      <c r="N938" s="43" t="str">
        <f aca="false">IF(OR($L938="",$I938="",$I938=0),"",$L938/$I938)</f>
        <v/>
      </c>
      <c r="O938" s="51"/>
    </row>
    <row r="939" customFormat="false" ht="15" hidden="false" customHeight="false" outlineLevel="0" collapsed="false">
      <c r="A939" s="45"/>
      <c r="B939" s="37" t="str">
        <f aca="false">IF($A939="","",WEEKNUM($A939,2))</f>
        <v/>
      </c>
      <c r="C939" s="37" t="str">
        <f aca="false">IF($A939="","",CHOOSE(WEEKDAY($A939,2),"Seg","Ter","Qua","Qui","Sex","Sáb","Dom"))</f>
        <v/>
      </c>
      <c r="D939" s="46"/>
      <c r="E939" s="47"/>
      <c r="F939" s="47"/>
      <c r="G939" s="48"/>
      <c r="H939" s="49"/>
      <c r="I939" s="50"/>
      <c r="J939" s="48"/>
      <c r="K939" s="49"/>
      <c r="L939" s="50"/>
      <c r="M939" s="43" t="str">
        <f aca="false">IF(OR($L939="",$F939=""),"",IFERROR($L939/INDEX(Cadastro!$E$6:$E$8,MATCH($F939,Cadastro!$B$6:$B$8,0)),""))</f>
        <v/>
      </c>
      <c r="N939" s="43" t="str">
        <f aca="false">IF(OR($L939="",$I939="",$I939=0),"",$L939/$I939)</f>
        <v/>
      </c>
      <c r="O939" s="51"/>
    </row>
    <row r="940" customFormat="false" ht="15" hidden="false" customHeight="false" outlineLevel="0" collapsed="false">
      <c r="A940" s="45"/>
      <c r="B940" s="37" t="str">
        <f aca="false">IF($A940="","",WEEKNUM($A940,2))</f>
        <v/>
      </c>
      <c r="C940" s="37" t="str">
        <f aca="false">IF($A940="","",CHOOSE(WEEKDAY($A940,2),"Seg","Ter","Qua","Qui","Sex","Sáb","Dom"))</f>
        <v/>
      </c>
      <c r="D940" s="46"/>
      <c r="E940" s="47"/>
      <c r="F940" s="47"/>
      <c r="G940" s="48"/>
      <c r="H940" s="49"/>
      <c r="I940" s="50"/>
      <c r="J940" s="48"/>
      <c r="K940" s="49"/>
      <c r="L940" s="50"/>
      <c r="M940" s="43" t="str">
        <f aca="false">IF(OR($L940="",$F940=""),"",IFERROR($L940/INDEX(Cadastro!$E$6:$E$8,MATCH($F940,Cadastro!$B$6:$B$8,0)),""))</f>
        <v/>
      </c>
      <c r="N940" s="43" t="str">
        <f aca="false">IF(OR($L940="",$I940="",$I940=0),"",$L940/$I940)</f>
        <v/>
      </c>
      <c r="O940" s="51"/>
    </row>
    <row r="941" customFormat="false" ht="15" hidden="false" customHeight="false" outlineLevel="0" collapsed="false">
      <c r="A941" s="45"/>
      <c r="B941" s="37" t="str">
        <f aca="false">IF($A941="","",WEEKNUM($A941,2))</f>
        <v/>
      </c>
      <c r="C941" s="37" t="str">
        <f aca="false">IF($A941="","",CHOOSE(WEEKDAY($A941,2),"Seg","Ter","Qua","Qui","Sex","Sáb","Dom"))</f>
        <v/>
      </c>
      <c r="D941" s="46"/>
      <c r="E941" s="47"/>
      <c r="F941" s="47"/>
      <c r="G941" s="48"/>
      <c r="H941" s="49"/>
      <c r="I941" s="50"/>
      <c r="J941" s="48"/>
      <c r="K941" s="49"/>
      <c r="L941" s="50"/>
      <c r="M941" s="43" t="str">
        <f aca="false">IF(OR($L941="",$F941=""),"",IFERROR($L941/INDEX(Cadastro!$E$6:$E$8,MATCH($F941,Cadastro!$B$6:$B$8,0)),""))</f>
        <v/>
      </c>
      <c r="N941" s="43" t="str">
        <f aca="false">IF(OR($L941="",$I941="",$I941=0),"",$L941/$I941)</f>
        <v/>
      </c>
      <c r="O941" s="51"/>
    </row>
    <row r="942" customFormat="false" ht="15" hidden="false" customHeight="false" outlineLevel="0" collapsed="false">
      <c r="A942" s="45"/>
      <c r="B942" s="37" t="str">
        <f aca="false">IF($A942="","",WEEKNUM($A942,2))</f>
        <v/>
      </c>
      <c r="C942" s="37" t="str">
        <f aca="false">IF($A942="","",CHOOSE(WEEKDAY($A942,2),"Seg","Ter","Qua","Qui","Sex","Sáb","Dom"))</f>
        <v/>
      </c>
      <c r="D942" s="46"/>
      <c r="E942" s="47"/>
      <c r="F942" s="47"/>
      <c r="G942" s="48"/>
      <c r="H942" s="49"/>
      <c r="I942" s="50"/>
      <c r="J942" s="48"/>
      <c r="K942" s="49"/>
      <c r="L942" s="50"/>
      <c r="M942" s="43" t="str">
        <f aca="false">IF(OR($L942="",$F942=""),"",IFERROR($L942/INDEX(Cadastro!$E$6:$E$8,MATCH($F942,Cadastro!$B$6:$B$8,0)),""))</f>
        <v/>
      </c>
      <c r="N942" s="43" t="str">
        <f aca="false">IF(OR($L942="",$I942="",$I942=0),"",$L942/$I942)</f>
        <v/>
      </c>
      <c r="O942" s="51"/>
    </row>
    <row r="943" customFormat="false" ht="15" hidden="false" customHeight="false" outlineLevel="0" collapsed="false">
      <c r="A943" s="45"/>
      <c r="B943" s="37" t="str">
        <f aca="false">IF($A943="","",WEEKNUM($A943,2))</f>
        <v/>
      </c>
      <c r="C943" s="37" t="str">
        <f aca="false">IF($A943="","",CHOOSE(WEEKDAY($A943,2),"Seg","Ter","Qua","Qui","Sex","Sáb","Dom"))</f>
        <v/>
      </c>
      <c r="D943" s="46"/>
      <c r="E943" s="47"/>
      <c r="F943" s="47"/>
      <c r="G943" s="48"/>
      <c r="H943" s="49"/>
      <c r="I943" s="50"/>
      <c r="J943" s="48"/>
      <c r="K943" s="49"/>
      <c r="L943" s="50"/>
      <c r="M943" s="43" t="str">
        <f aca="false">IF(OR($L943="",$F943=""),"",IFERROR($L943/INDEX(Cadastro!$E$6:$E$8,MATCH($F943,Cadastro!$B$6:$B$8,0)),""))</f>
        <v/>
      </c>
      <c r="N943" s="43" t="str">
        <f aca="false">IF(OR($L943="",$I943="",$I943=0),"",$L943/$I943)</f>
        <v/>
      </c>
      <c r="O943" s="51"/>
    </row>
    <row r="944" customFormat="false" ht="15" hidden="false" customHeight="false" outlineLevel="0" collapsed="false">
      <c r="A944" s="45"/>
      <c r="B944" s="37" t="str">
        <f aca="false">IF($A944="","",WEEKNUM($A944,2))</f>
        <v/>
      </c>
      <c r="C944" s="37" t="str">
        <f aca="false">IF($A944="","",CHOOSE(WEEKDAY($A944,2),"Seg","Ter","Qua","Qui","Sex","Sáb","Dom"))</f>
        <v/>
      </c>
      <c r="D944" s="46"/>
      <c r="E944" s="47"/>
      <c r="F944" s="47"/>
      <c r="G944" s="48"/>
      <c r="H944" s="49"/>
      <c r="I944" s="50"/>
      <c r="J944" s="48"/>
      <c r="K944" s="49"/>
      <c r="L944" s="50"/>
      <c r="M944" s="43" t="str">
        <f aca="false">IF(OR($L944="",$F944=""),"",IFERROR($L944/INDEX(Cadastro!$E$6:$E$8,MATCH($F944,Cadastro!$B$6:$B$8,0)),""))</f>
        <v/>
      </c>
      <c r="N944" s="43" t="str">
        <f aca="false">IF(OR($L944="",$I944="",$I944=0),"",$L944/$I944)</f>
        <v/>
      </c>
      <c r="O944" s="51"/>
    </row>
    <row r="945" customFormat="false" ht="15" hidden="false" customHeight="false" outlineLevel="0" collapsed="false">
      <c r="A945" s="45"/>
      <c r="B945" s="37" t="str">
        <f aca="false">IF($A945="","",WEEKNUM($A945,2))</f>
        <v/>
      </c>
      <c r="C945" s="37" t="str">
        <f aca="false">IF($A945="","",CHOOSE(WEEKDAY($A945,2),"Seg","Ter","Qua","Qui","Sex","Sáb","Dom"))</f>
        <v/>
      </c>
      <c r="D945" s="46"/>
      <c r="E945" s="47"/>
      <c r="F945" s="47"/>
      <c r="G945" s="48"/>
      <c r="H945" s="49"/>
      <c r="I945" s="50"/>
      <c r="J945" s="48"/>
      <c r="K945" s="49"/>
      <c r="L945" s="50"/>
      <c r="M945" s="43" t="str">
        <f aca="false">IF(OR($L945="",$F945=""),"",IFERROR($L945/INDEX(Cadastro!$E$6:$E$8,MATCH($F945,Cadastro!$B$6:$B$8,0)),""))</f>
        <v/>
      </c>
      <c r="N945" s="43" t="str">
        <f aca="false">IF(OR($L945="",$I945="",$I945=0),"",$L945/$I945)</f>
        <v/>
      </c>
      <c r="O945" s="51"/>
    </row>
    <row r="946" customFormat="false" ht="15" hidden="false" customHeight="false" outlineLevel="0" collapsed="false">
      <c r="A946" s="45"/>
      <c r="B946" s="37" t="str">
        <f aca="false">IF($A946="","",WEEKNUM($A946,2))</f>
        <v/>
      </c>
      <c r="C946" s="37" t="str">
        <f aca="false">IF($A946="","",CHOOSE(WEEKDAY($A946,2),"Seg","Ter","Qua","Qui","Sex","Sáb","Dom"))</f>
        <v/>
      </c>
      <c r="D946" s="46"/>
      <c r="E946" s="47"/>
      <c r="F946" s="47"/>
      <c r="G946" s="48"/>
      <c r="H946" s="49"/>
      <c r="I946" s="50"/>
      <c r="J946" s="48"/>
      <c r="K946" s="49"/>
      <c r="L946" s="50"/>
      <c r="M946" s="43" t="str">
        <f aca="false">IF(OR($L946="",$F946=""),"",IFERROR($L946/INDEX(Cadastro!$E$6:$E$8,MATCH($F946,Cadastro!$B$6:$B$8,0)),""))</f>
        <v/>
      </c>
      <c r="N946" s="43" t="str">
        <f aca="false">IF(OR($L946="",$I946="",$I946=0),"",$L946/$I946)</f>
        <v/>
      </c>
      <c r="O946" s="51"/>
    </row>
    <row r="947" customFormat="false" ht="15" hidden="false" customHeight="false" outlineLevel="0" collapsed="false">
      <c r="A947" s="45"/>
      <c r="B947" s="37" t="str">
        <f aca="false">IF($A947="","",WEEKNUM($A947,2))</f>
        <v/>
      </c>
      <c r="C947" s="37" t="str">
        <f aca="false">IF($A947="","",CHOOSE(WEEKDAY($A947,2),"Seg","Ter","Qua","Qui","Sex","Sáb","Dom"))</f>
        <v/>
      </c>
      <c r="D947" s="46"/>
      <c r="E947" s="47"/>
      <c r="F947" s="47"/>
      <c r="G947" s="48"/>
      <c r="H947" s="49"/>
      <c r="I947" s="50"/>
      <c r="J947" s="48"/>
      <c r="K947" s="49"/>
      <c r="L947" s="50"/>
      <c r="M947" s="43" t="str">
        <f aca="false">IF(OR($L947="",$F947=""),"",IFERROR($L947/INDEX(Cadastro!$E$6:$E$8,MATCH($F947,Cadastro!$B$6:$B$8,0)),""))</f>
        <v/>
      </c>
      <c r="N947" s="43" t="str">
        <f aca="false">IF(OR($L947="",$I947="",$I947=0),"",$L947/$I947)</f>
        <v/>
      </c>
      <c r="O947" s="51"/>
    </row>
    <row r="948" customFormat="false" ht="15" hidden="false" customHeight="false" outlineLevel="0" collapsed="false">
      <c r="A948" s="45"/>
      <c r="B948" s="37" t="str">
        <f aca="false">IF($A948="","",WEEKNUM($A948,2))</f>
        <v/>
      </c>
      <c r="C948" s="37" t="str">
        <f aca="false">IF($A948="","",CHOOSE(WEEKDAY($A948,2),"Seg","Ter","Qua","Qui","Sex","Sáb","Dom"))</f>
        <v/>
      </c>
      <c r="D948" s="46"/>
      <c r="E948" s="47"/>
      <c r="F948" s="47"/>
      <c r="G948" s="48"/>
      <c r="H948" s="49"/>
      <c r="I948" s="50"/>
      <c r="J948" s="48"/>
      <c r="K948" s="49"/>
      <c r="L948" s="50"/>
      <c r="M948" s="43" t="str">
        <f aca="false">IF(OR($L948="",$F948=""),"",IFERROR($L948/INDEX(Cadastro!$E$6:$E$8,MATCH($F948,Cadastro!$B$6:$B$8,0)),""))</f>
        <v/>
      </c>
      <c r="N948" s="43" t="str">
        <f aca="false">IF(OR($L948="",$I948="",$I948=0),"",$L948/$I948)</f>
        <v/>
      </c>
      <c r="O948" s="51"/>
    </row>
    <row r="949" customFormat="false" ht="15" hidden="false" customHeight="false" outlineLevel="0" collapsed="false">
      <c r="A949" s="45"/>
      <c r="B949" s="37" t="str">
        <f aca="false">IF($A949="","",WEEKNUM($A949,2))</f>
        <v/>
      </c>
      <c r="C949" s="37" t="str">
        <f aca="false">IF($A949="","",CHOOSE(WEEKDAY($A949,2),"Seg","Ter","Qua","Qui","Sex","Sáb","Dom"))</f>
        <v/>
      </c>
      <c r="D949" s="46"/>
      <c r="E949" s="47"/>
      <c r="F949" s="47"/>
      <c r="G949" s="48"/>
      <c r="H949" s="49"/>
      <c r="I949" s="50"/>
      <c r="J949" s="48"/>
      <c r="K949" s="49"/>
      <c r="L949" s="50"/>
      <c r="M949" s="43" t="str">
        <f aca="false">IF(OR($L949="",$F949=""),"",IFERROR($L949/INDEX(Cadastro!$E$6:$E$8,MATCH($F949,Cadastro!$B$6:$B$8,0)),""))</f>
        <v/>
      </c>
      <c r="N949" s="43" t="str">
        <f aca="false">IF(OR($L949="",$I949="",$I949=0),"",$L949/$I949)</f>
        <v/>
      </c>
      <c r="O949" s="51"/>
    </row>
    <row r="950" customFormat="false" ht="15" hidden="false" customHeight="false" outlineLevel="0" collapsed="false">
      <c r="A950" s="45"/>
      <c r="B950" s="37" t="str">
        <f aca="false">IF($A950="","",WEEKNUM($A950,2))</f>
        <v/>
      </c>
      <c r="C950" s="37" t="str">
        <f aca="false">IF($A950="","",CHOOSE(WEEKDAY($A950,2),"Seg","Ter","Qua","Qui","Sex","Sáb","Dom"))</f>
        <v/>
      </c>
      <c r="D950" s="46"/>
      <c r="E950" s="47"/>
      <c r="F950" s="47"/>
      <c r="G950" s="48"/>
      <c r="H950" s="49"/>
      <c r="I950" s="50"/>
      <c r="J950" s="48"/>
      <c r="K950" s="49"/>
      <c r="L950" s="50"/>
      <c r="M950" s="43" t="str">
        <f aca="false">IF(OR($L950="",$F950=""),"",IFERROR($L950/INDEX(Cadastro!$E$6:$E$8,MATCH($F950,Cadastro!$B$6:$B$8,0)),""))</f>
        <v/>
      </c>
      <c r="N950" s="43" t="str">
        <f aca="false">IF(OR($L950="",$I950="",$I950=0),"",$L950/$I950)</f>
        <v/>
      </c>
      <c r="O950" s="51"/>
    </row>
    <row r="951" customFormat="false" ht="15" hidden="false" customHeight="false" outlineLevel="0" collapsed="false">
      <c r="A951" s="45"/>
      <c r="B951" s="37" t="str">
        <f aca="false">IF($A951="","",WEEKNUM($A951,2))</f>
        <v/>
      </c>
      <c r="C951" s="37" t="str">
        <f aca="false">IF($A951="","",CHOOSE(WEEKDAY($A951,2),"Seg","Ter","Qua","Qui","Sex","Sáb","Dom"))</f>
        <v/>
      </c>
      <c r="D951" s="46"/>
      <c r="E951" s="47"/>
      <c r="F951" s="47"/>
      <c r="G951" s="48"/>
      <c r="H951" s="49"/>
      <c r="I951" s="50"/>
      <c r="J951" s="48"/>
      <c r="K951" s="49"/>
      <c r="L951" s="50"/>
      <c r="M951" s="43" t="str">
        <f aca="false">IF(OR($L951="",$F951=""),"",IFERROR($L951/INDEX(Cadastro!$E$6:$E$8,MATCH($F951,Cadastro!$B$6:$B$8,0)),""))</f>
        <v/>
      </c>
      <c r="N951" s="43" t="str">
        <f aca="false">IF(OR($L951="",$I951="",$I951=0),"",$L951/$I951)</f>
        <v/>
      </c>
      <c r="O951" s="51"/>
    </row>
    <row r="952" customFormat="false" ht="15" hidden="false" customHeight="false" outlineLevel="0" collapsed="false">
      <c r="A952" s="45"/>
      <c r="B952" s="37" t="str">
        <f aca="false">IF($A952="","",WEEKNUM($A952,2))</f>
        <v/>
      </c>
      <c r="C952" s="37" t="str">
        <f aca="false">IF($A952="","",CHOOSE(WEEKDAY($A952,2),"Seg","Ter","Qua","Qui","Sex","Sáb","Dom"))</f>
        <v/>
      </c>
      <c r="D952" s="46"/>
      <c r="E952" s="47"/>
      <c r="F952" s="47"/>
      <c r="G952" s="48"/>
      <c r="H952" s="49"/>
      <c r="I952" s="50"/>
      <c r="J952" s="48"/>
      <c r="K952" s="49"/>
      <c r="L952" s="50"/>
      <c r="M952" s="43" t="str">
        <f aca="false">IF(OR($L952="",$F952=""),"",IFERROR($L952/INDEX(Cadastro!$E$6:$E$8,MATCH($F952,Cadastro!$B$6:$B$8,0)),""))</f>
        <v/>
      </c>
      <c r="N952" s="43" t="str">
        <f aca="false">IF(OR($L952="",$I952="",$I952=0),"",$L952/$I952)</f>
        <v/>
      </c>
      <c r="O952" s="51"/>
    </row>
    <row r="953" customFormat="false" ht="15" hidden="false" customHeight="false" outlineLevel="0" collapsed="false">
      <c r="A953" s="45"/>
      <c r="B953" s="37" t="str">
        <f aca="false">IF($A953="","",WEEKNUM($A953,2))</f>
        <v/>
      </c>
      <c r="C953" s="37" t="str">
        <f aca="false">IF($A953="","",CHOOSE(WEEKDAY($A953,2),"Seg","Ter","Qua","Qui","Sex","Sáb","Dom"))</f>
        <v/>
      </c>
      <c r="D953" s="46"/>
      <c r="E953" s="47"/>
      <c r="F953" s="47"/>
      <c r="G953" s="48"/>
      <c r="H953" s="49"/>
      <c r="I953" s="50"/>
      <c r="J953" s="48"/>
      <c r="K953" s="49"/>
      <c r="L953" s="50"/>
      <c r="M953" s="43" t="str">
        <f aca="false">IF(OR($L953="",$F953=""),"",IFERROR($L953/INDEX(Cadastro!$E$6:$E$8,MATCH($F953,Cadastro!$B$6:$B$8,0)),""))</f>
        <v/>
      </c>
      <c r="N953" s="43" t="str">
        <f aca="false">IF(OR($L953="",$I953="",$I953=0),"",$L953/$I953)</f>
        <v/>
      </c>
      <c r="O953" s="51"/>
    </row>
    <row r="954" customFormat="false" ht="15" hidden="false" customHeight="false" outlineLevel="0" collapsed="false">
      <c r="A954" s="45"/>
      <c r="B954" s="37" t="str">
        <f aca="false">IF($A954="","",WEEKNUM($A954,2))</f>
        <v/>
      </c>
      <c r="C954" s="37" t="str">
        <f aca="false">IF($A954="","",CHOOSE(WEEKDAY($A954,2),"Seg","Ter","Qua","Qui","Sex","Sáb","Dom"))</f>
        <v/>
      </c>
      <c r="D954" s="46"/>
      <c r="E954" s="47"/>
      <c r="F954" s="47"/>
      <c r="G954" s="48"/>
      <c r="H954" s="49"/>
      <c r="I954" s="50"/>
      <c r="J954" s="48"/>
      <c r="K954" s="49"/>
      <c r="L954" s="50"/>
      <c r="M954" s="43" t="str">
        <f aca="false">IF(OR($L954="",$F954=""),"",IFERROR($L954/INDEX(Cadastro!$E$6:$E$8,MATCH($F954,Cadastro!$B$6:$B$8,0)),""))</f>
        <v/>
      </c>
      <c r="N954" s="43" t="str">
        <f aca="false">IF(OR($L954="",$I954="",$I954=0),"",$L954/$I954)</f>
        <v/>
      </c>
      <c r="O954" s="51"/>
    </row>
    <row r="955" customFormat="false" ht="15" hidden="false" customHeight="false" outlineLevel="0" collapsed="false">
      <c r="A955" s="45"/>
      <c r="B955" s="37" t="str">
        <f aca="false">IF($A955="","",WEEKNUM($A955,2))</f>
        <v/>
      </c>
      <c r="C955" s="37" t="str">
        <f aca="false">IF($A955="","",CHOOSE(WEEKDAY($A955,2),"Seg","Ter","Qua","Qui","Sex","Sáb","Dom"))</f>
        <v/>
      </c>
      <c r="D955" s="46"/>
      <c r="E955" s="47"/>
      <c r="F955" s="47"/>
      <c r="G955" s="48"/>
      <c r="H955" s="49"/>
      <c r="I955" s="50"/>
      <c r="J955" s="48"/>
      <c r="K955" s="49"/>
      <c r="L955" s="50"/>
      <c r="M955" s="43" t="str">
        <f aca="false">IF(OR($L955="",$F955=""),"",IFERROR($L955/INDEX(Cadastro!$E$6:$E$8,MATCH($F955,Cadastro!$B$6:$B$8,0)),""))</f>
        <v/>
      </c>
      <c r="N955" s="43" t="str">
        <f aca="false">IF(OR($L955="",$I955="",$I955=0),"",$L955/$I955)</f>
        <v/>
      </c>
      <c r="O955" s="51"/>
    </row>
    <row r="956" customFormat="false" ht="15" hidden="false" customHeight="false" outlineLevel="0" collapsed="false">
      <c r="A956" s="45"/>
      <c r="B956" s="37" t="str">
        <f aca="false">IF($A956="","",WEEKNUM($A956,2))</f>
        <v/>
      </c>
      <c r="C956" s="37" t="str">
        <f aca="false">IF($A956="","",CHOOSE(WEEKDAY($A956,2),"Seg","Ter","Qua","Qui","Sex","Sáb","Dom"))</f>
        <v/>
      </c>
      <c r="D956" s="46"/>
      <c r="E956" s="47"/>
      <c r="F956" s="47"/>
      <c r="G956" s="48"/>
      <c r="H956" s="49"/>
      <c r="I956" s="50"/>
      <c r="J956" s="48"/>
      <c r="K956" s="49"/>
      <c r="L956" s="50"/>
      <c r="M956" s="43" t="str">
        <f aca="false">IF(OR($L956="",$F956=""),"",IFERROR($L956/INDEX(Cadastro!$E$6:$E$8,MATCH($F956,Cadastro!$B$6:$B$8,0)),""))</f>
        <v/>
      </c>
      <c r="N956" s="43" t="str">
        <f aca="false">IF(OR($L956="",$I956="",$I956=0),"",$L956/$I956)</f>
        <v/>
      </c>
      <c r="O956" s="51"/>
    </row>
    <row r="957" customFormat="false" ht="15" hidden="false" customHeight="false" outlineLevel="0" collapsed="false">
      <c r="A957" s="45"/>
      <c r="B957" s="37" t="str">
        <f aca="false">IF($A957="","",WEEKNUM($A957,2))</f>
        <v/>
      </c>
      <c r="C957" s="37" t="str">
        <f aca="false">IF($A957="","",CHOOSE(WEEKDAY($A957,2),"Seg","Ter","Qua","Qui","Sex","Sáb","Dom"))</f>
        <v/>
      </c>
      <c r="D957" s="46"/>
      <c r="E957" s="47"/>
      <c r="F957" s="47"/>
      <c r="G957" s="48"/>
      <c r="H957" s="49"/>
      <c r="I957" s="50"/>
      <c r="J957" s="48"/>
      <c r="K957" s="49"/>
      <c r="L957" s="50"/>
      <c r="M957" s="43" t="str">
        <f aca="false">IF(OR($L957="",$F957=""),"",IFERROR($L957/INDEX(Cadastro!$E$6:$E$8,MATCH($F957,Cadastro!$B$6:$B$8,0)),""))</f>
        <v/>
      </c>
      <c r="N957" s="43" t="str">
        <f aca="false">IF(OR($L957="",$I957="",$I957=0),"",$L957/$I957)</f>
        <v/>
      </c>
      <c r="O957" s="51"/>
    </row>
    <row r="958" customFormat="false" ht="15" hidden="false" customHeight="false" outlineLevel="0" collapsed="false">
      <c r="A958" s="45"/>
      <c r="B958" s="37" t="str">
        <f aca="false">IF($A958="","",WEEKNUM($A958,2))</f>
        <v/>
      </c>
      <c r="C958" s="37" t="str">
        <f aca="false">IF($A958="","",CHOOSE(WEEKDAY($A958,2),"Seg","Ter","Qua","Qui","Sex","Sáb","Dom"))</f>
        <v/>
      </c>
      <c r="D958" s="46"/>
      <c r="E958" s="47"/>
      <c r="F958" s="47"/>
      <c r="G958" s="48"/>
      <c r="H958" s="49"/>
      <c r="I958" s="50"/>
      <c r="J958" s="48"/>
      <c r="K958" s="49"/>
      <c r="L958" s="50"/>
      <c r="M958" s="43" t="str">
        <f aca="false">IF(OR($L958="",$F958=""),"",IFERROR($L958/INDEX(Cadastro!$E$6:$E$8,MATCH($F958,Cadastro!$B$6:$B$8,0)),""))</f>
        <v/>
      </c>
      <c r="N958" s="43" t="str">
        <f aca="false">IF(OR($L958="",$I958="",$I958=0),"",$L958/$I958)</f>
        <v/>
      </c>
      <c r="O958" s="51"/>
    </row>
    <row r="959" customFormat="false" ht="15" hidden="false" customHeight="false" outlineLevel="0" collapsed="false">
      <c r="A959" s="45"/>
      <c r="B959" s="37" t="str">
        <f aca="false">IF($A959="","",WEEKNUM($A959,2))</f>
        <v/>
      </c>
      <c r="C959" s="37" t="str">
        <f aca="false">IF($A959="","",CHOOSE(WEEKDAY($A959,2),"Seg","Ter","Qua","Qui","Sex","Sáb","Dom"))</f>
        <v/>
      </c>
      <c r="D959" s="46"/>
      <c r="E959" s="47"/>
      <c r="F959" s="47"/>
      <c r="G959" s="48"/>
      <c r="H959" s="49"/>
      <c r="I959" s="50"/>
      <c r="J959" s="48"/>
      <c r="K959" s="49"/>
      <c r="L959" s="50"/>
      <c r="M959" s="43" t="str">
        <f aca="false">IF(OR($L959="",$F959=""),"",IFERROR($L959/INDEX(Cadastro!$E$6:$E$8,MATCH($F959,Cadastro!$B$6:$B$8,0)),""))</f>
        <v/>
      </c>
      <c r="N959" s="43" t="str">
        <f aca="false">IF(OR($L959="",$I959="",$I959=0),"",$L959/$I959)</f>
        <v/>
      </c>
      <c r="O959" s="51"/>
    </row>
    <row r="960" customFormat="false" ht="15" hidden="false" customHeight="false" outlineLevel="0" collapsed="false">
      <c r="A960" s="45"/>
      <c r="B960" s="37" t="str">
        <f aca="false">IF($A960="","",WEEKNUM($A960,2))</f>
        <v/>
      </c>
      <c r="C960" s="37" t="str">
        <f aca="false">IF($A960="","",CHOOSE(WEEKDAY($A960,2),"Seg","Ter","Qua","Qui","Sex","Sáb","Dom"))</f>
        <v/>
      </c>
      <c r="D960" s="46"/>
      <c r="E960" s="47"/>
      <c r="F960" s="47"/>
      <c r="G960" s="48"/>
      <c r="H960" s="49"/>
      <c r="I960" s="50"/>
      <c r="J960" s="48"/>
      <c r="K960" s="49"/>
      <c r="L960" s="50"/>
      <c r="M960" s="43" t="str">
        <f aca="false">IF(OR($L960="",$F960=""),"",IFERROR($L960/INDEX(Cadastro!$E$6:$E$8,MATCH($F960,Cadastro!$B$6:$B$8,0)),""))</f>
        <v/>
      </c>
      <c r="N960" s="43" t="str">
        <f aca="false">IF(OR($L960="",$I960="",$I960=0),"",$L960/$I960)</f>
        <v/>
      </c>
      <c r="O960" s="51"/>
    </row>
    <row r="961" customFormat="false" ht="15" hidden="false" customHeight="false" outlineLevel="0" collapsed="false">
      <c r="A961" s="45"/>
      <c r="B961" s="37" t="str">
        <f aca="false">IF($A961="","",WEEKNUM($A961,2))</f>
        <v/>
      </c>
      <c r="C961" s="37" t="str">
        <f aca="false">IF($A961="","",CHOOSE(WEEKDAY($A961,2),"Seg","Ter","Qua","Qui","Sex","Sáb","Dom"))</f>
        <v/>
      </c>
      <c r="D961" s="46"/>
      <c r="E961" s="47"/>
      <c r="F961" s="47"/>
      <c r="G961" s="48"/>
      <c r="H961" s="49"/>
      <c r="I961" s="50"/>
      <c r="J961" s="48"/>
      <c r="K961" s="49"/>
      <c r="L961" s="50"/>
      <c r="M961" s="43" t="str">
        <f aca="false">IF(OR($L961="",$F961=""),"",IFERROR($L961/INDEX(Cadastro!$E$6:$E$8,MATCH($F961,Cadastro!$B$6:$B$8,0)),""))</f>
        <v/>
      </c>
      <c r="N961" s="43" t="str">
        <f aca="false">IF(OR($L961="",$I961="",$I961=0),"",$L961/$I961)</f>
        <v/>
      </c>
      <c r="O961" s="51"/>
    </row>
    <row r="962" customFormat="false" ht="15" hidden="false" customHeight="false" outlineLevel="0" collapsed="false">
      <c r="A962" s="45"/>
      <c r="B962" s="37" t="str">
        <f aca="false">IF($A962="","",WEEKNUM($A962,2))</f>
        <v/>
      </c>
      <c r="C962" s="37" t="str">
        <f aca="false">IF($A962="","",CHOOSE(WEEKDAY($A962,2),"Seg","Ter","Qua","Qui","Sex","Sáb","Dom"))</f>
        <v/>
      </c>
      <c r="D962" s="46"/>
      <c r="E962" s="47"/>
      <c r="F962" s="47"/>
      <c r="G962" s="48"/>
      <c r="H962" s="49"/>
      <c r="I962" s="50"/>
      <c r="J962" s="48"/>
      <c r="K962" s="49"/>
      <c r="L962" s="50"/>
      <c r="M962" s="43" t="str">
        <f aca="false">IF(OR($L962="",$F962=""),"",IFERROR($L962/INDEX(Cadastro!$E$6:$E$8,MATCH($F962,Cadastro!$B$6:$B$8,0)),""))</f>
        <v/>
      </c>
      <c r="N962" s="43" t="str">
        <f aca="false">IF(OR($L962="",$I962="",$I962=0),"",$L962/$I962)</f>
        <v/>
      </c>
      <c r="O962" s="51"/>
    </row>
    <row r="963" customFormat="false" ht="15" hidden="false" customHeight="false" outlineLevel="0" collapsed="false">
      <c r="A963" s="45"/>
      <c r="B963" s="37" t="str">
        <f aca="false">IF($A963="","",WEEKNUM($A963,2))</f>
        <v/>
      </c>
      <c r="C963" s="37" t="str">
        <f aca="false">IF($A963="","",CHOOSE(WEEKDAY($A963,2),"Seg","Ter","Qua","Qui","Sex","Sáb","Dom"))</f>
        <v/>
      </c>
      <c r="D963" s="46"/>
      <c r="E963" s="47"/>
      <c r="F963" s="47"/>
      <c r="G963" s="48"/>
      <c r="H963" s="49"/>
      <c r="I963" s="50"/>
      <c r="J963" s="48"/>
      <c r="K963" s="49"/>
      <c r="L963" s="50"/>
      <c r="M963" s="43" t="str">
        <f aca="false">IF(OR($L963="",$F963=""),"",IFERROR($L963/INDEX(Cadastro!$E$6:$E$8,MATCH($F963,Cadastro!$B$6:$B$8,0)),""))</f>
        <v/>
      </c>
      <c r="N963" s="43" t="str">
        <f aca="false">IF(OR($L963="",$I963="",$I963=0),"",$L963/$I963)</f>
        <v/>
      </c>
      <c r="O963" s="51"/>
    </row>
    <row r="964" customFormat="false" ht="15" hidden="false" customHeight="false" outlineLevel="0" collapsed="false">
      <c r="A964" s="45"/>
      <c r="B964" s="37" t="str">
        <f aca="false">IF($A964="","",WEEKNUM($A964,2))</f>
        <v/>
      </c>
      <c r="C964" s="37" t="str">
        <f aca="false">IF($A964="","",CHOOSE(WEEKDAY($A964,2),"Seg","Ter","Qua","Qui","Sex","Sáb","Dom"))</f>
        <v/>
      </c>
      <c r="D964" s="46"/>
      <c r="E964" s="47"/>
      <c r="F964" s="47"/>
      <c r="G964" s="48"/>
      <c r="H964" s="49"/>
      <c r="I964" s="50"/>
      <c r="J964" s="48"/>
      <c r="K964" s="49"/>
      <c r="L964" s="50"/>
      <c r="M964" s="43" t="str">
        <f aca="false">IF(OR($L964="",$F964=""),"",IFERROR($L964/INDEX(Cadastro!$E$6:$E$8,MATCH($F964,Cadastro!$B$6:$B$8,0)),""))</f>
        <v/>
      </c>
      <c r="N964" s="43" t="str">
        <f aca="false">IF(OR($L964="",$I964="",$I964=0),"",$L964/$I964)</f>
        <v/>
      </c>
      <c r="O964" s="51"/>
    </row>
    <row r="965" customFormat="false" ht="15" hidden="false" customHeight="false" outlineLevel="0" collapsed="false">
      <c r="A965" s="45"/>
      <c r="B965" s="37" t="str">
        <f aca="false">IF($A965="","",WEEKNUM($A965,2))</f>
        <v/>
      </c>
      <c r="C965" s="37" t="str">
        <f aca="false">IF($A965="","",CHOOSE(WEEKDAY($A965,2),"Seg","Ter","Qua","Qui","Sex","Sáb","Dom"))</f>
        <v/>
      </c>
      <c r="D965" s="46"/>
      <c r="E965" s="47"/>
      <c r="F965" s="47"/>
      <c r="G965" s="48"/>
      <c r="H965" s="49"/>
      <c r="I965" s="50"/>
      <c r="J965" s="48"/>
      <c r="K965" s="49"/>
      <c r="L965" s="50"/>
      <c r="M965" s="43" t="str">
        <f aca="false">IF(OR($L965="",$F965=""),"",IFERROR($L965/INDEX(Cadastro!$E$6:$E$8,MATCH($F965,Cadastro!$B$6:$B$8,0)),""))</f>
        <v/>
      </c>
      <c r="N965" s="43" t="str">
        <f aca="false">IF(OR($L965="",$I965="",$I965=0),"",$L965/$I965)</f>
        <v/>
      </c>
      <c r="O965" s="51"/>
    </row>
    <row r="966" customFormat="false" ht="15" hidden="false" customHeight="false" outlineLevel="0" collapsed="false">
      <c r="A966" s="45"/>
      <c r="B966" s="37" t="str">
        <f aca="false">IF($A966="","",WEEKNUM($A966,2))</f>
        <v/>
      </c>
      <c r="C966" s="37" t="str">
        <f aca="false">IF($A966="","",CHOOSE(WEEKDAY($A966,2),"Seg","Ter","Qua","Qui","Sex","Sáb","Dom"))</f>
        <v/>
      </c>
      <c r="D966" s="46"/>
      <c r="E966" s="47"/>
      <c r="F966" s="47"/>
      <c r="G966" s="48"/>
      <c r="H966" s="49"/>
      <c r="I966" s="50"/>
      <c r="J966" s="48"/>
      <c r="K966" s="49"/>
      <c r="L966" s="50"/>
      <c r="M966" s="43" t="str">
        <f aca="false">IF(OR($L966="",$F966=""),"",IFERROR($L966/INDEX(Cadastro!$E$6:$E$8,MATCH($F966,Cadastro!$B$6:$B$8,0)),""))</f>
        <v/>
      </c>
      <c r="N966" s="43" t="str">
        <f aca="false">IF(OR($L966="",$I966="",$I966=0),"",$L966/$I966)</f>
        <v/>
      </c>
      <c r="O966" s="51"/>
    </row>
    <row r="967" customFormat="false" ht="15" hidden="false" customHeight="false" outlineLevel="0" collapsed="false">
      <c r="A967" s="45"/>
      <c r="B967" s="37" t="str">
        <f aca="false">IF($A967="","",WEEKNUM($A967,2))</f>
        <v/>
      </c>
      <c r="C967" s="37" t="str">
        <f aca="false">IF($A967="","",CHOOSE(WEEKDAY($A967,2),"Seg","Ter","Qua","Qui","Sex","Sáb","Dom"))</f>
        <v/>
      </c>
      <c r="D967" s="46"/>
      <c r="E967" s="47"/>
      <c r="F967" s="47"/>
      <c r="G967" s="48"/>
      <c r="H967" s="49"/>
      <c r="I967" s="50"/>
      <c r="J967" s="48"/>
      <c r="K967" s="49"/>
      <c r="L967" s="50"/>
      <c r="M967" s="43" t="str">
        <f aca="false">IF(OR($L967="",$F967=""),"",IFERROR($L967/INDEX(Cadastro!$E$6:$E$8,MATCH($F967,Cadastro!$B$6:$B$8,0)),""))</f>
        <v/>
      </c>
      <c r="N967" s="43" t="str">
        <f aca="false">IF(OR($L967="",$I967="",$I967=0),"",$L967/$I967)</f>
        <v/>
      </c>
      <c r="O967" s="51"/>
    </row>
    <row r="968" customFormat="false" ht="15" hidden="false" customHeight="false" outlineLevel="0" collapsed="false">
      <c r="A968" s="45"/>
      <c r="B968" s="37" t="str">
        <f aca="false">IF($A968="","",WEEKNUM($A968,2))</f>
        <v/>
      </c>
      <c r="C968" s="37" t="str">
        <f aca="false">IF($A968="","",CHOOSE(WEEKDAY($A968,2),"Seg","Ter","Qua","Qui","Sex","Sáb","Dom"))</f>
        <v/>
      </c>
      <c r="D968" s="46"/>
      <c r="E968" s="47"/>
      <c r="F968" s="47"/>
      <c r="G968" s="48"/>
      <c r="H968" s="49"/>
      <c r="I968" s="50"/>
      <c r="J968" s="48"/>
      <c r="K968" s="49"/>
      <c r="L968" s="50"/>
      <c r="M968" s="43" t="str">
        <f aca="false">IF(OR($L968="",$F968=""),"",IFERROR($L968/INDEX(Cadastro!$E$6:$E$8,MATCH($F968,Cadastro!$B$6:$B$8,0)),""))</f>
        <v/>
      </c>
      <c r="N968" s="43" t="str">
        <f aca="false">IF(OR($L968="",$I968="",$I968=0),"",$L968/$I968)</f>
        <v/>
      </c>
      <c r="O968" s="51"/>
    </row>
    <row r="969" customFormat="false" ht="15" hidden="false" customHeight="false" outlineLevel="0" collapsed="false">
      <c r="A969" s="45"/>
      <c r="B969" s="37" t="str">
        <f aca="false">IF($A969="","",WEEKNUM($A969,2))</f>
        <v/>
      </c>
      <c r="C969" s="37" t="str">
        <f aca="false">IF($A969="","",CHOOSE(WEEKDAY($A969,2),"Seg","Ter","Qua","Qui","Sex","Sáb","Dom"))</f>
        <v/>
      </c>
      <c r="D969" s="46"/>
      <c r="E969" s="47"/>
      <c r="F969" s="47"/>
      <c r="G969" s="48"/>
      <c r="H969" s="49"/>
      <c r="I969" s="50"/>
      <c r="J969" s="48"/>
      <c r="K969" s="49"/>
      <c r="L969" s="50"/>
      <c r="M969" s="43" t="str">
        <f aca="false">IF(OR($L969="",$F969=""),"",IFERROR($L969/INDEX(Cadastro!$E$6:$E$8,MATCH($F969,Cadastro!$B$6:$B$8,0)),""))</f>
        <v/>
      </c>
      <c r="N969" s="43" t="str">
        <f aca="false">IF(OR($L969="",$I969="",$I969=0),"",$L969/$I969)</f>
        <v/>
      </c>
      <c r="O969" s="51"/>
    </row>
    <row r="970" customFormat="false" ht="15" hidden="false" customHeight="false" outlineLevel="0" collapsed="false">
      <c r="A970" s="45"/>
      <c r="B970" s="37" t="str">
        <f aca="false">IF($A970="","",WEEKNUM($A970,2))</f>
        <v/>
      </c>
      <c r="C970" s="37" t="str">
        <f aca="false">IF($A970="","",CHOOSE(WEEKDAY($A970,2),"Seg","Ter","Qua","Qui","Sex","Sáb","Dom"))</f>
        <v/>
      </c>
      <c r="D970" s="46"/>
      <c r="E970" s="47"/>
      <c r="F970" s="47"/>
      <c r="G970" s="48"/>
      <c r="H970" s="49"/>
      <c r="I970" s="50"/>
      <c r="J970" s="48"/>
      <c r="K970" s="49"/>
      <c r="L970" s="50"/>
      <c r="M970" s="43" t="str">
        <f aca="false">IF(OR($L970="",$F970=""),"",IFERROR($L970/INDEX(Cadastro!$E$6:$E$8,MATCH($F970,Cadastro!$B$6:$B$8,0)),""))</f>
        <v/>
      </c>
      <c r="N970" s="43" t="str">
        <f aca="false">IF(OR($L970="",$I970="",$I970=0),"",$L970/$I970)</f>
        <v/>
      </c>
      <c r="O970" s="51"/>
    </row>
    <row r="971" customFormat="false" ht="15" hidden="false" customHeight="false" outlineLevel="0" collapsed="false">
      <c r="A971" s="45"/>
      <c r="B971" s="37" t="str">
        <f aca="false">IF($A971="","",WEEKNUM($A971,2))</f>
        <v/>
      </c>
      <c r="C971" s="37" t="str">
        <f aca="false">IF($A971="","",CHOOSE(WEEKDAY($A971,2),"Seg","Ter","Qua","Qui","Sex","Sáb","Dom"))</f>
        <v/>
      </c>
      <c r="D971" s="46"/>
      <c r="E971" s="47"/>
      <c r="F971" s="47"/>
      <c r="G971" s="48"/>
      <c r="H971" s="49"/>
      <c r="I971" s="50"/>
      <c r="J971" s="48"/>
      <c r="K971" s="49"/>
      <c r="L971" s="50"/>
      <c r="M971" s="43" t="str">
        <f aca="false">IF(OR($L971="",$F971=""),"",IFERROR($L971/INDEX(Cadastro!$E$6:$E$8,MATCH($F971,Cadastro!$B$6:$B$8,0)),""))</f>
        <v/>
      </c>
      <c r="N971" s="43" t="str">
        <f aca="false">IF(OR($L971="",$I971="",$I971=0),"",$L971/$I971)</f>
        <v/>
      </c>
      <c r="O971" s="51"/>
    </row>
    <row r="972" customFormat="false" ht="15" hidden="false" customHeight="false" outlineLevel="0" collapsed="false">
      <c r="A972" s="45"/>
      <c r="B972" s="37" t="str">
        <f aca="false">IF($A972="","",WEEKNUM($A972,2))</f>
        <v/>
      </c>
      <c r="C972" s="37" t="str">
        <f aca="false">IF($A972="","",CHOOSE(WEEKDAY($A972,2),"Seg","Ter","Qua","Qui","Sex","Sáb","Dom"))</f>
        <v/>
      </c>
      <c r="D972" s="46"/>
      <c r="E972" s="47"/>
      <c r="F972" s="47"/>
      <c r="G972" s="48"/>
      <c r="H972" s="49"/>
      <c r="I972" s="50"/>
      <c r="J972" s="48"/>
      <c r="K972" s="49"/>
      <c r="L972" s="50"/>
      <c r="M972" s="43" t="str">
        <f aca="false">IF(OR($L972="",$F972=""),"",IFERROR($L972/INDEX(Cadastro!$E$6:$E$8,MATCH($F972,Cadastro!$B$6:$B$8,0)),""))</f>
        <v/>
      </c>
      <c r="N972" s="43" t="str">
        <f aca="false">IF(OR($L972="",$I972="",$I972=0),"",$L972/$I972)</f>
        <v/>
      </c>
      <c r="O972" s="51"/>
    </row>
    <row r="973" customFormat="false" ht="15" hidden="false" customHeight="false" outlineLevel="0" collapsed="false">
      <c r="A973" s="45"/>
      <c r="B973" s="37" t="str">
        <f aca="false">IF($A973="","",WEEKNUM($A973,2))</f>
        <v/>
      </c>
      <c r="C973" s="37" t="str">
        <f aca="false">IF($A973="","",CHOOSE(WEEKDAY($A973,2),"Seg","Ter","Qua","Qui","Sex","Sáb","Dom"))</f>
        <v/>
      </c>
      <c r="D973" s="46"/>
      <c r="E973" s="47"/>
      <c r="F973" s="47"/>
      <c r="G973" s="48"/>
      <c r="H973" s="49"/>
      <c r="I973" s="50"/>
      <c r="J973" s="48"/>
      <c r="K973" s="49"/>
      <c r="L973" s="50"/>
      <c r="M973" s="43" t="str">
        <f aca="false">IF(OR($L973="",$F973=""),"",IFERROR($L973/INDEX(Cadastro!$E$6:$E$8,MATCH($F973,Cadastro!$B$6:$B$8,0)),""))</f>
        <v/>
      </c>
      <c r="N973" s="43" t="str">
        <f aca="false">IF(OR($L973="",$I973="",$I973=0),"",$L973/$I973)</f>
        <v/>
      </c>
      <c r="O973" s="51"/>
    </row>
    <row r="974" customFormat="false" ht="15" hidden="false" customHeight="false" outlineLevel="0" collapsed="false">
      <c r="A974" s="45"/>
      <c r="B974" s="37" t="str">
        <f aca="false">IF($A974="","",WEEKNUM($A974,2))</f>
        <v/>
      </c>
      <c r="C974" s="37" t="str">
        <f aca="false">IF($A974="","",CHOOSE(WEEKDAY($A974,2),"Seg","Ter","Qua","Qui","Sex","Sáb","Dom"))</f>
        <v/>
      </c>
      <c r="D974" s="46"/>
      <c r="E974" s="47"/>
      <c r="F974" s="47"/>
      <c r="G974" s="48"/>
      <c r="H974" s="49"/>
      <c r="I974" s="50"/>
      <c r="J974" s="48"/>
      <c r="K974" s="49"/>
      <c r="L974" s="50"/>
      <c r="M974" s="43" t="str">
        <f aca="false">IF(OR($L974="",$F974=""),"",IFERROR($L974/INDEX(Cadastro!$E$6:$E$8,MATCH($F974,Cadastro!$B$6:$B$8,0)),""))</f>
        <v/>
      </c>
      <c r="N974" s="43" t="str">
        <f aca="false">IF(OR($L974="",$I974="",$I974=0),"",$L974/$I974)</f>
        <v/>
      </c>
      <c r="O974" s="51"/>
    </row>
    <row r="975" customFormat="false" ht="15" hidden="false" customHeight="false" outlineLevel="0" collapsed="false">
      <c r="A975" s="45"/>
      <c r="B975" s="37" t="str">
        <f aca="false">IF($A975="","",WEEKNUM($A975,2))</f>
        <v/>
      </c>
      <c r="C975" s="37" t="str">
        <f aca="false">IF($A975="","",CHOOSE(WEEKDAY($A975,2),"Seg","Ter","Qua","Qui","Sex","Sáb","Dom"))</f>
        <v/>
      </c>
      <c r="D975" s="46"/>
      <c r="E975" s="47"/>
      <c r="F975" s="47"/>
      <c r="G975" s="48"/>
      <c r="H975" s="49"/>
      <c r="I975" s="50"/>
      <c r="J975" s="48"/>
      <c r="K975" s="49"/>
      <c r="L975" s="50"/>
      <c r="M975" s="43" t="str">
        <f aca="false">IF(OR($L975="",$F975=""),"",IFERROR($L975/INDEX(Cadastro!$E$6:$E$8,MATCH($F975,Cadastro!$B$6:$B$8,0)),""))</f>
        <v/>
      </c>
      <c r="N975" s="43" t="str">
        <f aca="false">IF(OR($L975="",$I975="",$I975=0),"",$L975/$I975)</f>
        <v/>
      </c>
      <c r="O975" s="51"/>
    </row>
    <row r="976" customFormat="false" ht="15" hidden="false" customHeight="false" outlineLevel="0" collapsed="false">
      <c r="A976" s="45"/>
      <c r="B976" s="37" t="str">
        <f aca="false">IF($A976="","",WEEKNUM($A976,2))</f>
        <v/>
      </c>
      <c r="C976" s="37" t="str">
        <f aca="false">IF($A976="","",CHOOSE(WEEKDAY($A976,2),"Seg","Ter","Qua","Qui","Sex","Sáb","Dom"))</f>
        <v/>
      </c>
      <c r="D976" s="46"/>
      <c r="E976" s="47"/>
      <c r="F976" s="47"/>
      <c r="G976" s="48"/>
      <c r="H976" s="49"/>
      <c r="I976" s="50"/>
      <c r="J976" s="48"/>
      <c r="K976" s="49"/>
      <c r="L976" s="50"/>
      <c r="M976" s="43" t="str">
        <f aca="false">IF(OR($L976="",$F976=""),"",IFERROR($L976/INDEX(Cadastro!$E$6:$E$8,MATCH($F976,Cadastro!$B$6:$B$8,0)),""))</f>
        <v/>
      </c>
      <c r="N976" s="43" t="str">
        <f aca="false">IF(OR($L976="",$I976="",$I976=0),"",$L976/$I976)</f>
        <v/>
      </c>
      <c r="O976" s="51"/>
    </row>
    <row r="977" customFormat="false" ht="15" hidden="false" customHeight="false" outlineLevel="0" collapsed="false">
      <c r="A977" s="45"/>
      <c r="B977" s="37" t="str">
        <f aca="false">IF($A977="","",WEEKNUM($A977,2))</f>
        <v/>
      </c>
      <c r="C977" s="37" t="str">
        <f aca="false">IF($A977="","",CHOOSE(WEEKDAY($A977,2),"Seg","Ter","Qua","Qui","Sex","Sáb","Dom"))</f>
        <v/>
      </c>
      <c r="D977" s="46"/>
      <c r="E977" s="47"/>
      <c r="F977" s="47"/>
      <c r="G977" s="48"/>
      <c r="H977" s="49"/>
      <c r="I977" s="50"/>
      <c r="J977" s="48"/>
      <c r="K977" s="49"/>
      <c r="L977" s="50"/>
      <c r="M977" s="43" t="str">
        <f aca="false">IF(OR($L977="",$F977=""),"",IFERROR($L977/INDEX(Cadastro!$E$6:$E$8,MATCH($F977,Cadastro!$B$6:$B$8,0)),""))</f>
        <v/>
      </c>
      <c r="N977" s="43" t="str">
        <f aca="false">IF(OR($L977="",$I977="",$I977=0),"",$L977/$I977)</f>
        <v/>
      </c>
      <c r="O977" s="51"/>
    </row>
    <row r="978" customFormat="false" ht="15" hidden="false" customHeight="false" outlineLevel="0" collapsed="false">
      <c r="A978" s="45"/>
      <c r="B978" s="37" t="str">
        <f aca="false">IF($A978="","",WEEKNUM($A978,2))</f>
        <v/>
      </c>
      <c r="C978" s="37" t="str">
        <f aca="false">IF($A978="","",CHOOSE(WEEKDAY($A978,2),"Seg","Ter","Qua","Qui","Sex","Sáb","Dom"))</f>
        <v/>
      </c>
      <c r="D978" s="46"/>
      <c r="E978" s="47"/>
      <c r="F978" s="47"/>
      <c r="G978" s="48"/>
      <c r="H978" s="49"/>
      <c r="I978" s="50"/>
      <c r="J978" s="48"/>
      <c r="K978" s="49"/>
      <c r="L978" s="50"/>
      <c r="M978" s="43" t="str">
        <f aca="false">IF(OR($L978="",$F978=""),"",IFERROR($L978/INDEX(Cadastro!$E$6:$E$8,MATCH($F978,Cadastro!$B$6:$B$8,0)),""))</f>
        <v/>
      </c>
      <c r="N978" s="43" t="str">
        <f aca="false">IF(OR($L978="",$I978="",$I978=0),"",$L978/$I978)</f>
        <v/>
      </c>
      <c r="O978" s="51"/>
    </row>
    <row r="979" customFormat="false" ht="15" hidden="false" customHeight="false" outlineLevel="0" collapsed="false">
      <c r="A979" s="45"/>
      <c r="B979" s="37" t="str">
        <f aca="false">IF($A979="","",WEEKNUM($A979,2))</f>
        <v/>
      </c>
      <c r="C979" s="37" t="str">
        <f aca="false">IF($A979="","",CHOOSE(WEEKDAY($A979,2),"Seg","Ter","Qua","Qui","Sex","Sáb","Dom"))</f>
        <v/>
      </c>
      <c r="D979" s="46"/>
      <c r="E979" s="47"/>
      <c r="F979" s="47"/>
      <c r="G979" s="48"/>
      <c r="H979" s="49"/>
      <c r="I979" s="50"/>
      <c r="J979" s="48"/>
      <c r="K979" s="49"/>
      <c r="L979" s="50"/>
      <c r="M979" s="43" t="str">
        <f aca="false">IF(OR($L979="",$F979=""),"",IFERROR($L979/INDEX(Cadastro!$E$6:$E$8,MATCH($F979,Cadastro!$B$6:$B$8,0)),""))</f>
        <v/>
      </c>
      <c r="N979" s="43" t="str">
        <f aca="false">IF(OR($L979="",$I979="",$I979=0),"",$L979/$I979)</f>
        <v/>
      </c>
      <c r="O979" s="51"/>
    </row>
    <row r="980" customFormat="false" ht="15" hidden="false" customHeight="false" outlineLevel="0" collapsed="false">
      <c r="A980" s="45"/>
      <c r="B980" s="37" t="str">
        <f aca="false">IF($A980="","",WEEKNUM($A980,2))</f>
        <v/>
      </c>
      <c r="C980" s="37" t="str">
        <f aca="false">IF($A980="","",CHOOSE(WEEKDAY($A980,2),"Seg","Ter","Qua","Qui","Sex","Sáb","Dom"))</f>
        <v/>
      </c>
      <c r="D980" s="46"/>
      <c r="E980" s="47"/>
      <c r="F980" s="47"/>
      <c r="G980" s="48"/>
      <c r="H980" s="49"/>
      <c r="I980" s="50"/>
      <c r="J980" s="48"/>
      <c r="K980" s="49"/>
      <c r="L980" s="50"/>
      <c r="M980" s="43" t="str">
        <f aca="false">IF(OR($L980="",$F980=""),"",IFERROR($L980/INDEX(Cadastro!$E$6:$E$8,MATCH($F980,Cadastro!$B$6:$B$8,0)),""))</f>
        <v/>
      </c>
      <c r="N980" s="43" t="str">
        <f aca="false">IF(OR($L980="",$I980="",$I980=0),"",$L980/$I980)</f>
        <v/>
      </c>
      <c r="O980" s="51"/>
    </row>
    <row r="981" customFormat="false" ht="15" hidden="false" customHeight="false" outlineLevel="0" collapsed="false">
      <c r="A981" s="45"/>
      <c r="B981" s="37" t="str">
        <f aca="false">IF($A981="","",WEEKNUM($A981,2))</f>
        <v/>
      </c>
      <c r="C981" s="37" t="str">
        <f aca="false">IF($A981="","",CHOOSE(WEEKDAY($A981,2),"Seg","Ter","Qua","Qui","Sex","Sáb","Dom"))</f>
        <v/>
      </c>
      <c r="D981" s="46"/>
      <c r="E981" s="47"/>
      <c r="F981" s="47"/>
      <c r="G981" s="48"/>
      <c r="H981" s="49"/>
      <c r="I981" s="50"/>
      <c r="J981" s="48"/>
      <c r="K981" s="49"/>
      <c r="L981" s="50"/>
      <c r="M981" s="43" t="str">
        <f aca="false">IF(OR($L981="",$F981=""),"",IFERROR($L981/INDEX(Cadastro!$E$6:$E$8,MATCH($F981,Cadastro!$B$6:$B$8,0)),""))</f>
        <v/>
      </c>
      <c r="N981" s="43" t="str">
        <f aca="false">IF(OR($L981="",$I981="",$I981=0),"",$L981/$I981)</f>
        <v/>
      </c>
      <c r="O981" s="51"/>
    </row>
    <row r="982" customFormat="false" ht="15" hidden="false" customHeight="false" outlineLevel="0" collapsed="false">
      <c r="A982" s="45"/>
      <c r="B982" s="37" t="str">
        <f aca="false">IF($A982="","",WEEKNUM($A982,2))</f>
        <v/>
      </c>
      <c r="C982" s="37" t="str">
        <f aca="false">IF($A982="","",CHOOSE(WEEKDAY($A982,2),"Seg","Ter","Qua","Qui","Sex","Sáb","Dom"))</f>
        <v/>
      </c>
      <c r="D982" s="46"/>
      <c r="E982" s="47"/>
      <c r="F982" s="47"/>
      <c r="G982" s="48"/>
      <c r="H982" s="49"/>
      <c r="I982" s="50"/>
      <c r="J982" s="48"/>
      <c r="K982" s="49"/>
      <c r="L982" s="50"/>
      <c r="M982" s="43" t="str">
        <f aca="false">IF(OR($L982="",$F982=""),"",IFERROR($L982/INDEX(Cadastro!$E$6:$E$8,MATCH($F982,Cadastro!$B$6:$B$8,0)),""))</f>
        <v/>
      </c>
      <c r="N982" s="43" t="str">
        <f aca="false">IF(OR($L982="",$I982="",$I982=0),"",$L982/$I982)</f>
        <v/>
      </c>
      <c r="O982" s="51"/>
    </row>
    <row r="983" customFormat="false" ht="15" hidden="false" customHeight="false" outlineLevel="0" collapsed="false">
      <c r="A983" s="45"/>
      <c r="B983" s="37" t="str">
        <f aca="false">IF($A983="","",WEEKNUM($A983,2))</f>
        <v/>
      </c>
      <c r="C983" s="37" t="str">
        <f aca="false">IF($A983="","",CHOOSE(WEEKDAY($A983,2),"Seg","Ter","Qua","Qui","Sex","Sáb","Dom"))</f>
        <v/>
      </c>
      <c r="D983" s="46"/>
      <c r="E983" s="47"/>
      <c r="F983" s="47"/>
      <c r="G983" s="48"/>
      <c r="H983" s="49"/>
      <c r="I983" s="50"/>
      <c r="J983" s="48"/>
      <c r="K983" s="49"/>
      <c r="L983" s="50"/>
      <c r="M983" s="43" t="str">
        <f aca="false">IF(OR($L983="",$F983=""),"",IFERROR($L983/INDEX(Cadastro!$E$6:$E$8,MATCH($F983,Cadastro!$B$6:$B$8,0)),""))</f>
        <v/>
      </c>
      <c r="N983" s="43" t="str">
        <f aca="false">IF(OR($L983="",$I983="",$I983=0),"",$L983/$I983)</f>
        <v/>
      </c>
      <c r="O983" s="51"/>
    </row>
    <row r="984" customFormat="false" ht="15" hidden="false" customHeight="false" outlineLevel="0" collapsed="false">
      <c r="A984" s="45"/>
      <c r="B984" s="37" t="str">
        <f aca="false">IF($A984="","",WEEKNUM($A984,2))</f>
        <v/>
      </c>
      <c r="C984" s="37" t="str">
        <f aca="false">IF($A984="","",CHOOSE(WEEKDAY($A984,2),"Seg","Ter","Qua","Qui","Sex","Sáb","Dom"))</f>
        <v/>
      </c>
      <c r="D984" s="46"/>
      <c r="E984" s="47"/>
      <c r="F984" s="47"/>
      <c r="G984" s="48"/>
      <c r="H984" s="49"/>
      <c r="I984" s="50"/>
      <c r="J984" s="48"/>
      <c r="K984" s="49"/>
      <c r="L984" s="50"/>
      <c r="M984" s="43" t="str">
        <f aca="false">IF(OR($L984="",$F984=""),"",IFERROR($L984/INDEX(Cadastro!$E$6:$E$8,MATCH($F984,Cadastro!$B$6:$B$8,0)),""))</f>
        <v/>
      </c>
      <c r="N984" s="43" t="str">
        <f aca="false">IF(OR($L984="",$I984="",$I984=0),"",$L984/$I984)</f>
        <v/>
      </c>
      <c r="O984" s="51"/>
    </row>
    <row r="985" customFormat="false" ht="15" hidden="false" customHeight="false" outlineLevel="0" collapsed="false">
      <c r="A985" s="45"/>
      <c r="B985" s="37" t="str">
        <f aca="false">IF($A985="","",WEEKNUM($A985,2))</f>
        <v/>
      </c>
      <c r="C985" s="37" t="str">
        <f aca="false">IF($A985="","",CHOOSE(WEEKDAY($A985,2),"Seg","Ter","Qua","Qui","Sex","Sáb","Dom"))</f>
        <v/>
      </c>
      <c r="D985" s="46"/>
      <c r="E985" s="47"/>
      <c r="F985" s="47"/>
      <c r="G985" s="48"/>
      <c r="H985" s="49"/>
      <c r="I985" s="50"/>
      <c r="J985" s="48"/>
      <c r="K985" s="49"/>
      <c r="L985" s="50"/>
      <c r="M985" s="43" t="str">
        <f aca="false">IF(OR($L985="",$F985=""),"",IFERROR($L985/INDEX(Cadastro!$E$6:$E$8,MATCH($F985,Cadastro!$B$6:$B$8,0)),""))</f>
        <v/>
      </c>
      <c r="N985" s="43" t="str">
        <f aca="false">IF(OR($L985="",$I985="",$I985=0),"",$L985/$I985)</f>
        <v/>
      </c>
      <c r="O985" s="51"/>
    </row>
    <row r="986" customFormat="false" ht="15" hidden="false" customHeight="false" outlineLevel="0" collapsed="false">
      <c r="A986" s="45"/>
      <c r="B986" s="37" t="str">
        <f aca="false">IF($A986="","",WEEKNUM($A986,2))</f>
        <v/>
      </c>
      <c r="C986" s="37" t="str">
        <f aca="false">IF($A986="","",CHOOSE(WEEKDAY($A986,2),"Seg","Ter","Qua","Qui","Sex","Sáb","Dom"))</f>
        <v/>
      </c>
      <c r="D986" s="46"/>
      <c r="E986" s="47"/>
      <c r="F986" s="47"/>
      <c r="G986" s="48"/>
      <c r="H986" s="49"/>
      <c r="I986" s="50"/>
      <c r="J986" s="48"/>
      <c r="K986" s="49"/>
      <c r="L986" s="50"/>
      <c r="M986" s="43" t="str">
        <f aca="false">IF(OR($L986="",$F986=""),"",IFERROR($L986/INDEX(Cadastro!$E$6:$E$8,MATCH($F986,Cadastro!$B$6:$B$8,0)),""))</f>
        <v/>
      </c>
      <c r="N986" s="43" t="str">
        <f aca="false">IF(OR($L986="",$I986="",$I986=0),"",$L986/$I986)</f>
        <v/>
      </c>
      <c r="O986" s="51"/>
    </row>
    <row r="987" customFormat="false" ht="15" hidden="false" customHeight="false" outlineLevel="0" collapsed="false">
      <c r="A987" s="45"/>
      <c r="B987" s="37" t="str">
        <f aca="false">IF($A987="","",WEEKNUM($A987,2))</f>
        <v/>
      </c>
      <c r="C987" s="37" t="str">
        <f aca="false">IF($A987="","",CHOOSE(WEEKDAY($A987,2),"Seg","Ter","Qua","Qui","Sex","Sáb","Dom"))</f>
        <v/>
      </c>
      <c r="D987" s="46"/>
      <c r="E987" s="47"/>
      <c r="F987" s="47"/>
      <c r="G987" s="48"/>
      <c r="H987" s="49"/>
      <c r="I987" s="50"/>
      <c r="J987" s="48"/>
      <c r="K987" s="49"/>
      <c r="L987" s="50"/>
      <c r="M987" s="43" t="str">
        <f aca="false">IF(OR($L987="",$F987=""),"",IFERROR($L987/INDEX(Cadastro!$E$6:$E$8,MATCH($F987,Cadastro!$B$6:$B$8,0)),""))</f>
        <v/>
      </c>
      <c r="N987" s="43" t="str">
        <f aca="false">IF(OR($L987="",$I987="",$I987=0),"",$L987/$I987)</f>
        <v/>
      </c>
      <c r="O987" s="51"/>
    </row>
    <row r="988" customFormat="false" ht="15" hidden="false" customHeight="false" outlineLevel="0" collapsed="false">
      <c r="A988" s="45"/>
      <c r="B988" s="37" t="str">
        <f aca="false">IF($A988="","",WEEKNUM($A988,2))</f>
        <v/>
      </c>
      <c r="C988" s="37" t="str">
        <f aca="false">IF($A988="","",CHOOSE(WEEKDAY($A988,2),"Seg","Ter","Qua","Qui","Sex","Sáb","Dom"))</f>
        <v/>
      </c>
      <c r="D988" s="46"/>
      <c r="E988" s="47"/>
      <c r="F988" s="47"/>
      <c r="G988" s="48"/>
      <c r="H988" s="49"/>
      <c r="I988" s="50"/>
      <c r="J988" s="48"/>
      <c r="K988" s="49"/>
      <c r="L988" s="50"/>
      <c r="M988" s="43" t="str">
        <f aca="false">IF(OR($L988="",$F988=""),"",IFERROR($L988/INDEX(Cadastro!$E$6:$E$8,MATCH($F988,Cadastro!$B$6:$B$8,0)),""))</f>
        <v/>
      </c>
      <c r="N988" s="43" t="str">
        <f aca="false">IF(OR($L988="",$I988="",$I988=0),"",$L988/$I988)</f>
        <v/>
      </c>
      <c r="O988" s="51"/>
    </row>
    <row r="989" customFormat="false" ht="15" hidden="false" customHeight="false" outlineLevel="0" collapsed="false">
      <c r="A989" s="45"/>
      <c r="B989" s="37" t="str">
        <f aca="false">IF($A989="","",WEEKNUM($A989,2))</f>
        <v/>
      </c>
      <c r="C989" s="37" t="str">
        <f aca="false">IF($A989="","",CHOOSE(WEEKDAY($A989,2),"Seg","Ter","Qua","Qui","Sex","Sáb","Dom"))</f>
        <v/>
      </c>
      <c r="D989" s="46"/>
      <c r="E989" s="47"/>
      <c r="F989" s="47"/>
      <c r="G989" s="48"/>
      <c r="H989" s="49"/>
      <c r="I989" s="50"/>
      <c r="J989" s="48"/>
      <c r="K989" s="49"/>
      <c r="L989" s="50"/>
      <c r="M989" s="43" t="str">
        <f aca="false">IF(OR($L989="",$F989=""),"",IFERROR($L989/INDEX(Cadastro!$E$6:$E$8,MATCH($F989,Cadastro!$B$6:$B$8,0)),""))</f>
        <v/>
      </c>
      <c r="N989" s="43" t="str">
        <f aca="false">IF(OR($L989="",$I989="",$I989=0),"",$L989/$I989)</f>
        <v/>
      </c>
      <c r="O989" s="51"/>
    </row>
    <row r="990" customFormat="false" ht="15" hidden="false" customHeight="false" outlineLevel="0" collapsed="false">
      <c r="A990" s="45"/>
      <c r="B990" s="37" t="str">
        <f aca="false">IF($A990="","",WEEKNUM($A990,2))</f>
        <v/>
      </c>
      <c r="C990" s="37" t="str">
        <f aca="false">IF($A990="","",CHOOSE(WEEKDAY($A990,2),"Seg","Ter","Qua","Qui","Sex","Sáb","Dom"))</f>
        <v/>
      </c>
      <c r="D990" s="46"/>
      <c r="E990" s="47"/>
      <c r="F990" s="47"/>
      <c r="G990" s="48"/>
      <c r="H990" s="49"/>
      <c r="I990" s="50"/>
      <c r="J990" s="48"/>
      <c r="K990" s="49"/>
      <c r="L990" s="50"/>
      <c r="M990" s="43" t="str">
        <f aca="false">IF(OR($L990="",$F990=""),"",IFERROR($L990/INDEX(Cadastro!$E$6:$E$8,MATCH($F990,Cadastro!$B$6:$B$8,0)),""))</f>
        <v/>
      </c>
      <c r="N990" s="43" t="str">
        <f aca="false">IF(OR($L990="",$I990="",$I990=0),"",$L990/$I990)</f>
        <v/>
      </c>
      <c r="O990" s="51"/>
    </row>
    <row r="991" customFormat="false" ht="15" hidden="false" customHeight="false" outlineLevel="0" collapsed="false">
      <c r="A991" s="45"/>
      <c r="B991" s="37" t="str">
        <f aca="false">IF($A991="","",WEEKNUM($A991,2))</f>
        <v/>
      </c>
      <c r="C991" s="37" t="str">
        <f aca="false">IF($A991="","",CHOOSE(WEEKDAY($A991,2),"Seg","Ter","Qua","Qui","Sex","Sáb","Dom"))</f>
        <v/>
      </c>
      <c r="D991" s="46"/>
      <c r="E991" s="47"/>
      <c r="F991" s="47"/>
      <c r="G991" s="48"/>
      <c r="H991" s="49"/>
      <c r="I991" s="50"/>
      <c r="J991" s="48"/>
      <c r="K991" s="49"/>
      <c r="L991" s="50"/>
      <c r="M991" s="43" t="str">
        <f aca="false">IF(OR($L991="",$F991=""),"",IFERROR($L991/INDEX(Cadastro!$E$6:$E$8,MATCH($F991,Cadastro!$B$6:$B$8,0)),""))</f>
        <v/>
      </c>
      <c r="N991" s="43" t="str">
        <f aca="false">IF(OR($L991="",$I991="",$I991=0),"",$L991/$I991)</f>
        <v/>
      </c>
      <c r="O991" s="51"/>
    </row>
    <row r="992" customFormat="false" ht="15" hidden="false" customHeight="false" outlineLevel="0" collapsed="false">
      <c r="A992" s="45"/>
      <c r="B992" s="37" t="str">
        <f aca="false">IF($A992="","",WEEKNUM($A992,2))</f>
        <v/>
      </c>
      <c r="C992" s="37" t="str">
        <f aca="false">IF($A992="","",CHOOSE(WEEKDAY($A992,2),"Seg","Ter","Qua","Qui","Sex","Sáb","Dom"))</f>
        <v/>
      </c>
      <c r="D992" s="46"/>
      <c r="E992" s="47"/>
      <c r="F992" s="47"/>
      <c r="G992" s="48"/>
      <c r="H992" s="49"/>
      <c r="I992" s="50"/>
      <c r="J992" s="48"/>
      <c r="K992" s="49"/>
      <c r="L992" s="50"/>
      <c r="M992" s="43" t="str">
        <f aca="false">IF(OR($L992="",$F992=""),"",IFERROR($L992/INDEX(Cadastro!$E$6:$E$8,MATCH($F992,Cadastro!$B$6:$B$8,0)),""))</f>
        <v/>
      </c>
      <c r="N992" s="43" t="str">
        <f aca="false">IF(OR($L992="",$I992="",$I992=0),"",$L992/$I992)</f>
        <v/>
      </c>
      <c r="O992" s="51"/>
    </row>
    <row r="993" customFormat="false" ht="15" hidden="false" customHeight="false" outlineLevel="0" collapsed="false">
      <c r="A993" s="45"/>
      <c r="B993" s="37" t="str">
        <f aca="false">IF($A993="","",WEEKNUM($A993,2))</f>
        <v/>
      </c>
      <c r="C993" s="37" t="str">
        <f aca="false">IF($A993="","",CHOOSE(WEEKDAY($A993,2),"Seg","Ter","Qua","Qui","Sex","Sáb","Dom"))</f>
        <v/>
      </c>
      <c r="D993" s="46"/>
      <c r="E993" s="47"/>
      <c r="F993" s="47"/>
      <c r="G993" s="48"/>
      <c r="H993" s="49"/>
      <c r="I993" s="50"/>
      <c r="J993" s="48"/>
      <c r="K993" s="49"/>
      <c r="L993" s="50"/>
      <c r="M993" s="43" t="str">
        <f aca="false">IF(OR($L993="",$F993=""),"",IFERROR($L993/INDEX(Cadastro!$E$6:$E$8,MATCH($F993,Cadastro!$B$6:$B$8,0)),""))</f>
        <v/>
      </c>
      <c r="N993" s="43" t="str">
        <f aca="false">IF(OR($L993="",$I993="",$I993=0),"",$L993/$I993)</f>
        <v/>
      </c>
      <c r="O993" s="51"/>
    </row>
    <row r="994" customFormat="false" ht="15" hidden="false" customHeight="false" outlineLevel="0" collapsed="false">
      <c r="A994" s="45"/>
      <c r="B994" s="37" t="str">
        <f aca="false">IF($A994="","",WEEKNUM($A994,2))</f>
        <v/>
      </c>
      <c r="C994" s="37" t="str">
        <f aca="false">IF($A994="","",CHOOSE(WEEKDAY($A994,2),"Seg","Ter","Qua","Qui","Sex","Sáb","Dom"))</f>
        <v/>
      </c>
      <c r="D994" s="46"/>
      <c r="E994" s="47"/>
      <c r="F994" s="47"/>
      <c r="G994" s="48"/>
      <c r="H994" s="49"/>
      <c r="I994" s="50"/>
      <c r="J994" s="48"/>
      <c r="K994" s="49"/>
      <c r="L994" s="50"/>
      <c r="M994" s="43" t="str">
        <f aca="false">IF(OR($L994="",$F994=""),"",IFERROR($L994/INDEX(Cadastro!$E$6:$E$8,MATCH($F994,Cadastro!$B$6:$B$8,0)),""))</f>
        <v/>
      </c>
      <c r="N994" s="43" t="str">
        <f aca="false">IF(OR($L994="",$I994="",$I994=0),"",$L994/$I994)</f>
        <v/>
      </c>
      <c r="O994" s="51"/>
    </row>
    <row r="995" customFormat="false" ht="15" hidden="false" customHeight="false" outlineLevel="0" collapsed="false">
      <c r="A995" s="45"/>
      <c r="B995" s="37" t="str">
        <f aca="false">IF($A995="","",WEEKNUM($A995,2))</f>
        <v/>
      </c>
      <c r="C995" s="37" t="str">
        <f aca="false">IF($A995="","",CHOOSE(WEEKDAY($A995,2),"Seg","Ter","Qua","Qui","Sex","Sáb","Dom"))</f>
        <v/>
      </c>
      <c r="D995" s="46"/>
      <c r="E995" s="47"/>
      <c r="F995" s="47"/>
      <c r="G995" s="48"/>
      <c r="H995" s="49"/>
      <c r="I995" s="50"/>
      <c r="J995" s="48"/>
      <c r="K995" s="49"/>
      <c r="L995" s="50"/>
      <c r="M995" s="43" t="str">
        <f aca="false">IF(OR($L995="",$F995=""),"",IFERROR($L995/INDEX(Cadastro!$E$6:$E$8,MATCH($F995,Cadastro!$B$6:$B$8,0)),""))</f>
        <v/>
      </c>
      <c r="N995" s="43" t="str">
        <f aca="false">IF(OR($L995="",$I995="",$I995=0),"",$L995/$I995)</f>
        <v/>
      </c>
      <c r="O995" s="51"/>
    </row>
    <row r="996" customFormat="false" ht="15" hidden="false" customHeight="false" outlineLevel="0" collapsed="false">
      <c r="A996" s="45"/>
      <c r="B996" s="37" t="str">
        <f aca="false">IF($A996="","",WEEKNUM($A996,2))</f>
        <v/>
      </c>
      <c r="C996" s="37" t="str">
        <f aca="false">IF($A996="","",CHOOSE(WEEKDAY($A996,2),"Seg","Ter","Qua","Qui","Sex","Sáb","Dom"))</f>
        <v/>
      </c>
      <c r="D996" s="46"/>
      <c r="E996" s="47"/>
      <c r="F996" s="47"/>
      <c r="G996" s="48"/>
      <c r="H996" s="49"/>
      <c r="I996" s="50"/>
      <c r="J996" s="48"/>
      <c r="K996" s="49"/>
      <c r="L996" s="50"/>
      <c r="M996" s="43" t="str">
        <f aca="false">IF(OR($L996="",$F996=""),"",IFERROR($L996/INDEX(Cadastro!$E$6:$E$8,MATCH($F996,Cadastro!$B$6:$B$8,0)),""))</f>
        <v/>
      </c>
      <c r="N996" s="43" t="str">
        <f aca="false">IF(OR($L996="",$I996="",$I996=0),"",$L996/$I996)</f>
        <v/>
      </c>
      <c r="O996" s="51"/>
    </row>
    <row r="997" customFormat="false" ht="15" hidden="false" customHeight="false" outlineLevel="0" collapsed="false">
      <c r="A997" s="45"/>
      <c r="B997" s="37" t="str">
        <f aca="false">IF($A997="","",WEEKNUM($A997,2))</f>
        <v/>
      </c>
      <c r="C997" s="37" t="str">
        <f aca="false">IF($A997="","",CHOOSE(WEEKDAY($A997,2),"Seg","Ter","Qua","Qui","Sex","Sáb","Dom"))</f>
        <v/>
      </c>
      <c r="D997" s="46"/>
      <c r="E997" s="47"/>
      <c r="F997" s="47"/>
      <c r="G997" s="48"/>
      <c r="H997" s="49"/>
      <c r="I997" s="50"/>
      <c r="J997" s="48"/>
      <c r="K997" s="49"/>
      <c r="L997" s="50"/>
      <c r="M997" s="43" t="str">
        <f aca="false">IF(OR($L997="",$F997=""),"",IFERROR($L997/INDEX(Cadastro!$E$6:$E$8,MATCH($F997,Cadastro!$B$6:$B$8,0)),""))</f>
        <v/>
      </c>
      <c r="N997" s="43" t="str">
        <f aca="false">IF(OR($L997="",$I997="",$I997=0),"",$L997/$I997)</f>
        <v/>
      </c>
      <c r="O997" s="51"/>
    </row>
    <row r="998" customFormat="false" ht="15" hidden="false" customHeight="false" outlineLevel="0" collapsed="false">
      <c r="A998" s="45"/>
      <c r="B998" s="37" t="str">
        <f aca="false">IF($A998="","",WEEKNUM($A998,2))</f>
        <v/>
      </c>
      <c r="C998" s="37" t="str">
        <f aca="false">IF($A998="","",CHOOSE(WEEKDAY($A998,2),"Seg","Ter","Qua","Qui","Sex","Sáb","Dom"))</f>
        <v/>
      </c>
      <c r="D998" s="46"/>
      <c r="E998" s="47"/>
      <c r="F998" s="47"/>
      <c r="G998" s="48"/>
      <c r="H998" s="49"/>
      <c r="I998" s="50"/>
      <c r="J998" s="48"/>
      <c r="K998" s="49"/>
      <c r="L998" s="50"/>
      <c r="M998" s="43" t="str">
        <f aca="false">IF(OR($L998="",$F998=""),"",IFERROR($L998/INDEX(Cadastro!$E$6:$E$8,MATCH($F998,Cadastro!$B$6:$B$8,0)),""))</f>
        <v/>
      </c>
      <c r="N998" s="43" t="str">
        <f aca="false">IF(OR($L998="",$I998="",$I998=0),"",$L998/$I998)</f>
        <v/>
      </c>
      <c r="O998" s="51"/>
    </row>
    <row r="999" customFormat="false" ht="15" hidden="false" customHeight="false" outlineLevel="0" collapsed="false">
      <c r="A999" s="45"/>
      <c r="B999" s="37" t="str">
        <f aca="false">IF($A999="","",WEEKNUM($A999,2))</f>
        <v/>
      </c>
      <c r="C999" s="37" t="str">
        <f aca="false">IF($A999="","",CHOOSE(WEEKDAY($A999,2),"Seg","Ter","Qua","Qui","Sex","Sáb","Dom"))</f>
        <v/>
      </c>
      <c r="D999" s="46"/>
      <c r="E999" s="47"/>
      <c r="F999" s="47"/>
      <c r="G999" s="48"/>
      <c r="H999" s="49"/>
      <c r="I999" s="50"/>
      <c r="J999" s="48"/>
      <c r="K999" s="49"/>
      <c r="L999" s="50"/>
      <c r="M999" s="43" t="str">
        <f aca="false">IF(OR($L999="",$F999=""),"",IFERROR($L999/INDEX(Cadastro!$E$6:$E$8,MATCH($F999,Cadastro!$B$6:$B$8,0)),""))</f>
        <v/>
      </c>
      <c r="N999" s="43" t="str">
        <f aca="false">IF(OR($L999="",$I999="",$I999=0),"",$L999/$I999)</f>
        <v/>
      </c>
      <c r="O999" s="51"/>
    </row>
    <row r="1000" customFormat="false" ht="15" hidden="false" customHeight="false" outlineLevel="0" collapsed="false">
      <c r="A1000" s="45"/>
      <c r="B1000" s="37" t="str">
        <f aca="false">IF($A1000="","",WEEKNUM($A1000,2))</f>
        <v/>
      </c>
      <c r="C1000" s="37" t="str">
        <f aca="false">IF($A1000="","",CHOOSE(WEEKDAY($A1000,2),"Seg","Ter","Qua","Qui","Sex","Sáb","Dom"))</f>
        <v/>
      </c>
      <c r="D1000" s="46"/>
      <c r="E1000" s="47"/>
      <c r="F1000" s="47"/>
      <c r="G1000" s="48"/>
      <c r="H1000" s="49"/>
      <c r="I1000" s="50"/>
      <c r="J1000" s="48"/>
      <c r="K1000" s="49"/>
      <c r="L1000" s="50"/>
      <c r="M1000" s="43" t="str">
        <f aca="false">IF(OR($L1000="",$F1000=""),"",IFERROR($L1000/INDEX(Cadastro!$E$6:$E$8,MATCH($F1000,Cadastro!$B$6:$B$8,0)),""))</f>
        <v/>
      </c>
      <c r="N1000" s="43" t="str">
        <f aca="false">IF(OR($L1000="",$I1000="",$I1000=0),"",$L1000/$I1000)</f>
        <v/>
      </c>
      <c r="O1000" s="51"/>
    </row>
    <row r="1001" customFormat="false" ht="15" hidden="false" customHeight="false" outlineLevel="0" collapsed="false">
      <c r="A1001" s="45"/>
      <c r="B1001" s="37" t="str">
        <f aca="false">IF($A1001="","",WEEKNUM($A1001,2))</f>
        <v/>
      </c>
      <c r="C1001" s="37" t="str">
        <f aca="false">IF($A1001="","",CHOOSE(WEEKDAY($A1001,2),"Seg","Ter","Qua","Qui","Sex","Sáb","Dom"))</f>
        <v/>
      </c>
      <c r="D1001" s="46"/>
      <c r="E1001" s="47"/>
      <c r="F1001" s="47"/>
      <c r="G1001" s="48"/>
      <c r="H1001" s="49"/>
      <c r="I1001" s="50"/>
      <c r="J1001" s="48"/>
      <c r="K1001" s="49"/>
      <c r="L1001" s="50"/>
      <c r="M1001" s="43" t="str">
        <f aca="false">IF(OR($L1001="",$F1001=""),"",IFERROR($L1001/INDEX(Cadastro!$E$6:$E$8,MATCH($F1001,Cadastro!$B$6:$B$8,0)),""))</f>
        <v/>
      </c>
      <c r="N1001" s="43" t="str">
        <f aca="false">IF(OR($L1001="",$I1001="",$I1001=0),"",$L1001/$I1001)</f>
        <v/>
      </c>
      <c r="O1001" s="51"/>
    </row>
    <row r="1002" customFormat="false" ht="15" hidden="false" customHeight="false" outlineLevel="0" collapsed="false">
      <c r="A1002" s="45"/>
      <c r="B1002" s="37" t="str">
        <f aca="false">IF($A1002="","",WEEKNUM($A1002,2))</f>
        <v/>
      </c>
      <c r="C1002" s="37" t="str">
        <f aca="false">IF($A1002="","",CHOOSE(WEEKDAY($A1002,2),"Seg","Ter","Qua","Qui","Sex","Sáb","Dom"))</f>
        <v/>
      </c>
      <c r="D1002" s="46"/>
      <c r="E1002" s="47"/>
      <c r="F1002" s="47"/>
      <c r="G1002" s="48"/>
      <c r="H1002" s="49"/>
      <c r="I1002" s="50"/>
      <c r="J1002" s="48"/>
      <c r="K1002" s="49"/>
      <c r="L1002" s="50"/>
      <c r="M1002" s="43" t="str">
        <f aca="false">IF(OR($L1002="",$F1002=""),"",IFERROR($L1002/INDEX(Cadastro!$E$6:$E$8,MATCH($F1002,Cadastro!$B$6:$B$8,0)),""))</f>
        <v/>
      </c>
      <c r="N1002" s="43" t="str">
        <f aca="false">IF(OR($L1002="",$I1002="",$I1002=0),"",$L1002/$I1002)</f>
        <v/>
      </c>
      <c r="O1002" s="51"/>
    </row>
    <row r="1003" customFormat="false" ht="15" hidden="false" customHeight="false" outlineLevel="0" collapsed="false">
      <c r="A1003" s="45"/>
      <c r="B1003" s="37" t="str">
        <f aca="false">IF($A1003="","",WEEKNUM($A1003,2))</f>
        <v/>
      </c>
      <c r="C1003" s="37" t="str">
        <f aca="false">IF($A1003="","",CHOOSE(WEEKDAY($A1003,2),"Seg","Ter","Qua","Qui","Sex","Sáb","Dom"))</f>
        <v/>
      </c>
      <c r="D1003" s="46"/>
      <c r="E1003" s="47"/>
      <c r="F1003" s="47"/>
      <c r="G1003" s="48"/>
      <c r="H1003" s="49"/>
      <c r="I1003" s="50"/>
      <c r="J1003" s="48"/>
      <c r="K1003" s="49"/>
      <c r="L1003" s="50"/>
      <c r="M1003" s="43" t="str">
        <f aca="false">IF(OR($L1003="",$F1003=""),"",IFERROR($L1003/INDEX(Cadastro!$E$6:$E$8,MATCH($F1003,Cadastro!$B$6:$B$8,0)),""))</f>
        <v/>
      </c>
      <c r="N1003" s="43" t="str">
        <f aca="false">IF(OR($L1003="",$I1003="",$I1003=0),"",$L1003/$I1003)</f>
        <v/>
      </c>
      <c r="O1003" s="51"/>
    </row>
    <row r="1004" customFormat="false" ht="15" hidden="false" customHeight="false" outlineLevel="0" collapsed="false">
      <c r="A1004" s="45"/>
      <c r="B1004" s="37" t="str">
        <f aca="false">IF($A1004="","",WEEKNUM($A1004,2))</f>
        <v/>
      </c>
      <c r="C1004" s="37" t="str">
        <f aca="false">IF($A1004="","",CHOOSE(WEEKDAY($A1004,2),"Seg","Ter","Qua","Qui","Sex","Sáb","Dom"))</f>
        <v/>
      </c>
      <c r="D1004" s="46"/>
      <c r="E1004" s="47"/>
      <c r="F1004" s="47"/>
      <c r="G1004" s="48"/>
      <c r="H1004" s="49"/>
      <c r="I1004" s="50"/>
      <c r="J1004" s="48"/>
      <c r="K1004" s="49"/>
      <c r="L1004" s="50"/>
      <c r="M1004" s="43" t="str">
        <f aca="false">IF(OR($L1004="",$F1004=""),"",IFERROR($L1004/INDEX(Cadastro!$E$6:$E$8,MATCH($F1004,Cadastro!$B$6:$B$8,0)),""))</f>
        <v/>
      </c>
      <c r="N1004" s="43" t="str">
        <f aca="false">IF(OR($L1004="",$I1004="",$I1004=0),"",$L1004/$I1004)</f>
        <v/>
      </c>
      <c r="O1004" s="51"/>
    </row>
    <row r="1005" customFormat="false" ht="15" hidden="false" customHeight="false" outlineLevel="0" collapsed="false">
      <c r="A1005" s="45"/>
      <c r="B1005" s="37" t="str">
        <f aca="false">IF($A1005="","",WEEKNUM($A1005,2))</f>
        <v/>
      </c>
      <c r="C1005" s="37" t="str">
        <f aca="false">IF($A1005="","",CHOOSE(WEEKDAY($A1005,2),"Seg","Ter","Qua","Qui","Sex","Sáb","Dom"))</f>
        <v/>
      </c>
      <c r="D1005" s="46"/>
      <c r="E1005" s="47"/>
      <c r="F1005" s="47"/>
      <c r="G1005" s="48"/>
      <c r="H1005" s="49"/>
      <c r="I1005" s="50"/>
      <c r="J1005" s="48"/>
      <c r="K1005" s="49"/>
      <c r="L1005" s="50"/>
      <c r="M1005" s="43" t="str">
        <f aca="false">IF(OR($L1005="",$F1005=""),"",IFERROR($L1005/INDEX(Cadastro!$E$6:$E$8,MATCH($F1005,Cadastro!$B$6:$B$8,0)),""))</f>
        <v/>
      </c>
      <c r="N1005" s="43" t="str">
        <f aca="false">IF(OR($L1005="",$I1005="",$I1005=0),"",$L1005/$I1005)</f>
        <v/>
      </c>
      <c r="O1005" s="51"/>
    </row>
    <row r="1006" customFormat="false" ht="15" hidden="false" customHeight="false" outlineLevel="0" collapsed="false">
      <c r="A1006" s="45"/>
      <c r="B1006" s="37" t="str">
        <f aca="false">IF($A1006="","",WEEKNUM($A1006,2))</f>
        <v/>
      </c>
      <c r="C1006" s="37" t="str">
        <f aca="false">IF($A1006="","",CHOOSE(WEEKDAY($A1006,2),"Seg","Ter","Qua","Qui","Sex","Sáb","Dom"))</f>
        <v/>
      </c>
      <c r="D1006" s="46"/>
      <c r="E1006" s="47"/>
      <c r="F1006" s="47"/>
      <c r="G1006" s="48"/>
      <c r="H1006" s="49"/>
      <c r="I1006" s="50"/>
      <c r="J1006" s="48"/>
      <c r="K1006" s="49"/>
      <c r="L1006" s="50"/>
      <c r="M1006" s="43" t="str">
        <f aca="false">IF(OR($L1006="",$F1006=""),"",IFERROR($L1006/INDEX(Cadastro!$E$6:$E$8,MATCH($F1006,Cadastro!$B$6:$B$8,0)),""))</f>
        <v/>
      </c>
      <c r="N1006" s="43" t="str">
        <f aca="false">IF(OR($L1006="",$I1006="",$I1006=0),"",$L1006/$I1006)</f>
        <v/>
      </c>
      <c r="O1006" s="51"/>
    </row>
    <row r="1007" customFormat="false" ht="15" hidden="false" customHeight="false" outlineLevel="0" collapsed="false">
      <c r="A1007" s="45"/>
      <c r="B1007" s="37" t="str">
        <f aca="false">IF($A1007="","",WEEKNUM($A1007,2))</f>
        <v/>
      </c>
      <c r="C1007" s="37" t="str">
        <f aca="false">IF($A1007="","",CHOOSE(WEEKDAY($A1007,2),"Seg","Ter","Qua","Qui","Sex","Sáb","Dom"))</f>
        <v/>
      </c>
      <c r="D1007" s="46"/>
      <c r="E1007" s="47"/>
      <c r="F1007" s="47"/>
      <c r="G1007" s="48"/>
      <c r="H1007" s="49"/>
      <c r="I1007" s="50"/>
      <c r="J1007" s="48"/>
      <c r="K1007" s="49"/>
      <c r="L1007" s="50"/>
      <c r="M1007" s="43" t="str">
        <f aca="false">IF(OR($L1007="",$F1007=""),"",IFERROR($L1007/INDEX(Cadastro!$E$6:$E$8,MATCH($F1007,Cadastro!$B$6:$B$8,0)),""))</f>
        <v/>
      </c>
      <c r="N1007" s="43" t="str">
        <f aca="false">IF(OR($L1007="",$I1007="",$I1007=0),"",$L1007/$I1007)</f>
        <v/>
      </c>
      <c r="O1007" s="51"/>
    </row>
    <row r="1008" customFormat="false" ht="15" hidden="false" customHeight="false" outlineLevel="0" collapsed="false">
      <c r="A1008" s="45"/>
      <c r="B1008" s="37" t="str">
        <f aca="false">IF($A1008="","",WEEKNUM($A1008,2))</f>
        <v/>
      </c>
      <c r="C1008" s="37" t="str">
        <f aca="false">IF($A1008="","",CHOOSE(WEEKDAY($A1008,2),"Seg","Ter","Qua","Qui","Sex","Sáb","Dom"))</f>
        <v/>
      </c>
      <c r="D1008" s="46"/>
      <c r="E1008" s="47"/>
      <c r="F1008" s="47"/>
      <c r="G1008" s="48"/>
      <c r="H1008" s="49"/>
      <c r="I1008" s="50"/>
      <c r="J1008" s="48"/>
      <c r="K1008" s="49"/>
      <c r="L1008" s="50"/>
      <c r="M1008" s="43" t="str">
        <f aca="false">IF(OR($L1008="",$F1008=""),"",IFERROR($L1008/INDEX(Cadastro!$E$6:$E$8,MATCH($F1008,Cadastro!$B$6:$B$8,0)),""))</f>
        <v/>
      </c>
      <c r="N1008" s="43" t="str">
        <f aca="false">IF(OR($L1008="",$I1008="",$I1008=0),"",$L1008/$I1008)</f>
        <v/>
      </c>
      <c r="O1008" s="51"/>
    </row>
    <row r="1009" customFormat="false" ht="15" hidden="false" customHeight="false" outlineLevel="0" collapsed="false">
      <c r="A1009" s="45"/>
      <c r="B1009" s="37" t="str">
        <f aca="false">IF($A1009="","",WEEKNUM($A1009,2))</f>
        <v/>
      </c>
      <c r="C1009" s="37" t="str">
        <f aca="false">IF($A1009="","",CHOOSE(WEEKDAY($A1009,2),"Seg","Ter","Qua","Qui","Sex","Sáb","Dom"))</f>
        <v/>
      </c>
      <c r="D1009" s="46"/>
      <c r="E1009" s="47"/>
      <c r="F1009" s="47"/>
      <c r="G1009" s="48"/>
      <c r="H1009" s="49"/>
      <c r="I1009" s="50"/>
      <c r="J1009" s="48"/>
      <c r="K1009" s="49"/>
      <c r="L1009" s="50"/>
      <c r="M1009" s="43" t="str">
        <f aca="false">IF(OR($L1009="",$F1009=""),"",IFERROR($L1009/INDEX(Cadastro!$E$6:$E$8,MATCH($F1009,Cadastro!$B$6:$B$8,0)),""))</f>
        <v/>
      </c>
      <c r="N1009" s="43" t="str">
        <f aca="false">IF(OR($L1009="",$I1009="",$I1009=0),"",$L1009/$I1009)</f>
        <v/>
      </c>
      <c r="O1009" s="51"/>
    </row>
    <row r="1010" customFormat="false" ht="15" hidden="false" customHeight="false" outlineLevel="0" collapsed="false">
      <c r="A1010" s="45"/>
      <c r="B1010" s="37" t="str">
        <f aca="false">IF($A1010="","",WEEKNUM($A1010,2))</f>
        <v/>
      </c>
      <c r="C1010" s="37" t="str">
        <f aca="false">IF($A1010="","",CHOOSE(WEEKDAY($A1010,2),"Seg","Ter","Qua","Qui","Sex","Sáb","Dom"))</f>
        <v/>
      </c>
      <c r="D1010" s="46"/>
      <c r="E1010" s="47"/>
      <c r="F1010" s="47"/>
      <c r="G1010" s="48"/>
      <c r="H1010" s="49"/>
      <c r="I1010" s="50"/>
      <c r="J1010" s="48"/>
      <c r="K1010" s="49"/>
      <c r="L1010" s="50"/>
      <c r="M1010" s="43" t="str">
        <f aca="false">IF(OR($L1010="",$F1010=""),"",IFERROR($L1010/INDEX(Cadastro!$E$6:$E$8,MATCH($F1010,Cadastro!$B$6:$B$8,0)),""))</f>
        <v/>
      </c>
      <c r="N1010" s="43" t="str">
        <f aca="false">IF(OR($L1010="",$I1010="",$I1010=0),"",$L1010/$I1010)</f>
        <v/>
      </c>
      <c r="O1010" s="51"/>
    </row>
    <row r="1011" customFormat="false" ht="15" hidden="false" customHeight="false" outlineLevel="0" collapsed="false">
      <c r="A1011" s="45"/>
      <c r="B1011" s="37" t="str">
        <f aca="false">IF($A1011="","",WEEKNUM($A1011,2))</f>
        <v/>
      </c>
      <c r="C1011" s="37" t="str">
        <f aca="false">IF($A1011="","",CHOOSE(WEEKDAY($A1011,2),"Seg","Ter","Qua","Qui","Sex","Sáb","Dom"))</f>
        <v/>
      </c>
      <c r="D1011" s="46"/>
      <c r="E1011" s="47"/>
      <c r="F1011" s="47"/>
      <c r="G1011" s="48"/>
      <c r="H1011" s="49"/>
      <c r="I1011" s="50"/>
      <c r="J1011" s="48"/>
      <c r="K1011" s="49"/>
      <c r="L1011" s="50"/>
      <c r="M1011" s="43" t="str">
        <f aca="false">IF(OR($L1011="",$F1011=""),"",IFERROR($L1011/INDEX(Cadastro!$E$6:$E$8,MATCH($F1011,Cadastro!$B$6:$B$8,0)),""))</f>
        <v/>
      </c>
      <c r="N1011" s="43" t="str">
        <f aca="false">IF(OR($L1011="",$I1011="",$I1011=0),"",$L1011/$I1011)</f>
        <v/>
      </c>
      <c r="O1011" s="51"/>
    </row>
    <row r="1012" customFormat="false" ht="15" hidden="false" customHeight="false" outlineLevel="0" collapsed="false">
      <c r="A1012" s="45"/>
      <c r="B1012" s="37" t="str">
        <f aca="false">IF($A1012="","",WEEKNUM($A1012,2))</f>
        <v/>
      </c>
      <c r="C1012" s="37" t="str">
        <f aca="false">IF($A1012="","",CHOOSE(WEEKDAY($A1012,2),"Seg","Ter","Qua","Qui","Sex","Sáb","Dom"))</f>
        <v/>
      </c>
      <c r="D1012" s="46"/>
      <c r="E1012" s="47"/>
      <c r="F1012" s="47"/>
      <c r="G1012" s="48"/>
      <c r="H1012" s="49"/>
      <c r="I1012" s="50"/>
      <c r="J1012" s="48"/>
      <c r="K1012" s="49"/>
      <c r="L1012" s="50"/>
      <c r="M1012" s="43" t="str">
        <f aca="false">IF(OR($L1012="",$F1012=""),"",IFERROR($L1012/INDEX(Cadastro!$E$6:$E$8,MATCH($F1012,Cadastro!$B$6:$B$8,0)),""))</f>
        <v/>
      </c>
      <c r="N1012" s="43" t="str">
        <f aca="false">IF(OR($L1012="",$I1012="",$I1012=0),"",$L1012/$I1012)</f>
        <v/>
      </c>
      <c r="O1012" s="51"/>
    </row>
    <row r="1013" customFormat="false" ht="15" hidden="false" customHeight="false" outlineLevel="0" collapsed="false">
      <c r="A1013" s="45"/>
      <c r="B1013" s="37" t="str">
        <f aca="false">IF($A1013="","",WEEKNUM($A1013,2))</f>
        <v/>
      </c>
      <c r="C1013" s="37" t="str">
        <f aca="false">IF($A1013="","",CHOOSE(WEEKDAY($A1013,2),"Seg","Ter","Qua","Qui","Sex","Sáb","Dom"))</f>
        <v/>
      </c>
      <c r="D1013" s="46"/>
      <c r="E1013" s="47"/>
      <c r="F1013" s="47"/>
      <c r="G1013" s="48"/>
      <c r="H1013" s="49"/>
      <c r="I1013" s="50"/>
      <c r="J1013" s="48"/>
      <c r="K1013" s="49"/>
      <c r="L1013" s="50"/>
      <c r="M1013" s="43" t="str">
        <f aca="false">IF(OR($L1013="",$F1013=""),"",IFERROR($L1013/INDEX(Cadastro!$E$6:$E$8,MATCH($F1013,Cadastro!$B$6:$B$8,0)),""))</f>
        <v/>
      </c>
      <c r="N1013" s="43" t="str">
        <f aca="false">IF(OR($L1013="",$I1013="",$I1013=0),"",$L1013/$I1013)</f>
        <v/>
      </c>
      <c r="O1013" s="51"/>
    </row>
    <row r="1014" customFormat="false" ht="15" hidden="false" customHeight="false" outlineLevel="0" collapsed="false">
      <c r="A1014" s="45"/>
      <c r="B1014" s="37" t="str">
        <f aca="false">IF($A1014="","",WEEKNUM($A1014,2))</f>
        <v/>
      </c>
      <c r="C1014" s="37" t="str">
        <f aca="false">IF($A1014="","",CHOOSE(WEEKDAY($A1014,2),"Seg","Ter","Qua","Qui","Sex","Sáb","Dom"))</f>
        <v/>
      </c>
      <c r="D1014" s="46"/>
      <c r="E1014" s="47"/>
      <c r="F1014" s="47"/>
      <c r="G1014" s="48"/>
      <c r="H1014" s="49"/>
      <c r="I1014" s="50"/>
      <c r="J1014" s="48"/>
      <c r="K1014" s="49"/>
      <c r="L1014" s="50"/>
      <c r="M1014" s="43" t="str">
        <f aca="false">IF(OR($L1014="",$F1014=""),"",IFERROR($L1014/INDEX(Cadastro!$E$6:$E$8,MATCH($F1014,Cadastro!$B$6:$B$8,0)),""))</f>
        <v/>
      </c>
      <c r="N1014" s="43" t="str">
        <f aca="false">IF(OR($L1014="",$I1014="",$I1014=0),"",$L1014/$I1014)</f>
        <v/>
      </c>
      <c r="O1014" s="51"/>
    </row>
    <row r="1015" customFormat="false" ht="15" hidden="false" customHeight="false" outlineLevel="0" collapsed="false">
      <c r="A1015" s="45"/>
      <c r="B1015" s="37" t="str">
        <f aca="false">IF($A1015="","",WEEKNUM($A1015,2))</f>
        <v/>
      </c>
      <c r="C1015" s="37" t="str">
        <f aca="false">IF($A1015="","",CHOOSE(WEEKDAY($A1015,2),"Seg","Ter","Qua","Qui","Sex","Sáb","Dom"))</f>
        <v/>
      </c>
      <c r="D1015" s="46"/>
      <c r="E1015" s="47"/>
      <c r="F1015" s="47"/>
      <c r="G1015" s="48"/>
      <c r="H1015" s="49"/>
      <c r="I1015" s="50"/>
      <c r="J1015" s="48"/>
      <c r="K1015" s="49"/>
      <c r="L1015" s="50"/>
      <c r="M1015" s="43" t="str">
        <f aca="false">IF(OR($L1015="",$F1015=""),"",IFERROR($L1015/INDEX(Cadastro!$E$6:$E$8,MATCH($F1015,Cadastro!$B$6:$B$8,0)),""))</f>
        <v/>
      </c>
      <c r="N1015" s="43" t="str">
        <f aca="false">IF(OR($L1015="",$I1015="",$I1015=0),"",$L1015/$I1015)</f>
        <v/>
      </c>
      <c r="O1015" s="51"/>
    </row>
    <row r="1016" customFormat="false" ht="15" hidden="false" customHeight="false" outlineLevel="0" collapsed="false">
      <c r="A1016" s="45"/>
      <c r="B1016" s="37" t="str">
        <f aca="false">IF($A1016="","",WEEKNUM($A1016,2))</f>
        <v/>
      </c>
      <c r="C1016" s="37" t="str">
        <f aca="false">IF($A1016="","",CHOOSE(WEEKDAY($A1016,2),"Seg","Ter","Qua","Qui","Sex","Sáb","Dom"))</f>
        <v/>
      </c>
      <c r="D1016" s="46"/>
      <c r="E1016" s="47"/>
      <c r="F1016" s="47"/>
      <c r="G1016" s="48"/>
      <c r="H1016" s="49"/>
      <c r="I1016" s="50"/>
      <c r="J1016" s="48"/>
      <c r="K1016" s="49"/>
      <c r="L1016" s="50"/>
      <c r="M1016" s="43" t="str">
        <f aca="false">IF(OR($L1016="",$F1016=""),"",IFERROR($L1016/INDEX(Cadastro!$E$6:$E$8,MATCH($F1016,Cadastro!$B$6:$B$8,0)),""))</f>
        <v/>
      </c>
      <c r="N1016" s="43" t="str">
        <f aca="false">IF(OR($L1016="",$I1016="",$I1016=0),"",$L1016/$I1016)</f>
        <v/>
      </c>
      <c r="O1016" s="51"/>
    </row>
    <row r="1017" customFormat="false" ht="15" hidden="false" customHeight="false" outlineLevel="0" collapsed="false">
      <c r="A1017" s="45"/>
      <c r="B1017" s="37" t="str">
        <f aca="false">IF($A1017="","",WEEKNUM($A1017,2))</f>
        <v/>
      </c>
      <c r="C1017" s="37" t="str">
        <f aca="false">IF($A1017="","",CHOOSE(WEEKDAY($A1017,2),"Seg","Ter","Qua","Qui","Sex","Sáb","Dom"))</f>
        <v/>
      </c>
      <c r="D1017" s="46"/>
      <c r="E1017" s="47"/>
      <c r="F1017" s="47"/>
      <c r="G1017" s="48"/>
      <c r="H1017" s="49"/>
      <c r="I1017" s="50"/>
      <c r="J1017" s="48"/>
      <c r="K1017" s="49"/>
      <c r="L1017" s="50"/>
      <c r="M1017" s="43" t="str">
        <f aca="false">IF(OR($L1017="",$F1017=""),"",IFERROR($L1017/INDEX(Cadastro!$E$6:$E$8,MATCH($F1017,Cadastro!$B$6:$B$8,0)),""))</f>
        <v/>
      </c>
      <c r="N1017" s="43" t="str">
        <f aca="false">IF(OR($L1017="",$I1017="",$I1017=0),"",$L1017/$I1017)</f>
        <v/>
      </c>
      <c r="O1017" s="51"/>
    </row>
    <row r="1018" customFormat="false" ht="15" hidden="false" customHeight="false" outlineLevel="0" collapsed="false">
      <c r="A1018" s="45"/>
      <c r="B1018" s="37" t="str">
        <f aca="false">IF($A1018="","",WEEKNUM($A1018,2))</f>
        <v/>
      </c>
      <c r="C1018" s="37" t="str">
        <f aca="false">IF($A1018="","",CHOOSE(WEEKDAY($A1018,2),"Seg","Ter","Qua","Qui","Sex","Sáb","Dom"))</f>
        <v/>
      </c>
      <c r="D1018" s="46"/>
      <c r="E1018" s="47"/>
      <c r="F1018" s="47"/>
      <c r="G1018" s="48"/>
      <c r="H1018" s="49"/>
      <c r="I1018" s="50"/>
      <c r="J1018" s="48"/>
      <c r="K1018" s="49"/>
      <c r="L1018" s="50"/>
      <c r="M1018" s="43" t="str">
        <f aca="false">IF(OR($L1018="",$F1018=""),"",IFERROR($L1018/INDEX(Cadastro!$E$6:$E$8,MATCH($F1018,Cadastro!$B$6:$B$8,0)),""))</f>
        <v/>
      </c>
      <c r="N1018" s="43" t="str">
        <f aca="false">IF(OR($L1018="",$I1018="",$I1018=0),"",$L1018/$I1018)</f>
        <v/>
      </c>
      <c r="O1018" s="51"/>
    </row>
    <row r="1019" customFormat="false" ht="15" hidden="false" customHeight="false" outlineLevel="0" collapsed="false">
      <c r="A1019" s="45"/>
      <c r="B1019" s="37" t="str">
        <f aca="false">IF($A1019="","",WEEKNUM($A1019,2))</f>
        <v/>
      </c>
      <c r="C1019" s="37" t="str">
        <f aca="false">IF($A1019="","",CHOOSE(WEEKDAY($A1019,2),"Seg","Ter","Qua","Qui","Sex","Sáb","Dom"))</f>
        <v/>
      </c>
      <c r="D1019" s="46"/>
      <c r="E1019" s="47"/>
      <c r="F1019" s="47"/>
      <c r="G1019" s="48"/>
      <c r="H1019" s="49"/>
      <c r="I1019" s="50"/>
      <c r="J1019" s="48"/>
      <c r="K1019" s="49"/>
      <c r="L1019" s="50"/>
      <c r="M1019" s="43" t="str">
        <f aca="false">IF(OR($L1019="",$F1019=""),"",IFERROR($L1019/INDEX(Cadastro!$E$6:$E$8,MATCH($F1019,Cadastro!$B$6:$B$8,0)),""))</f>
        <v/>
      </c>
      <c r="N1019" s="43" t="str">
        <f aca="false">IF(OR($L1019="",$I1019="",$I1019=0),"",$L1019/$I1019)</f>
        <v/>
      </c>
      <c r="O1019" s="51"/>
    </row>
    <row r="1020" customFormat="false" ht="15" hidden="false" customHeight="false" outlineLevel="0" collapsed="false">
      <c r="A1020" s="45"/>
      <c r="B1020" s="37" t="str">
        <f aca="false">IF($A1020="","",WEEKNUM($A1020,2))</f>
        <v/>
      </c>
      <c r="C1020" s="37" t="str">
        <f aca="false">IF($A1020="","",CHOOSE(WEEKDAY($A1020,2),"Seg","Ter","Qua","Qui","Sex","Sáb","Dom"))</f>
        <v/>
      </c>
      <c r="D1020" s="46"/>
      <c r="E1020" s="47"/>
      <c r="F1020" s="47"/>
      <c r="G1020" s="48"/>
      <c r="H1020" s="49"/>
      <c r="I1020" s="50"/>
      <c r="J1020" s="48"/>
      <c r="K1020" s="49"/>
      <c r="L1020" s="50"/>
      <c r="M1020" s="43" t="str">
        <f aca="false">IF(OR($L1020="",$F1020=""),"",IFERROR($L1020/INDEX(Cadastro!$E$6:$E$8,MATCH($F1020,Cadastro!$B$6:$B$8,0)),""))</f>
        <v/>
      </c>
      <c r="N1020" s="43" t="str">
        <f aca="false">IF(OR($L1020="",$I1020="",$I1020=0),"",$L1020/$I1020)</f>
        <v/>
      </c>
      <c r="O1020" s="51"/>
    </row>
    <row r="1021" customFormat="false" ht="15" hidden="false" customHeight="false" outlineLevel="0" collapsed="false">
      <c r="A1021" s="45"/>
      <c r="B1021" s="37" t="str">
        <f aca="false">IF($A1021="","",WEEKNUM($A1021,2))</f>
        <v/>
      </c>
      <c r="C1021" s="37" t="str">
        <f aca="false">IF($A1021="","",CHOOSE(WEEKDAY($A1021,2),"Seg","Ter","Qua","Qui","Sex","Sáb","Dom"))</f>
        <v/>
      </c>
      <c r="D1021" s="46"/>
      <c r="E1021" s="47"/>
      <c r="F1021" s="47"/>
      <c r="G1021" s="48"/>
      <c r="H1021" s="49"/>
      <c r="I1021" s="50"/>
      <c r="J1021" s="48"/>
      <c r="K1021" s="49"/>
      <c r="L1021" s="50"/>
      <c r="M1021" s="43" t="str">
        <f aca="false">IF(OR($L1021="",$F1021=""),"",IFERROR($L1021/INDEX(Cadastro!$E$6:$E$8,MATCH($F1021,Cadastro!$B$6:$B$8,0)),""))</f>
        <v/>
      </c>
      <c r="N1021" s="43" t="str">
        <f aca="false">IF(OR($L1021="",$I1021="",$I1021=0),"",$L1021/$I1021)</f>
        <v/>
      </c>
      <c r="O1021" s="51"/>
    </row>
    <row r="1022" customFormat="false" ht="15" hidden="false" customHeight="false" outlineLevel="0" collapsed="false">
      <c r="A1022" s="45"/>
      <c r="B1022" s="37" t="str">
        <f aca="false">IF($A1022="","",WEEKNUM($A1022,2))</f>
        <v/>
      </c>
      <c r="C1022" s="37" t="str">
        <f aca="false">IF($A1022="","",CHOOSE(WEEKDAY($A1022,2),"Seg","Ter","Qua","Qui","Sex","Sáb","Dom"))</f>
        <v/>
      </c>
      <c r="D1022" s="46"/>
      <c r="E1022" s="47"/>
      <c r="F1022" s="47"/>
      <c r="G1022" s="48"/>
      <c r="H1022" s="49"/>
      <c r="I1022" s="50"/>
      <c r="J1022" s="48"/>
      <c r="K1022" s="49"/>
      <c r="L1022" s="50"/>
      <c r="M1022" s="43" t="str">
        <f aca="false">IF(OR($L1022="",$F1022=""),"",IFERROR($L1022/INDEX(Cadastro!$E$6:$E$8,MATCH($F1022,Cadastro!$B$6:$B$8,0)),""))</f>
        <v/>
      </c>
      <c r="N1022" s="43" t="str">
        <f aca="false">IF(OR($L1022="",$I1022="",$I1022=0),"",$L1022/$I1022)</f>
        <v/>
      </c>
      <c r="O1022" s="51"/>
    </row>
    <row r="1023" customFormat="false" ht="15" hidden="false" customHeight="false" outlineLevel="0" collapsed="false">
      <c r="A1023" s="45"/>
      <c r="B1023" s="37" t="str">
        <f aca="false">IF($A1023="","",WEEKNUM($A1023,2))</f>
        <v/>
      </c>
      <c r="C1023" s="37" t="str">
        <f aca="false">IF($A1023="","",CHOOSE(WEEKDAY($A1023,2),"Seg","Ter","Qua","Qui","Sex","Sáb","Dom"))</f>
        <v/>
      </c>
      <c r="D1023" s="46"/>
      <c r="E1023" s="47"/>
      <c r="F1023" s="47"/>
      <c r="G1023" s="48"/>
      <c r="H1023" s="49"/>
      <c r="I1023" s="50"/>
      <c r="J1023" s="48"/>
      <c r="K1023" s="49"/>
      <c r="L1023" s="50"/>
      <c r="M1023" s="43" t="str">
        <f aca="false">IF(OR($L1023="",$F1023=""),"",IFERROR($L1023/INDEX(Cadastro!$E$6:$E$8,MATCH($F1023,Cadastro!$B$6:$B$8,0)),""))</f>
        <v/>
      </c>
      <c r="N1023" s="43" t="str">
        <f aca="false">IF(OR($L1023="",$I1023="",$I1023=0),"",$L1023/$I1023)</f>
        <v/>
      </c>
      <c r="O1023" s="51"/>
    </row>
    <row r="1024" customFormat="false" ht="15" hidden="false" customHeight="false" outlineLevel="0" collapsed="false">
      <c r="A1024" s="45"/>
      <c r="B1024" s="37" t="str">
        <f aca="false">IF($A1024="","",WEEKNUM($A1024,2))</f>
        <v/>
      </c>
      <c r="C1024" s="37" t="str">
        <f aca="false">IF($A1024="","",CHOOSE(WEEKDAY($A1024,2),"Seg","Ter","Qua","Qui","Sex","Sáb","Dom"))</f>
        <v/>
      </c>
      <c r="D1024" s="46"/>
      <c r="E1024" s="47"/>
      <c r="F1024" s="47"/>
      <c r="G1024" s="48"/>
      <c r="H1024" s="49"/>
      <c r="I1024" s="50"/>
      <c r="J1024" s="48"/>
      <c r="K1024" s="49"/>
      <c r="L1024" s="50"/>
      <c r="M1024" s="43" t="str">
        <f aca="false">IF(OR($L1024="",$F1024=""),"",IFERROR($L1024/INDEX(Cadastro!$E$6:$E$8,MATCH($F1024,Cadastro!$B$6:$B$8,0)),""))</f>
        <v/>
      </c>
      <c r="N1024" s="43" t="str">
        <f aca="false">IF(OR($L1024="",$I1024="",$I1024=0),"",$L1024/$I1024)</f>
        <v/>
      </c>
      <c r="O1024" s="51"/>
    </row>
    <row r="1025" customFormat="false" ht="15" hidden="false" customHeight="false" outlineLevel="0" collapsed="false">
      <c r="A1025" s="45"/>
      <c r="B1025" s="37" t="str">
        <f aca="false">IF($A1025="","",WEEKNUM($A1025,2))</f>
        <v/>
      </c>
      <c r="C1025" s="37" t="str">
        <f aca="false">IF($A1025="","",CHOOSE(WEEKDAY($A1025,2),"Seg","Ter","Qua","Qui","Sex","Sáb","Dom"))</f>
        <v/>
      </c>
      <c r="D1025" s="46"/>
      <c r="E1025" s="47"/>
      <c r="F1025" s="47"/>
      <c r="G1025" s="48"/>
      <c r="H1025" s="49"/>
      <c r="I1025" s="50"/>
      <c r="J1025" s="48"/>
      <c r="K1025" s="49"/>
      <c r="L1025" s="50"/>
      <c r="M1025" s="43" t="str">
        <f aca="false">IF(OR($L1025="",$F1025=""),"",IFERROR($L1025/INDEX(Cadastro!$E$6:$E$8,MATCH($F1025,Cadastro!$B$6:$B$8,0)),""))</f>
        <v/>
      </c>
      <c r="N1025" s="43" t="str">
        <f aca="false">IF(OR($L1025="",$I1025="",$I1025=0),"",$L1025/$I1025)</f>
        <v/>
      </c>
      <c r="O1025" s="51"/>
    </row>
    <row r="1026" customFormat="false" ht="15" hidden="false" customHeight="false" outlineLevel="0" collapsed="false">
      <c r="A1026" s="45"/>
      <c r="B1026" s="37" t="str">
        <f aca="false">IF($A1026="","",WEEKNUM($A1026,2))</f>
        <v/>
      </c>
      <c r="C1026" s="37" t="str">
        <f aca="false">IF($A1026="","",CHOOSE(WEEKDAY($A1026,2),"Seg","Ter","Qua","Qui","Sex","Sáb","Dom"))</f>
        <v/>
      </c>
      <c r="D1026" s="46"/>
      <c r="E1026" s="47"/>
      <c r="F1026" s="47"/>
      <c r="G1026" s="48"/>
      <c r="H1026" s="49"/>
      <c r="I1026" s="50"/>
      <c r="J1026" s="48"/>
      <c r="K1026" s="49"/>
      <c r="L1026" s="50"/>
      <c r="M1026" s="43" t="str">
        <f aca="false">IF(OR($L1026="",$F1026=""),"",IFERROR($L1026/INDEX(Cadastro!$E$6:$E$8,MATCH($F1026,Cadastro!$B$6:$B$8,0)),""))</f>
        <v/>
      </c>
      <c r="N1026" s="43" t="str">
        <f aca="false">IF(OR($L1026="",$I1026="",$I1026=0),"",$L1026/$I1026)</f>
        <v/>
      </c>
      <c r="O1026" s="51"/>
    </row>
    <row r="1027" customFormat="false" ht="15" hidden="false" customHeight="false" outlineLevel="0" collapsed="false">
      <c r="A1027" s="45"/>
      <c r="B1027" s="37" t="str">
        <f aca="false">IF($A1027="","",WEEKNUM($A1027,2))</f>
        <v/>
      </c>
      <c r="C1027" s="37" t="str">
        <f aca="false">IF($A1027="","",CHOOSE(WEEKDAY($A1027,2),"Seg","Ter","Qua","Qui","Sex","Sáb","Dom"))</f>
        <v/>
      </c>
      <c r="D1027" s="46"/>
      <c r="E1027" s="47"/>
      <c r="F1027" s="47"/>
      <c r="G1027" s="48"/>
      <c r="H1027" s="49"/>
      <c r="I1027" s="50"/>
      <c r="J1027" s="48"/>
      <c r="K1027" s="49"/>
      <c r="L1027" s="50"/>
      <c r="M1027" s="43" t="str">
        <f aca="false">IF(OR($L1027="",$F1027=""),"",IFERROR($L1027/INDEX(Cadastro!$E$6:$E$8,MATCH($F1027,Cadastro!$B$6:$B$8,0)),""))</f>
        <v/>
      </c>
      <c r="N1027" s="43" t="str">
        <f aca="false">IF(OR($L1027="",$I1027="",$I1027=0),"",$L1027/$I1027)</f>
        <v/>
      </c>
      <c r="O1027" s="51"/>
    </row>
    <row r="1028" customFormat="false" ht="15" hidden="false" customHeight="false" outlineLevel="0" collapsed="false">
      <c r="A1028" s="45"/>
      <c r="B1028" s="37" t="str">
        <f aca="false">IF($A1028="","",WEEKNUM($A1028,2))</f>
        <v/>
      </c>
      <c r="C1028" s="37" t="str">
        <f aca="false">IF($A1028="","",CHOOSE(WEEKDAY($A1028,2),"Seg","Ter","Qua","Qui","Sex","Sáb","Dom"))</f>
        <v/>
      </c>
      <c r="D1028" s="46"/>
      <c r="E1028" s="47"/>
      <c r="F1028" s="47"/>
      <c r="G1028" s="48"/>
      <c r="H1028" s="49"/>
      <c r="I1028" s="50"/>
      <c r="J1028" s="48"/>
      <c r="K1028" s="49"/>
      <c r="L1028" s="50"/>
      <c r="M1028" s="43" t="str">
        <f aca="false">IF(OR($L1028="",$F1028=""),"",IFERROR($L1028/INDEX(Cadastro!$E$6:$E$8,MATCH($F1028,Cadastro!$B$6:$B$8,0)),""))</f>
        <v/>
      </c>
      <c r="N1028" s="43" t="str">
        <f aca="false">IF(OR($L1028="",$I1028="",$I1028=0),"",$L1028/$I1028)</f>
        <v/>
      </c>
      <c r="O1028" s="51"/>
    </row>
    <row r="1029" customFormat="false" ht="15" hidden="false" customHeight="false" outlineLevel="0" collapsed="false">
      <c r="A1029" s="45"/>
      <c r="B1029" s="37" t="str">
        <f aca="false">IF($A1029="","",WEEKNUM($A1029,2))</f>
        <v/>
      </c>
      <c r="C1029" s="37" t="str">
        <f aca="false">IF($A1029="","",CHOOSE(WEEKDAY($A1029,2),"Seg","Ter","Qua","Qui","Sex","Sáb","Dom"))</f>
        <v/>
      </c>
      <c r="D1029" s="46"/>
      <c r="E1029" s="47"/>
      <c r="F1029" s="47"/>
      <c r="G1029" s="48"/>
      <c r="H1029" s="49"/>
      <c r="I1029" s="50"/>
      <c r="J1029" s="48"/>
      <c r="K1029" s="49"/>
      <c r="L1029" s="50"/>
      <c r="M1029" s="43" t="str">
        <f aca="false">IF(OR($L1029="",$F1029=""),"",IFERROR($L1029/INDEX(Cadastro!$E$6:$E$8,MATCH($F1029,Cadastro!$B$6:$B$8,0)),""))</f>
        <v/>
      </c>
      <c r="N1029" s="43" t="str">
        <f aca="false">IF(OR($L1029="",$I1029="",$I1029=0),"",$L1029/$I1029)</f>
        <v/>
      </c>
      <c r="O1029" s="51"/>
    </row>
    <row r="1030" customFormat="false" ht="15" hidden="false" customHeight="false" outlineLevel="0" collapsed="false">
      <c r="A1030" s="45"/>
      <c r="B1030" s="37" t="str">
        <f aca="false">IF($A1030="","",WEEKNUM($A1030,2))</f>
        <v/>
      </c>
      <c r="C1030" s="37" t="str">
        <f aca="false">IF($A1030="","",CHOOSE(WEEKDAY($A1030,2),"Seg","Ter","Qua","Qui","Sex","Sáb","Dom"))</f>
        <v/>
      </c>
      <c r="D1030" s="46"/>
      <c r="E1030" s="47"/>
      <c r="F1030" s="47"/>
      <c r="G1030" s="48"/>
      <c r="H1030" s="49"/>
      <c r="I1030" s="50"/>
      <c r="J1030" s="48"/>
      <c r="K1030" s="49"/>
      <c r="L1030" s="50"/>
      <c r="M1030" s="43" t="str">
        <f aca="false">IF(OR($L1030="",$F1030=""),"",IFERROR($L1030/INDEX(Cadastro!$E$6:$E$8,MATCH($F1030,Cadastro!$B$6:$B$8,0)),""))</f>
        <v/>
      </c>
      <c r="N1030" s="43" t="str">
        <f aca="false">IF(OR($L1030="",$I1030="",$I1030=0),"",$L1030/$I1030)</f>
        <v/>
      </c>
      <c r="O1030" s="51"/>
    </row>
    <row r="1031" customFormat="false" ht="15" hidden="false" customHeight="false" outlineLevel="0" collapsed="false">
      <c r="A1031" s="45"/>
      <c r="B1031" s="37" t="str">
        <f aca="false">IF($A1031="","",WEEKNUM($A1031,2))</f>
        <v/>
      </c>
      <c r="C1031" s="37" t="str">
        <f aca="false">IF($A1031="","",CHOOSE(WEEKDAY($A1031,2),"Seg","Ter","Qua","Qui","Sex","Sáb","Dom"))</f>
        <v/>
      </c>
      <c r="D1031" s="46"/>
      <c r="E1031" s="47"/>
      <c r="F1031" s="47"/>
      <c r="G1031" s="48"/>
      <c r="H1031" s="49"/>
      <c r="I1031" s="50"/>
      <c r="J1031" s="48"/>
      <c r="K1031" s="49"/>
      <c r="L1031" s="50"/>
      <c r="M1031" s="43" t="str">
        <f aca="false">IF(OR($L1031="",$F1031=""),"",IFERROR($L1031/INDEX(Cadastro!$E$6:$E$8,MATCH($F1031,Cadastro!$B$6:$B$8,0)),""))</f>
        <v/>
      </c>
      <c r="N1031" s="43" t="str">
        <f aca="false">IF(OR($L1031="",$I1031="",$I1031=0),"",$L1031/$I1031)</f>
        <v/>
      </c>
      <c r="O1031" s="51"/>
    </row>
    <row r="1032" customFormat="false" ht="15" hidden="false" customHeight="false" outlineLevel="0" collapsed="false">
      <c r="A1032" s="45"/>
      <c r="B1032" s="37" t="str">
        <f aca="false">IF($A1032="","",WEEKNUM($A1032,2))</f>
        <v/>
      </c>
      <c r="C1032" s="37" t="str">
        <f aca="false">IF($A1032="","",CHOOSE(WEEKDAY($A1032,2),"Seg","Ter","Qua","Qui","Sex","Sáb","Dom"))</f>
        <v/>
      </c>
      <c r="D1032" s="46"/>
      <c r="E1032" s="47"/>
      <c r="F1032" s="47"/>
      <c r="G1032" s="48"/>
      <c r="H1032" s="49"/>
      <c r="I1032" s="50"/>
      <c r="J1032" s="48"/>
      <c r="K1032" s="49"/>
      <c r="L1032" s="50"/>
      <c r="M1032" s="43" t="str">
        <f aca="false">IF(OR($L1032="",$F1032=""),"",IFERROR($L1032/INDEX(Cadastro!$E$6:$E$8,MATCH($F1032,Cadastro!$B$6:$B$8,0)),""))</f>
        <v/>
      </c>
      <c r="N1032" s="43" t="str">
        <f aca="false">IF(OR($L1032="",$I1032="",$I1032=0),"",$L1032/$I1032)</f>
        <v/>
      </c>
      <c r="O1032" s="51"/>
    </row>
    <row r="1033" customFormat="false" ht="15" hidden="false" customHeight="false" outlineLevel="0" collapsed="false">
      <c r="A1033" s="45"/>
      <c r="B1033" s="37" t="str">
        <f aca="false">IF($A1033="","",WEEKNUM($A1033,2))</f>
        <v/>
      </c>
      <c r="C1033" s="37" t="str">
        <f aca="false">IF($A1033="","",CHOOSE(WEEKDAY($A1033,2),"Seg","Ter","Qua","Qui","Sex","Sáb","Dom"))</f>
        <v/>
      </c>
      <c r="D1033" s="46"/>
      <c r="E1033" s="47"/>
      <c r="F1033" s="47"/>
      <c r="G1033" s="48"/>
      <c r="H1033" s="49"/>
      <c r="I1033" s="50"/>
      <c r="J1033" s="48"/>
      <c r="K1033" s="49"/>
      <c r="L1033" s="50"/>
      <c r="M1033" s="43" t="str">
        <f aca="false">IF(OR($L1033="",$F1033=""),"",IFERROR($L1033/INDEX(Cadastro!$E$6:$E$8,MATCH($F1033,Cadastro!$B$6:$B$8,0)),""))</f>
        <v/>
      </c>
      <c r="N1033" s="43" t="str">
        <f aca="false">IF(OR($L1033="",$I1033="",$I1033=0),"",$L1033/$I1033)</f>
        <v/>
      </c>
      <c r="O1033" s="51"/>
    </row>
    <row r="1034" customFormat="false" ht="15" hidden="false" customHeight="false" outlineLevel="0" collapsed="false">
      <c r="A1034" s="45"/>
      <c r="B1034" s="37" t="str">
        <f aca="false">IF($A1034="","",WEEKNUM($A1034,2))</f>
        <v/>
      </c>
      <c r="C1034" s="37" t="str">
        <f aca="false">IF($A1034="","",CHOOSE(WEEKDAY($A1034,2),"Seg","Ter","Qua","Qui","Sex","Sáb","Dom"))</f>
        <v/>
      </c>
      <c r="D1034" s="46"/>
      <c r="E1034" s="47"/>
      <c r="F1034" s="47"/>
      <c r="G1034" s="48"/>
      <c r="H1034" s="49"/>
      <c r="I1034" s="50"/>
      <c r="J1034" s="48"/>
      <c r="K1034" s="49"/>
      <c r="L1034" s="50"/>
      <c r="M1034" s="43" t="str">
        <f aca="false">IF(OR($L1034="",$F1034=""),"",IFERROR($L1034/INDEX(Cadastro!$E$6:$E$8,MATCH($F1034,Cadastro!$B$6:$B$8,0)),""))</f>
        <v/>
      </c>
      <c r="N1034" s="43" t="str">
        <f aca="false">IF(OR($L1034="",$I1034="",$I1034=0),"",$L1034/$I1034)</f>
        <v/>
      </c>
      <c r="O1034" s="51"/>
    </row>
    <row r="1035" customFormat="false" ht="15" hidden="false" customHeight="false" outlineLevel="0" collapsed="false">
      <c r="A1035" s="45"/>
      <c r="B1035" s="37" t="str">
        <f aca="false">IF($A1035="","",WEEKNUM($A1035,2))</f>
        <v/>
      </c>
      <c r="C1035" s="37" t="str">
        <f aca="false">IF($A1035="","",CHOOSE(WEEKDAY($A1035,2),"Seg","Ter","Qua","Qui","Sex","Sáb","Dom"))</f>
        <v/>
      </c>
      <c r="D1035" s="46"/>
      <c r="E1035" s="47"/>
      <c r="F1035" s="47"/>
      <c r="G1035" s="48"/>
      <c r="H1035" s="49"/>
      <c r="I1035" s="50"/>
      <c r="J1035" s="48"/>
      <c r="K1035" s="49"/>
      <c r="L1035" s="50"/>
      <c r="M1035" s="43" t="str">
        <f aca="false">IF(OR($L1035="",$F1035=""),"",IFERROR($L1035/INDEX(Cadastro!$E$6:$E$8,MATCH($F1035,Cadastro!$B$6:$B$8,0)),""))</f>
        <v/>
      </c>
      <c r="N1035" s="43" t="str">
        <f aca="false">IF(OR($L1035="",$I1035="",$I1035=0),"",$L1035/$I1035)</f>
        <v/>
      </c>
      <c r="O1035" s="51"/>
    </row>
    <row r="1036" customFormat="false" ht="15" hidden="false" customHeight="false" outlineLevel="0" collapsed="false">
      <c r="A1036" s="45"/>
      <c r="B1036" s="37" t="str">
        <f aca="false">IF($A1036="","",WEEKNUM($A1036,2))</f>
        <v/>
      </c>
      <c r="C1036" s="37" t="str">
        <f aca="false">IF($A1036="","",CHOOSE(WEEKDAY($A1036,2),"Seg","Ter","Qua","Qui","Sex","Sáb","Dom"))</f>
        <v/>
      </c>
      <c r="D1036" s="46"/>
      <c r="E1036" s="47"/>
      <c r="F1036" s="47"/>
      <c r="G1036" s="48"/>
      <c r="H1036" s="49"/>
      <c r="I1036" s="50"/>
      <c r="J1036" s="48"/>
      <c r="K1036" s="49"/>
      <c r="L1036" s="50"/>
      <c r="M1036" s="43" t="str">
        <f aca="false">IF(OR($L1036="",$F1036=""),"",IFERROR($L1036/INDEX(Cadastro!$E$6:$E$8,MATCH($F1036,Cadastro!$B$6:$B$8,0)),""))</f>
        <v/>
      </c>
      <c r="N1036" s="43" t="str">
        <f aca="false">IF(OR($L1036="",$I1036="",$I1036=0),"",$L1036/$I1036)</f>
        <v/>
      </c>
      <c r="O1036" s="51"/>
    </row>
    <row r="1037" customFormat="false" ht="15" hidden="false" customHeight="false" outlineLevel="0" collapsed="false">
      <c r="A1037" s="45"/>
      <c r="B1037" s="37" t="str">
        <f aca="false">IF($A1037="","",WEEKNUM($A1037,2))</f>
        <v/>
      </c>
      <c r="C1037" s="37" t="str">
        <f aca="false">IF($A1037="","",CHOOSE(WEEKDAY($A1037,2),"Seg","Ter","Qua","Qui","Sex","Sáb","Dom"))</f>
        <v/>
      </c>
      <c r="D1037" s="46"/>
      <c r="E1037" s="47"/>
      <c r="F1037" s="47"/>
      <c r="G1037" s="48"/>
      <c r="H1037" s="49"/>
      <c r="I1037" s="50"/>
      <c r="J1037" s="48"/>
      <c r="K1037" s="49"/>
      <c r="L1037" s="50"/>
      <c r="M1037" s="43" t="str">
        <f aca="false">IF(OR($L1037="",$F1037=""),"",IFERROR($L1037/INDEX(Cadastro!$E$6:$E$8,MATCH($F1037,Cadastro!$B$6:$B$8,0)),""))</f>
        <v/>
      </c>
      <c r="N1037" s="43" t="str">
        <f aca="false">IF(OR($L1037="",$I1037="",$I1037=0),"",$L1037/$I1037)</f>
        <v/>
      </c>
      <c r="O1037" s="51"/>
    </row>
    <row r="1038" customFormat="false" ht="15" hidden="false" customHeight="false" outlineLevel="0" collapsed="false">
      <c r="A1038" s="45"/>
      <c r="B1038" s="37" t="str">
        <f aca="false">IF($A1038="","",WEEKNUM($A1038,2))</f>
        <v/>
      </c>
      <c r="C1038" s="37" t="str">
        <f aca="false">IF($A1038="","",CHOOSE(WEEKDAY($A1038,2),"Seg","Ter","Qua","Qui","Sex","Sáb","Dom"))</f>
        <v/>
      </c>
      <c r="D1038" s="46"/>
      <c r="E1038" s="47"/>
      <c r="F1038" s="47"/>
      <c r="G1038" s="48"/>
      <c r="H1038" s="49"/>
      <c r="I1038" s="50"/>
      <c r="J1038" s="48"/>
      <c r="K1038" s="49"/>
      <c r="L1038" s="50"/>
      <c r="M1038" s="43" t="str">
        <f aca="false">IF(OR($L1038="",$F1038=""),"",IFERROR($L1038/INDEX(Cadastro!$E$6:$E$8,MATCH($F1038,Cadastro!$B$6:$B$8,0)),""))</f>
        <v/>
      </c>
      <c r="N1038" s="43" t="str">
        <f aca="false">IF(OR($L1038="",$I1038="",$I1038=0),"",$L1038/$I1038)</f>
        <v/>
      </c>
      <c r="O1038" s="51"/>
    </row>
    <row r="1039" customFormat="false" ht="15" hidden="false" customHeight="false" outlineLevel="0" collapsed="false">
      <c r="A1039" s="45"/>
      <c r="B1039" s="37" t="str">
        <f aca="false">IF($A1039="","",WEEKNUM($A1039,2))</f>
        <v/>
      </c>
      <c r="C1039" s="37" t="str">
        <f aca="false">IF($A1039="","",CHOOSE(WEEKDAY($A1039,2),"Seg","Ter","Qua","Qui","Sex","Sáb","Dom"))</f>
        <v/>
      </c>
      <c r="D1039" s="46"/>
      <c r="E1039" s="47"/>
      <c r="F1039" s="47"/>
      <c r="G1039" s="48"/>
      <c r="H1039" s="49"/>
      <c r="I1039" s="50"/>
      <c r="J1039" s="48"/>
      <c r="K1039" s="49"/>
      <c r="L1039" s="50"/>
      <c r="M1039" s="43" t="str">
        <f aca="false">IF(OR($L1039="",$F1039=""),"",IFERROR($L1039/INDEX(Cadastro!$E$6:$E$8,MATCH($F1039,Cadastro!$B$6:$B$8,0)),""))</f>
        <v/>
      </c>
      <c r="N1039" s="43" t="str">
        <f aca="false">IF(OR($L1039="",$I1039="",$I1039=0),"",$L1039/$I1039)</f>
        <v/>
      </c>
      <c r="O1039" s="51"/>
    </row>
    <row r="1040" customFormat="false" ht="15" hidden="false" customHeight="false" outlineLevel="0" collapsed="false">
      <c r="A1040" s="45"/>
      <c r="B1040" s="37" t="str">
        <f aca="false">IF($A1040="","",WEEKNUM($A1040,2))</f>
        <v/>
      </c>
      <c r="C1040" s="37" t="str">
        <f aca="false">IF($A1040="","",CHOOSE(WEEKDAY($A1040,2),"Seg","Ter","Qua","Qui","Sex","Sáb","Dom"))</f>
        <v/>
      </c>
      <c r="D1040" s="46"/>
      <c r="E1040" s="47"/>
      <c r="F1040" s="47"/>
      <c r="G1040" s="48"/>
      <c r="H1040" s="49"/>
      <c r="I1040" s="50"/>
      <c r="J1040" s="48"/>
      <c r="K1040" s="49"/>
      <c r="L1040" s="50"/>
      <c r="M1040" s="43" t="str">
        <f aca="false">IF(OR($L1040="",$F1040=""),"",IFERROR($L1040/INDEX(Cadastro!$E$6:$E$8,MATCH($F1040,Cadastro!$B$6:$B$8,0)),""))</f>
        <v/>
      </c>
      <c r="N1040" s="43" t="str">
        <f aca="false">IF(OR($L1040="",$I1040="",$I1040=0),"",$L1040/$I1040)</f>
        <v/>
      </c>
      <c r="O1040" s="51"/>
    </row>
    <row r="1041" customFormat="false" ht="15" hidden="false" customHeight="false" outlineLevel="0" collapsed="false">
      <c r="A1041" s="45"/>
      <c r="B1041" s="37" t="str">
        <f aca="false">IF($A1041="","",WEEKNUM($A1041,2))</f>
        <v/>
      </c>
      <c r="C1041" s="37" t="str">
        <f aca="false">IF($A1041="","",CHOOSE(WEEKDAY($A1041,2),"Seg","Ter","Qua","Qui","Sex","Sáb","Dom"))</f>
        <v/>
      </c>
      <c r="D1041" s="46"/>
      <c r="E1041" s="47"/>
      <c r="F1041" s="47"/>
      <c r="G1041" s="48"/>
      <c r="H1041" s="49"/>
      <c r="I1041" s="50"/>
      <c r="J1041" s="48"/>
      <c r="K1041" s="49"/>
      <c r="L1041" s="50"/>
      <c r="M1041" s="43" t="str">
        <f aca="false">IF(OR($L1041="",$F1041=""),"",IFERROR($L1041/INDEX(Cadastro!$E$6:$E$8,MATCH($F1041,Cadastro!$B$6:$B$8,0)),""))</f>
        <v/>
      </c>
      <c r="N1041" s="43" t="str">
        <f aca="false">IF(OR($L1041="",$I1041="",$I1041=0),"",$L1041/$I1041)</f>
        <v/>
      </c>
      <c r="O1041" s="51"/>
    </row>
    <row r="1042" customFormat="false" ht="15" hidden="false" customHeight="false" outlineLevel="0" collapsed="false">
      <c r="A1042" s="45"/>
      <c r="B1042" s="37" t="str">
        <f aca="false">IF($A1042="","",WEEKNUM($A1042,2))</f>
        <v/>
      </c>
      <c r="C1042" s="37" t="str">
        <f aca="false">IF($A1042="","",CHOOSE(WEEKDAY($A1042,2),"Seg","Ter","Qua","Qui","Sex","Sáb","Dom"))</f>
        <v/>
      </c>
      <c r="D1042" s="46"/>
      <c r="E1042" s="47"/>
      <c r="F1042" s="47"/>
      <c r="G1042" s="48"/>
      <c r="H1042" s="49"/>
      <c r="I1042" s="50"/>
      <c r="J1042" s="48"/>
      <c r="K1042" s="49"/>
      <c r="L1042" s="50"/>
      <c r="M1042" s="43" t="str">
        <f aca="false">IF(OR($L1042="",$F1042=""),"",IFERROR($L1042/INDEX(Cadastro!$E$6:$E$8,MATCH($F1042,Cadastro!$B$6:$B$8,0)),""))</f>
        <v/>
      </c>
      <c r="N1042" s="43" t="str">
        <f aca="false">IF(OR($L1042="",$I1042="",$I1042=0),"",$L1042/$I1042)</f>
        <v/>
      </c>
      <c r="O1042" s="51"/>
    </row>
    <row r="1043" customFormat="false" ht="15" hidden="false" customHeight="false" outlineLevel="0" collapsed="false">
      <c r="A1043" s="45"/>
      <c r="B1043" s="37" t="str">
        <f aca="false">IF($A1043="","",WEEKNUM($A1043,2))</f>
        <v/>
      </c>
      <c r="C1043" s="37" t="str">
        <f aca="false">IF($A1043="","",CHOOSE(WEEKDAY($A1043,2),"Seg","Ter","Qua","Qui","Sex","Sáb","Dom"))</f>
        <v/>
      </c>
      <c r="D1043" s="46"/>
      <c r="E1043" s="47"/>
      <c r="F1043" s="47"/>
      <c r="G1043" s="48"/>
      <c r="H1043" s="49"/>
      <c r="I1043" s="50"/>
      <c r="J1043" s="48"/>
      <c r="K1043" s="49"/>
      <c r="L1043" s="50"/>
      <c r="M1043" s="43" t="str">
        <f aca="false">IF(OR($L1043="",$F1043=""),"",IFERROR($L1043/INDEX(Cadastro!$E$6:$E$8,MATCH($F1043,Cadastro!$B$6:$B$8,0)),""))</f>
        <v/>
      </c>
      <c r="N1043" s="43" t="str">
        <f aca="false">IF(OR($L1043="",$I1043="",$I1043=0),"",$L1043/$I1043)</f>
        <v/>
      </c>
      <c r="O1043" s="51"/>
    </row>
    <row r="1044" customFormat="false" ht="15" hidden="false" customHeight="false" outlineLevel="0" collapsed="false">
      <c r="A1044" s="45"/>
      <c r="B1044" s="37" t="str">
        <f aca="false">IF($A1044="","",WEEKNUM($A1044,2))</f>
        <v/>
      </c>
      <c r="C1044" s="37" t="str">
        <f aca="false">IF($A1044="","",CHOOSE(WEEKDAY($A1044,2),"Seg","Ter","Qua","Qui","Sex","Sáb","Dom"))</f>
        <v/>
      </c>
      <c r="D1044" s="46"/>
      <c r="E1044" s="47"/>
      <c r="F1044" s="47"/>
      <c r="G1044" s="48"/>
      <c r="H1044" s="49"/>
      <c r="I1044" s="50"/>
      <c r="J1044" s="48"/>
      <c r="K1044" s="49"/>
      <c r="L1044" s="50"/>
      <c r="M1044" s="43" t="str">
        <f aca="false">IF(OR($L1044="",$F1044=""),"",IFERROR($L1044/INDEX(Cadastro!$E$6:$E$8,MATCH($F1044,Cadastro!$B$6:$B$8,0)),""))</f>
        <v/>
      </c>
      <c r="N1044" s="43" t="str">
        <f aca="false">IF(OR($L1044="",$I1044="",$I1044=0),"",$L1044/$I1044)</f>
        <v/>
      </c>
      <c r="O1044" s="51"/>
    </row>
    <row r="1045" customFormat="false" ht="15" hidden="false" customHeight="false" outlineLevel="0" collapsed="false">
      <c r="A1045" s="45"/>
      <c r="B1045" s="37" t="str">
        <f aca="false">IF($A1045="","",WEEKNUM($A1045,2))</f>
        <v/>
      </c>
      <c r="C1045" s="37" t="str">
        <f aca="false">IF($A1045="","",CHOOSE(WEEKDAY($A1045,2),"Seg","Ter","Qua","Qui","Sex","Sáb","Dom"))</f>
        <v/>
      </c>
      <c r="D1045" s="46"/>
      <c r="E1045" s="47"/>
      <c r="F1045" s="47"/>
      <c r="G1045" s="48"/>
      <c r="H1045" s="49"/>
      <c r="I1045" s="50"/>
      <c r="J1045" s="48"/>
      <c r="K1045" s="49"/>
      <c r="L1045" s="50"/>
      <c r="M1045" s="43" t="str">
        <f aca="false">IF(OR($L1045="",$F1045=""),"",IFERROR($L1045/INDEX(Cadastro!$E$6:$E$8,MATCH($F1045,Cadastro!$B$6:$B$8,0)),""))</f>
        <v/>
      </c>
      <c r="N1045" s="43" t="str">
        <f aca="false">IF(OR($L1045="",$I1045="",$I1045=0),"",$L1045/$I1045)</f>
        <v/>
      </c>
      <c r="O1045" s="51"/>
    </row>
    <row r="1046" customFormat="false" ht="15" hidden="false" customHeight="false" outlineLevel="0" collapsed="false">
      <c r="A1046" s="45"/>
      <c r="B1046" s="37" t="str">
        <f aca="false">IF($A1046="","",WEEKNUM($A1046,2))</f>
        <v/>
      </c>
      <c r="C1046" s="37" t="str">
        <f aca="false">IF($A1046="","",CHOOSE(WEEKDAY($A1046,2),"Seg","Ter","Qua","Qui","Sex","Sáb","Dom"))</f>
        <v/>
      </c>
      <c r="D1046" s="46"/>
      <c r="E1046" s="47"/>
      <c r="F1046" s="47"/>
      <c r="G1046" s="48"/>
      <c r="H1046" s="49"/>
      <c r="I1046" s="50"/>
      <c r="J1046" s="48"/>
      <c r="K1046" s="49"/>
      <c r="L1046" s="50"/>
      <c r="M1046" s="43" t="str">
        <f aca="false">IF(OR($L1046="",$F1046=""),"",IFERROR($L1046/INDEX(Cadastro!$E$6:$E$8,MATCH($F1046,Cadastro!$B$6:$B$8,0)),""))</f>
        <v/>
      </c>
      <c r="N1046" s="43" t="str">
        <f aca="false">IF(OR($L1046="",$I1046="",$I1046=0),"",$L1046/$I1046)</f>
        <v/>
      </c>
      <c r="O1046" s="51"/>
    </row>
    <row r="1047" customFormat="false" ht="15" hidden="false" customHeight="false" outlineLevel="0" collapsed="false">
      <c r="A1047" s="45"/>
      <c r="B1047" s="37" t="str">
        <f aca="false">IF($A1047="","",WEEKNUM($A1047,2))</f>
        <v/>
      </c>
      <c r="C1047" s="37" t="str">
        <f aca="false">IF($A1047="","",CHOOSE(WEEKDAY($A1047,2),"Seg","Ter","Qua","Qui","Sex","Sáb","Dom"))</f>
        <v/>
      </c>
      <c r="D1047" s="46"/>
      <c r="E1047" s="47"/>
      <c r="F1047" s="47"/>
      <c r="G1047" s="48"/>
      <c r="H1047" s="49"/>
      <c r="I1047" s="50"/>
      <c r="J1047" s="48"/>
      <c r="K1047" s="49"/>
      <c r="L1047" s="50"/>
      <c r="M1047" s="43" t="str">
        <f aca="false">IF(OR($L1047="",$F1047=""),"",IFERROR($L1047/INDEX(Cadastro!$E$6:$E$8,MATCH($F1047,Cadastro!$B$6:$B$8,0)),""))</f>
        <v/>
      </c>
      <c r="N1047" s="43" t="str">
        <f aca="false">IF(OR($L1047="",$I1047="",$I1047=0),"",$L1047/$I1047)</f>
        <v/>
      </c>
      <c r="O1047" s="51"/>
    </row>
    <row r="1048" customFormat="false" ht="15" hidden="false" customHeight="false" outlineLevel="0" collapsed="false">
      <c r="A1048" s="45"/>
      <c r="B1048" s="37" t="str">
        <f aca="false">IF($A1048="","",WEEKNUM($A1048,2))</f>
        <v/>
      </c>
      <c r="C1048" s="37" t="str">
        <f aca="false">IF($A1048="","",CHOOSE(WEEKDAY($A1048,2),"Seg","Ter","Qua","Qui","Sex","Sáb","Dom"))</f>
        <v/>
      </c>
      <c r="D1048" s="46"/>
      <c r="E1048" s="47"/>
      <c r="F1048" s="47"/>
      <c r="G1048" s="48"/>
      <c r="H1048" s="49"/>
      <c r="I1048" s="50"/>
      <c r="J1048" s="48"/>
      <c r="K1048" s="49"/>
      <c r="L1048" s="50"/>
      <c r="M1048" s="43" t="str">
        <f aca="false">IF(OR($L1048="",$F1048=""),"",IFERROR($L1048/INDEX(Cadastro!$E$6:$E$8,MATCH($F1048,Cadastro!$B$6:$B$8,0)),""))</f>
        <v/>
      </c>
      <c r="N1048" s="43" t="str">
        <f aca="false">IF(OR($L1048="",$I1048="",$I1048=0),"",$L1048/$I1048)</f>
        <v/>
      </c>
      <c r="O1048" s="51"/>
    </row>
    <row r="1049" customFormat="false" ht="15" hidden="false" customHeight="false" outlineLevel="0" collapsed="false">
      <c r="A1049" s="45"/>
      <c r="B1049" s="37" t="str">
        <f aca="false">IF($A1049="","",WEEKNUM($A1049,2))</f>
        <v/>
      </c>
      <c r="C1049" s="37" t="str">
        <f aca="false">IF($A1049="","",CHOOSE(WEEKDAY($A1049,2),"Seg","Ter","Qua","Qui","Sex","Sáb","Dom"))</f>
        <v/>
      </c>
      <c r="D1049" s="46"/>
      <c r="E1049" s="47"/>
      <c r="F1049" s="47"/>
      <c r="G1049" s="48"/>
      <c r="H1049" s="49"/>
      <c r="I1049" s="50"/>
      <c r="J1049" s="48"/>
      <c r="K1049" s="49"/>
      <c r="L1049" s="50"/>
      <c r="M1049" s="43" t="str">
        <f aca="false">IF(OR($L1049="",$F1049=""),"",IFERROR($L1049/INDEX(Cadastro!$E$6:$E$8,MATCH($F1049,Cadastro!$B$6:$B$8,0)),""))</f>
        <v/>
      </c>
      <c r="N1049" s="43" t="str">
        <f aca="false">IF(OR($L1049="",$I1049="",$I1049=0),"",$L1049/$I1049)</f>
        <v/>
      </c>
      <c r="O1049" s="51"/>
    </row>
    <row r="1050" customFormat="false" ht="15" hidden="false" customHeight="false" outlineLevel="0" collapsed="false">
      <c r="A1050" s="45"/>
      <c r="B1050" s="37" t="str">
        <f aca="false">IF($A1050="","",WEEKNUM($A1050,2))</f>
        <v/>
      </c>
      <c r="C1050" s="37" t="str">
        <f aca="false">IF($A1050="","",CHOOSE(WEEKDAY($A1050,2),"Seg","Ter","Qua","Qui","Sex","Sáb","Dom"))</f>
        <v/>
      </c>
      <c r="D1050" s="46"/>
      <c r="E1050" s="47"/>
      <c r="F1050" s="47"/>
      <c r="G1050" s="48"/>
      <c r="H1050" s="49"/>
      <c r="I1050" s="50"/>
      <c r="J1050" s="48"/>
      <c r="K1050" s="49"/>
      <c r="L1050" s="50"/>
      <c r="M1050" s="43" t="str">
        <f aca="false">IF(OR($L1050="",$F1050=""),"",IFERROR($L1050/INDEX(Cadastro!$E$6:$E$8,MATCH($F1050,Cadastro!$B$6:$B$8,0)),""))</f>
        <v/>
      </c>
      <c r="N1050" s="43" t="str">
        <f aca="false">IF(OR($L1050="",$I1050="",$I1050=0),"",$L1050/$I1050)</f>
        <v/>
      </c>
      <c r="O1050" s="51"/>
    </row>
    <row r="1051" customFormat="false" ht="15" hidden="false" customHeight="false" outlineLevel="0" collapsed="false">
      <c r="A1051" s="45"/>
      <c r="B1051" s="37" t="str">
        <f aca="false">IF($A1051="","",WEEKNUM($A1051,2))</f>
        <v/>
      </c>
      <c r="C1051" s="37" t="str">
        <f aca="false">IF($A1051="","",CHOOSE(WEEKDAY($A1051,2),"Seg","Ter","Qua","Qui","Sex","Sáb","Dom"))</f>
        <v/>
      </c>
      <c r="D1051" s="46"/>
      <c r="E1051" s="47"/>
      <c r="F1051" s="47"/>
      <c r="G1051" s="48"/>
      <c r="H1051" s="49"/>
      <c r="I1051" s="50"/>
      <c r="J1051" s="48"/>
      <c r="K1051" s="49"/>
      <c r="L1051" s="50"/>
      <c r="M1051" s="43" t="str">
        <f aca="false">IF(OR($L1051="",$F1051=""),"",IFERROR($L1051/INDEX(Cadastro!$E$6:$E$8,MATCH($F1051,Cadastro!$B$6:$B$8,0)),""))</f>
        <v/>
      </c>
      <c r="N1051" s="43" t="str">
        <f aca="false">IF(OR($L1051="",$I1051="",$I1051=0),"",$L1051/$I1051)</f>
        <v/>
      </c>
      <c r="O1051" s="51"/>
    </row>
    <row r="1052" customFormat="false" ht="15" hidden="false" customHeight="false" outlineLevel="0" collapsed="false">
      <c r="A1052" s="45"/>
      <c r="B1052" s="37" t="str">
        <f aca="false">IF($A1052="","",WEEKNUM($A1052,2))</f>
        <v/>
      </c>
      <c r="C1052" s="37" t="str">
        <f aca="false">IF($A1052="","",CHOOSE(WEEKDAY($A1052,2),"Seg","Ter","Qua","Qui","Sex","Sáb","Dom"))</f>
        <v/>
      </c>
      <c r="D1052" s="46"/>
      <c r="E1052" s="47"/>
      <c r="F1052" s="47"/>
      <c r="G1052" s="48"/>
      <c r="H1052" s="49"/>
      <c r="I1052" s="50"/>
      <c r="J1052" s="48"/>
      <c r="K1052" s="49"/>
      <c r="L1052" s="50"/>
      <c r="M1052" s="43" t="str">
        <f aca="false">IF(OR($L1052="",$F1052=""),"",IFERROR($L1052/INDEX(Cadastro!$E$6:$E$8,MATCH($F1052,Cadastro!$B$6:$B$8,0)),""))</f>
        <v/>
      </c>
      <c r="N1052" s="43" t="str">
        <f aca="false">IF(OR($L1052="",$I1052="",$I1052=0),"",$L1052/$I1052)</f>
        <v/>
      </c>
      <c r="O1052" s="51"/>
    </row>
    <row r="1053" customFormat="false" ht="15" hidden="false" customHeight="false" outlineLevel="0" collapsed="false">
      <c r="A1053" s="45"/>
      <c r="B1053" s="37" t="str">
        <f aca="false">IF($A1053="","",WEEKNUM($A1053,2))</f>
        <v/>
      </c>
      <c r="C1053" s="37" t="str">
        <f aca="false">IF($A1053="","",CHOOSE(WEEKDAY($A1053,2),"Seg","Ter","Qua","Qui","Sex","Sáb","Dom"))</f>
        <v/>
      </c>
      <c r="D1053" s="46"/>
      <c r="E1053" s="47"/>
      <c r="F1053" s="47"/>
      <c r="G1053" s="48"/>
      <c r="H1053" s="49"/>
      <c r="I1053" s="50"/>
      <c r="J1053" s="48"/>
      <c r="K1053" s="49"/>
      <c r="L1053" s="50"/>
      <c r="M1053" s="43" t="str">
        <f aca="false">IF(OR($L1053="",$F1053=""),"",IFERROR($L1053/INDEX(Cadastro!$E$6:$E$8,MATCH($F1053,Cadastro!$B$6:$B$8,0)),""))</f>
        <v/>
      </c>
      <c r="N1053" s="43" t="str">
        <f aca="false">IF(OR($L1053="",$I1053="",$I1053=0),"",$L1053/$I1053)</f>
        <v/>
      </c>
      <c r="O1053" s="51"/>
    </row>
    <row r="1054" customFormat="false" ht="15" hidden="false" customHeight="false" outlineLevel="0" collapsed="false">
      <c r="A1054" s="45"/>
      <c r="B1054" s="37" t="str">
        <f aca="false">IF($A1054="","",WEEKNUM($A1054,2))</f>
        <v/>
      </c>
      <c r="C1054" s="37" t="str">
        <f aca="false">IF($A1054="","",CHOOSE(WEEKDAY($A1054,2),"Seg","Ter","Qua","Qui","Sex","Sáb","Dom"))</f>
        <v/>
      </c>
      <c r="D1054" s="46"/>
      <c r="E1054" s="47"/>
      <c r="F1054" s="47"/>
      <c r="G1054" s="48"/>
      <c r="H1054" s="49"/>
      <c r="I1054" s="50"/>
      <c r="J1054" s="48"/>
      <c r="K1054" s="49"/>
      <c r="L1054" s="50"/>
      <c r="M1054" s="43" t="str">
        <f aca="false">IF(OR($L1054="",$F1054=""),"",IFERROR($L1054/INDEX(Cadastro!$E$6:$E$8,MATCH($F1054,Cadastro!$B$6:$B$8,0)),""))</f>
        <v/>
      </c>
      <c r="N1054" s="43" t="str">
        <f aca="false">IF(OR($L1054="",$I1054="",$I1054=0),"",$L1054/$I1054)</f>
        <v/>
      </c>
      <c r="O1054" s="51"/>
    </row>
    <row r="1055" customFormat="false" ht="15" hidden="false" customHeight="false" outlineLevel="0" collapsed="false">
      <c r="A1055" s="45"/>
      <c r="B1055" s="37" t="str">
        <f aca="false">IF($A1055="","",WEEKNUM($A1055,2))</f>
        <v/>
      </c>
      <c r="C1055" s="37" t="str">
        <f aca="false">IF($A1055="","",CHOOSE(WEEKDAY($A1055,2),"Seg","Ter","Qua","Qui","Sex","Sáb","Dom"))</f>
        <v/>
      </c>
      <c r="D1055" s="46"/>
      <c r="E1055" s="47"/>
      <c r="F1055" s="47"/>
      <c r="G1055" s="48"/>
      <c r="H1055" s="49"/>
      <c r="I1055" s="50"/>
      <c r="J1055" s="48"/>
      <c r="K1055" s="49"/>
      <c r="L1055" s="50"/>
      <c r="M1055" s="43" t="str">
        <f aca="false">IF(OR($L1055="",$F1055=""),"",IFERROR($L1055/INDEX(Cadastro!$E$6:$E$8,MATCH($F1055,Cadastro!$B$6:$B$8,0)),""))</f>
        <v/>
      </c>
      <c r="N1055" s="43" t="str">
        <f aca="false">IF(OR($L1055="",$I1055="",$I1055=0),"",$L1055/$I1055)</f>
        <v/>
      </c>
      <c r="O1055" s="51"/>
    </row>
    <row r="1056" customFormat="false" ht="15" hidden="false" customHeight="false" outlineLevel="0" collapsed="false">
      <c r="A1056" s="45"/>
      <c r="B1056" s="37" t="str">
        <f aca="false">IF($A1056="","",WEEKNUM($A1056,2))</f>
        <v/>
      </c>
      <c r="C1056" s="37" t="str">
        <f aca="false">IF($A1056="","",CHOOSE(WEEKDAY($A1056,2),"Seg","Ter","Qua","Qui","Sex","Sáb","Dom"))</f>
        <v/>
      </c>
      <c r="D1056" s="46"/>
      <c r="E1056" s="47"/>
      <c r="F1056" s="47"/>
      <c r="G1056" s="48"/>
      <c r="H1056" s="49"/>
      <c r="I1056" s="50"/>
      <c r="J1056" s="48"/>
      <c r="K1056" s="49"/>
      <c r="L1056" s="50"/>
      <c r="M1056" s="43" t="str">
        <f aca="false">IF(OR($L1056="",$F1056=""),"",IFERROR($L1056/INDEX(Cadastro!$E$6:$E$8,MATCH($F1056,Cadastro!$B$6:$B$8,0)),""))</f>
        <v/>
      </c>
      <c r="N1056" s="43" t="str">
        <f aca="false">IF(OR($L1056="",$I1056="",$I1056=0),"",$L1056/$I1056)</f>
        <v/>
      </c>
      <c r="O1056" s="51"/>
    </row>
    <row r="1057" customFormat="false" ht="15" hidden="false" customHeight="false" outlineLevel="0" collapsed="false">
      <c r="A1057" s="45"/>
      <c r="B1057" s="37" t="str">
        <f aca="false">IF($A1057="","",WEEKNUM($A1057,2))</f>
        <v/>
      </c>
      <c r="C1057" s="37" t="str">
        <f aca="false">IF($A1057="","",CHOOSE(WEEKDAY($A1057,2),"Seg","Ter","Qua","Qui","Sex","Sáb","Dom"))</f>
        <v/>
      </c>
      <c r="D1057" s="46"/>
      <c r="E1057" s="47"/>
      <c r="F1057" s="47"/>
      <c r="G1057" s="48"/>
      <c r="H1057" s="49"/>
      <c r="I1057" s="50"/>
      <c r="J1057" s="48"/>
      <c r="K1057" s="49"/>
      <c r="L1057" s="50"/>
      <c r="M1057" s="43" t="str">
        <f aca="false">IF(OR($L1057="",$F1057=""),"",IFERROR($L1057/INDEX(Cadastro!$E$6:$E$8,MATCH($F1057,Cadastro!$B$6:$B$8,0)),""))</f>
        <v/>
      </c>
      <c r="N1057" s="43" t="str">
        <f aca="false">IF(OR($L1057="",$I1057="",$I1057=0),"",$L1057/$I1057)</f>
        <v/>
      </c>
      <c r="O1057" s="51"/>
    </row>
    <row r="1058" customFormat="false" ht="15" hidden="false" customHeight="false" outlineLevel="0" collapsed="false">
      <c r="A1058" s="45"/>
      <c r="B1058" s="37" t="str">
        <f aca="false">IF($A1058="","",WEEKNUM($A1058,2))</f>
        <v/>
      </c>
      <c r="C1058" s="37" t="str">
        <f aca="false">IF($A1058="","",CHOOSE(WEEKDAY($A1058,2),"Seg","Ter","Qua","Qui","Sex","Sáb","Dom"))</f>
        <v/>
      </c>
      <c r="D1058" s="46"/>
      <c r="E1058" s="47"/>
      <c r="F1058" s="47"/>
      <c r="G1058" s="48"/>
      <c r="H1058" s="49"/>
      <c r="I1058" s="50"/>
      <c r="J1058" s="48"/>
      <c r="K1058" s="49"/>
      <c r="L1058" s="50"/>
      <c r="M1058" s="43" t="str">
        <f aca="false">IF(OR($L1058="",$F1058=""),"",IFERROR($L1058/INDEX(Cadastro!$E$6:$E$8,MATCH($F1058,Cadastro!$B$6:$B$8,0)),""))</f>
        <v/>
      </c>
      <c r="N1058" s="43" t="str">
        <f aca="false">IF(OR($L1058="",$I1058="",$I1058=0),"",$L1058/$I1058)</f>
        <v/>
      </c>
      <c r="O1058" s="51"/>
    </row>
    <row r="1059" customFormat="false" ht="15" hidden="false" customHeight="false" outlineLevel="0" collapsed="false">
      <c r="A1059" s="45"/>
      <c r="B1059" s="37" t="str">
        <f aca="false">IF($A1059="","",WEEKNUM($A1059,2))</f>
        <v/>
      </c>
      <c r="C1059" s="37" t="str">
        <f aca="false">IF($A1059="","",CHOOSE(WEEKDAY($A1059,2),"Seg","Ter","Qua","Qui","Sex","Sáb","Dom"))</f>
        <v/>
      </c>
      <c r="D1059" s="46"/>
      <c r="E1059" s="47"/>
      <c r="F1059" s="47"/>
      <c r="G1059" s="48"/>
      <c r="H1059" s="49"/>
      <c r="I1059" s="50"/>
      <c r="J1059" s="48"/>
      <c r="K1059" s="49"/>
      <c r="L1059" s="50"/>
      <c r="M1059" s="43" t="str">
        <f aca="false">IF(OR($L1059="",$F1059=""),"",IFERROR($L1059/INDEX(Cadastro!$E$6:$E$8,MATCH($F1059,Cadastro!$B$6:$B$8,0)),""))</f>
        <v/>
      </c>
      <c r="N1059" s="43" t="str">
        <f aca="false">IF(OR($L1059="",$I1059="",$I1059=0),"",$L1059/$I1059)</f>
        <v/>
      </c>
      <c r="O1059" s="51"/>
    </row>
    <row r="1060" customFormat="false" ht="15" hidden="false" customHeight="false" outlineLevel="0" collapsed="false">
      <c r="A1060" s="45"/>
      <c r="B1060" s="37" t="str">
        <f aca="false">IF($A1060="","",WEEKNUM($A1060,2))</f>
        <v/>
      </c>
      <c r="C1060" s="37" t="str">
        <f aca="false">IF($A1060="","",CHOOSE(WEEKDAY($A1060,2),"Seg","Ter","Qua","Qui","Sex","Sáb","Dom"))</f>
        <v/>
      </c>
      <c r="D1060" s="46"/>
      <c r="E1060" s="47"/>
      <c r="F1060" s="47"/>
      <c r="G1060" s="48"/>
      <c r="H1060" s="49"/>
      <c r="I1060" s="50"/>
      <c r="J1060" s="48"/>
      <c r="K1060" s="49"/>
      <c r="L1060" s="50"/>
      <c r="M1060" s="43" t="str">
        <f aca="false">IF(OR($L1060="",$F1060=""),"",IFERROR($L1060/INDEX(Cadastro!$E$6:$E$8,MATCH($F1060,Cadastro!$B$6:$B$8,0)),""))</f>
        <v/>
      </c>
      <c r="N1060" s="43" t="str">
        <f aca="false">IF(OR($L1060="",$I1060="",$I1060=0),"",$L1060/$I1060)</f>
        <v/>
      </c>
      <c r="O1060" s="51"/>
    </row>
    <row r="1061" customFormat="false" ht="15" hidden="false" customHeight="false" outlineLevel="0" collapsed="false">
      <c r="A1061" s="45"/>
      <c r="B1061" s="37" t="str">
        <f aca="false">IF($A1061="","",WEEKNUM($A1061,2))</f>
        <v/>
      </c>
      <c r="C1061" s="37" t="str">
        <f aca="false">IF($A1061="","",CHOOSE(WEEKDAY($A1061,2),"Seg","Ter","Qua","Qui","Sex","Sáb","Dom"))</f>
        <v/>
      </c>
      <c r="D1061" s="46"/>
      <c r="E1061" s="47"/>
      <c r="F1061" s="47"/>
      <c r="G1061" s="48"/>
      <c r="H1061" s="49"/>
      <c r="I1061" s="50"/>
      <c r="J1061" s="48"/>
      <c r="K1061" s="49"/>
      <c r="L1061" s="50"/>
      <c r="M1061" s="43" t="str">
        <f aca="false">IF(OR($L1061="",$F1061=""),"",IFERROR($L1061/INDEX(Cadastro!$E$6:$E$8,MATCH($F1061,Cadastro!$B$6:$B$8,0)),""))</f>
        <v/>
      </c>
      <c r="N1061" s="43" t="str">
        <f aca="false">IF(OR($L1061="",$I1061="",$I1061=0),"",$L1061/$I1061)</f>
        <v/>
      </c>
      <c r="O1061" s="51"/>
    </row>
    <row r="1062" customFormat="false" ht="15" hidden="false" customHeight="false" outlineLevel="0" collapsed="false">
      <c r="A1062" s="45"/>
      <c r="B1062" s="37" t="str">
        <f aca="false">IF($A1062="","",WEEKNUM($A1062,2))</f>
        <v/>
      </c>
      <c r="C1062" s="37" t="str">
        <f aca="false">IF($A1062="","",CHOOSE(WEEKDAY($A1062,2),"Seg","Ter","Qua","Qui","Sex","Sáb","Dom"))</f>
        <v/>
      </c>
      <c r="D1062" s="46"/>
      <c r="E1062" s="47"/>
      <c r="F1062" s="47"/>
      <c r="G1062" s="48"/>
      <c r="H1062" s="49"/>
      <c r="I1062" s="50"/>
      <c r="J1062" s="48"/>
      <c r="K1062" s="49"/>
      <c r="L1062" s="50"/>
      <c r="M1062" s="43" t="str">
        <f aca="false">IF(OR($L1062="",$F1062=""),"",IFERROR($L1062/INDEX(Cadastro!$E$6:$E$8,MATCH($F1062,Cadastro!$B$6:$B$8,0)),""))</f>
        <v/>
      </c>
      <c r="N1062" s="43" t="str">
        <f aca="false">IF(OR($L1062="",$I1062="",$I1062=0),"",$L1062/$I1062)</f>
        <v/>
      </c>
      <c r="O1062" s="51"/>
    </row>
    <row r="1063" customFormat="false" ht="15" hidden="false" customHeight="false" outlineLevel="0" collapsed="false">
      <c r="A1063" s="45"/>
      <c r="B1063" s="37" t="str">
        <f aca="false">IF($A1063="","",WEEKNUM($A1063,2))</f>
        <v/>
      </c>
      <c r="C1063" s="37" t="str">
        <f aca="false">IF($A1063="","",CHOOSE(WEEKDAY($A1063,2),"Seg","Ter","Qua","Qui","Sex","Sáb","Dom"))</f>
        <v/>
      </c>
      <c r="D1063" s="46"/>
      <c r="E1063" s="47"/>
      <c r="F1063" s="47"/>
      <c r="G1063" s="48"/>
      <c r="H1063" s="49"/>
      <c r="I1063" s="50"/>
      <c r="J1063" s="48"/>
      <c r="K1063" s="49"/>
      <c r="L1063" s="50"/>
      <c r="M1063" s="43" t="str">
        <f aca="false">IF(OR($L1063="",$F1063=""),"",IFERROR($L1063/INDEX(Cadastro!$E$6:$E$8,MATCH($F1063,Cadastro!$B$6:$B$8,0)),""))</f>
        <v/>
      </c>
      <c r="N1063" s="43" t="str">
        <f aca="false">IF(OR($L1063="",$I1063="",$I1063=0),"",$L1063/$I1063)</f>
        <v/>
      </c>
      <c r="O1063" s="51"/>
    </row>
    <row r="1064" customFormat="false" ht="15" hidden="false" customHeight="false" outlineLevel="0" collapsed="false">
      <c r="A1064" s="45"/>
      <c r="B1064" s="37" t="str">
        <f aca="false">IF($A1064="","",WEEKNUM($A1064,2))</f>
        <v/>
      </c>
      <c r="C1064" s="37" t="str">
        <f aca="false">IF($A1064="","",CHOOSE(WEEKDAY($A1064,2),"Seg","Ter","Qua","Qui","Sex","Sáb","Dom"))</f>
        <v/>
      </c>
      <c r="D1064" s="46"/>
      <c r="E1064" s="47"/>
      <c r="F1064" s="47"/>
      <c r="G1064" s="48"/>
      <c r="H1064" s="49"/>
      <c r="I1064" s="50"/>
      <c r="J1064" s="48"/>
      <c r="K1064" s="49"/>
      <c r="L1064" s="50"/>
      <c r="M1064" s="43" t="str">
        <f aca="false">IF(OR($L1064="",$F1064=""),"",IFERROR($L1064/INDEX(Cadastro!$E$6:$E$8,MATCH($F1064,Cadastro!$B$6:$B$8,0)),""))</f>
        <v/>
      </c>
      <c r="N1064" s="43" t="str">
        <f aca="false">IF(OR($L1064="",$I1064="",$I1064=0),"",$L1064/$I1064)</f>
        <v/>
      </c>
      <c r="O1064" s="51"/>
    </row>
    <row r="1065" customFormat="false" ht="15" hidden="false" customHeight="false" outlineLevel="0" collapsed="false">
      <c r="A1065" s="45"/>
      <c r="B1065" s="37" t="str">
        <f aca="false">IF($A1065="","",WEEKNUM($A1065,2))</f>
        <v/>
      </c>
      <c r="C1065" s="37" t="str">
        <f aca="false">IF($A1065="","",CHOOSE(WEEKDAY($A1065,2),"Seg","Ter","Qua","Qui","Sex","Sáb","Dom"))</f>
        <v/>
      </c>
      <c r="D1065" s="46"/>
      <c r="E1065" s="47"/>
      <c r="F1065" s="47"/>
      <c r="G1065" s="48"/>
      <c r="H1065" s="49"/>
      <c r="I1065" s="50"/>
      <c r="J1065" s="48"/>
      <c r="K1065" s="49"/>
      <c r="L1065" s="50"/>
      <c r="M1065" s="43" t="str">
        <f aca="false">IF(OR($L1065="",$F1065=""),"",IFERROR($L1065/INDEX(Cadastro!$E$6:$E$8,MATCH($F1065,Cadastro!$B$6:$B$8,0)),""))</f>
        <v/>
      </c>
      <c r="N1065" s="43" t="str">
        <f aca="false">IF(OR($L1065="",$I1065="",$I1065=0),"",$L1065/$I1065)</f>
        <v/>
      </c>
      <c r="O1065" s="51"/>
    </row>
    <row r="1066" customFormat="false" ht="15" hidden="false" customHeight="false" outlineLevel="0" collapsed="false">
      <c r="A1066" s="45"/>
      <c r="B1066" s="37" t="str">
        <f aca="false">IF($A1066="","",WEEKNUM($A1066,2))</f>
        <v/>
      </c>
      <c r="C1066" s="37" t="str">
        <f aca="false">IF($A1066="","",CHOOSE(WEEKDAY($A1066,2),"Seg","Ter","Qua","Qui","Sex","Sáb","Dom"))</f>
        <v/>
      </c>
      <c r="D1066" s="46"/>
      <c r="E1066" s="47"/>
      <c r="F1066" s="47"/>
      <c r="G1066" s="48"/>
      <c r="H1066" s="49"/>
      <c r="I1066" s="50"/>
      <c r="J1066" s="48"/>
      <c r="K1066" s="49"/>
      <c r="L1066" s="50"/>
      <c r="M1066" s="43" t="str">
        <f aca="false">IF(OR($L1066="",$F1066=""),"",IFERROR($L1066/INDEX(Cadastro!$E$6:$E$8,MATCH($F1066,Cadastro!$B$6:$B$8,0)),""))</f>
        <v/>
      </c>
      <c r="N1066" s="43" t="str">
        <f aca="false">IF(OR($L1066="",$I1066="",$I1066=0),"",$L1066/$I1066)</f>
        <v/>
      </c>
      <c r="O1066" s="51"/>
    </row>
    <row r="1067" customFormat="false" ht="15" hidden="false" customHeight="false" outlineLevel="0" collapsed="false">
      <c r="A1067" s="45"/>
      <c r="B1067" s="37" t="str">
        <f aca="false">IF($A1067="","",WEEKNUM($A1067,2))</f>
        <v/>
      </c>
      <c r="C1067" s="37" t="str">
        <f aca="false">IF($A1067="","",CHOOSE(WEEKDAY($A1067,2),"Seg","Ter","Qua","Qui","Sex","Sáb","Dom"))</f>
        <v/>
      </c>
      <c r="D1067" s="46"/>
      <c r="E1067" s="47"/>
      <c r="F1067" s="47"/>
      <c r="G1067" s="48"/>
      <c r="H1067" s="49"/>
      <c r="I1067" s="50"/>
      <c r="J1067" s="48"/>
      <c r="K1067" s="49"/>
      <c r="L1067" s="50"/>
      <c r="M1067" s="43" t="str">
        <f aca="false">IF(OR($L1067="",$F1067=""),"",IFERROR($L1067/INDEX(Cadastro!$E$6:$E$8,MATCH($F1067,Cadastro!$B$6:$B$8,0)),""))</f>
        <v/>
      </c>
      <c r="N1067" s="43" t="str">
        <f aca="false">IF(OR($L1067="",$I1067="",$I1067=0),"",$L1067/$I1067)</f>
        <v/>
      </c>
      <c r="O1067" s="51"/>
    </row>
    <row r="1068" customFormat="false" ht="15" hidden="false" customHeight="false" outlineLevel="0" collapsed="false">
      <c r="A1068" s="45"/>
      <c r="B1068" s="37" t="str">
        <f aca="false">IF($A1068="","",WEEKNUM($A1068,2))</f>
        <v/>
      </c>
      <c r="C1068" s="37" t="str">
        <f aca="false">IF($A1068="","",CHOOSE(WEEKDAY($A1068,2),"Seg","Ter","Qua","Qui","Sex","Sáb","Dom"))</f>
        <v/>
      </c>
      <c r="D1068" s="46"/>
      <c r="E1068" s="47"/>
      <c r="F1068" s="47"/>
      <c r="G1068" s="48"/>
      <c r="H1068" s="49"/>
      <c r="I1068" s="50"/>
      <c r="J1068" s="48"/>
      <c r="K1068" s="49"/>
      <c r="L1068" s="50"/>
      <c r="M1068" s="43" t="str">
        <f aca="false">IF(OR($L1068="",$F1068=""),"",IFERROR($L1068/INDEX(Cadastro!$E$6:$E$8,MATCH($F1068,Cadastro!$B$6:$B$8,0)),""))</f>
        <v/>
      </c>
      <c r="N1068" s="43" t="str">
        <f aca="false">IF(OR($L1068="",$I1068="",$I1068=0),"",$L1068/$I1068)</f>
        <v/>
      </c>
      <c r="O1068" s="51"/>
    </row>
    <row r="1069" customFormat="false" ht="15" hidden="false" customHeight="false" outlineLevel="0" collapsed="false">
      <c r="A1069" s="45"/>
      <c r="B1069" s="37" t="str">
        <f aca="false">IF($A1069="","",WEEKNUM($A1069,2))</f>
        <v/>
      </c>
      <c r="C1069" s="37" t="str">
        <f aca="false">IF($A1069="","",CHOOSE(WEEKDAY($A1069,2),"Seg","Ter","Qua","Qui","Sex","Sáb","Dom"))</f>
        <v/>
      </c>
      <c r="D1069" s="46"/>
      <c r="E1069" s="47"/>
      <c r="F1069" s="47"/>
      <c r="G1069" s="48"/>
      <c r="H1069" s="49"/>
      <c r="I1069" s="50"/>
      <c r="J1069" s="48"/>
      <c r="K1069" s="49"/>
      <c r="L1069" s="50"/>
      <c r="M1069" s="43" t="str">
        <f aca="false">IF(OR($L1069="",$F1069=""),"",IFERROR($L1069/INDEX(Cadastro!$E$6:$E$8,MATCH($F1069,Cadastro!$B$6:$B$8,0)),""))</f>
        <v/>
      </c>
      <c r="N1069" s="43" t="str">
        <f aca="false">IF(OR($L1069="",$I1069="",$I1069=0),"",$L1069/$I1069)</f>
        <v/>
      </c>
      <c r="O1069" s="51"/>
    </row>
    <row r="1070" customFormat="false" ht="15" hidden="false" customHeight="false" outlineLevel="0" collapsed="false">
      <c r="A1070" s="45"/>
      <c r="B1070" s="37" t="str">
        <f aca="false">IF($A1070="","",WEEKNUM($A1070,2))</f>
        <v/>
      </c>
      <c r="C1070" s="37" t="str">
        <f aca="false">IF($A1070="","",CHOOSE(WEEKDAY($A1070,2),"Seg","Ter","Qua","Qui","Sex","Sáb","Dom"))</f>
        <v/>
      </c>
      <c r="D1070" s="46"/>
      <c r="E1070" s="47"/>
      <c r="F1070" s="47"/>
      <c r="G1070" s="48"/>
      <c r="H1070" s="49"/>
      <c r="I1070" s="50"/>
      <c r="J1070" s="48"/>
      <c r="K1070" s="49"/>
      <c r="L1070" s="50"/>
      <c r="M1070" s="43" t="str">
        <f aca="false">IF(OR($L1070="",$F1070=""),"",IFERROR($L1070/INDEX(Cadastro!$E$6:$E$8,MATCH($F1070,Cadastro!$B$6:$B$8,0)),""))</f>
        <v/>
      </c>
      <c r="N1070" s="43" t="str">
        <f aca="false">IF(OR($L1070="",$I1070="",$I1070=0),"",$L1070/$I1070)</f>
        <v/>
      </c>
      <c r="O1070" s="51"/>
    </row>
    <row r="1071" customFormat="false" ht="15" hidden="false" customHeight="false" outlineLevel="0" collapsed="false">
      <c r="A1071" s="45"/>
      <c r="B1071" s="37" t="str">
        <f aca="false">IF($A1071="","",WEEKNUM($A1071,2))</f>
        <v/>
      </c>
      <c r="C1071" s="37" t="str">
        <f aca="false">IF($A1071="","",CHOOSE(WEEKDAY($A1071,2),"Seg","Ter","Qua","Qui","Sex","Sáb","Dom"))</f>
        <v/>
      </c>
      <c r="D1071" s="46"/>
      <c r="E1071" s="47"/>
      <c r="F1071" s="47"/>
      <c r="G1071" s="48"/>
      <c r="H1071" s="49"/>
      <c r="I1071" s="50"/>
      <c r="J1071" s="48"/>
      <c r="K1071" s="49"/>
      <c r="L1071" s="50"/>
      <c r="M1071" s="43" t="str">
        <f aca="false">IF(OR($L1071="",$F1071=""),"",IFERROR($L1071/INDEX(Cadastro!$E$6:$E$8,MATCH($F1071,Cadastro!$B$6:$B$8,0)),""))</f>
        <v/>
      </c>
      <c r="N1071" s="43" t="str">
        <f aca="false">IF(OR($L1071="",$I1071="",$I1071=0),"",$L1071/$I1071)</f>
        <v/>
      </c>
      <c r="O1071" s="51"/>
    </row>
    <row r="1072" customFormat="false" ht="15" hidden="false" customHeight="false" outlineLevel="0" collapsed="false">
      <c r="A1072" s="45"/>
      <c r="B1072" s="37" t="str">
        <f aca="false">IF($A1072="","",WEEKNUM($A1072,2))</f>
        <v/>
      </c>
      <c r="C1072" s="37" t="str">
        <f aca="false">IF($A1072="","",CHOOSE(WEEKDAY($A1072,2),"Seg","Ter","Qua","Qui","Sex","Sáb","Dom"))</f>
        <v/>
      </c>
      <c r="D1072" s="46"/>
      <c r="E1072" s="47"/>
      <c r="F1072" s="47"/>
      <c r="G1072" s="48"/>
      <c r="H1072" s="49"/>
      <c r="I1072" s="50"/>
      <c r="J1072" s="48"/>
      <c r="K1072" s="49"/>
      <c r="L1072" s="50"/>
      <c r="M1072" s="43" t="str">
        <f aca="false">IF(OR($L1072="",$F1072=""),"",IFERROR($L1072/INDEX(Cadastro!$E$6:$E$8,MATCH($F1072,Cadastro!$B$6:$B$8,0)),""))</f>
        <v/>
      </c>
      <c r="N1072" s="43" t="str">
        <f aca="false">IF(OR($L1072="",$I1072="",$I1072=0),"",$L1072/$I1072)</f>
        <v/>
      </c>
      <c r="O1072" s="51"/>
    </row>
    <row r="1073" customFormat="false" ht="15" hidden="false" customHeight="false" outlineLevel="0" collapsed="false">
      <c r="A1073" s="45"/>
      <c r="B1073" s="37" t="str">
        <f aca="false">IF($A1073="","",WEEKNUM($A1073,2))</f>
        <v/>
      </c>
      <c r="C1073" s="37" t="str">
        <f aca="false">IF($A1073="","",CHOOSE(WEEKDAY($A1073,2),"Seg","Ter","Qua","Qui","Sex","Sáb","Dom"))</f>
        <v/>
      </c>
      <c r="D1073" s="46"/>
      <c r="E1073" s="47"/>
      <c r="F1073" s="47"/>
      <c r="G1073" s="48"/>
      <c r="H1073" s="49"/>
      <c r="I1073" s="50"/>
      <c r="J1073" s="48"/>
      <c r="K1073" s="49"/>
      <c r="L1073" s="50"/>
      <c r="M1073" s="43" t="str">
        <f aca="false">IF(OR($L1073="",$F1073=""),"",IFERROR($L1073/INDEX(Cadastro!$E$6:$E$8,MATCH($F1073,Cadastro!$B$6:$B$8,0)),""))</f>
        <v/>
      </c>
      <c r="N1073" s="43" t="str">
        <f aca="false">IF(OR($L1073="",$I1073="",$I1073=0),"",$L1073/$I1073)</f>
        <v/>
      </c>
      <c r="O1073" s="51"/>
    </row>
    <row r="1074" customFormat="false" ht="15" hidden="false" customHeight="false" outlineLevel="0" collapsed="false">
      <c r="A1074" s="45"/>
      <c r="B1074" s="37" t="str">
        <f aca="false">IF($A1074="","",WEEKNUM($A1074,2))</f>
        <v/>
      </c>
      <c r="C1074" s="37" t="str">
        <f aca="false">IF($A1074="","",CHOOSE(WEEKDAY($A1074,2),"Seg","Ter","Qua","Qui","Sex","Sáb","Dom"))</f>
        <v/>
      </c>
      <c r="D1074" s="46"/>
      <c r="E1074" s="47"/>
      <c r="F1074" s="47"/>
      <c r="G1074" s="48"/>
      <c r="H1074" s="49"/>
      <c r="I1074" s="50"/>
      <c r="J1074" s="48"/>
      <c r="K1074" s="49"/>
      <c r="L1074" s="50"/>
      <c r="M1074" s="43" t="str">
        <f aca="false">IF(OR($L1074="",$F1074=""),"",IFERROR($L1074/INDEX(Cadastro!$E$6:$E$8,MATCH($F1074,Cadastro!$B$6:$B$8,0)),""))</f>
        <v/>
      </c>
      <c r="N1074" s="43" t="str">
        <f aca="false">IF(OR($L1074="",$I1074="",$I1074=0),"",$L1074/$I1074)</f>
        <v/>
      </c>
      <c r="O1074" s="51"/>
    </row>
    <row r="1075" customFormat="false" ht="15" hidden="false" customHeight="false" outlineLevel="0" collapsed="false">
      <c r="A1075" s="45"/>
      <c r="B1075" s="37" t="str">
        <f aca="false">IF($A1075="","",WEEKNUM($A1075,2))</f>
        <v/>
      </c>
      <c r="C1075" s="37" t="str">
        <f aca="false">IF($A1075="","",CHOOSE(WEEKDAY($A1075,2),"Seg","Ter","Qua","Qui","Sex","Sáb","Dom"))</f>
        <v/>
      </c>
      <c r="D1075" s="46"/>
      <c r="E1075" s="47"/>
      <c r="F1075" s="47"/>
      <c r="G1075" s="48"/>
      <c r="H1075" s="49"/>
      <c r="I1075" s="50"/>
      <c r="J1075" s="48"/>
      <c r="K1075" s="49"/>
      <c r="L1075" s="50"/>
      <c r="M1075" s="43" t="str">
        <f aca="false">IF(OR($L1075="",$F1075=""),"",IFERROR($L1075/INDEX(Cadastro!$E$6:$E$8,MATCH($F1075,Cadastro!$B$6:$B$8,0)),""))</f>
        <v/>
      </c>
      <c r="N1075" s="43" t="str">
        <f aca="false">IF(OR($L1075="",$I1075="",$I1075=0),"",$L1075/$I1075)</f>
        <v/>
      </c>
      <c r="O1075" s="51"/>
    </row>
    <row r="1076" customFormat="false" ht="15" hidden="false" customHeight="false" outlineLevel="0" collapsed="false">
      <c r="A1076" s="45"/>
      <c r="B1076" s="37" t="str">
        <f aca="false">IF($A1076="","",WEEKNUM($A1076,2))</f>
        <v/>
      </c>
      <c r="C1076" s="37" t="str">
        <f aca="false">IF($A1076="","",CHOOSE(WEEKDAY($A1076,2),"Seg","Ter","Qua","Qui","Sex","Sáb","Dom"))</f>
        <v/>
      </c>
      <c r="D1076" s="46"/>
      <c r="E1076" s="47"/>
      <c r="F1076" s="47"/>
      <c r="G1076" s="48"/>
      <c r="H1076" s="49"/>
      <c r="I1076" s="50"/>
      <c r="J1076" s="48"/>
      <c r="K1076" s="49"/>
      <c r="L1076" s="50"/>
      <c r="M1076" s="43" t="str">
        <f aca="false">IF(OR($L1076="",$F1076=""),"",IFERROR($L1076/INDEX(Cadastro!$E$6:$E$8,MATCH($F1076,Cadastro!$B$6:$B$8,0)),""))</f>
        <v/>
      </c>
      <c r="N1076" s="43" t="str">
        <f aca="false">IF(OR($L1076="",$I1076="",$I1076=0),"",$L1076/$I1076)</f>
        <v/>
      </c>
      <c r="O1076" s="51"/>
    </row>
    <row r="1077" customFormat="false" ht="15" hidden="false" customHeight="false" outlineLevel="0" collapsed="false">
      <c r="A1077" s="45"/>
      <c r="B1077" s="37" t="str">
        <f aca="false">IF($A1077="","",WEEKNUM($A1077,2))</f>
        <v/>
      </c>
      <c r="C1077" s="37" t="str">
        <f aca="false">IF($A1077="","",CHOOSE(WEEKDAY($A1077,2),"Seg","Ter","Qua","Qui","Sex","Sáb","Dom"))</f>
        <v/>
      </c>
      <c r="D1077" s="46"/>
      <c r="E1077" s="47"/>
      <c r="F1077" s="47"/>
      <c r="G1077" s="48"/>
      <c r="H1077" s="49"/>
      <c r="I1077" s="50"/>
      <c r="J1077" s="48"/>
      <c r="K1077" s="49"/>
      <c r="L1077" s="50"/>
      <c r="M1077" s="43" t="str">
        <f aca="false">IF(OR($L1077="",$F1077=""),"",IFERROR($L1077/INDEX(Cadastro!$E$6:$E$8,MATCH($F1077,Cadastro!$B$6:$B$8,0)),""))</f>
        <v/>
      </c>
      <c r="N1077" s="43" t="str">
        <f aca="false">IF(OR($L1077="",$I1077="",$I1077=0),"",$L1077/$I1077)</f>
        <v/>
      </c>
      <c r="O1077" s="51"/>
    </row>
    <row r="1078" customFormat="false" ht="15" hidden="false" customHeight="false" outlineLevel="0" collapsed="false">
      <c r="A1078" s="45"/>
      <c r="B1078" s="37" t="str">
        <f aca="false">IF($A1078="","",WEEKNUM($A1078,2))</f>
        <v/>
      </c>
      <c r="C1078" s="37" t="str">
        <f aca="false">IF($A1078="","",CHOOSE(WEEKDAY($A1078,2),"Seg","Ter","Qua","Qui","Sex","Sáb","Dom"))</f>
        <v/>
      </c>
      <c r="D1078" s="46"/>
      <c r="E1078" s="47"/>
      <c r="F1078" s="47"/>
      <c r="G1078" s="48"/>
      <c r="H1078" s="49"/>
      <c r="I1078" s="50"/>
      <c r="J1078" s="48"/>
      <c r="K1078" s="49"/>
      <c r="L1078" s="50"/>
      <c r="M1078" s="43" t="str">
        <f aca="false">IF(OR($L1078="",$F1078=""),"",IFERROR($L1078/INDEX(Cadastro!$E$6:$E$8,MATCH($F1078,Cadastro!$B$6:$B$8,0)),""))</f>
        <v/>
      </c>
      <c r="N1078" s="43" t="str">
        <f aca="false">IF(OR($L1078="",$I1078="",$I1078=0),"",$L1078/$I1078)</f>
        <v/>
      </c>
      <c r="O1078" s="51"/>
    </row>
    <row r="1079" customFormat="false" ht="15" hidden="false" customHeight="false" outlineLevel="0" collapsed="false">
      <c r="A1079" s="45"/>
      <c r="B1079" s="37" t="str">
        <f aca="false">IF($A1079="","",WEEKNUM($A1079,2))</f>
        <v/>
      </c>
      <c r="C1079" s="37" t="str">
        <f aca="false">IF($A1079="","",CHOOSE(WEEKDAY($A1079,2),"Seg","Ter","Qua","Qui","Sex","Sáb","Dom"))</f>
        <v/>
      </c>
      <c r="D1079" s="46"/>
      <c r="E1079" s="47"/>
      <c r="F1079" s="47"/>
      <c r="G1079" s="48"/>
      <c r="H1079" s="49"/>
      <c r="I1079" s="50"/>
      <c r="J1079" s="48"/>
      <c r="K1079" s="49"/>
      <c r="L1079" s="50"/>
      <c r="M1079" s="43" t="str">
        <f aca="false">IF(OR($L1079="",$F1079=""),"",IFERROR($L1079/INDEX(Cadastro!$E$6:$E$8,MATCH($F1079,Cadastro!$B$6:$B$8,0)),""))</f>
        <v/>
      </c>
      <c r="N1079" s="43" t="str">
        <f aca="false">IF(OR($L1079="",$I1079="",$I1079=0),"",$L1079/$I1079)</f>
        <v/>
      </c>
      <c r="O1079" s="51"/>
    </row>
    <row r="1080" customFormat="false" ht="15" hidden="false" customHeight="false" outlineLevel="0" collapsed="false">
      <c r="A1080" s="45"/>
      <c r="B1080" s="37" t="str">
        <f aca="false">IF($A1080="","",WEEKNUM($A1080,2))</f>
        <v/>
      </c>
      <c r="C1080" s="37" t="str">
        <f aca="false">IF($A1080="","",CHOOSE(WEEKDAY($A1080,2),"Seg","Ter","Qua","Qui","Sex","Sáb","Dom"))</f>
        <v/>
      </c>
      <c r="D1080" s="46"/>
      <c r="E1080" s="47"/>
      <c r="F1080" s="47"/>
      <c r="G1080" s="48"/>
      <c r="H1080" s="49"/>
      <c r="I1080" s="50"/>
      <c r="J1080" s="48"/>
      <c r="K1080" s="49"/>
      <c r="L1080" s="50"/>
      <c r="M1080" s="43" t="str">
        <f aca="false">IF(OR($L1080="",$F1080=""),"",IFERROR($L1080/INDEX(Cadastro!$E$6:$E$8,MATCH($F1080,Cadastro!$B$6:$B$8,0)),""))</f>
        <v/>
      </c>
      <c r="N1080" s="43" t="str">
        <f aca="false">IF(OR($L1080="",$I1080="",$I1080=0),"",$L1080/$I1080)</f>
        <v/>
      </c>
      <c r="O1080" s="51"/>
    </row>
    <row r="1081" customFormat="false" ht="15" hidden="false" customHeight="false" outlineLevel="0" collapsed="false">
      <c r="A1081" s="45"/>
      <c r="B1081" s="37" t="str">
        <f aca="false">IF($A1081="","",WEEKNUM($A1081,2))</f>
        <v/>
      </c>
      <c r="C1081" s="37" t="str">
        <f aca="false">IF($A1081="","",CHOOSE(WEEKDAY($A1081,2),"Seg","Ter","Qua","Qui","Sex","Sáb","Dom"))</f>
        <v/>
      </c>
      <c r="D1081" s="46"/>
      <c r="E1081" s="47"/>
      <c r="F1081" s="47"/>
      <c r="G1081" s="48"/>
      <c r="H1081" s="49"/>
      <c r="I1081" s="50"/>
      <c r="J1081" s="48"/>
      <c r="K1081" s="49"/>
      <c r="L1081" s="50"/>
      <c r="M1081" s="43" t="str">
        <f aca="false">IF(OR($L1081="",$F1081=""),"",IFERROR($L1081/INDEX(Cadastro!$E$6:$E$8,MATCH($F1081,Cadastro!$B$6:$B$8,0)),""))</f>
        <v/>
      </c>
      <c r="N1081" s="43" t="str">
        <f aca="false">IF(OR($L1081="",$I1081="",$I1081=0),"",$L1081/$I1081)</f>
        <v/>
      </c>
      <c r="O1081" s="51"/>
    </row>
    <row r="1082" customFormat="false" ht="15" hidden="false" customHeight="false" outlineLevel="0" collapsed="false">
      <c r="A1082" s="45"/>
      <c r="B1082" s="37" t="str">
        <f aca="false">IF($A1082="","",WEEKNUM($A1082,2))</f>
        <v/>
      </c>
      <c r="C1082" s="37" t="str">
        <f aca="false">IF($A1082="","",CHOOSE(WEEKDAY($A1082,2),"Seg","Ter","Qua","Qui","Sex","Sáb","Dom"))</f>
        <v/>
      </c>
      <c r="D1082" s="46"/>
      <c r="E1082" s="47"/>
      <c r="F1082" s="47"/>
      <c r="G1082" s="48"/>
      <c r="H1082" s="49"/>
      <c r="I1082" s="50"/>
      <c r="J1082" s="48"/>
      <c r="K1082" s="49"/>
      <c r="L1082" s="50"/>
      <c r="M1082" s="43" t="str">
        <f aca="false">IF(OR($L1082="",$F1082=""),"",IFERROR($L1082/INDEX(Cadastro!$E$6:$E$8,MATCH($F1082,Cadastro!$B$6:$B$8,0)),""))</f>
        <v/>
      </c>
      <c r="N1082" s="43" t="str">
        <f aca="false">IF(OR($L1082="",$I1082="",$I1082=0),"",$L1082/$I1082)</f>
        <v/>
      </c>
      <c r="O1082" s="51"/>
    </row>
    <row r="1083" customFormat="false" ht="15" hidden="false" customHeight="false" outlineLevel="0" collapsed="false">
      <c r="A1083" s="45"/>
      <c r="B1083" s="37" t="str">
        <f aca="false">IF($A1083="","",WEEKNUM($A1083,2))</f>
        <v/>
      </c>
      <c r="C1083" s="37" t="str">
        <f aca="false">IF($A1083="","",CHOOSE(WEEKDAY($A1083,2),"Seg","Ter","Qua","Qui","Sex","Sáb","Dom"))</f>
        <v/>
      </c>
      <c r="D1083" s="46"/>
      <c r="E1083" s="47"/>
      <c r="F1083" s="47"/>
      <c r="G1083" s="48"/>
      <c r="H1083" s="49"/>
      <c r="I1083" s="50"/>
      <c r="J1083" s="48"/>
      <c r="K1083" s="49"/>
      <c r="L1083" s="50"/>
      <c r="M1083" s="43" t="str">
        <f aca="false">IF(OR($L1083="",$F1083=""),"",IFERROR($L1083/INDEX(Cadastro!$E$6:$E$8,MATCH($F1083,Cadastro!$B$6:$B$8,0)),""))</f>
        <v/>
      </c>
      <c r="N1083" s="43" t="str">
        <f aca="false">IF(OR($L1083="",$I1083="",$I1083=0),"",$L1083/$I1083)</f>
        <v/>
      </c>
      <c r="O1083" s="51"/>
    </row>
    <row r="1084" customFormat="false" ht="15" hidden="false" customHeight="false" outlineLevel="0" collapsed="false">
      <c r="A1084" s="45"/>
      <c r="B1084" s="37" t="str">
        <f aca="false">IF($A1084="","",WEEKNUM($A1084,2))</f>
        <v/>
      </c>
      <c r="C1084" s="37" t="str">
        <f aca="false">IF($A1084="","",CHOOSE(WEEKDAY($A1084,2),"Seg","Ter","Qua","Qui","Sex","Sáb","Dom"))</f>
        <v/>
      </c>
      <c r="D1084" s="46"/>
      <c r="E1084" s="47"/>
      <c r="F1084" s="47"/>
      <c r="G1084" s="48"/>
      <c r="H1084" s="49"/>
      <c r="I1084" s="50"/>
      <c r="J1084" s="48"/>
      <c r="K1084" s="49"/>
      <c r="L1084" s="50"/>
      <c r="M1084" s="43" t="str">
        <f aca="false">IF(OR($L1084="",$F1084=""),"",IFERROR($L1084/INDEX(Cadastro!$E$6:$E$8,MATCH($F1084,Cadastro!$B$6:$B$8,0)),""))</f>
        <v/>
      </c>
      <c r="N1084" s="43" t="str">
        <f aca="false">IF(OR($L1084="",$I1084="",$I1084=0),"",$L1084/$I1084)</f>
        <v/>
      </c>
      <c r="O1084" s="51"/>
    </row>
    <row r="1085" customFormat="false" ht="15" hidden="false" customHeight="false" outlineLevel="0" collapsed="false">
      <c r="A1085" s="45"/>
      <c r="B1085" s="37" t="str">
        <f aca="false">IF($A1085="","",WEEKNUM($A1085,2))</f>
        <v/>
      </c>
      <c r="C1085" s="37" t="str">
        <f aca="false">IF($A1085="","",CHOOSE(WEEKDAY($A1085,2),"Seg","Ter","Qua","Qui","Sex","Sáb","Dom"))</f>
        <v/>
      </c>
      <c r="D1085" s="46"/>
      <c r="E1085" s="47"/>
      <c r="F1085" s="47"/>
      <c r="G1085" s="48"/>
      <c r="H1085" s="49"/>
      <c r="I1085" s="50"/>
      <c r="J1085" s="48"/>
      <c r="K1085" s="49"/>
      <c r="L1085" s="50"/>
      <c r="M1085" s="43" t="str">
        <f aca="false">IF(OR($L1085="",$F1085=""),"",IFERROR($L1085/INDEX(Cadastro!$E$6:$E$8,MATCH($F1085,Cadastro!$B$6:$B$8,0)),""))</f>
        <v/>
      </c>
      <c r="N1085" s="43" t="str">
        <f aca="false">IF(OR($L1085="",$I1085="",$I1085=0),"",$L1085/$I1085)</f>
        <v/>
      </c>
      <c r="O1085" s="51"/>
    </row>
    <row r="1086" customFormat="false" ht="15" hidden="false" customHeight="false" outlineLevel="0" collapsed="false">
      <c r="A1086" s="45"/>
      <c r="B1086" s="37" t="str">
        <f aca="false">IF($A1086="","",WEEKNUM($A1086,2))</f>
        <v/>
      </c>
      <c r="C1086" s="37" t="str">
        <f aca="false">IF($A1086="","",CHOOSE(WEEKDAY($A1086,2),"Seg","Ter","Qua","Qui","Sex","Sáb","Dom"))</f>
        <v/>
      </c>
      <c r="D1086" s="46"/>
      <c r="E1086" s="47"/>
      <c r="F1086" s="47"/>
      <c r="G1086" s="48"/>
      <c r="H1086" s="49"/>
      <c r="I1086" s="50"/>
      <c r="J1086" s="48"/>
      <c r="K1086" s="49"/>
      <c r="L1086" s="50"/>
      <c r="M1086" s="43" t="str">
        <f aca="false">IF(OR($L1086="",$F1086=""),"",IFERROR($L1086/INDEX(Cadastro!$E$6:$E$8,MATCH($F1086,Cadastro!$B$6:$B$8,0)),""))</f>
        <v/>
      </c>
      <c r="N1086" s="43" t="str">
        <f aca="false">IF(OR($L1086="",$I1086="",$I1086=0),"",$L1086/$I1086)</f>
        <v/>
      </c>
      <c r="O1086" s="51"/>
    </row>
    <row r="1087" customFormat="false" ht="15" hidden="false" customHeight="false" outlineLevel="0" collapsed="false">
      <c r="A1087" s="45"/>
      <c r="B1087" s="37" t="str">
        <f aca="false">IF($A1087="","",WEEKNUM($A1087,2))</f>
        <v/>
      </c>
      <c r="C1087" s="37" t="str">
        <f aca="false">IF($A1087="","",CHOOSE(WEEKDAY($A1087,2),"Seg","Ter","Qua","Qui","Sex","Sáb","Dom"))</f>
        <v/>
      </c>
      <c r="D1087" s="46"/>
      <c r="E1087" s="47"/>
      <c r="F1087" s="47"/>
      <c r="G1087" s="48"/>
      <c r="H1087" s="49"/>
      <c r="I1087" s="50"/>
      <c r="J1087" s="48"/>
      <c r="K1087" s="49"/>
      <c r="L1087" s="50"/>
      <c r="M1087" s="43" t="str">
        <f aca="false">IF(OR($L1087="",$F1087=""),"",IFERROR($L1087/INDEX(Cadastro!$E$6:$E$8,MATCH($F1087,Cadastro!$B$6:$B$8,0)),""))</f>
        <v/>
      </c>
      <c r="N1087" s="43" t="str">
        <f aca="false">IF(OR($L1087="",$I1087="",$I1087=0),"",$L1087/$I1087)</f>
        <v/>
      </c>
      <c r="O1087" s="51"/>
    </row>
    <row r="1088" customFormat="false" ht="15" hidden="false" customHeight="false" outlineLevel="0" collapsed="false">
      <c r="A1088" s="45"/>
      <c r="B1088" s="37" t="str">
        <f aca="false">IF($A1088="","",WEEKNUM($A1088,2))</f>
        <v/>
      </c>
      <c r="C1088" s="37" t="str">
        <f aca="false">IF($A1088="","",CHOOSE(WEEKDAY($A1088,2),"Seg","Ter","Qua","Qui","Sex","Sáb","Dom"))</f>
        <v/>
      </c>
      <c r="D1088" s="46"/>
      <c r="E1088" s="47"/>
      <c r="F1088" s="47"/>
      <c r="G1088" s="48"/>
      <c r="H1088" s="49"/>
      <c r="I1088" s="50"/>
      <c r="J1088" s="48"/>
      <c r="K1088" s="49"/>
      <c r="L1088" s="50"/>
      <c r="M1088" s="43" t="str">
        <f aca="false">IF(OR($L1088="",$F1088=""),"",IFERROR($L1088/INDEX(Cadastro!$E$6:$E$8,MATCH($F1088,Cadastro!$B$6:$B$8,0)),""))</f>
        <v/>
      </c>
      <c r="N1088" s="43" t="str">
        <f aca="false">IF(OR($L1088="",$I1088="",$I1088=0),"",$L1088/$I1088)</f>
        <v/>
      </c>
      <c r="O1088" s="51"/>
    </row>
    <row r="1089" customFormat="false" ht="15" hidden="false" customHeight="false" outlineLevel="0" collapsed="false">
      <c r="A1089" s="45"/>
      <c r="B1089" s="37" t="str">
        <f aca="false">IF($A1089="","",WEEKNUM($A1089,2))</f>
        <v/>
      </c>
      <c r="C1089" s="37" t="str">
        <f aca="false">IF($A1089="","",CHOOSE(WEEKDAY($A1089,2),"Seg","Ter","Qua","Qui","Sex","Sáb","Dom"))</f>
        <v/>
      </c>
      <c r="D1089" s="46"/>
      <c r="E1089" s="47"/>
      <c r="F1089" s="47"/>
      <c r="G1089" s="48"/>
      <c r="H1089" s="49"/>
      <c r="I1089" s="50"/>
      <c r="J1089" s="48"/>
      <c r="K1089" s="49"/>
      <c r="L1089" s="50"/>
      <c r="M1089" s="43" t="str">
        <f aca="false">IF(OR($L1089="",$F1089=""),"",IFERROR($L1089/INDEX(Cadastro!$E$6:$E$8,MATCH($F1089,Cadastro!$B$6:$B$8,0)),""))</f>
        <v/>
      </c>
      <c r="N1089" s="43" t="str">
        <f aca="false">IF(OR($L1089="",$I1089="",$I1089=0),"",$L1089/$I1089)</f>
        <v/>
      </c>
      <c r="O1089" s="51"/>
    </row>
    <row r="1090" customFormat="false" ht="15" hidden="false" customHeight="false" outlineLevel="0" collapsed="false">
      <c r="A1090" s="45"/>
      <c r="B1090" s="37" t="str">
        <f aca="false">IF($A1090="","",WEEKNUM($A1090,2))</f>
        <v/>
      </c>
      <c r="C1090" s="37" t="str">
        <f aca="false">IF($A1090="","",CHOOSE(WEEKDAY($A1090,2),"Seg","Ter","Qua","Qui","Sex","Sáb","Dom"))</f>
        <v/>
      </c>
      <c r="D1090" s="46"/>
      <c r="E1090" s="47"/>
      <c r="F1090" s="47"/>
      <c r="G1090" s="48"/>
      <c r="H1090" s="49"/>
      <c r="I1090" s="50"/>
      <c r="J1090" s="48"/>
      <c r="K1090" s="49"/>
      <c r="L1090" s="50"/>
      <c r="M1090" s="43" t="str">
        <f aca="false">IF(OR($L1090="",$F1090=""),"",IFERROR($L1090/INDEX(Cadastro!$E$6:$E$8,MATCH($F1090,Cadastro!$B$6:$B$8,0)),""))</f>
        <v/>
      </c>
      <c r="N1090" s="43" t="str">
        <f aca="false">IF(OR($L1090="",$I1090="",$I1090=0),"",$L1090/$I1090)</f>
        <v/>
      </c>
      <c r="O1090" s="51"/>
    </row>
    <row r="1091" customFormat="false" ht="15" hidden="false" customHeight="false" outlineLevel="0" collapsed="false">
      <c r="A1091" s="45"/>
      <c r="B1091" s="37" t="str">
        <f aca="false">IF($A1091="","",WEEKNUM($A1091,2))</f>
        <v/>
      </c>
      <c r="C1091" s="37" t="str">
        <f aca="false">IF($A1091="","",CHOOSE(WEEKDAY($A1091,2),"Seg","Ter","Qua","Qui","Sex","Sáb","Dom"))</f>
        <v/>
      </c>
      <c r="D1091" s="46"/>
      <c r="E1091" s="47"/>
      <c r="F1091" s="47"/>
      <c r="G1091" s="48"/>
      <c r="H1091" s="49"/>
      <c r="I1091" s="50"/>
      <c r="J1091" s="48"/>
      <c r="K1091" s="49"/>
      <c r="L1091" s="50"/>
      <c r="M1091" s="43" t="str">
        <f aca="false">IF(OR($L1091="",$F1091=""),"",IFERROR($L1091/INDEX(Cadastro!$E$6:$E$8,MATCH($F1091,Cadastro!$B$6:$B$8,0)),""))</f>
        <v/>
      </c>
      <c r="N1091" s="43" t="str">
        <f aca="false">IF(OR($L1091="",$I1091="",$I1091=0),"",$L1091/$I1091)</f>
        <v/>
      </c>
      <c r="O1091" s="51"/>
    </row>
    <row r="1092" customFormat="false" ht="15" hidden="false" customHeight="false" outlineLevel="0" collapsed="false">
      <c r="A1092" s="45"/>
      <c r="B1092" s="37" t="str">
        <f aca="false">IF($A1092="","",WEEKNUM($A1092,2))</f>
        <v/>
      </c>
      <c r="C1092" s="37" t="str">
        <f aca="false">IF($A1092="","",CHOOSE(WEEKDAY($A1092,2),"Seg","Ter","Qua","Qui","Sex","Sáb","Dom"))</f>
        <v/>
      </c>
      <c r="D1092" s="46"/>
      <c r="E1092" s="47"/>
      <c r="F1092" s="47"/>
      <c r="G1092" s="48"/>
      <c r="H1092" s="49"/>
      <c r="I1092" s="50"/>
      <c r="J1092" s="48"/>
      <c r="K1092" s="49"/>
      <c r="L1092" s="50"/>
      <c r="M1092" s="43" t="str">
        <f aca="false">IF(OR($L1092="",$F1092=""),"",IFERROR($L1092/INDEX(Cadastro!$E$6:$E$8,MATCH($F1092,Cadastro!$B$6:$B$8,0)),""))</f>
        <v/>
      </c>
      <c r="N1092" s="43" t="str">
        <f aca="false">IF(OR($L1092="",$I1092="",$I1092=0),"",$L1092/$I1092)</f>
        <v/>
      </c>
      <c r="O1092" s="51"/>
    </row>
    <row r="1093" customFormat="false" ht="15" hidden="false" customHeight="false" outlineLevel="0" collapsed="false">
      <c r="A1093" s="45"/>
      <c r="B1093" s="37" t="str">
        <f aca="false">IF($A1093="","",WEEKNUM($A1093,2))</f>
        <v/>
      </c>
      <c r="C1093" s="37" t="str">
        <f aca="false">IF($A1093="","",CHOOSE(WEEKDAY($A1093,2),"Seg","Ter","Qua","Qui","Sex","Sáb","Dom"))</f>
        <v/>
      </c>
      <c r="D1093" s="46"/>
      <c r="E1093" s="47"/>
      <c r="F1093" s="47"/>
      <c r="G1093" s="48"/>
      <c r="H1093" s="49"/>
      <c r="I1093" s="50"/>
      <c r="J1093" s="48"/>
      <c r="K1093" s="49"/>
      <c r="L1093" s="50"/>
      <c r="M1093" s="43" t="str">
        <f aca="false">IF(OR($L1093="",$F1093=""),"",IFERROR($L1093/INDEX(Cadastro!$E$6:$E$8,MATCH($F1093,Cadastro!$B$6:$B$8,0)),""))</f>
        <v/>
      </c>
      <c r="N1093" s="43" t="str">
        <f aca="false">IF(OR($L1093="",$I1093="",$I1093=0),"",$L1093/$I1093)</f>
        <v/>
      </c>
      <c r="O1093" s="51"/>
    </row>
    <row r="1094" customFormat="false" ht="15" hidden="false" customHeight="false" outlineLevel="0" collapsed="false">
      <c r="A1094" s="45"/>
      <c r="B1094" s="37" t="str">
        <f aca="false">IF($A1094="","",WEEKNUM($A1094,2))</f>
        <v/>
      </c>
      <c r="C1094" s="37" t="str">
        <f aca="false">IF($A1094="","",CHOOSE(WEEKDAY($A1094,2),"Seg","Ter","Qua","Qui","Sex","Sáb","Dom"))</f>
        <v/>
      </c>
      <c r="D1094" s="46"/>
      <c r="E1094" s="47"/>
      <c r="F1094" s="47"/>
      <c r="G1094" s="48"/>
      <c r="H1094" s="49"/>
      <c r="I1094" s="50"/>
      <c r="J1094" s="48"/>
      <c r="K1094" s="49"/>
      <c r="L1094" s="50"/>
      <c r="M1094" s="43" t="str">
        <f aca="false">IF(OR($L1094="",$F1094=""),"",IFERROR($L1094/INDEX(Cadastro!$E$6:$E$8,MATCH($F1094,Cadastro!$B$6:$B$8,0)),""))</f>
        <v/>
      </c>
      <c r="N1094" s="43" t="str">
        <f aca="false">IF(OR($L1094="",$I1094="",$I1094=0),"",$L1094/$I1094)</f>
        <v/>
      </c>
      <c r="O1094" s="51"/>
    </row>
    <row r="1095" customFormat="false" ht="15" hidden="false" customHeight="false" outlineLevel="0" collapsed="false">
      <c r="A1095" s="45"/>
      <c r="B1095" s="37" t="str">
        <f aca="false">IF($A1095="","",WEEKNUM($A1095,2))</f>
        <v/>
      </c>
      <c r="C1095" s="37" t="str">
        <f aca="false">IF($A1095="","",CHOOSE(WEEKDAY($A1095,2),"Seg","Ter","Qua","Qui","Sex","Sáb","Dom"))</f>
        <v/>
      </c>
      <c r="D1095" s="46"/>
      <c r="E1095" s="47"/>
      <c r="F1095" s="47"/>
      <c r="G1095" s="48"/>
      <c r="H1095" s="49"/>
      <c r="I1095" s="50"/>
      <c r="J1095" s="48"/>
      <c r="K1095" s="49"/>
      <c r="L1095" s="50"/>
      <c r="M1095" s="43" t="str">
        <f aca="false">IF(OR($L1095="",$F1095=""),"",IFERROR($L1095/INDEX(Cadastro!$E$6:$E$8,MATCH($F1095,Cadastro!$B$6:$B$8,0)),""))</f>
        <v/>
      </c>
      <c r="N1095" s="43" t="str">
        <f aca="false">IF(OR($L1095="",$I1095="",$I1095=0),"",$L1095/$I1095)</f>
        <v/>
      </c>
      <c r="O1095" s="51"/>
    </row>
    <row r="1096" customFormat="false" ht="15" hidden="false" customHeight="false" outlineLevel="0" collapsed="false">
      <c r="A1096" s="45"/>
      <c r="B1096" s="37" t="str">
        <f aca="false">IF($A1096="","",WEEKNUM($A1096,2))</f>
        <v/>
      </c>
      <c r="C1096" s="37" t="str">
        <f aca="false">IF($A1096="","",CHOOSE(WEEKDAY($A1096,2),"Seg","Ter","Qua","Qui","Sex","Sáb","Dom"))</f>
        <v/>
      </c>
      <c r="D1096" s="46"/>
      <c r="E1096" s="47"/>
      <c r="F1096" s="47"/>
      <c r="G1096" s="48"/>
      <c r="H1096" s="49"/>
      <c r="I1096" s="50"/>
      <c r="J1096" s="48"/>
      <c r="K1096" s="49"/>
      <c r="L1096" s="50"/>
      <c r="M1096" s="43" t="str">
        <f aca="false">IF(OR($L1096="",$F1096=""),"",IFERROR($L1096/INDEX(Cadastro!$E$6:$E$8,MATCH($F1096,Cadastro!$B$6:$B$8,0)),""))</f>
        <v/>
      </c>
      <c r="N1096" s="43" t="str">
        <f aca="false">IF(OR($L1096="",$I1096="",$I1096=0),"",$L1096/$I1096)</f>
        <v/>
      </c>
      <c r="O1096" s="51"/>
    </row>
    <row r="1097" customFormat="false" ht="15" hidden="false" customHeight="false" outlineLevel="0" collapsed="false">
      <c r="A1097" s="45"/>
      <c r="B1097" s="37" t="str">
        <f aca="false">IF($A1097="","",WEEKNUM($A1097,2))</f>
        <v/>
      </c>
      <c r="C1097" s="37" t="str">
        <f aca="false">IF($A1097="","",CHOOSE(WEEKDAY($A1097,2),"Seg","Ter","Qua","Qui","Sex","Sáb","Dom"))</f>
        <v/>
      </c>
      <c r="D1097" s="46"/>
      <c r="E1097" s="47"/>
      <c r="F1097" s="47"/>
      <c r="G1097" s="48"/>
      <c r="H1097" s="49"/>
      <c r="I1097" s="50"/>
      <c r="J1097" s="48"/>
      <c r="K1097" s="49"/>
      <c r="L1097" s="50"/>
      <c r="M1097" s="43" t="str">
        <f aca="false">IF(OR($L1097="",$F1097=""),"",IFERROR($L1097/INDEX(Cadastro!$E$6:$E$8,MATCH($F1097,Cadastro!$B$6:$B$8,0)),""))</f>
        <v/>
      </c>
      <c r="N1097" s="43" t="str">
        <f aca="false">IF(OR($L1097="",$I1097="",$I1097=0),"",$L1097/$I1097)</f>
        <v/>
      </c>
      <c r="O1097" s="51"/>
    </row>
    <row r="1098" customFormat="false" ht="15" hidden="false" customHeight="false" outlineLevel="0" collapsed="false">
      <c r="A1098" s="45"/>
      <c r="B1098" s="37" t="str">
        <f aca="false">IF($A1098="","",WEEKNUM($A1098,2))</f>
        <v/>
      </c>
      <c r="C1098" s="37" t="str">
        <f aca="false">IF($A1098="","",CHOOSE(WEEKDAY($A1098,2),"Seg","Ter","Qua","Qui","Sex","Sáb","Dom"))</f>
        <v/>
      </c>
      <c r="D1098" s="46"/>
      <c r="E1098" s="47"/>
      <c r="F1098" s="47"/>
      <c r="G1098" s="48"/>
      <c r="H1098" s="49"/>
      <c r="I1098" s="50"/>
      <c r="J1098" s="48"/>
      <c r="K1098" s="49"/>
      <c r="L1098" s="50"/>
      <c r="M1098" s="43" t="str">
        <f aca="false">IF(OR($L1098="",$F1098=""),"",IFERROR($L1098/INDEX(Cadastro!$E$6:$E$8,MATCH($F1098,Cadastro!$B$6:$B$8,0)),""))</f>
        <v/>
      </c>
      <c r="N1098" s="43" t="str">
        <f aca="false">IF(OR($L1098="",$I1098="",$I1098=0),"",$L1098/$I1098)</f>
        <v/>
      </c>
      <c r="O1098" s="51"/>
    </row>
    <row r="1099" customFormat="false" ht="15" hidden="false" customHeight="false" outlineLevel="0" collapsed="false">
      <c r="A1099" s="45"/>
      <c r="B1099" s="37" t="str">
        <f aca="false">IF($A1099="","",WEEKNUM($A1099,2))</f>
        <v/>
      </c>
      <c r="C1099" s="37" t="str">
        <f aca="false">IF($A1099="","",CHOOSE(WEEKDAY($A1099,2),"Seg","Ter","Qua","Qui","Sex","Sáb","Dom"))</f>
        <v/>
      </c>
      <c r="D1099" s="46"/>
      <c r="E1099" s="47"/>
      <c r="F1099" s="47"/>
      <c r="G1099" s="48"/>
      <c r="H1099" s="49"/>
      <c r="I1099" s="50"/>
      <c r="J1099" s="48"/>
      <c r="K1099" s="49"/>
      <c r="L1099" s="50"/>
      <c r="M1099" s="43" t="str">
        <f aca="false">IF(OR($L1099="",$F1099=""),"",IFERROR($L1099/INDEX(Cadastro!$E$6:$E$8,MATCH($F1099,Cadastro!$B$6:$B$8,0)),""))</f>
        <v/>
      </c>
      <c r="N1099" s="43" t="str">
        <f aca="false">IF(OR($L1099="",$I1099="",$I1099=0),"",$L1099/$I1099)</f>
        <v/>
      </c>
      <c r="O1099" s="51"/>
    </row>
    <row r="1100" customFormat="false" ht="15" hidden="false" customHeight="false" outlineLevel="0" collapsed="false">
      <c r="A1100" s="45"/>
      <c r="B1100" s="37" t="str">
        <f aca="false">IF($A1100="","",WEEKNUM($A1100,2))</f>
        <v/>
      </c>
      <c r="C1100" s="37" t="str">
        <f aca="false">IF($A1100="","",CHOOSE(WEEKDAY($A1100,2),"Seg","Ter","Qua","Qui","Sex","Sáb","Dom"))</f>
        <v/>
      </c>
      <c r="D1100" s="46"/>
      <c r="E1100" s="47"/>
      <c r="F1100" s="47"/>
      <c r="G1100" s="48"/>
      <c r="H1100" s="49"/>
      <c r="I1100" s="50"/>
      <c r="J1100" s="48"/>
      <c r="K1100" s="49"/>
      <c r="L1100" s="50"/>
      <c r="M1100" s="43" t="str">
        <f aca="false">IF(OR($L1100="",$F1100=""),"",IFERROR($L1100/INDEX(Cadastro!$E$6:$E$8,MATCH($F1100,Cadastro!$B$6:$B$8,0)),""))</f>
        <v/>
      </c>
      <c r="N1100" s="43" t="str">
        <f aca="false">IF(OR($L1100="",$I1100="",$I1100=0),"",$L1100/$I1100)</f>
        <v/>
      </c>
      <c r="O1100" s="51"/>
    </row>
    <row r="1101" customFormat="false" ht="15" hidden="false" customHeight="false" outlineLevel="0" collapsed="false">
      <c r="A1101" s="45"/>
      <c r="B1101" s="37" t="str">
        <f aca="false">IF($A1101="","",WEEKNUM($A1101,2))</f>
        <v/>
      </c>
      <c r="C1101" s="37" t="str">
        <f aca="false">IF($A1101="","",CHOOSE(WEEKDAY($A1101,2),"Seg","Ter","Qua","Qui","Sex","Sáb","Dom"))</f>
        <v/>
      </c>
      <c r="D1101" s="46"/>
      <c r="E1101" s="47"/>
      <c r="F1101" s="47"/>
      <c r="G1101" s="48"/>
      <c r="H1101" s="49"/>
      <c r="I1101" s="50"/>
      <c r="J1101" s="48"/>
      <c r="K1101" s="49"/>
      <c r="L1101" s="50"/>
      <c r="M1101" s="43" t="str">
        <f aca="false">IF(OR($L1101="",$F1101=""),"",IFERROR($L1101/INDEX(Cadastro!$E$6:$E$8,MATCH($F1101,Cadastro!$B$6:$B$8,0)),""))</f>
        <v/>
      </c>
      <c r="N1101" s="43" t="str">
        <f aca="false">IF(OR($L1101="",$I1101="",$I1101=0),"",$L1101/$I1101)</f>
        <v/>
      </c>
      <c r="O1101" s="51"/>
    </row>
    <row r="1102" customFormat="false" ht="15" hidden="false" customHeight="false" outlineLevel="0" collapsed="false">
      <c r="A1102" s="45"/>
      <c r="B1102" s="37" t="str">
        <f aca="false">IF($A1102="","",WEEKNUM($A1102,2))</f>
        <v/>
      </c>
      <c r="C1102" s="37" t="str">
        <f aca="false">IF($A1102="","",CHOOSE(WEEKDAY($A1102,2),"Seg","Ter","Qua","Qui","Sex","Sáb","Dom"))</f>
        <v/>
      </c>
      <c r="D1102" s="46"/>
      <c r="E1102" s="47"/>
      <c r="F1102" s="47"/>
      <c r="G1102" s="48"/>
      <c r="H1102" s="49"/>
      <c r="I1102" s="50"/>
      <c r="J1102" s="48"/>
      <c r="K1102" s="49"/>
      <c r="L1102" s="50"/>
      <c r="M1102" s="43" t="str">
        <f aca="false">IF(OR($L1102="",$F1102=""),"",IFERROR($L1102/INDEX(Cadastro!$E$6:$E$8,MATCH($F1102,Cadastro!$B$6:$B$8,0)),""))</f>
        <v/>
      </c>
      <c r="N1102" s="43" t="str">
        <f aca="false">IF(OR($L1102="",$I1102="",$I1102=0),"",$L1102/$I1102)</f>
        <v/>
      </c>
      <c r="O1102" s="51"/>
    </row>
    <row r="1103" customFormat="false" ht="15" hidden="false" customHeight="false" outlineLevel="0" collapsed="false">
      <c r="A1103" s="45"/>
      <c r="B1103" s="37" t="str">
        <f aca="false">IF($A1103="","",WEEKNUM($A1103,2))</f>
        <v/>
      </c>
      <c r="C1103" s="37" t="str">
        <f aca="false">IF($A1103="","",CHOOSE(WEEKDAY($A1103,2),"Seg","Ter","Qua","Qui","Sex","Sáb","Dom"))</f>
        <v/>
      </c>
      <c r="D1103" s="46"/>
      <c r="E1103" s="47"/>
      <c r="F1103" s="47"/>
      <c r="G1103" s="48"/>
      <c r="H1103" s="49"/>
      <c r="I1103" s="50"/>
      <c r="J1103" s="48"/>
      <c r="K1103" s="49"/>
      <c r="L1103" s="50"/>
      <c r="M1103" s="43" t="str">
        <f aca="false">IF(OR($L1103="",$F1103=""),"",IFERROR($L1103/INDEX(Cadastro!$E$6:$E$8,MATCH($F1103,Cadastro!$B$6:$B$8,0)),""))</f>
        <v/>
      </c>
      <c r="N1103" s="43" t="str">
        <f aca="false">IF(OR($L1103="",$I1103="",$I1103=0),"",$L1103/$I1103)</f>
        <v/>
      </c>
      <c r="O1103" s="51"/>
    </row>
    <row r="1104" customFormat="false" ht="15" hidden="false" customHeight="false" outlineLevel="0" collapsed="false">
      <c r="A1104" s="45"/>
      <c r="B1104" s="37" t="str">
        <f aca="false">IF($A1104="","",WEEKNUM($A1104,2))</f>
        <v/>
      </c>
      <c r="C1104" s="37" t="str">
        <f aca="false">IF($A1104="","",CHOOSE(WEEKDAY($A1104,2),"Seg","Ter","Qua","Qui","Sex","Sáb","Dom"))</f>
        <v/>
      </c>
      <c r="D1104" s="46"/>
      <c r="E1104" s="47"/>
      <c r="F1104" s="47"/>
      <c r="G1104" s="48"/>
      <c r="H1104" s="49"/>
      <c r="I1104" s="50"/>
      <c r="J1104" s="48"/>
      <c r="K1104" s="49"/>
      <c r="L1104" s="50"/>
      <c r="M1104" s="43" t="str">
        <f aca="false">IF(OR($L1104="",$F1104=""),"",IFERROR($L1104/INDEX(Cadastro!$E$6:$E$8,MATCH($F1104,Cadastro!$B$6:$B$8,0)),""))</f>
        <v/>
      </c>
      <c r="N1104" s="43" t="str">
        <f aca="false">IF(OR($L1104="",$I1104="",$I1104=0),"",$L1104/$I1104)</f>
        <v/>
      </c>
      <c r="O1104" s="51"/>
    </row>
    <row r="1105" customFormat="false" ht="15" hidden="false" customHeight="false" outlineLevel="0" collapsed="false">
      <c r="A1105" s="45"/>
      <c r="B1105" s="37" t="str">
        <f aca="false">IF($A1105="","",WEEKNUM($A1105,2))</f>
        <v/>
      </c>
      <c r="C1105" s="37" t="str">
        <f aca="false">IF($A1105="","",CHOOSE(WEEKDAY($A1105,2),"Seg","Ter","Qua","Qui","Sex","Sáb","Dom"))</f>
        <v/>
      </c>
      <c r="D1105" s="46"/>
      <c r="E1105" s="47"/>
      <c r="F1105" s="47"/>
      <c r="G1105" s="48"/>
      <c r="H1105" s="49"/>
      <c r="I1105" s="50"/>
      <c r="J1105" s="48"/>
      <c r="K1105" s="49"/>
      <c r="L1105" s="50"/>
      <c r="M1105" s="43" t="str">
        <f aca="false">IF(OR($L1105="",$F1105=""),"",IFERROR($L1105/INDEX(Cadastro!$E$6:$E$8,MATCH($F1105,Cadastro!$B$6:$B$8,0)),""))</f>
        <v/>
      </c>
      <c r="N1105" s="43" t="str">
        <f aca="false">IF(OR($L1105="",$I1105="",$I1105=0),"",$L1105/$I1105)</f>
        <v/>
      </c>
      <c r="O1105" s="51"/>
    </row>
    <row r="1106" customFormat="false" ht="15" hidden="false" customHeight="false" outlineLevel="0" collapsed="false">
      <c r="A1106" s="45"/>
      <c r="B1106" s="37" t="str">
        <f aca="false">IF($A1106="","",WEEKNUM($A1106,2))</f>
        <v/>
      </c>
      <c r="C1106" s="37" t="str">
        <f aca="false">IF($A1106="","",CHOOSE(WEEKDAY($A1106,2),"Seg","Ter","Qua","Qui","Sex","Sáb","Dom"))</f>
        <v/>
      </c>
      <c r="D1106" s="46"/>
      <c r="E1106" s="47"/>
      <c r="F1106" s="47"/>
      <c r="G1106" s="48"/>
      <c r="H1106" s="49"/>
      <c r="I1106" s="50"/>
      <c r="J1106" s="48"/>
      <c r="K1106" s="49"/>
      <c r="L1106" s="50"/>
      <c r="M1106" s="43" t="str">
        <f aca="false">IF(OR($L1106="",$F1106=""),"",IFERROR($L1106/INDEX(Cadastro!$E$6:$E$8,MATCH($F1106,Cadastro!$B$6:$B$8,0)),""))</f>
        <v/>
      </c>
      <c r="N1106" s="43" t="str">
        <f aca="false">IF(OR($L1106="",$I1106="",$I1106=0),"",$L1106/$I1106)</f>
        <v/>
      </c>
      <c r="O1106" s="51"/>
    </row>
    <row r="1107" customFormat="false" ht="15" hidden="false" customHeight="false" outlineLevel="0" collapsed="false">
      <c r="A1107" s="45"/>
      <c r="B1107" s="37" t="str">
        <f aca="false">IF($A1107="","",WEEKNUM($A1107,2))</f>
        <v/>
      </c>
      <c r="C1107" s="37" t="str">
        <f aca="false">IF($A1107="","",CHOOSE(WEEKDAY($A1107,2),"Seg","Ter","Qua","Qui","Sex","Sáb","Dom"))</f>
        <v/>
      </c>
      <c r="D1107" s="46"/>
      <c r="E1107" s="47"/>
      <c r="F1107" s="47"/>
      <c r="G1107" s="48"/>
      <c r="H1107" s="49"/>
      <c r="I1107" s="50"/>
      <c r="J1107" s="48"/>
      <c r="K1107" s="49"/>
      <c r="L1107" s="50"/>
      <c r="M1107" s="43" t="str">
        <f aca="false">IF(OR($L1107="",$F1107=""),"",IFERROR($L1107/INDEX(Cadastro!$E$6:$E$8,MATCH($F1107,Cadastro!$B$6:$B$8,0)),""))</f>
        <v/>
      </c>
      <c r="N1107" s="43" t="str">
        <f aca="false">IF(OR($L1107="",$I1107="",$I1107=0),"",$L1107/$I1107)</f>
        <v/>
      </c>
      <c r="O1107" s="51"/>
    </row>
    <row r="1108" customFormat="false" ht="15" hidden="false" customHeight="false" outlineLevel="0" collapsed="false">
      <c r="A1108" s="45"/>
      <c r="B1108" s="37" t="str">
        <f aca="false">IF($A1108="","",WEEKNUM($A1108,2))</f>
        <v/>
      </c>
      <c r="C1108" s="37" t="str">
        <f aca="false">IF($A1108="","",CHOOSE(WEEKDAY($A1108,2),"Seg","Ter","Qua","Qui","Sex","Sáb","Dom"))</f>
        <v/>
      </c>
      <c r="D1108" s="46"/>
      <c r="E1108" s="47"/>
      <c r="F1108" s="47"/>
      <c r="G1108" s="48"/>
      <c r="H1108" s="49"/>
      <c r="I1108" s="50"/>
      <c r="J1108" s="48"/>
      <c r="K1108" s="49"/>
      <c r="L1108" s="50"/>
      <c r="M1108" s="43" t="str">
        <f aca="false">IF(OR($L1108="",$F1108=""),"",IFERROR($L1108/INDEX(Cadastro!$E$6:$E$8,MATCH($F1108,Cadastro!$B$6:$B$8,0)),""))</f>
        <v/>
      </c>
      <c r="N1108" s="43" t="str">
        <f aca="false">IF(OR($L1108="",$I1108="",$I1108=0),"",$L1108/$I1108)</f>
        <v/>
      </c>
      <c r="O1108" s="51"/>
    </row>
    <row r="1109" customFormat="false" ht="15" hidden="false" customHeight="false" outlineLevel="0" collapsed="false">
      <c r="A1109" s="45"/>
      <c r="B1109" s="37" t="str">
        <f aca="false">IF($A1109="","",WEEKNUM($A1109,2))</f>
        <v/>
      </c>
      <c r="C1109" s="37" t="str">
        <f aca="false">IF($A1109="","",CHOOSE(WEEKDAY($A1109,2),"Seg","Ter","Qua","Qui","Sex","Sáb","Dom"))</f>
        <v/>
      </c>
      <c r="D1109" s="46"/>
      <c r="E1109" s="47"/>
      <c r="F1109" s="47"/>
      <c r="G1109" s="48"/>
      <c r="H1109" s="49"/>
      <c r="I1109" s="50"/>
      <c r="J1109" s="48"/>
      <c r="K1109" s="49"/>
      <c r="L1109" s="50"/>
      <c r="M1109" s="43" t="str">
        <f aca="false">IF(OR($L1109="",$F1109=""),"",IFERROR($L1109/INDEX(Cadastro!$E$6:$E$8,MATCH($F1109,Cadastro!$B$6:$B$8,0)),""))</f>
        <v/>
      </c>
      <c r="N1109" s="43" t="str">
        <f aca="false">IF(OR($L1109="",$I1109="",$I1109=0),"",$L1109/$I1109)</f>
        <v/>
      </c>
      <c r="O1109" s="51"/>
    </row>
    <row r="1110" customFormat="false" ht="15" hidden="false" customHeight="false" outlineLevel="0" collapsed="false">
      <c r="A1110" s="45"/>
      <c r="B1110" s="37" t="str">
        <f aca="false">IF($A1110="","",WEEKNUM($A1110,2))</f>
        <v/>
      </c>
      <c r="C1110" s="37" t="str">
        <f aca="false">IF($A1110="","",CHOOSE(WEEKDAY($A1110,2),"Seg","Ter","Qua","Qui","Sex","Sáb","Dom"))</f>
        <v/>
      </c>
      <c r="D1110" s="46"/>
      <c r="E1110" s="47"/>
      <c r="F1110" s="47"/>
      <c r="G1110" s="48"/>
      <c r="H1110" s="49"/>
      <c r="I1110" s="50"/>
      <c r="J1110" s="48"/>
      <c r="K1110" s="49"/>
      <c r="L1110" s="50"/>
      <c r="M1110" s="43" t="str">
        <f aca="false">IF(OR($L1110="",$F1110=""),"",IFERROR($L1110/INDEX(Cadastro!$E$6:$E$8,MATCH($F1110,Cadastro!$B$6:$B$8,0)),""))</f>
        <v/>
      </c>
      <c r="N1110" s="43" t="str">
        <f aca="false">IF(OR($L1110="",$I1110="",$I1110=0),"",$L1110/$I1110)</f>
        <v/>
      </c>
      <c r="O1110" s="51"/>
    </row>
    <row r="1111" customFormat="false" ht="15" hidden="false" customHeight="false" outlineLevel="0" collapsed="false">
      <c r="A1111" s="45"/>
      <c r="B1111" s="37" t="str">
        <f aca="false">IF($A1111="","",WEEKNUM($A1111,2))</f>
        <v/>
      </c>
      <c r="C1111" s="37" t="str">
        <f aca="false">IF($A1111="","",CHOOSE(WEEKDAY($A1111,2),"Seg","Ter","Qua","Qui","Sex","Sáb","Dom"))</f>
        <v/>
      </c>
      <c r="D1111" s="46"/>
      <c r="E1111" s="47"/>
      <c r="F1111" s="47"/>
      <c r="G1111" s="48"/>
      <c r="H1111" s="49"/>
      <c r="I1111" s="50"/>
      <c r="J1111" s="48"/>
      <c r="K1111" s="49"/>
      <c r="L1111" s="50"/>
      <c r="M1111" s="43" t="str">
        <f aca="false">IF(OR($L1111="",$F1111=""),"",IFERROR($L1111/INDEX(Cadastro!$E$6:$E$8,MATCH($F1111,Cadastro!$B$6:$B$8,0)),""))</f>
        <v/>
      </c>
      <c r="N1111" s="43" t="str">
        <f aca="false">IF(OR($L1111="",$I1111="",$I1111=0),"",$L1111/$I1111)</f>
        <v/>
      </c>
      <c r="O1111" s="51"/>
    </row>
    <row r="1112" customFormat="false" ht="15" hidden="false" customHeight="false" outlineLevel="0" collapsed="false">
      <c r="A1112" s="45"/>
      <c r="B1112" s="37" t="str">
        <f aca="false">IF($A1112="","",WEEKNUM($A1112,2))</f>
        <v/>
      </c>
      <c r="C1112" s="37" t="str">
        <f aca="false">IF($A1112="","",CHOOSE(WEEKDAY($A1112,2),"Seg","Ter","Qua","Qui","Sex","Sáb","Dom"))</f>
        <v/>
      </c>
      <c r="D1112" s="46"/>
      <c r="E1112" s="47"/>
      <c r="F1112" s="47"/>
      <c r="G1112" s="48"/>
      <c r="H1112" s="49"/>
      <c r="I1112" s="50"/>
      <c r="J1112" s="48"/>
      <c r="K1112" s="49"/>
      <c r="L1112" s="50"/>
      <c r="M1112" s="43" t="str">
        <f aca="false">IF(OR($L1112="",$F1112=""),"",IFERROR($L1112/INDEX(Cadastro!$E$6:$E$8,MATCH($F1112,Cadastro!$B$6:$B$8,0)),""))</f>
        <v/>
      </c>
      <c r="N1112" s="43" t="str">
        <f aca="false">IF(OR($L1112="",$I1112="",$I1112=0),"",$L1112/$I1112)</f>
        <v/>
      </c>
      <c r="O1112" s="51"/>
    </row>
    <row r="1113" customFormat="false" ht="15" hidden="false" customHeight="false" outlineLevel="0" collapsed="false">
      <c r="A1113" s="45"/>
      <c r="B1113" s="37" t="str">
        <f aca="false">IF($A1113="","",WEEKNUM($A1113,2))</f>
        <v/>
      </c>
      <c r="C1113" s="37" t="str">
        <f aca="false">IF($A1113="","",CHOOSE(WEEKDAY($A1113,2),"Seg","Ter","Qua","Qui","Sex","Sáb","Dom"))</f>
        <v/>
      </c>
      <c r="D1113" s="46"/>
      <c r="E1113" s="47"/>
      <c r="F1113" s="47"/>
      <c r="G1113" s="48"/>
      <c r="H1113" s="49"/>
      <c r="I1113" s="50"/>
      <c r="J1113" s="48"/>
      <c r="K1113" s="49"/>
      <c r="L1113" s="50"/>
      <c r="M1113" s="43" t="str">
        <f aca="false">IF(OR($L1113="",$F1113=""),"",IFERROR($L1113/INDEX(Cadastro!$E$6:$E$8,MATCH($F1113,Cadastro!$B$6:$B$8,0)),""))</f>
        <v/>
      </c>
      <c r="N1113" s="43" t="str">
        <f aca="false">IF(OR($L1113="",$I1113="",$I1113=0),"",$L1113/$I1113)</f>
        <v/>
      </c>
      <c r="O1113" s="51"/>
    </row>
    <row r="1114" customFormat="false" ht="15" hidden="false" customHeight="false" outlineLevel="0" collapsed="false">
      <c r="A1114" s="45"/>
      <c r="B1114" s="37" t="str">
        <f aca="false">IF($A1114="","",WEEKNUM($A1114,2))</f>
        <v/>
      </c>
      <c r="C1114" s="37" t="str">
        <f aca="false">IF($A1114="","",CHOOSE(WEEKDAY($A1114,2),"Seg","Ter","Qua","Qui","Sex","Sáb","Dom"))</f>
        <v/>
      </c>
      <c r="D1114" s="46"/>
      <c r="E1114" s="47"/>
      <c r="F1114" s="47"/>
      <c r="G1114" s="48"/>
      <c r="H1114" s="49"/>
      <c r="I1114" s="50"/>
      <c r="J1114" s="48"/>
      <c r="K1114" s="49"/>
      <c r="L1114" s="50"/>
      <c r="M1114" s="43" t="str">
        <f aca="false">IF(OR($L1114="",$F1114=""),"",IFERROR($L1114/INDEX(Cadastro!$E$6:$E$8,MATCH($F1114,Cadastro!$B$6:$B$8,0)),""))</f>
        <v/>
      </c>
      <c r="N1114" s="43" t="str">
        <f aca="false">IF(OR($L1114="",$I1114="",$I1114=0),"",$L1114/$I1114)</f>
        <v/>
      </c>
      <c r="O1114" s="51"/>
    </row>
    <row r="1115" customFormat="false" ht="15" hidden="false" customHeight="false" outlineLevel="0" collapsed="false">
      <c r="A1115" s="45"/>
      <c r="B1115" s="37" t="str">
        <f aca="false">IF($A1115="","",WEEKNUM($A1115,2))</f>
        <v/>
      </c>
      <c r="C1115" s="37" t="str">
        <f aca="false">IF($A1115="","",CHOOSE(WEEKDAY($A1115,2),"Seg","Ter","Qua","Qui","Sex","Sáb","Dom"))</f>
        <v/>
      </c>
      <c r="D1115" s="46"/>
      <c r="E1115" s="47"/>
      <c r="F1115" s="47"/>
      <c r="G1115" s="48"/>
      <c r="H1115" s="49"/>
      <c r="I1115" s="50"/>
      <c r="J1115" s="48"/>
      <c r="K1115" s="49"/>
      <c r="L1115" s="50"/>
      <c r="M1115" s="43" t="str">
        <f aca="false">IF(OR($L1115="",$F1115=""),"",IFERROR($L1115/INDEX(Cadastro!$E$6:$E$8,MATCH($F1115,Cadastro!$B$6:$B$8,0)),""))</f>
        <v/>
      </c>
      <c r="N1115" s="43" t="str">
        <f aca="false">IF(OR($L1115="",$I1115="",$I1115=0),"",$L1115/$I1115)</f>
        <v/>
      </c>
      <c r="O1115" s="51"/>
    </row>
    <row r="1116" customFormat="false" ht="15" hidden="false" customHeight="false" outlineLevel="0" collapsed="false">
      <c r="A1116" s="45"/>
      <c r="B1116" s="37" t="str">
        <f aca="false">IF($A1116="","",WEEKNUM($A1116,2))</f>
        <v/>
      </c>
      <c r="C1116" s="37" t="str">
        <f aca="false">IF($A1116="","",CHOOSE(WEEKDAY($A1116,2),"Seg","Ter","Qua","Qui","Sex","Sáb","Dom"))</f>
        <v/>
      </c>
      <c r="D1116" s="46"/>
      <c r="E1116" s="47"/>
      <c r="F1116" s="47"/>
      <c r="G1116" s="48"/>
      <c r="H1116" s="49"/>
      <c r="I1116" s="50"/>
      <c r="J1116" s="48"/>
      <c r="K1116" s="49"/>
      <c r="L1116" s="50"/>
      <c r="M1116" s="43" t="str">
        <f aca="false">IF(OR($L1116="",$F1116=""),"",IFERROR($L1116/INDEX(Cadastro!$E$6:$E$8,MATCH($F1116,Cadastro!$B$6:$B$8,0)),""))</f>
        <v/>
      </c>
      <c r="N1116" s="43" t="str">
        <f aca="false">IF(OR($L1116="",$I1116="",$I1116=0),"",$L1116/$I1116)</f>
        <v/>
      </c>
      <c r="O1116" s="51"/>
    </row>
    <row r="1117" customFormat="false" ht="15" hidden="false" customHeight="false" outlineLevel="0" collapsed="false">
      <c r="A1117" s="45"/>
      <c r="B1117" s="37" t="str">
        <f aca="false">IF($A1117="","",WEEKNUM($A1117,2))</f>
        <v/>
      </c>
      <c r="C1117" s="37" t="str">
        <f aca="false">IF($A1117="","",CHOOSE(WEEKDAY($A1117,2),"Seg","Ter","Qua","Qui","Sex","Sáb","Dom"))</f>
        <v/>
      </c>
      <c r="D1117" s="46"/>
      <c r="E1117" s="47"/>
      <c r="F1117" s="47"/>
      <c r="G1117" s="48"/>
      <c r="H1117" s="49"/>
      <c r="I1117" s="50"/>
      <c r="J1117" s="48"/>
      <c r="K1117" s="49"/>
      <c r="L1117" s="50"/>
      <c r="M1117" s="43" t="str">
        <f aca="false">IF(OR($L1117="",$F1117=""),"",IFERROR($L1117/INDEX(Cadastro!$E$6:$E$8,MATCH($F1117,Cadastro!$B$6:$B$8,0)),""))</f>
        <v/>
      </c>
      <c r="N1117" s="43" t="str">
        <f aca="false">IF(OR($L1117="",$I1117="",$I1117=0),"",$L1117/$I1117)</f>
        <v/>
      </c>
      <c r="O1117" s="51"/>
    </row>
    <row r="1118" customFormat="false" ht="15" hidden="false" customHeight="false" outlineLevel="0" collapsed="false">
      <c r="A1118" s="45"/>
      <c r="B1118" s="37" t="str">
        <f aca="false">IF($A1118="","",WEEKNUM($A1118,2))</f>
        <v/>
      </c>
      <c r="C1118" s="37" t="str">
        <f aca="false">IF($A1118="","",CHOOSE(WEEKDAY($A1118,2),"Seg","Ter","Qua","Qui","Sex","Sáb","Dom"))</f>
        <v/>
      </c>
      <c r="D1118" s="46"/>
      <c r="E1118" s="47"/>
      <c r="F1118" s="47"/>
      <c r="G1118" s="48"/>
      <c r="H1118" s="49"/>
      <c r="I1118" s="50"/>
      <c r="J1118" s="48"/>
      <c r="K1118" s="49"/>
      <c r="L1118" s="50"/>
      <c r="M1118" s="43" t="str">
        <f aca="false">IF(OR($L1118="",$F1118=""),"",IFERROR($L1118/INDEX(Cadastro!$E$6:$E$8,MATCH($F1118,Cadastro!$B$6:$B$8,0)),""))</f>
        <v/>
      </c>
      <c r="N1118" s="43" t="str">
        <f aca="false">IF(OR($L1118="",$I1118="",$I1118=0),"",$L1118/$I1118)</f>
        <v/>
      </c>
      <c r="O1118" s="51"/>
    </row>
    <row r="1119" customFormat="false" ht="15" hidden="false" customHeight="false" outlineLevel="0" collapsed="false">
      <c r="A1119" s="45"/>
      <c r="B1119" s="37" t="str">
        <f aca="false">IF($A1119="","",WEEKNUM($A1119,2))</f>
        <v/>
      </c>
      <c r="C1119" s="37" t="str">
        <f aca="false">IF($A1119="","",CHOOSE(WEEKDAY($A1119,2),"Seg","Ter","Qua","Qui","Sex","Sáb","Dom"))</f>
        <v/>
      </c>
      <c r="D1119" s="46"/>
      <c r="E1119" s="47"/>
      <c r="F1119" s="47"/>
      <c r="G1119" s="48"/>
      <c r="H1119" s="49"/>
      <c r="I1119" s="50"/>
      <c r="J1119" s="48"/>
      <c r="K1119" s="49"/>
      <c r="L1119" s="50"/>
      <c r="M1119" s="43" t="str">
        <f aca="false">IF(OR($L1119="",$F1119=""),"",IFERROR($L1119/INDEX(Cadastro!$E$6:$E$8,MATCH($F1119,Cadastro!$B$6:$B$8,0)),""))</f>
        <v/>
      </c>
      <c r="N1119" s="43" t="str">
        <f aca="false">IF(OR($L1119="",$I1119="",$I1119=0),"",$L1119/$I1119)</f>
        <v/>
      </c>
      <c r="O1119" s="51"/>
    </row>
    <row r="1120" customFormat="false" ht="15" hidden="false" customHeight="false" outlineLevel="0" collapsed="false">
      <c r="A1120" s="45"/>
      <c r="B1120" s="37" t="str">
        <f aca="false">IF($A1120="","",WEEKNUM($A1120,2))</f>
        <v/>
      </c>
      <c r="C1120" s="37" t="str">
        <f aca="false">IF($A1120="","",CHOOSE(WEEKDAY($A1120,2),"Seg","Ter","Qua","Qui","Sex","Sáb","Dom"))</f>
        <v/>
      </c>
      <c r="D1120" s="46"/>
      <c r="E1120" s="47"/>
      <c r="F1120" s="47"/>
      <c r="G1120" s="48"/>
      <c r="H1120" s="49"/>
      <c r="I1120" s="50"/>
      <c r="J1120" s="48"/>
      <c r="K1120" s="49"/>
      <c r="L1120" s="50"/>
      <c r="M1120" s="43" t="str">
        <f aca="false">IF(OR($L1120="",$F1120=""),"",IFERROR($L1120/INDEX(Cadastro!$E$6:$E$8,MATCH($F1120,Cadastro!$B$6:$B$8,0)),""))</f>
        <v/>
      </c>
      <c r="N1120" s="43" t="str">
        <f aca="false">IF(OR($L1120="",$I1120="",$I1120=0),"",$L1120/$I1120)</f>
        <v/>
      </c>
      <c r="O1120" s="51"/>
    </row>
    <row r="1121" customFormat="false" ht="15" hidden="false" customHeight="false" outlineLevel="0" collapsed="false">
      <c r="A1121" s="45"/>
      <c r="B1121" s="37" t="str">
        <f aca="false">IF($A1121="","",WEEKNUM($A1121,2))</f>
        <v/>
      </c>
      <c r="C1121" s="37" t="str">
        <f aca="false">IF($A1121="","",CHOOSE(WEEKDAY($A1121,2),"Seg","Ter","Qua","Qui","Sex","Sáb","Dom"))</f>
        <v/>
      </c>
      <c r="D1121" s="46"/>
      <c r="E1121" s="47"/>
      <c r="F1121" s="47"/>
      <c r="G1121" s="48"/>
      <c r="H1121" s="49"/>
      <c r="I1121" s="50"/>
      <c r="J1121" s="48"/>
      <c r="K1121" s="49"/>
      <c r="L1121" s="50"/>
      <c r="M1121" s="43" t="str">
        <f aca="false">IF(OR($L1121="",$F1121=""),"",IFERROR($L1121/INDEX(Cadastro!$E$6:$E$8,MATCH($F1121,Cadastro!$B$6:$B$8,0)),""))</f>
        <v/>
      </c>
      <c r="N1121" s="43" t="str">
        <f aca="false">IF(OR($L1121="",$I1121="",$I1121=0),"",$L1121/$I1121)</f>
        <v/>
      </c>
      <c r="O1121" s="51"/>
    </row>
    <row r="1122" customFormat="false" ht="15" hidden="false" customHeight="false" outlineLevel="0" collapsed="false">
      <c r="A1122" s="45"/>
      <c r="B1122" s="37" t="str">
        <f aca="false">IF($A1122="","",WEEKNUM($A1122,2))</f>
        <v/>
      </c>
      <c r="C1122" s="37" t="str">
        <f aca="false">IF($A1122="","",CHOOSE(WEEKDAY($A1122,2),"Seg","Ter","Qua","Qui","Sex","Sáb","Dom"))</f>
        <v/>
      </c>
      <c r="D1122" s="46"/>
      <c r="E1122" s="47"/>
      <c r="F1122" s="47"/>
      <c r="G1122" s="48"/>
      <c r="H1122" s="49"/>
      <c r="I1122" s="50"/>
      <c r="J1122" s="48"/>
      <c r="K1122" s="49"/>
      <c r="L1122" s="50"/>
      <c r="M1122" s="43" t="str">
        <f aca="false">IF(OR($L1122="",$F1122=""),"",IFERROR($L1122/INDEX(Cadastro!$E$6:$E$8,MATCH($F1122,Cadastro!$B$6:$B$8,0)),""))</f>
        <v/>
      </c>
      <c r="N1122" s="43" t="str">
        <f aca="false">IF(OR($L1122="",$I1122="",$I1122=0),"",$L1122/$I1122)</f>
        <v/>
      </c>
      <c r="O1122" s="51"/>
    </row>
    <row r="1123" customFormat="false" ht="15" hidden="false" customHeight="false" outlineLevel="0" collapsed="false">
      <c r="A1123" s="45"/>
      <c r="B1123" s="37" t="str">
        <f aca="false">IF($A1123="","",WEEKNUM($A1123,2))</f>
        <v/>
      </c>
      <c r="C1123" s="37" t="str">
        <f aca="false">IF($A1123="","",CHOOSE(WEEKDAY($A1123,2),"Seg","Ter","Qua","Qui","Sex","Sáb","Dom"))</f>
        <v/>
      </c>
      <c r="D1123" s="46"/>
      <c r="E1123" s="47"/>
      <c r="F1123" s="47"/>
      <c r="G1123" s="48"/>
      <c r="H1123" s="49"/>
      <c r="I1123" s="50"/>
      <c r="J1123" s="48"/>
      <c r="K1123" s="49"/>
      <c r="L1123" s="50"/>
      <c r="M1123" s="43" t="str">
        <f aca="false">IF(OR($L1123="",$F1123=""),"",IFERROR($L1123/INDEX(Cadastro!$E$6:$E$8,MATCH($F1123,Cadastro!$B$6:$B$8,0)),""))</f>
        <v/>
      </c>
      <c r="N1123" s="43" t="str">
        <f aca="false">IF(OR($L1123="",$I1123="",$I1123=0),"",$L1123/$I1123)</f>
        <v/>
      </c>
      <c r="O1123" s="51"/>
    </row>
    <row r="1124" customFormat="false" ht="15" hidden="false" customHeight="false" outlineLevel="0" collapsed="false">
      <c r="A1124" s="45"/>
      <c r="B1124" s="37" t="str">
        <f aca="false">IF($A1124="","",WEEKNUM($A1124,2))</f>
        <v/>
      </c>
      <c r="C1124" s="37" t="str">
        <f aca="false">IF($A1124="","",CHOOSE(WEEKDAY($A1124,2),"Seg","Ter","Qua","Qui","Sex","Sáb","Dom"))</f>
        <v/>
      </c>
      <c r="D1124" s="46"/>
      <c r="E1124" s="47"/>
      <c r="F1124" s="47"/>
      <c r="G1124" s="48"/>
      <c r="H1124" s="49"/>
      <c r="I1124" s="50"/>
      <c r="J1124" s="48"/>
      <c r="K1124" s="49"/>
      <c r="L1124" s="50"/>
      <c r="M1124" s="43" t="str">
        <f aca="false">IF(OR($L1124="",$F1124=""),"",IFERROR($L1124/INDEX(Cadastro!$E$6:$E$8,MATCH($F1124,Cadastro!$B$6:$B$8,0)),""))</f>
        <v/>
      </c>
      <c r="N1124" s="43" t="str">
        <f aca="false">IF(OR($L1124="",$I1124="",$I1124=0),"",$L1124/$I1124)</f>
        <v/>
      </c>
      <c r="O1124" s="51"/>
    </row>
    <row r="1125" customFormat="false" ht="15" hidden="false" customHeight="false" outlineLevel="0" collapsed="false">
      <c r="A1125" s="45"/>
      <c r="B1125" s="37" t="str">
        <f aca="false">IF($A1125="","",WEEKNUM($A1125,2))</f>
        <v/>
      </c>
      <c r="C1125" s="37" t="str">
        <f aca="false">IF($A1125="","",CHOOSE(WEEKDAY($A1125,2),"Seg","Ter","Qua","Qui","Sex","Sáb","Dom"))</f>
        <v/>
      </c>
      <c r="D1125" s="46"/>
      <c r="E1125" s="47"/>
      <c r="F1125" s="47"/>
      <c r="G1125" s="48"/>
      <c r="H1125" s="49"/>
      <c r="I1125" s="50"/>
      <c r="J1125" s="48"/>
      <c r="K1125" s="49"/>
      <c r="L1125" s="50"/>
      <c r="M1125" s="43" t="str">
        <f aca="false">IF(OR($L1125="",$F1125=""),"",IFERROR($L1125/INDEX(Cadastro!$E$6:$E$8,MATCH($F1125,Cadastro!$B$6:$B$8,0)),""))</f>
        <v/>
      </c>
      <c r="N1125" s="43" t="str">
        <f aca="false">IF(OR($L1125="",$I1125="",$I1125=0),"",$L1125/$I1125)</f>
        <v/>
      </c>
      <c r="O1125" s="51"/>
    </row>
    <row r="1126" customFormat="false" ht="15" hidden="false" customHeight="false" outlineLevel="0" collapsed="false">
      <c r="A1126" s="45"/>
      <c r="B1126" s="37" t="str">
        <f aca="false">IF($A1126="","",WEEKNUM($A1126,2))</f>
        <v/>
      </c>
      <c r="C1126" s="37" t="str">
        <f aca="false">IF($A1126="","",CHOOSE(WEEKDAY($A1126,2),"Seg","Ter","Qua","Qui","Sex","Sáb","Dom"))</f>
        <v/>
      </c>
      <c r="D1126" s="46"/>
      <c r="E1126" s="47"/>
      <c r="F1126" s="47"/>
      <c r="G1126" s="48"/>
      <c r="H1126" s="49"/>
      <c r="I1126" s="50"/>
      <c r="J1126" s="48"/>
      <c r="K1126" s="49"/>
      <c r="L1126" s="50"/>
      <c r="M1126" s="43" t="str">
        <f aca="false">IF(OR($L1126="",$F1126=""),"",IFERROR($L1126/INDEX(Cadastro!$E$6:$E$8,MATCH($F1126,Cadastro!$B$6:$B$8,0)),""))</f>
        <v/>
      </c>
      <c r="N1126" s="43" t="str">
        <f aca="false">IF(OR($L1126="",$I1126="",$I1126=0),"",$L1126/$I1126)</f>
        <v/>
      </c>
      <c r="O1126" s="51"/>
    </row>
    <row r="1127" customFormat="false" ht="15" hidden="false" customHeight="false" outlineLevel="0" collapsed="false">
      <c r="A1127" s="45"/>
      <c r="B1127" s="37" t="str">
        <f aca="false">IF($A1127="","",WEEKNUM($A1127,2))</f>
        <v/>
      </c>
      <c r="C1127" s="37" t="str">
        <f aca="false">IF($A1127="","",CHOOSE(WEEKDAY($A1127,2),"Seg","Ter","Qua","Qui","Sex","Sáb","Dom"))</f>
        <v/>
      </c>
      <c r="D1127" s="46"/>
      <c r="E1127" s="47"/>
      <c r="F1127" s="47"/>
      <c r="G1127" s="48"/>
      <c r="H1127" s="49"/>
      <c r="I1127" s="50"/>
      <c r="J1127" s="48"/>
      <c r="K1127" s="49"/>
      <c r="L1127" s="50"/>
      <c r="M1127" s="43" t="str">
        <f aca="false">IF(OR($L1127="",$F1127=""),"",IFERROR($L1127/INDEX(Cadastro!$E$6:$E$8,MATCH($F1127,Cadastro!$B$6:$B$8,0)),""))</f>
        <v/>
      </c>
      <c r="N1127" s="43" t="str">
        <f aca="false">IF(OR($L1127="",$I1127="",$I1127=0),"",$L1127/$I1127)</f>
        <v/>
      </c>
      <c r="O1127" s="51"/>
    </row>
    <row r="1128" customFormat="false" ht="15" hidden="false" customHeight="false" outlineLevel="0" collapsed="false">
      <c r="A1128" s="45"/>
      <c r="B1128" s="37" t="str">
        <f aca="false">IF($A1128="","",WEEKNUM($A1128,2))</f>
        <v/>
      </c>
      <c r="C1128" s="37" t="str">
        <f aca="false">IF($A1128="","",CHOOSE(WEEKDAY($A1128,2),"Seg","Ter","Qua","Qui","Sex","Sáb","Dom"))</f>
        <v/>
      </c>
      <c r="D1128" s="46"/>
      <c r="E1128" s="47"/>
      <c r="F1128" s="47"/>
      <c r="G1128" s="48"/>
      <c r="H1128" s="49"/>
      <c r="I1128" s="50"/>
      <c r="J1128" s="48"/>
      <c r="K1128" s="49"/>
      <c r="L1128" s="50"/>
      <c r="M1128" s="43" t="str">
        <f aca="false">IF(OR($L1128="",$F1128=""),"",IFERROR($L1128/INDEX(Cadastro!$E$6:$E$8,MATCH($F1128,Cadastro!$B$6:$B$8,0)),""))</f>
        <v/>
      </c>
      <c r="N1128" s="43" t="str">
        <f aca="false">IF(OR($L1128="",$I1128="",$I1128=0),"",$L1128/$I1128)</f>
        <v/>
      </c>
      <c r="O1128" s="51"/>
    </row>
    <row r="1129" customFormat="false" ht="15" hidden="false" customHeight="false" outlineLevel="0" collapsed="false">
      <c r="A1129" s="45"/>
      <c r="B1129" s="37" t="str">
        <f aca="false">IF($A1129="","",WEEKNUM($A1129,2))</f>
        <v/>
      </c>
      <c r="C1129" s="37" t="str">
        <f aca="false">IF($A1129="","",CHOOSE(WEEKDAY($A1129,2),"Seg","Ter","Qua","Qui","Sex","Sáb","Dom"))</f>
        <v/>
      </c>
      <c r="D1129" s="46"/>
      <c r="E1129" s="47"/>
      <c r="F1129" s="47"/>
      <c r="G1129" s="48"/>
      <c r="H1129" s="49"/>
      <c r="I1129" s="50"/>
      <c r="J1129" s="48"/>
      <c r="K1129" s="49"/>
      <c r="L1129" s="50"/>
      <c r="M1129" s="43" t="str">
        <f aca="false">IF(OR($L1129="",$F1129=""),"",IFERROR($L1129/INDEX(Cadastro!$E$6:$E$8,MATCH($F1129,Cadastro!$B$6:$B$8,0)),""))</f>
        <v/>
      </c>
      <c r="N1129" s="43" t="str">
        <f aca="false">IF(OR($L1129="",$I1129="",$I1129=0),"",$L1129/$I1129)</f>
        <v/>
      </c>
      <c r="O1129" s="51"/>
    </row>
    <row r="1130" customFormat="false" ht="15" hidden="false" customHeight="false" outlineLevel="0" collapsed="false">
      <c r="A1130" s="45"/>
      <c r="B1130" s="37" t="str">
        <f aca="false">IF($A1130="","",WEEKNUM($A1130,2))</f>
        <v/>
      </c>
      <c r="C1130" s="37" t="str">
        <f aca="false">IF($A1130="","",CHOOSE(WEEKDAY($A1130,2),"Seg","Ter","Qua","Qui","Sex","Sáb","Dom"))</f>
        <v/>
      </c>
      <c r="D1130" s="46"/>
      <c r="E1130" s="47"/>
      <c r="F1130" s="47"/>
      <c r="G1130" s="48"/>
      <c r="H1130" s="49"/>
      <c r="I1130" s="50"/>
      <c r="J1130" s="48"/>
      <c r="K1130" s="49"/>
      <c r="L1130" s="50"/>
      <c r="M1130" s="43" t="str">
        <f aca="false">IF(OR($L1130="",$F1130=""),"",IFERROR($L1130/INDEX(Cadastro!$E$6:$E$8,MATCH($F1130,Cadastro!$B$6:$B$8,0)),""))</f>
        <v/>
      </c>
      <c r="N1130" s="43" t="str">
        <f aca="false">IF(OR($L1130="",$I1130="",$I1130=0),"",$L1130/$I1130)</f>
        <v/>
      </c>
      <c r="O1130" s="51"/>
    </row>
    <row r="1131" customFormat="false" ht="15" hidden="false" customHeight="false" outlineLevel="0" collapsed="false">
      <c r="A1131" s="45"/>
      <c r="B1131" s="37" t="str">
        <f aca="false">IF($A1131="","",WEEKNUM($A1131,2))</f>
        <v/>
      </c>
      <c r="C1131" s="37" t="str">
        <f aca="false">IF($A1131="","",CHOOSE(WEEKDAY($A1131,2),"Seg","Ter","Qua","Qui","Sex","Sáb","Dom"))</f>
        <v/>
      </c>
      <c r="D1131" s="46"/>
      <c r="E1131" s="47"/>
      <c r="F1131" s="47"/>
      <c r="G1131" s="48"/>
      <c r="H1131" s="49"/>
      <c r="I1131" s="50"/>
      <c r="J1131" s="48"/>
      <c r="K1131" s="49"/>
      <c r="L1131" s="50"/>
      <c r="M1131" s="43" t="str">
        <f aca="false">IF(OR($L1131="",$F1131=""),"",IFERROR($L1131/INDEX(Cadastro!$E$6:$E$8,MATCH($F1131,Cadastro!$B$6:$B$8,0)),""))</f>
        <v/>
      </c>
      <c r="N1131" s="43" t="str">
        <f aca="false">IF(OR($L1131="",$I1131="",$I1131=0),"",$L1131/$I1131)</f>
        <v/>
      </c>
      <c r="O1131" s="51"/>
    </row>
    <row r="1132" customFormat="false" ht="15" hidden="false" customHeight="false" outlineLevel="0" collapsed="false">
      <c r="A1132" s="45"/>
      <c r="B1132" s="37" t="str">
        <f aca="false">IF($A1132="","",WEEKNUM($A1132,2))</f>
        <v/>
      </c>
      <c r="C1132" s="37" t="str">
        <f aca="false">IF($A1132="","",CHOOSE(WEEKDAY($A1132,2),"Seg","Ter","Qua","Qui","Sex","Sáb","Dom"))</f>
        <v/>
      </c>
      <c r="D1132" s="46"/>
      <c r="E1132" s="47"/>
      <c r="F1132" s="47"/>
      <c r="G1132" s="48"/>
      <c r="H1132" s="49"/>
      <c r="I1132" s="50"/>
      <c r="J1132" s="48"/>
      <c r="K1132" s="49"/>
      <c r="L1132" s="50"/>
      <c r="M1132" s="43" t="str">
        <f aca="false">IF(OR($L1132="",$F1132=""),"",IFERROR($L1132/INDEX(Cadastro!$E$6:$E$8,MATCH($F1132,Cadastro!$B$6:$B$8,0)),""))</f>
        <v/>
      </c>
      <c r="N1132" s="43" t="str">
        <f aca="false">IF(OR($L1132="",$I1132="",$I1132=0),"",$L1132/$I1132)</f>
        <v/>
      </c>
      <c r="O1132" s="51"/>
    </row>
    <row r="1133" customFormat="false" ht="15" hidden="false" customHeight="false" outlineLevel="0" collapsed="false">
      <c r="A1133" s="45"/>
      <c r="B1133" s="37" t="str">
        <f aca="false">IF($A1133="","",WEEKNUM($A1133,2))</f>
        <v/>
      </c>
      <c r="C1133" s="37" t="str">
        <f aca="false">IF($A1133="","",CHOOSE(WEEKDAY($A1133,2),"Seg","Ter","Qua","Qui","Sex","Sáb","Dom"))</f>
        <v/>
      </c>
      <c r="D1133" s="46"/>
      <c r="E1133" s="47"/>
      <c r="F1133" s="47"/>
      <c r="G1133" s="48"/>
      <c r="H1133" s="49"/>
      <c r="I1133" s="50"/>
      <c r="J1133" s="48"/>
      <c r="K1133" s="49"/>
      <c r="L1133" s="50"/>
      <c r="M1133" s="43" t="str">
        <f aca="false">IF(OR($L1133="",$F1133=""),"",IFERROR($L1133/INDEX(Cadastro!$E$6:$E$8,MATCH($F1133,Cadastro!$B$6:$B$8,0)),""))</f>
        <v/>
      </c>
      <c r="N1133" s="43" t="str">
        <f aca="false">IF(OR($L1133="",$I1133="",$I1133=0),"",$L1133/$I1133)</f>
        <v/>
      </c>
      <c r="O1133" s="51"/>
    </row>
    <row r="1134" customFormat="false" ht="15" hidden="false" customHeight="false" outlineLevel="0" collapsed="false">
      <c r="A1134" s="45"/>
      <c r="B1134" s="37" t="str">
        <f aca="false">IF($A1134="","",WEEKNUM($A1134,2))</f>
        <v/>
      </c>
      <c r="C1134" s="37" t="str">
        <f aca="false">IF($A1134="","",CHOOSE(WEEKDAY($A1134,2),"Seg","Ter","Qua","Qui","Sex","Sáb","Dom"))</f>
        <v/>
      </c>
      <c r="D1134" s="46"/>
      <c r="E1134" s="47"/>
      <c r="F1134" s="47"/>
      <c r="G1134" s="48"/>
      <c r="H1134" s="49"/>
      <c r="I1134" s="50"/>
      <c r="J1134" s="48"/>
      <c r="K1134" s="49"/>
      <c r="L1134" s="50"/>
      <c r="M1134" s="43" t="str">
        <f aca="false">IF(OR($L1134="",$F1134=""),"",IFERROR($L1134/INDEX(Cadastro!$E$6:$E$8,MATCH($F1134,Cadastro!$B$6:$B$8,0)),""))</f>
        <v/>
      </c>
      <c r="N1134" s="43" t="str">
        <f aca="false">IF(OR($L1134="",$I1134="",$I1134=0),"",$L1134/$I1134)</f>
        <v/>
      </c>
      <c r="O1134" s="51"/>
    </row>
    <row r="1135" customFormat="false" ht="15" hidden="false" customHeight="false" outlineLevel="0" collapsed="false">
      <c r="A1135" s="45"/>
      <c r="B1135" s="37" t="str">
        <f aca="false">IF($A1135="","",WEEKNUM($A1135,2))</f>
        <v/>
      </c>
      <c r="C1135" s="37" t="str">
        <f aca="false">IF($A1135="","",CHOOSE(WEEKDAY($A1135,2),"Seg","Ter","Qua","Qui","Sex","Sáb","Dom"))</f>
        <v/>
      </c>
      <c r="D1135" s="46"/>
      <c r="E1135" s="47"/>
      <c r="F1135" s="47"/>
      <c r="G1135" s="48"/>
      <c r="H1135" s="49"/>
      <c r="I1135" s="50"/>
      <c r="J1135" s="48"/>
      <c r="K1135" s="49"/>
      <c r="L1135" s="50"/>
      <c r="M1135" s="43" t="str">
        <f aca="false">IF(OR($L1135="",$F1135=""),"",IFERROR($L1135/INDEX(Cadastro!$E$6:$E$8,MATCH($F1135,Cadastro!$B$6:$B$8,0)),""))</f>
        <v/>
      </c>
      <c r="N1135" s="43" t="str">
        <f aca="false">IF(OR($L1135="",$I1135="",$I1135=0),"",$L1135/$I1135)</f>
        <v/>
      </c>
      <c r="O1135" s="51"/>
    </row>
    <row r="1136" customFormat="false" ht="15" hidden="false" customHeight="false" outlineLevel="0" collapsed="false">
      <c r="A1136" s="45"/>
      <c r="B1136" s="37" t="str">
        <f aca="false">IF($A1136="","",WEEKNUM($A1136,2))</f>
        <v/>
      </c>
      <c r="C1136" s="37" t="str">
        <f aca="false">IF($A1136="","",CHOOSE(WEEKDAY($A1136,2),"Seg","Ter","Qua","Qui","Sex","Sáb","Dom"))</f>
        <v/>
      </c>
      <c r="D1136" s="46"/>
      <c r="E1136" s="47"/>
      <c r="F1136" s="47"/>
      <c r="G1136" s="48"/>
      <c r="H1136" s="49"/>
      <c r="I1136" s="50"/>
      <c r="J1136" s="48"/>
      <c r="K1136" s="49"/>
      <c r="L1136" s="50"/>
      <c r="M1136" s="43" t="str">
        <f aca="false">IF(OR($L1136="",$F1136=""),"",IFERROR($L1136/INDEX(Cadastro!$E$6:$E$8,MATCH($F1136,Cadastro!$B$6:$B$8,0)),""))</f>
        <v/>
      </c>
      <c r="N1136" s="43" t="str">
        <f aca="false">IF(OR($L1136="",$I1136="",$I1136=0),"",$L1136/$I1136)</f>
        <v/>
      </c>
      <c r="O1136" s="51"/>
    </row>
    <row r="1137" customFormat="false" ht="15" hidden="false" customHeight="false" outlineLevel="0" collapsed="false">
      <c r="A1137" s="45"/>
      <c r="B1137" s="37" t="str">
        <f aca="false">IF($A1137="","",WEEKNUM($A1137,2))</f>
        <v/>
      </c>
      <c r="C1137" s="37" t="str">
        <f aca="false">IF($A1137="","",CHOOSE(WEEKDAY($A1137,2),"Seg","Ter","Qua","Qui","Sex","Sáb","Dom"))</f>
        <v/>
      </c>
      <c r="D1137" s="46"/>
      <c r="E1137" s="47"/>
      <c r="F1137" s="47"/>
      <c r="G1137" s="48"/>
      <c r="H1137" s="49"/>
      <c r="I1137" s="50"/>
      <c r="J1137" s="48"/>
      <c r="K1137" s="49"/>
      <c r="L1137" s="50"/>
      <c r="M1137" s="43" t="str">
        <f aca="false">IF(OR($L1137="",$F1137=""),"",IFERROR($L1137/INDEX(Cadastro!$E$6:$E$8,MATCH($F1137,Cadastro!$B$6:$B$8,0)),""))</f>
        <v/>
      </c>
      <c r="N1137" s="43" t="str">
        <f aca="false">IF(OR($L1137="",$I1137="",$I1137=0),"",$L1137/$I1137)</f>
        <v/>
      </c>
      <c r="O1137" s="51"/>
    </row>
    <row r="1138" customFormat="false" ht="15" hidden="false" customHeight="false" outlineLevel="0" collapsed="false">
      <c r="A1138" s="45"/>
      <c r="B1138" s="37" t="str">
        <f aca="false">IF($A1138="","",WEEKNUM($A1138,2))</f>
        <v/>
      </c>
      <c r="C1138" s="37" t="str">
        <f aca="false">IF($A1138="","",CHOOSE(WEEKDAY($A1138,2),"Seg","Ter","Qua","Qui","Sex","Sáb","Dom"))</f>
        <v/>
      </c>
      <c r="D1138" s="46"/>
      <c r="E1138" s="47"/>
      <c r="F1138" s="47"/>
      <c r="G1138" s="48"/>
      <c r="H1138" s="49"/>
      <c r="I1138" s="50"/>
      <c r="J1138" s="48"/>
      <c r="K1138" s="49"/>
      <c r="L1138" s="50"/>
      <c r="M1138" s="43" t="str">
        <f aca="false">IF(OR($L1138="",$F1138=""),"",IFERROR($L1138/INDEX(Cadastro!$E$6:$E$8,MATCH($F1138,Cadastro!$B$6:$B$8,0)),""))</f>
        <v/>
      </c>
      <c r="N1138" s="43" t="str">
        <f aca="false">IF(OR($L1138="",$I1138="",$I1138=0),"",$L1138/$I1138)</f>
        <v/>
      </c>
      <c r="O1138" s="51"/>
    </row>
    <row r="1139" customFormat="false" ht="15" hidden="false" customHeight="false" outlineLevel="0" collapsed="false">
      <c r="A1139" s="45"/>
      <c r="B1139" s="37" t="str">
        <f aca="false">IF($A1139="","",WEEKNUM($A1139,2))</f>
        <v/>
      </c>
      <c r="C1139" s="37" t="str">
        <f aca="false">IF($A1139="","",CHOOSE(WEEKDAY($A1139,2),"Seg","Ter","Qua","Qui","Sex","Sáb","Dom"))</f>
        <v/>
      </c>
      <c r="D1139" s="46"/>
      <c r="E1139" s="47"/>
      <c r="F1139" s="47"/>
      <c r="G1139" s="48"/>
      <c r="H1139" s="49"/>
      <c r="I1139" s="50"/>
      <c r="J1139" s="48"/>
      <c r="K1139" s="49"/>
      <c r="L1139" s="50"/>
      <c r="M1139" s="43" t="str">
        <f aca="false">IF(OR($L1139="",$F1139=""),"",IFERROR($L1139/INDEX(Cadastro!$E$6:$E$8,MATCH($F1139,Cadastro!$B$6:$B$8,0)),""))</f>
        <v/>
      </c>
      <c r="N1139" s="43" t="str">
        <f aca="false">IF(OR($L1139="",$I1139="",$I1139=0),"",$L1139/$I1139)</f>
        <v/>
      </c>
      <c r="O1139" s="51"/>
    </row>
    <row r="1140" customFormat="false" ht="15" hidden="false" customHeight="false" outlineLevel="0" collapsed="false">
      <c r="A1140" s="45"/>
      <c r="B1140" s="37" t="str">
        <f aca="false">IF($A1140="","",WEEKNUM($A1140,2))</f>
        <v/>
      </c>
      <c r="C1140" s="37" t="str">
        <f aca="false">IF($A1140="","",CHOOSE(WEEKDAY($A1140,2),"Seg","Ter","Qua","Qui","Sex","Sáb","Dom"))</f>
        <v/>
      </c>
      <c r="D1140" s="46"/>
      <c r="E1140" s="47"/>
      <c r="F1140" s="47"/>
      <c r="G1140" s="48"/>
      <c r="H1140" s="49"/>
      <c r="I1140" s="50"/>
      <c r="J1140" s="48"/>
      <c r="K1140" s="49"/>
      <c r="L1140" s="50"/>
      <c r="M1140" s="43" t="str">
        <f aca="false">IF(OR($L1140="",$F1140=""),"",IFERROR($L1140/INDEX(Cadastro!$E$6:$E$8,MATCH($F1140,Cadastro!$B$6:$B$8,0)),""))</f>
        <v/>
      </c>
      <c r="N1140" s="43" t="str">
        <f aca="false">IF(OR($L1140="",$I1140="",$I1140=0),"",$L1140/$I1140)</f>
        <v/>
      </c>
      <c r="O1140" s="51"/>
    </row>
    <row r="1141" customFormat="false" ht="15" hidden="false" customHeight="false" outlineLevel="0" collapsed="false">
      <c r="A1141" s="45"/>
      <c r="B1141" s="37" t="str">
        <f aca="false">IF($A1141="","",WEEKNUM($A1141,2))</f>
        <v/>
      </c>
      <c r="C1141" s="37" t="str">
        <f aca="false">IF($A1141="","",CHOOSE(WEEKDAY($A1141,2),"Seg","Ter","Qua","Qui","Sex","Sáb","Dom"))</f>
        <v/>
      </c>
      <c r="D1141" s="46"/>
      <c r="E1141" s="47"/>
      <c r="F1141" s="47"/>
      <c r="G1141" s="48"/>
      <c r="H1141" s="49"/>
      <c r="I1141" s="50"/>
      <c r="J1141" s="48"/>
      <c r="K1141" s="49"/>
      <c r="L1141" s="50"/>
      <c r="M1141" s="43" t="str">
        <f aca="false">IF(OR($L1141="",$F1141=""),"",IFERROR($L1141/INDEX(Cadastro!$E$6:$E$8,MATCH($F1141,Cadastro!$B$6:$B$8,0)),""))</f>
        <v/>
      </c>
      <c r="N1141" s="43" t="str">
        <f aca="false">IF(OR($L1141="",$I1141="",$I1141=0),"",$L1141/$I1141)</f>
        <v/>
      </c>
      <c r="O1141" s="51"/>
    </row>
    <row r="1142" customFormat="false" ht="15" hidden="false" customHeight="false" outlineLevel="0" collapsed="false">
      <c r="A1142" s="45"/>
      <c r="B1142" s="37" t="str">
        <f aca="false">IF($A1142="","",WEEKNUM($A1142,2))</f>
        <v/>
      </c>
      <c r="C1142" s="37" t="str">
        <f aca="false">IF($A1142="","",CHOOSE(WEEKDAY($A1142,2),"Seg","Ter","Qua","Qui","Sex","Sáb","Dom"))</f>
        <v/>
      </c>
      <c r="D1142" s="46"/>
      <c r="E1142" s="47"/>
      <c r="F1142" s="47"/>
      <c r="G1142" s="48"/>
      <c r="H1142" s="49"/>
      <c r="I1142" s="50"/>
      <c r="J1142" s="48"/>
      <c r="K1142" s="49"/>
      <c r="L1142" s="50"/>
      <c r="M1142" s="43" t="str">
        <f aca="false">IF(OR($L1142="",$F1142=""),"",IFERROR($L1142/INDEX(Cadastro!$E$6:$E$8,MATCH($F1142,Cadastro!$B$6:$B$8,0)),""))</f>
        <v/>
      </c>
      <c r="N1142" s="43" t="str">
        <f aca="false">IF(OR($L1142="",$I1142="",$I1142=0),"",$L1142/$I1142)</f>
        <v/>
      </c>
      <c r="O1142" s="51"/>
    </row>
    <row r="1143" customFormat="false" ht="15" hidden="false" customHeight="false" outlineLevel="0" collapsed="false">
      <c r="A1143" s="45"/>
      <c r="B1143" s="37" t="str">
        <f aca="false">IF($A1143="","",WEEKNUM($A1143,2))</f>
        <v/>
      </c>
      <c r="C1143" s="37" t="str">
        <f aca="false">IF($A1143="","",CHOOSE(WEEKDAY($A1143,2),"Seg","Ter","Qua","Qui","Sex","Sáb","Dom"))</f>
        <v/>
      </c>
      <c r="D1143" s="46"/>
      <c r="E1143" s="47"/>
      <c r="F1143" s="47"/>
      <c r="G1143" s="48"/>
      <c r="H1143" s="49"/>
      <c r="I1143" s="50"/>
      <c r="J1143" s="48"/>
      <c r="K1143" s="49"/>
      <c r="L1143" s="50"/>
      <c r="M1143" s="43" t="str">
        <f aca="false">IF(OR($L1143="",$F1143=""),"",IFERROR($L1143/INDEX(Cadastro!$E$6:$E$8,MATCH($F1143,Cadastro!$B$6:$B$8,0)),""))</f>
        <v/>
      </c>
      <c r="N1143" s="43" t="str">
        <f aca="false">IF(OR($L1143="",$I1143="",$I1143=0),"",$L1143/$I1143)</f>
        <v/>
      </c>
      <c r="O1143" s="51"/>
    </row>
    <row r="1144" customFormat="false" ht="15" hidden="false" customHeight="false" outlineLevel="0" collapsed="false">
      <c r="A1144" s="45"/>
      <c r="B1144" s="37" t="str">
        <f aca="false">IF($A1144="","",WEEKNUM($A1144,2))</f>
        <v/>
      </c>
      <c r="C1144" s="37" t="str">
        <f aca="false">IF($A1144="","",CHOOSE(WEEKDAY($A1144,2),"Seg","Ter","Qua","Qui","Sex","Sáb","Dom"))</f>
        <v/>
      </c>
      <c r="D1144" s="46"/>
      <c r="E1144" s="47"/>
      <c r="F1144" s="47"/>
      <c r="G1144" s="48"/>
      <c r="H1144" s="49"/>
      <c r="I1144" s="50"/>
      <c r="J1144" s="48"/>
      <c r="K1144" s="49"/>
      <c r="L1144" s="50"/>
      <c r="M1144" s="43" t="str">
        <f aca="false">IF(OR($L1144="",$F1144=""),"",IFERROR($L1144/INDEX(Cadastro!$E$6:$E$8,MATCH($F1144,Cadastro!$B$6:$B$8,0)),""))</f>
        <v/>
      </c>
      <c r="N1144" s="43" t="str">
        <f aca="false">IF(OR($L1144="",$I1144="",$I1144=0),"",$L1144/$I1144)</f>
        <v/>
      </c>
      <c r="O1144" s="51"/>
    </row>
    <row r="1145" customFormat="false" ht="15" hidden="false" customHeight="false" outlineLevel="0" collapsed="false">
      <c r="A1145" s="45"/>
      <c r="B1145" s="37" t="str">
        <f aca="false">IF($A1145="","",WEEKNUM($A1145,2))</f>
        <v/>
      </c>
      <c r="C1145" s="37" t="str">
        <f aca="false">IF($A1145="","",CHOOSE(WEEKDAY($A1145,2),"Seg","Ter","Qua","Qui","Sex","Sáb","Dom"))</f>
        <v/>
      </c>
      <c r="D1145" s="46"/>
      <c r="E1145" s="47"/>
      <c r="F1145" s="47"/>
      <c r="G1145" s="48"/>
      <c r="H1145" s="49"/>
      <c r="I1145" s="50"/>
      <c r="J1145" s="48"/>
      <c r="K1145" s="49"/>
      <c r="L1145" s="50"/>
      <c r="M1145" s="43" t="str">
        <f aca="false">IF(OR($L1145="",$F1145=""),"",IFERROR($L1145/INDEX(Cadastro!$E$6:$E$8,MATCH($F1145,Cadastro!$B$6:$B$8,0)),""))</f>
        <v/>
      </c>
      <c r="N1145" s="43" t="str">
        <f aca="false">IF(OR($L1145="",$I1145="",$I1145=0),"",$L1145/$I1145)</f>
        <v/>
      </c>
      <c r="O1145" s="51"/>
    </row>
    <row r="1146" customFormat="false" ht="15" hidden="false" customHeight="false" outlineLevel="0" collapsed="false">
      <c r="A1146" s="45"/>
      <c r="B1146" s="37" t="str">
        <f aca="false">IF($A1146="","",WEEKNUM($A1146,2))</f>
        <v/>
      </c>
      <c r="C1146" s="37" t="str">
        <f aca="false">IF($A1146="","",CHOOSE(WEEKDAY($A1146,2),"Seg","Ter","Qua","Qui","Sex","Sáb","Dom"))</f>
        <v/>
      </c>
      <c r="D1146" s="46"/>
      <c r="E1146" s="47"/>
      <c r="F1146" s="47"/>
      <c r="G1146" s="48"/>
      <c r="H1146" s="49"/>
      <c r="I1146" s="50"/>
      <c r="J1146" s="48"/>
      <c r="K1146" s="49"/>
      <c r="L1146" s="50"/>
      <c r="M1146" s="43" t="str">
        <f aca="false">IF(OR($L1146="",$F1146=""),"",IFERROR($L1146/INDEX(Cadastro!$E$6:$E$8,MATCH($F1146,Cadastro!$B$6:$B$8,0)),""))</f>
        <v/>
      </c>
      <c r="N1146" s="43" t="str">
        <f aca="false">IF(OR($L1146="",$I1146="",$I1146=0),"",$L1146/$I1146)</f>
        <v/>
      </c>
      <c r="O1146" s="51"/>
    </row>
    <row r="1147" customFormat="false" ht="15" hidden="false" customHeight="false" outlineLevel="0" collapsed="false">
      <c r="A1147" s="45"/>
      <c r="B1147" s="37" t="str">
        <f aca="false">IF($A1147="","",WEEKNUM($A1147,2))</f>
        <v/>
      </c>
      <c r="C1147" s="37" t="str">
        <f aca="false">IF($A1147="","",CHOOSE(WEEKDAY($A1147,2),"Seg","Ter","Qua","Qui","Sex","Sáb","Dom"))</f>
        <v/>
      </c>
      <c r="D1147" s="46"/>
      <c r="E1147" s="47"/>
      <c r="F1147" s="47"/>
      <c r="G1147" s="48"/>
      <c r="H1147" s="49"/>
      <c r="I1147" s="50"/>
      <c r="J1147" s="48"/>
      <c r="K1147" s="49"/>
      <c r="L1147" s="50"/>
      <c r="M1147" s="43" t="str">
        <f aca="false">IF(OR($L1147="",$F1147=""),"",IFERROR($L1147/INDEX(Cadastro!$E$6:$E$8,MATCH($F1147,Cadastro!$B$6:$B$8,0)),""))</f>
        <v/>
      </c>
      <c r="N1147" s="43" t="str">
        <f aca="false">IF(OR($L1147="",$I1147="",$I1147=0),"",$L1147/$I1147)</f>
        <v/>
      </c>
      <c r="O1147" s="51"/>
    </row>
    <row r="1148" customFormat="false" ht="15" hidden="false" customHeight="false" outlineLevel="0" collapsed="false">
      <c r="A1148" s="45"/>
      <c r="B1148" s="37" t="str">
        <f aca="false">IF($A1148="","",WEEKNUM($A1148,2))</f>
        <v/>
      </c>
      <c r="C1148" s="37" t="str">
        <f aca="false">IF($A1148="","",CHOOSE(WEEKDAY($A1148,2),"Seg","Ter","Qua","Qui","Sex","Sáb","Dom"))</f>
        <v/>
      </c>
      <c r="D1148" s="46"/>
      <c r="E1148" s="47"/>
      <c r="F1148" s="47"/>
      <c r="G1148" s="48"/>
      <c r="H1148" s="49"/>
      <c r="I1148" s="50"/>
      <c r="J1148" s="48"/>
      <c r="K1148" s="49"/>
      <c r="L1148" s="50"/>
      <c r="M1148" s="43" t="str">
        <f aca="false">IF(OR($L1148="",$F1148=""),"",IFERROR($L1148/INDEX(Cadastro!$E$6:$E$8,MATCH($F1148,Cadastro!$B$6:$B$8,0)),""))</f>
        <v/>
      </c>
      <c r="N1148" s="43" t="str">
        <f aca="false">IF(OR($L1148="",$I1148="",$I1148=0),"",$L1148/$I1148)</f>
        <v/>
      </c>
      <c r="O1148" s="51"/>
    </row>
    <row r="1149" customFormat="false" ht="15" hidden="false" customHeight="false" outlineLevel="0" collapsed="false">
      <c r="A1149" s="45"/>
      <c r="B1149" s="37" t="str">
        <f aca="false">IF($A1149="","",WEEKNUM($A1149,2))</f>
        <v/>
      </c>
      <c r="C1149" s="37" t="str">
        <f aca="false">IF($A1149="","",CHOOSE(WEEKDAY($A1149,2),"Seg","Ter","Qua","Qui","Sex","Sáb","Dom"))</f>
        <v/>
      </c>
      <c r="D1149" s="46"/>
      <c r="E1149" s="47"/>
      <c r="F1149" s="47"/>
      <c r="G1149" s="48"/>
      <c r="H1149" s="49"/>
      <c r="I1149" s="50"/>
      <c r="J1149" s="48"/>
      <c r="K1149" s="49"/>
      <c r="L1149" s="50"/>
      <c r="M1149" s="43" t="str">
        <f aca="false">IF(OR($L1149="",$F1149=""),"",IFERROR($L1149/INDEX(Cadastro!$E$6:$E$8,MATCH($F1149,Cadastro!$B$6:$B$8,0)),""))</f>
        <v/>
      </c>
      <c r="N1149" s="43" t="str">
        <f aca="false">IF(OR($L1149="",$I1149="",$I1149=0),"",$L1149/$I1149)</f>
        <v/>
      </c>
      <c r="O1149" s="51"/>
    </row>
    <row r="1150" customFormat="false" ht="15" hidden="false" customHeight="false" outlineLevel="0" collapsed="false">
      <c r="A1150" s="45"/>
      <c r="B1150" s="37" t="str">
        <f aca="false">IF($A1150="","",WEEKNUM($A1150,2))</f>
        <v/>
      </c>
      <c r="C1150" s="37" t="str">
        <f aca="false">IF($A1150="","",CHOOSE(WEEKDAY($A1150,2),"Seg","Ter","Qua","Qui","Sex","Sáb","Dom"))</f>
        <v/>
      </c>
      <c r="D1150" s="46"/>
      <c r="E1150" s="47"/>
      <c r="F1150" s="47"/>
      <c r="G1150" s="48"/>
      <c r="H1150" s="49"/>
      <c r="I1150" s="50"/>
      <c r="J1150" s="48"/>
      <c r="K1150" s="49"/>
      <c r="L1150" s="50"/>
      <c r="M1150" s="43" t="str">
        <f aca="false">IF(OR($L1150="",$F1150=""),"",IFERROR($L1150/INDEX(Cadastro!$E$6:$E$8,MATCH($F1150,Cadastro!$B$6:$B$8,0)),""))</f>
        <v/>
      </c>
      <c r="N1150" s="43" t="str">
        <f aca="false">IF(OR($L1150="",$I1150="",$I1150=0),"",$L1150/$I1150)</f>
        <v/>
      </c>
      <c r="O1150" s="51"/>
    </row>
    <row r="1151" customFormat="false" ht="15" hidden="false" customHeight="false" outlineLevel="0" collapsed="false">
      <c r="A1151" s="45"/>
      <c r="B1151" s="37" t="str">
        <f aca="false">IF($A1151="","",WEEKNUM($A1151,2))</f>
        <v/>
      </c>
      <c r="C1151" s="37" t="str">
        <f aca="false">IF($A1151="","",CHOOSE(WEEKDAY($A1151,2),"Seg","Ter","Qua","Qui","Sex","Sáb","Dom"))</f>
        <v/>
      </c>
      <c r="D1151" s="46"/>
      <c r="E1151" s="47"/>
      <c r="F1151" s="47"/>
      <c r="G1151" s="48"/>
      <c r="H1151" s="49"/>
      <c r="I1151" s="50"/>
      <c r="J1151" s="48"/>
      <c r="K1151" s="49"/>
      <c r="L1151" s="50"/>
      <c r="M1151" s="43" t="str">
        <f aca="false">IF(OR($L1151="",$F1151=""),"",IFERROR($L1151/INDEX(Cadastro!$E$6:$E$8,MATCH($F1151,Cadastro!$B$6:$B$8,0)),""))</f>
        <v/>
      </c>
      <c r="N1151" s="43" t="str">
        <f aca="false">IF(OR($L1151="",$I1151="",$I1151=0),"",$L1151/$I1151)</f>
        <v/>
      </c>
      <c r="O1151" s="51"/>
    </row>
    <row r="1152" customFormat="false" ht="15" hidden="false" customHeight="false" outlineLevel="0" collapsed="false">
      <c r="A1152" s="45"/>
      <c r="B1152" s="37" t="str">
        <f aca="false">IF($A1152="","",WEEKNUM($A1152,2))</f>
        <v/>
      </c>
      <c r="C1152" s="37" t="str">
        <f aca="false">IF($A1152="","",CHOOSE(WEEKDAY($A1152,2),"Seg","Ter","Qua","Qui","Sex","Sáb","Dom"))</f>
        <v/>
      </c>
      <c r="D1152" s="46"/>
      <c r="E1152" s="47"/>
      <c r="F1152" s="47"/>
      <c r="G1152" s="48"/>
      <c r="H1152" s="49"/>
      <c r="I1152" s="50"/>
      <c r="J1152" s="48"/>
      <c r="K1152" s="49"/>
      <c r="L1152" s="50"/>
      <c r="M1152" s="43" t="str">
        <f aca="false">IF(OR($L1152="",$F1152=""),"",IFERROR($L1152/INDEX(Cadastro!$E$6:$E$8,MATCH($F1152,Cadastro!$B$6:$B$8,0)),""))</f>
        <v/>
      </c>
      <c r="N1152" s="43" t="str">
        <f aca="false">IF(OR($L1152="",$I1152="",$I1152=0),"",$L1152/$I1152)</f>
        <v/>
      </c>
      <c r="O1152" s="51"/>
    </row>
    <row r="1153" customFormat="false" ht="15" hidden="false" customHeight="false" outlineLevel="0" collapsed="false">
      <c r="A1153" s="45"/>
      <c r="B1153" s="37" t="str">
        <f aca="false">IF($A1153="","",WEEKNUM($A1153,2))</f>
        <v/>
      </c>
      <c r="C1153" s="37" t="str">
        <f aca="false">IF($A1153="","",CHOOSE(WEEKDAY($A1153,2),"Seg","Ter","Qua","Qui","Sex","Sáb","Dom"))</f>
        <v/>
      </c>
      <c r="D1153" s="46"/>
      <c r="E1153" s="47"/>
      <c r="F1153" s="47"/>
      <c r="G1153" s="48"/>
      <c r="H1153" s="49"/>
      <c r="I1153" s="50"/>
      <c r="J1153" s="48"/>
      <c r="K1153" s="49"/>
      <c r="L1153" s="50"/>
      <c r="M1153" s="43" t="str">
        <f aca="false">IF(OR($L1153="",$F1153=""),"",IFERROR($L1153/INDEX(Cadastro!$E$6:$E$8,MATCH($F1153,Cadastro!$B$6:$B$8,0)),""))</f>
        <v/>
      </c>
      <c r="N1153" s="43" t="str">
        <f aca="false">IF(OR($L1153="",$I1153="",$I1153=0),"",$L1153/$I1153)</f>
        <v/>
      </c>
      <c r="O1153" s="51"/>
    </row>
    <row r="1154" customFormat="false" ht="15" hidden="false" customHeight="false" outlineLevel="0" collapsed="false">
      <c r="A1154" s="45"/>
      <c r="B1154" s="37" t="str">
        <f aca="false">IF($A1154="","",WEEKNUM($A1154,2))</f>
        <v/>
      </c>
      <c r="C1154" s="37" t="str">
        <f aca="false">IF($A1154="","",CHOOSE(WEEKDAY($A1154,2),"Seg","Ter","Qua","Qui","Sex","Sáb","Dom"))</f>
        <v/>
      </c>
      <c r="D1154" s="46"/>
      <c r="E1154" s="47"/>
      <c r="F1154" s="47"/>
      <c r="G1154" s="48"/>
      <c r="H1154" s="49"/>
      <c r="I1154" s="50"/>
      <c r="J1154" s="48"/>
      <c r="K1154" s="49"/>
      <c r="L1154" s="50"/>
      <c r="M1154" s="43" t="str">
        <f aca="false">IF(OR($L1154="",$F1154=""),"",IFERROR($L1154/INDEX(Cadastro!$E$6:$E$8,MATCH($F1154,Cadastro!$B$6:$B$8,0)),""))</f>
        <v/>
      </c>
      <c r="N1154" s="43" t="str">
        <f aca="false">IF(OR($L1154="",$I1154="",$I1154=0),"",$L1154/$I1154)</f>
        <v/>
      </c>
      <c r="O1154" s="51"/>
    </row>
    <row r="1155" customFormat="false" ht="15" hidden="false" customHeight="false" outlineLevel="0" collapsed="false">
      <c r="A1155" s="45"/>
      <c r="B1155" s="37" t="str">
        <f aca="false">IF($A1155="","",WEEKNUM($A1155,2))</f>
        <v/>
      </c>
      <c r="C1155" s="37" t="str">
        <f aca="false">IF($A1155="","",CHOOSE(WEEKDAY($A1155,2),"Seg","Ter","Qua","Qui","Sex","Sáb","Dom"))</f>
        <v/>
      </c>
      <c r="D1155" s="46"/>
      <c r="E1155" s="47"/>
      <c r="F1155" s="47"/>
      <c r="G1155" s="48"/>
      <c r="H1155" s="49"/>
      <c r="I1155" s="50"/>
      <c r="J1155" s="48"/>
      <c r="K1155" s="49"/>
      <c r="L1155" s="50"/>
      <c r="M1155" s="43" t="str">
        <f aca="false">IF(OR($L1155="",$F1155=""),"",IFERROR($L1155/INDEX(Cadastro!$E$6:$E$8,MATCH($F1155,Cadastro!$B$6:$B$8,0)),""))</f>
        <v/>
      </c>
      <c r="N1155" s="43" t="str">
        <f aca="false">IF(OR($L1155="",$I1155="",$I1155=0),"",$L1155/$I1155)</f>
        <v/>
      </c>
      <c r="O1155" s="51"/>
    </row>
    <row r="1156" customFormat="false" ht="15" hidden="false" customHeight="false" outlineLevel="0" collapsed="false">
      <c r="A1156" s="45"/>
      <c r="B1156" s="37" t="str">
        <f aca="false">IF($A1156="","",WEEKNUM($A1156,2))</f>
        <v/>
      </c>
      <c r="C1156" s="37" t="str">
        <f aca="false">IF($A1156="","",CHOOSE(WEEKDAY($A1156,2),"Seg","Ter","Qua","Qui","Sex","Sáb","Dom"))</f>
        <v/>
      </c>
      <c r="D1156" s="46"/>
      <c r="E1156" s="47"/>
      <c r="F1156" s="47"/>
      <c r="G1156" s="48"/>
      <c r="H1156" s="49"/>
      <c r="I1156" s="50"/>
      <c r="J1156" s="48"/>
      <c r="K1156" s="49"/>
      <c r="L1156" s="50"/>
      <c r="M1156" s="43" t="str">
        <f aca="false">IF(OR($L1156="",$F1156=""),"",IFERROR($L1156/INDEX(Cadastro!$E$6:$E$8,MATCH($F1156,Cadastro!$B$6:$B$8,0)),""))</f>
        <v/>
      </c>
      <c r="N1156" s="43" t="str">
        <f aca="false">IF(OR($L1156="",$I1156="",$I1156=0),"",$L1156/$I1156)</f>
        <v/>
      </c>
      <c r="O1156" s="51"/>
    </row>
    <row r="1157" customFormat="false" ht="15" hidden="false" customHeight="false" outlineLevel="0" collapsed="false">
      <c r="A1157" s="45"/>
      <c r="B1157" s="37" t="str">
        <f aca="false">IF($A1157="","",WEEKNUM($A1157,2))</f>
        <v/>
      </c>
      <c r="C1157" s="37" t="str">
        <f aca="false">IF($A1157="","",CHOOSE(WEEKDAY($A1157,2),"Seg","Ter","Qua","Qui","Sex","Sáb","Dom"))</f>
        <v/>
      </c>
      <c r="D1157" s="46"/>
      <c r="E1157" s="47"/>
      <c r="F1157" s="47"/>
      <c r="G1157" s="48"/>
      <c r="H1157" s="49"/>
      <c r="I1157" s="50"/>
      <c r="J1157" s="48"/>
      <c r="K1157" s="49"/>
      <c r="L1157" s="50"/>
      <c r="M1157" s="43" t="str">
        <f aca="false">IF(OR($L1157="",$F1157=""),"",IFERROR($L1157/INDEX(Cadastro!$E$6:$E$8,MATCH($F1157,Cadastro!$B$6:$B$8,0)),""))</f>
        <v/>
      </c>
      <c r="N1157" s="43" t="str">
        <f aca="false">IF(OR($L1157="",$I1157="",$I1157=0),"",$L1157/$I1157)</f>
        <v/>
      </c>
      <c r="O1157" s="51"/>
    </row>
    <row r="1158" customFormat="false" ht="15" hidden="false" customHeight="false" outlineLevel="0" collapsed="false">
      <c r="A1158" s="45"/>
      <c r="B1158" s="37" t="str">
        <f aca="false">IF($A1158="","",WEEKNUM($A1158,2))</f>
        <v/>
      </c>
      <c r="C1158" s="37" t="str">
        <f aca="false">IF($A1158="","",CHOOSE(WEEKDAY($A1158,2),"Seg","Ter","Qua","Qui","Sex","Sáb","Dom"))</f>
        <v/>
      </c>
      <c r="D1158" s="46"/>
      <c r="E1158" s="47"/>
      <c r="F1158" s="47"/>
      <c r="G1158" s="48"/>
      <c r="H1158" s="49"/>
      <c r="I1158" s="50"/>
      <c r="J1158" s="48"/>
      <c r="K1158" s="49"/>
      <c r="L1158" s="50"/>
      <c r="M1158" s="43" t="str">
        <f aca="false">IF(OR($L1158="",$F1158=""),"",IFERROR($L1158/INDEX(Cadastro!$E$6:$E$8,MATCH($F1158,Cadastro!$B$6:$B$8,0)),""))</f>
        <v/>
      </c>
      <c r="N1158" s="43" t="str">
        <f aca="false">IF(OR($L1158="",$I1158="",$I1158=0),"",$L1158/$I1158)</f>
        <v/>
      </c>
      <c r="O1158" s="51"/>
    </row>
    <row r="1159" customFormat="false" ht="15" hidden="false" customHeight="false" outlineLevel="0" collapsed="false">
      <c r="A1159" s="45"/>
      <c r="B1159" s="37" t="str">
        <f aca="false">IF($A1159="","",WEEKNUM($A1159,2))</f>
        <v/>
      </c>
      <c r="C1159" s="37" t="str">
        <f aca="false">IF($A1159="","",CHOOSE(WEEKDAY($A1159,2),"Seg","Ter","Qua","Qui","Sex","Sáb","Dom"))</f>
        <v/>
      </c>
      <c r="D1159" s="46"/>
      <c r="E1159" s="47"/>
      <c r="F1159" s="47"/>
      <c r="G1159" s="48"/>
      <c r="H1159" s="49"/>
      <c r="I1159" s="50"/>
      <c r="J1159" s="48"/>
      <c r="K1159" s="49"/>
      <c r="L1159" s="50"/>
      <c r="M1159" s="43" t="str">
        <f aca="false">IF(OR($L1159="",$F1159=""),"",IFERROR($L1159/INDEX(Cadastro!$E$6:$E$8,MATCH($F1159,Cadastro!$B$6:$B$8,0)),""))</f>
        <v/>
      </c>
      <c r="N1159" s="43" t="str">
        <f aca="false">IF(OR($L1159="",$I1159="",$I1159=0),"",$L1159/$I1159)</f>
        <v/>
      </c>
      <c r="O1159" s="51"/>
    </row>
    <row r="1160" customFormat="false" ht="15" hidden="false" customHeight="false" outlineLevel="0" collapsed="false">
      <c r="A1160" s="45"/>
      <c r="B1160" s="37" t="str">
        <f aca="false">IF($A1160="","",WEEKNUM($A1160,2))</f>
        <v/>
      </c>
      <c r="C1160" s="37" t="str">
        <f aca="false">IF($A1160="","",CHOOSE(WEEKDAY($A1160,2),"Seg","Ter","Qua","Qui","Sex","Sáb","Dom"))</f>
        <v/>
      </c>
      <c r="D1160" s="46"/>
      <c r="E1160" s="47"/>
      <c r="F1160" s="47"/>
      <c r="G1160" s="48"/>
      <c r="H1160" s="49"/>
      <c r="I1160" s="50"/>
      <c r="J1160" s="48"/>
      <c r="K1160" s="49"/>
      <c r="L1160" s="50"/>
      <c r="M1160" s="43" t="str">
        <f aca="false">IF(OR($L1160="",$F1160=""),"",IFERROR($L1160/INDEX(Cadastro!$E$6:$E$8,MATCH($F1160,Cadastro!$B$6:$B$8,0)),""))</f>
        <v/>
      </c>
      <c r="N1160" s="43" t="str">
        <f aca="false">IF(OR($L1160="",$I1160="",$I1160=0),"",$L1160/$I1160)</f>
        <v/>
      </c>
      <c r="O1160" s="51"/>
    </row>
    <row r="1161" customFormat="false" ht="15" hidden="false" customHeight="false" outlineLevel="0" collapsed="false">
      <c r="A1161" s="45"/>
      <c r="B1161" s="37" t="str">
        <f aca="false">IF($A1161="","",WEEKNUM($A1161,2))</f>
        <v/>
      </c>
      <c r="C1161" s="37" t="str">
        <f aca="false">IF($A1161="","",CHOOSE(WEEKDAY($A1161,2),"Seg","Ter","Qua","Qui","Sex","Sáb","Dom"))</f>
        <v/>
      </c>
      <c r="D1161" s="46"/>
      <c r="E1161" s="47"/>
      <c r="F1161" s="47"/>
      <c r="G1161" s="48"/>
      <c r="H1161" s="49"/>
      <c r="I1161" s="50"/>
      <c r="J1161" s="48"/>
      <c r="K1161" s="49"/>
      <c r="L1161" s="50"/>
      <c r="M1161" s="43" t="str">
        <f aca="false">IF(OR($L1161="",$F1161=""),"",IFERROR($L1161/INDEX(Cadastro!$E$6:$E$8,MATCH($F1161,Cadastro!$B$6:$B$8,0)),""))</f>
        <v/>
      </c>
      <c r="N1161" s="43" t="str">
        <f aca="false">IF(OR($L1161="",$I1161="",$I1161=0),"",$L1161/$I1161)</f>
        <v/>
      </c>
      <c r="O1161" s="51"/>
    </row>
    <row r="1162" customFormat="false" ht="15" hidden="false" customHeight="false" outlineLevel="0" collapsed="false">
      <c r="A1162" s="45"/>
      <c r="B1162" s="37" t="str">
        <f aca="false">IF($A1162="","",WEEKNUM($A1162,2))</f>
        <v/>
      </c>
      <c r="C1162" s="37" t="str">
        <f aca="false">IF($A1162="","",CHOOSE(WEEKDAY($A1162,2),"Seg","Ter","Qua","Qui","Sex","Sáb","Dom"))</f>
        <v/>
      </c>
      <c r="D1162" s="46"/>
      <c r="E1162" s="47"/>
      <c r="F1162" s="47"/>
      <c r="G1162" s="48"/>
      <c r="H1162" s="49"/>
      <c r="I1162" s="50"/>
      <c r="J1162" s="48"/>
      <c r="K1162" s="49"/>
      <c r="L1162" s="50"/>
      <c r="M1162" s="43" t="str">
        <f aca="false">IF(OR($L1162="",$F1162=""),"",IFERROR($L1162/INDEX(Cadastro!$E$6:$E$8,MATCH($F1162,Cadastro!$B$6:$B$8,0)),""))</f>
        <v/>
      </c>
      <c r="N1162" s="43" t="str">
        <f aca="false">IF(OR($L1162="",$I1162="",$I1162=0),"",$L1162/$I1162)</f>
        <v/>
      </c>
      <c r="O1162" s="51"/>
    </row>
    <row r="1163" customFormat="false" ht="15" hidden="false" customHeight="false" outlineLevel="0" collapsed="false">
      <c r="A1163" s="45"/>
      <c r="B1163" s="37" t="str">
        <f aca="false">IF($A1163="","",WEEKNUM($A1163,2))</f>
        <v/>
      </c>
      <c r="C1163" s="37" t="str">
        <f aca="false">IF($A1163="","",CHOOSE(WEEKDAY($A1163,2),"Seg","Ter","Qua","Qui","Sex","Sáb","Dom"))</f>
        <v/>
      </c>
      <c r="D1163" s="46"/>
      <c r="E1163" s="47"/>
      <c r="F1163" s="47"/>
      <c r="G1163" s="48"/>
      <c r="H1163" s="49"/>
      <c r="I1163" s="50"/>
      <c r="J1163" s="48"/>
      <c r="K1163" s="49"/>
      <c r="L1163" s="50"/>
      <c r="M1163" s="43" t="str">
        <f aca="false">IF(OR($L1163="",$F1163=""),"",IFERROR($L1163/INDEX(Cadastro!$E$6:$E$8,MATCH($F1163,Cadastro!$B$6:$B$8,0)),""))</f>
        <v/>
      </c>
      <c r="N1163" s="43" t="str">
        <f aca="false">IF(OR($L1163="",$I1163="",$I1163=0),"",$L1163/$I1163)</f>
        <v/>
      </c>
      <c r="O1163" s="51"/>
    </row>
    <row r="1164" customFormat="false" ht="15" hidden="false" customHeight="false" outlineLevel="0" collapsed="false">
      <c r="A1164" s="45"/>
      <c r="B1164" s="37" t="str">
        <f aca="false">IF($A1164="","",WEEKNUM($A1164,2))</f>
        <v/>
      </c>
      <c r="C1164" s="37" t="str">
        <f aca="false">IF($A1164="","",CHOOSE(WEEKDAY($A1164,2),"Seg","Ter","Qua","Qui","Sex","Sáb","Dom"))</f>
        <v/>
      </c>
      <c r="D1164" s="46"/>
      <c r="E1164" s="47"/>
      <c r="F1164" s="47"/>
      <c r="G1164" s="48"/>
      <c r="H1164" s="49"/>
      <c r="I1164" s="50"/>
      <c r="J1164" s="48"/>
      <c r="K1164" s="49"/>
      <c r="L1164" s="50"/>
      <c r="M1164" s="43" t="str">
        <f aca="false">IF(OR($L1164="",$F1164=""),"",IFERROR($L1164/INDEX(Cadastro!$E$6:$E$8,MATCH($F1164,Cadastro!$B$6:$B$8,0)),""))</f>
        <v/>
      </c>
      <c r="N1164" s="43" t="str">
        <f aca="false">IF(OR($L1164="",$I1164="",$I1164=0),"",$L1164/$I1164)</f>
        <v/>
      </c>
      <c r="O1164" s="51"/>
    </row>
    <row r="1165" customFormat="false" ht="15" hidden="false" customHeight="false" outlineLevel="0" collapsed="false">
      <c r="A1165" s="45"/>
      <c r="B1165" s="37" t="str">
        <f aca="false">IF($A1165="","",WEEKNUM($A1165,2))</f>
        <v/>
      </c>
      <c r="C1165" s="37" t="str">
        <f aca="false">IF($A1165="","",CHOOSE(WEEKDAY($A1165,2),"Seg","Ter","Qua","Qui","Sex","Sáb","Dom"))</f>
        <v/>
      </c>
      <c r="D1165" s="46"/>
      <c r="E1165" s="47"/>
      <c r="F1165" s="47"/>
      <c r="G1165" s="48"/>
      <c r="H1165" s="49"/>
      <c r="I1165" s="50"/>
      <c r="J1165" s="48"/>
      <c r="K1165" s="49"/>
      <c r="L1165" s="50"/>
      <c r="M1165" s="43" t="str">
        <f aca="false">IF(OR($L1165="",$F1165=""),"",IFERROR($L1165/INDEX(Cadastro!$E$6:$E$8,MATCH($F1165,Cadastro!$B$6:$B$8,0)),""))</f>
        <v/>
      </c>
      <c r="N1165" s="43" t="str">
        <f aca="false">IF(OR($L1165="",$I1165="",$I1165=0),"",$L1165/$I1165)</f>
        <v/>
      </c>
      <c r="O1165" s="51"/>
    </row>
    <row r="1166" customFormat="false" ht="15" hidden="false" customHeight="false" outlineLevel="0" collapsed="false">
      <c r="A1166" s="45"/>
      <c r="B1166" s="37" t="str">
        <f aca="false">IF($A1166="","",WEEKNUM($A1166,2))</f>
        <v/>
      </c>
      <c r="C1166" s="37" t="str">
        <f aca="false">IF($A1166="","",CHOOSE(WEEKDAY($A1166,2),"Seg","Ter","Qua","Qui","Sex","Sáb","Dom"))</f>
        <v/>
      </c>
      <c r="D1166" s="46"/>
      <c r="E1166" s="47"/>
      <c r="F1166" s="47"/>
      <c r="G1166" s="48"/>
      <c r="H1166" s="49"/>
      <c r="I1166" s="50"/>
      <c r="J1166" s="48"/>
      <c r="K1166" s="49"/>
      <c r="L1166" s="50"/>
      <c r="M1166" s="43" t="str">
        <f aca="false">IF(OR($L1166="",$F1166=""),"",IFERROR($L1166/INDEX(Cadastro!$E$6:$E$8,MATCH($F1166,Cadastro!$B$6:$B$8,0)),""))</f>
        <v/>
      </c>
      <c r="N1166" s="43" t="str">
        <f aca="false">IF(OR($L1166="",$I1166="",$I1166=0),"",$L1166/$I1166)</f>
        <v/>
      </c>
      <c r="O1166" s="51"/>
    </row>
    <row r="1167" customFormat="false" ht="15" hidden="false" customHeight="false" outlineLevel="0" collapsed="false">
      <c r="A1167" s="45"/>
      <c r="B1167" s="37" t="str">
        <f aca="false">IF($A1167="","",WEEKNUM($A1167,2))</f>
        <v/>
      </c>
      <c r="C1167" s="37" t="str">
        <f aca="false">IF($A1167="","",CHOOSE(WEEKDAY($A1167,2),"Seg","Ter","Qua","Qui","Sex","Sáb","Dom"))</f>
        <v/>
      </c>
      <c r="D1167" s="46"/>
      <c r="E1167" s="47"/>
      <c r="F1167" s="47"/>
      <c r="G1167" s="48"/>
      <c r="H1167" s="49"/>
      <c r="I1167" s="50"/>
      <c r="J1167" s="48"/>
      <c r="K1167" s="49"/>
      <c r="L1167" s="50"/>
      <c r="M1167" s="43" t="str">
        <f aca="false">IF(OR($L1167="",$F1167=""),"",IFERROR($L1167/INDEX(Cadastro!$E$6:$E$8,MATCH($F1167,Cadastro!$B$6:$B$8,0)),""))</f>
        <v/>
      </c>
      <c r="N1167" s="43" t="str">
        <f aca="false">IF(OR($L1167="",$I1167="",$I1167=0),"",$L1167/$I1167)</f>
        <v/>
      </c>
      <c r="O1167" s="51"/>
    </row>
    <row r="1168" customFormat="false" ht="15" hidden="false" customHeight="false" outlineLevel="0" collapsed="false">
      <c r="A1168" s="45"/>
      <c r="B1168" s="37" t="str">
        <f aca="false">IF($A1168="","",WEEKNUM($A1168,2))</f>
        <v/>
      </c>
      <c r="C1168" s="37" t="str">
        <f aca="false">IF($A1168="","",CHOOSE(WEEKDAY($A1168,2),"Seg","Ter","Qua","Qui","Sex","Sáb","Dom"))</f>
        <v/>
      </c>
      <c r="D1168" s="46"/>
      <c r="E1168" s="47"/>
      <c r="F1168" s="47"/>
      <c r="G1168" s="48"/>
      <c r="H1168" s="49"/>
      <c r="I1168" s="50"/>
      <c r="J1168" s="48"/>
      <c r="K1168" s="49"/>
      <c r="L1168" s="50"/>
      <c r="M1168" s="43" t="str">
        <f aca="false">IF(OR($L1168="",$F1168=""),"",IFERROR($L1168/INDEX(Cadastro!$E$6:$E$8,MATCH($F1168,Cadastro!$B$6:$B$8,0)),""))</f>
        <v/>
      </c>
      <c r="N1168" s="43" t="str">
        <f aca="false">IF(OR($L1168="",$I1168="",$I1168=0),"",$L1168/$I1168)</f>
        <v/>
      </c>
      <c r="O1168" s="51"/>
    </row>
    <row r="1169" customFormat="false" ht="15" hidden="false" customHeight="false" outlineLevel="0" collapsed="false">
      <c r="A1169" s="45"/>
      <c r="B1169" s="37" t="str">
        <f aca="false">IF($A1169="","",WEEKNUM($A1169,2))</f>
        <v/>
      </c>
      <c r="C1169" s="37" t="str">
        <f aca="false">IF($A1169="","",CHOOSE(WEEKDAY($A1169,2),"Seg","Ter","Qua","Qui","Sex","Sáb","Dom"))</f>
        <v/>
      </c>
      <c r="D1169" s="46"/>
      <c r="E1169" s="47"/>
      <c r="F1169" s="47"/>
      <c r="G1169" s="48"/>
      <c r="H1169" s="49"/>
      <c r="I1169" s="50"/>
      <c r="J1169" s="48"/>
      <c r="K1169" s="49"/>
      <c r="L1169" s="50"/>
      <c r="M1169" s="43" t="str">
        <f aca="false">IF(OR($L1169="",$F1169=""),"",IFERROR($L1169/INDEX(Cadastro!$E$6:$E$8,MATCH($F1169,Cadastro!$B$6:$B$8,0)),""))</f>
        <v/>
      </c>
      <c r="N1169" s="43" t="str">
        <f aca="false">IF(OR($L1169="",$I1169="",$I1169=0),"",$L1169/$I1169)</f>
        <v/>
      </c>
      <c r="O1169" s="51"/>
    </row>
    <row r="1170" customFormat="false" ht="15" hidden="false" customHeight="false" outlineLevel="0" collapsed="false">
      <c r="A1170" s="45"/>
      <c r="B1170" s="37" t="str">
        <f aca="false">IF($A1170="","",WEEKNUM($A1170,2))</f>
        <v/>
      </c>
      <c r="C1170" s="37" t="str">
        <f aca="false">IF($A1170="","",CHOOSE(WEEKDAY($A1170,2),"Seg","Ter","Qua","Qui","Sex","Sáb","Dom"))</f>
        <v/>
      </c>
      <c r="D1170" s="46"/>
      <c r="E1170" s="47"/>
      <c r="F1170" s="47"/>
      <c r="G1170" s="48"/>
      <c r="H1170" s="49"/>
      <c r="I1170" s="50"/>
      <c r="J1170" s="48"/>
      <c r="K1170" s="49"/>
      <c r="L1170" s="50"/>
      <c r="M1170" s="43" t="str">
        <f aca="false">IF(OR($L1170="",$F1170=""),"",IFERROR($L1170/INDEX(Cadastro!$E$6:$E$8,MATCH($F1170,Cadastro!$B$6:$B$8,0)),""))</f>
        <v/>
      </c>
      <c r="N1170" s="43" t="str">
        <f aca="false">IF(OR($L1170="",$I1170="",$I1170=0),"",$L1170/$I1170)</f>
        <v/>
      </c>
      <c r="O1170" s="51"/>
    </row>
    <row r="1171" customFormat="false" ht="15" hidden="false" customHeight="false" outlineLevel="0" collapsed="false">
      <c r="A1171" s="45"/>
      <c r="B1171" s="37" t="str">
        <f aca="false">IF($A1171="","",WEEKNUM($A1171,2))</f>
        <v/>
      </c>
      <c r="C1171" s="37" t="str">
        <f aca="false">IF($A1171="","",CHOOSE(WEEKDAY($A1171,2),"Seg","Ter","Qua","Qui","Sex","Sáb","Dom"))</f>
        <v/>
      </c>
      <c r="D1171" s="46"/>
      <c r="E1171" s="47"/>
      <c r="F1171" s="47"/>
      <c r="G1171" s="48"/>
      <c r="H1171" s="49"/>
      <c r="I1171" s="50"/>
      <c r="J1171" s="48"/>
      <c r="K1171" s="49"/>
      <c r="L1171" s="50"/>
      <c r="M1171" s="43" t="str">
        <f aca="false">IF(OR($L1171="",$F1171=""),"",IFERROR($L1171/INDEX(Cadastro!$E$6:$E$8,MATCH($F1171,Cadastro!$B$6:$B$8,0)),""))</f>
        <v/>
      </c>
      <c r="N1171" s="43" t="str">
        <f aca="false">IF(OR($L1171="",$I1171="",$I1171=0),"",$L1171/$I1171)</f>
        <v/>
      </c>
      <c r="O1171" s="51"/>
    </row>
    <row r="1172" customFormat="false" ht="15" hidden="false" customHeight="false" outlineLevel="0" collapsed="false">
      <c r="A1172" s="45"/>
      <c r="B1172" s="37" t="str">
        <f aca="false">IF($A1172="","",WEEKNUM($A1172,2))</f>
        <v/>
      </c>
      <c r="C1172" s="37" t="str">
        <f aca="false">IF($A1172="","",CHOOSE(WEEKDAY($A1172,2),"Seg","Ter","Qua","Qui","Sex","Sáb","Dom"))</f>
        <v/>
      </c>
      <c r="D1172" s="46"/>
      <c r="E1172" s="47"/>
      <c r="F1172" s="47"/>
      <c r="G1172" s="48"/>
      <c r="H1172" s="49"/>
      <c r="I1172" s="50"/>
      <c r="J1172" s="48"/>
      <c r="K1172" s="49"/>
      <c r="L1172" s="50"/>
      <c r="M1172" s="43" t="str">
        <f aca="false">IF(OR($L1172="",$F1172=""),"",IFERROR($L1172/INDEX(Cadastro!$E$6:$E$8,MATCH($F1172,Cadastro!$B$6:$B$8,0)),""))</f>
        <v/>
      </c>
      <c r="N1172" s="43" t="str">
        <f aca="false">IF(OR($L1172="",$I1172="",$I1172=0),"",$L1172/$I1172)</f>
        <v/>
      </c>
      <c r="O1172" s="51"/>
    </row>
    <row r="1173" customFormat="false" ht="15" hidden="false" customHeight="false" outlineLevel="0" collapsed="false">
      <c r="A1173" s="45"/>
      <c r="B1173" s="37" t="str">
        <f aca="false">IF($A1173="","",WEEKNUM($A1173,2))</f>
        <v/>
      </c>
      <c r="C1173" s="37" t="str">
        <f aca="false">IF($A1173="","",CHOOSE(WEEKDAY($A1173,2),"Seg","Ter","Qua","Qui","Sex","Sáb","Dom"))</f>
        <v/>
      </c>
      <c r="D1173" s="46"/>
      <c r="E1173" s="47"/>
      <c r="F1173" s="47"/>
      <c r="G1173" s="48"/>
      <c r="H1173" s="49"/>
      <c r="I1173" s="50"/>
      <c r="J1173" s="48"/>
      <c r="K1173" s="49"/>
      <c r="L1173" s="50"/>
      <c r="M1173" s="43" t="str">
        <f aca="false">IF(OR($L1173="",$F1173=""),"",IFERROR($L1173/INDEX(Cadastro!$E$6:$E$8,MATCH($F1173,Cadastro!$B$6:$B$8,0)),""))</f>
        <v/>
      </c>
      <c r="N1173" s="43" t="str">
        <f aca="false">IF(OR($L1173="",$I1173="",$I1173=0),"",$L1173/$I1173)</f>
        <v/>
      </c>
      <c r="O1173" s="51"/>
    </row>
    <row r="1174" customFormat="false" ht="15" hidden="false" customHeight="false" outlineLevel="0" collapsed="false">
      <c r="A1174" s="45"/>
      <c r="B1174" s="37" t="str">
        <f aca="false">IF($A1174="","",WEEKNUM($A1174,2))</f>
        <v/>
      </c>
      <c r="C1174" s="37" t="str">
        <f aca="false">IF($A1174="","",CHOOSE(WEEKDAY($A1174,2),"Seg","Ter","Qua","Qui","Sex","Sáb","Dom"))</f>
        <v/>
      </c>
      <c r="D1174" s="46"/>
      <c r="E1174" s="47"/>
      <c r="F1174" s="47"/>
      <c r="G1174" s="48"/>
      <c r="H1174" s="49"/>
      <c r="I1174" s="50"/>
      <c r="J1174" s="48"/>
      <c r="K1174" s="49"/>
      <c r="L1174" s="50"/>
      <c r="M1174" s="43" t="str">
        <f aca="false">IF(OR($L1174="",$F1174=""),"",IFERROR($L1174/INDEX(Cadastro!$E$6:$E$8,MATCH($F1174,Cadastro!$B$6:$B$8,0)),""))</f>
        <v/>
      </c>
      <c r="N1174" s="43" t="str">
        <f aca="false">IF(OR($L1174="",$I1174="",$I1174=0),"",$L1174/$I1174)</f>
        <v/>
      </c>
      <c r="O1174" s="51"/>
    </row>
    <row r="1175" customFormat="false" ht="15" hidden="false" customHeight="false" outlineLevel="0" collapsed="false">
      <c r="A1175" s="45"/>
      <c r="B1175" s="37" t="str">
        <f aca="false">IF($A1175="","",WEEKNUM($A1175,2))</f>
        <v/>
      </c>
      <c r="C1175" s="37" t="str">
        <f aca="false">IF($A1175="","",CHOOSE(WEEKDAY($A1175,2),"Seg","Ter","Qua","Qui","Sex","Sáb","Dom"))</f>
        <v/>
      </c>
      <c r="D1175" s="46"/>
      <c r="E1175" s="47"/>
      <c r="F1175" s="47"/>
      <c r="G1175" s="48"/>
      <c r="H1175" s="49"/>
      <c r="I1175" s="50"/>
      <c r="J1175" s="48"/>
      <c r="K1175" s="49"/>
      <c r="L1175" s="50"/>
      <c r="M1175" s="43" t="str">
        <f aca="false">IF(OR($L1175="",$F1175=""),"",IFERROR($L1175/INDEX(Cadastro!$E$6:$E$8,MATCH($F1175,Cadastro!$B$6:$B$8,0)),""))</f>
        <v/>
      </c>
      <c r="N1175" s="43" t="str">
        <f aca="false">IF(OR($L1175="",$I1175="",$I1175=0),"",$L1175/$I1175)</f>
        <v/>
      </c>
      <c r="O1175" s="51"/>
    </row>
    <row r="1176" customFormat="false" ht="15" hidden="false" customHeight="false" outlineLevel="0" collapsed="false">
      <c r="A1176" s="45"/>
      <c r="B1176" s="37" t="str">
        <f aca="false">IF($A1176="","",WEEKNUM($A1176,2))</f>
        <v/>
      </c>
      <c r="C1176" s="37" t="str">
        <f aca="false">IF($A1176="","",CHOOSE(WEEKDAY($A1176,2),"Seg","Ter","Qua","Qui","Sex","Sáb","Dom"))</f>
        <v/>
      </c>
      <c r="D1176" s="46"/>
      <c r="E1176" s="47"/>
      <c r="F1176" s="47"/>
      <c r="G1176" s="48"/>
      <c r="H1176" s="49"/>
      <c r="I1176" s="50"/>
      <c r="J1176" s="48"/>
      <c r="K1176" s="49"/>
      <c r="L1176" s="50"/>
      <c r="M1176" s="43" t="str">
        <f aca="false">IF(OR($L1176="",$F1176=""),"",IFERROR($L1176/INDEX(Cadastro!$E$6:$E$8,MATCH($F1176,Cadastro!$B$6:$B$8,0)),""))</f>
        <v/>
      </c>
      <c r="N1176" s="43" t="str">
        <f aca="false">IF(OR($L1176="",$I1176="",$I1176=0),"",$L1176/$I1176)</f>
        <v/>
      </c>
      <c r="O1176" s="51"/>
    </row>
    <row r="1177" customFormat="false" ht="15" hidden="false" customHeight="false" outlineLevel="0" collapsed="false">
      <c r="A1177" s="45"/>
      <c r="B1177" s="37" t="str">
        <f aca="false">IF($A1177="","",WEEKNUM($A1177,2))</f>
        <v/>
      </c>
      <c r="C1177" s="37" t="str">
        <f aca="false">IF($A1177="","",CHOOSE(WEEKDAY($A1177,2),"Seg","Ter","Qua","Qui","Sex","Sáb","Dom"))</f>
        <v/>
      </c>
      <c r="D1177" s="46"/>
      <c r="E1177" s="47"/>
      <c r="F1177" s="47"/>
      <c r="G1177" s="48"/>
      <c r="H1177" s="49"/>
      <c r="I1177" s="50"/>
      <c r="J1177" s="48"/>
      <c r="K1177" s="49"/>
      <c r="L1177" s="50"/>
      <c r="M1177" s="43" t="str">
        <f aca="false">IF(OR($L1177="",$F1177=""),"",IFERROR($L1177/INDEX(Cadastro!$E$6:$E$8,MATCH($F1177,Cadastro!$B$6:$B$8,0)),""))</f>
        <v/>
      </c>
      <c r="N1177" s="43" t="str">
        <f aca="false">IF(OR($L1177="",$I1177="",$I1177=0),"",$L1177/$I1177)</f>
        <v/>
      </c>
      <c r="O1177" s="51"/>
    </row>
    <row r="1178" customFormat="false" ht="15" hidden="false" customHeight="false" outlineLevel="0" collapsed="false">
      <c r="A1178" s="45"/>
      <c r="B1178" s="37" t="str">
        <f aca="false">IF($A1178="","",WEEKNUM($A1178,2))</f>
        <v/>
      </c>
      <c r="C1178" s="37" t="str">
        <f aca="false">IF($A1178="","",CHOOSE(WEEKDAY($A1178,2),"Seg","Ter","Qua","Qui","Sex","Sáb","Dom"))</f>
        <v/>
      </c>
      <c r="D1178" s="46"/>
      <c r="E1178" s="47"/>
      <c r="F1178" s="47"/>
      <c r="G1178" s="48"/>
      <c r="H1178" s="49"/>
      <c r="I1178" s="50"/>
      <c r="J1178" s="48"/>
      <c r="K1178" s="49"/>
      <c r="L1178" s="50"/>
      <c r="M1178" s="43" t="str">
        <f aca="false">IF(OR($L1178="",$F1178=""),"",IFERROR($L1178/INDEX(Cadastro!$E$6:$E$8,MATCH($F1178,Cadastro!$B$6:$B$8,0)),""))</f>
        <v/>
      </c>
      <c r="N1178" s="43" t="str">
        <f aca="false">IF(OR($L1178="",$I1178="",$I1178=0),"",$L1178/$I1178)</f>
        <v/>
      </c>
      <c r="O1178" s="51"/>
    </row>
    <row r="1179" customFormat="false" ht="15" hidden="false" customHeight="false" outlineLevel="0" collapsed="false">
      <c r="A1179" s="45"/>
      <c r="B1179" s="37" t="str">
        <f aca="false">IF($A1179="","",WEEKNUM($A1179,2))</f>
        <v/>
      </c>
      <c r="C1179" s="37" t="str">
        <f aca="false">IF($A1179="","",CHOOSE(WEEKDAY($A1179,2),"Seg","Ter","Qua","Qui","Sex","Sáb","Dom"))</f>
        <v/>
      </c>
      <c r="D1179" s="46"/>
      <c r="E1179" s="47"/>
      <c r="F1179" s="47"/>
      <c r="G1179" s="48"/>
      <c r="H1179" s="49"/>
      <c r="I1179" s="50"/>
      <c r="J1179" s="48"/>
      <c r="K1179" s="49"/>
      <c r="L1179" s="50"/>
      <c r="M1179" s="43" t="str">
        <f aca="false">IF(OR($L1179="",$F1179=""),"",IFERROR($L1179/INDEX(Cadastro!$E$6:$E$8,MATCH($F1179,Cadastro!$B$6:$B$8,0)),""))</f>
        <v/>
      </c>
      <c r="N1179" s="43" t="str">
        <f aca="false">IF(OR($L1179="",$I1179="",$I1179=0),"",$L1179/$I1179)</f>
        <v/>
      </c>
      <c r="O1179" s="51"/>
    </row>
    <row r="1180" customFormat="false" ht="15" hidden="false" customHeight="false" outlineLevel="0" collapsed="false">
      <c r="A1180" s="45"/>
      <c r="B1180" s="37" t="str">
        <f aca="false">IF($A1180="","",WEEKNUM($A1180,2))</f>
        <v/>
      </c>
      <c r="C1180" s="37" t="str">
        <f aca="false">IF($A1180="","",CHOOSE(WEEKDAY($A1180,2),"Seg","Ter","Qua","Qui","Sex","Sáb","Dom"))</f>
        <v/>
      </c>
      <c r="D1180" s="46"/>
      <c r="E1180" s="47"/>
      <c r="F1180" s="47"/>
      <c r="G1180" s="48"/>
      <c r="H1180" s="49"/>
      <c r="I1180" s="50"/>
      <c r="J1180" s="48"/>
      <c r="K1180" s="49"/>
      <c r="L1180" s="50"/>
      <c r="M1180" s="43" t="str">
        <f aca="false">IF(OR($L1180="",$F1180=""),"",IFERROR($L1180/INDEX(Cadastro!$E$6:$E$8,MATCH($F1180,Cadastro!$B$6:$B$8,0)),""))</f>
        <v/>
      </c>
      <c r="N1180" s="43" t="str">
        <f aca="false">IF(OR($L1180="",$I1180="",$I1180=0),"",$L1180/$I1180)</f>
        <v/>
      </c>
      <c r="O1180" s="51"/>
    </row>
    <row r="1181" customFormat="false" ht="15" hidden="false" customHeight="false" outlineLevel="0" collapsed="false">
      <c r="A1181" s="45"/>
      <c r="B1181" s="37" t="str">
        <f aca="false">IF($A1181="","",WEEKNUM($A1181,2))</f>
        <v/>
      </c>
      <c r="C1181" s="37" t="str">
        <f aca="false">IF($A1181="","",CHOOSE(WEEKDAY($A1181,2),"Seg","Ter","Qua","Qui","Sex","Sáb","Dom"))</f>
        <v/>
      </c>
      <c r="D1181" s="46"/>
      <c r="E1181" s="47"/>
      <c r="F1181" s="47"/>
      <c r="G1181" s="48"/>
      <c r="H1181" s="49"/>
      <c r="I1181" s="50"/>
      <c r="J1181" s="48"/>
      <c r="K1181" s="49"/>
      <c r="L1181" s="50"/>
      <c r="M1181" s="43" t="str">
        <f aca="false">IF(OR($L1181="",$F1181=""),"",IFERROR($L1181/INDEX(Cadastro!$E$6:$E$8,MATCH($F1181,Cadastro!$B$6:$B$8,0)),""))</f>
        <v/>
      </c>
      <c r="N1181" s="43" t="str">
        <f aca="false">IF(OR($L1181="",$I1181="",$I1181=0),"",$L1181/$I1181)</f>
        <v/>
      </c>
      <c r="O1181" s="51"/>
    </row>
    <row r="1182" customFormat="false" ht="15" hidden="false" customHeight="false" outlineLevel="0" collapsed="false">
      <c r="A1182" s="45"/>
      <c r="B1182" s="37" t="str">
        <f aca="false">IF($A1182="","",WEEKNUM($A1182,2))</f>
        <v/>
      </c>
      <c r="C1182" s="37" t="str">
        <f aca="false">IF($A1182="","",CHOOSE(WEEKDAY($A1182,2),"Seg","Ter","Qua","Qui","Sex","Sáb","Dom"))</f>
        <v/>
      </c>
      <c r="D1182" s="46"/>
      <c r="E1182" s="47"/>
      <c r="F1182" s="47"/>
      <c r="G1182" s="48"/>
      <c r="H1182" s="49"/>
      <c r="I1182" s="50"/>
      <c r="J1182" s="48"/>
      <c r="K1182" s="49"/>
      <c r="L1182" s="50"/>
      <c r="M1182" s="43" t="str">
        <f aca="false">IF(OR($L1182="",$F1182=""),"",IFERROR($L1182/INDEX(Cadastro!$E$6:$E$8,MATCH($F1182,Cadastro!$B$6:$B$8,0)),""))</f>
        <v/>
      </c>
      <c r="N1182" s="43" t="str">
        <f aca="false">IF(OR($L1182="",$I1182="",$I1182=0),"",$L1182/$I1182)</f>
        <v/>
      </c>
      <c r="O1182" s="51"/>
    </row>
    <row r="1183" customFormat="false" ht="15" hidden="false" customHeight="false" outlineLevel="0" collapsed="false">
      <c r="A1183" s="45"/>
      <c r="B1183" s="37" t="str">
        <f aca="false">IF($A1183="","",WEEKNUM($A1183,2))</f>
        <v/>
      </c>
      <c r="C1183" s="37" t="str">
        <f aca="false">IF($A1183="","",CHOOSE(WEEKDAY($A1183,2),"Seg","Ter","Qua","Qui","Sex","Sáb","Dom"))</f>
        <v/>
      </c>
      <c r="D1183" s="46"/>
      <c r="E1183" s="47"/>
      <c r="F1183" s="47"/>
      <c r="G1183" s="48"/>
      <c r="H1183" s="49"/>
      <c r="I1183" s="50"/>
      <c r="J1183" s="48"/>
      <c r="K1183" s="49"/>
      <c r="L1183" s="50"/>
      <c r="M1183" s="43" t="str">
        <f aca="false">IF(OR($L1183="",$F1183=""),"",IFERROR($L1183/INDEX(Cadastro!$E$6:$E$8,MATCH($F1183,Cadastro!$B$6:$B$8,0)),""))</f>
        <v/>
      </c>
      <c r="N1183" s="43" t="str">
        <f aca="false">IF(OR($L1183="",$I1183="",$I1183=0),"",$L1183/$I1183)</f>
        <v/>
      </c>
      <c r="O1183" s="51"/>
    </row>
    <row r="1184" customFormat="false" ht="15" hidden="false" customHeight="false" outlineLevel="0" collapsed="false">
      <c r="A1184" s="45"/>
      <c r="B1184" s="37" t="str">
        <f aca="false">IF($A1184="","",WEEKNUM($A1184,2))</f>
        <v/>
      </c>
      <c r="C1184" s="37" t="str">
        <f aca="false">IF($A1184="","",CHOOSE(WEEKDAY($A1184,2),"Seg","Ter","Qua","Qui","Sex","Sáb","Dom"))</f>
        <v/>
      </c>
      <c r="D1184" s="46"/>
      <c r="E1184" s="47"/>
      <c r="F1184" s="47"/>
      <c r="G1184" s="48"/>
      <c r="H1184" s="49"/>
      <c r="I1184" s="50"/>
      <c r="J1184" s="48"/>
      <c r="K1184" s="49"/>
      <c r="L1184" s="50"/>
      <c r="M1184" s="43" t="str">
        <f aca="false">IF(OR($L1184="",$F1184=""),"",IFERROR($L1184/INDEX(Cadastro!$E$6:$E$8,MATCH($F1184,Cadastro!$B$6:$B$8,0)),""))</f>
        <v/>
      </c>
      <c r="N1184" s="43" t="str">
        <f aca="false">IF(OR($L1184="",$I1184="",$I1184=0),"",$L1184/$I1184)</f>
        <v/>
      </c>
      <c r="O1184" s="51"/>
    </row>
    <row r="1185" customFormat="false" ht="15" hidden="false" customHeight="false" outlineLevel="0" collapsed="false">
      <c r="A1185" s="45"/>
      <c r="B1185" s="37" t="str">
        <f aca="false">IF($A1185="","",WEEKNUM($A1185,2))</f>
        <v/>
      </c>
      <c r="C1185" s="37" t="str">
        <f aca="false">IF($A1185="","",CHOOSE(WEEKDAY($A1185,2),"Seg","Ter","Qua","Qui","Sex","Sáb","Dom"))</f>
        <v/>
      </c>
      <c r="D1185" s="46"/>
      <c r="E1185" s="47"/>
      <c r="F1185" s="47"/>
      <c r="G1185" s="48"/>
      <c r="H1185" s="49"/>
      <c r="I1185" s="50"/>
      <c r="J1185" s="48"/>
      <c r="K1185" s="49"/>
      <c r="L1185" s="50"/>
      <c r="M1185" s="43" t="str">
        <f aca="false">IF(OR($L1185="",$F1185=""),"",IFERROR($L1185/INDEX(Cadastro!$E$6:$E$8,MATCH($F1185,Cadastro!$B$6:$B$8,0)),""))</f>
        <v/>
      </c>
      <c r="N1185" s="43" t="str">
        <f aca="false">IF(OR($L1185="",$I1185="",$I1185=0),"",$L1185/$I1185)</f>
        <v/>
      </c>
      <c r="O1185" s="51"/>
    </row>
    <row r="1186" customFormat="false" ht="15" hidden="false" customHeight="false" outlineLevel="0" collapsed="false">
      <c r="A1186" s="45"/>
      <c r="B1186" s="37" t="str">
        <f aca="false">IF($A1186="","",WEEKNUM($A1186,2))</f>
        <v/>
      </c>
      <c r="C1186" s="37" t="str">
        <f aca="false">IF($A1186="","",CHOOSE(WEEKDAY($A1186,2),"Seg","Ter","Qua","Qui","Sex","Sáb","Dom"))</f>
        <v/>
      </c>
      <c r="D1186" s="46"/>
      <c r="E1186" s="47"/>
      <c r="F1186" s="47"/>
      <c r="G1186" s="48"/>
      <c r="H1186" s="49"/>
      <c r="I1186" s="50"/>
      <c r="J1186" s="48"/>
      <c r="K1186" s="49"/>
      <c r="L1186" s="50"/>
      <c r="M1186" s="43" t="str">
        <f aca="false">IF(OR($L1186="",$F1186=""),"",IFERROR($L1186/INDEX(Cadastro!$E$6:$E$8,MATCH($F1186,Cadastro!$B$6:$B$8,0)),""))</f>
        <v/>
      </c>
      <c r="N1186" s="43" t="str">
        <f aca="false">IF(OR($L1186="",$I1186="",$I1186=0),"",$L1186/$I1186)</f>
        <v/>
      </c>
      <c r="O1186" s="51"/>
    </row>
    <row r="1187" customFormat="false" ht="15" hidden="false" customHeight="false" outlineLevel="0" collapsed="false">
      <c r="A1187" s="45"/>
      <c r="B1187" s="37" t="str">
        <f aca="false">IF($A1187="","",WEEKNUM($A1187,2))</f>
        <v/>
      </c>
      <c r="C1187" s="37" t="str">
        <f aca="false">IF($A1187="","",CHOOSE(WEEKDAY($A1187,2),"Seg","Ter","Qua","Qui","Sex","Sáb","Dom"))</f>
        <v/>
      </c>
      <c r="D1187" s="46"/>
      <c r="E1187" s="47"/>
      <c r="F1187" s="47"/>
      <c r="G1187" s="48"/>
      <c r="H1187" s="49"/>
      <c r="I1187" s="50"/>
      <c r="J1187" s="48"/>
      <c r="K1187" s="49"/>
      <c r="L1187" s="50"/>
      <c r="M1187" s="43" t="str">
        <f aca="false">IF(OR($L1187="",$F1187=""),"",IFERROR($L1187/INDEX(Cadastro!$E$6:$E$8,MATCH($F1187,Cadastro!$B$6:$B$8,0)),""))</f>
        <v/>
      </c>
      <c r="N1187" s="43" t="str">
        <f aca="false">IF(OR($L1187="",$I1187="",$I1187=0),"",$L1187/$I1187)</f>
        <v/>
      </c>
      <c r="O1187" s="51"/>
    </row>
    <row r="1188" customFormat="false" ht="15" hidden="false" customHeight="false" outlineLevel="0" collapsed="false">
      <c r="A1188" s="45"/>
      <c r="B1188" s="37" t="str">
        <f aca="false">IF($A1188="","",WEEKNUM($A1188,2))</f>
        <v/>
      </c>
      <c r="C1188" s="37" t="str">
        <f aca="false">IF($A1188="","",CHOOSE(WEEKDAY($A1188,2),"Seg","Ter","Qua","Qui","Sex","Sáb","Dom"))</f>
        <v/>
      </c>
      <c r="D1188" s="46"/>
      <c r="E1188" s="47"/>
      <c r="F1188" s="47"/>
      <c r="G1188" s="48"/>
      <c r="H1188" s="49"/>
      <c r="I1188" s="50"/>
      <c r="J1188" s="48"/>
      <c r="K1188" s="49"/>
      <c r="L1188" s="50"/>
      <c r="M1188" s="43" t="str">
        <f aca="false">IF(OR($L1188="",$F1188=""),"",IFERROR($L1188/INDEX(Cadastro!$E$6:$E$8,MATCH($F1188,Cadastro!$B$6:$B$8,0)),""))</f>
        <v/>
      </c>
      <c r="N1188" s="43" t="str">
        <f aca="false">IF(OR($L1188="",$I1188="",$I1188=0),"",$L1188/$I1188)</f>
        <v/>
      </c>
      <c r="O1188" s="51"/>
    </row>
    <row r="1189" customFormat="false" ht="15" hidden="false" customHeight="false" outlineLevel="0" collapsed="false">
      <c r="A1189" s="45"/>
      <c r="B1189" s="37" t="str">
        <f aca="false">IF($A1189="","",WEEKNUM($A1189,2))</f>
        <v/>
      </c>
      <c r="C1189" s="37" t="str">
        <f aca="false">IF($A1189="","",CHOOSE(WEEKDAY($A1189,2),"Seg","Ter","Qua","Qui","Sex","Sáb","Dom"))</f>
        <v/>
      </c>
      <c r="D1189" s="46"/>
      <c r="E1189" s="47"/>
      <c r="F1189" s="47"/>
      <c r="G1189" s="48"/>
      <c r="H1189" s="49"/>
      <c r="I1189" s="50"/>
      <c r="J1189" s="48"/>
      <c r="K1189" s="49"/>
      <c r="L1189" s="50"/>
      <c r="M1189" s="43" t="str">
        <f aca="false">IF(OR($L1189="",$F1189=""),"",IFERROR($L1189/INDEX(Cadastro!$E$6:$E$8,MATCH($F1189,Cadastro!$B$6:$B$8,0)),""))</f>
        <v/>
      </c>
      <c r="N1189" s="43" t="str">
        <f aca="false">IF(OR($L1189="",$I1189="",$I1189=0),"",$L1189/$I1189)</f>
        <v/>
      </c>
      <c r="O1189" s="51"/>
    </row>
    <row r="1190" customFormat="false" ht="15" hidden="false" customHeight="false" outlineLevel="0" collapsed="false">
      <c r="A1190" s="45"/>
      <c r="B1190" s="37" t="str">
        <f aca="false">IF($A1190="","",WEEKNUM($A1190,2))</f>
        <v/>
      </c>
      <c r="C1190" s="37" t="str">
        <f aca="false">IF($A1190="","",CHOOSE(WEEKDAY($A1190,2),"Seg","Ter","Qua","Qui","Sex","Sáb","Dom"))</f>
        <v/>
      </c>
      <c r="D1190" s="46"/>
      <c r="E1190" s="47"/>
      <c r="F1190" s="47"/>
      <c r="G1190" s="48"/>
      <c r="H1190" s="49"/>
      <c r="I1190" s="50"/>
      <c r="J1190" s="48"/>
      <c r="K1190" s="49"/>
      <c r="L1190" s="50"/>
      <c r="M1190" s="43" t="str">
        <f aca="false">IF(OR($L1190="",$F1190=""),"",IFERROR($L1190/INDEX(Cadastro!$E$6:$E$8,MATCH($F1190,Cadastro!$B$6:$B$8,0)),""))</f>
        <v/>
      </c>
      <c r="N1190" s="43" t="str">
        <f aca="false">IF(OR($L1190="",$I1190="",$I1190=0),"",$L1190/$I1190)</f>
        <v/>
      </c>
      <c r="O1190" s="51"/>
    </row>
    <row r="1191" customFormat="false" ht="15" hidden="false" customHeight="false" outlineLevel="0" collapsed="false">
      <c r="A1191" s="45"/>
      <c r="B1191" s="37" t="str">
        <f aca="false">IF($A1191="","",WEEKNUM($A1191,2))</f>
        <v/>
      </c>
      <c r="C1191" s="37" t="str">
        <f aca="false">IF($A1191="","",CHOOSE(WEEKDAY($A1191,2),"Seg","Ter","Qua","Qui","Sex","Sáb","Dom"))</f>
        <v/>
      </c>
      <c r="D1191" s="46"/>
      <c r="E1191" s="47"/>
      <c r="F1191" s="47"/>
      <c r="G1191" s="48"/>
      <c r="H1191" s="49"/>
      <c r="I1191" s="50"/>
      <c r="J1191" s="48"/>
      <c r="K1191" s="49"/>
      <c r="L1191" s="50"/>
      <c r="M1191" s="43" t="str">
        <f aca="false">IF(OR($L1191="",$F1191=""),"",IFERROR($L1191/INDEX(Cadastro!$E$6:$E$8,MATCH($F1191,Cadastro!$B$6:$B$8,0)),""))</f>
        <v/>
      </c>
      <c r="N1191" s="43" t="str">
        <f aca="false">IF(OR($L1191="",$I1191="",$I1191=0),"",$L1191/$I1191)</f>
        <v/>
      </c>
      <c r="O1191" s="51"/>
    </row>
    <row r="1192" customFormat="false" ht="15" hidden="false" customHeight="false" outlineLevel="0" collapsed="false">
      <c r="A1192" s="45"/>
      <c r="B1192" s="37" t="str">
        <f aca="false">IF($A1192="","",WEEKNUM($A1192,2))</f>
        <v/>
      </c>
      <c r="C1192" s="37" t="str">
        <f aca="false">IF($A1192="","",CHOOSE(WEEKDAY($A1192,2),"Seg","Ter","Qua","Qui","Sex","Sáb","Dom"))</f>
        <v/>
      </c>
      <c r="D1192" s="46"/>
      <c r="E1192" s="47"/>
      <c r="F1192" s="47"/>
      <c r="G1192" s="48"/>
      <c r="H1192" s="49"/>
      <c r="I1192" s="50"/>
      <c r="J1192" s="48"/>
      <c r="K1192" s="49"/>
      <c r="L1192" s="50"/>
      <c r="M1192" s="43" t="str">
        <f aca="false">IF(OR($L1192="",$F1192=""),"",IFERROR($L1192/INDEX(Cadastro!$E$6:$E$8,MATCH($F1192,Cadastro!$B$6:$B$8,0)),""))</f>
        <v/>
      </c>
      <c r="N1192" s="43" t="str">
        <f aca="false">IF(OR($L1192="",$I1192="",$I1192=0),"",$L1192/$I1192)</f>
        <v/>
      </c>
      <c r="O1192" s="51"/>
    </row>
    <row r="1193" customFormat="false" ht="15" hidden="false" customHeight="false" outlineLevel="0" collapsed="false">
      <c r="A1193" s="45"/>
      <c r="B1193" s="37" t="str">
        <f aca="false">IF($A1193="","",WEEKNUM($A1193,2))</f>
        <v/>
      </c>
      <c r="C1193" s="37" t="str">
        <f aca="false">IF($A1193="","",CHOOSE(WEEKDAY($A1193,2),"Seg","Ter","Qua","Qui","Sex","Sáb","Dom"))</f>
        <v/>
      </c>
      <c r="D1193" s="46"/>
      <c r="E1193" s="47"/>
      <c r="F1193" s="47"/>
      <c r="G1193" s="48"/>
      <c r="H1193" s="49"/>
      <c r="I1193" s="50"/>
      <c r="J1193" s="48"/>
      <c r="K1193" s="49"/>
      <c r="L1193" s="50"/>
      <c r="M1193" s="43" t="str">
        <f aca="false">IF(OR($L1193="",$F1193=""),"",IFERROR($L1193/INDEX(Cadastro!$E$6:$E$8,MATCH($F1193,Cadastro!$B$6:$B$8,0)),""))</f>
        <v/>
      </c>
      <c r="N1193" s="43" t="str">
        <f aca="false">IF(OR($L1193="",$I1193="",$I1193=0),"",$L1193/$I1193)</f>
        <v/>
      </c>
      <c r="O1193" s="51"/>
    </row>
    <row r="1194" customFormat="false" ht="15" hidden="false" customHeight="false" outlineLevel="0" collapsed="false">
      <c r="A1194" s="45"/>
      <c r="B1194" s="37" t="str">
        <f aca="false">IF($A1194="","",WEEKNUM($A1194,2))</f>
        <v/>
      </c>
      <c r="C1194" s="37" t="str">
        <f aca="false">IF($A1194="","",CHOOSE(WEEKDAY($A1194,2),"Seg","Ter","Qua","Qui","Sex","Sáb","Dom"))</f>
        <v/>
      </c>
      <c r="D1194" s="46"/>
      <c r="E1194" s="47"/>
      <c r="F1194" s="47"/>
      <c r="G1194" s="48"/>
      <c r="H1194" s="49"/>
      <c r="I1194" s="50"/>
      <c r="J1194" s="48"/>
      <c r="K1194" s="49"/>
      <c r="L1194" s="50"/>
      <c r="M1194" s="43" t="str">
        <f aca="false">IF(OR($L1194="",$F1194=""),"",IFERROR($L1194/INDEX(Cadastro!$E$6:$E$8,MATCH($F1194,Cadastro!$B$6:$B$8,0)),""))</f>
        <v/>
      </c>
      <c r="N1194" s="43" t="str">
        <f aca="false">IF(OR($L1194="",$I1194="",$I1194=0),"",$L1194/$I1194)</f>
        <v/>
      </c>
      <c r="O1194" s="51"/>
    </row>
    <row r="1195" customFormat="false" ht="15" hidden="false" customHeight="false" outlineLevel="0" collapsed="false">
      <c r="A1195" s="45"/>
      <c r="B1195" s="37" t="str">
        <f aca="false">IF($A1195="","",WEEKNUM($A1195,2))</f>
        <v/>
      </c>
      <c r="C1195" s="37" t="str">
        <f aca="false">IF($A1195="","",CHOOSE(WEEKDAY($A1195,2),"Seg","Ter","Qua","Qui","Sex","Sáb","Dom"))</f>
        <v/>
      </c>
      <c r="D1195" s="46"/>
      <c r="E1195" s="47"/>
      <c r="F1195" s="47"/>
      <c r="G1195" s="48"/>
      <c r="H1195" s="49"/>
      <c r="I1195" s="50"/>
      <c r="J1195" s="48"/>
      <c r="K1195" s="49"/>
      <c r="L1195" s="50"/>
      <c r="M1195" s="43" t="str">
        <f aca="false">IF(OR($L1195="",$F1195=""),"",IFERROR($L1195/INDEX(Cadastro!$E$6:$E$8,MATCH($F1195,Cadastro!$B$6:$B$8,0)),""))</f>
        <v/>
      </c>
      <c r="N1195" s="43" t="str">
        <f aca="false">IF(OR($L1195="",$I1195="",$I1195=0),"",$L1195/$I1195)</f>
        <v/>
      </c>
      <c r="O1195" s="51"/>
    </row>
    <row r="1196" customFormat="false" ht="15" hidden="false" customHeight="false" outlineLevel="0" collapsed="false">
      <c r="A1196" s="45"/>
      <c r="B1196" s="37" t="str">
        <f aca="false">IF($A1196="","",WEEKNUM($A1196,2))</f>
        <v/>
      </c>
      <c r="C1196" s="37" t="str">
        <f aca="false">IF($A1196="","",CHOOSE(WEEKDAY($A1196,2),"Seg","Ter","Qua","Qui","Sex","Sáb","Dom"))</f>
        <v/>
      </c>
      <c r="D1196" s="46"/>
      <c r="E1196" s="47"/>
      <c r="F1196" s="47"/>
      <c r="G1196" s="48"/>
      <c r="H1196" s="49"/>
      <c r="I1196" s="50"/>
      <c r="J1196" s="48"/>
      <c r="K1196" s="49"/>
      <c r="L1196" s="50"/>
      <c r="M1196" s="43" t="str">
        <f aca="false">IF(OR($L1196="",$F1196=""),"",IFERROR($L1196/INDEX(Cadastro!$E$6:$E$8,MATCH($F1196,Cadastro!$B$6:$B$8,0)),""))</f>
        <v/>
      </c>
      <c r="N1196" s="43" t="str">
        <f aca="false">IF(OR($L1196="",$I1196="",$I1196=0),"",$L1196/$I1196)</f>
        <v/>
      </c>
      <c r="O1196" s="51"/>
    </row>
    <row r="1197" customFormat="false" ht="15" hidden="false" customHeight="false" outlineLevel="0" collapsed="false">
      <c r="A1197" s="45"/>
      <c r="B1197" s="37" t="str">
        <f aca="false">IF($A1197="","",WEEKNUM($A1197,2))</f>
        <v/>
      </c>
      <c r="C1197" s="37" t="str">
        <f aca="false">IF($A1197="","",CHOOSE(WEEKDAY($A1197,2),"Seg","Ter","Qua","Qui","Sex","Sáb","Dom"))</f>
        <v/>
      </c>
      <c r="D1197" s="46"/>
      <c r="E1197" s="47"/>
      <c r="F1197" s="47"/>
      <c r="G1197" s="48"/>
      <c r="H1197" s="49"/>
      <c r="I1197" s="50"/>
      <c r="J1197" s="48"/>
      <c r="K1197" s="49"/>
      <c r="L1197" s="50"/>
      <c r="M1197" s="43" t="str">
        <f aca="false">IF(OR($L1197="",$F1197=""),"",IFERROR($L1197/INDEX(Cadastro!$E$6:$E$8,MATCH($F1197,Cadastro!$B$6:$B$8,0)),""))</f>
        <v/>
      </c>
      <c r="N1197" s="43" t="str">
        <f aca="false">IF(OR($L1197="",$I1197="",$I1197=0),"",$L1197/$I1197)</f>
        <v/>
      </c>
      <c r="O1197" s="51"/>
    </row>
    <row r="1198" customFormat="false" ht="15" hidden="false" customHeight="false" outlineLevel="0" collapsed="false">
      <c r="A1198" s="45"/>
      <c r="B1198" s="37" t="str">
        <f aca="false">IF($A1198="","",WEEKNUM($A1198,2))</f>
        <v/>
      </c>
      <c r="C1198" s="37" t="str">
        <f aca="false">IF($A1198="","",CHOOSE(WEEKDAY($A1198,2),"Seg","Ter","Qua","Qui","Sex","Sáb","Dom"))</f>
        <v/>
      </c>
      <c r="D1198" s="46"/>
      <c r="E1198" s="47"/>
      <c r="F1198" s="47"/>
      <c r="G1198" s="48"/>
      <c r="H1198" s="49"/>
      <c r="I1198" s="50"/>
      <c r="J1198" s="48"/>
      <c r="K1198" s="49"/>
      <c r="L1198" s="50"/>
      <c r="M1198" s="43" t="str">
        <f aca="false">IF(OR($L1198="",$F1198=""),"",IFERROR($L1198/INDEX(Cadastro!$E$6:$E$8,MATCH($F1198,Cadastro!$B$6:$B$8,0)),""))</f>
        <v/>
      </c>
      <c r="N1198" s="43" t="str">
        <f aca="false">IF(OR($L1198="",$I1198="",$I1198=0),"",$L1198/$I1198)</f>
        <v/>
      </c>
      <c r="O1198" s="51"/>
    </row>
    <row r="1199" customFormat="false" ht="15" hidden="false" customHeight="false" outlineLevel="0" collapsed="false">
      <c r="A1199" s="45"/>
      <c r="B1199" s="37" t="str">
        <f aca="false">IF($A1199="","",WEEKNUM($A1199,2))</f>
        <v/>
      </c>
      <c r="C1199" s="37" t="str">
        <f aca="false">IF($A1199="","",CHOOSE(WEEKDAY($A1199,2),"Seg","Ter","Qua","Qui","Sex","Sáb","Dom"))</f>
        <v/>
      </c>
      <c r="D1199" s="46"/>
      <c r="E1199" s="47"/>
      <c r="F1199" s="47"/>
      <c r="G1199" s="48"/>
      <c r="H1199" s="49"/>
      <c r="I1199" s="50"/>
      <c r="J1199" s="48"/>
      <c r="K1199" s="49"/>
      <c r="L1199" s="50"/>
      <c r="M1199" s="43" t="str">
        <f aca="false">IF(OR($L1199="",$F1199=""),"",IFERROR($L1199/INDEX(Cadastro!$E$6:$E$8,MATCH($F1199,Cadastro!$B$6:$B$8,0)),""))</f>
        <v/>
      </c>
      <c r="N1199" s="43" t="str">
        <f aca="false">IF(OR($L1199="",$I1199="",$I1199=0),"",$L1199/$I1199)</f>
        <v/>
      </c>
      <c r="O1199" s="51"/>
    </row>
    <row r="1200" customFormat="false" ht="15" hidden="false" customHeight="false" outlineLevel="0" collapsed="false">
      <c r="A1200" s="45"/>
      <c r="B1200" s="37" t="str">
        <f aca="false">IF($A1200="","",WEEKNUM($A1200,2))</f>
        <v/>
      </c>
      <c r="C1200" s="37" t="str">
        <f aca="false">IF($A1200="","",CHOOSE(WEEKDAY($A1200,2),"Seg","Ter","Qua","Qui","Sex","Sáb","Dom"))</f>
        <v/>
      </c>
      <c r="D1200" s="46"/>
      <c r="E1200" s="47"/>
      <c r="F1200" s="47"/>
      <c r="G1200" s="48"/>
      <c r="H1200" s="49"/>
      <c r="I1200" s="50"/>
      <c r="J1200" s="48"/>
      <c r="K1200" s="49"/>
      <c r="L1200" s="50"/>
      <c r="M1200" s="43" t="str">
        <f aca="false">IF(OR($L1200="",$F1200=""),"",IFERROR($L1200/INDEX(Cadastro!$E$6:$E$8,MATCH($F1200,Cadastro!$B$6:$B$8,0)),""))</f>
        <v/>
      </c>
      <c r="N1200" s="43" t="str">
        <f aca="false">IF(OR($L1200="",$I1200="",$I1200=0),"",$L1200/$I1200)</f>
        <v/>
      </c>
      <c r="O1200" s="51"/>
    </row>
    <row r="1201" customFormat="false" ht="15" hidden="false" customHeight="false" outlineLevel="0" collapsed="false">
      <c r="A1201" s="45"/>
      <c r="B1201" s="37" t="str">
        <f aca="false">IF($A1201="","",WEEKNUM($A1201,2))</f>
        <v/>
      </c>
      <c r="C1201" s="37" t="str">
        <f aca="false">IF($A1201="","",CHOOSE(WEEKDAY($A1201,2),"Seg","Ter","Qua","Qui","Sex","Sáb","Dom"))</f>
        <v/>
      </c>
      <c r="D1201" s="46"/>
      <c r="E1201" s="47"/>
      <c r="F1201" s="47"/>
      <c r="G1201" s="48"/>
      <c r="H1201" s="49"/>
      <c r="I1201" s="50"/>
      <c r="J1201" s="48"/>
      <c r="K1201" s="49"/>
      <c r="L1201" s="50"/>
      <c r="M1201" s="43" t="str">
        <f aca="false">IF(OR($L1201="",$F1201=""),"",IFERROR($L1201/INDEX(Cadastro!$E$6:$E$8,MATCH($F1201,Cadastro!$B$6:$B$8,0)),""))</f>
        <v/>
      </c>
      <c r="N1201" s="43" t="str">
        <f aca="false">IF(OR($L1201="",$I1201="",$I1201=0),"",$L1201/$I1201)</f>
        <v/>
      </c>
      <c r="O1201" s="51"/>
    </row>
    <row r="1202" customFormat="false" ht="15" hidden="false" customHeight="false" outlineLevel="0" collapsed="false">
      <c r="A1202" s="45"/>
      <c r="B1202" s="37" t="str">
        <f aca="false">IF($A1202="","",WEEKNUM($A1202,2))</f>
        <v/>
      </c>
      <c r="C1202" s="37" t="str">
        <f aca="false">IF($A1202="","",CHOOSE(WEEKDAY($A1202,2),"Seg","Ter","Qua","Qui","Sex","Sáb","Dom"))</f>
        <v/>
      </c>
      <c r="D1202" s="46"/>
      <c r="E1202" s="47"/>
      <c r="F1202" s="47"/>
      <c r="G1202" s="48"/>
      <c r="H1202" s="49"/>
      <c r="I1202" s="50"/>
      <c r="J1202" s="48"/>
      <c r="K1202" s="49"/>
      <c r="L1202" s="50"/>
      <c r="M1202" s="43" t="str">
        <f aca="false">IF(OR($L1202="",$F1202=""),"",IFERROR($L1202/INDEX(Cadastro!$E$6:$E$8,MATCH($F1202,Cadastro!$B$6:$B$8,0)),""))</f>
        <v/>
      </c>
      <c r="N1202" s="43" t="str">
        <f aca="false">IF(OR($L1202="",$I1202="",$I1202=0),"",$L1202/$I1202)</f>
        <v/>
      </c>
      <c r="O1202" s="51"/>
    </row>
    <row r="1203" customFormat="false" ht="15" hidden="false" customHeight="false" outlineLevel="0" collapsed="false">
      <c r="A1203" s="45"/>
      <c r="B1203" s="37" t="str">
        <f aca="false">IF($A1203="","",WEEKNUM($A1203,2))</f>
        <v/>
      </c>
      <c r="C1203" s="37" t="str">
        <f aca="false">IF($A1203="","",CHOOSE(WEEKDAY($A1203,2),"Seg","Ter","Qua","Qui","Sex","Sáb","Dom"))</f>
        <v/>
      </c>
      <c r="D1203" s="46"/>
      <c r="E1203" s="47"/>
      <c r="F1203" s="47"/>
      <c r="G1203" s="48"/>
      <c r="H1203" s="49"/>
      <c r="I1203" s="50"/>
      <c r="J1203" s="48"/>
      <c r="K1203" s="49"/>
      <c r="L1203" s="50"/>
      <c r="M1203" s="43" t="str">
        <f aca="false">IF(OR($L1203="",$F1203=""),"",IFERROR($L1203/INDEX(Cadastro!$E$6:$E$8,MATCH($F1203,Cadastro!$B$6:$B$8,0)),""))</f>
        <v/>
      </c>
      <c r="N1203" s="43" t="str">
        <f aca="false">IF(OR($L1203="",$I1203="",$I1203=0),"",$L1203/$I1203)</f>
        <v/>
      </c>
      <c r="O1203" s="51"/>
    </row>
    <row r="1204" customFormat="false" ht="15" hidden="false" customHeight="false" outlineLevel="0" collapsed="false">
      <c r="A1204" s="45"/>
      <c r="B1204" s="37" t="str">
        <f aca="false">IF($A1204="","",WEEKNUM($A1204,2))</f>
        <v/>
      </c>
      <c r="C1204" s="37" t="str">
        <f aca="false">IF($A1204="","",CHOOSE(WEEKDAY($A1204,2),"Seg","Ter","Qua","Qui","Sex","Sáb","Dom"))</f>
        <v/>
      </c>
      <c r="D1204" s="46"/>
      <c r="E1204" s="47"/>
      <c r="F1204" s="47"/>
      <c r="G1204" s="48"/>
      <c r="H1204" s="49"/>
      <c r="I1204" s="50"/>
      <c r="J1204" s="48"/>
      <c r="K1204" s="49"/>
      <c r="L1204" s="50"/>
      <c r="M1204" s="43" t="str">
        <f aca="false">IF(OR($L1204="",$F1204=""),"",IFERROR($L1204/INDEX(Cadastro!$E$6:$E$8,MATCH($F1204,Cadastro!$B$6:$B$8,0)),""))</f>
        <v/>
      </c>
      <c r="N1204" s="43" t="str">
        <f aca="false">IF(OR($L1204="",$I1204="",$I1204=0),"",$L1204/$I1204)</f>
        <v/>
      </c>
      <c r="O1204" s="51"/>
    </row>
    <row r="1205" customFormat="false" ht="15" hidden="false" customHeight="false" outlineLevel="0" collapsed="false">
      <c r="A1205" s="45"/>
      <c r="B1205" s="37" t="str">
        <f aca="false">IF($A1205="","",WEEKNUM($A1205,2))</f>
        <v/>
      </c>
      <c r="C1205" s="37" t="str">
        <f aca="false">IF($A1205="","",CHOOSE(WEEKDAY($A1205,2),"Seg","Ter","Qua","Qui","Sex","Sáb","Dom"))</f>
        <v/>
      </c>
      <c r="D1205" s="46"/>
      <c r="E1205" s="47"/>
      <c r="F1205" s="47"/>
      <c r="G1205" s="48"/>
      <c r="H1205" s="49"/>
      <c r="I1205" s="50"/>
      <c r="J1205" s="48"/>
      <c r="K1205" s="49"/>
      <c r="L1205" s="50"/>
      <c r="M1205" s="43" t="str">
        <f aca="false">IF(OR($L1205="",$F1205=""),"",IFERROR($L1205/INDEX(Cadastro!$E$6:$E$8,MATCH($F1205,Cadastro!$B$6:$B$8,0)),""))</f>
        <v/>
      </c>
      <c r="N1205" s="43" t="str">
        <f aca="false">IF(OR($L1205="",$I1205="",$I1205=0),"",$L1205/$I1205)</f>
        <v/>
      </c>
      <c r="O1205" s="51"/>
    </row>
    <row r="1206" customFormat="false" ht="15" hidden="false" customHeight="false" outlineLevel="0" collapsed="false">
      <c r="A1206" s="45"/>
      <c r="B1206" s="37" t="str">
        <f aca="false">IF($A1206="","",WEEKNUM($A1206,2))</f>
        <v/>
      </c>
      <c r="C1206" s="37" t="str">
        <f aca="false">IF($A1206="","",CHOOSE(WEEKDAY($A1206,2),"Seg","Ter","Qua","Qui","Sex","Sáb","Dom"))</f>
        <v/>
      </c>
      <c r="D1206" s="46"/>
      <c r="E1206" s="47"/>
      <c r="F1206" s="47"/>
      <c r="G1206" s="48"/>
      <c r="H1206" s="49"/>
      <c r="I1206" s="50"/>
      <c r="J1206" s="48"/>
      <c r="K1206" s="49"/>
      <c r="L1206" s="50"/>
      <c r="M1206" s="43" t="str">
        <f aca="false">IF(OR($L1206="",$F1206=""),"",IFERROR($L1206/INDEX(Cadastro!$E$6:$E$8,MATCH($F1206,Cadastro!$B$6:$B$8,0)),""))</f>
        <v/>
      </c>
      <c r="N1206" s="43" t="str">
        <f aca="false">IF(OR($L1206="",$I1206="",$I1206=0),"",$L1206/$I1206)</f>
        <v/>
      </c>
      <c r="O1206" s="51"/>
    </row>
    <row r="1207" customFormat="false" ht="15" hidden="false" customHeight="false" outlineLevel="0" collapsed="false">
      <c r="A1207" s="45"/>
      <c r="B1207" s="37" t="str">
        <f aca="false">IF($A1207="","",WEEKNUM($A1207,2))</f>
        <v/>
      </c>
      <c r="C1207" s="37" t="str">
        <f aca="false">IF($A1207="","",CHOOSE(WEEKDAY($A1207,2),"Seg","Ter","Qua","Qui","Sex","Sáb","Dom"))</f>
        <v/>
      </c>
      <c r="D1207" s="46"/>
      <c r="E1207" s="47"/>
      <c r="F1207" s="47"/>
      <c r="G1207" s="48"/>
      <c r="H1207" s="49"/>
      <c r="I1207" s="50"/>
      <c r="J1207" s="48"/>
      <c r="K1207" s="49"/>
      <c r="L1207" s="50"/>
      <c r="M1207" s="43" t="str">
        <f aca="false">IF(OR($L1207="",$F1207=""),"",IFERROR($L1207/INDEX(Cadastro!$E$6:$E$8,MATCH($F1207,Cadastro!$B$6:$B$8,0)),""))</f>
        <v/>
      </c>
      <c r="N1207" s="43" t="str">
        <f aca="false">IF(OR($L1207="",$I1207="",$I1207=0),"",$L1207/$I1207)</f>
        <v/>
      </c>
      <c r="O1207" s="51"/>
    </row>
    <row r="1208" customFormat="false" ht="15" hidden="false" customHeight="false" outlineLevel="0" collapsed="false">
      <c r="A1208" s="45"/>
      <c r="B1208" s="37" t="str">
        <f aca="false">IF($A1208="","",WEEKNUM($A1208,2))</f>
        <v/>
      </c>
      <c r="C1208" s="37" t="str">
        <f aca="false">IF($A1208="","",CHOOSE(WEEKDAY($A1208,2),"Seg","Ter","Qua","Qui","Sex","Sáb","Dom"))</f>
        <v/>
      </c>
      <c r="D1208" s="46"/>
      <c r="E1208" s="47"/>
      <c r="F1208" s="47"/>
      <c r="G1208" s="48"/>
      <c r="H1208" s="49"/>
      <c r="I1208" s="50"/>
      <c r="J1208" s="48"/>
      <c r="K1208" s="49"/>
      <c r="L1208" s="50"/>
      <c r="M1208" s="43" t="str">
        <f aca="false">IF(OR($L1208="",$F1208=""),"",IFERROR($L1208/INDEX(Cadastro!$E$6:$E$8,MATCH($F1208,Cadastro!$B$6:$B$8,0)),""))</f>
        <v/>
      </c>
      <c r="N1208" s="43" t="str">
        <f aca="false">IF(OR($L1208="",$I1208="",$I1208=0),"",$L1208/$I1208)</f>
        <v/>
      </c>
      <c r="O1208" s="51"/>
    </row>
    <row r="1209" customFormat="false" ht="15" hidden="false" customHeight="false" outlineLevel="0" collapsed="false">
      <c r="A1209" s="45"/>
      <c r="B1209" s="37" t="str">
        <f aca="false">IF($A1209="","",WEEKNUM($A1209,2))</f>
        <v/>
      </c>
      <c r="C1209" s="37" t="str">
        <f aca="false">IF($A1209="","",CHOOSE(WEEKDAY($A1209,2),"Seg","Ter","Qua","Qui","Sex","Sáb","Dom"))</f>
        <v/>
      </c>
      <c r="D1209" s="46"/>
      <c r="E1209" s="47"/>
      <c r="F1209" s="47"/>
      <c r="G1209" s="48"/>
      <c r="H1209" s="49"/>
      <c r="I1209" s="50"/>
      <c r="J1209" s="48"/>
      <c r="K1209" s="49"/>
      <c r="L1209" s="50"/>
      <c r="M1209" s="43" t="str">
        <f aca="false">IF(OR($L1209="",$F1209=""),"",IFERROR($L1209/INDEX(Cadastro!$E$6:$E$8,MATCH($F1209,Cadastro!$B$6:$B$8,0)),""))</f>
        <v/>
      </c>
      <c r="N1209" s="43" t="str">
        <f aca="false">IF(OR($L1209="",$I1209="",$I1209=0),"",$L1209/$I1209)</f>
        <v/>
      </c>
      <c r="O1209" s="51"/>
    </row>
    <row r="1210" customFormat="false" ht="15" hidden="false" customHeight="false" outlineLevel="0" collapsed="false">
      <c r="A1210" s="45"/>
      <c r="B1210" s="37" t="str">
        <f aca="false">IF($A1210="","",WEEKNUM($A1210,2))</f>
        <v/>
      </c>
      <c r="C1210" s="37" t="str">
        <f aca="false">IF($A1210="","",CHOOSE(WEEKDAY($A1210,2),"Seg","Ter","Qua","Qui","Sex","Sáb","Dom"))</f>
        <v/>
      </c>
      <c r="D1210" s="46"/>
      <c r="E1210" s="47"/>
      <c r="F1210" s="47"/>
      <c r="G1210" s="48"/>
      <c r="H1210" s="49"/>
      <c r="I1210" s="50"/>
      <c r="J1210" s="48"/>
      <c r="K1210" s="49"/>
      <c r="L1210" s="50"/>
      <c r="M1210" s="43" t="str">
        <f aca="false">IF(OR($L1210="",$F1210=""),"",IFERROR($L1210/INDEX(Cadastro!$E$6:$E$8,MATCH($F1210,Cadastro!$B$6:$B$8,0)),""))</f>
        <v/>
      </c>
      <c r="N1210" s="43" t="str">
        <f aca="false">IF(OR($L1210="",$I1210="",$I1210=0),"",$L1210/$I1210)</f>
        <v/>
      </c>
      <c r="O1210" s="51"/>
    </row>
    <row r="1211" customFormat="false" ht="15" hidden="false" customHeight="false" outlineLevel="0" collapsed="false">
      <c r="A1211" s="45"/>
      <c r="B1211" s="37" t="str">
        <f aca="false">IF($A1211="","",WEEKNUM($A1211,2))</f>
        <v/>
      </c>
      <c r="C1211" s="37" t="str">
        <f aca="false">IF($A1211="","",CHOOSE(WEEKDAY($A1211,2),"Seg","Ter","Qua","Qui","Sex","Sáb","Dom"))</f>
        <v/>
      </c>
      <c r="D1211" s="46"/>
      <c r="E1211" s="47"/>
      <c r="F1211" s="47"/>
      <c r="G1211" s="48"/>
      <c r="H1211" s="49"/>
      <c r="I1211" s="50"/>
      <c r="J1211" s="48"/>
      <c r="K1211" s="49"/>
      <c r="L1211" s="50"/>
      <c r="M1211" s="43" t="str">
        <f aca="false">IF(OR($L1211="",$F1211=""),"",IFERROR($L1211/INDEX(Cadastro!$E$6:$E$8,MATCH($F1211,Cadastro!$B$6:$B$8,0)),""))</f>
        <v/>
      </c>
      <c r="N1211" s="43" t="str">
        <f aca="false">IF(OR($L1211="",$I1211="",$I1211=0),"",$L1211/$I1211)</f>
        <v/>
      </c>
      <c r="O1211" s="51"/>
    </row>
    <row r="1212" customFormat="false" ht="15" hidden="false" customHeight="false" outlineLevel="0" collapsed="false">
      <c r="A1212" s="45"/>
      <c r="B1212" s="37" t="str">
        <f aca="false">IF($A1212="","",WEEKNUM($A1212,2))</f>
        <v/>
      </c>
      <c r="C1212" s="37" t="str">
        <f aca="false">IF($A1212="","",CHOOSE(WEEKDAY($A1212,2),"Seg","Ter","Qua","Qui","Sex","Sáb","Dom"))</f>
        <v/>
      </c>
      <c r="D1212" s="46"/>
      <c r="E1212" s="47"/>
      <c r="F1212" s="47"/>
      <c r="G1212" s="48"/>
      <c r="H1212" s="49"/>
      <c r="I1212" s="50"/>
      <c r="J1212" s="48"/>
      <c r="K1212" s="49"/>
      <c r="L1212" s="50"/>
      <c r="M1212" s="43" t="str">
        <f aca="false">IF(OR($L1212="",$F1212=""),"",IFERROR($L1212/INDEX(Cadastro!$E$6:$E$8,MATCH($F1212,Cadastro!$B$6:$B$8,0)),""))</f>
        <v/>
      </c>
      <c r="N1212" s="43" t="str">
        <f aca="false">IF(OR($L1212="",$I1212="",$I1212=0),"",$L1212/$I1212)</f>
        <v/>
      </c>
      <c r="O1212" s="51"/>
    </row>
    <row r="1213" customFormat="false" ht="15" hidden="false" customHeight="false" outlineLevel="0" collapsed="false">
      <c r="A1213" s="45"/>
      <c r="B1213" s="37" t="str">
        <f aca="false">IF($A1213="","",WEEKNUM($A1213,2))</f>
        <v/>
      </c>
      <c r="C1213" s="37" t="str">
        <f aca="false">IF($A1213="","",CHOOSE(WEEKDAY($A1213,2),"Seg","Ter","Qua","Qui","Sex","Sáb","Dom"))</f>
        <v/>
      </c>
      <c r="D1213" s="46"/>
      <c r="E1213" s="47"/>
      <c r="F1213" s="47"/>
      <c r="G1213" s="48"/>
      <c r="H1213" s="49"/>
      <c r="I1213" s="50"/>
      <c r="J1213" s="48"/>
      <c r="K1213" s="49"/>
      <c r="L1213" s="50"/>
      <c r="M1213" s="43" t="str">
        <f aca="false">IF(OR($L1213="",$F1213=""),"",IFERROR($L1213/INDEX(Cadastro!$E$6:$E$8,MATCH($F1213,Cadastro!$B$6:$B$8,0)),""))</f>
        <v/>
      </c>
      <c r="N1213" s="43" t="str">
        <f aca="false">IF(OR($L1213="",$I1213="",$I1213=0),"",$L1213/$I1213)</f>
        <v/>
      </c>
      <c r="O1213" s="51"/>
    </row>
    <row r="1214" customFormat="false" ht="15" hidden="false" customHeight="false" outlineLevel="0" collapsed="false">
      <c r="A1214" s="45"/>
      <c r="B1214" s="37" t="str">
        <f aca="false">IF($A1214="","",WEEKNUM($A1214,2))</f>
        <v/>
      </c>
      <c r="C1214" s="37" t="str">
        <f aca="false">IF($A1214="","",CHOOSE(WEEKDAY($A1214,2),"Seg","Ter","Qua","Qui","Sex","Sáb","Dom"))</f>
        <v/>
      </c>
      <c r="D1214" s="46"/>
      <c r="E1214" s="47"/>
      <c r="F1214" s="47"/>
      <c r="G1214" s="48"/>
      <c r="H1214" s="49"/>
      <c r="I1214" s="50"/>
      <c r="J1214" s="48"/>
      <c r="K1214" s="49"/>
      <c r="L1214" s="50"/>
      <c r="M1214" s="43" t="str">
        <f aca="false">IF(OR($L1214="",$F1214=""),"",IFERROR($L1214/INDEX(Cadastro!$E$6:$E$8,MATCH($F1214,Cadastro!$B$6:$B$8,0)),""))</f>
        <v/>
      </c>
      <c r="N1214" s="43" t="str">
        <f aca="false">IF(OR($L1214="",$I1214="",$I1214=0),"",$L1214/$I1214)</f>
        <v/>
      </c>
      <c r="O1214" s="51"/>
    </row>
    <row r="1215" customFormat="false" ht="15" hidden="false" customHeight="false" outlineLevel="0" collapsed="false">
      <c r="A1215" s="45"/>
      <c r="B1215" s="37" t="str">
        <f aca="false">IF($A1215="","",WEEKNUM($A1215,2))</f>
        <v/>
      </c>
      <c r="C1215" s="37" t="str">
        <f aca="false">IF($A1215="","",CHOOSE(WEEKDAY($A1215,2),"Seg","Ter","Qua","Qui","Sex","Sáb","Dom"))</f>
        <v/>
      </c>
      <c r="D1215" s="46"/>
      <c r="E1215" s="47"/>
      <c r="F1215" s="47"/>
      <c r="G1215" s="48"/>
      <c r="H1215" s="49"/>
      <c r="I1215" s="50"/>
      <c r="J1215" s="48"/>
      <c r="K1215" s="49"/>
      <c r="L1215" s="50"/>
      <c r="M1215" s="43" t="str">
        <f aca="false">IF(OR($L1215="",$F1215=""),"",IFERROR($L1215/INDEX(Cadastro!$E$6:$E$8,MATCH($F1215,Cadastro!$B$6:$B$8,0)),""))</f>
        <v/>
      </c>
      <c r="N1215" s="43" t="str">
        <f aca="false">IF(OR($L1215="",$I1215="",$I1215=0),"",$L1215/$I1215)</f>
        <v/>
      </c>
      <c r="O1215" s="51"/>
    </row>
    <row r="1216" customFormat="false" ht="15" hidden="false" customHeight="false" outlineLevel="0" collapsed="false">
      <c r="A1216" s="45"/>
      <c r="B1216" s="37" t="str">
        <f aca="false">IF($A1216="","",WEEKNUM($A1216,2))</f>
        <v/>
      </c>
      <c r="C1216" s="37" t="str">
        <f aca="false">IF($A1216="","",CHOOSE(WEEKDAY($A1216,2),"Seg","Ter","Qua","Qui","Sex","Sáb","Dom"))</f>
        <v/>
      </c>
      <c r="D1216" s="46"/>
      <c r="E1216" s="47"/>
      <c r="F1216" s="47"/>
      <c r="G1216" s="48"/>
      <c r="H1216" s="49"/>
      <c r="I1216" s="50"/>
      <c r="J1216" s="48"/>
      <c r="K1216" s="49"/>
      <c r="L1216" s="50"/>
      <c r="M1216" s="43" t="str">
        <f aca="false">IF(OR($L1216="",$F1216=""),"",IFERROR($L1216/INDEX(Cadastro!$E$6:$E$8,MATCH($F1216,Cadastro!$B$6:$B$8,0)),""))</f>
        <v/>
      </c>
      <c r="N1216" s="43" t="str">
        <f aca="false">IF(OR($L1216="",$I1216="",$I1216=0),"",$L1216/$I1216)</f>
        <v/>
      </c>
      <c r="O1216" s="51"/>
    </row>
    <row r="1217" customFormat="false" ht="15" hidden="false" customHeight="false" outlineLevel="0" collapsed="false">
      <c r="A1217" s="45"/>
      <c r="B1217" s="37" t="str">
        <f aca="false">IF($A1217="","",WEEKNUM($A1217,2))</f>
        <v/>
      </c>
      <c r="C1217" s="37" t="str">
        <f aca="false">IF($A1217="","",CHOOSE(WEEKDAY($A1217,2),"Seg","Ter","Qua","Qui","Sex","Sáb","Dom"))</f>
        <v/>
      </c>
      <c r="D1217" s="46"/>
      <c r="E1217" s="47"/>
      <c r="F1217" s="47"/>
      <c r="G1217" s="48"/>
      <c r="H1217" s="49"/>
      <c r="I1217" s="50"/>
      <c r="J1217" s="48"/>
      <c r="K1217" s="49"/>
      <c r="L1217" s="50"/>
      <c r="M1217" s="43" t="str">
        <f aca="false">IF(OR($L1217="",$F1217=""),"",IFERROR($L1217/INDEX(Cadastro!$E$6:$E$8,MATCH($F1217,Cadastro!$B$6:$B$8,0)),""))</f>
        <v/>
      </c>
      <c r="N1217" s="43" t="str">
        <f aca="false">IF(OR($L1217="",$I1217="",$I1217=0),"",$L1217/$I1217)</f>
        <v/>
      </c>
      <c r="O1217" s="51"/>
    </row>
    <row r="1218" customFormat="false" ht="15" hidden="false" customHeight="false" outlineLevel="0" collapsed="false">
      <c r="A1218" s="45"/>
      <c r="B1218" s="37" t="str">
        <f aca="false">IF($A1218="","",WEEKNUM($A1218,2))</f>
        <v/>
      </c>
      <c r="C1218" s="37" t="str">
        <f aca="false">IF($A1218="","",CHOOSE(WEEKDAY($A1218,2),"Seg","Ter","Qua","Qui","Sex","Sáb","Dom"))</f>
        <v/>
      </c>
      <c r="D1218" s="46"/>
      <c r="E1218" s="47"/>
      <c r="F1218" s="47"/>
      <c r="G1218" s="48"/>
      <c r="H1218" s="49"/>
      <c r="I1218" s="50"/>
      <c r="J1218" s="48"/>
      <c r="K1218" s="49"/>
      <c r="L1218" s="50"/>
      <c r="M1218" s="43" t="str">
        <f aca="false">IF(OR($L1218="",$F1218=""),"",IFERROR($L1218/INDEX(Cadastro!$E$6:$E$8,MATCH($F1218,Cadastro!$B$6:$B$8,0)),""))</f>
        <v/>
      </c>
      <c r="N1218" s="43" t="str">
        <f aca="false">IF(OR($L1218="",$I1218="",$I1218=0),"",$L1218/$I1218)</f>
        <v/>
      </c>
      <c r="O1218" s="51"/>
    </row>
    <row r="1219" customFormat="false" ht="15" hidden="false" customHeight="false" outlineLevel="0" collapsed="false">
      <c r="A1219" s="45"/>
      <c r="B1219" s="37" t="str">
        <f aca="false">IF($A1219="","",WEEKNUM($A1219,2))</f>
        <v/>
      </c>
      <c r="C1219" s="37" t="str">
        <f aca="false">IF($A1219="","",CHOOSE(WEEKDAY($A1219,2),"Seg","Ter","Qua","Qui","Sex","Sáb","Dom"))</f>
        <v/>
      </c>
      <c r="D1219" s="46"/>
      <c r="E1219" s="47"/>
      <c r="F1219" s="47"/>
      <c r="G1219" s="48"/>
      <c r="H1219" s="49"/>
      <c r="I1219" s="50"/>
      <c r="J1219" s="48"/>
      <c r="K1219" s="49"/>
      <c r="L1219" s="50"/>
      <c r="M1219" s="43" t="str">
        <f aca="false">IF(OR($L1219="",$F1219=""),"",IFERROR($L1219/INDEX(Cadastro!$E$6:$E$8,MATCH($F1219,Cadastro!$B$6:$B$8,0)),""))</f>
        <v/>
      </c>
      <c r="N1219" s="43" t="str">
        <f aca="false">IF(OR($L1219="",$I1219="",$I1219=0),"",$L1219/$I1219)</f>
        <v/>
      </c>
      <c r="O1219" s="51"/>
    </row>
    <row r="1220" customFormat="false" ht="15" hidden="false" customHeight="false" outlineLevel="0" collapsed="false">
      <c r="A1220" s="45"/>
      <c r="B1220" s="37" t="str">
        <f aca="false">IF($A1220="","",WEEKNUM($A1220,2))</f>
        <v/>
      </c>
      <c r="C1220" s="37" t="str">
        <f aca="false">IF($A1220="","",CHOOSE(WEEKDAY($A1220,2),"Seg","Ter","Qua","Qui","Sex","Sáb","Dom"))</f>
        <v/>
      </c>
      <c r="D1220" s="46"/>
      <c r="E1220" s="47"/>
      <c r="F1220" s="47"/>
      <c r="G1220" s="48"/>
      <c r="H1220" s="49"/>
      <c r="I1220" s="50"/>
      <c r="J1220" s="48"/>
      <c r="K1220" s="49"/>
      <c r="L1220" s="50"/>
      <c r="M1220" s="43" t="str">
        <f aca="false">IF(OR($L1220="",$F1220=""),"",IFERROR($L1220/INDEX(Cadastro!$E$6:$E$8,MATCH($F1220,Cadastro!$B$6:$B$8,0)),""))</f>
        <v/>
      </c>
      <c r="N1220" s="43" t="str">
        <f aca="false">IF(OR($L1220="",$I1220="",$I1220=0),"",$L1220/$I1220)</f>
        <v/>
      </c>
      <c r="O1220" s="51"/>
    </row>
    <row r="1221" customFormat="false" ht="15" hidden="false" customHeight="false" outlineLevel="0" collapsed="false">
      <c r="A1221" s="45"/>
      <c r="B1221" s="37" t="str">
        <f aca="false">IF($A1221="","",WEEKNUM($A1221,2))</f>
        <v/>
      </c>
      <c r="C1221" s="37" t="str">
        <f aca="false">IF($A1221="","",CHOOSE(WEEKDAY($A1221,2),"Seg","Ter","Qua","Qui","Sex","Sáb","Dom"))</f>
        <v/>
      </c>
      <c r="D1221" s="46"/>
      <c r="E1221" s="47"/>
      <c r="F1221" s="47"/>
      <c r="G1221" s="48"/>
      <c r="H1221" s="49"/>
      <c r="I1221" s="50"/>
      <c r="J1221" s="48"/>
      <c r="K1221" s="49"/>
      <c r="L1221" s="50"/>
      <c r="M1221" s="43" t="str">
        <f aca="false">IF(OR($L1221="",$F1221=""),"",IFERROR($L1221/INDEX(Cadastro!$E$6:$E$8,MATCH($F1221,Cadastro!$B$6:$B$8,0)),""))</f>
        <v/>
      </c>
      <c r="N1221" s="43" t="str">
        <f aca="false">IF(OR($L1221="",$I1221="",$I1221=0),"",$L1221/$I1221)</f>
        <v/>
      </c>
      <c r="O1221" s="51"/>
    </row>
    <row r="1222" customFormat="false" ht="15" hidden="false" customHeight="false" outlineLevel="0" collapsed="false">
      <c r="A1222" s="45"/>
      <c r="B1222" s="37" t="str">
        <f aca="false">IF($A1222="","",WEEKNUM($A1222,2))</f>
        <v/>
      </c>
      <c r="C1222" s="37" t="str">
        <f aca="false">IF($A1222="","",CHOOSE(WEEKDAY($A1222,2),"Seg","Ter","Qua","Qui","Sex","Sáb","Dom"))</f>
        <v/>
      </c>
      <c r="D1222" s="46"/>
      <c r="E1222" s="47"/>
      <c r="F1222" s="47"/>
      <c r="G1222" s="48"/>
      <c r="H1222" s="49"/>
      <c r="I1222" s="50"/>
      <c r="J1222" s="48"/>
      <c r="K1222" s="49"/>
      <c r="L1222" s="50"/>
      <c r="M1222" s="43" t="str">
        <f aca="false">IF(OR($L1222="",$F1222=""),"",IFERROR($L1222/INDEX(Cadastro!$E$6:$E$8,MATCH($F1222,Cadastro!$B$6:$B$8,0)),""))</f>
        <v/>
      </c>
      <c r="N1222" s="43" t="str">
        <f aca="false">IF(OR($L1222="",$I1222="",$I1222=0),"",$L1222/$I1222)</f>
        <v/>
      </c>
      <c r="O1222" s="51"/>
    </row>
    <row r="1223" customFormat="false" ht="15" hidden="false" customHeight="false" outlineLevel="0" collapsed="false">
      <c r="A1223" s="45"/>
      <c r="B1223" s="37" t="str">
        <f aca="false">IF($A1223="","",WEEKNUM($A1223,2))</f>
        <v/>
      </c>
      <c r="C1223" s="37" t="str">
        <f aca="false">IF($A1223="","",CHOOSE(WEEKDAY($A1223,2),"Seg","Ter","Qua","Qui","Sex","Sáb","Dom"))</f>
        <v/>
      </c>
      <c r="D1223" s="46"/>
      <c r="E1223" s="47"/>
      <c r="F1223" s="47"/>
      <c r="G1223" s="48"/>
      <c r="H1223" s="49"/>
      <c r="I1223" s="50"/>
      <c r="J1223" s="48"/>
      <c r="K1223" s="49"/>
      <c r="L1223" s="50"/>
      <c r="M1223" s="43" t="str">
        <f aca="false">IF(OR($L1223="",$F1223=""),"",IFERROR($L1223/INDEX(Cadastro!$E$6:$E$8,MATCH($F1223,Cadastro!$B$6:$B$8,0)),""))</f>
        <v/>
      </c>
      <c r="N1223" s="43" t="str">
        <f aca="false">IF(OR($L1223="",$I1223="",$I1223=0),"",$L1223/$I1223)</f>
        <v/>
      </c>
      <c r="O1223" s="51"/>
    </row>
    <row r="1224" customFormat="false" ht="15" hidden="false" customHeight="false" outlineLevel="0" collapsed="false">
      <c r="A1224" s="45"/>
      <c r="B1224" s="37" t="str">
        <f aca="false">IF($A1224="","",WEEKNUM($A1224,2))</f>
        <v/>
      </c>
      <c r="C1224" s="37" t="str">
        <f aca="false">IF($A1224="","",CHOOSE(WEEKDAY($A1224,2),"Seg","Ter","Qua","Qui","Sex","Sáb","Dom"))</f>
        <v/>
      </c>
      <c r="D1224" s="46"/>
      <c r="E1224" s="47"/>
      <c r="F1224" s="47"/>
      <c r="G1224" s="48"/>
      <c r="H1224" s="49"/>
      <c r="I1224" s="50"/>
      <c r="J1224" s="48"/>
      <c r="K1224" s="49"/>
      <c r="L1224" s="50"/>
      <c r="M1224" s="43" t="str">
        <f aca="false">IF(OR($L1224="",$F1224=""),"",IFERROR($L1224/INDEX(Cadastro!$E$6:$E$8,MATCH($F1224,Cadastro!$B$6:$B$8,0)),""))</f>
        <v/>
      </c>
      <c r="N1224" s="43" t="str">
        <f aca="false">IF(OR($L1224="",$I1224="",$I1224=0),"",$L1224/$I1224)</f>
        <v/>
      </c>
      <c r="O1224" s="51"/>
    </row>
    <row r="1225" customFormat="false" ht="15" hidden="false" customHeight="false" outlineLevel="0" collapsed="false">
      <c r="A1225" s="45"/>
      <c r="B1225" s="37" t="str">
        <f aca="false">IF($A1225="","",WEEKNUM($A1225,2))</f>
        <v/>
      </c>
      <c r="C1225" s="37" t="str">
        <f aca="false">IF($A1225="","",CHOOSE(WEEKDAY($A1225,2),"Seg","Ter","Qua","Qui","Sex","Sáb","Dom"))</f>
        <v/>
      </c>
      <c r="D1225" s="46"/>
      <c r="E1225" s="47"/>
      <c r="F1225" s="47"/>
      <c r="G1225" s="48"/>
      <c r="H1225" s="49"/>
      <c r="I1225" s="50"/>
      <c r="J1225" s="48"/>
      <c r="K1225" s="49"/>
      <c r="L1225" s="50"/>
      <c r="M1225" s="43" t="str">
        <f aca="false">IF(OR($L1225="",$F1225=""),"",IFERROR($L1225/INDEX(Cadastro!$E$6:$E$8,MATCH($F1225,Cadastro!$B$6:$B$8,0)),""))</f>
        <v/>
      </c>
      <c r="N1225" s="43" t="str">
        <f aca="false">IF(OR($L1225="",$I1225="",$I1225=0),"",$L1225/$I1225)</f>
        <v/>
      </c>
      <c r="O1225" s="51"/>
    </row>
    <row r="1226" customFormat="false" ht="15" hidden="false" customHeight="false" outlineLevel="0" collapsed="false">
      <c r="A1226" s="45"/>
      <c r="B1226" s="37" t="str">
        <f aca="false">IF($A1226="","",WEEKNUM($A1226,2))</f>
        <v/>
      </c>
      <c r="C1226" s="37" t="str">
        <f aca="false">IF($A1226="","",CHOOSE(WEEKDAY($A1226,2),"Seg","Ter","Qua","Qui","Sex","Sáb","Dom"))</f>
        <v/>
      </c>
      <c r="D1226" s="46"/>
      <c r="E1226" s="47"/>
      <c r="F1226" s="47"/>
      <c r="G1226" s="48"/>
      <c r="H1226" s="49"/>
      <c r="I1226" s="50"/>
      <c r="J1226" s="48"/>
      <c r="K1226" s="49"/>
      <c r="L1226" s="50"/>
      <c r="M1226" s="43" t="str">
        <f aca="false">IF(OR($L1226="",$F1226=""),"",IFERROR($L1226/INDEX(Cadastro!$E$6:$E$8,MATCH($F1226,Cadastro!$B$6:$B$8,0)),""))</f>
        <v/>
      </c>
      <c r="N1226" s="43" t="str">
        <f aca="false">IF(OR($L1226="",$I1226="",$I1226=0),"",$L1226/$I1226)</f>
        <v/>
      </c>
      <c r="O1226" s="51"/>
    </row>
    <row r="1227" customFormat="false" ht="15" hidden="false" customHeight="false" outlineLevel="0" collapsed="false">
      <c r="A1227" s="45"/>
      <c r="B1227" s="37" t="str">
        <f aca="false">IF($A1227="","",WEEKNUM($A1227,2))</f>
        <v/>
      </c>
      <c r="C1227" s="37" t="str">
        <f aca="false">IF($A1227="","",CHOOSE(WEEKDAY($A1227,2),"Seg","Ter","Qua","Qui","Sex","Sáb","Dom"))</f>
        <v/>
      </c>
      <c r="D1227" s="46"/>
      <c r="E1227" s="47"/>
      <c r="F1227" s="47"/>
      <c r="G1227" s="48"/>
      <c r="H1227" s="49"/>
      <c r="I1227" s="50"/>
      <c r="J1227" s="48"/>
      <c r="K1227" s="49"/>
      <c r="L1227" s="50"/>
      <c r="M1227" s="43" t="str">
        <f aca="false">IF(OR($L1227="",$F1227=""),"",IFERROR($L1227/INDEX(Cadastro!$E$6:$E$8,MATCH($F1227,Cadastro!$B$6:$B$8,0)),""))</f>
        <v/>
      </c>
      <c r="N1227" s="43" t="str">
        <f aca="false">IF(OR($L1227="",$I1227="",$I1227=0),"",$L1227/$I1227)</f>
        <v/>
      </c>
      <c r="O1227" s="51"/>
    </row>
    <row r="1228" customFormat="false" ht="15" hidden="false" customHeight="false" outlineLevel="0" collapsed="false">
      <c r="A1228" s="45"/>
      <c r="B1228" s="37" t="str">
        <f aca="false">IF($A1228="","",WEEKNUM($A1228,2))</f>
        <v/>
      </c>
      <c r="C1228" s="37" t="str">
        <f aca="false">IF($A1228="","",CHOOSE(WEEKDAY($A1228,2),"Seg","Ter","Qua","Qui","Sex","Sáb","Dom"))</f>
        <v/>
      </c>
      <c r="D1228" s="46"/>
      <c r="E1228" s="47"/>
      <c r="F1228" s="47"/>
      <c r="G1228" s="48"/>
      <c r="H1228" s="49"/>
      <c r="I1228" s="50"/>
      <c r="J1228" s="48"/>
      <c r="K1228" s="49"/>
      <c r="L1228" s="50"/>
      <c r="M1228" s="43" t="str">
        <f aca="false">IF(OR($L1228="",$F1228=""),"",IFERROR($L1228/INDEX(Cadastro!$E$6:$E$8,MATCH($F1228,Cadastro!$B$6:$B$8,0)),""))</f>
        <v/>
      </c>
      <c r="N1228" s="43" t="str">
        <f aca="false">IF(OR($L1228="",$I1228="",$I1228=0),"",$L1228/$I1228)</f>
        <v/>
      </c>
      <c r="O1228" s="51"/>
    </row>
    <row r="1229" customFormat="false" ht="15" hidden="false" customHeight="false" outlineLevel="0" collapsed="false">
      <c r="A1229" s="45"/>
      <c r="B1229" s="37" t="str">
        <f aca="false">IF($A1229="","",WEEKNUM($A1229,2))</f>
        <v/>
      </c>
      <c r="C1229" s="37" t="str">
        <f aca="false">IF($A1229="","",CHOOSE(WEEKDAY($A1229,2),"Seg","Ter","Qua","Qui","Sex","Sáb","Dom"))</f>
        <v/>
      </c>
      <c r="D1229" s="46"/>
      <c r="E1229" s="47"/>
      <c r="F1229" s="47"/>
      <c r="G1229" s="48"/>
      <c r="H1229" s="49"/>
      <c r="I1229" s="50"/>
      <c r="J1229" s="48"/>
      <c r="K1229" s="49"/>
      <c r="L1229" s="50"/>
      <c r="M1229" s="43" t="str">
        <f aca="false">IF(OR($L1229="",$F1229=""),"",IFERROR($L1229/INDEX(Cadastro!$E$6:$E$8,MATCH($F1229,Cadastro!$B$6:$B$8,0)),""))</f>
        <v/>
      </c>
      <c r="N1229" s="43" t="str">
        <f aca="false">IF(OR($L1229="",$I1229="",$I1229=0),"",$L1229/$I1229)</f>
        <v/>
      </c>
      <c r="O1229" s="51"/>
    </row>
    <row r="1230" customFormat="false" ht="15" hidden="false" customHeight="false" outlineLevel="0" collapsed="false">
      <c r="A1230" s="45"/>
      <c r="B1230" s="37" t="str">
        <f aca="false">IF($A1230="","",WEEKNUM($A1230,2))</f>
        <v/>
      </c>
      <c r="C1230" s="37" t="str">
        <f aca="false">IF($A1230="","",CHOOSE(WEEKDAY($A1230,2),"Seg","Ter","Qua","Qui","Sex","Sáb","Dom"))</f>
        <v/>
      </c>
      <c r="D1230" s="46"/>
      <c r="E1230" s="47"/>
      <c r="F1230" s="47"/>
      <c r="G1230" s="48"/>
      <c r="H1230" s="49"/>
      <c r="I1230" s="50"/>
      <c r="J1230" s="48"/>
      <c r="K1230" s="49"/>
      <c r="L1230" s="50"/>
      <c r="M1230" s="43" t="str">
        <f aca="false">IF(OR($L1230="",$F1230=""),"",IFERROR($L1230/INDEX(Cadastro!$E$6:$E$8,MATCH($F1230,Cadastro!$B$6:$B$8,0)),""))</f>
        <v/>
      </c>
      <c r="N1230" s="43" t="str">
        <f aca="false">IF(OR($L1230="",$I1230="",$I1230=0),"",$L1230/$I1230)</f>
        <v/>
      </c>
      <c r="O1230" s="51"/>
    </row>
    <row r="1231" customFormat="false" ht="15" hidden="false" customHeight="false" outlineLevel="0" collapsed="false">
      <c r="A1231" s="45"/>
      <c r="B1231" s="37" t="str">
        <f aca="false">IF($A1231="","",WEEKNUM($A1231,2))</f>
        <v/>
      </c>
      <c r="C1231" s="37" t="str">
        <f aca="false">IF($A1231="","",CHOOSE(WEEKDAY($A1231,2),"Seg","Ter","Qua","Qui","Sex","Sáb","Dom"))</f>
        <v/>
      </c>
      <c r="D1231" s="46"/>
      <c r="E1231" s="47"/>
      <c r="F1231" s="47"/>
      <c r="G1231" s="48"/>
      <c r="H1231" s="49"/>
      <c r="I1231" s="50"/>
      <c r="J1231" s="48"/>
      <c r="K1231" s="49"/>
      <c r="L1231" s="50"/>
      <c r="M1231" s="43" t="str">
        <f aca="false">IF(OR($L1231="",$F1231=""),"",IFERROR($L1231/INDEX(Cadastro!$E$6:$E$8,MATCH($F1231,Cadastro!$B$6:$B$8,0)),""))</f>
        <v/>
      </c>
      <c r="N1231" s="43" t="str">
        <f aca="false">IF(OR($L1231="",$I1231="",$I1231=0),"",$L1231/$I1231)</f>
        <v/>
      </c>
      <c r="O1231" s="51"/>
    </row>
    <row r="1232" customFormat="false" ht="15" hidden="false" customHeight="false" outlineLevel="0" collapsed="false">
      <c r="A1232" s="45"/>
      <c r="B1232" s="37" t="str">
        <f aca="false">IF($A1232="","",WEEKNUM($A1232,2))</f>
        <v/>
      </c>
      <c r="C1232" s="37" t="str">
        <f aca="false">IF($A1232="","",CHOOSE(WEEKDAY($A1232,2),"Seg","Ter","Qua","Qui","Sex","Sáb","Dom"))</f>
        <v/>
      </c>
      <c r="D1232" s="46"/>
      <c r="E1232" s="47"/>
      <c r="F1232" s="47"/>
      <c r="G1232" s="48"/>
      <c r="H1232" s="49"/>
      <c r="I1232" s="50"/>
      <c r="J1232" s="48"/>
      <c r="K1232" s="49"/>
      <c r="L1232" s="50"/>
      <c r="M1232" s="43" t="str">
        <f aca="false">IF(OR($L1232="",$F1232=""),"",IFERROR($L1232/INDEX(Cadastro!$E$6:$E$8,MATCH($F1232,Cadastro!$B$6:$B$8,0)),""))</f>
        <v/>
      </c>
      <c r="N1232" s="43" t="str">
        <f aca="false">IF(OR($L1232="",$I1232="",$I1232=0),"",$L1232/$I1232)</f>
        <v/>
      </c>
      <c r="O1232" s="51"/>
    </row>
    <row r="1233" customFormat="false" ht="15" hidden="false" customHeight="false" outlineLevel="0" collapsed="false">
      <c r="A1233" s="45"/>
      <c r="B1233" s="37" t="str">
        <f aca="false">IF($A1233="","",WEEKNUM($A1233,2))</f>
        <v/>
      </c>
      <c r="C1233" s="37" t="str">
        <f aca="false">IF($A1233="","",CHOOSE(WEEKDAY($A1233,2),"Seg","Ter","Qua","Qui","Sex","Sáb","Dom"))</f>
        <v/>
      </c>
      <c r="D1233" s="46"/>
      <c r="E1233" s="47"/>
      <c r="F1233" s="47"/>
      <c r="G1233" s="48"/>
      <c r="H1233" s="49"/>
      <c r="I1233" s="50"/>
      <c r="J1233" s="48"/>
      <c r="K1233" s="49"/>
      <c r="L1233" s="50"/>
      <c r="M1233" s="43" t="str">
        <f aca="false">IF(OR($L1233="",$F1233=""),"",IFERROR($L1233/INDEX(Cadastro!$E$6:$E$8,MATCH($F1233,Cadastro!$B$6:$B$8,0)),""))</f>
        <v/>
      </c>
      <c r="N1233" s="43" t="str">
        <f aca="false">IF(OR($L1233="",$I1233="",$I1233=0),"",$L1233/$I1233)</f>
        <v/>
      </c>
      <c r="O1233" s="51"/>
    </row>
    <row r="1234" customFormat="false" ht="15" hidden="false" customHeight="false" outlineLevel="0" collapsed="false">
      <c r="A1234" s="45"/>
      <c r="B1234" s="37" t="str">
        <f aca="false">IF($A1234="","",WEEKNUM($A1234,2))</f>
        <v/>
      </c>
      <c r="C1234" s="37" t="str">
        <f aca="false">IF($A1234="","",CHOOSE(WEEKDAY($A1234,2),"Seg","Ter","Qua","Qui","Sex","Sáb","Dom"))</f>
        <v/>
      </c>
      <c r="D1234" s="46"/>
      <c r="E1234" s="47"/>
      <c r="F1234" s="47"/>
      <c r="G1234" s="48"/>
      <c r="H1234" s="49"/>
      <c r="I1234" s="50"/>
      <c r="J1234" s="48"/>
      <c r="K1234" s="49"/>
      <c r="L1234" s="50"/>
      <c r="M1234" s="43" t="str">
        <f aca="false">IF(OR($L1234="",$F1234=""),"",IFERROR($L1234/INDEX(Cadastro!$E$6:$E$8,MATCH($F1234,Cadastro!$B$6:$B$8,0)),""))</f>
        <v/>
      </c>
      <c r="N1234" s="43" t="str">
        <f aca="false">IF(OR($L1234="",$I1234="",$I1234=0),"",$L1234/$I1234)</f>
        <v/>
      </c>
      <c r="O1234" s="51"/>
    </row>
    <row r="1235" customFormat="false" ht="15" hidden="false" customHeight="false" outlineLevel="0" collapsed="false">
      <c r="A1235" s="45"/>
      <c r="B1235" s="37" t="str">
        <f aca="false">IF($A1235="","",WEEKNUM($A1235,2))</f>
        <v/>
      </c>
      <c r="C1235" s="37" t="str">
        <f aca="false">IF($A1235="","",CHOOSE(WEEKDAY($A1235,2),"Seg","Ter","Qua","Qui","Sex","Sáb","Dom"))</f>
        <v/>
      </c>
      <c r="D1235" s="46"/>
      <c r="E1235" s="47"/>
      <c r="F1235" s="47"/>
      <c r="G1235" s="48"/>
      <c r="H1235" s="49"/>
      <c r="I1235" s="50"/>
      <c r="J1235" s="48"/>
      <c r="K1235" s="49"/>
      <c r="L1235" s="50"/>
      <c r="M1235" s="43" t="str">
        <f aca="false">IF(OR($L1235="",$F1235=""),"",IFERROR($L1235/INDEX(Cadastro!$E$6:$E$8,MATCH($F1235,Cadastro!$B$6:$B$8,0)),""))</f>
        <v/>
      </c>
      <c r="N1235" s="43" t="str">
        <f aca="false">IF(OR($L1235="",$I1235="",$I1235=0),"",$L1235/$I1235)</f>
        <v/>
      </c>
      <c r="O1235" s="51"/>
    </row>
    <row r="1236" customFormat="false" ht="15" hidden="false" customHeight="false" outlineLevel="0" collapsed="false">
      <c r="A1236" s="45"/>
      <c r="B1236" s="37" t="str">
        <f aca="false">IF($A1236="","",WEEKNUM($A1236,2))</f>
        <v/>
      </c>
      <c r="C1236" s="37" t="str">
        <f aca="false">IF($A1236="","",CHOOSE(WEEKDAY($A1236,2),"Seg","Ter","Qua","Qui","Sex","Sáb","Dom"))</f>
        <v/>
      </c>
      <c r="D1236" s="46"/>
      <c r="E1236" s="47"/>
      <c r="F1236" s="47"/>
      <c r="G1236" s="48"/>
      <c r="H1236" s="49"/>
      <c r="I1236" s="50"/>
      <c r="J1236" s="48"/>
      <c r="K1236" s="49"/>
      <c r="L1236" s="50"/>
      <c r="M1236" s="43" t="str">
        <f aca="false">IF(OR($L1236="",$F1236=""),"",IFERROR($L1236/INDEX(Cadastro!$E$6:$E$8,MATCH($F1236,Cadastro!$B$6:$B$8,0)),""))</f>
        <v/>
      </c>
      <c r="N1236" s="43" t="str">
        <f aca="false">IF(OR($L1236="",$I1236="",$I1236=0),"",$L1236/$I1236)</f>
        <v/>
      </c>
      <c r="O1236" s="51"/>
    </row>
    <row r="1237" customFormat="false" ht="15" hidden="false" customHeight="false" outlineLevel="0" collapsed="false">
      <c r="A1237" s="45"/>
      <c r="B1237" s="37" t="str">
        <f aca="false">IF($A1237="","",WEEKNUM($A1237,2))</f>
        <v/>
      </c>
      <c r="C1237" s="37" t="str">
        <f aca="false">IF($A1237="","",CHOOSE(WEEKDAY($A1237,2),"Seg","Ter","Qua","Qui","Sex","Sáb","Dom"))</f>
        <v/>
      </c>
      <c r="D1237" s="46"/>
      <c r="E1237" s="47"/>
      <c r="F1237" s="47"/>
      <c r="G1237" s="48"/>
      <c r="H1237" s="49"/>
      <c r="I1237" s="50"/>
      <c r="J1237" s="48"/>
      <c r="K1237" s="49"/>
      <c r="L1237" s="50"/>
      <c r="M1237" s="43" t="str">
        <f aca="false">IF(OR($L1237="",$F1237=""),"",IFERROR($L1237/INDEX(Cadastro!$E$6:$E$8,MATCH($F1237,Cadastro!$B$6:$B$8,0)),""))</f>
        <v/>
      </c>
      <c r="N1237" s="43" t="str">
        <f aca="false">IF(OR($L1237="",$I1237="",$I1237=0),"",$L1237/$I1237)</f>
        <v/>
      </c>
      <c r="O1237" s="51"/>
    </row>
    <row r="1238" customFormat="false" ht="15" hidden="false" customHeight="false" outlineLevel="0" collapsed="false">
      <c r="A1238" s="45"/>
      <c r="B1238" s="37" t="str">
        <f aca="false">IF($A1238="","",WEEKNUM($A1238,2))</f>
        <v/>
      </c>
      <c r="C1238" s="37" t="str">
        <f aca="false">IF($A1238="","",CHOOSE(WEEKDAY($A1238,2),"Seg","Ter","Qua","Qui","Sex","Sáb","Dom"))</f>
        <v/>
      </c>
      <c r="D1238" s="46"/>
      <c r="E1238" s="47"/>
      <c r="F1238" s="47"/>
      <c r="G1238" s="48"/>
      <c r="H1238" s="49"/>
      <c r="I1238" s="50"/>
      <c r="J1238" s="48"/>
      <c r="K1238" s="49"/>
      <c r="L1238" s="50"/>
      <c r="M1238" s="43" t="str">
        <f aca="false">IF(OR($L1238="",$F1238=""),"",IFERROR($L1238/INDEX(Cadastro!$E$6:$E$8,MATCH($F1238,Cadastro!$B$6:$B$8,0)),""))</f>
        <v/>
      </c>
      <c r="N1238" s="43" t="str">
        <f aca="false">IF(OR($L1238="",$I1238="",$I1238=0),"",$L1238/$I1238)</f>
        <v/>
      </c>
      <c r="O1238" s="51"/>
    </row>
    <row r="1239" customFormat="false" ht="15" hidden="false" customHeight="false" outlineLevel="0" collapsed="false">
      <c r="A1239" s="45"/>
      <c r="B1239" s="37" t="str">
        <f aca="false">IF($A1239="","",WEEKNUM($A1239,2))</f>
        <v/>
      </c>
      <c r="C1239" s="37" t="str">
        <f aca="false">IF($A1239="","",CHOOSE(WEEKDAY($A1239,2),"Seg","Ter","Qua","Qui","Sex","Sáb","Dom"))</f>
        <v/>
      </c>
      <c r="D1239" s="46"/>
      <c r="E1239" s="47"/>
      <c r="F1239" s="47"/>
      <c r="G1239" s="48"/>
      <c r="H1239" s="49"/>
      <c r="I1239" s="50"/>
      <c r="J1239" s="48"/>
      <c r="K1239" s="49"/>
      <c r="L1239" s="50"/>
      <c r="M1239" s="43" t="str">
        <f aca="false">IF(OR($L1239="",$F1239=""),"",IFERROR($L1239/INDEX(Cadastro!$E$6:$E$8,MATCH($F1239,Cadastro!$B$6:$B$8,0)),""))</f>
        <v/>
      </c>
      <c r="N1239" s="43" t="str">
        <f aca="false">IF(OR($L1239="",$I1239="",$I1239=0),"",$L1239/$I1239)</f>
        <v/>
      </c>
      <c r="O1239" s="51"/>
    </row>
    <row r="1240" customFormat="false" ht="15" hidden="false" customHeight="false" outlineLevel="0" collapsed="false">
      <c r="A1240" s="45"/>
      <c r="B1240" s="37" t="str">
        <f aca="false">IF($A1240="","",WEEKNUM($A1240,2))</f>
        <v/>
      </c>
      <c r="C1240" s="37" t="str">
        <f aca="false">IF($A1240="","",CHOOSE(WEEKDAY($A1240,2),"Seg","Ter","Qua","Qui","Sex","Sáb","Dom"))</f>
        <v/>
      </c>
      <c r="D1240" s="46"/>
      <c r="E1240" s="47"/>
      <c r="F1240" s="47"/>
      <c r="G1240" s="48"/>
      <c r="H1240" s="49"/>
      <c r="I1240" s="50"/>
      <c r="J1240" s="48"/>
      <c r="K1240" s="49"/>
      <c r="L1240" s="50"/>
      <c r="M1240" s="43" t="str">
        <f aca="false">IF(OR($L1240="",$F1240=""),"",IFERROR($L1240/INDEX(Cadastro!$E$6:$E$8,MATCH($F1240,Cadastro!$B$6:$B$8,0)),""))</f>
        <v/>
      </c>
      <c r="N1240" s="43" t="str">
        <f aca="false">IF(OR($L1240="",$I1240="",$I1240=0),"",$L1240/$I1240)</f>
        <v/>
      </c>
      <c r="O1240" s="51"/>
    </row>
    <row r="1241" customFormat="false" ht="15" hidden="false" customHeight="false" outlineLevel="0" collapsed="false">
      <c r="A1241" s="45"/>
      <c r="B1241" s="37" t="str">
        <f aca="false">IF($A1241="","",WEEKNUM($A1241,2))</f>
        <v/>
      </c>
      <c r="C1241" s="37" t="str">
        <f aca="false">IF($A1241="","",CHOOSE(WEEKDAY($A1241,2),"Seg","Ter","Qua","Qui","Sex","Sáb","Dom"))</f>
        <v/>
      </c>
      <c r="D1241" s="46"/>
      <c r="E1241" s="47"/>
      <c r="F1241" s="47"/>
      <c r="G1241" s="48"/>
      <c r="H1241" s="49"/>
      <c r="I1241" s="50"/>
      <c r="J1241" s="48"/>
      <c r="K1241" s="49"/>
      <c r="L1241" s="50"/>
      <c r="M1241" s="43" t="str">
        <f aca="false">IF(OR($L1241="",$F1241=""),"",IFERROR($L1241/INDEX(Cadastro!$E$6:$E$8,MATCH($F1241,Cadastro!$B$6:$B$8,0)),""))</f>
        <v/>
      </c>
      <c r="N1241" s="43" t="str">
        <f aca="false">IF(OR($L1241="",$I1241="",$I1241=0),"",$L1241/$I1241)</f>
        <v/>
      </c>
      <c r="O1241" s="51"/>
    </row>
    <row r="1242" customFormat="false" ht="15" hidden="false" customHeight="false" outlineLevel="0" collapsed="false">
      <c r="A1242" s="45"/>
      <c r="B1242" s="37" t="str">
        <f aca="false">IF($A1242="","",WEEKNUM($A1242,2))</f>
        <v/>
      </c>
      <c r="C1242" s="37" t="str">
        <f aca="false">IF($A1242="","",CHOOSE(WEEKDAY($A1242,2),"Seg","Ter","Qua","Qui","Sex","Sáb","Dom"))</f>
        <v/>
      </c>
      <c r="D1242" s="46"/>
      <c r="E1242" s="47"/>
      <c r="F1242" s="47"/>
      <c r="G1242" s="48"/>
      <c r="H1242" s="49"/>
      <c r="I1242" s="50"/>
      <c r="J1242" s="48"/>
      <c r="K1242" s="49"/>
      <c r="L1242" s="50"/>
      <c r="M1242" s="43" t="str">
        <f aca="false">IF(OR($L1242="",$F1242=""),"",IFERROR($L1242/INDEX(Cadastro!$E$6:$E$8,MATCH($F1242,Cadastro!$B$6:$B$8,0)),""))</f>
        <v/>
      </c>
      <c r="N1242" s="43" t="str">
        <f aca="false">IF(OR($L1242="",$I1242="",$I1242=0),"",$L1242/$I1242)</f>
        <v/>
      </c>
      <c r="O1242" s="51"/>
    </row>
    <row r="1243" customFormat="false" ht="15" hidden="false" customHeight="false" outlineLevel="0" collapsed="false">
      <c r="A1243" s="45"/>
      <c r="B1243" s="37" t="str">
        <f aca="false">IF($A1243="","",WEEKNUM($A1243,2))</f>
        <v/>
      </c>
      <c r="C1243" s="37" t="str">
        <f aca="false">IF($A1243="","",CHOOSE(WEEKDAY($A1243,2),"Seg","Ter","Qua","Qui","Sex","Sáb","Dom"))</f>
        <v/>
      </c>
      <c r="D1243" s="46"/>
      <c r="E1243" s="47"/>
      <c r="F1243" s="47"/>
      <c r="G1243" s="48"/>
      <c r="H1243" s="49"/>
      <c r="I1243" s="50"/>
      <c r="J1243" s="48"/>
      <c r="K1243" s="49"/>
      <c r="L1243" s="50"/>
      <c r="M1243" s="43" t="str">
        <f aca="false">IF(OR($L1243="",$F1243=""),"",IFERROR($L1243/INDEX(Cadastro!$E$6:$E$8,MATCH($F1243,Cadastro!$B$6:$B$8,0)),""))</f>
        <v/>
      </c>
      <c r="N1243" s="43" t="str">
        <f aca="false">IF(OR($L1243="",$I1243="",$I1243=0),"",$L1243/$I1243)</f>
        <v/>
      </c>
      <c r="O1243" s="51"/>
    </row>
    <row r="1244" customFormat="false" ht="15" hidden="false" customHeight="false" outlineLevel="0" collapsed="false">
      <c r="A1244" s="45"/>
      <c r="B1244" s="37" t="str">
        <f aca="false">IF($A1244="","",WEEKNUM($A1244,2))</f>
        <v/>
      </c>
      <c r="C1244" s="37" t="str">
        <f aca="false">IF($A1244="","",CHOOSE(WEEKDAY($A1244,2),"Seg","Ter","Qua","Qui","Sex","Sáb","Dom"))</f>
        <v/>
      </c>
      <c r="D1244" s="46"/>
      <c r="E1244" s="47"/>
      <c r="F1244" s="47"/>
      <c r="G1244" s="48"/>
      <c r="H1244" s="49"/>
      <c r="I1244" s="50"/>
      <c r="J1244" s="48"/>
      <c r="K1244" s="49"/>
      <c r="L1244" s="50"/>
      <c r="M1244" s="43" t="str">
        <f aca="false">IF(OR($L1244="",$F1244=""),"",IFERROR($L1244/INDEX(Cadastro!$E$6:$E$8,MATCH($F1244,Cadastro!$B$6:$B$8,0)),""))</f>
        <v/>
      </c>
      <c r="N1244" s="43" t="str">
        <f aca="false">IF(OR($L1244="",$I1244="",$I1244=0),"",$L1244/$I1244)</f>
        <v/>
      </c>
      <c r="O1244" s="51"/>
    </row>
    <row r="1245" customFormat="false" ht="15" hidden="false" customHeight="false" outlineLevel="0" collapsed="false">
      <c r="A1245" s="45"/>
      <c r="B1245" s="37" t="str">
        <f aca="false">IF($A1245="","",WEEKNUM($A1245,2))</f>
        <v/>
      </c>
      <c r="C1245" s="37" t="str">
        <f aca="false">IF($A1245="","",CHOOSE(WEEKDAY($A1245,2),"Seg","Ter","Qua","Qui","Sex","Sáb","Dom"))</f>
        <v/>
      </c>
      <c r="D1245" s="46"/>
      <c r="E1245" s="47"/>
      <c r="F1245" s="47"/>
      <c r="G1245" s="48"/>
      <c r="H1245" s="49"/>
      <c r="I1245" s="50"/>
      <c r="J1245" s="48"/>
      <c r="K1245" s="49"/>
      <c r="L1245" s="50"/>
      <c r="M1245" s="43" t="str">
        <f aca="false">IF(OR($L1245="",$F1245=""),"",IFERROR($L1245/INDEX(Cadastro!$E$6:$E$8,MATCH($F1245,Cadastro!$B$6:$B$8,0)),""))</f>
        <v/>
      </c>
      <c r="N1245" s="43" t="str">
        <f aca="false">IF(OR($L1245="",$I1245="",$I1245=0),"",$L1245/$I1245)</f>
        <v/>
      </c>
      <c r="O1245" s="51"/>
    </row>
    <row r="1246" customFormat="false" ht="15" hidden="false" customHeight="false" outlineLevel="0" collapsed="false">
      <c r="A1246" s="45"/>
      <c r="B1246" s="37" t="str">
        <f aca="false">IF($A1246="","",WEEKNUM($A1246,2))</f>
        <v/>
      </c>
      <c r="C1246" s="37" t="str">
        <f aca="false">IF($A1246="","",CHOOSE(WEEKDAY($A1246,2),"Seg","Ter","Qua","Qui","Sex","Sáb","Dom"))</f>
        <v/>
      </c>
      <c r="D1246" s="46"/>
      <c r="E1246" s="47"/>
      <c r="F1246" s="47"/>
      <c r="G1246" s="48"/>
      <c r="H1246" s="49"/>
      <c r="I1246" s="50"/>
      <c r="J1246" s="48"/>
      <c r="K1246" s="49"/>
      <c r="L1246" s="50"/>
      <c r="M1246" s="43" t="str">
        <f aca="false">IF(OR($L1246="",$F1246=""),"",IFERROR($L1246/INDEX(Cadastro!$E$6:$E$8,MATCH($F1246,Cadastro!$B$6:$B$8,0)),""))</f>
        <v/>
      </c>
      <c r="N1246" s="43" t="str">
        <f aca="false">IF(OR($L1246="",$I1246="",$I1246=0),"",$L1246/$I1246)</f>
        <v/>
      </c>
      <c r="O1246" s="51"/>
    </row>
    <row r="1247" customFormat="false" ht="15" hidden="false" customHeight="false" outlineLevel="0" collapsed="false">
      <c r="A1247" s="45"/>
      <c r="B1247" s="37" t="str">
        <f aca="false">IF($A1247="","",WEEKNUM($A1247,2))</f>
        <v/>
      </c>
      <c r="C1247" s="37" t="str">
        <f aca="false">IF($A1247="","",CHOOSE(WEEKDAY($A1247,2),"Seg","Ter","Qua","Qui","Sex","Sáb","Dom"))</f>
        <v/>
      </c>
      <c r="D1247" s="46"/>
      <c r="E1247" s="47"/>
      <c r="F1247" s="47"/>
      <c r="G1247" s="48"/>
      <c r="H1247" s="49"/>
      <c r="I1247" s="50"/>
      <c r="J1247" s="48"/>
      <c r="K1247" s="49"/>
      <c r="L1247" s="50"/>
      <c r="M1247" s="43" t="str">
        <f aca="false">IF(OR($L1247="",$F1247=""),"",IFERROR($L1247/INDEX(Cadastro!$E$6:$E$8,MATCH($F1247,Cadastro!$B$6:$B$8,0)),""))</f>
        <v/>
      </c>
      <c r="N1247" s="43" t="str">
        <f aca="false">IF(OR($L1247="",$I1247="",$I1247=0),"",$L1247/$I1247)</f>
        <v/>
      </c>
      <c r="O1247" s="51"/>
    </row>
    <row r="1248" customFormat="false" ht="15" hidden="false" customHeight="false" outlineLevel="0" collapsed="false">
      <c r="A1248" s="45"/>
      <c r="B1248" s="37" t="str">
        <f aca="false">IF($A1248="","",WEEKNUM($A1248,2))</f>
        <v/>
      </c>
      <c r="C1248" s="37" t="str">
        <f aca="false">IF($A1248="","",CHOOSE(WEEKDAY($A1248,2),"Seg","Ter","Qua","Qui","Sex","Sáb","Dom"))</f>
        <v/>
      </c>
      <c r="D1248" s="46"/>
      <c r="E1248" s="47"/>
      <c r="F1248" s="47"/>
      <c r="G1248" s="48"/>
      <c r="H1248" s="49"/>
      <c r="I1248" s="50"/>
      <c r="J1248" s="48"/>
      <c r="K1248" s="49"/>
      <c r="L1248" s="50"/>
      <c r="M1248" s="43" t="str">
        <f aca="false">IF(OR($L1248="",$F1248=""),"",IFERROR($L1248/INDEX(Cadastro!$E$6:$E$8,MATCH($F1248,Cadastro!$B$6:$B$8,0)),""))</f>
        <v/>
      </c>
      <c r="N1248" s="43" t="str">
        <f aca="false">IF(OR($L1248="",$I1248="",$I1248=0),"",$L1248/$I1248)</f>
        <v/>
      </c>
      <c r="O1248" s="51"/>
    </row>
    <row r="1249" customFormat="false" ht="15" hidden="false" customHeight="false" outlineLevel="0" collapsed="false">
      <c r="A1249" s="45"/>
      <c r="B1249" s="37" t="str">
        <f aca="false">IF($A1249="","",WEEKNUM($A1249,2))</f>
        <v/>
      </c>
      <c r="C1249" s="37" t="str">
        <f aca="false">IF($A1249="","",CHOOSE(WEEKDAY($A1249,2),"Seg","Ter","Qua","Qui","Sex","Sáb","Dom"))</f>
        <v/>
      </c>
      <c r="D1249" s="46"/>
      <c r="E1249" s="47"/>
      <c r="F1249" s="47"/>
      <c r="G1249" s="48"/>
      <c r="H1249" s="49"/>
      <c r="I1249" s="50"/>
      <c r="J1249" s="48"/>
      <c r="K1249" s="49"/>
      <c r="L1249" s="50"/>
      <c r="M1249" s="43" t="str">
        <f aca="false">IF(OR($L1249="",$F1249=""),"",IFERROR($L1249/INDEX(Cadastro!$E$6:$E$8,MATCH($F1249,Cadastro!$B$6:$B$8,0)),""))</f>
        <v/>
      </c>
      <c r="N1249" s="43" t="str">
        <f aca="false">IF(OR($L1249="",$I1249="",$I1249=0),"",$L1249/$I1249)</f>
        <v/>
      </c>
      <c r="O1249" s="51"/>
    </row>
    <row r="1250" customFormat="false" ht="15" hidden="false" customHeight="false" outlineLevel="0" collapsed="false">
      <c r="A1250" s="45"/>
      <c r="B1250" s="37" t="str">
        <f aca="false">IF($A1250="","",WEEKNUM($A1250,2))</f>
        <v/>
      </c>
      <c r="C1250" s="37" t="str">
        <f aca="false">IF($A1250="","",CHOOSE(WEEKDAY($A1250,2),"Seg","Ter","Qua","Qui","Sex","Sáb","Dom"))</f>
        <v/>
      </c>
      <c r="D1250" s="46"/>
      <c r="E1250" s="47"/>
      <c r="F1250" s="47"/>
      <c r="G1250" s="48"/>
      <c r="H1250" s="49"/>
      <c r="I1250" s="50"/>
      <c r="J1250" s="48"/>
      <c r="K1250" s="49"/>
      <c r="L1250" s="50"/>
      <c r="M1250" s="43" t="str">
        <f aca="false">IF(OR($L1250="",$F1250=""),"",IFERROR($L1250/INDEX(Cadastro!$E$6:$E$8,MATCH($F1250,Cadastro!$B$6:$B$8,0)),""))</f>
        <v/>
      </c>
      <c r="N1250" s="43" t="str">
        <f aca="false">IF(OR($L1250="",$I1250="",$I1250=0),"",$L1250/$I1250)</f>
        <v/>
      </c>
      <c r="O1250" s="51"/>
    </row>
    <row r="1251" customFormat="false" ht="15" hidden="false" customHeight="false" outlineLevel="0" collapsed="false">
      <c r="A1251" s="45"/>
      <c r="B1251" s="37" t="str">
        <f aca="false">IF($A1251="","",WEEKNUM($A1251,2))</f>
        <v/>
      </c>
      <c r="C1251" s="37" t="str">
        <f aca="false">IF($A1251="","",CHOOSE(WEEKDAY($A1251,2),"Seg","Ter","Qua","Qui","Sex","Sáb","Dom"))</f>
        <v/>
      </c>
      <c r="D1251" s="46"/>
      <c r="E1251" s="47"/>
      <c r="F1251" s="47"/>
      <c r="G1251" s="48"/>
      <c r="H1251" s="49"/>
      <c r="I1251" s="50"/>
      <c r="J1251" s="48"/>
      <c r="K1251" s="49"/>
      <c r="L1251" s="50"/>
      <c r="M1251" s="43" t="str">
        <f aca="false">IF(OR($L1251="",$F1251=""),"",IFERROR($L1251/INDEX(Cadastro!$E$6:$E$8,MATCH($F1251,Cadastro!$B$6:$B$8,0)),""))</f>
        <v/>
      </c>
      <c r="N1251" s="43" t="str">
        <f aca="false">IF(OR($L1251="",$I1251="",$I1251=0),"",$L1251/$I1251)</f>
        <v/>
      </c>
      <c r="O1251" s="51"/>
    </row>
    <row r="1252" customFormat="false" ht="15" hidden="false" customHeight="false" outlineLevel="0" collapsed="false">
      <c r="A1252" s="45"/>
      <c r="B1252" s="37" t="str">
        <f aca="false">IF($A1252="","",WEEKNUM($A1252,2))</f>
        <v/>
      </c>
      <c r="C1252" s="37" t="str">
        <f aca="false">IF($A1252="","",CHOOSE(WEEKDAY($A1252,2),"Seg","Ter","Qua","Qui","Sex","Sáb","Dom"))</f>
        <v/>
      </c>
      <c r="D1252" s="46"/>
      <c r="E1252" s="47"/>
      <c r="F1252" s="47"/>
      <c r="G1252" s="48"/>
      <c r="H1252" s="49"/>
      <c r="I1252" s="50"/>
      <c r="J1252" s="48"/>
      <c r="K1252" s="49"/>
      <c r="L1252" s="50"/>
      <c r="M1252" s="43" t="str">
        <f aca="false">IF(OR($L1252="",$F1252=""),"",IFERROR($L1252/INDEX(Cadastro!$E$6:$E$8,MATCH($F1252,Cadastro!$B$6:$B$8,0)),""))</f>
        <v/>
      </c>
      <c r="N1252" s="43" t="str">
        <f aca="false">IF(OR($L1252="",$I1252="",$I1252=0),"",$L1252/$I1252)</f>
        <v/>
      </c>
      <c r="O1252" s="51"/>
    </row>
    <row r="1253" customFormat="false" ht="15" hidden="false" customHeight="false" outlineLevel="0" collapsed="false">
      <c r="A1253" s="45"/>
      <c r="B1253" s="37" t="str">
        <f aca="false">IF($A1253="","",WEEKNUM($A1253,2))</f>
        <v/>
      </c>
      <c r="C1253" s="37" t="str">
        <f aca="false">IF($A1253="","",CHOOSE(WEEKDAY($A1253,2),"Seg","Ter","Qua","Qui","Sex","Sáb","Dom"))</f>
        <v/>
      </c>
      <c r="D1253" s="46"/>
      <c r="E1253" s="47"/>
      <c r="F1253" s="47"/>
      <c r="G1253" s="48"/>
      <c r="H1253" s="49"/>
      <c r="I1253" s="50"/>
      <c r="J1253" s="48"/>
      <c r="K1253" s="49"/>
      <c r="L1253" s="50"/>
      <c r="M1253" s="43" t="str">
        <f aca="false">IF(OR($L1253="",$F1253=""),"",IFERROR($L1253/INDEX(Cadastro!$E$6:$E$8,MATCH($F1253,Cadastro!$B$6:$B$8,0)),""))</f>
        <v/>
      </c>
      <c r="N1253" s="43" t="str">
        <f aca="false">IF(OR($L1253="",$I1253="",$I1253=0),"",$L1253/$I1253)</f>
        <v/>
      </c>
      <c r="O1253" s="51"/>
    </row>
    <row r="1254" customFormat="false" ht="15" hidden="false" customHeight="false" outlineLevel="0" collapsed="false">
      <c r="A1254" s="45"/>
      <c r="B1254" s="37" t="str">
        <f aca="false">IF($A1254="","",WEEKNUM($A1254,2))</f>
        <v/>
      </c>
      <c r="C1254" s="37" t="str">
        <f aca="false">IF($A1254="","",CHOOSE(WEEKDAY($A1254,2),"Seg","Ter","Qua","Qui","Sex","Sáb","Dom"))</f>
        <v/>
      </c>
      <c r="D1254" s="46"/>
      <c r="E1254" s="47"/>
      <c r="F1254" s="47"/>
      <c r="G1254" s="48"/>
      <c r="H1254" s="49"/>
      <c r="I1254" s="50"/>
      <c r="J1254" s="48"/>
      <c r="K1254" s="49"/>
      <c r="L1254" s="50"/>
      <c r="M1254" s="43" t="str">
        <f aca="false">IF(OR($L1254="",$F1254=""),"",IFERROR($L1254/INDEX(Cadastro!$E$6:$E$8,MATCH($F1254,Cadastro!$B$6:$B$8,0)),""))</f>
        <v/>
      </c>
      <c r="N1254" s="43" t="str">
        <f aca="false">IF(OR($L1254="",$I1254="",$I1254=0),"",$L1254/$I1254)</f>
        <v/>
      </c>
      <c r="O1254" s="51"/>
    </row>
    <row r="1255" customFormat="false" ht="15" hidden="false" customHeight="false" outlineLevel="0" collapsed="false">
      <c r="A1255" s="45"/>
      <c r="B1255" s="37" t="str">
        <f aca="false">IF($A1255="","",WEEKNUM($A1255,2))</f>
        <v/>
      </c>
      <c r="C1255" s="37" t="str">
        <f aca="false">IF($A1255="","",CHOOSE(WEEKDAY($A1255,2),"Seg","Ter","Qua","Qui","Sex","Sáb","Dom"))</f>
        <v/>
      </c>
      <c r="D1255" s="46"/>
      <c r="E1255" s="47"/>
      <c r="F1255" s="47"/>
      <c r="G1255" s="48"/>
      <c r="H1255" s="49"/>
      <c r="I1255" s="50"/>
      <c r="J1255" s="48"/>
      <c r="K1255" s="49"/>
      <c r="L1255" s="50"/>
      <c r="M1255" s="43" t="str">
        <f aca="false">IF(OR($L1255="",$F1255=""),"",IFERROR($L1255/INDEX(Cadastro!$E$6:$E$8,MATCH($F1255,Cadastro!$B$6:$B$8,0)),""))</f>
        <v/>
      </c>
      <c r="N1255" s="43" t="str">
        <f aca="false">IF(OR($L1255="",$I1255="",$I1255=0),"",$L1255/$I1255)</f>
        <v/>
      </c>
      <c r="O1255" s="51"/>
    </row>
    <row r="1256" customFormat="false" ht="15" hidden="false" customHeight="false" outlineLevel="0" collapsed="false">
      <c r="A1256" s="45"/>
      <c r="B1256" s="37" t="str">
        <f aca="false">IF($A1256="","",WEEKNUM($A1256,2))</f>
        <v/>
      </c>
      <c r="C1256" s="37" t="str">
        <f aca="false">IF($A1256="","",CHOOSE(WEEKDAY($A1256,2),"Seg","Ter","Qua","Qui","Sex","Sáb","Dom"))</f>
        <v/>
      </c>
      <c r="D1256" s="46"/>
      <c r="E1256" s="47"/>
      <c r="F1256" s="47"/>
      <c r="G1256" s="48"/>
      <c r="H1256" s="49"/>
      <c r="I1256" s="50"/>
      <c r="J1256" s="48"/>
      <c r="K1256" s="49"/>
      <c r="L1256" s="50"/>
      <c r="M1256" s="43" t="str">
        <f aca="false">IF(OR($L1256="",$F1256=""),"",IFERROR($L1256/INDEX(Cadastro!$E$6:$E$8,MATCH($F1256,Cadastro!$B$6:$B$8,0)),""))</f>
        <v/>
      </c>
      <c r="N1256" s="43" t="str">
        <f aca="false">IF(OR($L1256="",$I1256="",$I1256=0),"",$L1256/$I1256)</f>
        <v/>
      </c>
      <c r="O1256" s="51"/>
    </row>
    <row r="1257" customFormat="false" ht="15" hidden="false" customHeight="false" outlineLevel="0" collapsed="false">
      <c r="A1257" s="45"/>
      <c r="B1257" s="37" t="str">
        <f aca="false">IF($A1257="","",WEEKNUM($A1257,2))</f>
        <v/>
      </c>
      <c r="C1257" s="37" t="str">
        <f aca="false">IF($A1257="","",CHOOSE(WEEKDAY($A1257,2),"Seg","Ter","Qua","Qui","Sex","Sáb","Dom"))</f>
        <v/>
      </c>
      <c r="D1257" s="46"/>
      <c r="E1257" s="47"/>
      <c r="F1257" s="47"/>
      <c r="G1257" s="48"/>
      <c r="H1257" s="49"/>
      <c r="I1257" s="50"/>
      <c r="J1257" s="48"/>
      <c r="K1257" s="49"/>
      <c r="L1257" s="50"/>
      <c r="M1257" s="43" t="str">
        <f aca="false">IF(OR($L1257="",$F1257=""),"",IFERROR($L1257/INDEX(Cadastro!$E$6:$E$8,MATCH($F1257,Cadastro!$B$6:$B$8,0)),""))</f>
        <v/>
      </c>
      <c r="N1257" s="43" t="str">
        <f aca="false">IF(OR($L1257="",$I1257="",$I1257=0),"",$L1257/$I1257)</f>
        <v/>
      </c>
      <c r="O1257" s="51"/>
    </row>
    <row r="1258" customFormat="false" ht="15" hidden="false" customHeight="false" outlineLevel="0" collapsed="false">
      <c r="A1258" s="45"/>
      <c r="B1258" s="37" t="str">
        <f aca="false">IF($A1258="","",WEEKNUM($A1258,2))</f>
        <v/>
      </c>
      <c r="C1258" s="37" t="str">
        <f aca="false">IF($A1258="","",CHOOSE(WEEKDAY($A1258,2),"Seg","Ter","Qua","Qui","Sex","Sáb","Dom"))</f>
        <v/>
      </c>
      <c r="D1258" s="46"/>
      <c r="E1258" s="47"/>
      <c r="F1258" s="47"/>
      <c r="G1258" s="48"/>
      <c r="H1258" s="49"/>
      <c r="I1258" s="50"/>
      <c r="J1258" s="48"/>
      <c r="K1258" s="49"/>
      <c r="L1258" s="50"/>
      <c r="M1258" s="43" t="str">
        <f aca="false">IF(OR($L1258="",$F1258=""),"",IFERROR($L1258/INDEX(Cadastro!$E$6:$E$8,MATCH($F1258,Cadastro!$B$6:$B$8,0)),""))</f>
        <v/>
      </c>
      <c r="N1258" s="43" t="str">
        <f aca="false">IF(OR($L1258="",$I1258="",$I1258=0),"",$L1258/$I1258)</f>
        <v/>
      </c>
      <c r="O1258" s="51"/>
    </row>
    <row r="1259" customFormat="false" ht="15" hidden="false" customHeight="false" outlineLevel="0" collapsed="false">
      <c r="A1259" s="45"/>
      <c r="B1259" s="37" t="str">
        <f aca="false">IF($A1259="","",WEEKNUM($A1259,2))</f>
        <v/>
      </c>
      <c r="C1259" s="37" t="str">
        <f aca="false">IF($A1259="","",CHOOSE(WEEKDAY($A1259,2),"Seg","Ter","Qua","Qui","Sex","Sáb","Dom"))</f>
        <v/>
      </c>
      <c r="D1259" s="46"/>
      <c r="E1259" s="47"/>
      <c r="F1259" s="47"/>
      <c r="G1259" s="48"/>
      <c r="H1259" s="49"/>
      <c r="I1259" s="50"/>
      <c r="J1259" s="48"/>
      <c r="K1259" s="49"/>
      <c r="L1259" s="50"/>
      <c r="M1259" s="43" t="str">
        <f aca="false">IF(OR($L1259="",$F1259=""),"",IFERROR($L1259/INDEX(Cadastro!$E$6:$E$8,MATCH($F1259,Cadastro!$B$6:$B$8,0)),""))</f>
        <v/>
      </c>
      <c r="N1259" s="43" t="str">
        <f aca="false">IF(OR($L1259="",$I1259="",$I1259=0),"",$L1259/$I1259)</f>
        <v/>
      </c>
      <c r="O1259" s="51"/>
    </row>
    <row r="1260" customFormat="false" ht="15" hidden="false" customHeight="false" outlineLevel="0" collapsed="false">
      <c r="A1260" s="45"/>
      <c r="B1260" s="37" t="str">
        <f aca="false">IF($A1260="","",WEEKNUM($A1260,2))</f>
        <v/>
      </c>
      <c r="C1260" s="37" t="str">
        <f aca="false">IF($A1260="","",CHOOSE(WEEKDAY($A1260,2),"Seg","Ter","Qua","Qui","Sex","Sáb","Dom"))</f>
        <v/>
      </c>
      <c r="D1260" s="46"/>
      <c r="E1260" s="47"/>
      <c r="F1260" s="47"/>
      <c r="G1260" s="48"/>
      <c r="H1260" s="49"/>
      <c r="I1260" s="50"/>
      <c r="J1260" s="48"/>
      <c r="K1260" s="49"/>
      <c r="L1260" s="50"/>
      <c r="M1260" s="43" t="str">
        <f aca="false">IF(OR($L1260="",$F1260=""),"",IFERROR($L1260/INDEX(Cadastro!$E$6:$E$8,MATCH($F1260,Cadastro!$B$6:$B$8,0)),""))</f>
        <v/>
      </c>
      <c r="N1260" s="43" t="str">
        <f aca="false">IF(OR($L1260="",$I1260="",$I1260=0),"",$L1260/$I1260)</f>
        <v/>
      </c>
      <c r="O1260" s="51"/>
    </row>
    <row r="1261" customFormat="false" ht="15" hidden="false" customHeight="false" outlineLevel="0" collapsed="false">
      <c r="A1261" s="45"/>
      <c r="B1261" s="37" t="str">
        <f aca="false">IF($A1261="","",WEEKNUM($A1261,2))</f>
        <v/>
      </c>
      <c r="C1261" s="37" t="str">
        <f aca="false">IF($A1261="","",CHOOSE(WEEKDAY($A1261,2),"Seg","Ter","Qua","Qui","Sex","Sáb","Dom"))</f>
        <v/>
      </c>
      <c r="D1261" s="46"/>
      <c r="E1261" s="47"/>
      <c r="F1261" s="47"/>
      <c r="G1261" s="48"/>
      <c r="H1261" s="49"/>
      <c r="I1261" s="50"/>
      <c r="J1261" s="48"/>
      <c r="K1261" s="49"/>
      <c r="L1261" s="50"/>
      <c r="M1261" s="43" t="str">
        <f aca="false">IF(OR($L1261="",$F1261=""),"",IFERROR($L1261/INDEX(Cadastro!$E$6:$E$8,MATCH($F1261,Cadastro!$B$6:$B$8,0)),""))</f>
        <v/>
      </c>
      <c r="N1261" s="43" t="str">
        <f aca="false">IF(OR($L1261="",$I1261="",$I1261=0),"",$L1261/$I1261)</f>
        <v/>
      </c>
      <c r="O1261" s="51"/>
    </row>
    <row r="1262" customFormat="false" ht="15" hidden="false" customHeight="false" outlineLevel="0" collapsed="false">
      <c r="A1262" s="45"/>
      <c r="B1262" s="37" t="str">
        <f aca="false">IF($A1262="","",WEEKNUM($A1262,2))</f>
        <v/>
      </c>
      <c r="C1262" s="37" t="str">
        <f aca="false">IF($A1262="","",CHOOSE(WEEKDAY($A1262,2),"Seg","Ter","Qua","Qui","Sex","Sáb","Dom"))</f>
        <v/>
      </c>
      <c r="D1262" s="46"/>
      <c r="E1262" s="47"/>
      <c r="F1262" s="47"/>
      <c r="G1262" s="48"/>
      <c r="H1262" s="49"/>
      <c r="I1262" s="50"/>
      <c r="J1262" s="48"/>
      <c r="K1262" s="49"/>
      <c r="L1262" s="50"/>
      <c r="M1262" s="43" t="str">
        <f aca="false">IF(OR($L1262="",$F1262=""),"",IFERROR($L1262/INDEX(Cadastro!$E$6:$E$8,MATCH($F1262,Cadastro!$B$6:$B$8,0)),""))</f>
        <v/>
      </c>
      <c r="N1262" s="43" t="str">
        <f aca="false">IF(OR($L1262="",$I1262="",$I1262=0),"",$L1262/$I1262)</f>
        <v/>
      </c>
      <c r="O1262" s="51"/>
    </row>
    <row r="1263" customFormat="false" ht="15" hidden="false" customHeight="false" outlineLevel="0" collapsed="false">
      <c r="A1263" s="45"/>
      <c r="B1263" s="37" t="str">
        <f aca="false">IF($A1263="","",WEEKNUM($A1263,2))</f>
        <v/>
      </c>
      <c r="C1263" s="37" t="str">
        <f aca="false">IF($A1263="","",CHOOSE(WEEKDAY($A1263,2),"Seg","Ter","Qua","Qui","Sex","Sáb","Dom"))</f>
        <v/>
      </c>
      <c r="D1263" s="46"/>
      <c r="E1263" s="47"/>
      <c r="F1263" s="47"/>
      <c r="G1263" s="48"/>
      <c r="H1263" s="49"/>
      <c r="I1263" s="50"/>
      <c r="J1263" s="48"/>
      <c r="K1263" s="49"/>
      <c r="L1263" s="50"/>
      <c r="M1263" s="43" t="str">
        <f aca="false">IF(OR($L1263="",$F1263=""),"",IFERROR($L1263/INDEX(Cadastro!$E$6:$E$8,MATCH($F1263,Cadastro!$B$6:$B$8,0)),""))</f>
        <v/>
      </c>
      <c r="N1263" s="43" t="str">
        <f aca="false">IF(OR($L1263="",$I1263="",$I1263=0),"",$L1263/$I1263)</f>
        <v/>
      </c>
      <c r="O1263" s="51"/>
    </row>
    <row r="1264" customFormat="false" ht="15" hidden="false" customHeight="false" outlineLevel="0" collapsed="false">
      <c r="A1264" s="45"/>
      <c r="B1264" s="37" t="str">
        <f aca="false">IF($A1264="","",WEEKNUM($A1264,2))</f>
        <v/>
      </c>
      <c r="C1264" s="37" t="str">
        <f aca="false">IF($A1264="","",CHOOSE(WEEKDAY($A1264,2),"Seg","Ter","Qua","Qui","Sex","Sáb","Dom"))</f>
        <v/>
      </c>
      <c r="D1264" s="46"/>
      <c r="E1264" s="47"/>
      <c r="F1264" s="47"/>
      <c r="G1264" s="48"/>
      <c r="H1264" s="49"/>
      <c r="I1264" s="50"/>
      <c r="J1264" s="48"/>
      <c r="K1264" s="49"/>
      <c r="L1264" s="50"/>
      <c r="M1264" s="43" t="str">
        <f aca="false">IF(OR($L1264="",$F1264=""),"",IFERROR($L1264/INDEX(Cadastro!$E$6:$E$8,MATCH($F1264,Cadastro!$B$6:$B$8,0)),""))</f>
        <v/>
      </c>
      <c r="N1264" s="43" t="str">
        <f aca="false">IF(OR($L1264="",$I1264="",$I1264=0),"",$L1264/$I1264)</f>
        <v/>
      </c>
      <c r="O1264" s="51"/>
    </row>
    <row r="1265" customFormat="false" ht="15" hidden="false" customHeight="false" outlineLevel="0" collapsed="false">
      <c r="A1265" s="45"/>
      <c r="B1265" s="37" t="str">
        <f aca="false">IF($A1265="","",WEEKNUM($A1265,2))</f>
        <v/>
      </c>
      <c r="C1265" s="37" t="str">
        <f aca="false">IF($A1265="","",CHOOSE(WEEKDAY($A1265,2),"Seg","Ter","Qua","Qui","Sex","Sáb","Dom"))</f>
        <v/>
      </c>
      <c r="D1265" s="46"/>
      <c r="E1265" s="47"/>
      <c r="F1265" s="47"/>
      <c r="G1265" s="48"/>
      <c r="H1265" s="49"/>
      <c r="I1265" s="50"/>
      <c r="J1265" s="48"/>
      <c r="K1265" s="49"/>
      <c r="L1265" s="50"/>
      <c r="M1265" s="43" t="str">
        <f aca="false">IF(OR($L1265="",$F1265=""),"",IFERROR($L1265/INDEX(Cadastro!$E$6:$E$8,MATCH($F1265,Cadastro!$B$6:$B$8,0)),""))</f>
        <v/>
      </c>
      <c r="N1265" s="43" t="str">
        <f aca="false">IF(OR($L1265="",$I1265="",$I1265=0),"",$L1265/$I1265)</f>
        <v/>
      </c>
      <c r="O1265" s="51"/>
    </row>
    <row r="1266" customFormat="false" ht="15" hidden="false" customHeight="false" outlineLevel="0" collapsed="false">
      <c r="A1266" s="45"/>
      <c r="B1266" s="37" t="str">
        <f aca="false">IF($A1266="","",WEEKNUM($A1266,2))</f>
        <v/>
      </c>
      <c r="C1266" s="37" t="str">
        <f aca="false">IF($A1266="","",CHOOSE(WEEKDAY($A1266,2),"Seg","Ter","Qua","Qui","Sex","Sáb","Dom"))</f>
        <v/>
      </c>
      <c r="D1266" s="46"/>
      <c r="E1266" s="47"/>
      <c r="F1266" s="47"/>
      <c r="G1266" s="48"/>
      <c r="H1266" s="49"/>
      <c r="I1266" s="50"/>
      <c r="J1266" s="48"/>
      <c r="K1266" s="49"/>
      <c r="L1266" s="50"/>
      <c r="M1266" s="43" t="str">
        <f aca="false">IF(OR($L1266="",$F1266=""),"",IFERROR($L1266/INDEX(Cadastro!$E$6:$E$8,MATCH($F1266,Cadastro!$B$6:$B$8,0)),""))</f>
        <v/>
      </c>
      <c r="N1266" s="43" t="str">
        <f aca="false">IF(OR($L1266="",$I1266="",$I1266=0),"",$L1266/$I1266)</f>
        <v/>
      </c>
      <c r="O1266" s="51"/>
    </row>
    <row r="1267" customFormat="false" ht="15" hidden="false" customHeight="false" outlineLevel="0" collapsed="false">
      <c r="A1267" s="45"/>
      <c r="B1267" s="37" t="str">
        <f aca="false">IF($A1267="","",WEEKNUM($A1267,2))</f>
        <v/>
      </c>
      <c r="C1267" s="37" t="str">
        <f aca="false">IF($A1267="","",CHOOSE(WEEKDAY($A1267,2),"Seg","Ter","Qua","Qui","Sex","Sáb","Dom"))</f>
        <v/>
      </c>
      <c r="D1267" s="46"/>
      <c r="E1267" s="47"/>
      <c r="F1267" s="47"/>
      <c r="G1267" s="48"/>
      <c r="H1267" s="49"/>
      <c r="I1267" s="50"/>
      <c r="J1267" s="48"/>
      <c r="K1267" s="49"/>
      <c r="L1267" s="50"/>
      <c r="M1267" s="43" t="str">
        <f aca="false">IF(OR($L1267="",$F1267=""),"",IFERROR($L1267/INDEX(Cadastro!$E$6:$E$8,MATCH($F1267,Cadastro!$B$6:$B$8,0)),""))</f>
        <v/>
      </c>
      <c r="N1267" s="43" t="str">
        <f aca="false">IF(OR($L1267="",$I1267="",$I1267=0),"",$L1267/$I1267)</f>
        <v/>
      </c>
      <c r="O1267" s="51"/>
    </row>
    <row r="1268" customFormat="false" ht="15" hidden="false" customHeight="false" outlineLevel="0" collapsed="false">
      <c r="A1268" s="45"/>
      <c r="B1268" s="37" t="str">
        <f aca="false">IF($A1268="","",WEEKNUM($A1268,2))</f>
        <v/>
      </c>
      <c r="C1268" s="37" t="str">
        <f aca="false">IF($A1268="","",CHOOSE(WEEKDAY($A1268,2),"Seg","Ter","Qua","Qui","Sex","Sáb","Dom"))</f>
        <v/>
      </c>
      <c r="D1268" s="46"/>
      <c r="E1268" s="47"/>
      <c r="F1268" s="47"/>
      <c r="G1268" s="48"/>
      <c r="H1268" s="49"/>
      <c r="I1268" s="50"/>
      <c r="J1268" s="48"/>
      <c r="K1268" s="49"/>
      <c r="L1268" s="50"/>
      <c r="M1268" s="43" t="str">
        <f aca="false">IF(OR($L1268="",$F1268=""),"",IFERROR($L1268/INDEX(Cadastro!$E$6:$E$8,MATCH($F1268,Cadastro!$B$6:$B$8,0)),""))</f>
        <v/>
      </c>
      <c r="N1268" s="43" t="str">
        <f aca="false">IF(OR($L1268="",$I1268="",$I1268=0),"",$L1268/$I1268)</f>
        <v/>
      </c>
      <c r="O1268" s="51"/>
    </row>
    <row r="1269" customFormat="false" ht="15" hidden="false" customHeight="false" outlineLevel="0" collapsed="false">
      <c r="A1269" s="45"/>
      <c r="B1269" s="37" t="str">
        <f aca="false">IF($A1269="","",WEEKNUM($A1269,2))</f>
        <v/>
      </c>
      <c r="C1269" s="37" t="str">
        <f aca="false">IF($A1269="","",CHOOSE(WEEKDAY($A1269,2),"Seg","Ter","Qua","Qui","Sex","Sáb","Dom"))</f>
        <v/>
      </c>
      <c r="D1269" s="46"/>
      <c r="E1269" s="47"/>
      <c r="F1269" s="47"/>
      <c r="G1269" s="48"/>
      <c r="H1269" s="49"/>
      <c r="I1269" s="50"/>
      <c r="J1269" s="48"/>
      <c r="K1269" s="49"/>
      <c r="L1269" s="50"/>
      <c r="M1269" s="43" t="str">
        <f aca="false">IF(OR($L1269="",$F1269=""),"",IFERROR($L1269/INDEX(Cadastro!$E$6:$E$8,MATCH($F1269,Cadastro!$B$6:$B$8,0)),""))</f>
        <v/>
      </c>
      <c r="N1269" s="43" t="str">
        <f aca="false">IF(OR($L1269="",$I1269="",$I1269=0),"",$L1269/$I1269)</f>
        <v/>
      </c>
      <c r="O1269" s="51"/>
    </row>
    <row r="1270" customFormat="false" ht="15" hidden="false" customHeight="false" outlineLevel="0" collapsed="false">
      <c r="A1270" s="45"/>
      <c r="B1270" s="37" t="str">
        <f aca="false">IF($A1270="","",WEEKNUM($A1270,2))</f>
        <v/>
      </c>
      <c r="C1270" s="37" t="str">
        <f aca="false">IF($A1270="","",CHOOSE(WEEKDAY($A1270,2),"Seg","Ter","Qua","Qui","Sex","Sáb","Dom"))</f>
        <v/>
      </c>
      <c r="D1270" s="46"/>
      <c r="E1270" s="47"/>
      <c r="F1270" s="47"/>
      <c r="G1270" s="48"/>
      <c r="H1270" s="49"/>
      <c r="I1270" s="50"/>
      <c r="J1270" s="48"/>
      <c r="K1270" s="49"/>
      <c r="L1270" s="50"/>
      <c r="M1270" s="43" t="str">
        <f aca="false">IF(OR($L1270="",$F1270=""),"",IFERROR($L1270/INDEX(Cadastro!$E$6:$E$8,MATCH($F1270,Cadastro!$B$6:$B$8,0)),""))</f>
        <v/>
      </c>
      <c r="N1270" s="43" t="str">
        <f aca="false">IF(OR($L1270="",$I1270="",$I1270=0),"",$L1270/$I1270)</f>
        <v/>
      </c>
      <c r="O1270" s="51"/>
    </row>
    <row r="1271" customFormat="false" ht="15" hidden="false" customHeight="false" outlineLevel="0" collapsed="false">
      <c r="A1271" s="45"/>
      <c r="B1271" s="37" t="str">
        <f aca="false">IF($A1271="","",WEEKNUM($A1271,2))</f>
        <v/>
      </c>
      <c r="C1271" s="37" t="str">
        <f aca="false">IF($A1271="","",CHOOSE(WEEKDAY($A1271,2),"Seg","Ter","Qua","Qui","Sex","Sáb","Dom"))</f>
        <v/>
      </c>
      <c r="D1271" s="46"/>
      <c r="E1271" s="47"/>
      <c r="F1271" s="47"/>
      <c r="G1271" s="48"/>
      <c r="H1271" s="49"/>
      <c r="I1271" s="50"/>
      <c r="J1271" s="48"/>
      <c r="K1271" s="49"/>
      <c r="L1271" s="50"/>
      <c r="M1271" s="43" t="str">
        <f aca="false">IF(OR($L1271="",$F1271=""),"",IFERROR($L1271/INDEX(Cadastro!$E$6:$E$8,MATCH($F1271,Cadastro!$B$6:$B$8,0)),""))</f>
        <v/>
      </c>
      <c r="N1271" s="43" t="str">
        <f aca="false">IF(OR($L1271="",$I1271="",$I1271=0),"",$L1271/$I1271)</f>
        <v/>
      </c>
      <c r="O1271" s="51"/>
    </row>
    <row r="1272" customFormat="false" ht="15" hidden="false" customHeight="false" outlineLevel="0" collapsed="false">
      <c r="A1272" s="45"/>
      <c r="B1272" s="37" t="str">
        <f aca="false">IF($A1272="","",WEEKNUM($A1272,2))</f>
        <v/>
      </c>
      <c r="C1272" s="37" t="str">
        <f aca="false">IF($A1272="","",CHOOSE(WEEKDAY($A1272,2),"Seg","Ter","Qua","Qui","Sex","Sáb","Dom"))</f>
        <v/>
      </c>
      <c r="D1272" s="46"/>
      <c r="E1272" s="47"/>
      <c r="F1272" s="47"/>
      <c r="G1272" s="48"/>
      <c r="H1272" s="49"/>
      <c r="I1272" s="50"/>
      <c r="J1272" s="48"/>
      <c r="K1272" s="49"/>
      <c r="L1272" s="50"/>
      <c r="M1272" s="43" t="str">
        <f aca="false">IF(OR($L1272="",$F1272=""),"",IFERROR($L1272/INDEX(Cadastro!$E$6:$E$8,MATCH($F1272,Cadastro!$B$6:$B$8,0)),""))</f>
        <v/>
      </c>
      <c r="N1272" s="43" t="str">
        <f aca="false">IF(OR($L1272="",$I1272="",$I1272=0),"",$L1272/$I1272)</f>
        <v/>
      </c>
      <c r="O1272" s="51"/>
    </row>
    <row r="1273" customFormat="false" ht="15" hidden="false" customHeight="false" outlineLevel="0" collapsed="false">
      <c r="A1273" s="45"/>
      <c r="B1273" s="37" t="str">
        <f aca="false">IF($A1273="","",WEEKNUM($A1273,2))</f>
        <v/>
      </c>
      <c r="C1273" s="37" t="str">
        <f aca="false">IF($A1273="","",CHOOSE(WEEKDAY($A1273,2),"Seg","Ter","Qua","Qui","Sex","Sáb","Dom"))</f>
        <v/>
      </c>
      <c r="D1273" s="46"/>
      <c r="E1273" s="47"/>
      <c r="F1273" s="47"/>
      <c r="G1273" s="48"/>
      <c r="H1273" s="49"/>
      <c r="I1273" s="50"/>
      <c r="J1273" s="48"/>
      <c r="K1273" s="49"/>
      <c r="L1273" s="50"/>
      <c r="M1273" s="43" t="str">
        <f aca="false">IF(OR($L1273="",$F1273=""),"",IFERROR($L1273/INDEX(Cadastro!$E$6:$E$8,MATCH($F1273,Cadastro!$B$6:$B$8,0)),""))</f>
        <v/>
      </c>
      <c r="N1273" s="43" t="str">
        <f aca="false">IF(OR($L1273="",$I1273="",$I1273=0),"",$L1273/$I1273)</f>
        <v/>
      </c>
      <c r="O1273" s="51"/>
    </row>
    <row r="1274" customFormat="false" ht="15" hidden="false" customHeight="false" outlineLevel="0" collapsed="false">
      <c r="A1274" s="45"/>
      <c r="B1274" s="37" t="str">
        <f aca="false">IF($A1274="","",WEEKNUM($A1274,2))</f>
        <v/>
      </c>
      <c r="C1274" s="37" t="str">
        <f aca="false">IF($A1274="","",CHOOSE(WEEKDAY($A1274,2),"Seg","Ter","Qua","Qui","Sex","Sáb","Dom"))</f>
        <v/>
      </c>
      <c r="D1274" s="46"/>
      <c r="E1274" s="47"/>
      <c r="F1274" s="47"/>
      <c r="G1274" s="48"/>
      <c r="H1274" s="49"/>
      <c r="I1274" s="50"/>
      <c r="J1274" s="48"/>
      <c r="K1274" s="49"/>
      <c r="L1274" s="50"/>
      <c r="M1274" s="43" t="str">
        <f aca="false">IF(OR($L1274="",$F1274=""),"",IFERROR($L1274/INDEX(Cadastro!$E$6:$E$8,MATCH($F1274,Cadastro!$B$6:$B$8,0)),""))</f>
        <v/>
      </c>
      <c r="N1274" s="43" t="str">
        <f aca="false">IF(OR($L1274="",$I1274="",$I1274=0),"",$L1274/$I1274)</f>
        <v/>
      </c>
      <c r="O1274" s="51"/>
    </row>
    <row r="1275" customFormat="false" ht="15" hidden="false" customHeight="false" outlineLevel="0" collapsed="false">
      <c r="A1275" s="45"/>
      <c r="B1275" s="37" t="str">
        <f aca="false">IF($A1275="","",WEEKNUM($A1275,2))</f>
        <v/>
      </c>
      <c r="C1275" s="37" t="str">
        <f aca="false">IF($A1275="","",CHOOSE(WEEKDAY($A1275,2),"Seg","Ter","Qua","Qui","Sex","Sáb","Dom"))</f>
        <v/>
      </c>
      <c r="D1275" s="46"/>
      <c r="E1275" s="47"/>
      <c r="F1275" s="47"/>
      <c r="G1275" s="48"/>
      <c r="H1275" s="49"/>
      <c r="I1275" s="50"/>
      <c r="J1275" s="48"/>
      <c r="K1275" s="49"/>
      <c r="L1275" s="50"/>
      <c r="M1275" s="43" t="str">
        <f aca="false">IF(OR($L1275="",$F1275=""),"",IFERROR($L1275/INDEX(Cadastro!$E$6:$E$8,MATCH($F1275,Cadastro!$B$6:$B$8,0)),""))</f>
        <v/>
      </c>
      <c r="N1275" s="43" t="str">
        <f aca="false">IF(OR($L1275="",$I1275="",$I1275=0),"",$L1275/$I1275)</f>
        <v/>
      </c>
      <c r="O1275" s="51"/>
    </row>
    <row r="1276" customFormat="false" ht="15" hidden="false" customHeight="false" outlineLevel="0" collapsed="false">
      <c r="A1276" s="45"/>
      <c r="B1276" s="37" t="str">
        <f aca="false">IF($A1276="","",WEEKNUM($A1276,2))</f>
        <v/>
      </c>
      <c r="C1276" s="37" t="str">
        <f aca="false">IF($A1276="","",CHOOSE(WEEKDAY($A1276,2),"Seg","Ter","Qua","Qui","Sex","Sáb","Dom"))</f>
        <v/>
      </c>
      <c r="D1276" s="46"/>
      <c r="E1276" s="47"/>
      <c r="F1276" s="47"/>
      <c r="G1276" s="48"/>
      <c r="H1276" s="49"/>
      <c r="I1276" s="50"/>
      <c r="J1276" s="48"/>
      <c r="K1276" s="49"/>
      <c r="L1276" s="50"/>
      <c r="M1276" s="43" t="str">
        <f aca="false">IF(OR($L1276="",$F1276=""),"",IFERROR($L1276/INDEX(Cadastro!$E$6:$E$8,MATCH($F1276,Cadastro!$B$6:$B$8,0)),""))</f>
        <v/>
      </c>
      <c r="N1276" s="43" t="str">
        <f aca="false">IF(OR($L1276="",$I1276="",$I1276=0),"",$L1276/$I1276)</f>
        <v/>
      </c>
      <c r="O1276" s="51"/>
    </row>
    <row r="1277" customFormat="false" ht="15" hidden="false" customHeight="false" outlineLevel="0" collapsed="false">
      <c r="A1277" s="45"/>
      <c r="B1277" s="37" t="str">
        <f aca="false">IF($A1277="","",WEEKNUM($A1277,2))</f>
        <v/>
      </c>
      <c r="C1277" s="37" t="str">
        <f aca="false">IF($A1277="","",CHOOSE(WEEKDAY($A1277,2),"Seg","Ter","Qua","Qui","Sex","Sáb","Dom"))</f>
        <v/>
      </c>
      <c r="D1277" s="46"/>
      <c r="E1277" s="47"/>
      <c r="F1277" s="47"/>
      <c r="G1277" s="48"/>
      <c r="H1277" s="49"/>
      <c r="I1277" s="50"/>
      <c r="J1277" s="48"/>
      <c r="K1277" s="49"/>
      <c r="L1277" s="50"/>
      <c r="M1277" s="43" t="str">
        <f aca="false">IF(OR($L1277="",$F1277=""),"",IFERROR($L1277/INDEX(Cadastro!$E$6:$E$8,MATCH($F1277,Cadastro!$B$6:$B$8,0)),""))</f>
        <v/>
      </c>
      <c r="N1277" s="43" t="str">
        <f aca="false">IF(OR($L1277="",$I1277="",$I1277=0),"",$L1277/$I1277)</f>
        <v/>
      </c>
      <c r="O1277" s="51"/>
    </row>
    <row r="1278" customFormat="false" ht="15" hidden="false" customHeight="false" outlineLevel="0" collapsed="false">
      <c r="A1278" s="45"/>
      <c r="B1278" s="37" t="str">
        <f aca="false">IF($A1278="","",WEEKNUM($A1278,2))</f>
        <v/>
      </c>
      <c r="C1278" s="37" t="str">
        <f aca="false">IF($A1278="","",CHOOSE(WEEKDAY($A1278,2),"Seg","Ter","Qua","Qui","Sex","Sáb","Dom"))</f>
        <v/>
      </c>
      <c r="D1278" s="46"/>
      <c r="E1278" s="47"/>
      <c r="F1278" s="47"/>
      <c r="G1278" s="48"/>
      <c r="H1278" s="49"/>
      <c r="I1278" s="50"/>
      <c r="J1278" s="48"/>
      <c r="K1278" s="49"/>
      <c r="L1278" s="50"/>
      <c r="M1278" s="43" t="str">
        <f aca="false">IF(OR($L1278="",$F1278=""),"",IFERROR($L1278/INDEX(Cadastro!$E$6:$E$8,MATCH($F1278,Cadastro!$B$6:$B$8,0)),""))</f>
        <v/>
      </c>
      <c r="N1278" s="43" t="str">
        <f aca="false">IF(OR($L1278="",$I1278="",$I1278=0),"",$L1278/$I1278)</f>
        <v/>
      </c>
      <c r="O1278" s="51"/>
    </row>
    <row r="1279" customFormat="false" ht="15" hidden="false" customHeight="false" outlineLevel="0" collapsed="false">
      <c r="A1279" s="45"/>
      <c r="B1279" s="37" t="str">
        <f aca="false">IF($A1279="","",WEEKNUM($A1279,2))</f>
        <v/>
      </c>
      <c r="C1279" s="37" t="str">
        <f aca="false">IF($A1279="","",CHOOSE(WEEKDAY($A1279,2),"Seg","Ter","Qua","Qui","Sex","Sáb","Dom"))</f>
        <v/>
      </c>
      <c r="D1279" s="46"/>
      <c r="E1279" s="47"/>
      <c r="F1279" s="47"/>
      <c r="G1279" s="48"/>
      <c r="H1279" s="49"/>
      <c r="I1279" s="50"/>
      <c r="J1279" s="48"/>
      <c r="K1279" s="49"/>
      <c r="L1279" s="50"/>
      <c r="M1279" s="43" t="str">
        <f aca="false">IF(OR($L1279="",$F1279=""),"",IFERROR($L1279/INDEX(Cadastro!$E$6:$E$8,MATCH($F1279,Cadastro!$B$6:$B$8,0)),""))</f>
        <v/>
      </c>
      <c r="N1279" s="43" t="str">
        <f aca="false">IF(OR($L1279="",$I1279="",$I1279=0),"",$L1279/$I1279)</f>
        <v/>
      </c>
      <c r="O1279" s="51"/>
    </row>
    <row r="1280" customFormat="false" ht="15" hidden="false" customHeight="false" outlineLevel="0" collapsed="false">
      <c r="A1280" s="45"/>
      <c r="B1280" s="37" t="str">
        <f aca="false">IF($A1280="","",WEEKNUM($A1280,2))</f>
        <v/>
      </c>
      <c r="C1280" s="37" t="str">
        <f aca="false">IF($A1280="","",CHOOSE(WEEKDAY($A1280,2),"Seg","Ter","Qua","Qui","Sex","Sáb","Dom"))</f>
        <v/>
      </c>
      <c r="D1280" s="46"/>
      <c r="E1280" s="47"/>
      <c r="F1280" s="47"/>
      <c r="G1280" s="48"/>
      <c r="H1280" s="49"/>
      <c r="I1280" s="50"/>
      <c r="J1280" s="48"/>
      <c r="K1280" s="49"/>
      <c r="L1280" s="50"/>
      <c r="M1280" s="43" t="str">
        <f aca="false">IF(OR($L1280="",$F1280=""),"",IFERROR($L1280/INDEX(Cadastro!$E$6:$E$8,MATCH($F1280,Cadastro!$B$6:$B$8,0)),""))</f>
        <v/>
      </c>
      <c r="N1280" s="43" t="str">
        <f aca="false">IF(OR($L1280="",$I1280="",$I1280=0),"",$L1280/$I1280)</f>
        <v/>
      </c>
      <c r="O1280" s="51"/>
    </row>
    <row r="1281" customFormat="false" ht="15" hidden="false" customHeight="false" outlineLevel="0" collapsed="false">
      <c r="A1281" s="45"/>
      <c r="B1281" s="37" t="str">
        <f aca="false">IF($A1281="","",WEEKNUM($A1281,2))</f>
        <v/>
      </c>
      <c r="C1281" s="37" t="str">
        <f aca="false">IF($A1281="","",CHOOSE(WEEKDAY($A1281,2),"Seg","Ter","Qua","Qui","Sex","Sáb","Dom"))</f>
        <v/>
      </c>
      <c r="D1281" s="46"/>
      <c r="E1281" s="47"/>
      <c r="F1281" s="47"/>
      <c r="G1281" s="48"/>
      <c r="H1281" s="49"/>
      <c r="I1281" s="50"/>
      <c r="J1281" s="48"/>
      <c r="K1281" s="49"/>
      <c r="L1281" s="50"/>
      <c r="M1281" s="43" t="str">
        <f aca="false">IF(OR($L1281="",$F1281=""),"",IFERROR($L1281/INDEX(Cadastro!$E$6:$E$8,MATCH($F1281,Cadastro!$B$6:$B$8,0)),""))</f>
        <v/>
      </c>
      <c r="N1281" s="43" t="str">
        <f aca="false">IF(OR($L1281="",$I1281="",$I1281=0),"",$L1281/$I1281)</f>
        <v/>
      </c>
      <c r="O1281" s="51"/>
    </row>
    <row r="1282" customFormat="false" ht="15" hidden="false" customHeight="false" outlineLevel="0" collapsed="false">
      <c r="A1282" s="45"/>
      <c r="B1282" s="37" t="str">
        <f aca="false">IF($A1282="","",WEEKNUM($A1282,2))</f>
        <v/>
      </c>
      <c r="C1282" s="37" t="str">
        <f aca="false">IF($A1282="","",CHOOSE(WEEKDAY($A1282,2),"Seg","Ter","Qua","Qui","Sex","Sáb","Dom"))</f>
        <v/>
      </c>
      <c r="D1282" s="46"/>
      <c r="E1282" s="47"/>
      <c r="F1282" s="47"/>
      <c r="G1282" s="48"/>
      <c r="H1282" s="49"/>
      <c r="I1282" s="50"/>
      <c r="J1282" s="48"/>
      <c r="K1282" s="49"/>
      <c r="L1282" s="50"/>
      <c r="M1282" s="43" t="str">
        <f aca="false">IF(OR($L1282="",$F1282=""),"",IFERROR($L1282/INDEX(Cadastro!$E$6:$E$8,MATCH($F1282,Cadastro!$B$6:$B$8,0)),""))</f>
        <v/>
      </c>
      <c r="N1282" s="43" t="str">
        <f aca="false">IF(OR($L1282="",$I1282="",$I1282=0),"",$L1282/$I1282)</f>
        <v/>
      </c>
      <c r="O1282" s="51"/>
    </row>
    <row r="1283" customFormat="false" ht="15" hidden="false" customHeight="false" outlineLevel="0" collapsed="false">
      <c r="A1283" s="45"/>
      <c r="B1283" s="37" t="str">
        <f aca="false">IF($A1283="","",WEEKNUM($A1283,2))</f>
        <v/>
      </c>
      <c r="C1283" s="37" t="str">
        <f aca="false">IF($A1283="","",CHOOSE(WEEKDAY($A1283,2),"Seg","Ter","Qua","Qui","Sex","Sáb","Dom"))</f>
        <v/>
      </c>
      <c r="D1283" s="46"/>
      <c r="E1283" s="47"/>
      <c r="F1283" s="47"/>
      <c r="G1283" s="48"/>
      <c r="H1283" s="49"/>
      <c r="I1283" s="50"/>
      <c r="J1283" s="48"/>
      <c r="K1283" s="49"/>
      <c r="L1283" s="50"/>
      <c r="M1283" s="43" t="str">
        <f aca="false">IF(OR($L1283="",$F1283=""),"",IFERROR($L1283/INDEX(Cadastro!$E$6:$E$8,MATCH($F1283,Cadastro!$B$6:$B$8,0)),""))</f>
        <v/>
      </c>
      <c r="N1283" s="43" t="str">
        <f aca="false">IF(OR($L1283="",$I1283="",$I1283=0),"",$L1283/$I1283)</f>
        <v/>
      </c>
      <c r="O1283" s="51"/>
    </row>
    <row r="1284" customFormat="false" ht="15" hidden="false" customHeight="false" outlineLevel="0" collapsed="false">
      <c r="A1284" s="45"/>
      <c r="B1284" s="37" t="str">
        <f aca="false">IF($A1284="","",WEEKNUM($A1284,2))</f>
        <v/>
      </c>
      <c r="C1284" s="37" t="str">
        <f aca="false">IF($A1284="","",CHOOSE(WEEKDAY($A1284,2),"Seg","Ter","Qua","Qui","Sex","Sáb","Dom"))</f>
        <v/>
      </c>
      <c r="D1284" s="46"/>
      <c r="E1284" s="47"/>
      <c r="F1284" s="47"/>
      <c r="G1284" s="48"/>
      <c r="H1284" s="49"/>
      <c r="I1284" s="50"/>
      <c r="J1284" s="48"/>
      <c r="K1284" s="49"/>
      <c r="L1284" s="50"/>
      <c r="M1284" s="43" t="str">
        <f aca="false">IF(OR($L1284="",$F1284=""),"",IFERROR($L1284/INDEX(Cadastro!$E$6:$E$8,MATCH($F1284,Cadastro!$B$6:$B$8,0)),""))</f>
        <v/>
      </c>
      <c r="N1284" s="43" t="str">
        <f aca="false">IF(OR($L1284="",$I1284="",$I1284=0),"",$L1284/$I1284)</f>
        <v/>
      </c>
      <c r="O1284" s="51"/>
    </row>
    <row r="1285" customFormat="false" ht="15" hidden="false" customHeight="false" outlineLevel="0" collapsed="false">
      <c r="A1285" s="45"/>
      <c r="B1285" s="37" t="str">
        <f aca="false">IF($A1285="","",WEEKNUM($A1285,2))</f>
        <v/>
      </c>
      <c r="C1285" s="37" t="str">
        <f aca="false">IF($A1285="","",CHOOSE(WEEKDAY($A1285,2),"Seg","Ter","Qua","Qui","Sex","Sáb","Dom"))</f>
        <v/>
      </c>
      <c r="D1285" s="46"/>
      <c r="E1285" s="47"/>
      <c r="F1285" s="47"/>
      <c r="G1285" s="48"/>
      <c r="H1285" s="49"/>
      <c r="I1285" s="50"/>
      <c r="J1285" s="48"/>
      <c r="K1285" s="49"/>
      <c r="L1285" s="50"/>
      <c r="M1285" s="43" t="str">
        <f aca="false">IF(OR($L1285="",$F1285=""),"",IFERROR($L1285/INDEX(Cadastro!$E$6:$E$8,MATCH($F1285,Cadastro!$B$6:$B$8,0)),""))</f>
        <v/>
      </c>
      <c r="N1285" s="43" t="str">
        <f aca="false">IF(OR($L1285="",$I1285="",$I1285=0),"",$L1285/$I1285)</f>
        <v/>
      </c>
      <c r="O1285" s="51"/>
    </row>
    <row r="1286" customFormat="false" ht="15" hidden="false" customHeight="false" outlineLevel="0" collapsed="false">
      <c r="A1286" s="45"/>
      <c r="B1286" s="37" t="str">
        <f aca="false">IF($A1286="","",WEEKNUM($A1286,2))</f>
        <v/>
      </c>
      <c r="C1286" s="37" t="str">
        <f aca="false">IF($A1286="","",CHOOSE(WEEKDAY($A1286,2),"Seg","Ter","Qua","Qui","Sex","Sáb","Dom"))</f>
        <v/>
      </c>
      <c r="D1286" s="46"/>
      <c r="E1286" s="47"/>
      <c r="F1286" s="47"/>
      <c r="G1286" s="48"/>
      <c r="H1286" s="49"/>
      <c r="I1286" s="50"/>
      <c r="J1286" s="48"/>
      <c r="K1286" s="49"/>
      <c r="L1286" s="50"/>
      <c r="M1286" s="43" t="str">
        <f aca="false">IF(OR($L1286="",$F1286=""),"",IFERROR($L1286/INDEX(Cadastro!$E$6:$E$8,MATCH($F1286,Cadastro!$B$6:$B$8,0)),""))</f>
        <v/>
      </c>
      <c r="N1286" s="43" t="str">
        <f aca="false">IF(OR($L1286="",$I1286="",$I1286=0),"",$L1286/$I1286)</f>
        <v/>
      </c>
      <c r="O1286" s="51"/>
    </row>
    <row r="1287" customFormat="false" ht="15" hidden="false" customHeight="false" outlineLevel="0" collapsed="false">
      <c r="A1287" s="45"/>
      <c r="B1287" s="37" t="str">
        <f aca="false">IF($A1287="","",WEEKNUM($A1287,2))</f>
        <v/>
      </c>
      <c r="C1287" s="37" t="str">
        <f aca="false">IF($A1287="","",CHOOSE(WEEKDAY($A1287,2),"Seg","Ter","Qua","Qui","Sex","Sáb","Dom"))</f>
        <v/>
      </c>
      <c r="D1287" s="46"/>
      <c r="E1287" s="47"/>
      <c r="F1287" s="47"/>
      <c r="G1287" s="48"/>
      <c r="H1287" s="49"/>
      <c r="I1287" s="50"/>
      <c r="J1287" s="48"/>
      <c r="K1287" s="49"/>
      <c r="L1287" s="50"/>
      <c r="M1287" s="43" t="str">
        <f aca="false">IF(OR($L1287="",$F1287=""),"",IFERROR($L1287/INDEX(Cadastro!$E$6:$E$8,MATCH($F1287,Cadastro!$B$6:$B$8,0)),""))</f>
        <v/>
      </c>
      <c r="N1287" s="43" t="str">
        <f aca="false">IF(OR($L1287="",$I1287="",$I1287=0),"",$L1287/$I1287)</f>
        <v/>
      </c>
      <c r="O1287" s="51"/>
    </row>
    <row r="1288" customFormat="false" ht="15" hidden="false" customHeight="false" outlineLevel="0" collapsed="false">
      <c r="A1288" s="45"/>
      <c r="B1288" s="37" t="str">
        <f aca="false">IF($A1288="","",WEEKNUM($A1288,2))</f>
        <v/>
      </c>
      <c r="C1288" s="37" t="str">
        <f aca="false">IF($A1288="","",CHOOSE(WEEKDAY($A1288,2),"Seg","Ter","Qua","Qui","Sex","Sáb","Dom"))</f>
        <v/>
      </c>
      <c r="D1288" s="46"/>
      <c r="E1288" s="47"/>
      <c r="F1288" s="47"/>
      <c r="G1288" s="48"/>
      <c r="H1288" s="49"/>
      <c r="I1288" s="50"/>
      <c r="J1288" s="48"/>
      <c r="K1288" s="49"/>
      <c r="L1288" s="50"/>
      <c r="M1288" s="43" t="str">
        <f aca="false">IF(OR($L1288="",$F1288=""),"",IFERROR($L1288/INDEX(Cadastro!$E$6:$E$8,MATCH($F1288,Cadastro!$B$6:$B$8,0)),""))</f>
        <v/>
      </c>
      <c r="N1288" s="43" t="str">
        <f aca="false">IF(OR($L1288="",$I1288="",$I1288=0),"",$L1288/$I1288)</f>
        <v/>
      </c>
      <c r="O1288" s="51"/>
    </row>
    <row r="1289" customFormat="false" ht="15" hidden="false" customHeight="false" outlineLevel="0" collapsed="false">
      <c r="A1289" s="45"/>
      <c r="B1289" s="37" t="str">
        <f aca="false">IF($A1289="","",WEEKNUM($A1289,2))</f>
        <v/>
      </c>
      <c r="C1289" s="37" t="str">
        <f aca="false">IF($A1289="","",CHOOSE(WEEKDAY($A1289,2),"Seg","Ter","Qua","Qui","Sex","Sáb","Dom"))</f>
        <v/>
      </c>
      <c r="D1289" s="46"/>
      <c r="E1289" s="47"/>
      <c r="F1289" s="47"/>
      <c r="G1289" s="48"/>
      <c r="H1289" s="49"/>
      <c r="I1289" s="50"/>
      <c r="J1289" s="48"/>
      <c r="K1289" s="49"/>
      <c r="L1289" s="50"/>
      <c r="M1289" s="43" t="str">
        <f aca="false">IF(OR($L1289="",$F1289=""),"",IFERROR($L1289/INDEX(Cadastro!$E$6:$E$8,MATCH($F1289,Cadastro!$B$6:$B$8,0)),""))</f>
        <v/>
      </c>
      <c r="N1289" s="43" t="str">
        <f aca="false">IF(OR($L1289="",$I1289="",$I1289=0),"",$L1289/$I1289)</f>
        <v/>
      </c>
      <c r="O1289" s="51"/>
    </row>
    <row r="1290" customFormat="false" ht="15" hidden="false" customHeight="false" outlineLevel="0" collapsed="false">
      <c r="A1290" s="45"/>
      <c r="B1290" s="37" t="str">
        <f aca="false">IF($A1290="","",WEEKNUM($A1290,2))</f>
        <v/>
      </c>
      <c r="C1290" s="37" t="str">
        <f aca="false">IF($A1290="","",CHOOSE(WEEKDAY($A1290,2),"Seg","Ter","Qua","Qui","Sex","Sáb","Dom"))</f>
        <v/>
      </c>
      <c r="D1290" s="46"/>
      <c r="E1290" s="47"/>
      <c r="F1290" s="47"/>
      <c r="G1290" s="48"/>
      <c r="H1290" s="49"/>
      <c r="I1290" s="50"/>
      <c r="J1290" s="48"/>
      <c r="K1290" s="49"/>
      <c r="L1290" s="50"/>
      <c r="M1290" s="43" t="str">
        <f aca="false">IF(OR($L1290="",$F1290=""),"",IFERROR($L1290/INDEX(Cadastro!$E$6:$E$8,MATCH($F1290,Cadastro!$B$6:$B$8,0)),""))</f>
        <v/>
      </c>
      <c r="N1290" s="43" t="str">
        <f aca="false">IF(OR($L1290="",$I1290="",$I1290=0),"",$L1290/$I1290)</f>
        <v/>
      </c>
      <c r="O1290" s="51"/>
    </row>
    <row r="1291" customFormat="false" ht="15" hidden="false" customHeight="false" outlineLevel="0" collapsed="false">
      <c r="A1291" s="45"/>
      <c r="B1291" s="37" t="str">
        <f aca="false">IF($A1291="","",WEEKNUM($A1291,2))</f>
        <v/>
      </c>
      <c r="C1291" s="37" t="str">
        <f aca="false">IF($A1291="","",CHOOSE(WEEKDAY($A1291,2),"Seg","Ter","Qua","Qui","Sex","Sáb","Dom"))</f>
        <v/>
      </c>
      <c r="D1291" s="46"/>
      <c r="E1291" s="47"/>
      <c r="F1291" s="47"/>
      <c r="G1291" s="48"/>
      <c r="H1291" s="49"/>
      <c r="I1291" s="50"/>
      <c r="J1291" s="48"/>
      <c r="K1291" s="49"/>
      <c r="L1291" s="50"/>
      <c r="M1291" s="43" t="str">
        <f aca="false">IF(OR($L1291="",$F1291=""),"",IFERROR($L1291/INDEX(Cadastro!$E$6:$E$8,MATCH($F1291,Cadastro!$B$6:$B$8,0)),""))</f>
        <v/>
      </c>
      <c r="N1291" s="43" t="str">
        <f aca="false">IF(OR($L1291="",$I1291="",$I1291=0),"",$L1291/$I1291)</f>
        <v/>
      </c>
      <c r="O1291" s="51"/>
    </row>
    <row r="1292" customFormat="false" ht="15" hidden="false" customHeight="false" outlineLevel="0" collapsed="false">
      <c r="A1292" s="45"/>
      <c r="B1292" s="37" t="str">
        <f aca="false">IF($A1292="","",WEEKNUM($A1292,2))</f>
        <v/>
      </c>
      <c r="C1292" s="37" t="str">
        <f aca="false">IF($A1292="","",CHOOSE(WEEKDAY($A1292,2),"Seg","Ter","Qua","Qui","Sex","Sáb","Dom"))</f>
        <v/>
      </c>
      <c r="D1292" s="46"/>
      <c r="E1292" s="47"/>
      <c r="F1292" s="47"/>
      <c r="G1292" s="48"/>
      <c r="H1292" s="49"/>
      <c r="I1292" s="50"/>
      <c r="J1292" s="48"/>
      <c r="K1292" s="49"/>
      <c r="L1292" s="50"/>
      <c r="M1292" s="43" t="str">
        <f aca="false">IF(OR($L1292="",$F1292=""),"",IFERROR($L1292/INDEX(Cadastro!$E$6:$E$8,MATCH($F1292,Cadastro!$B$6:$B$8,0)),""))</f>
        <v/>
      </c>
      <c r="N1292" s="43" t="str">
        <f aca="false">IF(OR($L1292="",$I1292="",$I1292=0),"",$L1292/$I1292)</f>
        <v/>
      </c>
      <c r="O1292" s="51"/>
    </row>
    <row r="1293" customFormat="false" ht="15" hidden="false" customHeight="false" outlineLevel="0" collapsed="false">
      <c r="A1293" s="45"/>
      <c r="B1293" s="37" t="str">
        <f aca="false">IF($A1293="","",WEEKNUM($A1293,2))</f>
        <v/>
      </c>
      <c r="C1293" s="37" t="str">
        <f aca="false">IF($A1293="","",CHOOSE(WEEKDAY($A1293,2),"Seg","Ter","Qua","Qui","Sex","Sáb","Dom"))</f>
        <v/>
      </c>
      <c r="D1293" s="46"/>
      <c r="E1293" s="47"/>
      <c r="F1293" s="47"/>
      <c r="G1293" s="48"/>
      <c r="H1293" s="49"/>
      <c r="I1293" s="50"/>
      <c r="J1293" s="48"/>
      <c r="K1293" s="49"/>
      <c r="L1293" s="50"/>
      <c r="M1293" s="43" t="str">
        <f aca="false">IF(OR($L1293="",$F1293=""),"",IFERROR($L1293/INDEX(Cadastro!$E$6:$E$8,MATCH($F1293,Cadastro!$B$6:$B$8,0)),""))</f>
        <v/>
      </c>
      <c r="N1293" s="43" t="str">
        <f aca="false">IF(OR($L1293="",$I1293="",$I1293=0),"",$L1293/$I1293)</f>
        <v/>
      </c>
      <c r="O1293" s="51"/>
    </row>
    <row r="1294" customFormat="false" ht="15" hidden="false" customHeight="false" outlineLevel="0" collapsed="false">
      <c r="A1294" s="45"/>
      <c r="B1294" s="37" t="str">
        <f aca="false">IF($A1294="","",WEEKNUM($A1294,2))</f>
        <v/>
      </c>
      <c r="C1294" s="37" t="str">
        <f aca="false">IF($A1294="","",CHOOSE(WEEKDAY($A1294,2),"Seg","Ter","Qua","Qui","Sex","Sáb","Dom"))</f>
        <v/>
      </c>
      <c r="D1294" s="46"/>
      <c r="E1294" s="47"/>
      <c r="F1294" s="47"/>
      <c r="G1294" s="48"/>
      <c r="H1294" s="49"/>
      <c r="I1294" s="50"/>
      <c r="J1294" s="48"/>
      <c r="K1294" s="49"/>
      <c r="L1294" s="50"/>
      <c r="M1294" s="43" t="str">
        <f aca="false">IF(OR($L1294="",$F1294=""),"",IFERROR($L1294/INDEX(Cadastro!$E$6:$E$8,MATCH($F1294,Cadastro!$B$6:$B$8,0)),""))</f>
        <v/>
      </c>
      <c r="N1294" s="43" t="str">
        <f aca="false">IF(OR($L1294="",$I1294="",$I1294=0),"",$L1294/$I1294)</f>
        <v/>
      </c>
      <c r="O1294" s="51"/>
    </row>
    <row r="1295" customFormat="false" ht="15" hidden="false" customHeight="false" outlineLevel="0" collapsed="false">
      <c r="A1295" s="45"/>
      <c r="B1295" s="37" t="str">
        <f aca="false">IF($A1295="","",WEEKNUM($A1295,2))</f>
        <v/>
      </c>
      <c r="C1295" s="37" t="str">
        <f aca="false">IF($A1295="","",CHOOSE(WEEKDAY($A1295,2),"Seg","Ter","Qua","Qui","Sex","Sáb","Dom"))</f>
        <v/>
      </c>
      <c r="D1295" s="46"/>
      <c r="E1295" s="47"/>
      <c r="F1295" s="47"/>
      <c r="G1295" s="48"/>
      <c r="H1295" s="49"/>
      <c r="I1295" s="50"/>
      <c r="J1295" s="48"/>
      <c r="K1295" s="49"/>
      <c r="L1295" s="50"/>
      <c r="M1295" s="43" t="str">
        <f aca="false">IF(OR($L1295="",$F1295=""),"",IFERROR($L1295/INDEX(Cadastro!$E$6:$E$8,MATCH($F1295,Cadastro!$B$6:$B$8,0)),""))</f>
        <v/>
      </c>
      <c r="N1295" s="43" t="str">
        <f aca="false">IF(OR($L1295="",$I1295="",$I1295=0),"",$L1295/$I1295)</f>
        <v/>
      </c>
      <c r="O1295" s="51"/>
    </row>
    <row r="1296" customFormat="false" ht="15" hidden="false" customHeight="false" outlineLevel="0" collapsed="false">
      <c r="A1296" s="45"/>
      <c r="B1296" s="37" t="str">
        <f aca="false">IF($A1296="","",WEEKNUM($A1296,2))</f>
        <v/>
      </c>
      <c r="C1296" s="37" t="str">
        <f aca="false">IF($A1296="","",CHOOSE(WEEKDAY($A1296,2),"Seg","Ter","Qua","Qui","Sex","Sáb","Dom"))</f>
        <v/>
      </c>
      <c r="D1296" s="46"/>
      <c r="E1296" s="47"/>
      <c r="F1296" s="47"/>
      <c r="G1296" s="48"/>
      <c r="H1296" s="49"/>
      <c r="I1296" s="50"/>
      <c r="J1296" s="48"/>
      <c r="K1296" s="49"/>
      <c r="L1296" s="50"/>
      <c r="M1296" s="43" t="str">
        <f aca="false">IF(OR($L1296="",$F1296=""),"",IFERROR($L1296/INDEX(Cadastro!$E$6:$E$8,MATCH($F1296,Cadastro!$B$6:$B$8,0)),""))</f>
        <v/>
      </c>
      <c r="N1296" s="43" t="str">
        <f aca="false">IF(OR($L1296="",$I1296="",$I1296=0),"",$L1296/$I1296)</f>
        <v/>
      </c>
      <c r="O1296" s="51"/>
    </row>
    <row r="1297" customFormat="false" ht="15" hidden="false" customHeight="false" outlineLevel="0" collapsed="false">
      <c r="A1297" s="45"/>
      <c r="B1297" s="37" t="str">
        <f aca="false">IF($A1297="","",WEEKNUM($A1297,2))</f>
        <v/>
      </c>
      <c r="C1297" s="37" t="str">
        <f aca="false">IF($A1297="","",CHOOSE(WEEKDAY($A1297,2),"Seg","Ter","Qua","Qui","Sex","Sáb","Dom"))</f>
        <v/>
      </c>
      <c r="D1297" s="46"/>
      <c r="E1297" s="47"/>
      <c r="F1297" s="47"/>
      <c r="G1297" s="48"/>
      <c r="H1297" s="49"/>
      <c r="I1297" s="50"/>
      <c r="J1297" s="48"/>
      <c r="K1297" s="49"/>
      <c r="L1297" s="50"/>
      <c r="M1297" s="43" t="str">
        <f aca="false">IF(OR($L1297="",$F1297=""),"",IFERROR($L1297/INDEX(Cadastro!$E$6:$E$8,MATCH($F1297,Cadastro!$B$6:$B$8,0)),""))</f>
        <v/>
      </c>
      <c r="N1297" s="43" t="str">
        <f aca="false">IF(OR($L1297="",$I1297="",$I1297=0),"",$L1297/$I1297)</f>
        <v/>
      </c>
      <c r="O1297" s="51"/>
    </row>
    <row r="1298" customFormat="false" ht="15" hidden="false" customHeight="false" outlineLevel="0" collapsed="false">
      <c r="A1298" s="45"/>
      <c r="B1298" s="37" t="str">
        <f aca="false">IF($A1298="","",WEEKNUM($A1298,2))</f>
        <v/>
      </c>
      <c r="C1298" s="37" t="str">
        <f aca="false">IF($A1298="","",CHOOSE(WEEKDAY($A1298,2),"Seg","Ter","Qua","Qui","Sex","Sáb","Dom"))</f>
        <v/>
      </c>
      <c r="D1298" s="46"/>
      <c r="E1298" s="47"/>
      <c r="F1298" s="47"/>
      <c r="G1298" s="48"/>
      <c r="H1298" s="49"/>
      <c r="I1298" s="50"/>
      <c r="J1298" s="48"/>
      <c r="K1298" s="49"/>
      <c r="L1298" s="50"/>
      <c r="M1298" s="43" t="str">
        <f aca="false">IF(OR($L1298="",$F1298=""),"",IFERROR($L1298/INDEX(Cadastro!$E$6:$E$8,MATCH($F1298,Cadastro!$B$6:$B$8,0)),""))</f>
        <v/>
      </c>
      <c r="N1298" s="43" t="str">
        <f aca="false">IF(OR($L1298="",$I1298="",$I1298=0),"",$L1298/$I1298)</f>
        <v/>
      </c>
      <c r="O1298" s="51"/>
    </row>
    <row r="1299" customFormat="false" ht="15" hidden="false" customHeight="false" outlineLevel="0" collapsed="false">
      <c r="A1299" s="45"/>
      <c r="B1299" s="37" t="str">
        <f aca="false">IF($A1299="","",WEEKNUM($A1299,2))</f>
        <v/>
      </c>
      <c r="C1299" s="37" t="str">
        <f aca="false">IF($A1299="","",CHOOSE(WEEKDAY($A1299,2),"Seg","Ter","Qua","Qui","Sex","Sáb","Dom"))</f>
        <v/>
      </c>
      <c r="D1299" s="46"/>
      <c r="E1299" s="47"/>
      <c r="F1299" s="47"/>
      <c r="G1299" s="48"/>
      <c r="H1299" s="49"/>
      <c r="I1299" s="50"/>
      <c r="J1299" s="48"/>
      <c r="K1299" s="49"/>
      <c r="L1299" s="50"/>
      <c r="M1299" s="43" t="str">
        <f aca="false">IF(OR($L1299="",$F1299=""),"",IFERROR($L1299/INDEX(Cadastro!$E$6:$E$8,MATCH($F1299,Cadastro!$B$6:$B$8,0)),""))</f>
        <v/>
      </c>
      <c r="N1299" s="43" t="str">
        <f aca="false">IF(OR($L1299="",$I1299="",$I1299=0),"",$L1299/$I1299)</f>
        <v/>
      </c>
      <c r="O1299" s="51"/>
    </row>
    <row r="1300" customFormat="false" ht="15" hidden="false" customHeight="false" outlineLevel="0" collapsed="false">
      <c r="A1300" s="45"/>
      <c r="B1300" s="37" t="str">
        <f aca="false">IF($A1300="","",WEEKNUM($A1300,2))</f>
        <v/>
      </c>
      <c r="C1300" s="37" t="str">
        <f aca="false">IF($A1300="","",CHOOSE(WEEKDAY($A1300,2),"Seg","Ter","Qua","Qui","Sex","Sáb","Dom"))</f>
        <v/>
      </c>
      <c r="D1300" s="46"/>
      <c r="E1300" s="47"/>
      <c r="F1300" s="47"/>
      <c r="G1300" s="48"/>
      <c r="H1300" s="49"/>
      <c r="I1300" s="50"/>
      <c r="J1300" s="48"/>
      <c r="K1300" s="49"/>
      <c r="L1300" s="50"/>
      <c r="M1300" s="43" t="str">
        <f aca="false">IF(OR($L1300="",$F1300=""),"",IFERROR($L1300/INDEX(Cadastro!$E$6:$E$8,MATCH($F1300,Cadastro!$B$6:$B$8,0)),""))</f>
        <v/>
      </c>
      <c r="N1300" s="43" t="str">
        <f aca="false">IF(OR($L1300="",$I1300="",$I1300=0),"",$L1300/$I1300)</f>
        <v/>
      </c>
      <c r="O1300" s="51"/>
    </row>
    <row r="1301" customFormat="false" ht="15" hidden="false" customHeight="false" outlineLevel="0" collapsed="false">
      <c r="A1301" s="45"/>
      <c r="B1301" s="37" t="str">
        <f aca="false">IF($A1301="","",WEEKNUM($A1301,2))</f>
        <v/>
      </c>
      <c r="C1301" s="37" t="str">
        <f aca="false">IF($A1301="","",CHOOSE(WEEKDAY($A1301,2),"Seg","Ter","Qua","Qui","Sex","Sáb","Dom"))</f>
        <v/>
      </c>
      <c r="D1301" s="46"/>
      <c r="E1301" s="47"/>
      <c r="F1301" s="47"/>
      <c r="G1301" s="48"/>
      <c r="H1301" s="49"/>
      <c r="I1301" s="50"/>
      <c r="J1301" s="48"/>
      <c r="K1301" s="49"/>
      <c r="L1301" s="50"/>
      <c r="M1301" s="43" t="str">
        <f aca="false">IF(OR($L1301="",$F1301=""),"",IFERROR($L1301/INDEX(Cadastro!$E$6:$E$8,MATCH($F1301,Cadastro!$B$6:$B$8,0)),""))</f>
        <v/>
      </c>
      <c r="N1301" s="43" t="str">
        <f aca="false">IF(OR($L1301="",$I1301="",$I1301=0),"",$L1301/$I1301)</f>
        <v/>
      </c>
      <c r="O1301" s="51"/>
    </row>
    <row r="1302" customFormat="false" ht="15" hidden="false" customHeight="false" outlineLevel="0" collapsed="false">
      <c r="A1302" s="45"/>
      <c r="B1302" s="37" t="str">
        <f aca="false">IF($A1302="","",WEEKNUM($A1302,2))</f>
        <v/>
      </c>
      <c r="C1302" s="37" t="str">
        <f aca="false">IF($A1302="","",CHOOSE(WEEKDAY($A1302,2),"Seg","Ter","Qua","Qui","Sex","Sáb","Dom"))</f>
        <v/>
      </c>
      <c r="D1302" s="46"/>
      <c r="E1302" s="47"/>
      <c r="F1302" s="47"/>
      <c r="G1302" s="48"/>
      <c r="H1302" s="49"/>
      <c r="I1302" s="50"/>
      <c r="J1302" s="48"/>
      <c r="K1302" s="49"/>
      <c r="L1302" s="50"/>
      <c r="M1302" s="43" t="str">
        <f aca="false">IF(OR($L1302="",$F1302=""),"",IFERROR($L1302/INDEX(Cadastro!$E$6:$E$8,MATCH($F1302,Cadastro!$B$6:$B$8,0)),""))</f>
        <v/>
      </c>
      <c r="N1302" s="43" t="str">
        <f aca="false">IF(OR($L1302="",$I1302="",$I1302=0),"",$L1302/$I1302)</f>
        <v/>
      </c>
      <c r="O1302" s="51"/>
    </row>
    <row r="1303" customFormat="false" ht="15" hidden="false" customHeight="false" outlineLevel="0" collapsed="false">
      <c r="A1303" s="45"/>
      <c r="B1303" s="37" t="str">
        <f aca="false">IF($A1303="","",WEEKNUM($A1303,2))</f>
        <v/>
      </c>
      <c r="C1303" s="37" t="str">
        <f aca="false">IF($A1303="","",CHOOSE(WEEKDAY($A1303,2),"Seg","Ter","Qua","Qui","Sex","Sáb","Dom"))</f>
        <v/>
      </c>
      <c r="D1303" s="46"/>
      <c r="E1303" s="47"/>
      <c r="F1303" s="47"/>
      <c r="G1303" s="48"/>
      <c r="H1303" s="49"/>
      <c r="I1303" s="50"/>
      <c r="J1303" s="48"/>
      <c r="K1303" s="49"/>
      <c r="L1303" s="50"/>
      <c r="M1303" s="43" t="str">
        <f aca="false">IF(OR($L1303="",$F1303=""),"",IFERROR($L1303/INDEX(Cadastro!$E$6:$E$8,MATCH($F1303,Cadastro!$B$6:$B$8,0)),""))</f>
        <v/>
      </c>
      <c r="N1303" s="43" t="str">
        <f aca="false">IF(OR($L1303="",$I1303="",$I1303=0),"",$L1303/$I1303)</f>
        <v/>
      </c>
      <c r="O1303" s="51"/>
    </row>
    <row r="1304" customFormat="false" ht="15" hidden="false" customHeight="false" outlineLevel="0" collapsed="false">
      <c r="A1304" s="45"/>
      <c r="B1304" s="37" t="str">
        <f aca="false">IF($A1304="","",WEEKNUM($A1304,2))</f>
        <v/>
      </c>
      <c r="C1304" s="37" t="str">
        <f aca="false">IF($A1304="","",CHOOSE(WEEKDAY($A1304,2),"Seg","Ter","Qua","Qui","Sex","Sáb","Dom"))</f>
        <v/>
      </c>
      <c r="D1304" s="46"/>
      <c r="E1304" s="47"/>
      <c r="F1304" s="47"/>
      <c r="G1304" s="48"/>
      <c r="H1304" s="49"/>
      <c r="I1304" s="50"/>
      <c r="J1304" s="48"/>
      <c r="K1304" s="49"/>
      <c r="L1304" s="50"/>
      <c r="M1304" s="43" t="str">
        <f aca="false">IF(OR($L1304="",$F1304=""),"",IFERROR($L1304/INDEX(Cadastro!$E$6:$E$8,MATCH($F1304,Cadastro!$B$6:$B$8,0)),""))</f>
        <v/>
      </c>
      <c r="N1304" s="43" t="str">
        <f aca="false">IF(OR($L1304="",$I1304="",$I1304=0),"",$L1304/$I1304)</f>
        <v/>
      </c>
      <c r="O1304" s="51"/>
    </row>
    <row r="1305" customFormat="false" ht="15" hidden="false" customHeight="false" outlineLevel="0" collapsed="false">
      <c r="A1305" s="45"/>
      <c r="B1305" s="37" t="str">
        <f aca="false">IF($A1305="","",WEEKNUM($A1305,2))</f>
        <v/>
      </c>
      <c r="C1305" s="37" t="str">
        <f aca="false">IF($A1305="","",CHOOSE(WEEKDAY($A1305,2),"Seg","Ter","Qua","Qui","Sex","Sáb","Dom"))</f>
        <v/>
      </c>
      <c r="D1305" s="46"/>
      <c r="E1305" s="47"/>
      <c r="F1305" s="47"/>
      <c r="G1305" s="48"/>
      <c r="H1305" s="49"/>
      <c r="I1305" s="50"/>
      <c r="J1305" s="48"/>
      <c r="K1305" s="49"/>
      <c r="L1305" s="50"/>
      <c r="M1305" s="43" t="str">
        <f aca="false">IF(OR($L1305="",$F1305=""),"",IFERROR($L1305/INDEX(Cadastro!$E$6:$E$8,MATCH($F1305,Cadastro!$B$6:$B$8,0)),""))</f>
        <v/>
      </c>
      <c r="N1305" s="43" t="str">
        <f aca="false">IF(OR($L1305="",$I1305="",$I1305=0),"",$L1305/$I1305)</f>
        <v/>
      </c>
      <c r="O1305" s="51"/>
    </row>
    <row r="1306" customFormat="false" ht="15" hidden="false" customHeight="false" outlineLevel="0" collapsed="false">
      <c r="A1306" s="45"/>
      <c r="B1306" s="37" t="str">
        <f aca="false">IF($A1306="","",WEEKNUM($A1306,2))</f>
        <v/>
      </c>
      <c r="C1306" s="37" t="str">
        <f aca="false">IF($A1306="","",CHOOSE(WEEKDAY($A1306,2),"Seg","Ter","Qua","Qui","Sex","Sáb","Dom"))</f>
        <v/>
      </c>
      <c r="D1306" s="46"/>
      <c r="E1306" s="47"/>
      <c r="F1306" s="47"/>
      <c r="G1306" s="48"/>
      <c r="H1306" s="49"/>
      <c r="I1306" s="50"/>
      <c r="J1306" s="48"/>
      <c r="K1306" s="49"/>
      <c r="L1306" s="50"/>
      <c r="M1306" s="43" t="str">
        <f aca="false">IF(OR($L1306="",$F1306=""),"",IFERROR($L1306/INDEX(Cadastro!$E$6:$E$8,MATCH($F1306,Cadastro!$B$6:$B$8,0)),""))</f>
        <v/>
      </c>
      <c r="N1306" s="43" t="str">
        <f aca="false">IF(OR($L1306="",$I1306="",$I1306=0),"",$L1306/$I1306)</f>
        <v/>
      </c>
      <c r="O1306" s="51"/>
    </row>
    <row r="1307" customFormat="false" ht="15" hidden="false" customHeight="false" outlineLevel="0" collapsed="false">
      <c r="A1307" s="45"/>
      <c r="B1307" s="37" t="str">
        <f aca="false">IF($A1307="","",WEEKNUM($A1307,2))</f>
        <v/>
      </c>
      <c r="C1307" s="37" t="str">
        <f aca="false">IF($A1307="","",CHOOSE(WEEKDAY($A1307,2),"Seg","Ter","Qua","Qui","Sex","Sáb","Dom"))</f>
        <v/>
      </c>
      <c r="D1307" s="46"/>
      <c r="E1307" s="47"/>
      <c r="F1307" s="47"/>
      <c r="G1307" s="48"/>
      <c r="H1307" s="49"/>
      <c r="I1307" s="50"/>
      <c r="J1307" s="48"/>
      <c r="K1307" s="49"/>
      <c r="L1307" s="50"/>
      <c r="M1307" s="43" t="str">
        <f aca="false">IF(OR($L1307="",$F1307=""),"",IFERROR($L1307/INDEX(Cadastro!$E$6:$E$8,MATCH($F1307,Cadastro!$B$6:$B$8,0)),""))</f>
        <v/>
      </c>
      <c r="N1307" s="43" t="str">
        <f aca="false">IF(OR($L1307="",$I1307="",$I1307=0),"",$L1307/$I1307)</f>
        <v/>
      </c>
      <c r="O1307" s="51"/>
    </row>
    <row r="1308" customFormat="false" ht="15" hidden="false" customHeight="false" outlineLevel="0" collapsed="false">
      <c r="A1308" s="45"/>
      <c r="B1308" s="37" t="str">
        <f aca="false">IF($A1308="","",WEEKNUM($A1308,2))</f>
        <v/>
      </c>
      <c r="C1308" s="37" t="str">
        <f aca="false">IF($A1308="","",CHOOSE(WEEKDAY($A1308,2),"Seg","Ter","Qua","Qui","Sex","Sáb","Dom"))</f>
        <v/>
      </c>
      <c r="D1308" s="46"/>
      <c r="E1308" s="47"/>
      <c r="F1308" s="47"/>
      <c r="G1308" s="48"/>
      <c r="H1308" s="49"/>
      <c r="I1308" s="50"/>
      <c r="J1308" s="48"/>
      <c r="K1308" s="49"/>
      <c r="L1308" s="50"/>
      <c r="M1308" s="43" t="str">
        <f aca="false">IF(OR($L1308="",$F1308=""),"",IFERROR($L1308/INDEX(Cadastro!$E$6:$E$8,MATCH($F1308,Cadastro!$B$6:$B$8,0)),""))</f>
        <v/>
      </c>
      <c r="N1308" s="43" t="str">
        <f aca="false">IF(OR($L1308="",$I1308="",$I1308=0),"",$L1308/$I1308)</f>
        <v/>
      </c>
      <c r="O1308" s="51"/>
    </row>
    <row r="1309" customFormat="false" ht="15" hidden="false" customHeight="false" outlineLevel="0" collapsed="false">
      <c r="A1309" s="45"/>
      <c r="B1309" s="37" t="str">
        <f aca="false">IF($A1309="","",WEEKNUM($A1309,2))</f>
        <v/>
      </c>
      <c r="C1309" s="37" t="str">
        <f aca="false">IF($A1309="","",CHOOSE(WEEKDAY($A1309,2),"Seg","Ter","Qua","Qui","Sex","Sáb","Dom"))</f>
        <v/>
      </c>
      <c r="D1309" s="46"/>
      <c r="E1309" s="47"/>
      <c r="F1309" s="47"/>
      <c r="G1309" s="48"/>
      <c r="H1309" s="49"/>
      <c r="I1309" s="50"/>
      <c r="J1309" s="48"/>
      <c r="K1309" s="49"/>
      <c r="L1309" s="50"/>
      <c r="M1309" s="43" t="str">
        <f aca="false">IF(OR($L1309="",$F1309=""),"",IFERROR($L1309/INDEX(Cadastro!$E$6:$E$8,MATCH($F1309,Cadastro!$B$6:$B$8,0)),""))</f>
        <v/>
      </c>
      <c r="N1309" s="43" t="str">
        <f aca="false">IF(OR($L1309="",$I1309="",$I1309=0),"",$L1309/$I1309)</f>
        <v/>
      </c>
      <c r="O1309" s="51"/>
    </row>
    <row r="1310" customFormat="false" ht="15" hidden="false" customHeight="false" outlineLevel="0" collapsed="false">
      <c r="A1310" s="45"/>
      <c r="B1310" s="37" t="str">
        <f aca="false">IF($A1310="","",WEEKNUM($A1310,2))</f>
        <v/>
      </c>
      <c r="C1310" s="37" t="str">
        <f aca="false">IF($A1310="","",CHOOSE(WEEKDAY($A1310,2),"Seg","Ter","Qua","Qui","Sex","Sáb","Dom"))</f>
        <v/>
      </c>
      <c r="D1310" s="46"/>
      <c r="E1310" s="47"/>
      <c r="F1310" s="47"/>
      <c r="G1310" s="48"/>
      <c r="H1310" s="49"/>
      <c r="I1310" s="50"/>
      <c r="J1310" s="48"/>
      <c r="K1310" s="49"/>
      <c r="L1310" s="50"/>
      <c r="M1310" s="43" t="str">
        <f aca="false">IF(OR($L1310="",$F1310=""),"",IFERROR($L1310/INDEX(Cadastro!$E$6:$E$8,MATCH($F1310,Cadastro!$B$6:$B$8,0)),""))</f>
        <v/>
      </c>
      <c r="N1310" s="43" t="str">
        <f aca="false">IF(OR($L1310="",$I1310="",$I1310=0),"",$L1310/$I1310)</f>
        <v/>
      </c>
      <c r="O1310" s="51"/>
    </row>
    <row r="1311" customFormat="false" ht="15" hidden="false" customHeight="false" outlineLevel="0" collapsed="false">
      <c r="A1311" s="45"/>
      <c r="B1311" s="37" t="str">
        <f aca="false">IF($A1311="","",WEEKNUM($A1311,2))</f>
        <v/>
      </c>
      <c r="C1311" s="37" t="str">
        <f aca="false">IF($A1311="","",CHOOSE(WEEKDAY($A1311,2),"Seg","Ter","Qua","Qui","Sex","Sáb","Dom"))</f>
        <v/>
      </c>
      <c r="D1311" s="46"/>
      <c r="E1311" s="47"/>
      <c r="F1311" s="47"/>
      <c r="G1311" s="48"/>
      <c r="H1311" s="49"/>
      <c r="I1311" s="50"/>
      <c r="J1311" s="48"/>
      <c r="K1311" s="49"/>
      <c r="L1311" s="50"/>
      <c r="M1311" s="43" t="str">
        <f aca="false">IF(OR($L1311="",$F1311=""),"",IFERROR($L1311/INDEX(Cadastro!$E$6:$E$8,MATCH($F1311,Cadastro!$B$6:$B$8,0)),""))</f>
        <v/>
      </c>
      <c r="N1311" s="43" t="str">
        <f aca="false">IF(OR($L1311="",$I1311="",$I1311=0),"",$L1311/$I1311)</f>
        <v/>
      </c>
      <c r="O1311" s="51"/>
    </row>
    <row r="1312" customFormat="false" ht="15" hidden="false" customHeight="false" outlineLevel="0" collapsed="false">
      <c r="A1312" s="45"/>
      <c r="B1312" s="37" t="str">
        <f aca="false">IF($A1312="","",WEEKNUM($A1312,2))</f>
        <v/>
      </c>
      <c r="C1312" s="37" t="str">
        <f aca="false">IF($A1312="","",CHOOSE(WEEKDAY($A1312,2),"Seg","Ter","Qua","Qui","Sex","Sáb","Dom"))</f>
        <v/>
      </c>
      <c r="D1312" s="46"/>
      <c r="E1312" s="47"/>
      <c r="F1312" s="47"/>
      <c r="G1312" s="48"/>
      <c r="H1312" s="49"/>
      <c r="I1312" s="50"/>
      <c r="J1312" s="48"/>
      <c r="K1312" s="49"/>
      <c r="L1312" s="50"/>
      <c r="M1312" s="43" t="str">
        <f aca="false">IF(OR($L1312="",$F1312=""),"",IFERROR($L1312/INDEX(Cadastro!$E$6:$E$8,MATCH($F1312,Cadastro!$B$6:$B$8,0)),""))</f>
        <v/>
      </c>
      <c r="N1312" s="43" t="str">
        <f aca="false">IF(OR($L1312="",$I1312="",$I1312=0),"",$L1312/$I1312)</f>
        <v/>
      </c>
      <c r="O1312" s="51"/>
    </row>
    <row r="1313" customFormat="false" ht="15" hidden="false" customHeight="false" outlineLevel="0" collapsed="false">
      <c r="A1313" s="45"/>
      <c r="B1313" s="37" t="str">
        <f aca="false">IF($A1313="","",WEEKNUM($A1313,2))</f>
        <v/>
      </c>
      <c r="C1313" s="37" t="str">
        <f aca="false">IF($A1313="","",CHOOSE(WEEKDAY($A1313,2),"Seg","Ter","Qua","Qui","Sex","Sáb","Dom"))</f>
        <v/>
      </c>
      <c r="D1313" s="46"/>
      <c r="E1313" s="47"/>
      <c r="F1313" s="47"/>
      <c r="G1313" s="48"/>
      <c r="H1313" s="49"/>
      <c r="I1313" s="50"/>
      <c r="J1313" s="48"/>
      <c r="K1313" s="49"/>
      <c r="L1313" s="50"/>
      <c r="M1313" s="43" t="str">
        <f aca="false">IF(OR($L1313="",$F1313=""),"",IFERROR($L1313/INDEX(Cadastro!$E$6:$E$8,MATCH($F1313,Cadastro!$B$6:$B$8,0)),""))</f>
        <v/>
      </c>
      <c r="N1313" s="43" t="str">
        <f aca="false">IF(OR($L1313="",$I1313="",$I1313=0),"",$L1313/$I1313)</f>
        <v/>
      </c>
      <c r="O1313" s="51"/>
    </row>
    <row r="1314" customFormat="false" ht="15" hidden="false" customHeight="false" outlineLevel="0" collapsed="false">
      <c r="A1314" s="45"/>
      <c r="B1314" s="37" t="str">
        <f aca="false">IF($A1314="","",WEEKNUM($A1314,2))</f>
        <v/>
      </c>
      <c r="C1314" s="37" t="str">
        <f aca="false">IF($A1314="","",CHOOSE(WEEKDAY($A1314,2),"Seg","Ter","Qua","Qui","Sex","Sáb","Dom"))</f>
        <v/>
      </c>
      <c r="D1314" s="46"/>
      <c r="E1314" s="47"/>
      <c r="F1314" s="47"/>
      <c r="G1314" s="48"/>
      <c r="H1314" s="49"/>
      <c r="I1314" s="50"/>
      <c r="J1314" s="48"/>
      <c r="K1314" s="49"/>
      <c r="L1314" s="50"/>
      <c r="M1314" s="43" t="str">
        <f aca="false">IF(OR($L1314="",$F1314=""),"",IFERROR($L1314/INDEX(Cadastro!$E$6:$E$8,MATCH($F1314,Cadastro!$B$6:$B$8,0)),""))</f>
        <v/>
      </c>
      <c r="N1314" s="43" t="str">
        <f aca="false">IF(OR($L1314="",$I1314="",$I1314=0),"",$L1314/$I1314)</f>
        <v/>
      </c>
      <c r="O1314" s="51"/>
    </row>
    <row r="1315" customFormat="false" ht="15" hidden="false" customHeight="false" outlineLevel="0" collapsed="false">
      <c r="A1315" s="45"/>
      <c r="B1315" s="37" t="str">
        <f aca="false">IF($A1315="","",WEEKNUM($A1315,2))</f>
        <v/>
      </c>
      <c r="C1315" s="37" t="str">
        <f aca="false">IF($A1315="","",CHOOSE(WEEKDAY($A1315,2),"Seg","Ter","Qua","Qui","Sex","Sáb","Dom"))</f>
        <v/>
      </c>
      <c r="D1315" s="46"/>
      <c r="E1315" s="47"/>
      <c r="F1315" s="47"/>
      <c r="G1315" s="48"/>
      <c r="H1315" s="49"/>
      <c r="I1315" s="50"/>
      <c r="J1315" s="48"/>
      <c r="K1315" s="49"/>
      <c r="L1315" s="50"/>
      <c r="M1315" s="43" t="str">
        <f aca="false">IF(OR($L1315="",$F1315=""),"",IFERROR($L1315/INDEX(Cadastro!$E$6:$E$8,MATCH($F1315,Cadastro!$B$6:$B$8,0)),""))</f>
        <v/>
      </c>
      <c r="N1315" s="43" t="str">
        <f aca="false">IF(OR($L1315="",$I1315="",$I1315=0),"",$L1315/$I1315)</f>
        <v/>
      </c>
      <c r="O1315" s="51"/>
    </row>
    <row r="1316" customFormat="false" ht="15" hidden="false" customHeight="false" outlineLevel="0" collapsed="false">
      <c r="A1316" s="45"/>
      <c r="B1316" s="37" t="str">
        <f aca="false">IF($A1316="","",WEEKNUM($A1316,2))</f>
        <v/>
      </c>
      <c r="C1316" s="37" t="str">
        <f aca="false">IF($A1316="","",CHOOSE(WEEKDAY($A1316,2),"Seg","Ter","Qua","Qui","Sex","Sáb","Dom"))</f>
        <v/>
      </c>
      <c r="D1316" s="46"/>
      <c r="E1316" s="47"/>
      <c r="F1316" s="47"/>
      <c r="G1316" s="48"/>
      <c r="H1316" s="49"/>
      <c r="I1316" s="50"/>
      <c r="J1316" s="48"/>
      <c r="K1316" s="49"/>
      <c r="L1316" s="50"/>
      <c r="M1316" s="43" t="str">
        <f aca="false">IF(OR($L1316="",$F1316=""),"",IFERROR($L1316/INDEX(Cadastro!$E$6:$E$8,MATCH($F1316,Cadastro!$B$6:$B$8,0)),""))</f>
        <v/>
      </c>
      <c r="N1316" s="43" t="str">
        <f aca="false">IF(OR($L1316="",$I1316="",$I1316=0),"",$L1316/$I1316)</f>
        <v/>
      </c>
      <c r="O1316" s="51"/>
    </row>
    <row r="1317" customFormat="false" ht="15" hidden="false" customHeight="false" outlineLevel="0" collapsed="false">
      <c r="A1317" s="45"/>
      <c r="B1317" s="37" t="str">
        <f aca="false">IF($A1317="","",WEEKNUM($A1317,2))</f>
        <v/>
      </c>
      <c r="C1317" s="37" t="str">
        <f aca="false">IF($A1317="","",CHOOSE(WEEKDAY($A1317,2),"Seg","Ter","Qua","Qui","Sex","Sáb","Dom"))</f>
        <v/>
      </c>
      <c r="D1317" s="46"/>
      <c r="E1317" s="47"/>
      <c r="F1317" s="47"/>
      <c r="G1317" s="48"/>
      <c r="H1317" s="49"/>
      <c r="I1317" s="50"/>
      <c r="J1317" s="48"/>
      <c r="K1317" s="49"/>
      <c r="L1317" s="50"/>
      <c r="M1317" s="43" t="str">
        <f aca="false">IF(OR($L1317="",$F1317=""),"",IFERROR($L1317/INDEX(Cadastro!$E$6:$E$8,MATCH($F1317,Cadastro!$B$6:$B$8,0)),""))</f>
        <v/>
      </c>
      <c r="N1317" s="43" t="str">
        <f aca="false">IF(OR($L1317="",$I1317="",$I1317=0),"",$L1317/$I1317)</f>
        <v/>
      </c>
      <c r="O1317" s="51"/>
    </row>
    <row r="1318" customFormat="false" ht="15" hidden="false" customHeight="false" outlineLevel="0" collapsed="false">
      <c r="A1318" s="45"/>
      <c r="B1318" s="37" t="str">
        <f aca="false">IF($A1318="","",WEEKNUM($A1318,2))</f>
        <v/>
      </c>
      <c r="C1318" s="37" t="str">
        <f aca="false">IF($A1318="","",CHOOSE(WEEKDAY($A1318,2),"Seg","Ter","Qua","Qui","Sex","Sáb","Dom"))</f>
        <v/>
      </c>
      <c r="D1318" s="46"/>
      <c r="E1318" s="47"/>
      <c r="F1318" s="47"/>
      <c r="G1318" s="48"/>
      <c r="H1318" s="49"/>
      <c r="I1318" s="50"/>
      <c r="J1318" s="48"/>
      <c r="K1318" s="49"/>
      <c r="L1318" s="50"/>
      <c r="M1318" s="43" t="str">
        <f aca="false">IF(OR($L1318="",$F1318=""),"",IFERROR($L1318/INDEX(Cadastro!$E$6:$E$8,MATCH($F1318,Cadastro!$B$6:$B$8,0)),""))</f>
        <v/>
      </c>
      <c r="N1318" s="43" t="str">
        <f aca="false">IF(OR($L1318="",$I1318="",$I1318=0),"",$L1318/$I1318)</f>
        <v/>
      </c>
      <c r="O1318" s="51"/>
    </row>
    <row r="1319" customFormat="false" ht="15" hidden="false" customHeight="false" outlineLevel="0" collapsed="false">
      <c r="A1319" s="45"/>
      <c r="B1319" s="37" t="str">
        <f aca="false">IF($A1319="","",WEEKNUM($A1319,2))</f>
        <v/>
      </c>
      <c r="C1319" s="37" t="str">
        <f aca="false">IF($A1319="","",CHOOSE(WEEKDAY($A1319,2),"Seg","Ter","Qua","Qui","Sex","Sáb","Dom"))</f>
        <v/>
      </c>
      <c r="D1319" s="46"/>
      <c r="E1319" s="47"/>
      <c r="F1319" s="47"/>
      <c r="G1319" s="48"/>
      <c r="H1319" s="49"/>
      <c r="I1319" s="50"/>
      <c r="J1319" s="48"/>
      <c r="K1319" s="49"/>
      <c r="L1319" s="50"/>
      <c r="M1319" s="43" t="str">
        <f aca="false">IF(OR($L1319="",$F1319=""),"",IFERROR($L1319/INDEX(Cadastro!$E$6:$E$8,MATCH($F1319,Cadastro!$B$6:$B$8,0)),""))</f>
        <v/>
      </c>
      <c r="N1319" s="43" t="str">
        <f aca="false">IF(OR($L1319="",$I1319="",$I1319=0),"",$L1319/$I1319)</f>
        <v/>
      </c>
      <c r="O1319" s="51"/>
    </row>
    <row r="1320" customFormat="false" ht="15" hidden="false" customHeight="false" outlineLevel="0" collapsed="false">
      <c r="A1320" s="45"/>
      <c r="B1320" s="37" t="str">
        <f aca="false">IF($A1320="","",WEEKNUM($A1320,2))</f>
        <v/>
      </c>
      <c r="C1320" s="37" t="str">
        <f aca="false">IF($A1320="","",CHOOSE(WEEKDAY($A1320,2),"Seg","Ter","Qua","Qui","Sex","Sáb","Dom"))</f>
        <v/>
      </c>
      <c r="D1320" s="46"/>
      <c r="E1320" s="47"/>
      <c r="F1320" s="47"/>
      <c r="G1320" s="48"/>
      <c r="H1320" s="49"/>
      <c r="I1320" s="50"/>
      <c r="J1320" s="48"/>
      <c r="K1320" s="49"/>
      <c r="L1320" s="50"/>
      <c r="M1320" s="43" t="str">
        <f aca="false">IF(OR($L1320="",$F1320=""),"",IFERROR($L1320/INDEX(Cadastro!$E$6:$E$8,MATCH($F1320,Cadastro!$B$6:$B$8,0)),""))</f>
        <v/>
      </c>
      <c r="N1320" s="43" t="str">
        <f aca="false">IF(OR($L1320="",$I1320="",$I1320=0),"",$L1320/$I1320)</f>
        <v/>
      </c>
      <c r="O1320" s="51"/>
    </row>
    <row r="1321" customFormat="false" ht="15" hidden="false" customHeight="false" outlineLevel="0" collapsed="false">
      <c r="A1321" s="45"/>
      <c r="B1321" s="37" t="str">
        <f aca="false">IF($A1321="","",WEEKNUM($A1321,2))</f>
        <v/>
      </c>
      <c r="C1321" s="37" t="str">
        <f aca="false">IF($A1321="","",CHOOSE(WEEKDAY($A1321,2),"Seg","Ter","Qua","Qui","Sex","Sáb","Dom"))</f>
        <v/>
      </c>
      <c r="D1321" s="46"/>
      <c r="E1321" s="47"/>
      <c r="F1321" s="47"/>
      <c r="G1321" s="48"/>
      <c r="H1321" s="49"/>
      <c r="I1321" s="50"/>
      <c r="J1321" s="48"/>
      <c r="K1321" s="49"/>
      <c r="L1321" s="50"/>
      <c r="M1321" s="43" t="str">
        <f aca="false">IF(OR($L1321="",$F1321=""),"",IFERROR($L1321/INDEX(Cadastro!$E$6:$E$8,MATCH($F1321,Cadastro!$B$6:$B$8,0)),""))</f>
        <v/>
      </c>
      <c r="N1321" s="43" t="str">
        <f aca="false">IF(OR($L1321="",$I1321="",$I1321=0),"",$L1321/$I1321)</f>
        <v/>
      </c>
      <c r="O1321" s="51"/>
    </row>
    <row r="1322" customFormat="false" ht="15" hidden="false" customHeight="false" outlineLevel="0" collapsed="false">
      <c r="A1322" s="45"/>
      <c r="B1322" s="37" t="str">
        <f aca="false">IF($A1322="","",WEEKNUM($A1322,2))</f>
        <v/>
      </c>
      <c r="C1322" s="37" t="str">
        <f aca="false">IF($A1322="","",CHOOSE(WEEKDAY($A1322,2),"Seg","Ter","Qua","Qui","Sex","Sáb","Dom"))</f>
        <v/>
      </c>
      <c r="D1322" s="46"/>
      <c r="E1322" s="47"/>
      <c r="F1322" s="47"/>
      <c r="G1322" s="48"/>
      <c r="H1322" s="49"/>
      <c r="I1322" s="50"/>
      <c r="J1322" s="48"/>
      <c r="K1322" s="49"/>
      <c r="L1322" s="50"/>
      <c r="M1322" s="43" t="str">
        <f aca="false">IF(OR($L1322="",$F1322=""),"",IFERROR($L1322/INDEX(Cadastro!$E$6:$E$8,MATCH($F1322,Cadastro!$B$6:$B$8,0)),""))</f>
        <v/>
      </c>
      <c r="N1322" s="43" t="str">
        <f aca="false">IF(OR($L1322="",$I1322="",$I1322=0),"",$L1322/$I1322)</f>
        <v/>
      </c>
      <c r="O1322" s="51"/>
    </row>
    <row r="1323" customFormat="false" ht="15" hidden="false" customHeight="false" outlineLevel="0" collapsed="false">
      <c r="A1323" s="45"/>
      <c r="B1323" s="37" t="str">
        <f aca="false">IF($A1323="","",WEEKNUM($A1323,2))</f>
        <v/>
      </c>
      <c r="C1323" s="37" t="str">
        <f aca="false">IF($A1323="","",CHOOSE(WEEKDAY($A1323,2),"Seg","Ter","Qua","Qui","Sex","Sáb","Dom"))</f>
        <v/>
      </c>
      <c r="D1323" s="46"/>
      <c r="E1323" s="47"/>
      <c r="F1323" s="47"/>
      <c r="G1323" s="48"/>
      <c r="H1323" s="49"/>
      <c r="I1323" s="50"/>
      <c r="J1323" s="48"/>
      <c r="K1323" s="49"/>
      <c r="L1323" s="50"/>
      <c r="M1323" s="43" t="str">
        <f aca="false">IF(OR($L1323="",$F1323=""),"",IFERROR($L1323/INDEX(Cadastro!$E$6:$E$8,MATCH($F1323,Cadastro!$B$6:$B$8,0)),""))</f>
        <v/>
      </c>
      <c r="N1323" s="43" t="str">
        <f aca="false">IF(OR($L1323="",$I1323="",$I1323=0),"",$L1323/$I1323)</f>
        <v/>
      </c>
      <c r="O1323" s="51"/>
    </row>
    <row r="1324" customFormat="false" ht="15" hidden="false" customHeight="false" outlineLevel="0" collapsed="false">
      <c r="A1324" s="45"/>
      <c r="B1324" s="37" t="str">
        <f aca="false">IF($A1324="","",WEEKNUM($A1324,2))</f>
        <v/>
      </c>
      <c r="C1324" s="37" t="str">
        <f aca="false">IF($A1324="","",CHOOSE(WEEKDAY($A1324,2),"Seg","Ter","Qua","Qui","Sex","Sáb","Dom"))</f>
        <v/>
      </c>
      <c r="D1324" s="46"/>
      <c r="E1324" s="47"/>
      <c r="F1324" s="47"/>
      <c r="G1324" s="48"/>
      <c r="H1324" s="49"/>
      <c r="I1324" s="50"/>
      <c r="J1324" s="48"/>
      <c r="K1324" s="49"/>
      <c r="L1324" s="50"/>
      <c r="M1324" s="43" t="str">
        <f aca="false">IF(OR($L1324="",$F1324=""),"",IFERROR($L1324/INDEX(Cadastro!$E$6:$E$8,MATCH($F1324,Cadastro!$B$6:$B$8,0)),""))</f>
        <v/>
      </c>
      <c r="N1324" s="43" t="str">
        <f aca="false">IF(OR($L1324="",$I1324="",$I1324=0),"",$L1324/$I1324)</f>
        <v/>
      </c>
      <c r="O1324" s="51"/>
    </row>
    <row r="1325" customFormat="false" ht="15" hidden="false" customHeight="false" outlineLevel="0" collapsed="false">
      <c r="A1325" s="45"/>
      <c r="B1325" s="37" t="str">
        <f aca="false">IF($A1325="","",WEEKNUM($A1325,2))</f>
        <v/>
      </c>
      <c r="C1325" s="37" t="str">
        <f aca="false">IF($A1325="","",CHOOSE(WEEKDAY($A1325,2),"Seg","Ter","Qua","Qui","Sex","Sáb","Dom"))</f>
        <v/>
      </c>
      <c r="D1325" s="46"/>
      <c r="E1325" s="47"/>
      <c r="F1325" s="47"/>
      <c r="G1325" s="48"/>
      <c r="H1325" s="49"/>
      <c r="I1325" s="50"/>
      <c r="J1325" s="48"/>
      <c r="K1325" s="49"/>
      <c r="L1325" s="50"/>
      <c r="M1325" s="43" t="str">
        <f aca="false">IF(OR($L1325="",$F1325=""),"",IFERROR($L1325/INDEX(Cadastro!$E$6:$E$8,MATCH($F1325,Cadastro!$B$6:$B$8,0)),""))</f>
        <v/>
      </c>
      <c r="N1325" s="43" t="str">
        <f aca="false">IF(OR($L1325="",$I1325="",$I1325=0),"",$L1325/$I1325)</f>
        <v/>
      </c>
      <c r="O1325" s="51"/>
    </row>
    <row r="1326" customFormat="false" ht="15" hidden="false" customHeight="false" outlineLevel="0" collapsed="false">
      <c r="A1326" s="45"/>
      <c r="B1326" s="37" t="str">
        <f aca="false">IF($A1326="","",WEEKNUM($A1326,2))</f>
        <v/>
      </c>
      <c r="C1326" s="37" t="str">
        <f aca="false">IF($A1326="","",CHOOSE(WEEKDAY($A1326,2),"Seg","Ter","Qua","Qui","Sex","Sáb","Dom"))</f>
        <v/>
      </c>
      <c r="D1326" s="46"/>
      <c r="E1326" s="47"/>
      <c r="F1326" s="47"/>
      <c r="G1326" s="48"/>
      <c r="H1326" s="49"/>
      <c r="I1326" s="50"/>
      <c r="J1326" s="48"/>
      <c r="K1326" s="49"/>
      <c r="L1326" s="50"/>
      <c r="M1326" s="43" t="str">
        <f aca="false">IF(OR($L1326="",$F1326=""),"",IFERROR($L1326/INDEX(Cadastro!$E$6:$E$8,MATCH($F1326,Cadastro!$B$6:$B$8,0)),""))</f>
        <v/>
      </c>
      <c r="N1326" s="43" t="str">
        <f aca="false">IF(OR($L1326="",$I1326="",$I1326=0),"",$L1326/$I1326)</f>
        <v/>
      </c>
      <c r="O1326" s="51"/>
    </row>
    <row r="1327" customFormat="false" ht="15" hidden="false" customHeight="false" outlineLevel="0" collapsed="false">
      <c r="A1327" s="45"/>
      <c r="B1327" s="37" t="str">
        <f aca="false">IF($A1327="","",WEEKNUM($A1327,2))</f>
        <v/>
      </c>
      <c r="C1327" s="37" t="str">
        <f aca="false">IF($A1327="","",CHOOSE(WEEKDAY($A1327,2),"Seg","Ter","Qua","Qui","Sex","Sáb","Dom"))</f>
        <v/>
      </c>
      <c r="D1327" s="46"/>
      <c r="E1327" s="47"/>
      <c r="F1327" s="47"/>
      <c r="G1327" s="48"/>
      <c r="H1327" s="49"/>
      <c r="I1327" s="50"/>
      <c r="J1327" s="48"/>
      <c r="K1327" s="49"/>
      <c r="L1327" s="50"/>
      <c r="M1327" s="43" t="str">
        <f aca="false">IF(OR($L1327="",$F1327=""),"",IFERROR($L1327/INDEX(Cadastro!$E$6:$E$8,MATCH($F1327,Cadastro!$B$6:$B$8,0)),""))</f>
        <v/>
      </c>
      <c r="N1327" s="43" t="str">
        <f aca="false">IF(OR($L1327="",$I1327="",$I1327=0),"",$L1327/$I1327)</f>
        <v/>
      </c>
      <c r="O1327" s="51"/>
    </row>
    <row r="1328" customFormat="false" ht="15" hidden="false" customHeight="false" outlineLevel="0" collapsed="false">
      <c r="A1328" s="45"/>
      <c r="B1328" s="37" t="str">
        <f aca="false">IF($A1328="","",WEEKNUM($A1328,2))</f>
        <v/>
      </c>
      <c r="C1328" s="37" t="str">
        <f aca="false">IF($A1328="","",CHOOSE(WEEKDAY($A1328,2),"Seg","Ter","Qua","Qui","Sex","Sáb","Dom"))</f>
        <v/>
      </c>
      <c r="D1328" s="46"/>
      <c r="E1328" s="47"/>
      <c r="F1328" s="47"/>
      <c r="G1328" s="48"/>
      <c r="H1328" s="49"/>
      <c r="I1328" s="50"/>
      <c r="J1328" s="48"/>
      <c r="K1328" s="49"/>
      <c r="L1328" s="50"/>
      <c r="M1328" s="43" t="str">
        <f aca="false">IF(OR($L1328="",$F1328=""),"",IFERROR($L1328/INDEX(Cadastro!$E$6:$E$8,MATCH($F1328,Cadastro!$B$6:$B$8,0)),""))</f>
        <v/>
      </c>
      <c r="N1328" s="43" t="str">
        <f aca="false">IF(OR($L1328="",$I1328="",$I1328=0),"",$L1328/$I1328)</f>
        <v/>
      </c>
      <c r="O1328" s="51"/>
    </row>
    <row r="1329" customFormat="false" ht="15" hidden="false" customHeight="false" outlineLevel="0" collapsed="false">
      <c r="A1329" s="45"/>
      <c r="B1329" s="37" t="str">
        <f aca="false">IF($A1329="","",WEEKNUM($A1329,2))</f>
        <v/>
      </c>
      <c r="C1329" s="37" t="str">
        <f aca="false">IF($A1329="","",CHOOSE(WEEKDAY($A1329,2),"Seg","Ter","Qua","Qui","Sex","Sáb","Dom"))</f>
        <v/>
      </c>
      <c r="D1329" s="46"/>
      <c r="E1329" s="47"/>
      <c r="F1329" s="47"/>
      <c r="G1329" s="48"/>
      <c r="H1329" s="49"/>
      <c r="I1329" s="50"/>
      <c r="J1329" s="48"/>
      <c r="K1329" s="49"/>
      <c r="L1329" s="50"/>
      <c r="M1329" s="43" t="str">
        <f aca="false">IF(OR($L1329="",$F1329=""),"",IFERROR($L1329/INDEX(Cadastro!$E$6:$E$8,MATCH($F1329,Cadastro!$B$6:$B$8,0)),""))</f>
        <v/>
      </c>
      <c r="N1329" s="43" t="str">
        <f aca="false">IF(OR($L1329="",$I1329="",$I1329=0),"",$L1329/$I1329)</f>
        <v/>
      </c>
      <c r="O1329" s="51"/>
    </row>
    <row r="1330" customFormat="false" ht="15" hidden="false" customHeight="false" outlineLevel="0" collapsed="false">
      <c r="A1330" s="45"/>
      <c r="B1330" s="37" t="str">
        <f aca="false">IF($A1330="","",WEEKNUM($A1330,2))</f>
        <v/>
      </c>
      <c r="C1330" s="37" t="str">
        <f aca="false">IF($A1330="","",CHOOSE(WEEKDAY($A1330,2),"Seg","Ter","Qua","Qui","Sex","Sáb","Dom"))</f>
        <v/>
      </c>
      <c r="D1330" s="46"/>
      <c r="E1330" s="47"/>
      <c r="F1330" s="47"/>
      <c r="G1330" s="48"/>
      <c r="H1330" s="49"/>
      <c r="I1330" s="50"/>
      <c r="J1330" s="48"/>
      <c r="K1330" s="49"/>
      <c r="L1330" s="50"/>
      <c r="M1330" s="43" t="str">
        <f aca="false">IF(OR($L1330="",$F1330=""),"",IFERROR($L1330/INDEX(Cadastro!$E$6:$E$8,MATCH($F1330,Cadastro!$B$6:$B$8,0)),""))</f>
        <v/>
      </c>
      <c r="N1330" s="43" t="str">
        <f aca="false">IF(OR($L1330="",$I1330="",$I1330=0),"",$L1330/$I1330)</f>
        <v/>
      </c>
      <c r="O1330" s="51"/>
    </row>
    <row r="1331" customFormat="false" ht="15" hidden="false" customHeight="false" outlineLevel="0" collapsed="false">
      <c r="A1331" s="45"/>
      <c r="B1331" s="37" t="str">
        <f aca="false">IF($A1331="","",WEEKNUM($A1331,2))</f>
        <v/>
      </c>
      <c r="C1331" s="37" t="str">
        <f aca="false">IF($A1331="","",CHOOSE(WEEKDAY($A1331,2),"Seg","Ter","Qua","Qui","Sex","Sáb","Dom"))</f>
        <v/>
      </c>
      <c r="D1331" s="46"/>
      <c r="E1331" s="47"/>
      <c r="F1331" s="47"/>
      <c r="G1331" s="48"/>
      <c r="H1331" s="49"/>
      <c r="I1331" s="50"/>
      <c r="J1331" s="48"/>
      <c r="K1331" s="49"/>
      <c r="L1331" s="50"/>
      <c r="M1331" s="43" t="str">
        <f aca="false">IF(OR($L1331="",$F1331=""),"",IFERROR($L1331/INDEX(Cadastro!$E$6:$E$8,MATCH($F1331,Cadastro!$B$6:$B$8,0)),""))</f>
        <v/>
      </c>
      <c r="N1331" s="43" t="str">
        <f aca="false">IF(OR($L1331="",$I1331="",$I1331=0),"",$L1331/$I1331)</f>
        <v/>
      </c>
      <c r="O1331" s="51"/>
    </row>
    <row r="1332" customFormat="false" ht="15" hidden="false" customHeight="false" outlineLevel="0" collapsed="false">
      <c r="A1332" s="45"/>
      <c r="B1332" s="37" t="str">
        <f aca="false">IF($A1332="","",WEEKNUM($A1332,2))</f>
        <v/>
      </c>
      <c r="C1332" s="37" t="str">
        <f aca="false">IF($A1332="","",CHOOSE(WEEKDAY($A1332,2),"Seg","Ter","Qua","Qui","Sex","Sáb","Dom"))</f>
        <v/>
      </c>
      <c r="D1332" s="46"/>
      <c r="E1332" s="47"/>
      <c r="F1332" s="47"/>
      <c r="G1332" s="48"/>
      <c r="H1332" s="49"/>
      <c r="I1332" s="50"/>
      <c r="J1332" s="48"/>
      <c r="K1332" s="49"/>
      <c r="L1332" s="50"/>
      <c r="M1332" s="43" t="str">
        <f aca="false">IF(OR($L1332="",$F1332=""),"",IFERROR($L1332/INDEX(Cadastro!$E$6:$E$8,MATCH($F1332,Cadastro!$B$6:$B$8,0)),""))</f>
        <v/>
      </c>
      <c r="N1332" s="43" t="str">
        <f aca="false">IF(OR($L1332="",$I1332="",$I1332=0),"",$L1332/$I1332)</f>
        <v/>
      </c>
      <c r="O1332" s="51"/>
    </row>
    <row r="1333" customFormat="false" ht="15" hidden="false" customHeight="false" outlineLevel="0" collapsed="false">
      <c r="A1333" s="45"/>
      <c r="B1333" s="37" t="str">
        <f aca="false">IF($A1333="","",WEEKNUM($A1333,2))</f>
        <v/>
      </c>
      <c r="C1333" s="37" t="str">
        <f aca="false">IF($A1333="","",CHOOSE(WEEKDAY($A1333,2),"Seg","Ter","Qua","Qui","Sex","Sáb","Dom"))</f>
        <v/>
      </c>
      <c r="D1333" s="46"/>
      <c r="E1333" s="47"/>
      <c r="F1333" s="47"/>
      <c r="G1333" s="48"/>
      <c r="H1333" s="49"/>
      <c r="I1333" s="50"/>
      <c r="J1333" s="48"/>
      <c r="K1333" s="49"/>
      <c r="L1333" s="50"/>
      <c r="M1333" s="43" t="str">
        <f aca="false">IF(OR($L1333="",$F1333=""),"",IFERROR($L1333/INDEX(Cadastro!$E$6:$E$8,MATCH($F1333,Cadastro!$B$6:$B$8,0)),""))</f>
        <v/>
      </c>
      <c r="N1333" s="43" t="str">
        <f aca="false">IF(OR($L1333="",$I1333="",$I1333=0),"",$L1333/$I1333)</f>
        <v/>
      </c>
      <c r="O1333" s="51"/>
    </row>
    <row r="1334" customFormat="false" ht="15" hidden="false" customHeight="false" outlineLevel="0" collapsed="false">
      <c r="A1334" s="45"/>
      <c r="B1334" s="37" t="str">
        <f aca="false">IF($A1334="","",WEEKNUM($A1334,2))</f>
        <v/>
      </c>
      <c r="C1334" s="37" t="str">
        <f aca="false">IF($A1334="","",CHOOSE(WEEKDAY($A1334,2),"Seg","Ter","Qua","Qui","Sex","Sáb","Dom"))</f>
        <v/>
      </c>
      <c r="D1334" s="46"/>
      <c r="E1334" s="47"/>
      <c r="F1334" s="47"/>
      <c r="G1334" s="48"/>
      <c r="H1334" s="49"/>
      <c r="I1334" s="50"/>
      <c r="J1334" s="48"/>
      <c r="K1334" s="49"/>
      <c r="L1334" s="50"/>
      <c r="M1334" s="43" t="str">
        <f aca="false">IF(OR($L1334="",$F1334=""),"",IFERROR($L1334/INDEX(Cadastro!$E$6:$E$8,MATCH($F1334,Cadastro!$B$6:$B$8,0)),""))</f>
        <v/>
      </c>
      <c r="N1334" s="43" t="str">
        <f aca="false">IF(OR($L1334="",$I1334="",$I1334=0),"",$L1334/$I1334)</f>
        <v/>
      </c>
      <c r="O1334" s="51"/>
    </row>
    <row r="1335" customFormat="false" ht="15" hidden="false" customHeight="false" outlineLevel="0" collapsed="false">
      <c r="A1335" s="45"/>
      <c r="B1335" s="37" t="str">
        <f aca="false">IF($A1335="","",WEEKNUM($A1335,2))</f>
        <v/>
      </c>
      <c r="C1335" s="37" t="str">
        <f aca="false">IF($A1335="","",CHOOSE(WEEKDAY($A1335,2),"Seg","Ter","Qua","Qui","Sex","Sáb","Dom"))</f>
        <v/>
      </c>
      <c r="D1335" s="46"/>
      <c r="E1335" s="47"/>
      <c r="F1335" s="47"/>
      <c r="G1335" s="48"/>
      <c r="H1335" s="49"/>
      <c r="I1335" s="50"/>
      <c r="J1335" s="48"/>
      <c r="K1335" s="49"/>
      <c r="L1335" s="50"/>
      <c r="M1335" s="43" t="str">
        <f aca="false">IF(OR($L1335="",$F1335=""),"",IFERROR($L1335/INDEX(Cadastro!$E$6:$E$8,MATCH($F1335,Cadastro!$B$6:$B$8,0)),""))</f>
        <v/>
      </c>
      <c r="N1335" s="43" t="str">
        <f aca="false">IF(OR($L1335="",$I1335="",$I1335=0),"",$L1335/$I1335)</f>
        <v/>
      </c>
      <c r="O1335" s="51"/>
    </row>
    <row r="1336" customFormat="false" ht="15" hidden="false" customHeight="false" outlineLevel="0" collapsed="false">
      <c r="A1336" s="45"/>
      <c r="B1336" s="37" t="str">
        <f aca="false">IF($A1336="","",WEEKNUM($A1336,2))</f>
        <v/>
      </c>
      <c r="C1336" s="37" t="str">
        <f aca="false">IF($A1336="","",CHOOSE(WEEKDAY($A1336,2),"Seg","Ter","Qua","Qui","Sex","Sáb","Dom"))</f>
        <v/>
      </c>
      <c r="D1336" s="46"/>
      <c r="E1336" s="47"/>
      <c r="F1336" s="47"/>
      <c r="G1336" s="48"/>
      <c r="H1336" s="49"/>
      <c r="I1336" s="50"/>
      <c r="J1336" s="48"/>
      <c r="K1336" s="49"/>
      <c r="L1336" s="50"/>
      <c r="M1336" s="43" t="str">
        <f aca="false">IF(OR($L1336="",$F1336=""),"",IFERROR($L1336/INDEX(Cadastro!$E$6:$E$8,MATCH($F1336,Cadastro!$B$6:$B$8,0)),""))</f>
        <v/>
      </c>
      <c r="N1336" s="43" t="str">
        <f aca="false">IF(OR($L1336="",$I1336="",$I1336=0),"",$L1336/$I1336)</f>
        <v/>
      </c>
      <c r="O1336" s="51"/>
    </row>
    <row r="1337" customFormat="false" ht="15" hidden="false" customHeight="false" outlineLevel="0" collapsed="false">
      <c r="A1337" s="45"/>
      <c r="B1337" s="37" t="str">
        <f aca="false">IF($A1337="","",WEEKNUM($A1337,2))</f>
        <v/>
      </c>
      <c r="C1337" s="37" t="str">
        <f aca="false">IF($A1337="","",CHOOSE(WEEKDAY($A1337,2),"Seg","Ter","Qua","Qui","Sex","Sáb","Dom"))</f>
        <v/>
      </c>
      <c r="D1337" s="46"/>
      <c r="E1337" s="47"/>
      <c r="F1337" s="47"/>
      <c r="G1337" s="48"/>
      <c r="H1337" s="49"/>
      <c r="I1337" s="50"/>
      <c r="J1337" s="48"/>
      <c r="K1337" s="49"/>
      <c r="L1337" s="50"/>
      <c r="M1337" s="43" t="str">
        <f aca="false">IF(OR($L1337="",$F1337=""),"",IFERROR($L1337/INDEX(Cadastro!$E$6:$E$8,MATCH($F1337,Cadastro!$B$6:$B$8,0)),""))</f>
        <v/>
      </c>
      <c r="N1337" s="43" t="str">
        <f aca="false">IF(OR($L1337="",$I1337="",$I1337=0),"",$L1337/$I1337)</f>
        <v/>
      </c>
      <c r="O1337" s="51"/>
    </row>
    <row r="1338" customFormat="false" ht="15" hidden="false" customHeight="false" outlineLevel="0" collapsed="false">
      <c r="A1338" s="45"/>
      <c r="B1338" s="37" t="str">
        <f aca="false">IF($A1338="","",WEEKNUM($A1338,2))</f>
        <v/>
      </c>
      <c r="C1338" s="37" t="str">
        <f aca="false">IF($A1338="","",CHOOSE(WEEKDAY($A1338,2),"Seg","Ter","Qua","Qui","Sex","Sáb","Dom"))</f>
        <v/>
      </c>
      <c r="D1338" s="46"/>
      <c r="E1338" s="47"/>
      <c r="F1338" s="47"/>
      <c r="G1338" s="48"/>
      <c r="H1338" s="49"/>
      <c r="I1338" s="50"/>
      <c r="J1338" s="48"/>
      <c r="K1338" s="49"/>
      <c r="L1338" s="50"/>
      <c r="M1338" s="43" t="str">
        <f aca="false">IF(OR($L1338="",$F1338=""),"",IFERROR($L1338/INDEX(Cadastro!$E$6:$E$8,MATCH($F1338,Cadastro!$B$6:$B$8,0)),""))</f>
        <v/>
      </c>
      <c r="N1338" s="43" t="str">
        <f aca="false">IF(OR($L1338="",$I1338="",$I1338=0),"",$L1338/$I1338)</f>
        <v/>
      </c>
      <c r="O1338" s="51"/>
    </row>
    <row r="1339" customFormat="false" ht="15" hidden="false" customHeight="false" outlineLevel="0" collapsed="false">
      <c r="A1339" s="45"/>
      <c r="B1339" s="37" t="str">
        <f aca="false">IF($A1339="","",WEEKNUM($A1339,2))</f>
        <v/>
      </c>
      <c r="C1339" s="37" t="str">
        <f aca="false">IF($A1339="","",CHOOSE(WEEKDAY($A1339,2),"Seg","Ter","Qua","Qui","Sex","Sáb","Dom"))</f>
        <v/>
      </c>
      <c r="D1339" s="46"/>
      <c r="E1339" s="47"/>
      <c r="F1339" s="47"/>
      <c r="G1339" s="48"/>
      <c r="H1339" s="49"/>
      <c r="I1339" s="50"/>
      <c r="J1339" s="48"/>
      <c r="K1339" s="49"/>
      <c r="L1339" s="50"/>
      <c r="M1339" s="43" t="str">
        <f aca="false">IF(OR($L1339="",$F1339=""),"",IFERROR($L1339/INDEX(Cadastro!$E$6:$E$8,MATCH($F1339,Cadastro!$B$6:$B$8,0)),""))</f>
        <v/>
      </c>
      <c r="N1339" s="43" t="str">
        <f aca="false">IF(OR($L1339="",$I1339="",$I1339=0),"",$L1339/$I1339)</f>
        <v/>
      </c>
      <c r="O1339" s="51"/>
    </row>
    <row r="1340" customFormat="false" ht="15" hidden="false" customHeight="false" outlineLevel="0" collapsed="false">
      <c r="A1340" s="45"/>
      <c r="B1340" s="37" t="str">
        <f aca="false">IF($A1340="","",WEEKNUM($A1340,2))</f>
        <v/>
      </c>
      <c r="C1340" s="37" t="str">
        <f aca="false">IF($A1340="","",CHOOSE(WEEKDAY($A1340,2),"Seg","Ter","Qua","Qui","Sex","Sáb","Dom"))</f>
        <v/>
      </c>
      <c r="D1340" s="46"/>
      <c r="E1340" s="47"/>
      <c r="F1340" s="47"/>
      <c r="G1340" s="48"/>
      <c r="H1340" s="49"/>
      <c r="I1340" s="50"/>
      <c r="J1340" s="48"/>
      <c r="K1340" s="49"/>
      <c r="L1340" s="50"/>
      <c r="M1340" s="43" t="str">
        <f aca="false">IF(OR($L1340="",$F1340=""),"",IFERROR($L1340/INDEX(Cadastro!$E$6:$E$8,MATCH($F1340,Cadastro!$B$6:$B$8,0)),""))</f>
        <v/>
      </c>
      <c r="N1340" s="43" t="str">
        <f aca="false">IF(OR($L1340="",$I1340="",$I1340=0),"",$L1340/$I1340)</f>
        <v/>
      </c>
      <c r="O1340" s="51"/>
    </row>
    <row r="1341" customFormat="false" ht="15" hidden="false" customHeight="false" outlineLevel="0" collapsed="false">
      <c r="A1341" s="45"/>
      <c r="B1341" s="37" t="str">
        <f aca="false">IF($A1341="","",WEEKNUM($A1341,2))</f>
        <v/>
      </c>
      <c r="C1341" s="37" t="str">
        <f aca="false">IF($A1341="","",CHOOSE(WEEKDAY($A1341,2),"Seg","Ter","Qua","Qui","Sex","Sáb","Dom"))</f>
        <v/>
      </c>
      <c r="D1341" s="46"/>
      <c r="E1341" s="47"/>
      <c r="F1341" s="47"/>
      <c r="G1341" s="48"/>
      <c r="H1341" s="49"/>
      <c r="I1341" s="50"/>
      <c r="J1341" s="48"/>
      <c r="K1341" s="49"/>
      <c r="L1341" s="50"/>
      <c r="M1341" s="43" t="str">
        <f aca="false">IF(OR($L1341="",$F1341=""),"",IFERROR($L1341/INDEX(Cadastro!$E$6:$E$8,MATCH($F1341,Cadastro!$B$6:$B$8,0)),""))</f>
        <v/>
      </c>
      <c r="N1341" s="43" t="str">
        <f aca="false">IF(OR($L1341="",$I1341="",$I1341=0),"",$L1341/$I1341)</f>
        <v/>
      </c>
      <c r="O1341" s="51"/>
    </row>
    <row r="1342" customFormat="false" ht="15" hidden="false" customHeight="false" outlineLevel="0" collapsed="false">
      <c r="A1342" s="45"/>
      <c r="B1342" s="37" t="str">
        <f aca="false">IF($A1342="","",WEEKNUM($A1342,2))</f>
        <v/>
      </c>
      <c r="C1342" s="37" t="str">
        <f aca="false">IF($A1342="","",CHOOSE(WEEKDAY($A1342,2),"Seg","Ter","Qua","Qui","Sex","Sáb","Dom"))</f>
        <v/>
      </c>
      <c r="D1342" s="46"/>
      <c r="E1342" s="47"/>
      <c r="F1342" s="47"/>
      <c r="G1342" s="48"/>
      <c r="H1342" s="49"/>
      <c r="I1342" s="50"/>
      <c r="J1342" s="48"/>
      <c r="K1342" s="49"/>
      <c r="L1342" s="50"/>
      <c r="M1342" s="43" t="str">
        <f aca="false">IF(OR($L1342="",$F1342=""),"",IFERROR($L1342/INDEX(Cadastro!$E$6:$E$8,MATCH($F1342,Cadastro!$B$6:$B$8,0)),""))</f>
        <v/>
      </c>
      <c r="N1342" s="43" t="str">
        <f aca="false">IF(OR($L1342="",$I1342="",$I1342=0),"",$L1342/$I1342)</f>
        <v/>
      </c>
      <c r="O1342" s="51"/>
    </row>
    <row r="1343" customFormat="false" ht="15" hidden="false" customHeight="false" outlineLevel="0" collapsed="false">
      <c r="A1343" s="45"/>
      <c r="B1343" s="37" t="str">
        <f aca="false">IF($A1343="","",WEEKNUM($A1343,2))</f>
        <v/>
      </c>
      <c r="C1343" s="37" t="str">
        <f aca="false">IF($A1343="","",CHOOSE(WEEKDAY($A1343,2),"Seg","Ter","Qua","Qui","Sex","Sáb","Dom"))</f>
        <v/>
      </c>
      <c r="D1343" s="46"/>
      <c r="E1343" s="47"/>
      <c r="F1343" s="47"/>
      <c r="G1343" s="48"/>
      <c r="H1343" s="49"/>
      <c r="I1343" s="50"/>
      <c r="J1343" s="48"/>
      <c r="K1343" s="49"/>
      <c r="L1343" s="50"/>
      <c r="M1343" s="43" t="str">
        <f aca="false">IF(OR($L1343="",$F1343=""),"",IFERROR($L1343/INDEX(Cadastro!$E$6:$E$8,MATCH($F1343,Cadastro!$B$6:$B$8,0)),""))</f>
        <v/>
      </c>
      <c r="N1343" s="43" t="str">
        <f aca="false">IF(OR($L1343="",$I1343="",$I1343=0),"",$L1343/$I1343)</f>
        <v/>
      </c>
      <c r="O1343" s="51"/>
    </row>
    <row r="1344" customFormat="false" ht="15" hidden="false" customHeight="false" outlineLevel="0" collapsed="false">
      <c r="A1344" s="45"/>
      <c r="B1344" s="37" t="str">
        <f aca="false">IF($A1344="","",WEEKNUM($A1344,2))</f>
        <v/>
      </c>
      <c r="C1344" s="37" t="str">
        <f aca="false">IF($A1344="","",CHOOSE(WEEKDAY($A1344,2),"Seg","Ter","Qua","Qui","Sex","Sáb","Dom"))</f>
        <v/>
      </c>
      <c r="D1344" s="46"/>
      <c r="E1344" s="47"/>
      <c r="F1344" s="47"/>
      <c r="G1344" s="48"/>
      <c r="H1344" s="49"/>
      <c r="I1344" s="50"/>
      <c r="J1344" s="48"/>
      <c r="K1344" s="49"/>
      <c r="L1344" s="50"/>
      <c r="M1344" s="43" t="str">
        <f aca="false">IF(OR($L1344="",$F1344=""),"",IFERROR($L1344/INDEX(Cadastro!$E$6:$E$8,MATCH($F1344,Cadastro!$B$6:$B$8,0)),""))</f>
        <v/>
      </c>
      <c r="N1344" s="43" t="str">
        <f aca="false">IF(OR($L1344="",$I1344="",$I1344=0),"",$L1344/$I1344)</f>
        <v/>
      </c>
      <c r="O1344" s="51"/>
    </row>
    <row r="1345" customFormat="false" ht="15" hidden="false" customHeight="false" outlineLevel="0" collapsed="false">
      <c r="A1345" s="45"/>
      <c r="B1345" s="37" t="str">
        <f aca="false">IF($A1345="","",WEEKNUM($A1345,2))</f>
        <v/>
      </c>
      <c r="C1345" s="37" t="str">
        <f aca="false">IF($A1345="","",CHOOSE(WEEKDAY($A1345,2),"Seg","Ter","Qua","Qui","Sex","Sáb","Dom"))</f>
        <v/>
      </c>
      <c r="D1345" s="46"/>
      <c r="E1345" s="47"/>
      <c r="F1345" s="47"/>
      <c r="G1345" s="48"/>
      <c r="H1345" s="49"/>
      <c r="I1345" s="50"/>
      <c r="J1345" s="48"/>
      <c r="K1345" s="49"/>
      <c r="L1345" s="50"/>
      <c r="M1345" s="43" t="str">
        <f aca="false">IF(OR($L1345="",$F1345=""),"",IFERROR($L1345/INDEX(Cadastro!$E$6:$E$8,MATCH($F1345,Cadastro!$B$6:$B$8,0)),""))</f>
        <v/>
      </c>
      <c r="N1345" s="43" t="str">
        <f aca="false">IF(OR($L1345="",$I1345="",$I1345=0),"",$L1345/$I1345)</f>
        <v/>
      </c>
      <c r="O1345" s="51"/>
    </row>
    <row r="1346" customFormat="false" ht="15" hidden="false" customHeight="false" outlineLevel="0" collapsed="false">
      <c r="A1346" s="45"/>
      <c r="B1346" s="37" t="str">
        <f aca="false">IF($A1346="","",WEEKNUM($A1346,2))</f>
        <v/>
      </c>
      <c r="C1346" s="37" t="str">
        <f aca="false">IF($A1346="","",CHOOSE(WEEKDAY($A1346,2),"Seg","Ter","Qua","Qui","Sex","Sáb","Dom"))</f>
        <v/>
      </c>
      <c r="D1346" s="46"/>
      <c r="E1346" s="47"/>
      <c r="F1346" s="47"/>
      <c r="G1346" s="48"/>
      <c r="H1346" s="49"/>
      <c r="I1346" s="50"/>
      <c r="J1346" s="48"/>
      <c r="K1346" s="49"/>
      <c r="L1346" s="50"/>
      <c r="M1346" s="43" t="str">
        <f aca="false">IF(OR($L1346="",$F1346=""),"",IFERROR($L1346/INDEX(Cadastro!$E$6:$E$8,MATCH($F1346,Cadastro!$B$6:$B$8,0)),""))</f>
        <v/>
      </c>
      <c r="N1346" s="43" t="str">
        <f aca="false">IF(OR($L1346="",$I1346="",$I1346=0),"",$L1346/$I1346)</f>
        <v/>
      </c>
      <c r="O1346" s="51"/>
    </row>
    <row r="1347" customFormat="false" ht="15" hidden="false" customHeight="false" outlineLevel="0" collapsed="false">
      <c r="A1347" s="45"/>
      <c r="B1347" s="37" t="str">
        <f aca="false">IF($A1347="","",WEEKNUM($A1347,2))</f>
        <v/>
      </c>
      <c r="C1347" s="37" t="str">
        <f aca="false">IF($A1347="","",CHOOSE(WEEKDAY($A1347,2),"Seg","Ter","Qua","Qui","Sex","Sáb","Dom"))</f>
        <v/>
      </c>
      <c r="D1347" s="46"/>
      <c r="E1347" s="47"/>
      <c r="F1347" s="47"/>
      <c r="G1347" s="48"/>
      <c r="H1347" s="49"/>
      <c r="I1347" s="50"/>
      <c r="J1347" s="48"/>
      <c r="K1347" s="49"/>
      <c r="L1347" s="50"/>
      <c r="M1347" s="43" t="str">
        <f aca="false">IF(OR($L1347="",$F1347=""),"",IFERROR($L1347/INDEX(Cadastro!$E$6:$E$8,MATCH($F1347,Cadastro!$B$6:$B$8,0)),""))</f>
        <v/>
      </c>
      <c r="N1347" s="43" t="str">
        <f aca="false">IF(OR($L1347="",$I1347="",$I1347=0),"",$L1347/$I1347)</f>
        <v/>
      </c>
      <c r="O1347" s="51"/>
    </row>
    <row r="1348" customFormat="false" ht="15" hidden="false" customHeight="false" outlineLevel="0" collapsed="false">
      <c r="A1348" s="45"/>
      <c r="B1348" s="37" t="str">
        <f aca="false">IF($A1348="","",WEEKNUM($A1348,2))</f>
        <v/>
      </c>
      <c r="C1348" s="37" t="str">
        <f aca="false">IF($A1348="","",CHOOSE(WEEKDAY($A1348,2),"Seg","Ter","Qua","Qui","Sex","Sáb","Dom"))</f>
        <v/>
      </c>
      <c r="D1348" s="46"/>
      <c r="E1348" s="47"/>
      <c r="F1348" s="47"/>
      <c r="G1348" s="48"/>
      <c r="H1348" s="49"/>
      <c r="I1348" s="50"/>
      <c r="J1348" s="48"/>
      <c r="K1348" s="49"/>
      <c r="L1348" s="50"/>
      <c r="M1348" s="43" t="str">
        <f aca="false">IF(OR($L1348="",$F1348=""),"",IFERROR($L1348/INDEX(Cadastro!$E$6:$E$8,MATCH($F1348,Cadastro!$B$6:$B$8,0)),""))</f>
        <v/>
      </c>
      <c r="N1348" s="43" t="str">
        <f aca="false">IF(OR($L1348="",$I1348="",$I1348=0),"",$L1348/$I1348)</f>
        <v/>
      </c>
      <c r="O1348" s="51"/>
    </row>
    <row r="1349" customFormat="false" ht="15" hidden="false" customHeight="false" outlineLevel="0" collapsed="false">
      <c r="A1349" s="45"/>
      <c r="B1349" s="37" t="str">
        <f aca="false">IF($A1349="","",WEEKNUM($A1349,2))</f>
        <v/>
      </c>
      <c r="C1349" s="37" t="str">
        <f aca="false">IF($A1349="","",CHOOSE(WEEKDAY($A1349,2),"Seg","Ter","Qua","Qui","Sex","Sáb","Dom"))</f>
        <v/>
      </c>
      <c r="D1349" s="46"/>
      <c r="E1349" s="47"/>
      <c r="F1349" s="47"/>
      <c r="G1349" s="48"/>
      <c r="H1349" s="49"/>
      <c r="I1349" s="50"/>
      <c r="J1349" s="48"/>
      <c r="K1349" s="49"/>
      <c r="L1349" s="50"/>
      <c r="M1349" s="43" t="str">
        <f aca="false">IF(OR($L1349="",$F1349=""),"",IFERROR($L1349/INDEX(Cadastro!$E$6:$E$8,MATCH($F1349,Cadastro!$B$6:$B$8,0)),""))</f>
        <v/>
      </c>
      <c r="N1349" s="43" t="str">
        <f aca="false">IF(OR($L1349="",$I1349="",$I1349=0),"",$L1349/$I1349)</f>
        <v/>
      </c>
      <c r="O1349" s="51"/>
    </row>
    <row r="1350" customFormat="false" ht="15" hidden="false" customHeight="false" outlineLevel="0" collapsed="false">
      <c r="A1350" s="45"/>
      <c r="B1350" s="37" t="str">
        <f aca="false">IF($A1350="","",WEEKNUM($A1350,2))</f>
        <v/>
      </c>
      <c r="C1350" s="37" t="str">
        <f aca="false">IF($A1350="","",CHOOSE(WEEKDAY($A1350,2),"Seg","Ter","Qua","Qui","Sex","Sáb","Dom"))</f>
        <v/>
      </c>
      <c r="D1350" s="46"/>
      <c r="E1350" s="47"/>
      <c r="F1350" s="47"/>
      <c r="G1350" s="48"/>
      <c r="H1350" s="49"/>
      <c r="I1350" s="50"/>
      <c r="J1350" s="48"/>
      <c r="K1350" s="49"/>
      <c r="L1350" s="50"/>
      <c r="M1350" s="43" t="str">
        <f aca="false">IF(OR($L1350="",$F1350=""),"",IFERROR($L1350/INDEX(Cadastro!$E$6:$E$8,MATCH($F1350,Cadastro!$B$6:$B$8,0)),""))</f>
        <v/>
      </c>
      <c r="N1350" s="43" t="str">
        <f aca="false">IF(OR($L1350="",$I1350="",$I1350=0),"",$L1350/$I1350)</f>
        <v/>
      </c>
      <c r="O1350" s="51"/>
    </row>
    <row r="1351" customFormat="false" ht="15" hidden="false" customHeight="false" outlineLevel="0" collapsed="false">
      <c r="A1351" s="45"/>
      <c r="B1351" s="37" t="str">
        <f aca="false">IF($A1351="","",WEEKNUM($A1351,2))</f>
        <v/>
      </c>
      <c r="C1351" s="37" t="str">
        <f aca="false">IF($A1351="","",CHOOSE(WEEKDAY($A1351,2),"Seg","Ter","Qua","Qui","Sex","Sáb","Dom"))</f>
        <v/>
      </c>
      <c r="D1351" s="46"/>
      <c r="E1351" s="47"/>
      <c r="F1351" s="47"/>
      <c r="G1351" s="48"/>
      <c r="H1351" s="49"/>
      <c r="I1351" s="50"/>
      <c r="J1351" s="48"/>
      <c r="K1351" s="49"/>
      <c r="L1351" s="50"/>
      <c r="M1351" s="43" t="str">
        <f aca="false">IF(OR($L1351="",$F1351=""),"",IFERROR($L1351/INDEX(Cadastro!$E$6:$E$8,MATCH($F1351,Cadastro!$B$6:$B$8,0)),""))</f>
        <v/>
      </c>
      <c r="N1351" s="43" t="str">
        <f aca="false">IF(OR($L1351="",$I1351="",$I1351=0),"",$L1351/$I1351)</f>
        <v/>
      </c>
      <c r="O1351" s="51"/>
    </row>
    <row r="1352" customFormat="false" ht="15" hidden="false" customHeight="false" outlineLevel="0" collapsed="false">
      <c r="A1352" s="45"/>
      <c r="B1352" s="37" t="str">
        <f aca="false">IF($A1352="","",WEEKNUM($A1352,2))</f>
        <v/>
      </c>
      <c r="C1352" s="37" t="str">
        <f aca="false">IF($A1352="","",CHOOSE(WEEKDAY($A1352,2),"Seg","Ter","Qua","Qui","Sex","Sáb","Dom"))</f>
        <v/>
      </c>
      <c r="D1352" s="46"/>
      <c r="E1352" s="47"/>
      <c r="F1352" s="47"/>
      <c r="G1352" s="48"/>
      <c r="H1352" s="49"/>
      <c r="I1352" s="50"/>
      <c r="J1352" s="48"/>
      <c r="K1352" s="49"/>
      <c r="L1352" s="50"/>
      <c r="M1352" s="43" t="str">
        <f aca="false">IF(OR($L1352="",$F1352=""),"",IFERROR($L1352/INDEX(Cadastro!$E$6:$E$8,MATCH($F1352,Cadastro!$B$6:$B$8,0)),""))</f>
        <v/>
      </c>
      <c r="N1352" s="43" t="str">
        <f aca="false">IF(OR($L1352="",$I1352="",$I1352=0),"",$L1352/$I1352)</f>
        <v/>
      </c>
      <c r="O1352" s="51"/>
    </row>
    <row r="1353" customFormat="false" ht="15" hidden="false" customHeight="false" outlineLevel="0" collapsed="false">
      <c r="A1353" s="45"/>
      <c r="B1353" s="37" t="str">
        <f aca="false">IF($A1353="","",WEEKNUM($A1353,2))</f>
        <v/>
      </c>
      <c r="C1353" s="37" t="str">
        <f aca="false">IF($A1353="","",CHOOSE(WEEKDAY($A1353,2),"Seg","Ter","Qua","Qui","Sex","Sáb","Dom"))</f>
        <v/>
      </c>
      <c r="D1353" s="46"/>
      <c r="E1353" s="47"/>
      <c r="F1353" s="47"/>
      <c r="G1353" s="48"/>
      <c r="H1353" s="49"/>
      <c r="I1353" s="50"/>
      <c r="J1353" s="48"/>
      <c r="K1353" s="49"/>
      <c r="L1353" s="50"/>
      <c r="M1353" s="43" t="str">
        <f aca="false">IF(OR($L1353="",$F1353=""),"",IFERROR($L1353/INDEX(Cadastro!$E$6:$E$8,MATCH($F1353,Cadastro!$B$6:$B$8,0)),""))</f>
        <v/>
      </c>
      <c r="N1353" s="43" t="str">
        <f aca="false">IF(OR($L1353="",$I1353="",$I1353=0),"",$L1353/$I1353)</f>
        <v/>
      </c>
      <c r="O1353" s="51"/>
    </row>
    <row r="1354" customFormat="false" ht="15" hidden="false" customHeight="false" outlineLevel="0" collapsed="false">
      <c r="A1354" s="45"/>
      <c r="B1354" s="37" t="str">
        <f aca="false">IF($A1354="","",WEEKNUM($A1354,2))</f>
        <v/>
      </c>
      <c r="C1354" s="37" t="str">
        <f aca="false">IF($A1354="","",CHOOSE(WEEKDAY($A1354,2),"Seg","Ter","Qua","Qui","Sex","Sáb","Dom"))</f>
        <v/>
      </c>
      <c r="D1354" s="46"/>
      <c r="E1354" s="47"/>
      <c r="F1354" s="47"/>
      <c r="G1354" s="48"/>
      <c r="H1354" s="49"/>
      <c r="I1354" s="50"/>
      <c r="J1354" s="48"/>
      <c r="K1354" s="49"/>
      <c r="L1354" s="50"/>
      <c r="M1354" s="43" t="str">
        <f aca="false">IF(OR($L1354="",$F1354=""),"",IFERROR($L1354/INDEX(Cadastro!$E$6:$E$8,MATCH($F1354,Cadastro!$B$6:$B$8,0)),""))</f>
        <v/>
      </c>
      <c r="N1354" s="43" t="str">
        <f aca="false">IF(OR($L1354="",$I1354="",$I1354=0),"",$L1354/$I1354)</f>
        <v/>
      </c>
      <c r="O1354" s="51"/>
    </row>
    <row r="1355" customFormat="false" ht="15" hidden="false" customHeight="false" outlineLevel="0" collapsed="false">
      <c r="A1355" s="45"/>
      <c r="B1355" s="37" t="str">
        <f aca="false">IF($A1355="","",WEEKNUM($A1355,2))</f>
        <v/>
      </c>
      <c r="C1355" s="37" t="str">
        <f aca="false">IF($A1355="","",CHOOSE(WEEKDAY($A1355,2),"Seg","Ter","Qua","Qui","Sex","Sáb","Dom"))</f>
        <v/>
      </c>
      <c r="D1355" s="46"/>
      <c r="E1355" s="47"/>
      <c r="F1355" s="47"/>
      <c r="G1355" s="48"/>
      <c r="H1355" s="49"/>
      <c r="I1355" s="50"/>
      <c r="J1355" s="48"/>
      <c r="K1355" s="49"/>
      <c r="L1355" s="50"/>
      <c r="M1355" s="43" t="str">
        <f aca="false">IF(OR($L1355="",$F1355=""),"",IFERROR($L1355/INDEX(Cadastro!$E$6:$E$8,MATCH($F1355,Cadastro!$B$6:$B$8,0)),""))</f>
        <v/>
      </c>
      <c r="N1355" s="43" t="str">
        <f aca="false">IF(OR($L1355="",$I1355="",$I1355=0),"",$L1355/$I1355)</f>
        <v/>
      </c>
      <c r="O1355" s="51"/>
    </row>
    <row r="1356" customFormat="false" ht="15" hidden="false" customHeight="false" outlineLevel="0" collapsed="false">
      <c r="A1356" s="45"/>
      <c r="B1356" s="37" t="str">
        <f aca="false">IF($A1356="","",WEEKNUM($A1356,2))</f>
        <v/>
      </c>
      <c r="C1356" s="37" t="str">
        <f aca="false">IF($A1356="","",CHOOSE(WEEKDAY($A1356,2),"Seg","Ter","Qua","Qui","Sex","Sáb","Dom"))</f>
        <v/>
      </c>
      <c r="D1356" s="46"/>
      <c r="E1356" s="47"/>
      <c r="F1356" s="47"/>
      <c r="G1356" s="48"/>
      <c r="H1356" s="49"/>
      <c r="I1356" s="50"/>
      <c r="J1356" s="48"/>
      <c r="K1356" s="49"/>
      <c r="L1356" s="50"/>
      <c r="M1356" s="43" t="str">
        <f aca="false">IF(OR($L1356="",$F1356=""),"",IFERROR($L1356/INDEX(Cadastro!$E$6:$E$8,MATCH($F1356,Cadastro!$B$6:$B$8,0)),""))</f>
        <v/>
      </c>
      <c r="N1356" s="43" t="str">
        <f aca="false">IF(OR($L1356="",$I1356="",$I1356=0),"",$L1356/$I1356)</f>
        <v/>
      </c>
      <c r="O1356" s="51"/>
    </row>
    <row r="1357" customFormat="false" ht="15" hidden="false" customHeight="false" outlineLevel="0" collapsed="false">
      <c r="A1357" s="45"/>
      <c r="B1357" s="37" t="str">
        <f aca="false">IF($A1357="","",WEEKNUM($A1357,2))</f>
        <v/>
      </c>
      <c r="C1357" s="37" t="str">
        <f aca="false">IF($A1357="","",CHOOSE(WEEKDAY($A1357,2),"Seg","Ter","Qua","Qui","Sex","Sáb","Dom"))</f>
        <v/>
      </c>
      <c r="D1357" s="46"/>
      <c r="E1357" s="47"/>
      <c r="F1357" s="47"/>
      <c r="G1357" s="48"/>
      <c r="H1357" s="49"/>
      <c r="I1357" s="50"/>
      <c r="J1357" s="48"/>
      <c r="K1357" s="49"/>
      <c r="L1357" s="50"/>
      <c r="M1357" s="43" t="str">
        <f aca="false">IF(OR($L1357="",$F1357=""),"",IFERROR($L1357/INDEX(Cadastro!$E$6:$E$8,MATCH($F1357,Cadastro!$B$6:$B$8,0)),""))</f>
        <v/>
      </c>
      <c r="N1357" s="43" t="str">
        <f aca="false">IF(OR($L1357="",$I1357="",$I1357=0),"",$L1357/$I1357)</f>
        <v/>
      </c>
      <c r="O1357" s="51"/>
    </row>
    <row r="1358" customFormat="false" ht="15" hidden="false" customHeight="false" outlineLevel="0" collapsed="false">
      <c r="A1358" s="45"/>
      <c r="B1358" s="37" t="str">
        <f aca="false">IF($A1358="","",WEEKNUM($A1358,2))</f>
        <v/>
      </c>
      <c r="C1358" s="37" t="str">
        <f aca="false">IF($A1358="","",CHOOSE(WEEKDAY($A1358,2),"Seg","Ter","Qua","Qui","Sex","Sáb","Dom"))</f>
        <v/>
      </c>
      <c r="D1358" s="46"/>
      <c r="E1358" s="47"/>
      <c r="F1358" s="47"/>
      <c r="G1358" s="48"/>
      <c r="H1358" s="49"/>
      <c r="I1358" s="50"/>
      <c r="J1358" s="48"/>
      <c r="K1358" s="49"/>
      <c r="L1358" s="50"/>
      <c r="M1358" s="43" t="str">
        <f aca="false">IF(OR($L1358="",$F1358=""),"",IFERROR($L1358/INDEX(Cadastro!$E$6:$E$8,MATCH($F1358,Cadastro!$B$6:$B$8,0)),""))</f>
        <v/>
      </c>
      <c r="N1358" s="43" t="str">
        <f aca="false">IF(OR($L1358="",$I1358="",$I1358=0),"",$L1358/$I1358)</f>
        <v/>
      </c>
      <c r="O1358" s="51"/>
    </row>
    <row r="1359" customFormat="false" ht="15" hidden="false" customHeight="false" outlineLevel="0" collapsed="false">
      <c r="A1359" s="45"/>
      <c r="B1359" s="37" t="str">
        <f aca="false">IF($A1359="","",WEEKNUM($A1359,2))</f>
        <v/>
      </c>
      <c r="C1359" s="37" t="str">
        <f aca="false">IF($A1359="","",CHOOSE(WEEKDAY($A1359,2),"Seg","Ter","Qua","Qui","Sex","Sáb","Dom"))</f>
        <v/>
      </c>
      <c r="D1359" s="46"/>
      <c r="E1359" s="47"/>
      <c r="F1359" s="47"/>
      <c r="G1359" s="48"/>
      <c r="H1359" s="49"/>
      <c r="I1359" s="50"/>
      <c r="J1359" s="48"/>
      <c r="K1359" s="49"/>
      <c r="L1359" s="50"/>
      <c r="M1359" s="43" t="str">
        <f aca="false">IF(OR($L1359="",$F1359=""),"",IFERROR($L1359/INDEX(Cadastro!$E$6:$E$8,MATCH($F1359,Cadastro!$B$6:$B$8,0)),""))</f>
        <v/>
      </c>
      <c r="N1359" s="43" t="str">
        <f aca="false">IF(OR($L1359="",$I1359="",$I1359=0),"",$L1359/$I1359)</f>
        <v/>
      </c>
      <c r="O1359" s="51"/>
    </row>
    <row r="1360" customFormat="false" ht="15" hidden="false" customHeight="false" outlineLevel="0" collapsed="false">
      <c r="A1360" s="45"/>
      <c r="B1360" s="37" t="str">
        <f aca="false">IF($A1360="","",WEEKNUM($A1360,2))</f>
        <v/>
      </c>
      <c r="C1360" s="37" t="str">
        <f aca="false">IF($A1360="","",CHOOSE(WEEKDAY($A1360,2),"Seg","Ter","Qua","Qui","Sex","Sáb","Dom"))</f>
        <v/>
      </c>
      <c r="D1360" s="46"/>
      <c r="E1360" s="47"/>
      <c r="F1360" s="47"/>
      <c r="G1360" s="48"/>
      <c r="H1360" s="49"/>
      <c r="I1360" s="50"/>
      <c r="J1360" s="48"/>
      <c r="K1360" s="49"/>
      <c r="L1360" s="50"/>
      <c r="M1360" s="43" t="str">
        <f aca="false">IF(OR($L1360="",$F1360=""),"",IFERROR($L1360/INDEX(Cadastro!$E$6:$E$8,MATCH($F1360,Cadastro!$B$6:$B$8,0)),""))</f>
        <v/>
      </c>
      <c r="N1360" s="43" t="str">
        <f aca="false">IF(OR($L1360="",$I1360="",$I1360=0),"",$L1360/$I1360)</f>
        <v/>
      </c>
      <c r="O1360" s="51"/>
    </row>
    <row r="1361" customFormat="false" ht="15" hidden="false" customHeight="false" outlineLevel="0" collapsed="false">
      <c r="A1361" s="45"/>
      <c r="B1361" s="37" t="str">
        <f aca="false">IF($A1361="","",WEEKNUM($A1361,2))</f>
        <v/>
      </c>
      <c r="C1361" s="37" t="str">
        <f aca="false">IF($A1361="","",CHOOSE(WEEKDAY($A1361,2),"Seg","Ter","Qua","Qui","Sex","Sáb","Dom"))</f>
        <v/>
      </c>
      <c r="D1361" s="46"/>
      <c r="E1361" s="47"/>
      <c r="F1361" s="47"/>
      <c r="G1361" s="48"/>
      <c r="H1361" s="49"/>
      <c r="I1361" s="50"/>
      <c r="J1361" s="48"/>
      <c r="K1361" s="49"/>
      <c r="L1361" s="50"/>
      <c r="M1361" s="43" t="str">
        <f aca="false">IF(OR($L1361="",$F1361=""),"",IFERROR($L1361/INDEX(Cadastro!$E$6:$E$8,MATCH($F1361,Cadastro!$B$6:$B$8,0)),""))</f>
        <v/>
      </c>
      <c r="N1361" s="43" t="str">
        <f aca="false">IF(OR($L1361="",$I1361="",$I1361=0),"",$L1361/$I1361)</f>
        <v/>
      </c>
      <c r="O1361" s="51"/>
    </row>
    <row r="1362" customFormat="false" ht="15" hidden="false" customHeight="false" outlineLevel="0" collapsed="false">
      <c r="A1362" s="45"/>
      <c r="B1362" s="37" t="str">
        <f aca="false">IF($A1362="","",WEEKNUM($A1362,2))</f>
        <v/>
      </c>
      <c r="C1362" s="37" t="str">
        <f aca="false">IF($A1362="","",CHOOSE(WEEKDAY($A1362,2),"Seg","Ter","Qua","Qui","Sex","Sáb","Dom"))</f>
        <v/>
      </c>
      <c r="D1362" s="46"/>
      <c r="E1362" s="47"/>
      <c r="F1362" s="47"/>
      <c r="G1362" s="48"/>
      <c r="H1362" s="49"/>
      <c r="I1362" s="50"/>
      <c r="J1362" s="48"/>
      <c r="K1362" s="49"/>
      <c r="L1362" s="50"/>
      <c r="M1362" s="43" t="str">
        <f aca="false">IF(OR($L1362="",$F1362=""),"",IFERROR($L1362/INDEX(Cadastro!$E$6:$E$8,MATCH($F1362,Cadastro!$B$6:$B$8,0)),""))</f>
        <v/>
      </c>
      <c r="N1362" s="43" t="str">
        <f aca="false">IF(OR($L1362="",$I1362="",$I1362=0),"",$L1362/$I1362)</f>
        <v/>
      </c>
      <c r="O1362" s="51"/>
    </row>
    <row r="1363" customFormat="false" ht="15" hidden="false" customHeight="false" outlineLevel="0" collapsed="false">
      <c r="A1363" s="45"/>
      <c r="B1363" s="37" t="str">
        <f aca="false">IF($A1363="","",WEEKNUM($A1363,2))</f>
        <v/>
      </c>
      <c r="C1363" s="37" t="str">
        <f aca="false">IF($A1363="","",CHOOSE(WEEKDAY($A1363,2),"Seg","Ter","Qua","Qui","Sex","Sáb","Dom"))</f>
        <v/>
      </c>
      <c r="D1363" s="46"/>
      <c r="E1363" s="47"/>
      <c r="F1363" s="47"/>
      <c r="G1363" s="48"/>
      <c r="H1363" s="49"/>
      <c r="I1363" s="50"/>
      <c r="J1363" s="48"/>
      <c r="K1363" s="49"/>
      <c r="L1363" s="50"/>
      <c r="M1363" s="43" t="str">
        <f aca="false">IF(OR($L1363="",$F1363=""),"",IFERROR($L1363/INDEX(Cadastro!$E$6:$E$8,MATCH($F1363,Cadastro!$B$6:$B$8,0)),""))</f>
        <v/>
      </c>
      <c r="N1363" s="43" t="str">
        <f aca="false">IF(OR($L1363="",$I1363="",$I1363=0),"",$L1363/$I1363)</f>
        <v/>
      </c>
      <c r="O1363" s="51"/>
    </row>
    <row r="1364" customFormat="false" ht="15" hidden="false" customHeight="false" outlineLevel="0" collapsed="false">
      <c r="A1364" s="45"/>
      <c r="B1364" s="37" t="str">
        <f aca="false">IF($A1364="","",WEEKNUM($A1364,2))</f>
        <v/>
      </c>
      <c r="C1364" s="37" t="str">
        <f aca="false">IF($A1364="","",CHOOSE(WEEKDAY($A1364,2),"Seg","Ter","Qua","Qui","Sex","Sáb","Dom"))</f>
        <v/>
      </c>
      <c r="D1364" s="46"/>
      <c r="E1364" s="47"/>
      <c r="F1364" s="47"/>
      <c r="G1364" s="48"/>
      <c r="H1364" s="49"/>
      <c r="I1364" s="50"/>
      <c r="J1364" s="48"/>
      <c r="K1364" s="49"/>
      <c r="L1364" s="50"/>
      <c r="M1364" s="43" t="str">
        <f aca="false">IF(OR($L1364="",$F1364=""),"",IFERROR($L1364/INDEX(Cadastro!$E$6:$E$8,MATCH($F1364,Cadastro!$B$6:$B$8,0)),""))</f>
        <v/>
      </c>
      <c r="N1364" s="43" t="str">
        <f aca="false">IF(OR($L1364="",$I1364="",$I1364=0),"",$L1364/$I1364)</f>
        <v/>
      </c>
      <c r="O1364" s="51"/>
    </row>
    <row r="1365" customFormat="false" ht="15" hidden="false" customHeight="false" outlineLevel="0" collapsed="false">
      <c r="A1365" s="45"/>
      <c r="B1365" s="37" t="str">
        <f aca="false">IF($A1365="","",WEEKNUM($A1365,2))</f>
        <v/>
      </c>
      <c r="C1365" s="37" t="str">
        <f aca="false">IF($A1365="","",CHOOSE(WEEKDAY($A1365,2),"Seg","Ter","Qua","Qui","Sex","Sáb","Dom"))</f>
        <v/>
      </c>
      <c r="D1365" s="46"/>
      <c r="E1365" s="47"/>
      <c r="F1365" s="47"/>
      <c r="G1365" s="48"/>
      <c r="H1365" s="49"/>
      <c r="I1365" s="50"/>
      <c r="J1365" s="48"/>
      <c r="K1365" s="49"/>
      <c r="L1365" s="50"/>
      <c r="M1365" s="43" t="str">
        <f aca="false">IF(OR($L1365="",$F1365=""),"",IFERROR($L1365/INDEX(Cadastro!$E$6:$E$8,MATCH($F1365,Cadastro!$B$6:$B$8,0)),""))</f>
        <v/>
      </c>
      <c r="N1365" s="43" t="str">
        <f aca="false">IF(OR($L1365="",$I1365="",$I1365=0),"",$L1365/$I1365)</f>
        <v/>
      </c>
      <c r="O1365" s="51"/>
    </row>
    <row r="1366" customFormat="false" ht="15" hidden="false" customHeight="false" outlineLevel="0" collapsed="false">
      <c r="A1366" s="45"/>
      <c r="B1366" s="37" t="str">
        <f aca="false">IF($A1366="","",WEEKNUM($A1366,2))</f>
        <v/>
      </c>
      <c r="C1366" s="37" t="str">
        <f aca="false">IF($A1366="","",CHOOSE(WEEKDAY($A1366,2),"Seg","Ter","Qua","Qui","Sex","Sáb","Dom"))</f>
        <v/>
      </c>
      <c r="D1366" s="46"/>
      <c r="E1366" s="47"/>
      <c r="F1366" s="47"/>
      <c r="G1366" s="48"/>
      <c r="H1366" s="49"/>
      <c r="I1366" s="50"/>
      <c r="J1366" s="48"/>
      <c r="K1366" s="49"/>
      <c r="L1366" s="50"/>
      <c r="M1366" s="43" t="str">
        <f aca="false">IF(OR($L1366="",$F1366=""),"",IFERROR($L1366/INDEX(Cadastro!$E$6:$E$8,MATCH($F1366,Cadastro!$B$6:$B$8,0)),""))</f>
        <v/>
      </c>
      <c r="N1366" s="43" t="str">
        <f aca="false">IF(OR($L1366="",$I1366="",$I1366=0),"",$L1366/$I1366)</f>
        <v/>
      </c>
      <c r="O1366" s="51"/>
    </row>
    <row r="1367" customFormat="false" ht="15" hidden="false" customHeight="false" outlineLevel="0" collapsed="false">
      <c r="A1367" s="45"/>
      <c r="B1367" s="37" t="str">
        <f aca="false">IF($A1367="","",WEEKNUM($A1367,2))</f>
        <v/>
      </c>
      <c r="C1367" s="37" t="str">
        <f aca="false">IF($A1367="","",CHOOSE(WEEKDAY($A1367,2),"Seg","Ter","Qua","Qui","Sex","Sáb","Dom"))</f>
        <v/>
      </c>
      <c r="D1367" s="46"/>
      <c r="E1367" s="47"/>
      <c r="F1367" s="47"/>
      <c r="G1367" s="48"/>
      <c r="H1367" s="49"/>
      <c r="I1367" s="50"/>
      <c r="J1367" s="48"/>
      <c r="K1367" s="49"/>
      <c r="L1367" s="50"/>
      <c r="M1367" s="43" t="str">
        <f aca="false">IF(OR($L1367="",$F1367=""),"",IFERROR($L1367/INDEX(Cadastro!$E$6:$E$8,MATCH($F1367,Cadastro!$B$6:$B$8,0)),""))</f>
        <v/>
      </c>
      <c r="N1367" s="43" t="str">
        <f aca="false">IF(OR($L1367="",$I1367="",$I1367=0),"",$L1367/$I1367)</f>
        <v/>
      </c>
      <c r="O1367" s="51"/>
    </row>
    <row r="1368" customFormat="false" ht="15" hidden="false" customHeight="false" outlineLevel="0" collapsed="false">
      <c r="A1368" s="45"/>
      <c r="B1368" s="37" t="str">
        <f aca="false">IF($A1368="","",WEEKNUM($A1368,2))</f>
        <v/>
      </c>
      <c r="C1368" s="37" t="str">
        <f aca="false">IF($A1368="","",CHOOSE(WEEKDAY($A1368,2),"Seg","Ter","Qua","Qui","Sex","Sáb","Dom"))</f>
        <v/>
      </c>
      <c r="D1368" s="46"/>
      <c r="E1368" s="47"/>
      <c r="F1368" s="47"/>
      <c r="G1368" s="48"/>
      <c r="H1368" s="49"/>
      <c r="I1368" s="50"/>
      <c r="J1368" s="48"/>
      <c r="K1368" s="49"/>
      <c r="L1368" s="50"/>
      <c r="M1368" s="43" t="str">
        <f aca="false">IF(OR($L1368="",$F1368=""),"",IFERROR($L1368/INDEX(Cadastro!$E$6:$E$8,MATCH($F1368,Cadastro!$B$6:$B$8,0)),""))</f>
        <v/>
      </c>
      <c r="N1368" s="43" t="str">
        <f aca="false">IF(OR($L1368="",$I1368="",$I1368=0),"",$L1368/$I1368)</f>
        <v/>
      </c>
      <c r="O1368" s="51"/>
    </row>
    <row r="1369" customFormat="false" ht="15" hidden="false" customHeight="false" outlineLevel="0" collapsed="false">
      <c r="A1369" s="45"/>
      <c r="B1369" s="37" t="str">
        <f aca="false">IF($A1369="","",WEEKNUM($A1369,2))</f>
        <v/>
      </c>
      <c r="C1369" s="37" t="str">
        <f aca="false">IF($A1369="","",CHOOSE(WEEKDAY($A1369,2),"Seg","Ter","Qua","Qui","Sex","Sáb","Dom"))</f>
        <v/>
      </c>
      <c r="D1369" s="46"/>
      <c r="E1369" s="47"/>
      <c r="F1369" s="47"/>
      <c r="G1369" s="48"/>
      <c r="H1369" s="49"/>
      <c r="I1369" s="50"/>
      <c r="J1369" s="48"/>
      <c r="K1369" s="49"/>
      <c r="L1369" s="50"/>
      <c r="M1369" s="43" t="str">
        <f aca="false">IF(OR($L1369="",$F1369=""),"",IFERROR($L1369/INDEX(Cadastro!$E$6:$E$8,MATCH($F1369,Cadastro!$B$6:$B$8,0)),""))</f>
        <v/>
      </c>
      <c r="N1369" s="43" t="str">
        <f aca="false">IF(OR($L1369="",$I1369="",$I1369=0),"",$L1369/$I1369)</f>
        <v/>
      </c>
      <c r="O1369" s="51"/>
    </row>
    <row r="1370" customFormat="false" ht="15" hidden="false" customHeight="false" outlineLevel="0" collapsed="false">
      <c r="A1370" s="45"/>
      <c r="B1370" s="37" t="str">
        <f aca="false">IF($A1370="","",WEEKNUM($A1370,2))</f>
        <v/>
      </c>
      <c r="C1370" s="37" t="str">
        <f aca="false">IF($A1370="","",CHOOSE(WEEKDAY($A1370,2),"Seg","Ter","Qua","Qui","Sex","Sáb","Dom"))</f>
        <v/>
      </c>
      <c r="D1370" s="46"/>
      <c r="E1370" s="47"/>
      <c r="F1370" s="47"/>
      <c r="G1370" s="48"/>
      <c r="H1370" s="49"/>
      <c r="I1370" s="50"/>
      <c r="J1370" s="48"/>
      <c r="K1370" s="49"/>
      <c r="L1370" s="50"/>
      <c r="M1370" s="43" t="str">
        <f aca="false">IF(OR($L1370="",$F1370=""),"",IFERROR($L1370/INDEX(Cadastro!$E$6:$E$8,MATCH($F1370,Cadastro!$B$6:$B$8,0)),""))</f>
        <v/>
      </c>
      <c r="N1370" s="43" t="str">
        <f aca="false">IF(OR($L1370="",$I1370="",$I1370=0),"",$L1370/$I1370)</f>
        <v/>
      </c>
      <c r="O1370" s="51"/>
    </row>
    <row r="1371" customFormat="false" ht="15" hidden="false" customHeight="false" outlineLevel="0" collapsed="false">
      <c r="A1371" s="45"/>
      <c r="B1371" s="37" t="str">
        <f aca="false">IF($A1371="","",WEEKNUM($A1371,2))</f>
        <v/>
      </c>
      <c r="C1371" s="37" t="str">
        <f aca="false">IF($A1371="","",CHOOSE(WEEKDAY($A1371,2),"Seg","Ter","Qua","Qui","Sex","Sáb","Dom"))</f>
        <v/>
      </c>
      <c r="D1371" s="46"/>
      <c r="E1371" s="47"/>
      <c r="F1371" s="47"/>
      <c r="G1371" s="48"/>
      <c r="H1371" s="49"/>
      <c r="I1371" s="50"/>
      <c r="J1371" s="48"/>
      <c r="K1371" s="49"/>
      <c r="L1371" s="50"/>
      <c r="M1371" s="43" t="str">
        <f aca="false">IF(OR($L1371="",$F1371=""),"",IFERROR($L1371/INDEX(Cadastro!$E$6:$E$8,MATCH($F1371,Cadastro!$B$6:$B$8,0)),""))</f>
        <v/>
      </c>
      <c r="N1371" s="43" t="str">
        <f aca="false">IF(OR($L1371="",$I1371="",$I1371=0),"",$L1371/$I1371)</f>
        <v/>
      </c>
      <c r="O1371" s="51"/>
    </row>
    <row r="1372" customFormat="false" ht="15" hidden="false" customHeight="false" outlineLevel="0" collapsed="false">
      <c r="A1372" s="45"/>
      <c r="B1372" s="37" t="str">
        <f aca="false">IF($A1372="","",WEEKNUM($A1372,2))</f>
        <v/>
      </c>
      <c r="C1372" s="37" t="str">
        <f aca="false">IF($A1372="","",CHOOSE(WEEKDAY($A1372,2),"Seg","Ter","Qua","Qui","Sex","Sáb","Dom"))</f>
        <v/>
      </c>
      <c r="D1372" s="46"/>
      <c r="E1372" s="47"/>
      <c r="F1372" s="47"/>
      <c r="G1372" s="48"/>
      <c r="H1372" s="49"/>
      <c r="I1372" s="50"/>
      <c r="J1372" s="48"/>
      <c r="K1372" s="49"/>
      <c r="L1372" s="50"/>
      <c r="M1372" s="43" t="str">
        <f aca="false">IF(OR($L1372="",$F1372=""),"",IFERROR($L1372/INDEX(Cadastro!$E$6:$E$8,MATCH($F1372,Cadastro!$B$6:$B$8,0)),""))</f>
        <v/>
      </c>
      <c r="N1372" s="43" t="str">
        <f aca="false">IF(OR($L1372="",$I1372="",$I1372=0),"",$L1372/$I1372)</f>
        <v/>
      </c>
      <c r="O1372" s="51"/>
    </row>
    <row r="1373" customFormat="false" ht="15" hidden="false" customHeight="false" outlineLevel="0" collapsed="false">
      <c r="A1373" s="45"/>
      <c r="B1373" s="37" t="str">
        <f aca="false">IF($A1373="","",WEEKNUM($A1373,2))</f>
        <v/>
      </c>
      <c r="C1373" s="37" t="str">
        <f aca="false">IF($A1373="","",CHOOSE(WEEKDAY($A1373,2),"Seg","Ter","Qua","Qui","Sex","Sáb","Dom"))</f>
        <v/>
      </c>
      <c r="D1373" s="46"/>
      <c r="E1373" s="47"/>
      <c r="F1373" s="47"/>
      <c r="G1373" s="48"/>
      <c r="H1373" s="49"/>
      <c r="I1373" s="50"/>
      <c r="J1373" s="48"/>
      <c r="K1373" s="49"/>
      <c r="L1373" s="50"/>
      <c r="M1373" s="43" t="str">
        <f aca="false">IF(OR($L1373="",$F1373=""),"",IFERROR($L1373/INDEX(Cadastro!$E$6:$E$8,MATCH($F1373,Cadastro!$B$6:$B$8,0)),""))</f>
        <v/>
      </c>
      <c r="N1373" s="43" t="str">
        <f aca="false">IF(OR($L1373="",$I1373="",$I1373=0),"",$L1373/$I1373)</f>
        <v/>
      </c>
      <c r="O1373" s="51"/>
    </row>
    <row r="1374" customFormat="false" ht="15" hidden="false" customHeight="false" outlineLevel="0" collapsed="false">
      <c r="A1374" s="45"/>
      <c r="B1374" s="37" t="str">
        <f aca="false">IF($A1374="","",WEEKNUM($A1374,2))</f>
        <v/>
      </c>
      <c r="C1374" s="37" t="str">
        <f aca="false">IF($A1374="","",CHOOSE(WEEKDAY($A1374,2),"Seg","Ter","Qua","Qui","Sex","Sáb","Dom"))</f>
        <v/>
      </c>
      <c r="D1374" s="46"/>
      <c r="E1374" s="47"/>
      <c r="F1374" s="47"/>
      <c r="G1374" s="48"/>
      <c r="H1374" s="49"/>
      <c r="I1374" s="50"/>
      <c r="J1374" s="48"/>
      <c r="K1374" s="49"/>
      <c r="L1374" s="50"/>
      <c r="M1374" s="43" t="str">
        <f aca="false">IF(OR($L1374="",$F1374=""),"",IFERROR($L1374/INDEX(Cadastro!$E$6:$E$8,MATCH($F1374,Cadastro!$B$6:$B$8,0)),""))</f>
        <v/>
      </c>
      <c r="N1374" s="43" t="str">
        <f aca="false">IF(OR($L1374="",$I1374="",$I1374=0),"",$L1374/$I1374)</f>
        <v/>
      </c>
      <c r="O1374" s="51"/>
    </row>
    <row r="1375" customFormat="false" ht="15" hidden="false" customHeight="false" outlineLevel="0" collapsed="false">
      <c r="A1375" s="45"/>
      <c r="B1375" s="37" t="str">
        <f aca="false">IF($A1375="","",WEEKNUM($A1375,2))</f>
        <v/>
      </c>
      <c r="C1375" s="37" t="str">
        <f aca="false">IF($A1375="","",CHOOSE(WEEKDAY($A1375,2),"Seg","Ter","Qua","Qui","Sex","Sáb","Dom"))</f>
        <v/>
      </c>
      <c r="D1375" s="46"/>
      <c r="E1375" s="47"/>
      <c r="F1375" s="47"/>
      <c r="G1375" s="48"/>
      <c r="H1375" s="49"/>
      <c r="I1375" s="50"/>
      <c r="J1375" s="48"/>
      <c r="K1375" s="49"/>
      <c r="L1375" s="50"/>
      <c r="M1375" s="43" t="str">
        <f aca="false">IF(OR($L1375="",$F1375=""),"",IFERROR($L1375/INDEX(Cadastro!$E$6:$E$8,MATCH($F1375,Cadastro!$B$6:$B$8,0)),""))</f>
        <v/>
      </c>
      <c r="N1375" s="43" t="str">
        <f aca="false">IF(OR($L1375="",$I1375="",$I1375=0),"",$L1375/$I1375)</f>
        <v/>
      </c>
      <c r="O1375" s="51"/>
    </row>
    <row r="1376" customFormat="false" ht="15" hidden="false" customHeight="false" outlineLevel="0" collapsed="false">
      <c r="A1376" s="45"/>
      <c r="B1376" s="37" t="str">
        <f aca="false">IF($A1376="","",WEEKNUM($A1376,2))</f>
        <v/>
      </c>
      <c r="C1376" s="37" t="str">
        <f aca="false">IF($A1376="","",CHOOSE(WEEKDAY($A1376,2),"Seg","Ter","Qua","Qui","Sex","Sáb","Dom"))</f>
        <v/>
      </c>
      <c r="D1376" s="46"/>
      <c r="E1376" s="47"/>
      <c r="F1376" s="47"/>
      <c r="G1376" s="48"/>
      <c r="H1376" s="49"/>
      <c r="I1376" s="50"/>
      <c r="J1376" s="48"/>
      <c r="K1376" s="49"/>
      <c r="L1376" s="50"/>
      <c r="M1376" s="43" t="str">
        <f aca="false">IF(OR($L1376="",$F1376=""),"",IFERROR($L1376/INDEX(Cadastro!$E$6:$E$8,MATCH($F1376,Cadastro!$B$6:$B$8,0)),""))</f>
        <v/>
      </c>
      <c r="N1376" s="43" t="str">
        <f aca="false">IF(OR($L1376="",$I1376="",$I1376=0),"",$L1376/$I1376)</f>
        <v/>
      </c>
      <c r="O1376" s="51"/>
    </row>
    <row r="1377" customFormat="false" ht="15" hidden="false" customHeight="false" outlineLevel="0" collapsed="false">
      <c r="A1377" s="45"/>
      <c r="B1377" s="37" t="str">
        <f aca="false">IF($A1377="","",WEEKNUM($A1377,2))</f>
        <v/>
      </c>
      <c r="C1377" s="37" t="str">
        <f aca="false">IF($A1377="","",CHOOSE(WEEKDAY($A1377,2),"Seg","Ter","Qua","Qui","Sex","Sáb","Dom"))</f>
        <v/>
      </c>
      <c r="D1377" s="46"/>
      <c r="E1377" s="47"/>
      <c r="F1377" s="47"/>
      <c r="G1377" s="48"/>
      <c r="H1377" s="49"/>
      <c r="I1377" s="50"/>
      <c r="J1377" s="48"/>
      <c r="K1377" s="49"/>
      <c r="L1377" s="50"/>
      <c r="M1377" s="43" t="str">
        <f aca="false">IF(OR($L1377="",$F1377=""),"",IFERROR($L1377/INDEX(Cadastro!$E$6:$E$8,MATCH($F1377,Cadastro!$B$6:$B$8,0)),""))</f>
        <v/>
      </c>
      <c r="N1377" s="43" t="str">
        <f aca="false">IF(OR($L1377="",$I1377="",$I1377=0),"",$L1377/$I1377)</f>
        <v/>
      </c>
      <c r="O1377" s="51"/>
    </row>
    <row r="1378" customFormat="false" ht="15" hidden="false" customHeight="false" outlineLevel="0" collapsed="false">
      <c r="A1378" s="45"/>
      <c r="B1378" s="37" t="str">
        <f aca="false">IF($A1378="","",WEEKNUM($A1378,2))</f>
        <v/>
      </c>
      <c r="C1378" s="37" t="str">
        <f aca="false">IF($A1378="","",CHOOSE(WEEKDAY($A1378,2),"Seg","Ter","Qua","Qui","Sex","Sáb","Dom"))</f>
        <v/>
      </c>
      <c r="D1378" s="46"/>
      <c r="E1378" s="47"/>
      <c r="F1378" s="47"/>
      <c r="G1378" s="48"/>
      <c r="H1378" s="49"/>
      <c r="I1378" s="50"/>
      <c r="J1378" s="48"/>
      <c r="K1378" s="49"/>
      <c r="L1378" s="50"/>
      <c r="M1378" s="43" t="str">
        <f aca="false">IF(OR($L1378="",$F1378=""),"",IFERROR($L1378/INDEX(Cadastro!$E$6:$E$8,MATCH($F1378,Cadastro!$B$6:$B$8,0)),""))</f>
        <v/>
      </c>
      <c r="N1378" s="43" t="str">
        <f aca="false">IF(OR($L1378="",$I1378="",$I1378=0),"",$L1378/$I1378)</f>
        <v/>
      </c>
      <c r="O1378" s="51"/>
    </row>
    <row r="1379" customFormat="false" ht="15" hidden="false" customHeight="false" outlineLevel="0" collapsed="false">
      <c r="A1379" s="45"/>
      <c r="B1379" s="37" t="str">
        <f aca="false">IF($A1379="","",WEEKNUM($A1379,2))</f>
        <v/>
      </c>
      <c r="C1379" s="37" t="str">
        <f aca="false">IF($A1379="","",CHOOSE(WEEKDAY($A1379,2),"Seg","Ter","Qua","Qui","Sex","Sáb","Dom"))</f>
        <v/>
      </c>
      <c r="D1379" s="46"/>
      <c r="E1379" s="47"/>
      <c r="F1379" s="47"/>
      <c r="G1379" s="48"/>
      <c r="H1379" s="49"/>
      <c r="I1379" s="50"/>
      <c r="J1379" s="48"/>
      <c r="K1379" s="49"/>
      <c r="L1379" s="50"/>
      <c r="M1379" s="43" t="str">
        <f aca="false">IF(OR($L1379="",$F1379=""),"",IFERROR($L1379/INDEX(Cadastro!$E$6:$E$8,MATCH($F1379,Cadastro!$B$6:$B$8,0)),""))</f>
        <v/>
      </c>
      <c r="N1379" s="43" t="str">
        <f aca="false">IF(OR($L1379="",$I1379="",$I1379=0),"",$L1379/$I1379)</f>
        <v/>
      </c>
      <c r="O1379" s="51"/>
    </row>
    <row r="1380" customFormat="false" ht="15" hidden="false" customHeight="false" outlineLevel="0" collapsed="false">
      <c r="A1380" s="45"/>
      <c r="B1380" s="37" t="str">
        <f aca="false">IF($A1380="","",WEEKNUM($A1380,2))</f>
        <v/>
      </c>
      <c r="C1380" s="37" t="str">
        <f aca="false">IF($A1380="","",CHOOSE(WEEKDAY($A1380,2),"Seg","Ter","Qua","Qui","Sex","Sáb","Dom"))</f>
        <v/>
      </c>
      <c r="D1380" s="46"/>
      <c r="E1380" s="47"/>
      <c r="F1380" s="47"/>
      <c r="G1380" s="48"/>
      <c r="H1380" s="49"/>
      <c r="I1380" s="50"/>
      <c r="J1380" s="48"/>
      <c r="K1380" s="49"/>
      <c r="L1380" s="50"/>
      <c r="M1380" s="43" t="str">
        <f aca="false">IF(OR($L1380="",$F1380=""),"",IFERROR($L1380/INDEX(Cadastro!$E$6:$E$8,MATCH($F1380,Cadastro!$B$6:$B$8,0)),""))</f>
        <v/>
      </c>
      <c r="N1380" s="43" t="str">
        <f aca="false">IF(OR($L1380="",$I1380="",$I1380=0),"",$L1380/$I1380)</f>
        <v/>
      </c>
      <c r="O1380" s="51"/>
    </row>
    <row r="1381" customFormat="false" ht="15" hidden="false" customHeight="false" outlineLevel="0" collapsed="false">
      <c r="A1381" s="45"/>
      <c r="B1381" s="37" t="str">
        <f aca="false">IF($A1381="","",WEEKNUM($A1381,2))</f>
        <v/>
      </c>
      <c r="C1381" s="37" t="str">
        <f aca="false">IF($A1381="","",CHOOSE(WEEKDAY($A1381,2),"Seg","Ter","Qua","Qui","Sex","Sáb","Dom"))</f>
        <v/>
      </c>
      <c r="D1381" s="46"/>
      <c r="E1381" s="47"/>
      <c r="F1381" s="47"/>
      <c r="G1381" s="48"/>
      <c r="H1381" s="49"/>
      <c r="I1381" s="50"/>
      <c r="J1381" s="48"/>
      <c r="K1381" s="49"/>
      <c r="L1381" s="50"/>
      <c r="M1381" s="43" t="str">
        <f aca="false">IF(OR($L1381="",$F1381=""),"",IFERROR($L1381/INDEX(Cadastro!$E$6:$E$8,MATCH($F1381,Cadastro!$B$6:$B$8,0)),""))</f>
        <v/>
      </c>
      <c r="N1381" s="43" t="str">
        <f aca="false">IF(OR($L1381="",$I1381="",$I1381=0),"",$L1381/$I1381)</f>
        <v/>
      </c>
      <c r="O1381" s="51"/>
    </row>
    <row r="1382" customFormat="false" ht="15" hidden="false" customHeight="false" outlineLevel="0" collapsed="false">
      <c r="A1382" s="45"/>
      <c r="B1382" s="37" t="str">
        <f aca="false">IF($A1382="","",WEEKNUM($A1382,2))</f>
        <v/>
      </c>
      <c r="C1382" s="37" t="str">
        <f aca="false">IF($A1382="","",CHOOSE(WEEKDAY($A1382,2),"Seg","Ter","Qua","Qui","Sex","Sáb","Dom"))</f>
        <v/>
      </c>
      <c r="D1382" s="46"/>
      <c r="E1382" s="47"/>
      <c r="F1382" s="47"/>
      <c r="G1382" s="48"/>
      <c r="H1382" s="49"/>
      <c r="I1382" s="50"/>
      <c r="J1382" s="48"/>
      <c r="K1382" s="49"/>
      <c r="L1382" s="50"/>
      <c r="M1382" s="43" t="str">
        <f aca="false">IF(OR($L1382="",$F1382=""),"",IFERROR($L1382/INDEX(Cadastro!$E$6:$E$8,MATCH($F1382,Cadastro!$B$6:$B$8,0)),""))</f>
        <v/>
      </c>
      <c r="N1382" s="43" t="str">
        <f aca="false">IF(OR($L1382="",$I1382="",$I1382=0),"",$L1382/$I1382)</f>
        <v/>
      </c>
      <c r="O1382" s="51"/>
    </row>
    <row r="1383" customFormat="false" ht="15" hidden="false" customHeight="false" outlineLevel="0" collapsed="false">
      <c r="A1383" s="45"/>
      <c r="B1383" s="37" t="str">
        <f aca="false">IF($A1383="","",WEEKNUM($A1383,2))</f>
        <v/>
      </c>
      <c r="C1383" s="37" t="str">
        <f aca="false">IF($A1383="","",CHOOSE(WEEKDAY($A1383,2),"Seg","Ter","Qua","Qui","Sex","Sáb","Dom"))</f>
        <v/>
      </c>
      <c r="D1383" s="46"/>
      <c r="E1383" s="47"/>
      <c r="F1383" s="47"/>
      <c r="G1383" s="48"/>
      <c r="H1383" s="49"/>
      <c r="I1383" s="50"/>
      <c r="J1383" s="48"/>
      <c r="K1383" s="49"/>
      <c r="L1383" s="50"/>
      <c r="M1383" s="43" t="str">
        <f aca="false">IF(OR($L1383="",$F1383=""),"",IFERROR($L1383/INDEX(Cadastro!$E$6:$E$8,MATCH($F1383,Cadastro!$B$6:$B$8,0)),""))</f>
        <v/>
      </c>
      <c r="N1383" s="43" t="str">
        <f aca="false">IF(OR($L1383="",$I1383="",$I1383=0),"",$L1383/$I1383)</f>
        <v/>
      </c>
      <c r="O1383" s="51"/>
    </row>
    <row r="1384" customFormat="false" ht="15" hidden="false" customHeight="false" outlineLevel="0" collapsed="false">
      <c r="A1384" s="45"/>
      <c r="B1384" s="37" t="str">
        <f aca="false">IF($A1384="","",WEEKNUM($A1384,2))</f>
        <v/>
      </c>
      <c r="C1384" s="37" t="str">
        <f aca="false">IF($A1384="","",CHOOSE(WEEKDAY($A1384,2),"Seg","Ter","Qua","Qui","Sex","Sáb","Dom"))</f>
        <v/>
      </c>
      <c r="D1384" s="46"/>
      <c r="E1384" s="47"/>
      <c r="F1384" s="47"/>
      <c r="G1384" s="48"/>
      <c r="H1384" s="49"/>
      <c r="I1384" s="50"/>
      <c r="J1384" s="48"/>
      <c r="K1384" s="49"/>
      <c r="L1384" s="50"/>
      <c r="M1384" s="43" t="str">
        <f aca="false">IF(OR($L1384="",$F1384=""),"",IFERROR($L1384/INDEX(Cadastro!$E$6:$E$8,MATCH($F1384,Cadastro!$B$6:$B$8,0)),""))</f>
        <v/>
      </c>
      <c r="N1384" s="43" t="str">
        <f aca="false">IF(OR($L1384="",$I1384="",$I1384=0),"",$L1384/$I1384)</f>
        <v/>
      </c>
      <c r="O1384" s="51"/>
    </row>
    <row r="1385" customFormat="false" ht="15" hidden="false" customHeight="false" outlineLevel="0" collapsed="false">
      <c r="A1385" s="45"/>
      <c r="B1385" s="37" t="str">
        <f aca="false">IF($A1385="","",WEEKNUM($A1385,2))</f>
        <v/>
      </c>
      <c r="C1385" s="37" t="str">
        <f aca="false">IF($A1385="","",CHOOSE(WEEKDAY($A1385,2),"Seg","Ter","Qua","Qui","Sex","Sáb","Dom"))</f>
        <v/>
      </c>
      <c r="D1385" s="46"/>
      <c r="E1385" s="47"/>
      <c r="F1385" s="47"/>
      <c r="G1385" s="48"/>
      <c r="H1385" s="49"/>
      <c r="I1385" s="50"/>
      <c r="J1385" s="48"/>
      <c r="K1385" s="49"/>
      <c r="L1385" s="50"/>
      <c r="M1385" s="43" t="str">
        <f aca="false">IF(OR($L1385="",$F1385=""),"",IFERROR($L1385/INDEX(Cadastro!$E$6:$E$8,MATCH($F1385,Cadastro!$B$6:$B$8,0)),""))</f>
        <v/>
      </c>
      <c r="N1385" s="43" t="str">
        <f aca="false">IF(OR($L1385="",$I1385="",$I1385=0),"",$L1385/$I1385)</f>
        <v/>
      </c>
      <c r="O1385" s="51"/>
    </row>
    <row r="1386" customFormat="false" ht="15" hidden="false" customHeight="false" outlineLevel="0" collapsed="false">
      <c r="A1386" s="45"/>
      <c r="B1386" s="37" t="str">
        <f aca="false">IF($A1386="","",WEEKNUM($A1386,2))</f>
        <v/>
      </c>
      <c r="C1386" s="37" t="str">
        <f aca="false">IF($A1386="","",CHOOSE(WEEKDAY($A1386,2),"Seg","Ter","Qua","Qui","Sex","Sáb","Dom"))</f>
        <v/>
      </c>
      <c r="D1386" s="46"/>
      <c r="E1386" s="47"/>
      <c r="F1386" s="47"/>
      <c r="G1386" s="48"/>
      <c r="H1386" s="49"/>
      <c r="I1386" s="50"/>
      <c r="J1386" s="48"/>
      <c r="K1386" s="49"/>
      <c r="L1386" s="50"/>
      <c r="M1386" s="43" t="str">
        <f aca="false">IF(OR($L1386="",$F1386=""),"",IFERROR($L1386/INDEX(Cadastro!$E$6:$E$8,MATCH($F1386,Cadastro!$B$6:$B$8,0)),""))</f>
        <v/>
      </c>
      <c r="N1386" s="43" t="str">
        <f aca="false">IF(OR($L1386="",$I1386="",$I1386=0),"",$L1386/$I1386)</f>
        <v/>
      </c>
      <c r="O1386" s="51"/>
    </row>
    <row r="1387" customFormat="false" ht="15" hidden="false" customHeight="false" outlineLevel="0" collapsed="false">
      <c r="A1387" s="45"/>
      <c r="B1387" s="37" t="str">
        <f aca="false">IF($A1387="","",WEEKNUM($A1387,2))</f>
        <v/>
      </c>
      <c r="C1387" s="37" t="str">
        <f aca="false">IF($A1387="","",CHOOSE(WEEKDAY($A1387,2),"Seg","Ter","Qua","Qui","Sex","Sáb","Dom"))</f>
        <v/>
      </c>
      <c r="D1387" s="46"/>
      <c r="E1387" s="47"/>
      <c r="F1387" s="47"/>
      <c r="G1387" s="48"/>
      <c r="H1387" s="49"/>
      <c r="I1387" s="50"/>
      <c r="J1387" s="48"/>
      <c r="K1387" s="49"/>
      <c r="L1387" s="50"/>
      <c r="M1387" s="43" t="str">
        <f aca="false">IF(OR($L1387="",$F1387=""),"",IFERROR($L1387/INDEX(Cadastro!$E$6:$E$8,MATCH($F1387,Cadastro!$B$6:$B$8,0)),""))</f>
        <v/>
      </c>
      <c r="N1387" s="43" t="str">
        <f aca="false">IF(OR($L1387="",$I1387="",$I1387=0),"",$L1387/$I1387)</f>
        <v/>
      </c>
      <c r="O1387" s="51"/>
    </row>
    <row r="1388" customFormat="false" ht="15" hidden="false" customHeight="false" outlineLevel="0" collapsed="false">
      <c r="A1388" s="45"/>
      <c r="B1388" s="37" t="str">
        <f aca="false">IF($A1388="","",WEEKNUM($A1388,2))</f>
        <v/>
      </c>
      <c r="C1388" s="37" t="str">
        <f aca="false">IF($A1388="","",CHOOSE(WEEKDAY($A1388,2),"Seg","Ter","Qua","Qui","Sex","Sáb","Dom"))</f>
        <v/>
      </c>
      <c r="D1388" s="46"/>
      <c r="E1388" s="47"/>
      <c r="F1388" s="47"/>
      <c r="G1388" s="48"/>
      <c r="H1388" s="49"/>
      <c r="I1388" s="50"/>
      <c r="J1388" s="48"/>
      <c r="K1388" s="49"/>
      <c r="L1388" s="50"/>
      <c r="M1388" s="43" t="str">
        <f aca="false">IF(OR($L1388="",$F1388=""),"",IFERROR($L1388/INDEX(Cadastro!$E$6:$E$8,MATCH($F1388,Cadastro!$B$6:$B$8,0)),""))</f>
        <v/>
      </c>
      <c r="N1388" s="43" t="str">
        <f aca="false">IF(OR($L1388="",$I1388="",$I1388=0),"",$L1388/$I1388)</f>
        <v/>
      </c>
      <c r="O1388" s="51"/>
    </row>
    <row r="1389" customFormat="false" ht="15" hidden="false" customHeight="false" outlineLevel="0" collapsed="false">
      <c r="A1389" s="45"/>
      <c r="B1389" s="37" t="str">
        <f aca="false">IF($A1389="","",WEEKNUM($A1389,2))</f>
        <v/>
      </c>
      <c r="C1389" s="37" t="str">
        <f aca="false">IF($A1389="","",CHOOSE(WEEKDAY($A1389,2),"Seg","Ter","Qua","Qui","Sex","Sáb","Dom"))</f>
        <v/>
      </c>
      <c r="D1389" s="46"/>
      <c r="E1389" s="47"/>
      <c r="F1389" s="47"/>
      <c r="G1389" s="48"/>
      <c r="H1389" s="49"/>
      <c r="I1389" s="50"/>
      <c r="J1389" s="48"/>
      <c r="K1389" s="49"/>
      <c r="L1389" s="50"/>
      <c r="M1389" s="43" t="str">
        <f aca="false">IF(OR($L1389="",$F1389=""),"",IFERROR($L1389/INDEX(Cadastro!$E$6:$E$8,MATCH($F1389,Cadastro!$B$6:$B$8,0)),""))</f>
        <v/>
      </c>
      <c r="N1389" s="43" t="str">
        <f aca="false">IF(OR($L1389="",$I1389="",$I1389=0),"",$L1389/$I1389)</f>
        <v/>
      </c>
      <c r="O1389" s="51"/>
    </row>
    <row r="1390" customFormat="false" ht="15" hidden="false" customHeight="false" outlineLevel="0" collapsed="false">
      <c r="A1390" s="45"/>
      <c r="B1390" s="37" t="str">
        <f aca="false">IF($A1390="","",WEEKNUM($A1390,2))</f>
        <v/>
      </c>
      <c r="C1390" s="37" t="str">
        <f aca="false">IF($A1390="","",CHOOSE(WEEKDAY($A1390,2),"Seg","Ter","Qua","Qui","Sex","Sáb","Dom"))</f>
        <v/>
      </c>
      <c r="D1390" s="46"/>
      <c r="E1390" s="47"/>
      <c r="F1390" s="47"/>
      <c r="G1390" s="48"/>
      <c r="H1390" s="49"/>
      <c r="I1390" s="50"/>
      <c r="J1390" s="48"/>
      <c r="K1390" s="49"/>
      <c r="L1390" s="50"/>
      <c r="M1390" s="43" t="str">
        <f aca="false">IF(OR($L1390="",$F1390=""),"",IFERROR($L1390/INDEX(Cadastro!$E$6:$E$8,MATCH($F1390,Cadastro!$B$6:$B$8,0)),""))</f>
        <v/>
      </c>
      <c r="N1390" s="43" t="str">
        <f aca="false">IF(OR($L1390="",$I1390="",$I1390=0),"",$L1390/$I1390)</f>
        <v/>
      </c>
      <c r="O1390" s="51"/>
    </row>
    <row r="1391" customFormat="false" ht="15" hidden="false" customHeight="false" outlineLevel="0" collapsed="false">
      <c r="A1391" s="45"/>
      <c r="B1391" s="37" t="str">
        <f aca="false">IF($A1391="","",WEEKNUM($A1391,2))</f>
        <v/>
      </c>
      <c r="C1391" s="37" t="str">
        <f aca="false">IF($A1391="","",CHOOSE(WEEKDAY($A1391,2),"Seg","Ter","Qua","Qui","Sex","Sáb","Dom"))</f>
        <v/>
      </c>
      <c r="D1391" s="46"/>
      <c r="E1391" s="47"/>
      <c r="F1391" s="47"/>
      <c r="G1391" s="48"/>
      <c r="H1391" s="49"/>
      <c r="I1391" s="50"/>
      <c r="J1391" s="48"/>
      <c r="K1391" s="49"/>
      <c r="L1391" s="50"/>
      <c r="M1391" s="43" t="str">
        <f aca="false">IF(OR($L1391="",$F1391=""),"",IFERROR($L1391/INDEX(Cadastro!$E$6:$E$8,MATCH($F1391,Cadastro!$B$6:$B$8,0)),""))</f>
        <v/>
      </c>
      <c r="N1391" s="43" t="str">
        <f aca="false">IF(OR($L1391="",$I1391="",$I1391=0),"",$L1391/$I1391)</f>
        <v/>
      </c>
      <c r="O1391" s="51"/>
    </row>
    <row r="1392" customFormat="false" ht="15" hidden="false" customHeight="false" outlineLevel="0" collapsed="false">
      <c r="A1392" s="45"/>
      <c r="B1392" s="37" t="str">
        <f aca="false">IF($A1392="","",WEEKNUM($A1392,2))</f>
        <v/>
      </c>
      <c r="C1392" s="37" t="str">
        <f aca="false">IF($A1392="","",CHOOSE(WEEKDAY($A1392,2),"Seg","Ter","Qua","Qui","Sex","Sáb","Dom"))</f>
        <v/>
      </c>
      <c r="D1392" s="46"/>
      <c r="E1392" s="47"/>
      <c r="F1392" s="47"/>
      <c r="G1392" s="48"/>
      <c r="H1392" s="49"/>
      <c r="I1392" s="50"/>
      <c r="J1392" s="48"/>
      <c r="K1392" s="49"/>
      <c r="L1392" s="50"/>
      <c r="M1392" s="43" t="str">
        <f aca="false">IF(OR($L1392="",$F1392=""),"",IFERROR($L1392/INDEX(Cadastro!$E$6:$E$8,MATCH($F1392,Cadastro!$B$6:$B$8,0)),""))</f>
        <v/>
      </c>
      <c r="N1392" s="43" t="str">
        <f aca="false">IF(OR($L1392="",$I1392="",$I1392=0),"",$L1392/$I1392)</f>
        <v/>
      </c>
      <c r="O1392" s="51"/>
    </row>
    <row r="1393" customFormat="false" ht="15" hidden="false" customHeight="false" outlineLevel="0" collapsed="false">
      <c r="A1393" s="45"/>
      <c r="B1393" s="37" t="str">
        <f aca="false">IF($A1393="","",WEEKNUM($A1393,2))</f>
        <v/>
      </c>
      <c r="C1393" s="37" t="str">
        <f aca="false">IF($A1393="","",CHOOSE(WEEKDAY($A1393,2),"Seg","Ter","Qua","Qui","Sex","Sáb","Dom"))</f>
        <v/>
      </c>
      <c r="D1393" s="46"/>
      <c r="E1393" s="47"/>
      <c r="F1393" s="47"/>
      <c r="G1393" s="48"/>
      <c r="H1393" s="49"/>
      <c r="I1393" s="50"/>
      <c r="J1393" s="48"/>
      <c r="K1393" s="49"/>
      <c r="L1393" s="50"/>
      <c r="M1393" s="43" t="str">
        <f aca="false">IF(OR($L1393="",$F1393=""),"",IFERROR($L1393/INDEX(Cadastro!$E$6:$E$8,MATCH($F1393,Cadastro!$B$6:$B$8,0)),""))</f>
        <v/>
      </c>
      <c r="N1393" s="43" t="str">
        <f aca="false">IF(OR($L1393="",$I1393="",$I1393=0),"",$L1393/$I1393)</f>
        <v/>
      </c>
      <c r="O1393" s="51"/>
    </row>
    <row r="1394" customFormat="false" ht="15" hidden="false" customHeight="false" outlineLevel="0" collapsed="false">
      <c r="A1394" s="45"/>
      <c r="B1394" s="37" t="str">
        <f aca="false">IF($A1394="","",WEEKNUM($A1394,2))</f>
        <v/>
      </c>
      <c r="C1394" s="37" t="str">
        <f aca="false">IF($A1394="","",CHOOSE(WEEKDAY($A1394,2),"Seg","Ter","Qua","Qui","Sex","Sáb","Dom"))</f>
        <v/>
      </c>
      <c r="D1394" s="46"/>
      <c r="E1394" s="47"/>
      <c r="F1394" s="47"/>
      <c r="G1394" s="48"/>
      <c r="H1394" s="49"/>
      <c r="I1394" s="50"/>
      <c r="J1394" s="48"/>
      <c r="K1394" s="49"/>
      <c r="L1394" s="50"/>
      <c r="M1394" s="43" t="str">
        <f aca="false">IF(OR($L1394="",$F1394=""),"",IFERROR($L1394/INDEX(Cadastro!$E$6:$E$8,MATCH($F1394,Cadastro!$B$6:$B$8,0)),""))</f>
        <v/>
      </c>
      <c r="N1394" s="43" t="str">
        <f aca="false">IF(OR($L1394="",$I1394="",$I1394=0),"",$L1394/$I1394)</f>
        <v/>
      </c>
      <c r="O1394" s="51"/>
    </row>
    <row r="1395" customFormat="false" ht="15" hidden="false" customHeight="false" outlineLevel="0" collapsed="false">
      <c r="A1395" s="45"/>
      <c r="B1395" s="37" t="str">
        <f aca="false">IF($A1395="","",WEEKNUM($A1395,2))</f>
        <v/>
      </c>
      <c r="C1395" s="37" t="str">
        <f aca="false">IF($A1395="","",CHOOSE(WEEKDAY($A1395,2),"Seg","Ter","Qua","Qui","Sex","Sáb","Dom"))</f>
        <v/>
      </c>
      <c r="D1395" s="46"/>
      <c r="E1395" s="47"/>
      <c r="F1395" s="47"/>
      <c r="G1395" s="48"/>
      <c r="H1395" s="49"/>
      <c r="I1395" s="50"/>
      <c r="J1395" s="48"/>
      <c r="K1395" s="49"/>
      <c r="L1395" s="50"/>
      <c r="M1395" s="43" t="str">
        <f aca="false">IF(OR($L1395="",$F1395=""),"",IFERROR($L1395/INDEX(Cadastro!$E$6:$E$8,MATCH($F1395,Cadastro!$B$6:$B$8,0)),""))</f>
        <v/>
      </c>
      <c r="N1395" s="43" t="str">
        <f aca="false">IF(OR($L1395="",$I1395="",$I1395=0),"",$L1395/$I1395)</f>
        <v/>
      </c>
      <c r="O1395" s="51"/>
    </row>
    <row r="1396" customFormat="false" ht="15" hidden="false" customHeight="false" outlineLevel="0" collapsed="false">
      <c r="A1396" s="45"/>
      <c r="B1396" s="37" t="str">
        <f aca="false">IF($A1396="","",WEEKNUM($A1396,2))</f>
        <v/>
      </c>
      <c r="C1396" s="37" t="str">
        <f aca="false">IF($A1396="","",CHOOSE(WEEKDAY($A1396,2),"Seg","Ter","Qua","Qui","Sex","Sáb","Dom"))</f>
        <v/>
      </c>
      <c r="D1396" s="46"/>
      <c r="E1396" s="47"/>
      <c r="F1396" s="47"/>
      <c r="G1396" s="48"/>
      <c r="H1396" s="49"/>
      <c r="I1396" s="50"/>
      <c r="J1396" s="48"/>
      <c r="K1396" s="49"/>
      <c r="L1396" s="50"/>
      <c r="M1396" s="43" t="str">
        <f aca="false">IF(OR($L1396="",$F1396=""),"",IFERROR($L1396/INDEX(Cadastro!$E$6:$E$8,MATCH($F1396,Cadastro!$B$6:$B$8,0)),""))</f>
        <v/>
      </c>
      <c r="N1396" s="43" t="str">
        <f aca="false">IF(OR($L1396="",$I1396="",$I1396=0),"",$L1396/$I1396)</f>
        <v/>
      </c>
      <c r="O1396" s="51"/>
    </row>
    <row r="1397" customFormat="false" ht="15" hidden="false" customHeight="false" outlineLevel="0" collapsed="false">
      <c r="A1397" s="45"/>
      <c r="B1397" s="37" t="str">
        <f aca="false">IF($A1397="","",WEEKNUM($A1397,2))</f>
        <v/>
      </c>
      <c r="C1397" s="37" t="str">
        <f aca="false">IF($A1397="","",CHOOSE(WEEKDAY($A1397,2),"Seg","Ter","Qua","Qui","Sex","Sáb","Dom"))</f>
        <v/>
      </c>
      <c r="D1397" s="46"/>
      <c r="E1397" s="47"/>
      <c r="F1397" s="47"/>
      <c r="G1397" s="48"/>
      <c r="H1397" s="49"/>
      <c r="I1397" s="50"/>
      <c r="J1397" s="48"/>
      <c r="K1397" s="49"/>
      <c r="L1397" s="50"/>
      <c r="M1397" s="43" t="str">
        <f aca="false">IF(OR($L1397="",$F1397=""),"",IFERROR($L1397/INDEX(Cadastro!$E$6:$E$8,MATCH($F1397,Cadastro!$B$6:$B$8,0)),""))</f>
        <v/>
      </c>
      <c r="N1397" s="43" t="str">
        <f aca="false">IF(OR($L1397="",$I1397="",$I1397=0),"",$L1397/$I1397)</f>
        <v/>
      </c>
      <c r="O1397" s="51"/>
    </row>
    <row r="1398" customFormat="false" ht="15" hidden="false" customHeight="false" outlineLevel="0" collapsed="false">
      <c r="A1398" s="45"/>
      <c r="B1398" s="37" t="str">
        <f aca="false">IF($A1398="","",WEEKNUM($A1398,2))</f>
        <v/>
      </c>
      <c r="C1398" s="37" t="str">
        <f aca="false">IF($A1398="","",CHOOSE(WEEKDAY($A1398,2),"Seg","Ter","Qua","Qui","Sex","Sáb","Dom"))</f>
        <v/>
      </c>
      <c r="D1398" s="46"/>
      <c r="E1398" s="47"/>
      <c r="F1398" s="47"/>
      <c r="G1398" s="48"/>
      <c r="H1398" s="49"/>
      <c r="I1398" s="50"/>
      <c r="J1398" s="48"/>
      <c r="K1398" s="49"/>
      <c r="L1398" s="50"/>
      <c r="M1398" s="43" t="str">
        <f aca="false">IF(OR($L1398="",$F1398=""),"",IFERROR($L1398/INDEX(Cadastro!$E$6:$E$8,MATCH($F1398,Cadastro!$B$6:$B$8,0)),""))</f>
        <v/>
      </c>
      <c r="N1398" s="43" t="str">
        <f aca="false">IF(OR($L1398="",$I1398="",$I1398=0),"",$L1398/$I1398)</f>
        <v/>
      </c>
      <c r="O1398" s="51"/>
    </row>
    <row r="1399" customFormat="false" ht="15" hidden="false" customHeight="false" outlineLevel="0" collapsed="false">
      <c r="A1399" s="45"/>
      <c r="B1399" s="37" t="str">
        <f aca="false">IF($A1399="","",WEEKNUM($A1399,2))</f>
        <v/>
      </c>
      <c r="C1399" s="37" t="str">
        <f aca="false">IF($A1399="","",CHOOSE(WEEKDAY($A1399,2),"Seg","Ter","Qua","Qui","Sex","Sáb","Dom"))</f>
        <v/>
      </c>
      <c r="D1399" s="46"/>
      <c r="E1399" s="47"/>
      <c r="F1399" s="47"/>
      <c r="G1399" s="48"/>
      <c r="H1399" s="49"/>
      <c r="I1399" s="50"/>
      <c r="J1399" s="48"/>
      <c r="K1399" s="49"/>
      <c r="L1399" s="50"/>
      <c r="M1399" s="43" t="str">
        <f aca="false">IF(OR($L1399="",$F1399=""),"",IFERROR($L1399/INDEX(Cadastro!$E$6:$E$8,MATCH($F1399,Cadastro!$B$6:$B$8,0)),""))</f>
        <v/>
      </c>
      <c r="N1399" s="43" t="str">
        <f aca="false">IF(OR($L1399="",$I1399="",$I1399=0),"",$L1399/$I1399)</f>
        <v/>
      </c>
      <c r="O1399" s="51"/>
    </row>
    <row r="1400" customFormat="false" ht="15" hidden="false" customHeight="false" outlineLevel="0" collapsed="false">
      <c r="A1400" s="45"/>
      <c r="B1400" s="37" t="str">
        <f aca="false">IF($A1400="","",WEEKNUM($A1400,2))</f>
        <v/>
      </c>
      <c r="C1400" s="37" t="str">
        <f aca="false">IF($A1400="","",CHOOSE(WEEKDAY($A1400,2),"Seg","Ter","Qua","Qui","Sex","Sáb","Dom"))</f>
        <v/>
      </c>
      <c r="D1400" s="46"/>
      <c r="E1400" s="47"/>
      <c r="F1400" s="47"/>
      <c r="G1400" s="48"/>
      <c r="H1400" s="49"/>
      <c r="I1400" s="50"/>
      <c r="J1400" s="48"/>
      <c r="K1400" s="49"/>
      <c r="L1400" s="50"/>
      <c r="M1400" s="43" t="str">
        <f aca="false">IF(OR($L1400="",$F1400=""),"",IFERROR($L1400/INDEX(Cadastro!$E$6:$E$8,MATCH($F1400,Cadastro!$B$6:$B$8,0)),""))</f>
        <v/>
      </c>
      <c r="N1400" s="43" t="str">
        <f aca="false">IF(OR($L1400="",$I1400="",$I1400=0),"",$L1400/$I1400)</f>
        <v/>
      </c>
      <c r="O1400" s="51"/>
    </row>
    <row r="1401" customFormat="false" ht="15" hidden="false" customHeight="false" outlineLevel="0" collapsed="false">
      <c r="A1401" s="45"/>
      <c r="B1401" s="37" t="str">
        <f aca="false">IF($A1401="","",WEEKNUM($A1401,2))</f>
        <v/>
      </c>
      <c r="C1401" s="37" t="str">
        <f aca="false">IF($A1401="","",CHOOSE(WEEKDAY($A1401,2),"Seg","Ter","Qua","Qui","Sex","Sáb","Dom"))</f>
        <v/>
      </c>
      <c r="D1401" s="46"/>
      <c r="E1401" s="47"/>
      <c r="F1401" s="47"/>
      <c r="G1401" s="48"/>
      <c r="H1401" s="49"/>
      <c r="I1401" s="50"/>
      <c r="J1401" s="48"/>
      <c r="K1401" s="49"/>
      <c r="L1401" s="50"/>
      <c r="M1401" s="43" t="str">
        <f aca="false">IF(OR($L1401="",$F1401=""),"",IFERROR($L1401/INDEX(Cadastro!$E$6:$E$8,MATCH($F1401,Cadastro!$B$6:$B$8,0)),""))</f>
        <v/>
      </c>
      <c r="N1401" s="43" t="str">
        <f aca="false">IF(OR($L1401="",$I1401="",$I1401=0),"",$L1401/$I1401)</f>
        <v/>
      </c>
      <c r="O1401" s="51"/>
    </row>
    <row r="1402" customFormat="false" ht="15" hidden="false" customHeight="false" outlineLevel="0" collapsed="false">
      <c r="A1402" s="45"/>
      <c r="B1402" s="37" t="str">
        <f aca="false">IF($A1402="","",WEEKNUM($A1402,2))</f>
        <v/>
      </c>
      <c r="C1402" s="37" t="str">
        <f aca="false">IF($A1402="","",CHOOSE(WEEKDAY($A1402,2),"Seg","Ter","Qua","Qui","Sex","Sáb","Dom"))</f>
        <v/>
      </c>
      <c r="D1402" s="46"/>
      <c r="E1402" s="47"/>
      <c r="F1402" s="47"/>
      <c r="G1402" s="48"/>
      <c r="H1402" s="49"/>
      <c r="I1402" s="50"/>
      <c r="J1402" s="48"/>
      <c r="K1402" s="49"/>
      <c r="L1402" s="50"/>
      <c r="M1402" s="43" t="str">
        <f aca="false">IF(OR($L1402="",$F1402=""),"",IFERROR($L1402/INDEX(Cadastro!$E$6:$E$8,MATCH($F1402,Cadastro!$B$6:$B$8,0)),""))</f>
        <v/>
      </c>
      <c r="N1402" s="43" t="str">
        <f aca="false">IF(OR($L1402="",$I1402="",$I1402=0),"",$L1402/$I1402)</f>
        <v/>
      </c>
      <c r="O1402" s="51"/>
    </row>
    <row r="1403" customFormat="false" ht="15" hidden="false" customHeight="false" outlineLevel="0" collapsed="false">
      <c r="A1403" s="45"/>
      <c r="B1403" s="37" t="str">
        <f aca="false">IF($A1403="","",WEEKNUM($A1403,2))</f>
        <v/>
      </c>
      <c r="C1403" s="37" t="str">
        <f aca="false">IF($A1403="","",CHOOSE(WEEKDAY($A1403,2),"Seg","Ter","Qua","Qui","Sex","Sáb","Dom"))</f>
        <v/>
      </c>
      <c r="D1403" s="46"/>
      <c r="E1403" s="47"/>
      <c r="F1403" s="47"/>
      <c r="G1403" s="48"/>
      <c r="H1403" s="49"/>
      <c r="I1403" s="50"/>
      <c r="J1403" s="48"/>
      <c r="K1403" s="49"/>
      <c r="L1403" s="50"/>
      <c r="M1403" s="43" t="str">
        <f aca="false">IF(OR($L1403="",$F1403=""),"",IFERROR($L1403/INDEX(Cadastro!$E$6:$E$8,MATCH($F1403,Cadastro!$B$6:$B$8,0)),""))</f>
        <v/>
      </c>
      <c r="N1403" s="43" t="str">
        <f aca="false">IF(OR($L1403="",$I1403="",$I1403=0),"",$L1403/$I1403)</f>
        <v/>
      </c>
      <c r="O1403" s="51"/>
    </row>
    <row r="1404" customFormat="false" ht="15" hidden="false" customHeight="false" outlineLevel="0" collapsed="false">
      <c r="A1404" s="45"/>
      <c r="B1404" s="37" t="str">
        <f aca="false">IF($A1404="","",WEEKNUM($A1404,2))</f>
        <v/>
      </c>
      <c r="C1404" s="37" t="str">
        <f aca="false">IF($A1404="","",CHOOSE(WEEKDAY($A1404,2),"Seg","Ter","Qua","Qui","Sex","Sáb","Dom"))</f>
        <v/>
      </c>
      <c r="D1404" s="46"/>
      <c r="E1404" s="47"/>
      <c r="F1404" s="47"/>
      <c r="G1404" s="48"/>
      <c r="H1404" s="49"/>
      <c r="I1404" s="50"/>
      <c r="J1404" s="48"/>
      <c r="K1404" s="49"/>
      <c r="L1404" s="50"/>
      <c r="M1404" s="43" t="str">
        <f aca="false">IF(OR($L1404="",$F1404=""),"",IFERROR($L1404/INDEX(Cadastro!$E$6:$E$8,MATCH($F1404,Cadastro!$B$6:$B$8,0)),""))</f>
        <v/>
      </c>
      <c r="N1404" s="43" t="str">
        <f aca="false">IF(OR($L1404="",$I1404="",$I1404=0),"",$L1404/$I1404)</f>
        <v/>
      </c>
      <c r="O1404" s="51"/>
    </row>
    <row r="1405" customFormat="false" ht="15" hidden="false" customHeight="false" outlineLevel="0" collapsed="false">
      <c r="A1405" s="45"/>
      <c r="B1405" s="37" t="str">
        <f aca="false">IF($A1405="","",WEEKNUM($A1405,2))</f>
        <v/>
      </c>
      <c r="C1405" s="37" t="str">
        <f aca="false">IF($A1405="","",CHOOSE(WEEKDAY($A1405,2),"Seg","Ter","Qua","Qui","Sex","Sáb","Dom"))</f>
        <v/>
      </c>
      <c r="D1405" s="46"/>
      <c r="E1405" s="47"/>
      <c r="F1405" s="47"/>
      <c r="G1405" s="48"/>
      <c r="H1405" s="49"/>
      <c r="I1405" s="50"/>
      <c r="J1405" s="48"/>
      <c r="K1405" s="49"/>
      <c r="L1405" s="50"/>
      <c r="M1405" s="43" t="str">
        <f aca="false">IF(OR($L1405="",$F1405=""),"",IFERROR($L1405/INDEX(Cadastro!$E$6:$E$8,MATCH($F1405,Cadastro!$B$6:$B$8,0)),""))</f>
        <v/>
      </c>
      <c r="N1405" s="43" t="str">
        <f aca="false">IF(OR($L1405="",$I1405="",$I1405=0),"",$L1405/$I1405)</f>
        <v/>
      </c>
      <c r="O1405" s="51"/>
    </row>
    <row r="1406" customFormat="false" ht="15" hidden="false" customHeight="false" outlineLevel="0" collapsed="false">
      <c r="A1406" s="45"/>
      <c r="B1406" s="37" t="str">
        <f aca="false">IF($A1406="","",WEEKNUM($A1406,2))</f>
        <v/>
      </c>
      <c r="C1406" s="37" t="str">
        <f aca="false">IF($A1406="","",CHOOSE(WEEKDAY($A1406,2),"Seg","Ter","Qua","Qui","Sex","Sáb","Dom"))</f>
        <v/>
      </c>
      <c r="D1406" s="46"/>
      <c r="E1406" s="47"/>
      <c r="F1406" s="47"/>
      <c r="G1406" s="48"/>
      <c r="H1406" s="49"/>
      <c r="I1406" s="50"/>
      <c r="J1406" s="48"/>
      <c r="K1406" s="49"/>
      <c r="L1406" s="50"/>
      <c r="M1406" s="43" t="str">
        <f aca="false">IF(OR($L1406="",$F1406=""),"",IFERROR($L1406/INDEX(Cadastro!$E$6:$E$8,MATCH($F1406,Cadastro!$B$6:$B$8,0)),""))</f>
        <v/>
      </c>
      <c r="N1406" s="43" t="str">
        <f aca="false">IF(OR($L1406="",$I1406="",$I1406=0),"",$L1406/$I1406)</f>
        <v/>
      </c>
      <c r="O1406" s="51"/>
    </row>
    <row r="1407" customFormat="false" ht="15" hidden="false" customHeight="false" outlineLevel="0" collapsed="false">
      <c r="A1407" s="45"/>
      <c r="B1407" s="37" t="str">
        <f aca="false">IF($A1407="","",WEEKNUM($A1407,2))</f>
        <v/>
      </c>
      <c r="C1407" s="37" t="str">
        <f aca="false">IF($A1407="","",CHOOSE(WEEKDAY($A1407,2),"Seg","Ter","Qua","Qui","Sex","Sáb","Dom"))</f>
        <v/>
      </c>
      <c r="D1407" s="46"/>
      <c r="E1407" s="47"/>
      <c r="F1407" s="47"/>
      <c r="G1407" s="48"/>
      <c r="H1407" s="49"/>
      <c r="I1407" s="50"/>
      <c r="J1407" s="48"/>
      <c r="K1407" s="49"/>
      <c r="L1407" s="50"/>
      <c r="M1407" s="43" t="str">
        <f aca="false">IF(OR($L1407="",$F1407=""),"",IFERROR($L1407/INDEX(Cadastro!$E$6:$E$8,MATCH($F1407,Cadastro!$B$6:$B$8,0)),""))</f>
        <v/>
      </c>
      <c r="N1407" s="43" t="str">
        <f aca="false">IF(OR($L1407="",$I1407="",$I1407=0),"",$L1407/$I1407)</f>
        <v/>
      </c>
      <c r="O1407" s="51"/>
    </row>
    <row r="1408" customFormat="false" ht="15" hidden="false" customHeight="false" outlineLevel="0" collapsed="false">
      <c r="A1408" s="45"/>
      <c r="B1408" s="37" t="str">
        <f aca="false">IF($A1408="","",WEEKNUM($A1408,2))</f>
        <v/>
      </c>
      <c r="C1408" s="37" t="str">
        <f aca="false">IF($A1408="","",CHOOSE(WEEKDAY($A1408,2),"Seg","Ter","Qua","Qui","Sex","Sáb","Dom"))</f>
        <v/>
      </c>
      <c r="D1408" s="46"/>
      <c r="E1408" s="47"/>
      <c r="F1408" s="47"/>
      <c r="G1408" s="48"/>
      <c r="H1408" s="49"/>
      <c r="I1408" s="50"/>
      <c r="J1408" s="48"/>
      <c r="K1408" s="49"/>
      <c r="L1408" s="50"/>
      <c r="M1408" s="43" t="str">
        <f aca="false">IF(OR($L1408="",$F1408=""),"",IFERROR($L1408/INDEX(Cadastro!$E$6:$E$8,MATCH($F1408,Cadastro!$B$6:$B$8,0)),""))</f>
        <v/>
      </c>
      <c r="N1408" s="43" t="str">
        <f aca="false">IF(OR($L1408="",$I1408="",$I1408=0),"",$L1408/$I1408)</f>
        <v/>
      </c>
      <c r="O1408" s="51"/>
    </row>
    <row r="1409" customFormat="false" ht="15" hidden="false" customHeight="false" outlineLevel="0" collapsed="false">
      <c r="A1409" s="45"/>
      <c r="B1409" s="37" t="str">
        <f aca="false">IF($A1409="","",WEEKNUM($A1409,2))</f>
        <v/>
      </c>
      <c r="C1409" s="37" t="str">
        <f aca="false">IF($A1409="","",CHOOSE(WEEKDAY($A1409,2),"Seg","Ter","Qua","Qui","Sex","Sáb","Dom"))</f>
        <v/>
      </c>
      <c r="D1409" s="46"/>
      <c r="E1409" s="47"/>
      <c r="F1409" s="47"/>
      <c r="G1409" s="48"/>
      <c r="H1409" s="49"/>
      <c r="I1409" s="50"/>
      <c r="J1409" s="48"/>
      <c r="K1409" s="49"/>
      <c r="L1409" s="50"/>
      <c r="M1409" s="43" t="str">
        <f aca="false">IF(OR($L1409="",$F1409=""),"",IFERROR($L1409/INDEX(Cadastro!$E$6:$E$8,MATCH($F1409,Cadastro!$B$6:$B$8,0)),""))</f>
        <v/>
      </c>
      <c r="N1409" s="43" t="str">
        <f aca="false">IF(OR($L1409="",$I1409="",$I1409=0),"",$L1409/$I1409)</f>
        <v/>
      </c>
      <c r="O1409" s="51"/>
    </row>
    <row r="1410" customFormat="false" ht="15" hidden="false" customHeight="false" outlineLevel="0" collapsed="false">
      <c r="A1410" s="45"/>
      <c r="B1410" s="37" t="str">
        <f aca="false">IF($A1410="","",WEEKNUM($A1410,2))</f>
        <v/>
      </c>
      <c r="C1410" s="37" t="str">
        <f aca="false">IF($A1410="","",CHOOSE(WEEKDAY($A1410,2),"Seg","Ter","Qua","Qui","Sex","Sáb","Dom"))</f>
        <v/>
      </c>
      <c r="D1410" s="46"/>
      <c r="E1410" s="47"/>
      <c r="F1410" s="47"/>
      <c r="G1410" s="48"/>
      <c r="H1410" s="49"/>
      <c r="I1410" s="50"/>
      <c r="J1410" s="48"/>
      <c r="K1410" s="49"/>
      <c r="L1410" s="50"/>
      <c r="M1410" s="43" t="str">
        <f aca="false">IF(OR($L1410="",$F1410=""),"",IFERROR($L1410/INDEX(Cadastro!$E$6:$E$8,MATCH($F1410,Cadastro!$B$6:$B$8,0)),""))</f>
        <v/>
      </c>
      <c r="N1410" s="43" t="str">
        <f aca="false">IF(OR($L1410="",$I1410="",$I1410=0),"",$L1410/$I1410)</f>
        <v/>
      </c>
      <c r="O1410" s="51"/>
    </row>
    <row r="1411" customFormat="false" ht="15" hidden="false" customHeight="false" outlineLevel="0" collapsed="false">
      <c r="A1411" s="45"/>
      <c r="B1411" s="37" t="str">
        <f aca="false">IF($A1411="","",WEEKNUM($A1411,2))</f>
        <v/>
      </c>
      <c r="C1411" s="37" t="str">
        <f aca="false">IF($A1411="","",CHOOSE(WEEKDAY($A1411,2),"Seg","Ter","Qua","Qui","Sex","Sáb","Dom"))</f>
        <v/>
      </c>
      <c r="D1411" s="46"/>
      <c r="E1411" s="47"/>
      <c r="F1411" s="47"/>
      <c r="G1411" s="48"/>
      <c r="H1411" s="49"/>
      <c r="I1411" s="50"/>
      <c r="J1411" s="48"/>
      <c r="K1411" s="49"/>
      <c r="L1411" s="50"/>
      <c r="M1411" s="43" t="str">
        <f aca="false">IF(OR($L1411="",$F1411=""),"",IFERROR($L1411/INDEX(Cadastro!$E$6:$E$8,MATCH($F1411,Cadastro!$B$6:$B$8,0)),""))</f>
        <v/>
      </c>
      <c r="N1411" s="43" t="str">
        <f aca="false">IF(OR($L1411="",$I1411="",$I1411=0),"",$L1411/$I1411)</f>
        <v/>
      </c>
      <c r="O1411" s="51"/>
    </row>
    <row r="1412" customFormat="false" ht="15" hidden="false" customHeight="false" outlineLevel="0" collapsed="false">
      <c r="A1412" s="45"/>
      <c r="B1412" s="37" t="str">
        <f aca="false">IF($A1412="","",WEEKNUM($A1412,2))</f>
        <v/>
      </c>
      <c r="C1412" s="37" t="str">
        <f aca="false">IF($A1412="","",CHOOSE(WEEKDAY($A1412,2),"Seg","Ter","Qua","Qui","Sex","Sáb","Dom"))</f>
        <v/>
      </c>
      <c r="D1412" s="46"/>
      <c r="E1412" s="47"/>
      <c r="F1412" s="47"/>
      <c r="G1412" s="48"/>
      <c r="H1412" s="49"/>
      <c r="I1412" s="50"/>
      <c r="J1412" s="48"/>
      <c r="K1412" s="49"/>
      <c r="L1412" s="50"/>
      <c r="M1412" s="43" t="str">
        <f aca="false">IF(OR($L1412="",$F1412=""),"",IFERROR($L1412/INDEX(Cadastro!$E$6:$E$8,MATCH($F1412,Cadastro!$B$6:$B$8,0)),""))</f>
        <v/>
      </c>
      <c r="N1412" s="43" t="str">
        <f aca="false">IF(OR($L1412="",$I1412="",$I1412=0),"",$L1412/$I1412)</f>
        <v/>
      </c>
      <c r="O1412" s="51"/>
    </row>
    <row r="1413" customFormat="false" ht="15" hidden="false" customHeight="false" outlineLevel="0" collapsed="false">
      <c r="A1413" s="45"/>
      <c r="B1413" s="37" t="str">
        <f aca="false">IF($A1413="","",WEEKNUM($A1413,2))</f>
        <v/>
      </c>
      <c r="C1413" s="37" t="str">
        <f aca="false">IF($A1413="","",CHOOSE(WEEKDAY($A1413,2),"Seg","Ter","Qua","Qui","Sex","Sáb","Dom"))</f>
        <v/>
      </c>
      <c r="D1413" s="46"/>
      <c r="E1413" s="47"/>
      <c r="F1413" s="47"/>
      <c r="G1413" s="48"/>
      <c r="H1413" s="49"/>
      <c r="I1413" s="50"/>
      <c r="J1413" s="48"/>
      <c r="K1413" s="49"/>
      <c r="L1413" s="50"/>
      <c r="M1413" s="43" t="str">
        <f aca="false">IF(OR($L1413="",$F1413=""),"",IFERROR($L1413/INDEX(Cadastro!$E$6:$E$8,MATCH($F1413,Cadastro!$B$6:$B$8,0)),""))</f>
        <v/>
      </c>
      <c r="N1413" s="43" t="str">
        <f aca="false">IF(OR($L1413="",$I1413="",$I1413=0),"",$L1413/$I1413)</f>
        <v/>
      </c>
      <c r="O1413" s="51"/>
    </row>
    <row r="1414" customFormat="false" ht="15" hidden="false" customHeight="false" outlineLevel="0" collapsed="false">
      <c r="A1414" s="45"/>
      <c r="B1414" s="37" t="str">
        <f aca="false">IF($A1414="","",WEEKNUM($A1414,2))</f>
        <v/>
      </c>
      <c r="C1414" s="37" t="str">
        <f aca="false">IF($A1414="","",CHOOSE(WEEKDAY($A1414,2),"Seg","Ter","Qua","Qui","Sex","Sáb","Dom"))</f>
        <v/>
      </c>
      <c r="D1414" s="46"/>
      <c r="E1414" s="47"/>
      <c r="F1414" s="47"/>
      <c r="G1414" s="48"/>
      <c r="H1414" s="49"/>
      <c r="I1414" s="50"/>
      <c r="J1414" s="48"/>
      <c r="K1414" s="49"/>
      <c r="L1414" s="50"/>
      <c r="M1414" s="43" t="str">
        <f aca="false">IF(OR($L1414="",$F1414=""),"",IFERROR($L1414/INDEX(Cadastro!$E$6:$E$8,MATCH($F1414,Cadastro!$B$6:$B$8,0)),""))</f>
        <v/>
      </c>
      <c r="N1414" s="43" t="str">
        <f aca="false">IF(OR($L1414="",$I1414="",$I1414=0),"",$L1414/$I1414)</f>
        <v/>
      </c>
      <c r="O1414" s="51"/>
    </row>
    <row r="1415" customFormat="false" ht="15" hidden="false" customHeight="false" outlineLevel="0" collapsed="false">
      <c r="A1415" s="45"/>
      <c r="B1415" s="37" t="str">
        <f aca="false">IF($A1415="","",WEEKNUM($A1415,2))</f>
        <v/>
      </c>
      <c r="C1415" s="37" t="str">
        <f aca="false">IF($A1415="","",CHOOSE(WEEKDAY($A1415,2),"Seg","Ter","Qua","Qui","Sex","Sáb","Dom"))</f>
        <v/>
      </c>
      <c r="D1415" s="46"/>
      <c r="E1415" s="47"/>
      <c r="F1415" s="47"/>
      <c r="G1415" s="48"/>
      <c r="H1415" s="49"/>
      <c r="I1415" s="50"/>
      <c r="J1415" s="48"/>
      <c r="K1415" s="49"/>
      <c r="L1415" s="50"/>
      <c r="M1415" s="43" t="str">
        <f aca="false">IF(OR($L1415="",$F1415=""),"",IFERROR($L1415/INDEX(Cadastro!$E$6:$E$8,MATCH($F1415,Cadastro!$B$6:$B$8,0)),""))</f>
        <v/>
      </c>
      <c r="N1415" s="43" t="str">
        <f aca="false">IF(OR($L1415="",$I1415="",$I1415=0),"",$L1415/$I1415)</f>
        <v/>
      </c>
      <c r="O1415" s="51"/>
    </row>
    <row r="1416" customFormat="false" ht="15" hidden="false" customHeight="false" outlineLevel="0" collapsed="false">
      <c r="A1416" s="45"/>
      <c r="B1416" s="37" t="str">
        <f aca="false">IF($A1416="","",WEEKNUM($A1416,2))</f>
        <v/>
      </c>
      <c r="C1416" s="37" t="str">
        <f aca="false">IF($A1416="","",CHOOSE(WEEKDAY($A1416,2),"Seg","Ter","Qua","Qui","Sex","Sáb","Dom"))</f>
        <v/>
      </c>
      <c r="D1416" s="46"/>
      <c r="E1416" s="47"/>
      <c r="F1416" s="47"/>
      <c r="G1416" s="48"/>
      <c r="H1416" s="49"/>
      <c r="I1416" s="50"/>
      <c r="J1416" s="48"/>
      <c r="K1416" s="49"/>
      <c r="L1416" s="50"/>
      <c r="M1416" s="43" t="str">
        <f aca="false">IF(OR($L1416="",$F1416=""),"",IFERROR($L1416/INDEX(Cadastro!$E$6:$E$8,MATCH($F1416,Cadastro!$B$6:$B$8,0)),""))</f>
        <v/>
      </c>
      <c r="N1416" s="43" t="str">
        <f aca="false">IF(OR($L1416="",$I1416="",$I1416=0),"",$L1416/$I1416)</f>
        <v/>
      </c>
      <c r="O1416" s="51"/>
    </row>
    <row r="1417" customFormat="false" ht="15" hidden="false" customHeight="false" outlineLevel="0" collapsed="false">
      <c r="A1417" s="45"/>
      <c r="B1417" s="37" t="str">
        <f aca="false">IF($A1417="","",WEEKNUM($A1417,2))</f>
        <v/>
      </c>
      <c r="C1417" s="37" t="str">
        <f aca="false">IF($A1417="","",CHOOSE(WEEKDAY($A1417,2),"Seg","Ter","Qua","Qui","Sex","Sáb","Dom"))</f>
        <v/>
      </c>
      <c r="D1417" s="46"/>
      <c r="E1417" s="47"/>
      <c r="F1417" s="47"/>
      <c r="G1417" s="48"/>
      <c r="H1417" s="49"/>
      <c r="I1417" s="50"/>
      <c r="J1417" s="48"/>
      <c r="K1417" s="49"/>
      <c r="L1417" s="50"/>
      <c r="M1417" s="43" t="str">
        <f aca="false">IF(OR($L1417="",$F1417=""),"",IFERROR($L1417/INDEX(Cadastro!$E$6:$E$8,MATCH($F1417,Cadastro!$B$6:$B$8,0)),""))</f>
        <v/>
      </c>
      <c r="N1417" s="43" t="str">
        <f aca="false">IF(OR($L1417="",$I1417="",$I1417=0),"",$L1417/$I1417)</f>
        <v/>
      </c>
      <c r="O1417" s="51"/>
    </row>
    <row r="1418" customFormat="false" ht="15" hidden="false" customHeight="false" outlineLevel="0" collapsed="false">
      <c r="A1418" s="45"/>
      <c r="B1418" s="37" t="str">
        <f aca="false">IF($A1418="","",WEEKNUM($A1418,2))</f>
        <v/>
      </c>
      <c r="C1418" s="37" t="str">
        <f aca="false">IF($A1418="","",CHOOSE(WEEKDAY($A1418,2),"Seg","Ter","Qua","Qui","Sex","Sáb","Dom"))</f>
        <v/>
      </c>
      <c r="D1418" s="46"/>
      <c r="E1418" s="47"/>
      <c r="F1418" s="47"/>
      <c r="G1418" s="48"/>
      <c r="H1418" s="49"/>
      <c r="I1418" s="50"/>
      <c r="J1418" s="48"/>
      <c r="K1418" s="49"/>
      <c r="L1418" s="50"/>
      <c r="M1418" s="43" t="str">
        <f aca="false">IF(OR($L1418="",$F1418=""),"",IFERROR($L1418/INDEX(Cadastro!$E$6:$E$8,MATCH($F1418,Cadastro!$B$6:$B$8,0)),""))</f>
        <v/>
      </c>
      <c r="N1418" s="43" t="str">
        <f aca="false">IF(OR($L1418="",$I1418="",$I1418=0),"",$L1418/$I1418)</f>
        <v/>
      </c>
      <c r="O1418" s="51"/>
    </row>
    <row r="1419" customFormat="false" ht="15" hidden="false" customHeight="false" outlineLevel="0" collapsed="false">
      <c r="A1419" s="45"/>
      <c r="B1419" s="37" t="str">
        <f aca="false">IF($A1419="","",WEEKNUM($A1419,2))</f>
        <v/>
      </c>
      <c r="C1419" s="37" t="str">
        <f aca="false">IF($A1419="","",CHOOSE(WEEKDAY($A1419,2),"Seg","Ter","Qua","Qui","Sex","Sáb","Dom"))</f>
        <v/>
      </c>
      <c r="D1419" s="46"/>
      <c r="E1419" s="47"/>
      <c r="F1419" s="47"/>
      <c r="G1419" s="48"/>
      <c r="H1419" s="49"/>
      <c r="I1419" s="50"/>
      <c r="J1419" s="48"/>
      <c r="K1419" s="49"/>
      <c r="L1419" s="50"/>
      <c r="M1419" s="43" t="str">
        <f aca="false">IF(OR($L1419="",$F1419=""),"",IFERROR($L1419/INDEX(Cadastro!$E$6:$E$8,MATCH($F1419,Cadastro!$B$6:$B$8,0)),""))</f>
        <v/>
      </c>
      <c r="N1419" s="43" t="str">
        <f aca="false">IF(OR($L1419="",$I1419="",$I1419=0),"",$L1419/$I1419)</f>
        <v/>
      </c>
      <c r="O1419" s="51"/>
    </row>
    <row r="1420" customFormat="false" ht="15" hidden="false" customHeight="false" outlineLevel="0" collapsed="false">
      <c r="A1420" s="45"/>
      <c r="B1420" s="37" t="str">
        <f aca="false">IF($A1420="","",WEEKNUM($A1420,2))</f>
        <v/>
      </c>
      <c r="C1420" s="37" t="str">
        <f aca="false">IF($A1420="","",CHOOSE(WEEKDAY($A1420,2),"Seg","Ter","Qua","Qui","Sex","Sáb","Dom"))</f>
        <v/>
      </c>
      <c r="D1420" s="46"/>
      <c r="E1420" s="47"/>
      <c r="F1420" s="47"/>
      <c r="G1420" s="48"/>
      <c r="H1420" s="49"/>
      <c r="I1420" s="50"/>
      <c r="J1420" s="48"/>
      <c r="K1420" s="49"/>
      <c r="L1420" s="50"/>
      <c r="M1420" s="43" t="str">
        <f aca="false">IF(OR($L1420="",$F1420=""),"",IFERROR($L1420/INDEX(Cadastro!$E$6:$E$8,MATCH($F1420,Cadastro!$B$6:$B$8,0)),""))</f>
        <v/>
      </c>
      <c r="N1420" s="43" t="str">
        <f aca="false">IF(OR($L1420="",$I1420="",$I1420=0),"",$L1420/$I1420)</f>
        <v/>
      </c>
      <c r="O1420" s="51"/>
    </row>
    <row r="1421" customFormat="false" ht="15" hidden="false" customHeight="false" outlineLevel="0" collapsed="false">
      <c r="A1421" s="45"/>
      <c r="B1421" s="37" t="str">
        <f aca="false">IF($A1421="","",WEEKNUM($A1421,2))</f>
        <v/>
      </c>
      <c r="C1421" s="37" t="str">
        <f aca="false">IF($A1421="","",CHOOSE(WEEKDAY($A1421,2),"Seg","Ter","Qua","Qui","Sex","Sáb","Dom"))</f>
        <v/>
      </c>
      <c r="D1421" s="46"/>
      <c r="E1421" s="47"/>
      <c r="F1421" s="47"/>
      <c r="G1421" s="48"/>
      <c r="H1421" s="49"/>
      <c r="I1421" s="50"/>
      <c r="J1421" s="48"/>
      <c r="K1421" s="49"/>
      <c r="L1421" s="50"/>
      <c r="M1421" s="43" t="str">
        <f aca="false">IF(OR($L1421="",$F1421=""),"",IFERROR($L1421/INDEX(Cadastro!$E$6:$E$8,MATCH($F1421,Cadastro!$B$6:$B$8,0)),""))</f>
        <v/>
      </c>
      <c r="N1421" s="43" t="str">
        <f aca="false">IF(OR($L1421="",$I1421="",$I1421=0),"",$L1421/$I1421)</f>
        <v/>
      </c>
      <c r="O1421" s="51"/>
    </row>
    <row r="1422" customFormat="false" ht="15" hidden="false" customHeight="false" outlineLevel="0" collapsed="false">
      <c r="A1422" s="45"/>
      <c r="B1422" s="37" t="str">
        <f aca="false">IF($A1422="","",WEEKNUM($A1422,2))</f>
        <v/>
      </c>
      <c r="C1422" s="37" t="str">
        <f aca="false">IF($A1422="","",CHOOSE(WEEKDAY($A1422,2),"Seg","Ter","Qua","Qui","Sex","Sáb","Dom"))</f>
        <v/>
      </c>
      <c r="D1422" s="46"/>
      <c r="E1422" s="47"/>
      <c r="F1422" s="47"/>
      <c r="G1422" s="48"/>
      <c r="H1422" s="49"/>
      <c r="I1422" s="50"/>
      <c r="J1422" s="48"/>
      <c r="K1422" s="49"/>
      <c r="L1422" s="50"/>
      <c r="M1422" s="43" t="str">
        <f aca="false">IF(OR($L1422="",$F1422=""),"",IFERROR($L1422/INDEX(Cadastro!$E$6:$E$8,MATCH($F1422,Cadastro!$B$6:$B$8,0)),""))</f>
        <v/>
      </c>
      <c r="N1422" s="43" t="str">
        <f aca="false">IF(OR($L1422="",$I1422="",$I1422=0),"",$L1422/$I1422)</f>
        <v/>
      </c>
      <c r="O1422" s="51"/>
    </row>
    <row r="1423" customFormat="false" ht="15" hidden="false" customHeight="false" outlineLevel="0" collapsed="false">
      <c r="A1423" s="45"/>
      <c r="B1423" s="37" t="str">
        <f aca="false">IF($A1423="","",WEEKNUM($A1423,2))</f>
        <v/>
      </c>
      <c r="C1423" s="37" t="str">
        <f aca="false">IF($A1423="","",CHOOSE(WEEKDAY($A1423,2),"Seg","Ter","Qua","Qui","Sex","Sáb","Dom"))</f>
        <v/>
      </c>
      <c r="D1423" s="46"/>
      <c r="E1423" s="47"/>
      <c r="F1423" s="47"/>
      <c r="G1423" s="48"/>
      <c r="H1423" s="49"/>
      <c r="I1423" s="50"/>
      <c r="J1423" s="48"/>
      <c r="K1423" s="49"/>
      <c r="L1423" s="50"/>
      <c r="M1423" s="43" t="str">
        <f aca="false">IF(OR($L1423="",$F1423=""),"",IFERROR($L1423/INDEX(Cadastro!$E$6:$E$8,MATCH($F1423,Cadastro!$B$6:$B$8,0)),""))</f>
        <v/>
      </c>
      <c r="N1423" s="43" t="str">
        <f aca="false">IF(OR($L1423="",$I1423="",$I1423=0),"",$L1423/$I1423)</f>
        <v/>
      </c>
      <c r="O1423" s="51"/>
    </row>
    <row r="1424" customFormat="false" ht="15" hidden="false" customHeight="false" outlineLevel="0" collapsed="false">
      <c r="A1424" s="45"/>
      <c r="B1424" s="37" t="str">
        <f aca="false">IF($A1424="","",WEEKNUM($A1424,2))</f>
        <v/>
      </c>
      <c r="C1424" s="37" t="str">
        <f aca="false">IF($A1424="","",CHOOSE(WEEKDAY($A1424,2),"Seg","Ter","Qua","Qui","Sex","Sáb","Dom"))</f>
        <v/>
      </c>
      <c r="D1424" s="46"/>
      <c r="E1424" s="47"/>
      <c r="F1424" s="47"/>
      <c r="G1424" s="48"/>
      <c r="H1424" s="49"/>
      <c r="I1424" s="50"/>
      <c r="J1424" s="48"/>
      <c r="K1424" s="49"/>
      <c r="L1424" s="50"/>
      <c r="M1424" s="43" t="str">
        <f aca="false">IF(OR($L1424="",$F1424=""),"",IFERROR($L1424/INDEX(Cadastro!$E$6:$E$8,MATCH($F1424,Cadastro!$B$6:$B$8,0)),""))</f>
        <v/>
      </c>
      <c r="N1424" s="43" t="str">
        <f aca="false">IF(OR($L1424="",$I1424="",$I1424=0),"",$L1424/$I1424)</f>
        <v/>
      </c>
      <c r="O1424" s="51"/>
    </row>
    <row r="1425" customFormat="false" ht="15" hidden="false" customHeight="false" outlineLevel="0" collapsed="false">
      <c r="A1425" s="45"/>
      <c r="B1425" s="37" t="str">
        <f aca="false">IF($A1425="","",WEEKNUM($A1425,2))</f>
        <v/>
      </c>
      <c r="C1425" s="37" t="str">
        <f aca="false">IF($A1425="","",CHOOSE(WEEKDAY($A1425,2),"Seg","Ter","Qua","Qui","Sex","Sáb","Dom"))</f>
        <v/>
      </c>
      <c r="D1425" s="46"/>
      <c r="E1425" s="47"/>
      <c r="F1425" s="47"/>
      <c r="G1425" s="48"/>
      <c r="H1425" s="49"/>
      <c r="I1425" s="50"/>
      <c r="J1425" s="48"/>
      <c r="K1425" s="49"/>
      <c r="L1425" s="50"/>
      <c r="M1425" s="43" t="str">
        <f aca="false">IF(OR($L1425="",$F1425=""),"",IFERROR($L1425/INDEX(Cadastro!$E$6:$E$8,MATCH($F1425,Cadastro!$B$6:$B$8,0)),""))</f>
        <v/>
      </c>
      <c r="N1425" s="43" t="str">
        <f aca="false">IF(OR($L1425="",$I1425="",$I1425=0),"",$L1425/$I1425)</f>
        <v/>
      </c>
      <c r="O1425" s="51"/>
    </row>
    <row r="1426" customFormat="false" ht="15" hidden="false" customHeight="false" outlineLevel="0" collapsed="false">
      <c r="A1426" s="45"/>
      <c r="B1426" s="37" t="str">
        <f aca="false">IF($A1426="","",WEEKNUM($A1426,2))</f>
        <v/>
      </c>
      <c r="C1426" s="37" t="str">
        <f aca="false">IF($A1426="","",CHOOSE(WEEKDAY($A1426,2),"Seg","Ter","Qua","Qui","Sex","Sáb","Dom"))</f>
        <v/>
      </c>
      <c r="D1426" s="46"/>
      <c r="E1426" s="47"/>
      <c r="F1426" s="47"/>
      <c r="G1426" s="48"/>
      <c r="H1426" s="49"/>
      <c r="I1426" s="50"/>
      <c r="J1426" s="48"/>
      <c r="K1426" s="49"/>
      <c r="L1426" s="50"/>
      <c r="M1426" s="43" t="str">
        <f aca="false">IF(OR($L1426="",$F1426=""),"",IFERROR($L1426/INDEX(Cadastro!$E$6:$E$8,MATCH($F1426,Cadastro!$B$6:$B$8,0)),""))</f>
        <v/>
      </c>
      <c r="N1426" s="43" t="str">
        <f aca="false">IF(OR($L1426="",$I1426="",$I1426=0),"",$L1426/$I1426)</f>
        <v/>
      </c>
      <c r="O1426" s="51"/>
    </row>
    <row r="1427" customFormat="false" ht="15" hidden="false" customHeight="false" outlineLevel="0" collapsed="false">
      <c r="A1427" s="45"/>
      <c r="B1427" s="37" t="str">
        <f aca="false">IF($A1427="","",WEEKNUM($A1427,2))</f>
        <v/>
      </c>
      <c r="C1427" s="37" t="str">
        <f aca="false">IF($A1427="","",CHOOSE(WEEKDAY($A1427,2),"Seg","Ter","Qua","Qui","Sex","Sáb","Dom"))</f>
        <v/>
      </c>
      <c r="D1427" s="46"/>
      <c r="E1427" s="47"/>
      <c r="F1427" s="47"/>
      <c r="G1427" s="48"/>
      <c r="H1427" s="49"/>
      <c r="I1427" s="50"/>
      <c r="J1427" s="48"/>
      <c r="K1427" s="49"/>
      <c r="L1427" s="50"/>
      <c r="M1427" s="43" t="str">
        <f aca="false">IF(OR($L1427="",$F1427=""),"",IFERROR($L1427/INDEX(Cadastro!$E$6:$E$8,MATCH($F1427,Cadastro!$B$6:$B$8,0)),""))</f>
        <v/>
      </c>
      <c r="N1427" s="43" t="str">
        <f aca="false">IF(OR($L1427="",$I1427="",$I1427=0),"",$L1427/$I1427)</f>
        <v/>
      </c>
      <c r="O1427" s="51"/>
    </row>
    <row r="1428" customFormat="false" ht="15" hidden="false" customHeight="false" outlineLevel="0" collapsed="false">
      <c r="A1428" s="45"/>
      <c r="B1428" s="37" t="str">
        <f aca="false">IF($A1428="","",WEEKNUM($A1428,2))</f>
        <v/>
      </c>
      <c r="C1428" s="37" t="str">
        <f aca="false">IF($A1428="","",CHOOSE(WEEKDAY($A1428,2),"Seg","Ter","Qua","Qui","Sex","Sáb","Dom"))</f>
        <v/>
      </c>
      <c r="D1428" s="46"/>
      <c r="E1428" s="47"/>
      <c r="F1428" s="47"/>
      <c r="G1428" s="48"/>
      <c r="H1428" s="49"/>
      <c r="I1428" s="50"/>
      <c r="J1428" s="48"/>
      <c r="K1428" s="49"/>
      <c r="L1428" s="50"/>
      <c r="M1428" s="43" t="str">
        <f aca="false">IF(OR($L1428="",$F1428=""),"",IFERROR($L1428/INDEX(Cadastro!$E$6:$E$8,MATCH($F1428,Cadastro!$B$6:$B$8,0)),""))</f>
        <v/>
      </c>
      <c r="N1428" s="43" t="str">
        <f aca="false">IF(OR($L1428="",$I1428="",$I1428=0),"",$L1428/$I1428)</f>
        <v/>
      </c>
      <c r="O1428" s="51"/>
    </row>
    <row r="1429" customFormat="false" ht="15" hidden="false" customHeight="false" outlineLevel="0" collapsed="false">
      <c r="A1429" s="45"/>
      <c r="B1429" s="37" t="str">
        <f aca="false">IF($A1429="","",WEEKNUM($A1429,2))</f>
        <v/>
      </c>
      <c r="C1429" s="37" t="str">
        <f aca="false">IF($A1429="","",CHOOSE(WEEKDAY($A1429,2),"Seg","Ter","Qua","Qui","Sex","Sáb","Dom"))</f>
        <v/>
      </c>
      <c r="D1429" s="46"/>
      <c r="E1429" s="47"/>
      <c r="F1429" s="47"/>
      <c r="G1429" s="48"/>
      <c r="H1429" s="49"/>
      <c r="I1429" s="50"/>
      <c r="J1429" s="48"/>
      <c r="K1429" s="49"/>
      <c r="L1429" s="50"/>
      <c r="M1429" s="43" t="str">
        <f aca="false">IF(OR($L1429="",$F1429=""),"",IFERROR($L1429/INDEX(Cadastro!$E$6:$E$8,MATCH($F1429,Cadastro!$B$6:$B$8,0)),""))</f>
        <v/>
      </c>
      <c r="N1429" s="43" t="str">
        <f aca="false">IF(OR($L1429="",$I1429="",$I1429=0),"",$L1429/$I1429)</f>
        <v/>
      </c>
      <c r="O1429" s="51"/>
    </row>
    <row r="1430" customFormat="false" ht="15" hidden="false" customHeight="false" outlineLevel="0" collapsed="false">
      <c r="A1430" s="45"/>
      <c r="B1430" s="37" t="str">
        <f aca="false">IF($A1430="","",WEEKNUM($A1430,2))</f>
        <v/>
      </c>
      <c r="C1430" s="37" t="str">
        <f aca="false">IF($A1430="","",CHOOSE(WEEKDAY($A1430,2),"Seg","Ter","Qua","Qui","Sex","Sáb","Dom"))</f>
        <v/>
      </c>
      <c r="D1430" s="46"/>
      <c r="E1430" s="47"/>
      <c r="F1430" s="47"/>
      <c r="G1430" s="48"/>
      <c r="H1430" s="49"/>
      <c r="I1430" s="50"/>
      <c r="J1430" s="48"/>
      <c r="K1430" s="49"/>
      <c r="L1430" s="50"/>
      <c r="M1430" s="43" t="str">
        <f aca="false">IF(OR($L1430="",$F1430=""),"",IFERROR($L1430/INDEX(Cadastro!$E$6:$E$8,MATCH($F1430,Cadastro!$B$6:$B$8,0)),""))</f>
        <v/>
      </c>
      <c r="N1430" s="43" t="str">
        <f aca="false">IF(OR($L1430="",$I1430="",$I1430=0),"",$L1430/$I1430)</f>
        <v/>
      </c>
      <c r="O1430" s="51"/>
    </row>
    <row r="1431" customFormat="false" ht="15" hidden="false" customHeight="false" outlineLevel="0" collapsed="false">
      <c r="A1431" s="45"/>
      <c r="B1431" s="37" t="str">
        <f aca="false">IF($A1431="","",WEEKNUM($A1431,2))</f>
        <v/>
      </c>
      <c r="C1431" s="37" t="str">
        <f aca="false">IF($A1431="","",CHOOSE(WEEKDAY($A1431,2),"Seg","Ter","Qua","Qui","Sex","Sáb","Dom"))</f>
        <v/>
      </c>
      <c r="D1431" s="46"/>
      <c r="E1431" s="47"/>
      <c r="F1431" s="47"/>
      <c r="G1431" s="48"/>
      <c r="H1431" s="49"/>
      <c r="I1431" s="50"/>
      <c r="J1431" s="48"/>
      <c r="K1431" s="49"/>
      <c r="L1431" s="50"/>
      <c r="M1431" s="43" t="str">
        <f aca="false">IF(OR($L1431="",$F1431=""),"",IFERROR($L1431/INDEX(Cadastro!$E$6:$E$8,MATCH($F1431,Cadastro!$B$6:$B$8,0)),""))</f>
        <v/>
      </c>
      <c r="N1431" s="43" t="str">
        <f aca="false">IF(OR($L1431="",$I1431="",$I1431=0),"",$L1431/$I1431)</f>
        <v/>
      </c>
      <c r="O1431" s="51"/>
    </row>
    <row r="1432" customFormat="false" ht="15" hidden="false" customHeight="false" outlineLevel="0" collapsed="false">
      <c r="A1432" s="45"/>
      <c r="B1432" s="37" t="str">
        <f aca="false">IF($A1432="","",WEEKNUM($A1432,2))</f>
        <v/>
      </c>
      <c r="C1432" s="37" t="str">
        <f aca="false">IF($A1432="","",CHOOSE(WEEKDAY($A1432,2),"Seg","Ter","Qua","Qui","Sex","Sáb","Dom"))</f>
        <v/>
      </c>
      <c r="D1432" s="46"/>
      <c r="E1432" s="47"/>
      <c r="F1432" s="47"/>
      <c r="G1432" s="48"/>
      <c r="H1432" s="49"/>
      <c r="I1432" s="50"/>
      <c r="J1432" s="48"/>
      <c r="K1432" s="49"/>
      <c r="L1432" s="50"/>
      <c r="M1432" s="43" t="str">
        <f aca="false">IF(OR($L1432="",$F1432=""),"",IFERROR($L1432/INDEX(Cadastro!$E$6:$E$8,MATCH($F1432,Cadastro!$B$6:$B$8,0)),""))</f>
        <v/>
      </c>
      <c r="N1432" s="43" t="str">
        <f aca="false">IF(OR($L1432="",$I1432="",$I1432=0),"",$L1432/$I1432)</f>
        <v/>
      </c>
      <c r="O1432" s="51"/>
    </row>
    <row r="1433" customFormat="false" ht="15" hidden="false" customHeight="false" outlineLevel="0" collapsed="false">
      <c r="A1433" s="45"/>
      <c r="B1433" s="37" t="str">
        <f aca="false">IF($A1433="","",WEEKNUM($A1433,2))</f>
        <v/>
      </c>
      <c r="C1433" s="37" t="str">
        <f aca="false">IF($A1433="","",CHOOSE(WEEKDAY($A1433,2),"Seg","Ter","Qua","Qui","Sex","Sáb","Dom"))</f>
        <v/>
      </c>
      <c r="D1433" s="46"/>
      <c r="E1433" s="47"/>
      <c r="F1433" s="47"/>
      <c r="G1433" s="48"/>
      <c r="H1433" s="49"/>
      <c r="I1433" s="50"/>
      <c r="J1433" s="48"/>
      <c r="K1433" s="49"/>
      <c r="L1433" s="50"/>
      <c r="M1433" s="43" t="str">
        <f aca="false">IF(OR($L1433="",$F1433=""),"",IFERROR($L1433/INDEX(Cadastro!$E$6:$E$8,MATCH($F1433,Cadastro!$B$6:$B$8,0)),""))</f>
        <v/>
      </c>
      <c r="N1433" s="43" t="str">
        <f aca="false">IF(OR($L1433="",$I1433="",$I1433=0),"",$L1433/$I1433)</f>
        <v/>
      </c>
      <c r="O1433" s="51"/>
    </row>
    <row r="1434" customFormat="false" ht="15" hidden="false" customHeight="false" outlineLevel="0" collapsed="false">
      <c r="A1434" s="45"/>
      <c r="B1434" s="37" t="str">
        <f aca="false">IF($A1434="","",WEEKNUM($A1434,2))</f>
        <v/>
      </c>
      <c r="C1434" s="37" t="str">
        <f aca="false">IF($A1434="","",CHOOSE(WEEKDAY($A1434,2),"Seg","Ter","Qua","Qui","Sex","Sáb","Dom"))</f>
        <v/>
      </c>
      <c r="D1434" s="46"/>
      <c r="E1434" s="47"/>
      <c r="F1434" s="47"/>
      <c r="G1434" s="48"/>
      <c r="H1434" s="49"/>
      <c r="I1434" s="50"/>
      <c r="J1434" s="48"/>
      <c r="K1434" s="49"/>
      <c r="L1434" s="50"/>
      <c r="M1434" s="43" t="str">
        <f aca="false">IF(OR($L1434="",$F1434=""),"",IFERROR($L1434/INDEX(Cadastro!$E$6:$E$8,MATCH($F1434,Cadastro!$B$6:$B$8,0)),""))</f>
        <v/>
      </c>
      <c r="N1434" s="43" t="str">
        <f aca="false">IF(OR($L1434="",$I1434="",$I1434=0),"",$L1434/$I1434)</f>
        <v/>
      </c>
      <c r="O1434" s="51"/>
    </row>
    <row r="1435" customFormat="false" ht="15" hidden="false" customHeight="false" outlineLevel="0" collapsed="false">
      <c r="A1435" s="45"/>
      <c r="B1435" s="37" t="str">
        <f aca="false">IF($A1435="","",WEEKNUM($A1435,2))</f>
        <v/>
      </c>
      <c r="C1435" s="37" t="str">
        <f aca="false">IF($A1435="","",CHOOSE(WEEKDAY($A1435,2),"Seg","Ter","Qua","Qui","Sex","Sáb","Dom"))</f>
        <v/>
      </c>
      <c r="D1435" s="46"/>
      <c r="E1435" s="47"/>
      <c r="F1435" s="47"/>
      <c r="G1435" s="48"/>
      <c r="H1435" s="49"/>
      <c r="I1435" s="50"/>
      <c r="J1435" s="48"/>
      <c r="K1435" s="49"/>
      <c r="L1435" s="50"/>
      <c r="M1435" s="43" t="str">
        <f aca="false">IF(OR($L1435="",$F1435=""),"",IFERROR($L1435/INDEX(Cadastro!$E$6:$E$8,MATCH($F1435,Cadastro!$B$6:$B$8,0)),""))</f>
        <v/>
      </c>
      <c r="N1435" s="43" t="str">
        <f aca="false">IF(OR($L1435="",$I1435="",$I1435=0),"",$L1435/$I1435)</f>
        <v/>
      </c>
      <c r="O1435" s="51"/>
    </row>
    <row r="1436" customFormat="false" ht="15" hidden="false" customHeight="false" outlineLevel="0" collapsed="false">
      <c r="A1436" s="45"/>
      <c r="B1436" s="37" t="str">
        <f aca="false">IF($A1436="","",WEEKNUM($A1436,2))</f>
        <v/>
      </c>
      <c r="C1436" s="37" t="str">
        <f aca="false">IF($A1436="","",CHOOSE(WEEKDAY($A1436,2),"Seg","Ter","Qua","Qui","Sex","Sáb","Dom"))</f>
        <v/>
      </c>
      <c r="D1436" s="46"/>
      <c r="E1436" s="47"/>
      <c r="F1436" s="47"/>
      <c r="G1436" s="48"/>
      <c r="H1436" s="49"/>
      <c r="I1436" s="50"/>
      <c r="J1436" s="48"/>
      <c r="K1436" s="49"/>
      <c r="L1436" s="50"/>
      <c r="M1436" s="43" t="str">
        <f aca="false">IF(OR($L1436="",$F1436=""),"",IFERROR($L1436/INDEX(Cadastro!$E$6:$E$8,MATCH($F1436,Cadastro!$B$6:$B$8,0)),""))</f>
        <v/>
      </c>
      <c r="N1436" s="43" t="str">
        <f aca="false">IF(OR($L1436="",$I1436="",$I1436=0),"",$L1436/$I1436)</f>
        <v/>
      </c>
      <c r="O1436" s="51"/>
    </row>
    <row r="1437" customFormat="false" ht="15" hidden="false" customHeight="false" outlineLevel="0" collapsed="false">
      <c r="A1437" s="45"/>
      <c r="B1437" s="37" t="str">
        <f aca="false">IF($A1437="","",WEEKNUM($A1437,2))</f>
        <v/>
      </c>
      <c r="C1437" s="37" t="str">
        <f aca="false">IF($A1437="","",CHOOSE(WEEKDAY($A1437,2),"Seg","Ter","Qua","Qui","Sex","Sáb","Dom"))</f>
        <v/>
      </c>
      <c r="D1437" s="46"/>
      <c r="E1437" s="47"/>
      <c r="F1437" s="47"/>
      <c r="G1437" s="48"/>
      <c r="H1437" s="49"/>
      <c r="I1437" s="50"/>
      <c r="J1437" s="48"/>
      <c r="K1437" s="49"/>
      <c r="L1437" s="50"/>
      <c r="M1437" s="43" t="str">
        <f aca="false">IF(OR($L1437="",$F1437=""),"",IFERROR($L1437/INDEX(Cadastro!$E$6:$E$8,MATCH($F1437,Cadastro!$B$6:$B$8,0)),""))</f>
        <v/>
      </c>
      <c r="N1437" s="43" t="str">
        <f aca="false">IF(OR($L1437="",$I1437="",$I1437=0),"",$L1437/$I1437)</f>
        <v/>
      </c>
      <c r="O1437" s="51"/>
    </row>
    <row r="1438" customFormat="false" ht="15" hidden="false" customHeight="false" outlineLevel="0" collapsed="false">
      <c r="A1438" s="45"/>
      <c r="B1438" s="37" t="str">
        <f aca="false">IF($A1438="","",WEEKNUM($A1438,2))</f>
        <v/>
      </c>
      <c r="C1438" s="37" t="str">
        <f aca="false">IF($A1438="","",CHOOSE(WEEKDAY($A1438,2),"Seg","Ter","Qua","Qui","Sex","Sáb","Dom"))</f>
        <v/>
      </c>
      <c r="D1438" s="46"/>
      <c r="E1438" s="47"/>
      <c r="F1438" s="47"/>
      <c r="G1438" s="48"/>
      <c r="H1438" s="49"/>
      <c r="I1438" s="50"/>
      <c r="J1438" s="48"/>
      <c r="K1438" s="49"/>
      <c r="L1438" s="50"/>
      <c r="M1438" s="43" t="str">
        <f aca="false">IF(OR($L1438="",$F1438=""),"",IFERROR($L1438/INDEX(Cadastro!$E$6:$E$8,MATCH($F1438,Cadastro!$B$6:$B$8,0)),""))</f>
        <v/>
      </c>
      <c r="N1438" s="43" t="str">
        <f aca="false">IF(OR($L1438="",$I1438="",$I1438=0),"",$L1438/$I1438)</f>
        <v/>
      </c>
      <c r="O1438" s="51"/>
    </row>
    <row r="1439" customFormat="false" ht="15" hidden="false" customHeight="false" outlineLevel="0" collapsed="false">
      <c r="A1439" s="45"/>
      <c r="B1439" s="37" t="str">
        <f aca="false">IF($A1439="","",WEEKNUM($A1439,2))</f>
        <v/>
      </c>
      <c r="C1439" s="37" t="str">
        <f aca="false">IF($A1439="","",CHOOSE(WEEKDAY($A1439,2),"Seg","Ter","Qua","Qui","Sex","Sáb","Dom"))</f>
        <v/>
      </c>
      <c r="D1439" s="46"/>
      <c r="E1439" s="47"/>
      <c r="F1439" s="47"/>
      <c r="G1439" s="48"/>
      <c r="H1439" s="49"/>
      <c r="I1439" s="50"/>
      <c r="J1439" s="48"/>
      <c r="K1439" s="49"/>
      <c r="L1439" s="50"/>
      <c r="M1439" s="43" t="str">
        <f aca="false">IF(OR($L1439="",$F1439=""),"",IFERROR($L1439/INDEX(Cadastro!$E$6:$E$8,MATCH($F1439,Cadastro!$B$6:$B$8,0)),""))</f>
        <v/>
      </c>
      <c r="N1439" s="43" t="str">
        <f aca="false">IF(OR($L1439="",$I1439="",$I1439=0),"",$L1439/$I1439)</f>
        <v/>
      </c>
      <c r="O1439" s="51"/>
    </row>
    <row r="1440" customFormat="false" ht="15" hidden="false" customHeight="false" outlineLevel="0" collapsed="false">
      <c r="A1440" s="45"/>
      <c r="B1440" s="37" t="str">
        <f aca="false">IF($A1440="","",WEEKNUM($A1440,2))</f>
        <v/>
      </c>
      <c r="C1440" s="37" t="str">
        <f aca="false">IF($A1440="","",CHOOSE(WEEKDAY($A1440,2),"Seg","Ter","Qua","Qui","Sex","Sáb","Dom"))</f>
        <v/>
      </c>
      <c r="D1440" s="46"/>
      <c r="E1440" s="47"/>
      <c r="F1440" s="47"/>
      <c r="G1440" s="48"/>
      <c r="H1440" s="49"/>
      <c r="I1440" s="50"/>
      <c r="J1440" s="48"/>
      <c r="K1440" s="49"/>
      <c r="L1440" s="50"/>
      <c r="M1440" s="43" t="str">
        <f aca="false">IF(OR($L1440="",$F1440=""),"",IFERROR($L1440/INDEX(Cadastro!$E$6:$E$8,MATCH($F1440,Cadastro!$B$6:$B$8,0)),""))</f>
        <v/>
      </c>
      <c r="N1440" s="43" t="str">
        <f aca="false">IF(OR($L1440="",$I1440="",$I1440=0),"",$L1440/$I1440)</f>
        <v/>
      </c>
      <c r="O1440" s="51"/>
    </row>
    <row r="1441" customFormat="false" ht="15" hidden="false" customHeight="false" outlineLevel="0" collapsed="false">
      <c r="A1441" s="45"/>
      <c r="B1441" s="37" t="str">
        <f aca="false">IF($A1441="","",WEEKNUM($A1441,2))</f>
        <v/>
      </c>
      <c r="C1441" s="37" t="str">
        <f aca="false">IF($A1441="","",CHOOSE(WEEKDAY($A1441,2),"Seg","Ter","Qua","Qui","Sex","Sáb","Dom"))</f>
        <v/>
      </c>
      <c r="D1441" s="46"/>
      <c r="E1441" s="47"/>
      <c r="F1441" s="47"/>
      <c r="G1441" s="48"/>
      <c r="H1441" s="49"/>
      <c r="I1441" s="50"/>
      <c r="J1441" s="48"/>
      <c r="K1441" s="49"/>
      <c r="L1441" s="50"/>
      <c r="M1441" s="43" t="str">
        <f aca="false">IF(OR($L1441="",$F1441=""),"",IFERROR($L1441/INDEX(Cadastro!$E$6:$E$8,MATCH($F1441,Cadastro!$B$6:$B$8,0)),""))</f>
        <v/>
      </c>
      <c r="N1441" s="43" t="str">
        <f aca="false">IF(OR($L1441="",$I1441="",$I1441=0),"",$L1441/$I1441)</f>
        <v/>
      </c>
      <c r="O1441" s="51"/>
    </row>
    <row r="1442" customFormat="false" ht="15" hidden="false" customHeight="false" outlineLevel="0" collapsed="false">
      <c r="A1442" s="45"/>
      <c r="B1442" s="37" t="str">
        <f aca="false">IF($A1442="","",WEEKNUM($A1442,2))</f>
        <v/>
      </c>
      <c r="C1442" s="37" t="str">
        <f aca="false">IF($A1442="","",CHOOSE(WEEKDAY($A1442,2),"Seg","Ter","Qua","Qui","Sex","Sáb","Dom"))</f>
        <v/>
      </c>
      <c r="D1442" s="46"/>
      <c r="E1442" s="47"/>
      <c r="F1442" s="47"/>
      <c r="G1442" s="48"/>
      <c r="H1442" s="49"/>
      <c r="I1442" s="50"/>
      <c r="J1442" s="48"/>
      <c r="K1442" s="49"/>
      <c r="L1442" s="50"/>
      <c r="M1442" s="43" t="str">
        <f aca="false">IF(OR($L1442="",$F1442=""),"",IFERROR($L1442/INDEX(Cadastro!$E$6:$E$8,MATCH($F1442,Cadastro!$B$6:$B$8,0)),""))</f>
        <v/>
      </c>
      <c r="N1442" s="43" t="str">
        <f aca="false">IF(OR($L1442="",$I1442="",$I1442=0),"",$L1442/$I1442)</f>
        <v/>
      </c>
      <c r="O1442" s="51"/>
    </row>
    <row r="1443" customFormat="false" ht="15" hidden="false" customHeight="false" outlineLevel="0" collapsed="false">
      <c r="A1443" s="45"/>
      <c r="B1443" s="37" t="str">
        <f aca="false">IF($A1443="","",WEEKNUM($A1443,2))</f>
        <v/>
      </c>
      <c r="C1443" s="37" t="str">
        <f aca="false">IF($A1443="","",CHOOSE(WEEKDAY($A1443,2),"Seg","Ter","Qua","Qui","Sex","Sáb","Dom"))</f>
        <v/>
      </c>
      <c r="D1443" s="46"/>
      <c r="E1443" s="47"/>
      <c r="F1443" s="47"/>
      <c r="G1443" s="48"/>
      <c r="H1443" s="49"/>
      <c r="I1443" s="50"/>
      <c r="J1443" s="48"/>
      <c r="K1443" s="49"/>
      <c r="L1443" s="50"/>
      <c r="M1443" s="43" t="str">
        <f aca="false">IF(OR($L1443="",$F1443=""),"",IFERROR($L1443/INDEX(Cadastro!$E$6:$E$8,MATCH($F1443,Cadastro!$B$6:$B$8,0)),""))</f>
        <v/>
      </c>
      <c r="N1443" s="43" t="str">
        <f aca="false">IF(OR($L1443="",$I1443="",$I1443=0),"",$L1443/$I1443)</f>
        <v/>
      </c>
      <c r="O1443" s="51"/>
    </row>
    <row r="1444" customFormat="false" ht="15" hidden="false" customHeight="false" outlineLevel="0" collapsed="false">
      <c r="A1444" s="45"/>
      <c r="B1444" s="37" t="str">
        <f aca="false">IF($A1444="","",WEEKNUM($A1444,2))</f>
        <v/>
      </c>
      <c r="C1444" s="37" t="str">
        <f aca="false">IF($A1444="","",CHOOSE(WEEKDAY($A1444,2),"Seg","Ter","Qua","Qui","Sex","Sáb","Dom"))</f>
        <v/>
      </c>
      <c r="D1444" s="46"/>
      <c r="E1444" s="47"/>
      <c r="F1444" s="47"/>
      <c r="G1444" s="48"/>
      <c r="H1444" s="49"/>
      <c r="I1444" s="50"/>
      <c r="J1444" s="48"/>
      <c r="K1444" s="49"/>
      <c r="L1444" s="50"/>
      <c r="M1444" s="43" t="str">
        <f aca="false">IF(OR($L1444="",$F1444=""),"",IFERROR($L1444/INDEX(Cadastro!$E$6:$E$8,MATCH($F1444,Cadastro!$B$6:$B$8,0)),""))</f>
        <v/>
      </c>
      <c r="N1444" s="43" t="str">
        <f aca="false">IF(OR($L1444="",$I1444="",$I1444=0),"",$L1444/$I1444)</f>
        <v/>
      </c>
      <c r="O1444" s="51"/>
    </row>
    <row r="1445" customFormat="false" ht="15" hidden="false" customHeight="false" outlineLevel="0" collapsed="false">
      <c r="A1445" s="45"/>
      <c r="B1445" s="37" t="str">
        <f aca="false">IF($A1445="","",WEEKNUM($A1445,2))</f>
        <v/>
      </c>
      <c r="C1445" s="37" t="str">
        <f aca="false">IF($A1445="","",CHOOSE(WEEKDAY($A1445,2),"Seg","Ter","Qua","Qui","Sex","Sáb","Dom"))</f>
        <v/>
      </c>
      <c r="D1445" s="46"/>
      <c r="E1445" s="47"/>
      <c r="F1445" s="47"/>
      <c r="G1445" s="48"/>
      <c r="H1445" s="49"/>
      <c r="I1445" s="50"/>
      <c r="J1445" s="48"/>
      <c r="K1445" s="49"/>
      <c r="L1445" s="50"/>
      <c r="M1445" s="43" t="str">
        <f aca="false">IF(OR($L1445="",$F1445=""),"",IFERROR($L1445/INDEX(Cadastro!$E$6:$E$8,MATCH($F1445,Cadastro!$B$6:$B$8,0)),""))</f>
        <v/>
      </c>
      <c r="N1445" s="43" t="str">
        <f aca="false">IF(OR($L1445="",$I1445="",$I1445=0),"",$L1445/$I1445)</f>
        <v/>
      </c>
      <c r="O1445" s="51"/>
    </row>
    <row r="1446" customFormat="false" ht="15" hidden="false" customHeight="false" outlineLevel="0" collapsed="false">
      <c r="A1446" s="45"/>
      <c r="B1446" s="37" t="str">
        <f aca="false">IF($A1446="","",WEEKNUM($A1446,2))</f>
        <v/>
      </c>
      <c r="C1446" s="37" t="str">
        <f aca="false">IF($A1446="","",CHOOSE(WEEKDAY($A1446,2),"Seg","Ter","Qua","Qui","Sex","Sáb","Dom"))</f>
        <v/>
      </c>
      <c r="D1446" s="46"/>
      <c r="E1446" s="47"/>
      <c r="F1446" s="47"/>
      <c r="G1446" s="48"/>
      <c r="H1446" s="49"/>
      <c r="I1446" s="50"/>
      <c r="J1446" s="48"/>
      <c r="K1446" s="49"/>
      <c r="L1446" s="50"/>
      <c r="M1446" s="43" t="str">
        <f aca="false">IF(OR($L1446="",$F1446=""),"",IFERROR($L1446/INDEX(Cadastro!$E$6:$E$8,MATCH($F1446,Cadastro!$B$6:$B$8,0)),""))</f>
        <v/>
      </c>
      <c r="N1446" s="43" t="str">
        <f aca="false">IF(OR($L1446="",$I1446="",$I1446=0),"",$L1446/$I1446)</f>
        <v/>
      </c>
      <c r="O1446" s="51"/>
    </row>
    <row r="1447" customFormat="false" ht="15" hidden="false" customHeight="false" outlineLevel="0" collapsed="false">
      <c r="A1447" s="45"/>
      <c r="B1447" s="37" t="str">
        <f aca="false">IF($A1447="","",WEEKNUM($A1447,2))</f>
        <v/>
      </c>
      <c r="C1447" s="37" t="str">
        <f aca="false">IF($A1447="","",CHOOSE(WEEKDAY($A1447,2),"Seg","Ter","Qua","Qui","Sex","Sáb","Dom"))</f>
        <v/>
      </c>
      <c r="D1447" s="46"/>
      <c r="E1447" s="47"/>
      <c r="F1447" s="47"/>
      <c r="G1447" s="48"/>
      <c r="H1447" s="49"/>
      <c r="I1447" s="50"/>
      <c r="J1447" s="48"/>
      <c r="K1447" s="49"/>
      <c r="L1447" s="50"/>
      <c r="M1447" s="43" t="str">
        <f aca="false">IF(OR($L1447="",$F1447=""),"",IFERROR($L1447/INDEX(Cadastro!$E$6:$E$8,MATCH($F1447,Cadastro!$B$6:$B$8,0)),""))</f>
        <v/>
      </c>
      <c r="N1447" s="43" t="str">
        <f aca="false">IF(OR($L1447="",$I1447="",$I1447=0),"",$L1447/$I1447)</f>
        <v/>
      </c>
      <c r="O1447" s="51"/>
    </row>
    <row r="1448" customFormat="false" ht="15" hidden="false" customHeight="false" outlineLevel="0" collapsed="false">
      <c r="A1448" s="45"/>
      <c r="B1448" s="37" t="str">
        <f aca="false">IF($A1448="","",WEEKNUM($A1448,2))</f>
        <v/>
      </c>
      <c r="C1448" s="37" t="str">
        <f aca="false">IF($A1448="","",CHOOSE(WEEKDAY($A1448,2),"Seg","Ter","Qua","Qui","Sex","Sáb","Dom"))</f>
        <v/>
      </c>
      <c r="D1448" s="46"/>
      <c r="E1448" s="47"/>
      <c r="F1448" s="47"/>
      <c r="G1448" s="48"/>
      <c r="H1448" s="49"/>
      <c r="I1448" s="50"/>
      <c r="J1448" s="48"/>
      <c r="K1448" s="49"/>
      <c r="L1448" s="50"/>
      <c r="M1448" s="43" t="str">
        <f aca="false">IF(OR($L1448="",$F1448=""),"",IFERROR($L1448/INDEX(Cadastro!$E$6:$E$8,MATCH($F1448,Cadastro!$B$6:$B$8,0)),""))</f>
        <v/>
      </c>
      <c r="N1448" s="43" t="str">
        <f aca="false">IF(OR($L1448="",$I1448="",$I1448=0),"",$L1448/$I1448)</f>
        <v/>
      </c>
      <c r="O1448" s="51"/>
    </row>
    <row r="1449" customFormat="false" ht="15" hidden="false" customHeight="false" outlineLevel="0" collapsed="false">
      <c r="A1449" s="45"/>
      <c r="B1449" s="37" t="str">
        <f aca="false">IF($A1449="","",WEEKNUM($A1449,2))</f>
        <v/>
      </c>
      <c r="C1449" s="37" t="str">
        <f aca="false">IF($A1449="","",CHOOSE(WEEKDAY($A1449,2),"Seg","Ter","Qua","Qui","Sex","Sáb","Dom"))</f>
        <v/>
      </c>
      <c r="D1449" s="46"/>
      <c r="E1449" s="47"/>
      <c r="F1449" s="47"/>
      <c r="G1449" s="48"/>
      <c r="H1449" s="49"/>
      <c r="I1449" s="50"/>
      <c r="J1449" s="48"/>
      <c r="K1449" s="49"/>
      <c r="L1449" s="50"/>
      <c r="M1449" s="43" t="str">
        <f aca="false">IF(OR($L1449="",$F1449=""),"",IFERROR($L1449/INDEX(Cadastro!$E$6:$E$8,MATCH($F1449,Cadastro!$B$6:$B$8,0)),""))</f>
        <v/>
      </c>
      <c r="N1449" s="43" t="str">
        <f aca="false">IF(OR($L1449="",$I1449="",$I1449=0),"",$L1449/$I1449)</f>
        <v/>
      </c>
      <c r="O1449" s="51"/>
    </row>
    <row r="1450" customFormat="false" ht="15" hidden="false" customHeight="false" outlineLevel="0" collapsed="false">
      <c r="A1450" s="45"/>
      <c r="B1450" s="37" t="str">
        <f aca="false">IF($A1450="","",WEEKNUM($A1450,2))</f>
        <v/>
      </c>
      <c r="C1450" s="37" t="str">
        <f aca="false">IF($A1450="","",CHOOSE(WEEKDAY($A1450,2),"Seg","Ter","Qua","Qui","Sex","Sáb","Dom"))</f>
        <v/>
      </c>
      <c r="D1450" s="46"/>
      <c r="E1450" s="47"/>
      <c r="F1450" s="47"/>
      <c r="G1450" s="48"/>
      <c r="H1450" s="49"/>
      <c r="I1450" s="50"/>
      <c r="J1450" s="48"/>
      <c r="K1450" s="49"/>
      <c r="L1450" s="50"/>
      <c r="M1450" s="43" t="str">
        <f aca="false">IF(OR($L1450="",$F1450=""),"",IFERROR($L1450/INDEX(Cadastro!$E$6:$E$8,MATCH($F1450,Cadastro!$B$6:$B$8,0)),""))</f>
        <v/>
      </c>
      <c r="N1450" s="43" t="str">
        <f aca="false">IF(OR($L1450="",$I1450="",$I1450=0),"",$L1450/$I1450)</f>
        <v/>
      </c>
      <c r="O1450" s="51"/>
    </row>
    <row r="1451" customFormat="false" ht="15" hidden="false" customHeight="false" outlineLevel="0" collapsed="false">
      <c r="A1451" s="45"/>
      <c r="B1451" s="37" t="str">
        <f aca="false">IF($A1451="","",WEEKNUM($A1451,2))</f>
        <v/>
      </c>
      <c r="C1451" s="37" t="str">
        <f aca="false">IF($A1451="","",CHOOSE(WEEKDAY($A1451,2),"Seg","Ter","Qua","Qui","Sex","Sáb","Dom"))</f>
        <v/>
      </c>
      <c r="D1451" s="46"/>
      <c r="E1451" s="47"/>
      <c r="F1451" s="47"/>
      <c r="G1451" s="48"/>
      <c r="H1451" s="49"/>
      <c r="I1451" s="50"/>
      <c r="J1451" s="48"/>
      <c r="K1451" s="49"/>
      <c r="L1451" s="50"/>
      <c r="M1451" s="43" t="str">
        <f aca="false">IF(OR($L1451="",$F1451=""),"",IFERROR($L1451/INDEX(Cadastro!$E$6:$E$8,MATCH($F1451,Cadastro!$B$6:$B$8,0)),""))</f>
        <v/>
      </c>
      <c r="N1451" s="43" t="str">
        <f aca="false">IF(OR($L1451="",$I1451="",$I1451=0),"",$L1451/$I1451)</f>
        <v/>
      </c>
      <c r="O1451" s="51"/>
    </row>
    <row r="1452" customFormat="false" ht="15" hidden="false" customHeight="false" outlineLevel="0" collapsed="false">
      <c r="A1452" s="45"/>
      <c r="B1452" s="37" t="str">
        <f aca="false">IF($A1452="","",WEEKNUM($A1452,2))</f>
        <v/>
      </c>
      <c r="C1452" s="37" t="str">
        <f aca="false">IF($A1452="","",CHOOSE(WEEKDAY($A1452,2),"Seg","Ter","Qua","Qui","Sex","Sáb","Dom"))</f>
        <v/>
      </c>
      <c r="D1452" s="46"/>
      <c r="E1452" s="47"/>
      <c r="F1452" s="47"/>
      <c r="G1452" s="48"/>
      <c r="H1452" s="49"/>
      <c r="I1452" s="50"/>
      <c r="J1452" s="48"/>
      <c r="K1452" s="49"/>
      <c r="L1452" s="50"/>
      <c r="M1452" s="43" t="str">
        <f aca="false">IF(OR($L1452="",$F1452=""),"",IFERROR($L1452/INDEX(Cadastro!$E$6:$E$8,MATCH($F1452,Cadastro!$B$6:$B$8,0)),""))</f>
        <v/>
      </c>
      <c r="N1452" s="43" t="str">
        <f aca="false">IF(OR($L1452="",$I1452="",$I1452=0),"",$L1452/$I1452)</f>
        <v/>
      </c>
      <c r="O1452" s="51"/>
    </row>
    <row r="1453" customFormat="false" ht="15" hidden="false" customHeight="false" outlineLevel="0" collapsed="false">
      <c r="A1453" s="45"/>
      <c r="B1453" s="37" t="str">
        <f aca="false">IF($A1453="","",WEEKNUM($A1453,2))</f>
        <v/>
      </c>
      <c r="C1453" s="37" t="str">
        <f aca="false">IF($A1453="","",CHOOSE(WEEKDAY($A1453,2),"Seg","Ter","Qua","Qui","Sex","Sáb","Dom"))</f>
        <v/>
      </c>
      <c r="D1453" s="46"/>
      <c r="E1453" s="47"/>
      <c r="F1453" s="47"/>
      <c r="G1453" s="48"/>
      <c r="H1453" s="49"/>
      <c r="I1453" s="50"/>
      <c r="J1453" s="48"/>
      <c r="K1453" s="49"/>
      <c r="L1453" s="50"/>
      <c r="M1453" s="43" t="str">
        <f aca="false">IF(OR($L1453="",$F1453=""),"",IFERROR($L1453/INDEX(Cadastro!$E$6:$E$8,MATCH($F1453,Cadastro!$B$6:$B$8,0)),""))</f>
        <v/>
      </c>
      <c r="N1453" s="43" t="str">
        <f aca="false">IF(OR($L1453="",$I1453="",$I1453=0),"",$L1453/$I1453)</f>
        <v/>
      </c>
      <c r="O1453" s="51"/>
    </row>
    <row r="1454" customFormat="false" ht="15" hidden="false" customHeight="false" outlineLevel="0" collapsed="false">
      <c r="A1454" s="45"/>
      <c r="B1454" s="37" t="str">
        <f aca="false">IF($A1454="","",WEEKNUM($A1454,2))</f>
        <v/>
      </c>
      <c r="C1454" s="37" t="str">
        <f aca="false">IF($A1454="","",CHOOSE(WEEKDAY($A1454,2),"Seg","Ter","Qua","Qui","Sex","Sáb","Dom"))</f>
        <v/>
      </c>
      <c r="D1454" s="46"/>
      <c r="E1454" s="47"/>
      <c r="F1454" s="47"/>
      <c r="G1454" s="48"/>
      <c r="H1454" s="49"/>
      <c r="I1454" s="50"/>
      <c r="J1454" s="48"/>
      <c r="K1454" s="49"/>
      <c r="L1454" s="50"/>
      <c r="M1454" s="43" t="str">
        <f aca="false">IF(OR($L1454="",$F1454=""),"",IFERROR($L1454/INDEX(Cadastro!$E$6:$E$8,MATCH($F1454,Cadastro!$B$6:$B$8,0)),""))</f>
        <v/>
      </c>
      <c r="N1454" s="43" t="str">
        <f aca="false">IF(OR($L1454="",$I1454="",$I1454=0),"",$L1454/$I1454)</f>
        <v/>
      </c>
      <c r="O1454" s="51"/>
    </row>
    <row r="1455" customFormat="false" ht="15" hidden="false" customHeight="false" outlineLevel="0" collapsed="false">
      <c r="A1455" s="45"/>
      <c r="B1455" s="37" t="str">
        <f aca="false">IF($A1455="","",WEEKNUM($A1455,2))</f>
        <v/>
      </c>
      <c r="C1455" s="37" t="str">
        <f aca="false">IF($A1455="","",CHOOSE(WEEKDAY($A1455,2),"Seg","Ter","Qua","Qui","Sex","Sáb","Dom"))</f>
        <v/>
      </c>
      <c r="D1455" s="46"/>
      <c r="E1455" s="47"/>
      <c r="F1455" s="47"/>
      <c r="G1455" s="48"/>
      <c r="H1455" s="49"/>
      <c r="I1455" s="50"/>
      <c r="J1455" s="48"/>
      <c r="K1455" s="49"/>
      <c r="L1455" s="50"/>
      <c r="M1455" s="43" t="str">
        <f aca="false">IF(OR($L1455="",$F1455=""),"",IFERROR($L1455/INDEX(Cadastro!$E$6:$E$8,MATCH($F1455,Cadastro!$B$6:$B$8,0)),""))</f>
        <v/>
      </c>
      <c r="N1455" s="43" t="str">
        <f aca="false">IF(OR($L1455="",$I1455="",$I1455=0),"",$L1455/$I1455)</f>
        <v/>
      </c>
      <c r="O1455" s="51"/>
    </row>
    <row r="1456" customFormat="false" ht="15" hidden="false" customHeight="false" outlineLevel="0" collapsed="false">
      <c r="A1456" s="45"/>
      <c r="B1456" s="37" t="str">
        <f aca="false">IF($A1456="","",WEEKNUM($A1456,2))</f>
        <v/>
      </c>
      <c r="C1456" s="37" t="str">
        <f aca="false">IF($A1456="","",CHOOSE(WEEKDAY($A1456,2),"Seg","Ter","Qua","Qui","Sex","Sáb","Dom"))</f>
        <v/>
      </c>
      <c r="D1456" s="46"/>
      <c r="E1456" s="47"/>
      <c r="F1456" s="47"/>
      <c r="G1456" s="48"/>
      <c r="H1456" s="49"/>
      <c r="I1456" s="50"/>
      <c r="J1456" s="48"/>
      <c r="K1456" s="49"/>
      <c r="L1456" s="50"/>
      <c r="M1456" s="43" t="str">
        <f aca="false">IF(OR($L1456="",$F1456=""),"",IFERROR($L1456/INDEX(Cadastro!$E$6:$E$8,MATCH($F1456,Cadastro!$B$6:$B$8,0)),""))</f>
        <v/>
      </c>
      <c r="N1456" s="43" t="str">
        <f aca="false">IF(OR($L1456="",$I1456="",$I1456=0),"",$L1456/$I1456)</f>
        <v/>
      </c>
      <c r="O1456" s="51"/>
    </row>
    <row r="1457" customFormat="false" ht="15" hidden="false" customHeight="false" outlineLevel="0" collapsed="false">
      <c r="A1457" s="45"/>
      <c r="B1457" s="37" t="str">
        <f aca="false">IF($A1457="","",WEEKNUM($A1457,2))</f>
        <v/>
      </c>
      <c r="C1457" s="37" t="str">
        <f aca="false">IF($A1457="","",CHOOSE(WEEKDAY($A1457,2),"Seg","Ter","Qua","Qui","Sex","Sáb","Dom"))</f>
        <v/>
      </c>
      <c r="D1457" s="46"/>
      <c r="E1457" s="47"/>
      <c r="F1457" s="47"/>
      <c r="G1457" s="48"/>
      <c r="H1457" s="49"/>
      <c r="I1457" s="50"/>
      <c r="J1457" s="48"/>
      <c r="K1457" s="49"/>
      <c r="L1457" s="50"/>
      <c r="M1457" s="43" t="str">
        <f aca="false">IF(OR($L1457="",$F1457=""),"",IFERROR($L1457/INDEX(Cadastro!$E$6:$E$8,MATCH($F1457,Cadastro!$B$6:$B$8,0)),""))</f>
        <v/>
      </c>
      <c r="N1457" s="43" t="str">
        <f aca="false">IF(OR($L1457="",$I1457="",$I1457=0),"",$L1457/$I1457)</f>
        <v/>
      </c>
      <c r="O1457" s="51"/>
    </row>
    <row r="1458" customFormat="false" ht="15" hidden="false" customHeight="false" outlineLevel="0" collapsed="false">
      <c r="A1458" s="45"/>
      <c r="B1458" s="37" t="str">
        <f aca="false">IF($A1458="","",WEEKNUM($A1458,2))</f>
        <v/>
      </c>
      <c r="C1458" s="37" t="str">
        <f aca="false">IF($A1458="","",CHOOSE(WEEKDAY($A1458,2),"Seg","Ter","Qua","Qui","Sex","Sáb","Dom"))</f>
        <v/>
      </c>
      <c r="D1458" s="46"/>
      <c r="E1458" s="47"/>
      <c r="F1458" s="47"/>
      <c r="G1458" s="48"/>
      <c r="H1458" s="49"/>
      <c r="I1458" s="50"/>
      <c r="J1458" s="48"/>
      <c r="K1458" s="49"/>
      <c r="L1458" s="50"/>
      <c r="M1458" s="43" t="str">
        <f aca="false">IF(OR($L1458="",$F1458=""),"",IFERROR($L1458/INDEX(Cadastro!$E$6:$E$8,MATCH($F1458,Cadastro!$B$6:$B$8,0)),""))</f>
        <v/>
      </c>
      <c r="N1458" s="43" t="str">
        <f aca="false">IF(OR($L1458="",$I1458="",$I1458=0),"",$L1458/$I1458)</f>
        <v/>
      </c>
      <c r="O1458" s="51"/>
    </row>
    <row r="1459" customFormat="false" ht="15" hidden="false" customHeight="false" outlineLevel="0" collapsed="false">
      <c r="A1459" s="45"/>
      <c r="B1459" s="37" t="str">
        <f aca="false">IF($A1459="","",WEEKNUM($A1459,2))</f>
        <v/>
      </c>
      <c r="C1459" s="37" t="str">
        <f aca="false">IF($A1459="","",CHOOSE(WEEKDAY($A1459,2),"Seg","Ter","Qua","Qui","Sex","Sáb","Dom"))</f>
        <v/>
      </c>
      <c r="D1459" s="46"/>
      <c r="E1459" s="47"/>
      <c r="F1459" s="47"/>
      <c r="G1459" s="48"/>
      <c r="H1459" s="49"/>
      <c r="I1459" s="50"/>
      <c r="J1459" s="48"/>
      <c r="K1459" s="49"/>
      <c r="L1459" s="50"/>
      <c r="M1459" s="43" t="str">
        <f aca="false">IF(OR($L1459="",$F1459=""),"",IFERROR($L1459/INDEX(Cadastro!$E$6:$E$8,MATCH($F1459,Cadastro!$B$6:$B$8,0)),""))</f>
        <v/>
      </c>
      <c r="N1459" s="43" t="str">
        <f aca="false">IF(OR($L1459="",$I1459="",$I1459=0),"",$L1459/$I1459)</f>
        <v/>
      </c>
      <c r="O1459" s="51"/>
    </row>
    <row r="1460" customFormat="false" ht="15" hidden="false" customHeight="false" outlineLevel="0" collapsed="false">
      <c r="A1460" s="45"/>
      <c r="B1460" s="37" t="str">
        <f aca="false">IF($A1460="","",WEEKNUM($A1460,2))</f>
        <v/>
      </c>
      <c r="C1460" s="37" t="str">
        <f aca="false">IF($A1460="","",CHOOSE(WEEKDAY($A1460,2),"Seg","Ter","Qua","Qui","Sex","Sáb","Dom"))</f>
        <v/>
      </c>
      <c r="D1460" s="46"/>
      <c r="E1460" s="47"/>
      <c r="F1460" s="47"/>
      <c r="G1460" s="48"/>
      <c r="H1460" s="49"/>
      <c r="I1460" s="50"/>
      <c r="J1460" s="48"/>
      <c r="K1460" s="49"/>
      <c r="L1460" s="50"/>
      <c r="M1460" s="43" t="str">
        <f aca="false">IF(OR($L1460="",$F1460=""),"",IFERROR($L1460/INDEX(Cadastro!$E$6:$E$8,MATCH($F1460,Cadastro!$B$6:$B$8,0)),""))</f>
        <v/>
      </c>
      <c r="N1460" s="43" t="str">
        <f aca="false">IF(OR($L1460="",$I1460="",$I1460=0),"",$L1460/$I1460)</f>
        <v/>
      </c>
      <c r="O1460" s="51"/>
    </row>
    <row r="1461" customFormat="false" ht="15" hidden="false" customHeight="false" outlineLevel="0" collapsed="false">
      <c r="A1461" s="45"/>
      <c r="B1461" s="37" t="str">
        <f aca="false">IF($A1461="","",WEEKNUM($A1461,2))</f>
        <v/>
      </c>
      <c r="C1461" s="37" t="str">
        <f aca="false">IF($A1461="","",CHOOSE(WEEKDAY($A1461,2),"Seg","Ter","Qua","Qui","Sex","Sáb","Dom"))</f>
        <v/>
      </c>
      <c r="D1461" s="46"/>
      <c r="E1461" s="47"/>
      <c r="F1461" s="47"/>
      <c r="G1461" s="48"/>
      <c r="H1461" s="49"/>
      <c r="I1461" s="50"/>
      <c r="J1461" s="48"/>
      <c r="K1461" s="49"/>
      <c r="L1461" s="50"/>
      <c r="M1461" s="43" t="str">
        <f aca="false">IF(OR($L1461="",$F1461=""),"",IFERROR($L1461/INDEX(Cadastro!$E$6:$E$8,MATCH($F1461,Cadastro!$B$6:$B$8,0)),""))</f>
        <v/>
      </c>
      <c r="N1461" s="43" t="str">
        <f aca="false">IF(OR($L1461="",$I1461="",$I1461=0),"",$L1461/$I1461)</f>
        <v/>
      </c>
      <c r="O1461" s="51"/>
    </row>
    <row r="1462" customFormat="false" ht="15" hidden="false" customHeight="false" outlineLevel="0" collapsed="false">
      <c r="A1462" s="45"/>
      <c r="B1462" s="37" t="str">
        <f aca="false">IF($A1462="","",WEEKNUM($A1462,2))</f>
        <v/>
      </c>
      <c r="C1462" s="37" t="str">
        <f aca="false">IF($A1462="","",CHOOSE(WEEKDAY($A1462,2),"Seg","Ter","Qua","Qui","Sex","Sáb","Dom"))</f>
        <v/>
      </c>
      <c r="D1462" s="46"/>
      <c r="E1462" s="47"/>
      <c r="F1462" s="47"/>
      <c r="G1462" s="48"/>
      <c r="H1462" s="49"/>
      <c r="I1462" s="50"/>
      <c r="J1462" s="48"/>
      <c r="K1462" s="49"/>
      <c r="L1462" s="50"/>
      <c r="M1462" s="43" t="str">
        <f aca="false">IF(OR($L1462="",$F1462=""),"",IFERROR($L1462/INDEX(Cadastro!$E$6:$E$8,MATCH($F1462,Cadastro!$B$6:$B$8,0)),""))</f>
        <v/>
      </c>
      <c r="N1462" s="43" t="str">
        <f aca="false">IF(OR($L1462="",$I1462="",$I1462=0),"",$L1462/$I1462)</f>
        <v/>
      </c>
      <c r="O1462" s="51"/>
    </row>
    <row r="1463" customFormat="false" ht="15" hidden="false" customHeight="false" outlineLevel="0" collapsed="false">
      <c r="A1463" s="45"/>
      <c r="B1463" s="37" t="str">
        <f aca="false">IF($A1463="","",WEEKNUM($A1463,2))</f>
        <v/>
      </c>
      <c r="C1463" s="37" t="str">
        <f aca="false">IF($A1463="","",CHOOSE(WEEKDAY($A1463,2),"Seg","Ter","Qua","Qui","Sex","Sáb","Dom"))</f>
        <v/>
      </c>
      <c r="D1463" s="46"/>
      <c r="E1463" s="47"/>
      <c r="F1463" s="47"/>
      <c r="G1463" s="48"/>
      <c r="H1463" s="49"/>
      <c r="I1463" s="50"/>
      <c r="J1463" s="48"/>
      <c r="K1463" s="49"/>
      <c r="L1463" s="50"/>
      <c r="M1463" s="43" t="str">
        <f aca="false">IF(OR($L1463="",$F1463=""),"",IFERROR($L1463/INDEX(Cadastro!$E$6:$E$8,MATCH($F1463,Cadastro!$B$6:$B$8,0)),""))</f>
        <v/>
      </c>
      <c r="N1463" s="43" t="str">
        <f aca="false">IF(OR($L1463="",$I1463="",$I1463=0),"",$L1463/$I1463)</f>
        <v/>
      </c>
      <c r="O1463" s="51"/>
    </row>
    <row r="1464" customFormat="false" ht="15" hidden="false" customHeight="false" outlineLevel="0" collapsed="false">
      <c r="A1464" s="45"/>
      <c r="B1464" s="37" t="str">
        <f aca="false">IF($A1464="","",WEEKNUM($A1464,2))</f>
        <v/>
      </c>
      <c r="C1464" s="37" t="str">
        <f aca="false">IF($A1464="","",CHOOSE(WEEKDAY($A1464,2),"Seg","Ter","Qua","Qui","Sex","Sáb","Dom"))</f>
        <v/>
      </c>
      <c r="D1464" s="46"/>
      <c r="E1464" s="47"/>
      <c r="F1464" s="47"/>
      <c r="G1464" s="48"/>
      <c r="H1464" s="49"/>
      <c r="I1464" s="50"/>
      <c r="J1464" s="48"/>
      <c r="K1464" s="49"/>
      <c r="L1464" s="50"/>
      <c r="M1464" s="43" t="str">
        <f aca="false">IF(OR($L1464="",$F1464=""),"",IFERROR($L1464/INDEX(Cadastro!$E$6:$E$8,MATCH($F1464,Cadastro!$B$6:$B$8,0)),""))</f>
        <v/>
      </c>
      <c r="N1464" s="43" t="str">
        <f aca="false">IF(OR($L1464="",$I1464="",$I1464=0),"",$L1464/$I1464)</f>
        <v/>
      </c>
      <c r="O1464" s="51"/>
    </row>
    <row r="1465" customFormat="false" ht="15" hidden="false" customHeight="false" outlineLevel="0" collapsed="false">
      <c r="A1465" s="45"/>
      <c r="B1465" s="37" t="str">
        <f aca="false">IF($A1465="","",WEEKNUM($A1465,2))</f>
        <v/>
      </c>
      <c r="C1465" s="37" t="str">
        <f aca="false">IF($A1465="","",CHOOSE(WEEKDAY($A1465,2),"Seg","Ter","Qua","Qui","Sex","Sáb","Dom"))</f>
        <v/>
      </c>
      <c r="D1465" s="46"/>
      <c r="E1465" s="47"/>
      <c r="F1465" s="47"/>
      <c r="G1465" s="48"/>
      <c r="H1465" s="49"/>
      <c r="I1465" s="50"/>
      <c r="J1465" s="48"/>
      <c r="K1465" s="49"/>
      <c r="L1465" s="50"/>
      <c r="M1465" s="43" t="str">
        <f aca="false">IF(OR($L1465="",$F1465=""),"",IFERROR($L1465/INDEX(Cadastro!$E$6:$E$8,MATCH($F1465,Cadastro!$B$6:$B$8,0)),""))</f>
        <v/>
      </c>
      <c r="N1465" s="43" t="str">
        <f aca="false">IF(OR($L1465="",$I1465="",$I1465=0),"",$L1465/$I1465)</f>
        <v/>
      </c>
      <c r="O1465" s="51"/>
    </row>
    <row r="1466" customFormat="false" ht="15" hidden="false" customHeight="false" outlineLevel="0" collapsed="false">
      <c r="A1466" s="45"/>
      <c r="B1466" s="37" t="str">
        <f aca="false">IF($A1466="","",WEEKNUM($A1466,2))</f>
        <v/>
      </c>
      <c r="C1466" s="37" t="str">
        <f aca="false">IF($A1466="","",CHOOSE(WEEKDAY($A1466,2),"Seg","Ter","Qua","Qui","Sex","Sáb","Dom"))</f>
        <v/>
      </c>
      <c r="D1466" s="46"/>
      <c r="E1466" s="47"/>
      <c r="F1466" s="47"/>
      <c r="G1466" s="48"/>
      <c r="H1466" s="49"/>
      <c r="I1466" s="50"/>
      <c r="J1466" s="48"/>
      <c r="K1466" s="49"/>
      <c r="L1466" s="50"/>
      <c r="M1466" s="43" t="str">
        <f aca="false">IF(OR($L1466="",$F1466=""),"",IFERROR($L1466/INDEX(Cadastro!$E$6:$E$8,MATCH($F1466,Cadastro!$B$6:$B$8,0)),""))</f>
        <v/>
      </c>
      <c r="N1466" s="43" t="str">
        <f aca="false">IF(OR($L1466="",$I1466="",$I1466=0),"",$L1466/$I1466)</f>
        <v/>
      </c>
      <c r="O1466" s="51"/>
    </row>
    <row r="1467" customFormat="false" ht="15" hidden="false" customHeight="false" outlineLevel="0" collapsed="false">
      <c r="A1467" s="45"/>
      <c r="B1467" s="37" t="str">
        <f aca="false">IF($A1467="","",WEEKNUM($A1467,2))</f>
        <v/>
      </c>
      <c r="C1467" s="37" t="str">
        <f aca="false">IF($A1467="","",CHOOSE(WEEKDAY($A1467,2),"Seg","Ter","Qua","Qui","Sex","Sáb","Dom"))</f>
        <v/>
      </c>
      <c r="D1467" s="46"/>
      <c r="E1467" s="47"/>
      <c r="F1467" s="47"/>
      <c r="G1467" s="48"/>
      <c r="H1467" s="49"/>
      <c r="I1467" s="50"/>
      <c r="J1467" s="48"/>
      <c r="K1467" s="49"/>
      <c r="L1467" s="50"/>
      <c r="M1467" s="43" t="str">
        <f aca="false">IF(OR($L1467="",$F1467=""),"",IFERROR($L1467/INDEX(Cadastro!$E$6:$E$8,MATCH($F1467,Cadastro!$B$6:$B$8,0)),""))</f>
        <v/>
      </c>
      <c r="N1467" s="43" t="str">
        <f aca="false">IF(OR($L1467="",$I1467="",$I1467=0),"",$L1467/$I1467)</f>
        <v/>
      </c>
      <c r="O1467" s="51"/>
    </row>
    <row r="1468" customFormat="false" ht="15" hidden="false" customHeight="false" outlineLevel="0" collapsed="false">
      <c r="A1468" s="45"/>
      <c r="B1468" s="37" t="str">
        <f aca="false">IF($A1468="","",WEEKNUM($A1468,2))</f>
        <v/>
      </c>
      <c r="C1468" s="37" t="str">
        <f aca="false">IF($A1468="","",CHOOSE(WEEKDAY($A1468,2),"Seg","Ter","Qua","Qui","Sex","Sáb","Dom"))</f>
        <v/>
      </c>
      <c r="D1468" s="46"/>
      <c r="E1468" s="47"/>
      <c r="F1468" s="47"/>
      <c r="G1468" s="48"/>
      <c r="H1468" s="49"/>
      <c r="I1468" s="50"/>
      <c r="J1468" s="48"/>
      <c r="K1468" s="49"/>
      <c r="L1468" s="50"/>
      <c r="M1468" s="43" t="str">
        <f aca="false">IF(OR($L1468="",$F1468=""),"",IFERROR($L1468/INDEX(Cadastro!$E$6:$E$8,MATCH($F1468,Cadastro!$B$6:$B$8,0)),""))</f>
        <v/>
      </c>
      <c r="N1468" s="43" t="str">
        <f aca="false">IF(OR($L1468="",$I1468="",$I1468=0),"",$L1468/$I1468)</f>
        <v/>
      </c>
      <c r="O1468" s="51"/>
    </row>
    <row r="1469" customFormat="false" ht="15" hidden="false" customHeight="false" outlineLevel="0" collapsed="false">
      <c r="A1469" s="45"/>
      <c r="B1469" s="37" t="str">
        <f aca="false">IF($A1469="","",WEEKNUM($A1469,2))</f>
        <v/>
      </c>
      <c r="C1469" s="37" t="str">
        <f aca="false">IF($A1469="","",CHOOSE(WEEKDAY($A1469,2),"Seg","Ter","Qua","Qui","Sex","Sáb","Dom"))</f>
        <v/>
      </c>
      <c r="D1469" s="46"/>
      <c r="E1469" s="47"/>
      <c r="F1469" s="47"/>
      <c r="G1469" s="48"/>
      <c r="H1469" s="49"/>
      <c r="I1469" s="50"/>
      <c r="J1469" s="48"/>
      <c r="K1469" s="49"/>
      <c r="L1469" s="50"/>
      <c r="M1469" s="43" t="str">
        <f aca="false">IF(OR($L1469="",$F1469=""),"",IFERROR($L1469/INDEX(Cadastro!$E$6:$E$8,MATCH($F1469,Cadastro!$B$6:$B$8,0)),""))</f>
        <v/>
      </c>
      <c r="N1469" s="43" t="str">
        <f aca="false">IF(OR($L1469="",$I1469="",$I1469=0),"",$L1469/$I1469)</f>
        <v/>
      </c>
      <c r="O1469" s="51"/>
    </row>
    <row r="1470" customFormat="false" ht="15" hidden="false" customHeight="false" outlineLevel="0" collapsed="false">
      <c r="A1470" s="45"/>
      <c r="B1470" s="37" t="str">
        <f aca="false">IF($A1470="","",WEEKNUM($A1470,2))</f>
        <v/>
      </c>
      <c r="C1470" s="37" t="str">
        <f aca="false">IF($A1470="","",CHOOSE(WEEKDAY($A1470,2),"Seg","Ter","Qua","Qui","Sex","Sáb","Dom"))</f>
        <v/>
      </c>
      <c r="D1470" s="46"/>
      <c r="E1470" s="47"/>
      <c r="F1470" s="47"/>
      <c r="G1470" s="48"/>
      <c r="H1470" s="49"/>
      <c r="I1470" s="50"/>
      <c r="J1470" s="48"/>
      <c r="K1470" s="49"/>
      <c r="L1470" s="50"/>
      <c r="M1470" s="43" t="str">
        <f aca="false">IF(OR($L1470="",$F1470=""),"",IFERROR($L1470/INDEX(Cadastro!$E$6:$E$8,MATCH($F1470,Cadastro!$B$6:$B$8,0)),""))</f>
        <v/>
      </c>
      <c r="N1470" s="43" t="str">
        <f aca="false">IF(OR($L1470="",$I1470="",$I1470=0),"",$L1470/$I1470)</f>
        <v/>
      </c>
      <c r="O1470" s="51"/>
    </row>
    <row r="1471" customFormat="false" ht="15" hidden="false" customHeight="false" outlineLevel="0" collapsed="false">
      <c r="A1471" s="45"/>
      <c r="B1471" s="37" t="str">
        <f aca="false">IF($A1471="","",WEEKNUM($A1471,2))</f>
        <v/>
      </c>
      <c r="C1471" s="37" t="str">
        <f aca="false">IF($A1471="","",CHOOSE(WEEKDAY($A1471,2),"Seg","Ter","Qua","Qui","Sex","Sáb","Dom"))</f>
        <v/>
      </c>
      <c r="D1471" s="46"/>
      <c r="E1471" s="47"/>
      <c r="F1471" s="47"/>
      <c r="G1471" s="48"/>
      <c r="H1471" s="49"/>
      <c r="I1471" s="50"/>
      <c r="J1471" s="48"/>
      <c r="K1471" s="49"/>
      <c r="L1471" s="50"/>
      <c r="M1471" s="43" t="str">
        <f aca="false">IF(OR($L1471="",$F1471=""),"",IFERROR($L1471/INDEX(Cadastro!$E$6:$E$8,MATCH($F1471,Cadastro!$B$6:$B$8,0)),""))</f>
        <v/>
      </c>
      <c r="N1471" s="43" t="str">
        <f aca="false">IF(OR($L1471="",$I1471="",$I1471=0),"",$L1471/$I1471)</f>
        <v/>
      </c>
      <c r="O1471" s="51"/>
    </row>
    <row r="1472" customFormat="false" ht="15" hidden="false" customHeight="false" outlineLevel="0" collapsed="false">
      <c r="A1472" s="45"/>
      <c r="B1472" s="37" t="str">
        <f aca="false">IF($A1472="","",WEEKNUM($A1472,2))</f>
        <v/>
      </c>
      <c r="C1472" s="37" t="str">
        <f aca="false">IF($A1472="","",CHOOSE(WEEKDAY($A1472,2),"Seg","Ter","Qua","Qui","Sex","Sáb","Dom"))</f>
        <v/>
      </c>
      <c r="D1472" s="46"/>
      <c r="E1472" s="47"/>
      <c r="F1472" s="47"/>
      <c r="G1472" s="48"/>
      <c r="H1472" s="49"/>
      <c r="I1472" s="50"/>
      <c r="J1472" s="48"/>
      <c r="K1472" s="49"/>
      <c r="L1472" s="50"/>
      <c r="M1472" s="43" t="str">
        <f aca="false">IF(OR($L1472="",$F1472=""),"",IFERROR($L1472/INDEX(Cadastro!$E$6:$E$8,MATCH($F1472,Cadastro!$B$6:$B$8,0)),""))</f>
        <v/>
      </c>
      <c r="N1472" s="43" t="str">
        <f aca="false">IF(OR($L1472="",$I1472="",$I1472=0),"",$L1472/$I1472)</f>
        <v/>
      </c>
      <c r="O1472" s="51"/>
    </row>
    <row r="1473" customFormat="false" ht="15" hidden="false" customHeight="false" outlineLevel="0" collapsed="false">
      <c r="A1473" s="45"/>
      <c r="B1473" s="37" t="str">
        <f aca="false">IF($A1473="","",WEEKNUM($A1473,2))</f>
        <v/>
      </c>
      <c r="C1473" s="37" t="str">
        <f aca="false">IF($A1473="","",CHOOSE(WEEKDAY($A1473,2),"Seg","Ter","Qua","Qui","Sex","Sáb","Dom"))</f>
        <v/>
      </c>
      <c r="D1473" s="46"/>
      <c r="E1473" s="47"/>
      <c r="F1473" s="47"/>
      <c r="G1473" s="48"/>
      <c r="H1473" s="49"/>
      <c r="I1473" s="50"/>
      <c r="J1473" s="48"/>
      <c r="K1473" s="49"/>
      <c r="L1473" s="50"/>
      <c r="M1473" s="43" t="str">
        <f aca="false">IF(OR($L1473="",$F1473=""),"",IFERROR($L1473/INDEX(Cadastro!$E$6:$E$8,MATCH($F1473,Cadastro!$B$6:$B$8,0)),""))</f>
        <v/>
      </c>
      <c r="N1473" s="43" t="str">
        <f aca="false">IF(OR($L1473="",$I1473="",$I1473=0),"",$L1473/$I1473)</f>
        <v/>
      </c>
      <c r="O1473" s="51"/>
    </row>
    <row r="1474" customFormat="false" ht="15" hidden="false" customHeight="false" outlineLevel="0" collapsed="false">
      <c r="A1474" s="45"/>
      <c r="B1474" s="37" t="str">
        <f aca="false">IF($A1474="","",WEEKNUM($A1474,2))</f>
        <v/>
      </c>
      <c r="C1474" s="37" t="str">
        <f aca="false">IF($A1474="","",CHOOSE(WEEKDAY($A1474,2),"Seg","Ter","Qua","Qui","Sex","Sáb","Dom"))</f>
        <v/>
      </c>
      <c r="D1474" s="46"/>
      <c r="E1474" s="47"/>
      <c r="F1474" s="47"/>
      <c r="G1474" s="48"/>
      <c r="H1474" s="49"/>
      <c r="I1474" s="50"/>
      <c r="J1474" s="48"/>
      <c r="K1474" s="49"/>
      <c r="L1474" s="50"/>
      <c r="M1474" s="43" t="str">
        <f aca="false">IF(OR($L1474="",$F1474=""),"",IFERROR($L1474/INDEX(Cadastro!$E$6:$E$8,MATCH($F1474,Cadastro!$B$6:$B$8,0)),""))</f>
        <v/>
      </c>
      <c r="N1474" s="43" t="str">
        <f aca="false">IF(OR($L1474="",$I1474="",$I1474=0),"",$L1474/$I1474)</f>
        <v/>
      </c>
      <c r="O1474" s="51"/>
    </row>
    <row r="1475" customFormat="false" ht="15" hidden="false" customHeight="false" outlineLevel="0" collapsed="false">
      <c r="A1475" s="45"/>
      <c r="B1475" s="37" t="str">
        <f aca="false">IF($A1475="","",WEEKNUM($A1475,2))</f>
        <v/>
      </c>
      <c r="C1475" s="37" t="str">
        <f aca="false">IF($A1475="","",CHOOSE(WEEKDAY($A1475,2),"Seg","Ter","Qua","Qui","Sex","Sáb","Dom"))</f>
        <v/>
      </c>
      <c r="D1475" s="46"/>
      <c r="E1475" s="47"/>
      <c r="F1475" s="47"/>
      <c r="G1475" s="48"/>
      <c r="H1475" s="49"/>
      <c r="I1475" s="50"/>
      <c r="J1475" s="48"/>
      <c r="K1475" s="49"/>
      <c r="L1475" s="50"/>
      <c r="M1475" s="43" t="str">
        <f aca="false">IF(OR($L1475="",$F1475=""),"",IFERROR($L1475/INDEX(Cadastro!$E$6:$E$8,MATCH($F1475,Cadastro!$B$6:$B$8,0)),""))</f>
        <v/>
      </c>
      <c r="N1475" s="43" t="str">
        <f aca="false">IF(OR($L1475="",$I1475="",$I1475=0),"",$L1475/$I1475)</f>
        <v/>
      </c>
      <c r="O1475" s="51"/>
    </row>
    <row r="1476" customFormat="false" ht="15" hidden="false" customHeight="false" outlineLevel="0" collapsed="false">
      <c r="A1476" s="45"/>
      <c r="B1476" s="37" t="str">
        <f aca="false">IF($A1476="","",WEEKNUM($A1476,2))</f>
        <v/>
      </c>
      <c r="C1476" s="37" t="str">
        <f aca="false">IF($A1476="","",CHOOSE(WEEKDAY($A1476,2),"Seg","Ter","Qua","Qui","Sex","Sáb","Dom"))</f>
        <v/>
      </c>
      <c r="D1476" s="46"/>
      <c r="E1476" s="47"/>
      <c r="F1476" s="47"/>
      <c r="G1476" s="48"/>
      <c r="H1476" s="49"/>
      <c r="I1476" s="50"/>
      <c r="J1476" s="48"/>
      <c r="K1476" s="49"/>
      <c r="L1476" s="50"/>
      <c r="M1476" s="43" t="str">
        <f aca="false">IF(OR($L1476="",$F1476=""),"",IFERROR($L1476/INDEX(Cadastro!$E$6:$E$8,MATCH($F1476,Cadastro!$B$6:$B$8,0)),""))</f>
        <v/>
      </c>
      <c r="N1476" s="43" t="str">
        <f aca="false">IF(OR($L1476="",$I1476="",$I1476=0),"",$L1476/$I1476)</f>
        <v/>
      </c>
      <c r="O1476" s="51"/>
    </row>
    <row r="1477" customFormat="false" ht="15" hidden="false" customHeight="false" outlineLevel="0" collapsed="false">
      <c r="A1477" s="45"/>
      <c r="B1477" s="37" t="str">
        <f aca="false">IF($A1477="","",WEEKNUM($A1477,2))</f>
        <v/>
      </c>
      <c r="C1477" s="37" t="str">
        <f aca="false">IF($A1477="","",CHOOSE(WEEKDAY($A1477,2),"Seg","Ter","Qua","Qui","Sex","Sáb","Dom"))</f>
        <v/>
      </c>
      <c r="D1477" s="46"/>
      <c r="E1477" s="47"/>
      <c r="F1477" s="47"/>
      <c r="G1477" s="48"/>
      <c r="H1477" s="49"/>
      <c r="I1477" s="50"/>
      <c r="J1477" s="48"/>
      <c r="K1477" s="49"/>
      <c r="L1477" s="50"/>
      <c r="M1477" s="43" t="str">
        <f aca="false">IF(OR($L1477="",$F1477=""),"",IFERROR($L1477/INDEX(Cadastro!$E$6:$E$8,MATCH($F1477,Cadastro!$B$6:$B$8,0)),""))</f>
        <v/>
      </c>
      <c r="N1477" s="43" t="str">
        <f aca="false">IF(OR($L1477="",$I1477="",$I1477=0),"",$L1477/$I1477)</f>
        <v/>
      </c>
      <c r="O1477" s="51"/>
    </row>
    <row r="1478" customFormat="false" ht="15" hidden="false" customHeight="false" outlineLevel="0" collapsed="false">
      <c r="A1478" s="45"/>
      <c r="B1478" s="37" t="str">
        <f aca="false">IF($A1478="","",WEEKNUM($A1478,2))</f>
        <v/>
      </c>
      <c r="C1478" s="37" t="str">
        <f aca="false">IF($A1478="","",CHOOSE(WEEKDAY($A1478,2),"Seg","Ter","Qua","Qui","Sex","Sáb","Dom"))</f>
        <v/>
      </c>
      <c r="D1478" s="46"/>
      <c r="E1478" s="47"/>
      <c r="F1478" s="47"/>
      <c r="G1478" s="48"/>
      <c r="H1478" s="49"/>
      <c r="I1478" s="50"/>
      <c r="J1478" s="48"/>
      <c r="K1478" s="49"/>
      <c r="L1478" s="50"/>
      <c r="M1478" s="43" t="str">
        <f aca="false">IF(OR($L1478="",$F1478=""),"",IFERROR($L1478/INDEX(Cadastro!$E$6:$E$8,MATCH($F1478,Cadastro!$B$6:$B$8,0)),""))</f>
        <v/>
      </c>
      <c r="N1478" s="43" t="str">
        <f aca="false">IF(OR($L1478="",$I1478="",$I1478=0),"",$L1478/$I1478)</f>
        <v/>
      </c>
      <c r="O1478" s="51"/>
    </row>
    <row r="1479" customFormat="false" ht="15" hidden="false" customHeight="false" outlineLevel="0" collapsed="false">
      <c r="A1479" s="45"/>
      <c r="B1479" s="37" t="str">
        <f aca="false">IF($A1479="","",WEEKNUM($A1479,2))</f>
        <v/>
      </c>
      <c r="C1479" s="37" t="str">
        <f aca="false">IF($A1479="","",CHOOSE(WEEKDAY($A1479,2),"Seg","Ter","Qua","Qui","Sex","Sáb","Dom"))</f>
        <v/>
      </c>
      <c r="D1479" s="46"/>
      <c r="E1479" s="47"/>
      <c r="F1479" s="47"/>
      <c r="G1479" s="48"/>
      <c r="H1479" s="49"/>
      <c r="I1479" s="50"/>
      <c r="J1479" s="48"/>
      <c r="K1479" s="49"/>
      <c r="L1479" s="50"/>
      <c r="M1479" s="43" t="str">
        <f aca="false">IF(OR($L1479="",$F1479=""),"",IFERROR($L1479/INDEX(Cadastro!$E$6:$E$8,MATCH($F1479,Cadastro!$B$6:$B$8,0)),""))</f>
        <v/>
      </c>
      <c r="N1479" s="43" t="str">
        <f aca="false">IF(OR($L1479="",$I1479="",$I1479=0),"",$L1479/$I1479)</f>
        <v/>
      </c>
      <c r="O1479" s="51"/>
    </row>
    <row r="1480" customFormat="false" ht="15" hidden="false" customHeight="false" outlineLevel="0" collapsed="false">
      <c r="A1480" s="45"/>
      <c r="B1480" s="37" t="str">
        <f aca="false">IF($A1480="","",WEEKNUM($A1480,2))</f>
        <v/>
      </c>
      <c r="C1480" s="37" t="str">
        <f aca="false">IF($A1480="","",CHOOSE(WEEKDAY($A1480,2),"Seg","Ter","Qua","Qui","Sex","Sáb","Dom"))</f>
        <v/>
      </c>
      <c r="D1480" s="46"/>
      <c r="E1480" s="47"/>
      <c r="F1480" s="47"/>
      <c r="G1480" s="48"/>
      <c r="H1480" s="49"/>
      <c r="I1480" s="50"/>
      <c r="J1480" s="48"/>
      <c r="K1480" s="49"/>
      <c r="L1480" s="50"/>
      <c r="M1480" s="43" t="str">
        <f aca="false">IF(OR($L1480="",$F1480=""),"",IFERROR($L1480/INDEX(Cadastro!$E$6:$E$8,MATCH($F1480,Cadastro!$B$6:$B$8,0)),""))</f>
        <v/>
      </c>
      <c r="N1480" s="43" t="str">
        <f aca="false">IF(OR($L1480="",$I1480="",$I1480=0),"",$L1480/$I1480)</f>
        <v/>
      </c>
      <c r="O1480" s="51"/>
    </row>
    <row r="1481" customFormat="false" ht="15" hidden="false" customHeight="false" outlineLevel="0" collapsed="false">
      <c r="A1481" s="45"/>
      <c r="B1481" s="37" t="str">
        <f aca="false">IF($A1481="","",WEEKNUM($A1481,2))</f>
        <v/>
      </c>
      <c r="C1481" s="37" t="str">
        <f aca="false">IF($A1481="","",CHOOSE(WEEKDAY($A1481,2),"Seg","Ter","Qua","Qui","Sex","Sáb","Dom"))</f>
        <v/>
      </c>
      <c r="D1481" s="46"/>
      <c r="E1481" s="47"/>
      <c r="F1481" s="47"/>
      <c r="G1481" s="48"/>
      <c r="H1481" s="49"/>
      <c r="I1481" s="50"/>
      <c r="J1481" s="48"/>
      <c r="K1481" s="49"/>
      <c r="L1481" s="50"/>
      <c r="M1481" s="43" t="str">
        <f aca="false">IF(OR($L1481="",$F1481=""),"",IFERROR($L1481/INDEX(Cadastro!$E$6:$E$8,MATCH($F1481,Cadastro!$B$6:$B$8,0)),""))</f>
        <v/>
      </c>
      <c r="N1481" s="43" t="str">
        <f aca="false">IF(OR($L1481="",$I1481="",$I1481=0),"",$L1481/$I1481)</f>
        <v/>
      </c>
      <c r="O1481" s="51"/>
    </row>
    <row r="1482" customFormat="false" ht="15" hidden="false" customHeight="false" outlineLevel="0" collapsed="false">
      <c r="A1482" s="45"/>
      <c r="B1482" s="37" t="str">
        <f aca="false">IF($A1482="","",WEEKNUM($A1482,2))</f>
        <v/>
      </c>
      <c r="C1482" s="37" t="str">
        <f aca="false">IF($A1482="","",CHOOSE(WEEKDAY($A1482,2),"Seg","Ter","Qua","Qui","Sex","Sáb","Dom"))</f>
        <v/>
      </c>
      <c r="D1482" s="46"/>
      <c r="E1482" s="47"/>
      <c r="F1482" s="47"/>
      <c r="G1482" s="48"/>
      <c r="H1482" s="49"/>
      <c r="I1482" s="50"/>
      <c r="J1482" s="48"/>
      <c r="K1482" s="49"/>
      <c r="L1482" s="50"/>
      <c r="M1482" s="43" t="str">
        <f aca="false">IF(OR($L1482="",$F1482=""),"",IFERROR($L1482/INDEX(Cadastro!$E$6:$E$8,MATCH($F1482,Cadastro!$B$6:$B$8,0)),""))</f>
        <v/>
      </c>
      <c r="N1482" s="43" t="str">
        <f aca="false">IF(OR($L1482="",$I1482="",$I1482=0),"",$L1482/$I1482)</f>
        <v/>
      </c>
      <c r="O1482" s="51"/>
    </row>
    <row r="1483" customFormat="false" ht="15" hidden="false" customHeight="false" outlineLevel="0" collapsed="false">
      <c r="A1483" s="45"/>
      <c r="B1483" s="37" t="str">
        <f aca="false">IF($A1483="","",WEEKNUM($A1483,2))</f>
        <v/>
      </c>
      <c r="C1483" s="37" t="str">
        <f aca="false">IF($A1483="","",CHOOSE(WEEKDAY($A1483,2),"Seg","Ter","Qua","Qui","Sex","Sáb","Dom"))</f>
        <v/>
      </c>
      <c r="D1483" s="46"/>
      <c r="E1483" s="47"/>
      <c r="F1483" s="47"/>
      <c r="G1483" s="48"/>
      <c r="H1483" s="49"/>
      <c r="I1483" s="50"/>
      <c r="J1483" s="48"/>
      <c r="K1483" s="49"/>
      <c r="L1483" s="50"/>
      <c r="M1483" s="43" t="str">
        <f aca="false">IF(OR($L1483="",$F1483=""),"",IFERROR($L1483/INDEX(Cadastro!$E$6:$E$8,MATCH($F1483,Cadastro!$B$6:$B$8,0)),""))</f>
        <v/>
      </c>
      <c r="N1483" s="43" t="str">
        <f aca="false">IF(OR($L1483="",$I1483="",$I1483=0),"",$L1483/$I1483)</f>
        <v/>
      </c>
      <c r="O1483" s="51"/>
    </row>
    <row r="1484" customFormat="false" ht="15" hidden="false" customHeight="false" outlineLevel="0" collapsed="false">
      <c r="A1484" s="45"/>
      <c r="B1484" s="37" t="str">
        <f aca="false">IF($A1484="","",WEEKNUM($A1484,2))</f>
        <v/>
      </c>
      <c r="C1484" s="37" t="str">
        <f aca="false">IF($A1484="","",CHOOSE(WEEKDAY($A1484,2),"Seg","Ter","Qua","Qui","Sex","Sáb","Dom"))</f>
        <v/>
      </c>
      <c r="D1484" s="46"/>
      <c r="E1484" s="47"/>
      <c r="F1484" s="47"/>
      <c r="G1484" s="48"/>
      <c r="H1484" s="49"/>
      <c r="I1484" s="50"/>
      <c r="J1484" s="48"/>
      <c r="K1484" s="49"/>
      <c r="L1484" s="50"/>
      <c r="M1484" s="43" t="str">
        <f aca="false">IF(OR($L1484="",$F1484=""),"",IFERROR($L1484/INDEX(Cadastro!$E$6:$E$8,MATCH($F1484,Cadastro!$B$6:$B$8,0)),""))</f>
        <v/>
      </c>
      <c r="N1484" s="43" t="str">
        <f aca="false">IF(OR($L1484="",$I1484="",$I1484=0),"",$L1484/$I1484)</f>
        <v/>
      </c>
      <c r="O1484" s="51"/>
    </row>
    <row r="1485" customFormat="false" ht="15" hidden="false" customHeight="false" outlineLevel="0" collapsed="false">
      <c r="A1485" s="45"/>
      <c r="B1485" s="37" t="str">
        <f aca="false">IF($A1485="","",WEEKNUM($A1485,2))</f>
        <v/>
      </c>
      <c r="C1485" s="37" t="str">
        <f aca="false">IF($A1485="","",CHOOSE(WEEKDAY($A1485,2),"Seg","Ter","Qua","Qui","Sex","Sáb","Dom"))</f>
        <v/>
      </c>
      <c r="D1485" s="46"/>
      <c r="E1485" s="47"/>
      <c r="F1485" s="47"/>
      <c r="G1485" s="48"/>
      <c r="H1485" s="49"/>
      <c r="I1485" s="50"/>
      <c r="J1485" s="48"/>
      <c r="K1485" s="49"/>
      <c r="L1485" s="50"/>
      <c r="M1485" s="43" t="str">
        <f aca="false">IF(OR($L1485="",$F1485=""),"",IFERROR($L1485/INDEX(Cadastro!$E$6:$E$8,MATCH($F1485,Cadastro!$B$6:$B$8,0)),""))</f>
        <v/>
      </c>
      <c r="N1485" s="43" t="str">
        <f aca="false">IF(OR($L1485="",$I1485="",$I1485=0),"",$L1485/$I1485)</f>
        <v/>
      </c>
      <c r="O1485" s="51"/>
    </row>
    <row r="1486" customFormat="false" ht="15" hidden="false" customHeight="false" outlineLevel="0" collapsed="false">
      <c r="A1486" s="45"/>
      <c r="B1486" s="37" t="str">
        <f aca="false">IF($A1486="","",WEEKNUM($A1486,2))</f>
        <v/>
      </c>
      <c r="C1486" s="37" t="str">
        <f aca="false">IF($A1486="","",CHOOSE(WEEKDAY($A1486,2),"Seg","Ter","Qua","Qui","Sex","Sáb","Dom"))</f>
        <v/>
      </c>
      <c r="D1486" s="46"/>
      <c r="E1486" s="47"/>
      <c r="F1486" s="47"/>
      <c r="G1486" s="48"/>
      <c r="H1486" s="49"/>
      <c r="I1486" s="50"/>
      <c r="J1486" s="48"/>
      <c r="K1486" s="49"/>
      <c r="L1486" s="50"/>
      <c r="M1486" s="43" t="str">
        <f aca="false">IF(OR($L1486="",$F1486=""),"",IFERROR($L1486/INDEX(Cadastro!$E$6:$E$8,MATCH($F1486,Cadastro!$B$6:$B$8,0)),""))</f>
        <v/>
      </c>
      <c r="N1486" s="43" t="str">
        <f aca="false">IF(OR($L1486="",$I1486="",$I1486=0),"",$L1486/$I1486)</f>
        <v/>
      </c>
      <c r="O1486" s="51"/>
    </row>
    <row r="1487" customFormat="false" ht="15" hidden="false" customHeight="false" outlineLevel="0" collapsed="false">
      <c r="A1487" s="45"/>
      <c r="B1487" s="37" t="str">
        <f aca="false">IF($A1487="","",WEEKNUM($A1487,2))</f>
        <v/>
      </c>
      <c r="C1487" s="37" t="str">
        <f aca="false">IF($A1487="","",CHOOSE(WEEKDAY($A1487,2),"Seg","Ter","Qua","Qui","Sex","Sáb","Dom"))</f>
        <v/>
      </c>
      <c r="D1487" s="46"/>
      <c r="E1487" s="47"/>
      <c r="F1487" s="47"/>
      <c r="G1487" s="48"/>
      <c r="H1487" s="49"/>
      <c r="I1487" s="50"/>
      <c r="J1487" s="48"/>
      <c r="K1487" s="49"/>
      <c r="L1487" s="50"/>
      <c r="M1487" s="43" t="str">
        <f aca="false">IF(OR($L1487="",$F1487=""),"",IFERROR($L1487/INDEX(Cadastro!$E$6:$E$8,MATCH($F1487,Cadastro!$B$6:$B$8,0)),""))</f>
        <v/>
      </c>
      <c r="N1487" s="43" t="str">
        <f aca="false">IF(OR($L1487="",$I1487="",$I1487=0),"",$L1487/$I1487)</f>
        <v/>
      </c>
      <c r="O1487" s="51"/>
    </row>
    <row r="1488" customFormat="false" ht="15" hidden="false" customHeight="false" outlineLevel="0" collapsed="false">
      <c r="A1488" s="45"/>
      <c r="B1488" s="37" t="str">
        <f aca="false">IF($A1488="","",WEEKNUM($A1488,2))</f>
        <v/>
      </c>
      <c r="C1488" s="37" t="str">
        <f aca="false">IF($A1488="","",CHOOSE(WEEKDAY($A1488,2),"Seg","Ter","Qua","Qui","Sex","Sáb","Dom"))</f>
        <v/>
      </c>
      <c r="D1488" s="46"/>
      <c r="E1488" s="47"/>
      <c r="F1488" s="47"/>
      <c r="G1488" s="48"/>
      <c r="H1488" s="49"/>
      <c r="I1488" s="50"/>
      <c r="J1488" s="48"/>
      <c r="K1488" s="49"/>
      <c r="L1488" s="50"/>
      <c r="M1488" s="43" t="str">
        <f aca="false">IF(OR($L1488="",$F1488=""),"",IFERROR($L1488/INDEX(Cadastro!$E$6:$E$8,MATCH($F1488,Cadastro!$B$6:$B$8,0)),""))</f>
        <v/>
      </c>
      <c r="N1488" s="43" t="str">
        <f aca="false">IF(OR($L1488="",$I1488="",$I1488=0),"",$L1488/$I1488)</f>
        <v/>
      </c>
      <c r="O1488" s="51"/>
    </row>
    <row r="1489" customFormat="false" ht="15" hidden="false" customHeight="false" outlineLevel="0" collapsed="false">
      <c r="A1489" s="45"/>
      <c r="B1489" s="37" t="str">
        <f aca="false">IF($A1489="","",WEEKNUM($A1489,2))</f>
        <v/>
      </c>
      <c r="C1489" s="37" t="str">
        <f aca="false">IF($A1489="","",CHOOSE(WEEKDAY($A1489,2),"Seg","Ter","Qua","Qui","Sex","Sáb","Dom"))</f>
        <v/>
      </c>
      <c r="D1489" s="46"/>
      <c r="E1489" s="47"/>
      <c r="F1489" s="47"/>
      <c r="G1489" s="48"/>
      <c r="H1489" s="49"/>
      <c r="I1489" s="50"/>
      <c r="J1489" s="48"/>
      <c r="K1489" s="49"/>
      <c r="L1489" s="50"/>
      <c r="M1489" s="43" t="str">
        <f aca="false">IF(OR($L1489="",$F1489=""),"",IFERROR($L1489/INDEX(Cadastro!$E$6:$E$8,MATCH($F1489,Cadastro!$B$6:$B$8,0)),""))</f>
        <v/>
      </c>
      <c r="N1489" s="43" t="str">
        <f aca="false">IF(OR($L1489="",$I1489="",$I1489=0),"",$L1489/$I1489)</f>
        <v/>
      </c>
      <c r="O1489" s="51"/>
    </row>
    <row r="1490" customFormat="false" ht="15" hidden="false" customHeight="false" outlineLevel="0" collapsed="false">
      <c r="A1490" s="45"/>
      <c r="B1490" s="37" t="str">
        <f aca="false">IF($A1490="","",WEEKNUM($A1490,2))</f>
        <v/>
      </c>
      <c r="C1490" s="37" t="str">
        <f aca="false">IF($A1490="","",CHOOSE(WEEKDAY($A1490,2),"Seg","Ter","Qua","Qui","Sex","Sáb","Dom"))</f>
        <v/>
      </c>
      <c r="D1490" s="46"/>
      <c r="E1490" s="47"/>
      <c r="F1490" s="47"/>
      <c r="G1490" s="48"/>
      <c r="H1490" s="49"/>
      <c r="I1490" s="50"/>
      <c r="J1490" s="48"/>
      <c r="K1490" s="49"/>
      <c r="L1490" s="50"/>
      <c r="M1490" s="43" t="str">
        <f aca="false">IF(OR($L1490="",$F1490=""),"",IFERROR($L1490/INDEX(Cadastro!$E$6:$E$8,MATCH($F1490,Cadastro!$B$6:$B$8,0)),""))</f>
        <v/>
      </c>
      <c r="N1490" s="43" t="str">
        <f aca="false">IF(OR($L1490="",$I1490="",$I1490=0),"",$L1490/$I1490)</f>
        <v/>
      </c>
      <c r="O1490" s="51"/>
    </row>
    <row r="1491" customFormat="false" ht="15" hidden="false" customHeight="false" outlineLevel="0" collapsed="false">
      <c r="A1491" s="45"/>
      <c r="B1491" s="37" t="str">
        <f aca="false">IF($A1491="","",WEEKNUM($A1491,2))</f>
        <v/>
      </c>
      <c r="C1491" s="37" t="str">
        <f aca="false">IF($A1491="","",CHOOSE(WEEKDAY($A1491,2),"Seg","Ter","Qua","Qui","Sex","Sáb","Dom"))</f>
        <v/>
      </c>
      <c r="D1491" s="46"/>
      <c r="E1491" s="47"/>
      <c r="F1491" s="47"/>
      <c r="G1491" s="48"/>
      <c r="H1491" s="49"/>
      <c r="I1491" s="50"/>
      <c r="J1491" s="48"/>
      <c r="K1491" s="49"/>
      <c r="L1491" s="50"/>
      <c r="M1491" s="43" t="str">
        <f aca="false">IF(OR($L1491="",$F1491=""),"",IFERROR($L1491/INDEX(Cadastro!$E$6:$E$8,MATCH($F1491,Cadastro!$B$6:$B$8,0)),""))</f>
        <v/>
      </c>
      <c r="N1491" s="43" t="str">
        <f aca="false">IF(OR($L1491="",$I1491="",$I1491=0),"",$L1491/$I1491)</f>
        <v/>
      </c>
      <c r="O1491" s="51"/>
    </row>
    <row r="1492" customFormat="false" ht="15" hidden="false" customHeight="false" outlineLevel="0" collapsed="false">
      <c r="A1492" s="45"/>
      <c r="B1492" s="37" t="str">
        <f aca="false">IF($A1492="","",WEEKNUM($A1492,2))</f>
        <v/>
      </c>
      <c r="C1492" s="37" t="str">
        <f aca="false">IF($A1492="","",CHOOSE(WEEKDAY($A1492,2),"Seg","Ter","Qua","Qui","Sex","Sáb","Dom"))</f>
        <v/>
      </c>
      <c r="D1492" s="46"/>
      <c r="E1492" s="47"/>
      <c r="F1492" s="47"/>
      <c r="G1492" s="48"/>
      <c r="H1492" s="49"/>
      <c r="I1492" s="50"/>
      <c r="J1492" s="48"/>
      <c r="K1492" s="49"/>
      <c r="L1492" s="50"/>
      <c r="M1492" s="43" t="str">
        <f aca="false">IF(OR($L1492="",$F1492=""),"",IFERROR($L1492/INDEX(Cadastro!$E$6:$E$8,MATCH($F1492,Cadastro!$B$6:$B$8,0)),""))</f>
        <v/>
      </c>
      <c r="N1492" s="43" t="str">
        <f aca="false">IF(OR($L1492="",$I1492="",$I1492=0),"",$L1492/$I1492)</f>
        <v/>
      </c>
      <c r="O1492" s="51"/>
    </row>
    <row r="1493" customFormat="false" ht="15" hidden="false" customHeight="false" outlineLevel="0" collapsed="false">
      <c r="A1493" s="45"/>
      <c r="B1493" s="37" t="str">
        <f aca="false">IF($A1493="","",WEEKNUM($A1493,2))</f>
        <v/>
      </c>
      <c r="C1493" s="37" t="str">
        <f aca="false">IF($A1493="","",CHOOSE(WEEKDAY($A1493,2),"Seg","Ter","Qua","Qui","Sex","Sáb","Dom"))</f>
        <v/>
      </c>
      <c r="D1493" s="46"/>
      <c r="E1493" s="47"/>
      <c r="F1493" s="47"/>
      <c r="G1493" s="48"/>
      <c r="H1493" s="49"/>
      <c r="I1493" s="50"/>
      <c r="J1493" s="48"/>
      <c r="K1493" s="49"/>
      <c r="L1493" s="50"/>
      <c r="M1493" s="43" t="str">
        <f aca="false">IF(OR($L1493="",$F1493=""),"",IFERROR($L1493/INDEX(Cadastro!$E$6:$E$8,MATCH($F1493,Cadastro!$B$6:$B$8,0)),""))</f>
        <v/>
      </c>
      <c r="N1493" s="43" t="str">
        <f aca="false">IF(OR($L1493="",$I1493="",$I1493=0),"",$L1493/$I1493)</f>
        <v/>
      </c>
      <c r="O1493" s="51"/>
    </row>
    <row r="1494" customFormat="false" ht="15" hidden="false" customHeight="false" outlineLevel="0" collapsed="false">
      <c r="A1494" s="45"/>
      <c r="B1494" s="37" t="str">
        <f aca="false">IF($A1494="","",WEEKNUM($A1494,2))</f>
        <v/>
      </c>
      <c r="C1494" s="37" t="str">
        <f aca="false">IF($A1494="","",CHOOSE(WEEKDAY($A1494,2),"Seg","Ter","Qua","Qui","Sex","Sáb","Dom"))</f>
        <v/>
      </c>
      <c r="D1494" s="46"/>
      <c r="E1494" s="47"/>
      <c r="F1494" s="47"/>
      <c r="G1494" s="48"/>
      <c r="H1494" s="49"/>
      <c r="I1494" s="50"/>
      <c r="J1494" s="48"/>
      <c r="K1494" s="49"/>
      <c r="L1494" s="50"/>
      <c r="M1494" s="43" t="str">
        <f aca="false">IF(OR($L1494="",$F1494=""),"",IFERROR($L1494/INDEX(Cadastro!$E$6:$E$8,MATCH($F1494,Cadastro!$B$6:$B$8,0)),""))</f>
        <v/>
      </c>
      <c r="N1494" s="43" t="str">
        <f aca="false">IF(OR($L1494="",$I1494="",$I1494=0),"",$L1494/$I1494)</f>
        <v/>
      </c>
      <c r="O1494" s="51"/>
    </row>
    <row r="1495" customFormat="false" ht="15" hidden="false" customHeight="false" outlineLevel="0" collapsed="false">
      <c r="A1495" s="45"/>
      <c r="B1495" s="37" t="str">
        <f aca="false">IF($A1495="","",WEEKNUM($A1495,2))</f>
        <v/>
      </c>
      <c r="C1495" s="37" t="str">
        <f aca="false">IF($A1495="","",CHOOSE(WEEKDAY($A1495,2),"Seg","Ter","Qua","Qui","Sex","Sáb","Dom"))</f>
        <v/>
      </c>
      <c r="D1495" s="46"/>
      <c r="E1495" s="47"/>
      <c r="F1495" s="47"/>
      <c r="G1495" s="48"/>
      <c r="H1495" s="49"/>
      <c r="I1495" s="50"/>
      <c r="J1495" s="48"/>
      <c r="K1495" s="49"/>
      <c r="L1495" s="50"/>
      <c r="M1495" s="43" t="str">
        <f aca="false">IF(OR($L1495="",$F1495=""),"",IFERROR($L1495/INDEX(Cadastro!$E$6:$E$8,MATCH($F1495,Cadastro!$B$6:$B$8,0)),""))</f>
        <v/>
      </c>
      <c r="N1495" s="43" t="str">
        <f aca="false">IF(OR($L1495="",$I1495="",$I1495=0),"",$L1495/$I1495)</f>
        <v/>
      </c>
      <c r="O1495" s="51"/>
    </row>
    <row r="1496" customFormat="false" ht="15" hidden="false" customHeight="false" outlineLevel="0" collapsed="false">
      <c r="A1496" s="45"/>
      <c r="B1496" s="37" t="str">
        <f aca="false">IF($A1496="","",WEEKNUM($A1496,2))</f>
        <v/>
      </c>
      <c r="C1496" s="37" t="str">
        <f aca="false">IF($A1496="","",CHOOSE(WEEKDAY($A1496,2),"Seg","Ter","Qua","Qui","Sex","Sáb","Dom"))</f>
        <v/>
      </c>
      <c r="D1496" s="46"/>
      <c r="E1496" s="47"/>
      <c r="F1496" s="47"/>
      <c r="G1496" s="48"/>
      <c r="H1496" s="49"/>
      <c r="I1496" s="50"/>
      <c r="J1496" s="48"/>
      <c r="K1496" s="49"/>
      <c r="L1496" s="50"/>
      <c r="M1496" s="43" t="str">
        <f aca="false">IF(OR($L1496="",$F1496=""),"",IFERROR($L1496/INDEX(Cadastro!$E$6:$E$8,MATCH($F1496,Cadastro!$B$6:$B$8,0)),""))</f>
        <v/>
      </c>
      <c r="N1496" s="43" t="str">
        <f aca="false">IF(OR($L1496="",$I1496="",$I1496=0),"",$L1496/$I1496)</f>
        <v/>
      </c>
      <c r="O1496" s="51"/>
    </row>
    <row r="1497" customFormat="false" ht="15" hidden="false" customHeight="false" outlineLevel="0" collapsed="false">
      <c r="A1497" s="45"/>
      <c r="B1497" s="37" t="str">
        <f aca="false">IF($A1497="","",WEEKNUM($A1497,2))</f>
        <v/>
      </c>
      <c r="C1497" s="37" t="str">
        <f aca="false">IF($A1497="","",CHOOSE(WEEKDAY($A1497,2),"Seg","Ter","Qua","Qui","Sex","Sáb","Dom"))</f>
        <v/>
      </c>
      <c r="D1497" s="46"/>
      <c r="E1497" s="47"/>
      <c r="F1497" s="47"/>
      <c r="G1497" s="48"/>
      <c r="H1497" s="49"/>
      <c r="I1497" s="50"/>
      <c r="J1497" s="48"/>
      <c r="K1497" s="49"/>
      <c r="L1497" s="50"/>
      <c r="M1497" s="43" t="str">
        <f aca="false">IF(OR($L1497="",$F1497=""),"",IFERROR($L1497/INDEX(Cadastro!$E$6:$E$8,MATCH($F1497,Cadastro!$B$6:$B$8,0)),""))</f>
        <v/>
      </c>
      <c r="N1497" s="43" t="str">
        <f aca="false">IF(OR($L1497="",$I1497="",$I1497=0),"",$L1497/$I1497)</f>
        <v/>
      </c>
      <c r="O1497" s="51"/>
    </row>
    <row r="1498" customFormat="false" ht="15" hidden="false" customHeight="false" outlineLevel="0" collapsed="false">
      <c r="A1498" s="45"/>
      <c r="B1498" s="37" t="str">
        <f aca="false">IF($A1498="","",WEEKNUM($A1498,2))</f>
        <v/>
      </c>
      <c r="C1498" s="37" t="str">
        <f aca="false">IF($A1498="","",CHOOSE(WEEKDAY($A1498,2),"Seg","Ter","Qua","Qui","Sex","Sáb","Dom"))</f>
        <v/>
      </c>
      <c r="D1498" s="46"/>
      <c r="E1498" s="47"/>
      <c r="F1498" s="47"/>
      <c r="G1498" s="48"/>
      <c r="H1498" s="49"/>
      <c r="I1498" s="50"/>
      <c r="J1498" s="48"/>
      <c r="K1498" s="49"/>
      <c r="L1498" s="50"/>
      <c r="M1498" s="43" t="str">
        <f aca="false">IF(OR($L1498="",$F1498=""),"",IFERROR($L1498/INDEX(Cadastro!$E$6:$E$8,MATCH($F1498,Cadastro!$B$6:$B$8,0)),""))</f>
        <v/>
      </c>
      <c r="N1498" s="43" t="str">
        <f aca="false">IF(OR($L1498="",$I1498="",$I1498=0),"",$L1498/$I1498)</f>
        <v/>
      </c>
      <c r="O1498" s="51"/>
    </row>
    <row r="1499" customFormat="false" ht="15" hidden="false" customHeight="false" outlineLevel="0" collapsed="false">
      <c r="A1499" s="45"/>
      <c r="B1499" s="37" t="str">
        <f aca="false">IF($A1499="","",WEEKNUM($A1499,2))</f>
        <v/>
      </c>
      <c r="C1499" s="37" t="str">
        <f aca="false">IF($A1499="","",CHOOSE(WEEKDAY($A1499,2),"Seg","Ter","Qua","Qui","Sex","Sáb","Dom"))</f>
        <v/>
      </c>
      <c r="D1499" s="46"/>
      <c r="E1499" s="47"/>
      <c r="F1499" s="47"/>
      <c r="G1499" s="48"/>
      <c r="H1499" s="49"/>
      <c r="I1499" s="50"/>
      <c r="J1499" s="48"/>
      <c r="K1499" s="49"/>
      <c r="L1499" s="50"/>
      <c r="M1499" s="43" t="str">
        <f aca="false">IF(OR($L1499="",$F1499=""),"",IFERROR($L1499/INDEX(Cadastro!$E$6:$E$8,MATCH($F1499,Cadastro!$B$6:$B$8,0)),""))</f>
        <v/>
      </c>
      <c r="N1499" s="43" t="str">
        <f aca="false">IF(OR($L1499="",$I1499="",$I1499=0),"",$L1499/$I1499)</f>
        <v/>
      </c>
      <c r="O1499" s="51"/>
    </row>
    <row r="1500" customFormat="false" ht="15" hidden="false" customHeight="false" outlineLevel="0" collapsed="false">
      <c r="A1500" s="45"/>
      <c r="B1500" s="37" t="str">
        <f aca="false">IF($A1500="","",WEEKNUM($A1500,2))</f>
        <v/>
      </c>
      <c r="C1500" s="37" t="str">
        <f aca="false">IF($A1500="","",CHOOSE(WEEKDAY($A1500,2),"Seg","Ter","Qua","Qui","Sex","Sáb","Dom"))</f>
        <v/>
      </c>
      <c r="D1500" s="46"/>
      <c r="E1500" s="47"/>
      <c r="F1500" s="47"/>
      <c r="G1500" s="48"/>
      <c r="H1500" s="49"/>
      <c r="I1500" s="50"/>
      <c r="J1500" s="48"/>
      <c r="K1500" s="49"/>
      <c r="L1500" s="50"/>
      <c r="M1500" s="43" t="str">
        <f aca="false">IF(OR($L1500="",$F1500=""),"",IFERROR($L1500/INDEX(Cadastro!$E$6:$E$8,MATCH($F1500,Cadastro!$B$6:$B$8,0)),""))</f>
        <v/>
      </c>
      <c r="N1500" s="43" t="str">
        <f aca="false">IF(OR($L1500="",$I1500="",$I1500=0),"",$L1500/$I1500)</f>
        <v/>
      </c>
      <c r="O1500" s="51"/>
    </row>
    <row r="1501" customFormat="false" ht="15" hidden="false" customHeight="false" outlineLevel="0" collapsed="false">
      <c r="A1501" s="45"/>
      <c r="B1501" s="37" t="str">
        <f aca="false">IF($A1501="","",WEEKNUM($A1501,2))</f>
        <v/>
      </c>
      <c r="C1501" s="37" t="str">
        <f aca="false">IF($A1501="","",CHOOSE(WEEKDAY($A1501,2),"Seg","Ter","Qua","Qui","Sex","Sáb","Dom"))</f>
        <v/>
      </c>
      <c r="D1501" s="46"/>
      <c r="E1501" s="47"/>
      <c r="F1501" s="47"/>
      <c r="G1501" s="48"/>
      <c r="H1501" s="49"/>
      <c r="I1501" s="50"/>
      <c r="J1501" s="48"/>
      <c r="K1501" s="49"/>
      <c r="L1501" s="50"/>
      <c r="M1501" s="43" t="str">
        <f aca="false">IF(OR($L1501="",$F1501=""),"",IFERROR($L1501/INDEX(Cadastro!$E$6:$E$8,MATCH($F1501,Cadastro!$B$6:$B$8,0)),""))</f>
        <v/>
      </c>
      <c r="N1501" s="43" t="str">
        <f aca="false">IF(OR($L1501="",$I1501="",$I1501=0),"",$L1501/$I1501)</f>
        <v/>
      </c>
      <c r="O1501" s="51"/>
    </row>
    <row r="1502" customFormat="false" ht="15" hidden="false" customHeight="false" outlineLevel="0" collapsed="false">
      <c r="A1502" s="45"/>
      <c r="B1502" s="37" t="str">
        <f aca="false">IF($A1502="","",WEEKNUM($A1502,2))</f>
        <v/>
      </c>
      <c r="C1502" s="37" t="str">
        <f aca="false">IF($A1502="","",CHOOSE(WEEKDAY($A1502,2),"Seg","Ter","Qua","Qui","Sex","Sáb","Dom"))</f>
        <v/>
      </c>
      <c r="D1502" s="46"/>
      <c r="E1502" s="47"/>
      <c r="F1502" s="47"/>
      <c r="G1502" s="48"/>
      <c r="H1502" s="49"/>
      <c r="I1502" s="50"/>
      <c r="J1502" s="48"/>
      <c r="K1502" s="49"/>
      <c r="L1502" s="50"/>
      <c r="M1502" s="43" t="str">
        <f aca="false">IF(OR($L1502="",$F1502=""),"",IFERROR($L1502/INDEX(Cadastro!$E$6:$E$8,MATCH($F1502,Cadastro!$B$6:$B$8,0)),""))</f>
        <v/>
      </c>
      <c r="N1502" s="43" t="str">
        <f aca="false">IF(OR($L1502="",$I1502="",$I1502=0),"",$L1502/$I1502)</f>
        <v/>
      </c>
      <c r="O1502" s="51"/>
    </row>
    <row r="1503" customFormat="false" ht="15" hidden="false" customHeight="false" outlineLevel="0" collapsed="false">
      <c r="A1503" s="45"/>
      <c r="B1503" s="37" t="str">
        <f aca="false">IF($A1503="","",WEEKNUM($A1503,2))</f>
        <v/>
      </c>
      <c r="C1503" s="37" t="str">
        <f aca="false">IF($A1503="","",CHOOSE(WEEKDAY($A1503,2),"Seg","Ter","Qua","Qui","Sex","Sáb","Dom"))</f>
        <v/>
      </c>
      <c r="D1503" s="46"/>
      <c r="E1503" s="47"/>
      <c r="F1503" s="47"/>
      <c r="G1503" s="48"/>
      <c r="H1503" s="49"/>
      <c r="I1503" s="50"/>
      <c r="J1503" s="48"/>
      <c r="K1503" s="49"/>
      <c r="L1503" s="50"/>
      <c r="M1503" s="43" t="str">
        <f aca="false">IF(OR($L1503="",$F1503=""),"",IFERROR($L1503/INDEX(Cadastro!$E$6:$E$8,MATCH($F1503,Cadastro!$B$6:$B$8,0)),""))</f>
        <v/>
      </c>
      <c r="N1503" s="43" t="str">
        <f aca="false">IF(OR($L1503="",$I1503="",$I1503=0),"",$L1503/$I1503)</f>
        <v/>
      </c>
      <c r="O1503" s="51"/>
    </row>
    <row r="1504" customFormat="false" ht="15" hidden="false" customHeight="false" outlineLevel="0" collapsed="false">
      <c r="A1504" s="45"/>
      <c r="B1504" s="37" t="str">
        <f aca="false">IF($A1504="","",WEEKNUM($A1504,2))</f>
        <v/>
      </c>
      <c r="C1504" s="37" t="str">
        <f aca="false">IF($A1504="","",CHOOSE(WEEKDAY($A1504,2),"Seg","Ter","Qua","Qui","Sex","Sáb","Dom"))</f>
        <v/>
      </c>
      <c r="D1504" s="46"/>
      <c r="E1504" s="47"/>
      <c r="F1504" s="47"/>
      <c r="G1504" s="48"/>
      <c r="H1504" s="49"/>
      <c r="I1504" s="50"/>
      <c r="J1504" s="48"/>
      <c r="K1504" s="49"/>
      <c r="L1504" s="50"/>
      <c r="M1504" s="43" t="str">
        <f aca="false">IF(OR($L1504="",$F1504=""),"",IFERROR($L1504/INDEX(Cadastro!$E$6:$E$8,MATCH($F1504,Cadastro!$B$6:$B$8,0)),""))</f>
        <v/>
      </c>
      <c r="N1504" s="43" t="str">
        <f aca="false">IF(OR($L1504="",$I1504="",$I1504=0),"",$L1504/$I1504)</f>
        <v/>
      </c>
      <c r="O1504" s="51"/>
    </row>
    <row r="1505" customFormat="false" ht="15" hidden="false" customHeight="false" outlineLevel="0" collapsed="false">
      <c r="A1505" s="45"/>
      <c r="B1505" s="37" t="str">
        <f aca="false">IF($A1505="","",WEEKNUM($A1505,2))</f>
        <v/>
      </c>
      <c r="C1505" s="37" t="str">
        <f aca="false">IF($A1505="","",CHOOSE(WEEKDAY($A1505,2),"Seg","Ter","Qua","Qui","Sex","Sáb","Dom"))</f>
        <v/>
      </c>
      <c r="D1505" s="46"/>
      <c r="E1505" s="47"/>
      <c r="F1505" s="47"/>
      <c r="G1505" s="48"/>
      <c r="H1505" s="49"/>
      <c r="I1505" s="50"/>
      <c r="J1505" s="48"/>
      <c r="K1505" s="49"/>
      <c r="L1505" s="50"/>
      <c r="M1505" s="43" t="str">
        <f aca="false">IF(OR($L1505="",$F1505=""),"",IFERROR($L1505/INDEX(Cadastro!$E$6:$E$8,MATCH($F1505,Cadastro!$B$6:$B$8,0)),""))</f>
        <v/>
      </c>
      <c r="N1505" s="43" t="str">
        <f aca="false">IF(OR($L1505="",$I1505="",$I1505=0),"",$L1505/$I1505)</f>
        <v/>
      </c>
      <c r="O1505" s="51"/>
    </row>
    <row r="1506" customFormat="false" ht="15" hidden="false" customHeight="false" outlineLevel="0" collapsed="false">
      <c r="A1506" s="45"/>
      <c r="B1506" s="37" t="str">
        <f aca="false">IF($A1506="","",WEEKNUM($A1506,2))</f>
        <v/>
      </c>
      <c r="C1506" s="37" t="str">
        <f aca="false">IF($A1506="","",CHOOSE(WEEKDAY($A1506,2),"Seg","Ter","Qua","Qui","Sex","Sáb","Dom"))</f>
        <v/>
      </c>
      <c r="D1506" s="46"/>
      <c r="E1506" s="47"/>
      <c r="F1506" s="47"/>
      <c r="G1506" s="48"/>
      <c r="H1506" s="49"/>
      <c r="I1506" s="50"/>
      <c r="J1506" s="48"/>
      <c r="K1506" s="49"/>
      <c r="L1506" s="50"/>
      <c r="M1506" s="43" t="str">
        <f aca="false">IF(OR($L1506="",$F1506=""),"",IFERROR($L1506/INDEX(Cadastro!$E$6:$E$8,MATCH($F1506,Cadastro!$B$6:$B$8,0)),""))</f>
        <v/>
      </c>
      <c r="N1506" s="43" t="str">
        <f aca="false">IF(OR($L1506="",$I1506="",$I1506=0),"",$L1506/$I1506)</f>
        <v/>
      </c>
      <c r="O1506" s="51"/>
    </row>
    <row r="1507" customFormat="false" ht="15" hidden="false" customHeight="false" outlineLevel="0" collapsed="false">
      <c r="A1507" s="45"/>
      <c r="B1507" s="37" t="str">
        <f aca="false">IF($A1507="","",WEEKNUM($A1507,2))</f>
        <v/>
      </c>
      <c r="C1507" s="37" t="str">
        <f aca="false">IF($A1507="","",CHOOSE(WEEKDAY($A1507,2),"Seg","Ter","Qua","Qui","Sex","Sáb","Dom"))</f>
        <v/>
      </c>
      <c r="D1507" s="46"/>
      <c r="E1507" s="47"/>
      <c r="F1507" s="47"/>
      <c r="G1507" s="48"/>
      <c r="H1507" s="49"/>
      <c r="I1507" s="50"/>
      <c r="J1507" s="48"/>
      <c r="K1507" s="49"/>
      <c r="L1507" s="50"/>
      <c r="M1507" s="43" t="str">
        <f aca="false">IF(OR($L1507="",$F1507=""),"",IFERROR($L1507/INDEX(Cadastro!$E$6:$E$8,MATCH($F1507,Cadastro!$B$6:$B$8,0)),""))</f>
        <v/>
      </c>
      <c r="N1507" s="43" t="str">
        <f aca="false">IF(OR($L1507="",$I1507="",$I1507=0),"",$L1507/$I1507)</f>
        <v/>
      </c>
      <c r="O1507" s="51"/>
    </row>
    <row r="1508" customFormat="false" ht="15" hidden="false" customHeight="false" outlineLevel="0" collapsed="false">
      <c r="A1508" s="45"/>
      <c r="B1508" s="37" t="str">
        <f aca="false">IF($A1508="","",WEEKNUM($A1508,2))</f>
        <v/>
      </c>
      <c r="C1508" s="37" t="str">
        <f aca="false">IF($A1508="","",CHOOSE(WEEKDAY($A1508,2),"Seg","Ter","Qua","Qui","Sex","Sáb","Dom"))</f>
        <v/>
      </c>
      <c r="D1508" s="46"/>
      <c r="E1508" s="47"/>
      <c r="F1508" s="47"/>
      <c r="G1508" s="48"/>
      <c r="H1508" s="49"/>
      <c r="I1508" s="50"/>
      <c r="J1508" s="48"/>
      <c r="K1508" s="49"/>
      <c r="L1508" s="50"/>
      <c r="M1508" s="43" t="str">
        <f aca="false">IF(OR($L1508="",$F1508=""),"",IFERROR($L1508/INDEX(Cadastro!$E$6:$E$8,MATCH($F1508,Cadastro!$B$6:$B$8,0)),""))</f>
        <v/>
      </c>
      <c r="N1508" s="43" t="str">
        <f aca="false">IF(OR($L1508="",$I1508="",$I1508=0),"",$L1508/$I1508)</f>
        <v/>
      </c>
      <c r="O1508" s="51"/>
    </row>
    <row r="1509" customFormat="false" ht="15" hidden="false" customHeight="false" outlineLevel="0" collapsed="false">
      <c r="A1509" s="45"/>
      <c r="B1509" s="37" t="str">
        <f aca="false">IF($A1509="","",WEEKNUM($A1509,2))</f>
        <v/>
      </c>
      <c r="C1509" s="37" t="str">
        <f aca="false">IF($A1509="","",CHOOSE(WEEKDAY($A1509,2),"Seg","Ter","Qua","Qui","Sex","Sáb","Dom"))</f>
        <v/>
      </c>
      <c r="D1509" s="46"/>
      <c r="E1509" s="47"/>
      <c r="F1509" s="47"/>
      <c r="G1509" s="48"/>
      <c r="H1509" s="49"/>
      <c r="I1509" s="50"/>
      <c r="J1509" s="48"/>
      <c r="K1509" s="49"/>
      <c r="L1509" s="50"/>
      <c r="M1509" s="43" t="str">
        <f aca="false">IF(OR($L1509="",$F1509=""),"",IFERROR($L1509/INDEX(Cadastro!$E$6:$E$8,MATCH($F1509,Cadastro!$B$6:$B$8,0)),""))</f>
        <v/>
      </c>
      <c r="N1509" s="43" t="str">
        <f aca="false">IF(OR($L1509="",$I1509="",$I1509=0),"",$L1509/$I1509)</f>
        <v/>
      </c>
      <c r="O1509" s="51"/>
    </row>
    <row r="1510" customFormat="false" ht="15" hidden="false" customHeight="false" outlineLevel="0" collapsed="false">
      <c r="A1510" s="45"/>
      <c r="B1510" s="37" t="str">
        <f aca="false">IF($A1510="","",WEEKNUM($A1510,2))</f>
        <v/>
      </c>
      <c r="C1510" s="37" t="str">
        <f aca="false">IF($A1510="","",CHOOSE(WEEKDAY($A1510,2),"Seg","Ter","Qua","Qui","Sex","Sáb","Dom"))</f>
        <v/>
      </c>
      <c r="D1510" s="46"/>
      <c r="E1510" s="47"/>
      <c r="F1510" s="47"/>
      <c r="G1510" s="48"/>
      <c r="H1510" s="49"/>
      <c r="I1510" s="50"/>
      <c r="J1510" s="48"/>
      <c r="K1510" s="49"/>
      <c r="L1510" s="50"/>
      <c r="M1510" s="43" t="str">
        <f aca="false">IF(OR($L1510="",$F1510=""),"",IFERROR($L1510/INDEX(Cadastro!$E$6:$E$8,MATCH($F1510,Cadastro!$B$6:$B$8,0)),""))</f>
        <v/>
      </c>
      <c r="N1510" s="43" t="str">
        <f aca="false">IF(OR($L1510="",$I1510="",$I1510=0),"",$L1510/$I1510)</f>
        <v/>
      </c>
      <c r="O1510" s="51"/>
    </row>
    <row r="1511" customFormat="false" ht="15" hidden="false" customHeight="false" outlineLevel="0" collapsed="false">
      <c r="A1511" s="45"/>
      <c r="B1511" s="37" t="str">
        <f aca="false">IF($A1511="","",WEEKNUM($A1511,2))</f>
        <v/>
      </c>
      <c r="C1511" s="37" t="str">
        <f aca="false">IF($A1511="","",CHOOSE(WEEKDAY($A1511,2),"Seg","Ter","Qua","Qui","Sex","Sáb","Dom"))</f>
        <v/>
      </c>
      <c r="D1511" s="46"/>
      <c r="E1511" s="47"/>
      <c r="F1511" s="47"/>
      <c r="G1511" s="48"/>
      <c r="H1511" s="49"/>
      <c r="I1511" s="50"/>
      <c r="J1511" s="48"/>
      <c r="K1511" s="49"/>
      <c r="L1511" s="50"/>
      <c r="M1511" s="43" t="str">
        <f aca="false">IF(OR($L1511="",$F1511=""),"",IFERROR($L1511/INDEX(Cadastro!$E$6:$E$8,MATCH($F1511,Cadastro!$B$6:$B$8,0)),""))</f>
        <v/>
      </c>
      <c r="N1511" s="43" t="str">
        <f aca="false">IF(OR($L1511="",$I1511="",$I1511=0),"",$L1511/$I1511)</f>
        <v/>
      </c>
      <c r="O1511" s="51"/>
    </row>
    <row r="1512" customFormat="false" ht="15" hidden="false" customHeight="false" outlineLevel="0" collapsed="false">
      <c r="A1512" s="45"/>
      <c r="B1512" s="37" t="str">
        <f aca="false">IF($A1512="","",WEEKNUM($A1512,2))</f>
        <v/>
      </c>
      <c r="C1512" s="37" t="str">
        <f aca="false">IF($A1512="","",CHOOSE(WEEKDAY($A1512,2),"Seg","Ter","Qua","Qui","Sex","Sáb","Dom"))</f>
        <v/>
      </c>
      <c r="D1512" s="46"/>
      <c r="E1512" s="47"/>
      <c r="F1512" s="47"/>
      <c r="G1512" s="48"/>
      <c r="H1512" s="49"/>
      <c r="I1512" s="50"/>
      <c r="J1512" s="48"/>
      <c r="K1512" s="49"/>
      <c r="L1512" s="50"/>
      <c r="M1512" s="43" t="str">
        <f aca="false">IF(OR($L1512="",$F1512=""),"",IFERROR($L1512/INDEX(Cadastro!$E$6:$E$8,MATCH($F1512,Cadastro!$B$6:$B$8,0)),""))</f>
        <v/>
      </c>
      <c r="N1512" s="43" t="str">
        <f aca="false">IF(OR($L1512="",$I1512="",$I1512=0),"",$L1512/$I1512)</f>
        <v/>
      </c>
      <c r="O1512" s="51"/>
    </row>
    <row r="1513" customFormat="false" ht="15" hidden="false" customHeight="false" outlineLevel="0" collapsed="false">
      <c r="A1513" s="45"/>
      <c r="B1513" s="37" t="str">
        <f aca="false">IF($A1513="","",WEEKNUM($A1513,2))</f>
        <v/>
      </c>
      <c r="C1513" s="37" t="str">
        <f aca="false">IF($A1513="","",CHOOSE(WEEKDAY($A1513,2),"Seg","Ter","Qua","Qui","Sex","Sáb","Dom"))</f>
        <v/>
      </c>
      <c r="D1513" s="46"/>
      <c r="E1513" s="47"/>
      <c r="F1513" s="47"/>
      <c r="G1513" s="48"/>
      <c r="H1513" s="49"/>
      <c r="I1513" s="50"/>
      <c r="J1513" s="48"/>
      <c r="K1513" s="49"/>
      <c r="L1513" s="50"/>
      <c r="M1513" s="43" t="str">
        <f aca="false">IF(OR($L1513="",$F1513=""),"",IFERROR($L1513/INDEX(Cadastro!$E$6:$E$8,MATCH($F1513,Cadastro!$B$6:$B$8,0)),""))</f>
        <v/>
      </c>
      <c r="N1513" s="43" t="str">
        <f aca="false">IF(OR($L1513="",$I1513="",$I1513=0),"",$L1513/$I1513)</f>
        <v/>
      </c>
      <c r="O1513" s="51"/>
    </row>
    <row r="1514" customFormat="false" ht="15" hidden="false" customHeight="false" outlineLevel="0" collapsed="false">
      <c r="A1514" s="45"/>
      <c r="B1514" s="37" t="str">
        <f aca="false">IF($A1514="","",WEEKNUM($A1514,2))</f>
        <v/>
      </c>
      <c r="C1514" s="37" t="str">
        <f aca="false">IF($A1514="","",CHOOSE(WEEKDAY($A1514,2),"Seg","Ter","Qua","Qui","Sex","Sáb","Dom"))</f>
        <v/>
      </c>
      <c r="D1514" s="46"/>
      <c r="E1514" s="47"/>
      <c r="F1514" s="47"/>
      <c r="G1514" s="48"/>
      <c r="H1514" s="49"/>
      <c r="I1514" s="50"/>
      <c r="J1514" s="48"/>
      <c r="K1514" s="49"/>
      <c r="L1514" s="50"/>
      <c r="M1514" s="43" t="str">
        <f aca="false">IF(OR($L1514="",$F1514=""),"",IFERROR($L1514/INDEX(Cadastro!$E$6:$E$8,MATCH($F1514,Cadastro!$B$6:$B$8,0)),""))</f>
        <v/>
      </c>
      <c r="N1514" s="43" t="str">
        <f aca="false">IF(OR($L1514="",$I1514="",$I1514=0),"",$L1514/$I1514)</f>
        <v/>
      </c>
      <c r="O1514" s="51"/>
    </row>
    <row r="1515" customFormat="false" ht="15" hidden="false" customHeight="false" outlineLevel="0" collapsed="false">
      <c r="A1515" s="45"/>
      <c r="B1515" s="37" t="str">
        <f aca="false">IF($A1515="","",WEEKNUM($A1515,2))</f>
        <v/>
      </c>
      <c r="C1515" s="37" t="str">
        <f aca="false">IF($A1515="","",CHOOSE(WEEKDAY($A1515,2),"Seg","Ter","Qua","Qui","Sex","Sáb","Dom"))</f>
        <v/>
      </c>
      <c r="D1515" s="46"/>
      <c r="E1515" s="47"/>
      <c r="F1515" s="47"/>
      <c r="G1515" s="48"/>
      <c r="H1515" s="49"/>
      <c r="I1515" s="50"/>
      <c r="J1515" s="48"/>
      <c r="K1515" s="49"/>
      <c r="L1515" s="50"/>
      <c r="M1515" s="43" t="str">
        <f aca="false">IF(OR($L1515="",$F1515=""),"",IFERROR($L1515/INDEX(Cadastro!$E$6:$E$8,MATCH($F1515,Cadastro!$B$6:$B$8,0)),""))</f>
        <v/>
      </c>
      <c r="N1515" s="43" t="str">
        <f aca="false">IF(OR($L1515="",$I1515="",$I1515=0),"",$L1515/$I1515)</f>
        <v/>
      </c>
      <c r="O1515" s="51"/>
    </row>
    <row r="1516" customFormat="false" ht="15" hidden="false" customHeight="false" outlineLevel="0" collapsed="false">
      <c r="A1516" s="45"/>
      <c r="B1516" s="37" t="str">
        <f aca="false">IF($A1516="","",WEEKNUM($A1516,2))</f>
        <v/>
      </c>
      <c r="C1516" s="37" t="str">
        <f aca="false">IF($A1516="","",CHOOSE(WEEKDAY($A1516,2),"Seg","Ter","Qua","Qui","Sex","Sáb","Dom"))</f>
        <v/>
      </c>
      <c r="D1516" s="46"/>
      <c r="E1516" s="47"/>
      <c r="F1516" s="47"/>
      <c r="G1516" s="48"/>
      <c r="H1516" s="49"/>
      <c r="I1516" s="50"/>
      <c r="J1516" s="48"/>
      <c r="K1516" s="49"/>
      <c r="L1516" s="50"/>
      <c r="M1516" s="43" t="str">
        <f aca="false">IF(OR($L1516="",$F1516=""),"",IFERROR($L1516/INDEX(Cadastro!$E$6:$E$8,MATCH($F1516,Cadastro!$B$6:$B$8,0)),""))</f>
        <v/>
      </c>
      <c r="N1516" s="43" t="str">
        <f aca="false">IF(OR($L1516="",$I1516="",$I1516=0),"",$L1516/$I1516)</f>
        <v/>
      </c>
      <c r="O1516" s="51"/>
    </row>
    <row r="1517" customFormat="false" ht="15" hidden="false" customHeight="false" outlineLevel="0" collapsed="false">
      <c r="A1517" s="45"/>
      <c r="B1517" s="37" t="str">
        <f aca="false">IF($A1517="","",WEEKNUM($A1517,2))</f>
        <v/>
      </c>
      <c r="C1517" s="37" t="str">
        <f aca="false">IF($A1517="","",CHOOSE(WEEKDAY($A1517,2),"Seg","Ter","Qua","Qui","Sex","Sáb","Dom"))</f>
        <v/>
      </c>
      <c r="D1517" s="46"/>
      <c r="E1517" s="47"/>
      <c r="F1517" s="47"/>
      <c r="G1517" s="48"/>
      <c r="H1517" s="49"/>
      <c r="I1517" s="50"/>
      <c r="J1517" s="48"/>
      <c r="K1517" s="49"/>
      <c r="L1517" s="50"/>
      <c r="M1517" s="43" t="str">
        <f aca="false">IF(OR($L1517="",$F1517=""),"",IFERROR($L1517/INDEX(Cadastro!$E$6:$E$8,MATCH($F1517,Cadastro!$B$6:$B$8,0)),""))</f>
        <v/>
      </c>
      <c r="N1517" s="43" t="str">
        <f aca="false">IF(OR($L1517="",$I1517="",$I1517=0),"",$L1517/$I1517)</f>
        <v/>
      </c>
      <c r="O1517" s="51"/>
    </row>
    <row r="1518" customFormat="false" ht="15" hidden="false" customHeight="false" outlineLevel="0" collapsed="false">
      <c r="A1518" s="45"/>
      <c r="B1518" s="37" t="str">
        <f aca="false">IF($A1518="","",WEEKNUM($A1518,2))</f>
        <v/>
      </c>
      <c r="C1518" s="37" t="str">
        <f aca="false">IF($A1518="","",CHOOSE(WEEKDAY($A1518,2),"Seg","Ter","Qua","Qui","Sex","Sáb","Dom"))</f>
        <v/>
      </c>
      <c r="D1518" s="46"/>
      <c r="E1518" s="47"/>
      <c r="F1518" s="47"/>
      <c r="G1518" s="48"/>
      <c r="H1518" s="49"/>
      <c r="I1518" s="50"/>
      <c r="J1518" s="48"/>
      <c r="K1518" s="49"/>
      <c r="L1518" s="50"/>
      <c r="M1518" s="43" t="str">
        <f aca="false">IF(OR($L1518="",$F1518=""),"",IFERROR($L1518/INDEX(Cadastro!$E$6:$E$8,MATCH($F1518,Cadastro!$B$6:$B$8,0)),""))</f>
        <v/>
      </c>
      <c r="N1518" s="43" t="str">
        <f aca="false">IF(OR($L1518="",$I1518="",$I1518=0),"",$L1518/$I1518)</f>
        <v/>
      </c>
      <c r="O1518" s="51"/>
    </row>
    <row r="1519" customFormat="false" ht="15" hidden="false" customHeight="false" outlineLevel="0" collapsed="false">
      <c r="A1519" s="45"/>
      <c r="B1519" s="37" t="str">
        <f aca="false">IF($A1519="","",WEEKNUM($A1519,2))</f>
        <v/>
      </c>
      <c r="C1519" s="37" t="str">
        <f aca="false">IF($A1519="","",CHOOSE(WEEKDAY($A1519,2),"Seg","Ter","Qua","Qui","Sex","Sáb","Dom"))</f>
        <v/>
      </c>
      <c r="D1519" s="46"/>
      <c r="E1519" s="47"/>
      <c r="F1519" s="47"/>
      <c r="G1519" s="48"/>
      <c r="H1519" s="49"/>
      <c r="I1519" s="50"/>
      <c r="J1519" s="48"/>
      <c r="K1519" s="49"/>
      <c r="L1519" s="50"/>
      <c r="M1519" s="43" t="str">
        <f aca="false">IF(OR($L1519="",$F1519=""),"",IFERROR($L1519/INDEX(Cadastro!$E$6:$E$8,MATCH($F1519,Cadastro!$B$6:$B$8,0)),""))</f>
        <v/>
      </c>
      <c r="N1519" s="43" t="str">
        <f aca="false">IF(OR($L1519="",$I1519="",$I1519=0),"",$L1519/$I1519)</f>
        <v/>
      </c>
      <c r="O1519" s="51"/>
    </row>
    <row r="1520" customFormat="false" ht="15" hidden="false" customHeight="false" outlineLevel="0" collapsed="false">
      <c r="A1520" s="45"/>
      <c r="B1520" s="37" t="str">
        <f aca="false">IF($A1520="","",WEEKNUM($A1520,2))</f>
        <v/>
      </c>
      <c r="C1520" s="37" t="str">
        <f aca="false">IF($A1520="","",CHOOSE(WEEKDAY($A1520,2),"Seg","Ter","Qua","Qui","Sex","Sáb","Dom"))</f>
        <v/>
      </c>
      <c r="D1520" s="46"/>
      <c r="E1520" s="47"/>
      <c r="F1520" s="47"/>
      <c r="G1520" s="48"/>
      <c r="H1520" s="49"/>
      <c r="I1520" s="50"/>
      <c r="J1520" s="48"/>
      <c r="K1520" s="49"/>
      <c r="L1520" s="50"/>
      <c r="M1520" s="43" t="str">
        <f aca="false">IF(OR($L1520="",$F1520=""),"",IFERROR($L1520/INDEX(Cadastro!$E$6:$E$8,MATCH($F1520,Cadastro!$B$6:$B$8,0)),""))</f>
        <v/>
      </c>
      <c r="N1520" s="43" t="str">
        <f aca="false">IF(OR($L1520="",$I1520="",$I1520=0),"",$L1520/$I1520)</f>
        <v/>
      </c>
      <c r="O1520" s="51"/>
    </row>
    <row r="1521" customFormat="false" ht="15" hidden="false" customHeight="false" outlineLevel="0" collapsed="false">
      <c r="A1521" s="45"/>
      <c r="B1521" s="37" t="str">
        <f aca="false">IF($A1521="","",WEEKNUM($A1521,2))</f>
        <v/>
      </c>
      <c r="C1521" s="37" t="str">
        <f aca="false">IF($A1521="","",CHOOSE(WEEKDAY($A1521,2),"Seg","Ter","Qua","Qui","Sex","Sáb","Dom"))</f>
        <v/>
      </c>
      <c r="D1521" s="46"/>
      <c r="E1521" s="47"/>
      <c r="F1521" s="47"/>
      <c r="G1521" s="48"/>
      <c r="H1521" s="49"/>
      <c r="I1521" s="50"/>
      <c r="J1521" s="48"/>
      <c r="K1521" s="49"/>
      <c r="L1521" s="50"/>
      <c r="M1521" s="43" t="str">
        <f aca="false">IF(OR($L1521="",$F1521=""),"",IFERROR($L1521/INDEX(Cadastro!$E$6:$E$8,MATCH($F1521,Cadastro!$B$6:$B$8,0)),""))</f>
        <v/>
      </c>
      <c r="N1521" s="43" t="str">
        <f aca="false">IF(OR($L1521="",$I1521="",$I1521=0),"",$L1521/$I1521)</f>
        <v/>
      </c>
      <c r="O1521" s="51"/>
    </row>
    <row r="1522" customFormat="false" ht="15" hidden="false" customHeight="false" outlineLevel="0" collapsed="false">
      <c r="A1522" s="45"/>
      <c r="B1522" s="37" t="str">
        <f aca="false">IF($A1522="","",WEEKNUM($A1522,2))</f>
        <v/>
      </c>
      <c r="C1522" s="37" t="str">
        <f aca="false">IF($A1522="","",CHOOSE(WEEKDAY($A1522,2),"Seg","Ter","Qua","Qui","Sex","Sáb","Dom"))</f>
        <v/>
      </c>
      <c r="D1522" s="46"/>
      <c r="E1522" s="47"/>
      <c r="F1522" s="47"/>
      <c r="G1522" s="48"/>
      <c r="H1522" s="49"/>
      <c r="I1522" s="50"/>
      <c r="J1522" s="48"/>
      <c r="K1522" s="49"/>
      <c r="L1522" s="50"/>
      <c r="M1522" s="43" t="str">
        <f aca="false">IF(OR($L1522="",$F1522=""),"",IFERROR($L1522/INDEX(Cadastro!$E$6:$E$8,MATCH($F1522,Cadastro!$B$6:$B$8,0)),""))</f>
        <v/>
      </c>
      <c r="N1522" s="43" t="str">
        <f aca="false">IF(OR($L1522="",$I1522="",$I1522=0),"",$L1522/$I1522)</f>
        <v/>
      </c>
      <c r="O1522" s="51"/>
    </row>
    <row r="1523" customFormat="false" ht="15" hidden="false" customHeight="false" outlineLevel="0" collapsed="false">
      <c r="A1523" s="45"/>
      <c r="B1523" s="37" t="str">
        <f aca="false">IF($A1523="","",WEEKNUM($A1523,2))</f>
        <v/>
      </c>
      <c r="C1523" s="37" t="str">
        <f aca="false">IF($A1523="","",CHOOSE(WEEKDAY($A1523,2),"Seg","Ter","Qua","Qui","Sex","Sáb","Dom"))</f>
        <v/>
      </c>
      <c r="D1523" s="46"/>
      <c r="E1523" s="47"/>
      <c r="F1523" s="47"/>
      <c r="G1523" s="48"/>
      <c r="H1523" s="49"/>
      <c r="I1523" s="50"/>
      <c r="J1523" s="48"/>
      <c r="K1523" s="49"/>
      <c r="L1523" s="50"/>
      <c r="M1523" s="43" t="str">
        <f aca="false">IF(OR($L1523="",$F1523=""),"",IFERROR($L1523/INDEX(Cadastro!$E$6:$E$8,MATCH($F1523,Cadastro!$B$6:$B$8,0)),""))</f>
        <v/>
      </c>
      <c r="N1523" s="43" t="str">
        <f aca="false">IF(OR($L1523="",$I1523="",$I1523=0),"",$L1523/$I1523)</f>
        <v/>
      </c>
      <c r="O1523" s="51"/>
    </row>
    <row r="1524" customFormat="false" ht="15" hidden="false" customHeight="false" outlineLevel="0" collapsed="false">
      <c r="A1524" s="45"/>
      <c r="B1524" s="37" t="str">
        <f aca="false">IF($A1524="","",WEEKNUM($A1524,2))</f>
        <v/>
      </c>
      <c r="C1524" s="37" t="str">
        <f aca="false">IF($A1524="","",CHOOSE(WEEKDAY($A1524,2),"Seg","Ter","Qua","Qui","Sex","Sáb","Dom"))</f>
        <v/>
      </c>
      <c r="D1524" s="46"/>
      <c r="E1524" s="47"/>
      <c r="F1524" s="47"/>
      <c r="G1524" s="48"/>
      <c r="H1524" s="49"/>
      <c r="I1524" s="50"/>
      <c r="J1524" s="48"/>
      <c r="K1524" s="49"/>
      <c r="L1524" s="50"/>
      <c r="M1524" s="43" t="str">
        <f aca="false">IF(OR($L1524="",$F1524=""),"",IFERROR($L1524/INDEX(Cadastro!$E$6:$E$8,MATCH($F1524,Cadastro!$B$6:$B$8,0)),""))</f>
        <v/>
      </c>
      <c r="N1524" s="43" t="str">
        <f aca="false">IF(OR($L1524="",$I1524="",$I1524=0),"",$L1524/$I1524)</f>
        <v/>
      </c>
      <c r="O1524" s="51"/>
    </row>
    <row r="1525" customFormat="false" ht="15" hidden="false" customHeight="false" outlineLevel="0" collapsed="false">
      <c r="A1525" s="45"/>
      <c r="B1525" s="37" t="str">
        <f aca="false">IF($A1525="","",WEEKNUM($A1525,2))</f>
        <v/>
      </c>
      <c r="C1525" s="37" t="str">
        <f aca="false">IF($A1525="","",CHOOSE(WEEKDAY($A1525,2),"Seg","Ter","Qua","Qui","Sex","Sáb","Dom"))</f>
        <v/>
      </c>
      <c r="D1525" s="46"/>
      <c r="E1525" s="47"/>
      <c r="F1525" s="47"/>
      <c r="G1525" s="48"/>
      <c r="H1525" s="49"/>
      <c r="I1525" s="50"/>
      <c r="J1525" s="48"/>
      <c r="K1525" s="49"/>
      <c r="L1525" s="50"/>
      <c r="M1525" s="43" t="str">
        <f aca="false">IF(OR($L1525="",$F1525=""),"",IFERROR($L1525/INDEX(Cadastro!$E$6:$E$8,MATCH($F1525,Cadastro!$B$6:$B$8,0)),""))</f>
        <v/>
      </c>
      <c r="N1525" s="43" t="str">
        <f aca="false">IF(OR($L1525="",$I1525="",$I1525=0),"",$L1525/$I1525)</f>
        <v/>
      </c>
      <c r="O1525" s="51"/>
    </row>
    <row r="1526" customFormat="false" ht="15" hidden="false" customHeight="false" outlineLevel="0" collapsed="false">
      <c r="A1526" s="45"/>
      <c r="B1526" s="37" t="str">
        <f aca="false">IF($A1526="","",WEEKNUM($A1526,2))</f>
        <v/>
      </c>
      <c r="C1526" s="37" t="str">
        <f aca="false">IF($A1526="","",CHOOSE(WEEKDAY($A1526,2),"Seg","Ter","Qua","Qui","Sex","Sáb","Dom"))</f>
        <v/>
      </c>
      <c r="D1526" s="46"/>
      <c r="E1526" s="47"/>
      <c r="F1526" s="47"/>
      <c r="G1526" s="48"/>
      <c r="H1526" s="49"/>
      <c r="I1526" s="50"/>
      <c r="J1526" s="48"/>
      <c r="K1526" s="49"/>
      <c r="L1526" s="50"/>
      <c r="M1526" s="43" t="str">
        <f aca="false">IF(OR($L1526="",$F1526=""),"",IFERROR($L1526/INDEX(Cadastro!$E$6:$E$8,MATCH($F1526,Cadastro!$B$6:$B$8,0)),""))</f>
        <v/>
      </c>
      <c r="N1526" s="43" t="str">
        <f aca="false">IF(OR($L1526="",$I1526="",$I1526=0),"",$L1526/$I1526)</f>
        <v/>
      </c>
      <c r="O1526" s="51"/>
    </row>
    <row r="1527" customFormat="false" ht="15" hidden="false" customHeight="false" outlineLevel="0" collapsed="false">
      <c r="A1527" s="45"/>
      <c r="B1527" s="37" t="str">
        <f aca="false">IF($A1527="","",WEEKNUM($A1527,2))</f>
        <v/>
      </c>
      <c r="C1527" s="37" t="str">
        <f aca="false">IF($A1527="","",CHOOSE(WEEKDAY($A1527,2),"Seg","Ter","Qua","Qui","Sex","Sáb","Dom"))</f>
        <v/>
      </c>
      <c r="D1527" s="46"/>
      <c r="E1527" s="47"/>
      <c r="F1527" s="47"/>
      <c r="G1527" s="48"/>
      <c r="H1527" s="49"/>
      <c r="I1527" s="50"/>
      <c r="J1527" s="48"/>
      <c r="K1527" s="49"/>
      <c r="L1527" s="50"/>
      <c r="M1527" s="43" t="str">
        <f aca="false">IF(OR($L1527="",$F1527=""),"",IFERROR($L1527/INDEX(Cadastro!$E$6:$E$8,MATCH($F1527,Cadastro!$B$6:$B$8,0)),""))</f>
        <v/>
      </c>
      <c r="N1527" s="43" t="str">
        <f aca="false">IF(OR($L1527="",$I1527="",$I1527=0),"",$L1527/$I1527)</f>
        <v/>
      </c>
      <c r="O1527" s="51"/>
    </row>
    <row r="1528" customFormat="false" ht="15" hidden="false" customHeight="false" outlineLevel="0" collapsed="false">
      <c r="A1528" s="45"/>
      <c r="B1528" s="37" t="str">
        <f aca="false">IF($A1528="","",WEEKNUM($A1528,2))</f>
        <v/>
      </c>
      <c r="C1528" s="37" t="str">
        <f aca="false">IF($A1528="","",CHOOSE(WEEKDAY($A1528,2),"Seg","Ter","Qua","Qui","Sex","Sáb","Dom"))</f>
        <v/>
      </c>
      <c r="D1528" s="46"/>
      <c r="E1528" s="47"/>
      <c r="F1528" s="47"/>
      <c r="G1528" s="48"/>
      <c r="H1528" s="49"/>
      <c r="I1528" s="50"/>
      <c r="J1528" s="48"/>
      <c r="K1528" s="49"/>
      <c r="L1528" s="50"/>
      <c r="M1528" s="43" t="str">
        <f aca="false">IF(OR($L1528="",$F1528=""),"",IFERROR($L1528/INDEX(Cadastro!$E$6:$E$8,MATCH($F1528,Cadastro!$B$6:$B$8,0)),""))</f>
        <v/>
      </c>
      <c r="N1528" s="43" t="str">
        <f aca="false">IF(OR($L1528="",$I1528="",$I1528=0),"",$L1528/$I1528)</f>
        <v/>
      </c>
      <c r="O1528" s="51"/>
    </row>
    <row r="1529" customFormat="false" ht="15" hidden="false" customHeight="false" outlineLevel="0" collapsed="false">
      <c r="A1529" s="45"/>
      <c r="B1529" s="37" t="str">
        <f aca="false">IF($A1529="","",WEEKNUM($A1529,2))</f>
        <v/>
      </c>
      <c r="C1529" s="37" t="str">
        <f aca="false">IF($A1529="","",CHOOSE(WEEKDAY($A1529,2),"Seg","Ter","Qua","Qui","Sex","Sáb","Dom"))</f>
        <v/>
      </c>
      <c r="D1529" s="46"/>
      <c r="E1529" s="47"/>
      <c r="F1529" s="47"/>
      <c r="G1529" s="48"/>
      <c r="H1529" s="49"/>
      <c r="I1529" s="50"/>
      <c r="J1529" s="48"/>
      <c r="K1529" s="49"/>
      <c r="L1529" s="50"/>
      <c r="M1529" s="43" t="str">
        <f aca="false">IF(OR($L1529="",$F1529=""),"",IFERROR($L1529/INDEX(Cadastro!$E$6:$E$8,MATCH($F1529,Cadastro!$B$6:$B$8,0)),""))</f>
        <v/>
      </c>
      <c r="N1529" s="43" t="str">
        <f aca="false">IF(OR($L1529="",$I1529="",$I1529=0),"",$L1529/$I1529)</f>
        <v/>
      </c>
      <c r="O1529" s="51"/>
    </row>
    <row r="1530" customFormat="false" ht="15" hidden="false" customHeight="false" outlineLevel="0" collapsed="false">
      <c r="A1530" s="45"/>
      <c r="B1530" s="37" t="str">
        <f aca="false">IF($A1530="","",WEEKNUM($A1530,2))</f>
        <v/>
      </c>
      <c r="C1530" s="37" t="str">
        <f aca="false">IF($A1530="","",CHOOSE(WEEKDAY($A1530,2),"Seg","Ter","Qua","Qui","Sex","Sáb","Dom"))</f>
        <v/>
      </c>
      <c r="D1530" s="46"/>
      <c r="E1530" s="47"/>
      <c r="F1530" s="47"/>
      <c r="G1530" s="48"/>
      <c r="H1530" s="49"/>
      <c r="I1530" s="50"/>
      <c r="J1530" s="48"/>
      <c r="K1530" s="49"/>
      <c r="L1530" s="50"/>
      <c r="M1530" s="43" t="str">
        <f aca="false">IF(OR($L1530="",$F1530=""),"",IFERROR($L1530/INDEX(Cadastro!$E$6:$E$8,MATCH($F1530,Cadastro!$B$6:$B$8,0)),""))</f>
        <v/>
      </c>
      <c r="N1530" s="43" t="str">
        <f aca="false">IF(OR($L1530="",$I1530="",$I1530=0),"",$L1530/$I1530)</f>
        <v/>
      </c>
      <c r="O1530" s="51"/>
    </row>
    <row r="1531" customFormat="false" ht="15" hidden="false" customHeight="false" outlineLevel="0" collapsed="false">
      <c r="A1531" s="45"/>
      <c r="B1531" s="37" t="str">
        <f aca="false">IF($A1531="","",WEEKNUM($A1531,2))</f>
        <v/>
      </c>
      <c r="C1531" s="37" t="str">
        <f aca="false">IF($A1531="","",CHOOSE(WEEKDAY($A1531,2),"Seg","Ter","Qua","Qui","Sex","Sáb","Dom"))</f>
        <v/>
      </c>
      <c r="D1531" s="46"/>
      <c r="E1531" s="47"/>
      <c r="F1531" s="47"/>
      <c r="G1531" s="48"/>
      <c r="H1531" s="49"/>
      <c r="I1531" s="50"/>
      <c r="J1531" s="48"/>
      <c r="K1531" s="49"/>
      <c r="L1531" s="50"/>
      <c r="M1531" s="43" t="str">
        <f aca="false">IF(OR($L1531="",$F1531=""),"",IFERROR($L1531/INDEX(Cadastro!$E$6:$E$8,MATCH($F1531,Cadastro!$B$6:$B$8,0)),""))</f>
        <v/>
      </c>
      <c r="N1531" s="43" t="str">
        <f aca="false">IF(OR($L1531="",$I1531="",$I1531=0),"",$L1531/$I1531)</f>
        <v/>
      </c>
      <c r="O1531" s="51"/>
    </row>
    <row r="1532" customFormat="false" ht="15" hidden="false" customHeight="false" outlineLevel="0" collapsed="false">
      <c r="A1532" s="45"/>
      <c r="B1532" s="37" t="str">
        <f aca="false">IF($A1532="","",WEEKNUM($A1532,2))</f>
        <v/>
      </c>
      <c r="C1532" s="37" t="str">
        <f aca="false">IF($A1532="","",CHOOSE(WEEKDAY($A1532,2),"Seg","Ter","Qua","Qui","Sex","Sáb","Dom"))</f>
        <v/>
      </c>
      <c r="D1532" s="46"/>
      <c r="E1532" s="47"/>
      <c r="F1532" s="47"/>
      <c r="G1532" s="48"/>
      <c r="H1532" s="49"/>
      <c r="I1532" s="50"/>
      <c r="J1532" s="48"/>
      <c r="K1532" s="49"/>
      <c r="L1532" s="50"/>
      <c r="M1532" s="43" t="str">
        <f aca="false">IF(OR($L1532="",$F1532=""),"",IFERROR($L1532/INDEX(Cadastro!$E$6:$E$8,MATCH($F1532,Cadastro!$B$6:$B$8,0)),""))</f>
        <v/>
      </c>
      <c r="N1532" s="43" t="str">
        <f aca="false">IF(OR($L1532="",$I1532="",$I1532=0),"",$L1532/$I1532)</f>
        <v/>
      </c>
      <c r="O1532" s="51"/>
    </row>
    <row r="1533" customFormat="false" ht="15" hidden="false" customHeight="false" outlineLevel="0" collapsed="false">
      <c r="A1533" s="45"/>
      <c r="B1533" s="37" t="str">
        <f aca="false">IF($A1533="","",WEEKNUM($A1533,2))</f>
        <v/>
      </c>
      <c r="C1533" s="37" t="str">
        <f aca="false">IF($A1533="","",CHOOSE(WEEKDAY($A1533,2),"Seg","Ter","Qua","Qui","Sex","Sáb","Dom"))</f>
        <v/>
      </c>
      <c r="D1533" s="46"/>
      <c r="E1533" s="47"/>
      <c r="F1533" s="47"/>
      <c r="G1533" s="48"/>
      <c r="H1533" s="49"/>
      <c r="I1533" s="50"/>
      <c r="J1533" s="48"/>
      <c r="K1533" s="49"/>
      <c r="L1533" s="50"/>
      <c r="M1533" s="43" t="str">
        <f aca="false">IF(OR($L1533="",$F1533=""),"",IFERROR($L1533/INDEX(Cadastro!$E$6:$E$8,MATCH($F1533,Cadastro!$B$6:$B$8,0)),""))</f>
        <v/>
      </c>
      <c r="N1533" s="43" t="str">
        <f aca="false">IF(OR($L1533="",$I1533="",$I1533=0),"",$L1533/$I1533)</f>
        <v/>
      </c>
      <c r="O1533" s="51"/>
    </row>
    <row r="1534" customFormat="false" ht="15" hidden="false" customHeight="false" outlineLevel="0" collapsed="false">
      <c r="A1534" s="45"/>
      <c r="B1534" s="37" t="str">
        <f aca="false">IF($A1534="","",WEEKNUM($A1534,2))</f>
        <v/>
      </c>
      <c r="C1534" s="37" t="str">
        <f aca="false">IF($A1534="","",CHOOSE(WEEKDAY($A1534,2),"Seg","Ter","Qua","Qui","Sex","Sáb","Dom"))</f>
        <v/>
      </c>
      <c r="D1534" s="46"/>
      <c r="E1534" s="47"/>
      <c r="F1534" s="47"/>
      <c r="G1534" s="48"/>
      <c r="H1534" s="49"/>
      <c r="I1534" s="50"/>
      <c r="J1534" s="48"/>
      <c r="K1534" s="49"/>
      <c r="L1534" s="50"/>
      <c r="M1534" s="43" t="str">
        <f aca="false">IF(OR($L1534="",$F1534=""),"",IFERROR($L1534/INDEX(Cadastro!$E$6:$E$8,MATCH($F1534,Cadastro!$B$6:$B$8,0)),""))</f>
        <v/>
      </c>
      <c r="N1534" s="43" t="str">
        <f aca="false">IF(OR($L1534="",$I1534="",$I1534=0),"",$L1534/$I1534)</f>
        <v/>
      </c>
      <c r="O1534" s="51"/>
    </row>
    <row r="1535" customFormat="false" ht="15" hidden="false" customHeight="false" outlineLevel="0" collapsed="false">
      <c r="A1535" s="45"/>
      <c r="B1535" s="37" t="str">
        <f aca="false">IF($A1535="","",WEEKNUM($A1535,2))</f>
        <v/>
      </c>
      <c r="C1535" s="37" t="str">
        <f aca="false">IF($A1535="","",CHOOSE(WEEKDAY($A1535,2),"Seg","Ter","Qua","Qui","Sex","Sáb","Dom"))</f>
        <v/>
      </c>
      <c r="D1535" s="46"/>
      <c r="E1535" s="47"/>
      <c r="F1535" s="47"/>
      <c r="G1535" s="48"/>
      <c r="H1535" s="49"/>
      <c r="I1535" s="50"/>
      <c r="J1535" s="48"/>
      <c r="K1535" s="49"/>
      <c r="L1535" s="50"/>
      <c r="M1535" s="43" t="str">
        <f aca="false">IF(OR($L1535="",$F1535=""),"",IFERROR($L1535/INDEX(Cadastro!$E$6:$E$8,MATCH($F1535,Cadastro!$B$6:$B$8,0)),""))</f>
        <v/>
      </c>
      <c r="N1535" s="43" t="str">
        <f aca="false">IF(OR($L1535="",$I1535="",$I1535=0),"",$L1535/$I1535)</f>
        <v/>
      </c>
      <c r="O1535" s="51"/>
    </row>
    <row r="1536" customFormat="false" ht="15" hidden="false" customHeight="false" outlineLevel="0" collapsed="false">
      <c r="A1536" s="45"/>
      <c r="B1536" s="37" t="str">
        <f aca="false">IF($A1536="","",WEEKNUM($A1536,2))</f>
        <v/>
      </c>
      <c r="C1536" s="37" t="str">
        <f aca="false">IF($A1536="","",CHOOSE(WEEKDAY($A1536,2),"Seg","Ter","Qua","Qui","Sex","Sáb","Dom"))</f>
        <v/>
      </c>
      <c r="D1536" s="46"/>
      <c r="E1536" s="47"/>
      <c r="F1536" s="47"/>
      <c r="G1536" s="48"/>
      <c r="H1536" s="49"/>
      <c r="I1536" s="50"/>
      <c r="J1536" s="48"/>
      <c r="K1536" s="49"/>
      <c r="L1536" s="50"/>
      <c r="M1536" s="43" t="str">
        <f aca="false">IF(OR($L1536="",$F1536=""),"",IFERROR($L1536/INDEX(Cadastro!$E$6:$E$8,MATCH($F1536,Cadastro!$B$6:$B$8,0)),""))</f>
        <v/>
      </c>
      <c r="N1536" s="43" t="str">
        <f aca="false">IF(OR($L1536="",$I1536="",$I1536=0),"",$L1536/$I1536)</f>
        <v/>
      </c>
      <c r="O1536" s="51"/>
    </row>
    <row r="1537" customFormat="false" ht="15" hidden="false" customHeight="false" outlineLevel="0" collapsed="false">
      <c r="A1537" s="45"/>
      <c r="B1537" s="37" t="str">
        <f aca="false">IF($A1537="","",WEEKNUM($A1537,2))</f>
        <v/>
      </c>
      <c r="C1537" s="37" t="str">
        <f aca="false">IF($A1537="","",CHOOSE(WEEKDAY($A1537,2),"Seg","Ter","Qua","Qui","Sex","Sáb","Dom"))</f>
        <v/>
      </c>
      <c r="D1537" s="46"/>
      <c r="E1537" s="47"/>
      <c r="F1537" s="47"/>
      <c r="G1537" s="48"/>
      <c r="H1537" s="49"/>
      <c r="I1537" s="50"/>
      <c r="J1537" s="48"/>
      <c r="K1537" s="49"/>
      <c r="L1537" s="50"/>
      <c r="M1537" s="43" t="str">
        <f aca="false">IF(OR($L1537="",$F1537=""),"",IFERROR($L1537/INDEX(Cadastro!$E$6:$E$8,MATCH($F1537,Cadastro!$B$6:$B$8,0)),""))</f>
        <v/>
      </c>
      <c r="N1537" s="43" t="str">
        <f aca="false">IF(OR($L1537="",$I1537="",$I1537=0),"",$L1537/$I1537)</f>
        <v/>
      </c>
      <c r="O1537" s="51"/>
    </row>
    <row r="1538" customFormat="false" ht="15" hidden="false" customHeight="false" outlineLevel="0" collapsed="false">
      <c r="A1538" s="45"/>
      <c r="B1538" s="37" t="str">
        <f aca="false">IF($A1538="","",WEEKNUM($A1538,2))</f>
        <v/>
      </c>
      <c r="C1538" s="37" t="str">
        <f aca="false">IF($A1538="","",CHOOSE(WEEKDAY($A1538,2),"Seg","Ter","Qua","Qui","Sex","Sáb","Dom"))</f>
        <v/>
      </c>
      <c r="D1538" s="46"/>
      <c r="E1538" s="47"/>
      <c r="F1538" s="47"/>
      <c r="G1538" s="48"/>
      <c r="H1538" s="49"/>
      <c r="I1538" s="50"/>
      <c r="J1538" s="48"/>
      <c r="K1538" s="49"/>
      <c r="L1538" s="50"/>
      <c r="M1538" s="43" t="str">
        <f aca="false">IF(OR($L1538="",$F1538=""),"",IFERROR($L1538/INDEX(Cadastro!$E$6:$E$8,MATCH($F1538,Cadastro!$B$6:$B$8,0)),""))</f>
        <v/>
      </c>
      <c r="N1538" s="43" t="str">
        <f aca="false">IF(OR($L1538="",$I1538="",$I1538=0),"",$L1538/$I1538)</f>
        <v/>
      </c>
      <c r="O1538" s="51"/>
    </row>
    <row r="1539" customFormat="false" ht="15" hidden="false" customHeight="false" outlineLevel="0" collapsed="false">
      <c r="A1539" s="45"/>
      <c r="B1539" s="37" t="str">
        <f aca="false">IF($A1539="","",WEEKNUM($A1539,2))</f>
        <v/>
      </c>
      <c r="C1539" s="37" t="str">
        <f aca="false">IF($A1539="","",CHOOSE(WEEKDAY($A1539,2),"Seg","Ter","Qua","Qui","Sex","Sáb","Dom"))</f>
        <v/>
      </c>
      <c r="D1539" s="46"/>
      <c r="E1539" s="47"/>
      <c r="F1539" s="47"/>
      <c r="G1539" s="48"/>
      <c r="H1539" s="49"/>
      <c r="I1539" s="50"/>
      <c r="J1539" s="48"/>
      <c r="K1539" s="49"/>
      <c r="L1539" s="50"/>
      <c r="M1539" s="43" t="str">
        <f aca="false">IF(OR($L1539="",$F1539=""),"",IFERROR($L1539/INDEX(Cadastro!$E$6:$E$8,MATCH($F1539,Cadastro!$B$6:$B$8,0)),""))</f>
        <v/>
      </c>
      <c r="N1539" s="43" t="str">
        <f aca="false">IF(OR($L1539="",$I1539="",$I1539=0),"",$L1539/$I1539)</f>
        <v/>
      </c>
      <c r="O1539" s="51"/>
    </row>
    <row r="1540" customFormat="false" ht="15" hidden="false" customHeight="false" outlineLevel="0" collapsed="false">
      <c r="A1540" s="45"/>
      <c r="B1540" s="37" t="str">
        <f aca="false">IF($A1540="","",WEEKNUM($A1540,2))</f>
        <v/>
      </c>
      <c r="C1540" s="37" t="str">
        <f aca="false">IF($A1540="","",CHOOSE(WEEKDAY($A1540,2),"Seg","Ter","Qua","Qui","Sex","Sáb","Dom"))</f>
        <v/>
      </c>
      <c r="D1540" s="46"/>
      <c r="E1540" s="47"/>
      <c r="F1540" s="47"/>
      <c r="G1540" s="48"/>
      <c r="H1540" s="49"/>
      <c r="I1540" s="50"/>
      <c r="J1540" s="48"/>
      <c r="K1540" s="49"/>
      <c r="L1540" s="50"/>
      <c r="M1540" s="43" t="str">
        <f aca="false">IF(OR($L1540="",$F1540=""),"",IFERROR($L1540/INDEX(Cadastro!$E$6:$E$8,MATCH($F1540,Cadastro!$B$6:$B$8,0)),""))</f>
        <v/>
      </c>
      <c r="N1540" s="43" t="str">
        <f aca="false">IF(OR($L1540="",$I1540="",$I1540=0),"",$L1540/$I1540)</f>
        <v/>
      </c>
      <c r="O1540" s="51"/>
    </row>
    <row r="1541" customFormat="false" ht="15" hidden="false" customHeight="false" outlineLevel="0" collapsed="false">
      <c r="A1541" s="45"/>
      <c r="B1541" s="37" t="str">
        <f aca="false">IF($A1541="","",WEEKNUM($A1541,2))</f>
        <v/>
      </c>
      <c r="C1541" s="37" t="str">
        <f aca="false">IF($A1541="","",CHOOSE(WEEKDAY($A1541,2),"Seg","Ter","Qua","Qui","Sex","Sáb","Dom"))</f>
        <v/>
      </c>
      <c r="D1541" s="46"/>
      <c r="E1541" s="47"/>
      <c r="F1541" s="47"/>
      <c r="G1541" s="48"/>
      <c r="H1541" s="49"/>
      <c r="I1541" s="50"/>
      <c r="J1541" s="48"/>
      <c r="K1541" s="49"/>
      <c r="L1541" s="50"/>
      <c r="M1541" s="43" t="str">
        <f aca="false">IF(OR($L1541="",$F1541=""),"",IFERROR($L1541/INDEX(Cadastro!$E$6:$E$8,MATCH($F1541,Cadastro!$B$6:$B$8,0)),""))</f>
        <v/>
      </c>
      <c r="N1541" s="43" t="str">
        <f aca="false">IF(OR($L1541="",$I1541="",$I1541=0),"",$L1541/$I1541)</f>
        <v/>
      </c>
      <c r="O1541" s="51"/>
    </row>
    <row r="1542" customFormat="false" ht="15" hidden="false" customHeight="false" outlineLevel="0" collapsed="false">
      <c r="A1542" s="45"/>
      <c r="B1542" s="37" t="str">
        <f aca="false">IF($A1542="","",WEEKNUM($A1542,2))</f>
        <v/>
      </c>
      <c r="C1542" s="37" t="str">
        <f aca="false">IF($A1542="","",CHOOSE(WEEKDAY($A1542,2),"Seg","Ter","Qua","Qui","Sex","Sáb","Dom"))</f>
        <v/>
      </c>
      <c r="D1542" s="46"/>
      <c r="E1542" s="47"/>
      <c r="F1542" s="47"/>
      <c r="G1542" s="48"/>
      <c r="H1542" s="49"/>
      <c r="I1542" s="50"/>
      <c r="J1542" s="48"/>
      <c r="K1542" s="49"/>
      <c r="L1542" s="50"/>
      <c r="M1542" s="43" t="str">
        <f aca="false">IF(OR($L1542="",$F1542=""),"",IFERROR($L1542/INDEX(Cadastro!$E$6:$E$8,MATCH($F1542,Cadastro!$B$6:$B$8,0)),""))</f>
        <v/>
      </c>
      <c r="N1542" s="43" t="str">
        <f aca="false">IF(OR($L1542="",$I1542="",$I1542=0),"",$L1542/$I1542)</f>
        <v/>
      </c>
      <c r="O1542" s="51"/>
    </row>
    <row r="1543" customFormat="false" ht="15" hidden="false" customHeight="false" outlineLevel="0" collapsed="false">
      <c r="A1543" s="45"/>
      <c r="B1543" s="37" t="str">
        <f aca="false">IF($A1543="","",WEEKNUM($A1543,2))</f>
        <v/>
      </c>
      <c r="C1543" s="37" t="str">
        <f aca="false">IF($A1543="","",CHOOSE(WEEKDAY($A1543,2),"Seg","Ter","Qua","Qui","Sex","Sáb","Dom"))</f>
        <v/>
      </c>
      <c r="D1543" s="46"/>
      <c r="E1543" s="47"/>
      <c r="F1543" s="47"/>
      <c r="G1543" s="48"/>
      <c r="H1543" s="49"/>
      <c r="I1543" s="50"/>
      <c r="J1543" s="48"/>
      <c r="K1543" s="49"/>
      <c r="L1543" s="50"/>
      <c r="M1543" s="43" t="str">
        <f aca="false">IF(OR($L1543="",$F1543=""),"",IFERROR($L1543/INDEX(Cadastro!$E$6:$E$8,MATCH($F1543,Cadastro!$B$6:$B$8,0)),""))</f>
        <v/>
      </c>
      <c r="N1543" s="43" t="str">
        <f aca="false">IF(OR($L1543="",$I1543="",$I1543=0),"",$L1543/$I1543)</f>
        <v/>
      </c>
      <c r="O1543" s="51"/>
    </row>
    <row r="1544" customFormat="false" ht="15" hidden="false" customHeight="false" outlineLevel="0" collapsed="false">
      <c r="A1544" s="45"/>
      <c r="B1544" s="37" t="str">
        <f aca="false">IF($A1544="","",WEEKNUM($A1544,2))</f>
        <v/>
      </c>
      <c r="C1544" s="37" t="str">
        <f aca="false">IF($A1544="","",CHOOSE(WEEKDAY($A1544,2),"Seg","Ter","Qua","Qui","Sex","Sáb","Dom"))</f>
        <v/>
      </c>
      <c r="D1544" s="46"/>
      <c r="E1544" s="47"/>
      <c r="F1544" s="47"/>
      <c r="G1544" s="48"/>
      <c r="H1544" s="49"/>
      <c r="I1544" s="50"/>
      <c r="J1544" s="48"/>
      <c r="K1544" s="49"/>
      <c r="L1544" s="50"/>
      <c r="M1544" s="43" t="str">
        <f aca="false">IF(OR($L1544="",$F1544=""),"",IFERROR($L1544/INDEX(Cadastro!$E$6:$E$8,MATCH($F1544,Cadastro!$B$6:$B$8,0)),""))</f>
        <v/>
      </c>
      <c r="N1544" s="43" t="str">
        <f aca="false">IF(OR($L1544="",$I1544="",$I1544=0),"",$L1544/$I1544)</f>
        <v/>
      </c>
      <c r="O1544" s="51"/>
    </row>
    <row r="1545" customFormat="false" ht="15" hidden="false" customHeight="false" outlineLevel="0" collapsed="false">
      <c r="A1545" s="45"/>
      <c r="B1545" s="37" t="str">
        <f aca="false">IF($A1545="","",WEEKNUM($A1545,2))</f>
        <v/>
      </c>
      <c r="C1545" s="37" t="str">
        <f aca="false">IF($A1545="","",CHOOSE(WEEKDAY($A1545,2),"Seg","Ter","Qua","Qui","Sex","Sáb","Dom"))</f>
        <v/>
      </c>
      <c r="D1545" s="46"/>
      <c r="E1545" s="47"/>
      <c r="F1545" s="47"/>
      <c r="G1545" s="48"/>
      <c r="H1545" s="49"/>
      <c r="I1545" s="50"/>
      <c r="J1545" s="48"/>
      <c r="K1545" s="49"/>
      <c r="L1545" s="50"/>
      <c r="M1545" s="43" t="str">
        <f aca="false">IF(OR($L1545="",$F1545=""),"",IFERROR($L1545/INDEX(Cadastro!$E$6:$E$8,MATCH($F1545,Cadastro!$B$6:$B$8,0)),""))</f>
        <v/>
      </c>
      <c r="N1545" s="43" t="str">
        <f aca="false">IF(OR($L1545="",$I1545="",$I1545=0),"",$L1545/$I1545)</f>
        <v/>
      </c>
      <c r="O1545" s="51"/>
    </row>
    <row r="1546" customFormat="false" ht="15" hidden="false" customHeight="false" outlineLevel="0" collapsed="false">
      <c r="A1546" s="45"/>
      <c r="B1546" s="37" t="str">
        <f aca="false">IF($A1546="","",WEEKNUM($A1546,2))</f>
        <v/>
      </c>
      <c r="C1546" s="37" t="str">
        <f aca="false">IF($A1546="","",CHOOSE(WEEKDAY($A1546,2),"Seg","Ter","Qua","Qui","Sex","Sáb","Dom"))</f>
        <v/>
      </c>
      <c r="D1546" s="46"/>
      <c r="E1546" s="47"/>
      <c r="F1546" s="47"/>
      <c r="G1546" s="48"/>
      <c r="H1546" s="49"/>
      <c r="I1546" s="50"/>
      <c r="J1546" s="48"/>
      <c r="K1546" s="49"/>
      <c r="L1546" s="50"/>
      <c r="M1546" s="43" t="str">
        <f aca="false">IF(OR($L1546="",$F1546=""),"",IFERROR($L1546/INDEX(Cadastro!$E$6:$E$8,MATCH($F1546,Cadastro!$B$6:$B$8,0)),""))</f>
        <v/>
      </c>
      <c r="N1546" s="43" t="str">
        <f aca="false">IF(OR($L1546="",$I1546="",$I1546=0),"",$L1546/$I1546)</f>
        <v/>
      </c>
      <c r="O1546" s="51"/>
    </row>
    <row r="1547" customFormat="false" ht="15" hidden="false" customHeight="false" outlineLevel="0" collapsed="false">
      <c r="A1547" s="45"/>
      <c r="B1547" s="37" t="str">
        <f aca="false">IF($A1547="","",WEEKNUM($A1547,2))</f>
        <v/>
      </c>
      <c r="C1547" s="37" t="str">
        <f aca="false">IF($A1547="","",CHOOSE(WEEKDAY($A1547,2),"Seg","Ter","Qua","Qui","Sex","Sáb","Dom"))</f>
        <v/>
      </c>
      <c r="D1547" s="46"/>
      <c r="E1547" s="47"/>
      <c r="F1547" s="47"/>
      <c r="G1547" s="48"/>
      <c r="H1547" s="49"/>
      <c r="I1547" s="50"/>
      <c r="J1547" s="48"/>
      <c r="K1547" s="49"/>
      <c r="L1547" s="50"/>
      <c r="M1547" s="43" t="str">
        <f aca="false">IF(OR($L1547="",$F1547=""),"",IFERROR($L1547/INDEX(Cadastro!$E$6:$E$8,MATCH($F1547,Cadastro!$B$6:$B$8,0)),""))</f>
        <v/>
      </c>
      <c r="N1547" s="43" t="str">
        <f aca="false">IF(OR($L1547="",$I1547="",$I1547=0),"",$L1547/$I1547)</f>
        <v/>
      </c>
      <c r="O1547" s="51"/>
    </row>
    <row r="1548" customFormat="false" ht="15" hidden="false" customHeight="false" outlineLevel="0" collapsed="false">
      <c r="A1548" s="45"/>
      <c r="B1548" s="37" t="str">
        <f aca="false">IF($A1548="","",WEEKNUM($A1548,2))</f>
        <v/>
      </c>
      <c r="C1548" s="37" t="str">
        <f aca="false">IF($A1548="","",CHOOSE(WEEKDAY($A1548,2),"Seg","Ter","Qua","Qui","Sex","Sáb","Dom"))</f>
        <v/>
      </c>
      <c r="D1548" s="46"/>
      <c r="E1548" s="47"/>
      <c r="F1548" s="47"/>
      <c r="G1548" s="48"/>
      <c r="H1548" s="49"/>
      <c r="I1548" s="50"/>
      <c r="J1548" s="48"/>
      <c r="K1548" s="49"/>
      <c r="L1548" s="50"/>
      <c r="M1548" s="43" t="str">
        <f aca="false">IF(OR($L1548="",$F1548=""),"",IFERROR($L1548/INDEX(Cadastro!$E$6:$E$8,MATCH($F1548,Cadastro!$B$6:$B$8,0)),""))</f>
        <v/>
      </c>
      <c r="N1548" s="43" t="str">
        <f aca="false">IF(OR($L1548="",$I1548="",$I1548=0),"",$L1548/$I1548)</f>
        <v/>
      </c>
      <c r="O1548" s="51"/>
    </row>
    <row r="1549" customFormat="false" ht="15" hidden="false" customHeight="false" outlineLevel="0" collapsed="false">
      <c r="A1549" s="45"/>
      <c r="B1549" s="37" t="str">
        <f aca="false">IF($A1549="","",WEEKNUM($A1549,2))</f>
        <v/>
      </c>
      <c r="C1549" s="37" t="str">
        <f aca="false">IF($A1549="","",CHOOSE(WEEKDAY($A1549,2),"Seg","Ter","Qua","Qui","Sex","Sáb","Dom"))</f>
        <v/>
      </c>
      <c r="D1549" s="46"/>
      <c r="E1549" s="47"/>
      <c r="F1549" s="47"/>
      <c r="G1549" s="48"/>
      <c r="H1549" s="49"/>
      <c r="I1549" s="50"/>
      <c r="J1549" s="48"/>
      <c r="K1549" s="49"/>
      <c r="L1549" s="50"/>
      <c r="M1549" s="43" t="str">
        <f aca="false">IF(OR($L1549="",$F1549=""),"",IFERROR($L1549/INDEX(Cadastro!$E$6:$E$8,MATCH($F1549,Cadastro!$B$6:$B$8,0)),""))</f>
        <v/>
      </c>
      <c r="N1549" s="43" t="str">
        <f aca="false">IF(OR($L1549="",$I1549="",$I1549=0),"",$L1549/$I1549)</f>
        <v/>
      </c>
      <c r="O1549" s="51"/>
    </row>
    <row r="1550" customFormat="false" ht="15" hidden="false" customHeight="false" outlineLevel="0" collapsed="false">
      <c r="A1550" s="45"/>
      <c r="B1550" s="37" t="str">
        <f aca="false">IF($A1550="","",WEEKNUM($A1550,2))</f>
        <v/>
      </c>
      <c r="C1550" s="37" t="str">
        <f aca="false">IF($A1550="","",CHOOSE(WEEKDAY($A1550,2),"Seg","Ter","Qua","Qui","Sex","Sáb","Dom"))</f>
        <v/>
      </c>
      <c r="D1550" s="46"/>
      <c r="E1550" s="47"/>
      <c r="F1550" s="47"/>
      <c r="G1550" s="48"/>
      <c r="H1550" s="49"/>
      <c r="I1550" s="50"/>
      <c r="J1550" s="48"/>
      <c r="K1550" s="49"/>
      <c r="L1550" s="50"/>
      <c r="M1550" s="43" t="str">
        <f aca="false">IF(OR($L1550="",$F1550=""),"",IFERROR($L1550/INDEX(Cadastro!$E$6:$E$8,MATCH($F1550,Cadastro!$B$6:$B$8,0)),""))</f>
        <v/>
      </c>
      <c r="N1550" s="43" t="str">
        <f aca="false">IF(OR($L1550="",$I1550="",$I1550=0),"",$L1550/$I1550)</f>
        <v/>
      </c>
      <c r="O1550" s="51"/>
    </row>
    <row r="1551" customFormat="false" ht="15" hidden="false" customHeight="false" outlineLevel="0" collapsed="false">
      <c r="A1551" s="45"/>
      <c r="B1551" s="37" t="str">
        <f aca="false">IF($A1551="","",WEEKNUM($A1551,2))</f>
        <v/>
      </c>
      <c r="C1551" s="37" t="str">
        <f aca="false">IF($A1551="","",CHOOSE(WEEKDAY($A1551,2),"Seg","Ter","Qua","Qui","Sex","Sáb","Dom"))</f>
        <v/>
      </c>
      <c r="D1551" s="46"/>
      <c r="E1551" s="47"/>
      <c r="F1551" s="47"/>
      <c r="G1551" s="48"/>
      <c r="H1551" s="49"/>
      <c r="I1551" s="50"/>
      <c r="J1551" s="48"/>
      <c r="K1551" s="49"/>
      <c r="L1551" s="50"/>
      <c r="M1551" s="43" t="str">
        <f aca="false">IF(OR($L1551="",$F1551=""),"",IFERROR($L1551/INDEX(Cadastro!$E$6:$E$8,MATCH($F1551,Cadastro!$B$6:$B$8,0)),""))</f>
        <v/>
      </c>
      <c r="N1551" s="43" t="str">
        <f aca="false">IF(OR($L1551="",$I1551="",$I1551=0),"",$L1551/$I1551)</f>
        <v/>
      </c>
      <c r="O1551" s="51"/>
    </row>
    <row r="1552" customFormat="false" ht="15" hidden="false" customHeight="false" outlineLevel="0" collapsed="false">
      <c r="A1552" s="45"/>
      <c r="B1552" s="37" t="str">
        <f aca="false">IF($A1552="","",WEEKNUM($A1552,2))</f>
        <v/>
      </c>
      <c r="C1552" s="37" t="str">
        <f aca="false">IF($A1552="","",CHOOSE(WEEKDAY($A1552,2),"Seg","Ter","Qua","Qui","Sex","Sáb","Dom"))</f>
        <v/>
      </c>
      <c r="D1552" s="46"/>
      <c r="E1552" s="47"/>
      <c r="F1552" s="47"/>
      <c r="G1552" s="48"/>
      <c r="H1552" s="49"/>
      <c r="I1552" s="50"/>
      <c r="J1552" s="48"/>
      <c r="K1552" s="49"/>
      <c r="L1552" s="50"/>
      <c r="M1552" s="43" t="str">
        <f aca="false">IF(OR($L1552="",$F1552=""),"",IFERROR($L1552/INDEX(Cadastro!$E$6:$E$8,MATCH($F1552,Cadastro!$B$6:$B$8,0)),""))</f>
        <v/>
      </c>
      <c r="N1552" s="43" t="str">
        <f aca="false">IF(OR($L1552="",$I1552="",$I1552=0),"",$L1552/$I1552)</f>
        <v/>
      </c>
      <c r="O1552" s="51"/>
    </row>
    <row r="1553" customFormat="false" ht="15" hidden="false" customHeight="false" outlineLevel="0" collapsed="false">
      <c r="A1553" s="45"/>
      <c r="B1553" s="37" t="str">
        <f aca="false">IF($A1553="","",WEEKNUM($A1553,2))</f>
        <v/>
      </c>
      <c r="C1553" s="37" t="str">
        <f aca="false">IF($A1553="","",CHOOSE(WEEKDAY($A1553,2),"Seg","Ter","Qua","Qui","Sex","Sáb","Dom"))</f>
        <v/>
      </c>
      <c r="D1553" s="46"/>
      <c r="E1553" s="47"/>
      <c r="F1553" s="47"/>
      <c r="G1553" s="48"/>
      <c r="H1553" s="49"/>
      <c r="I1553" s="50"/>
      <c r="J1553" s="48"/>
      <c r="K1553" s="49"/>
      <c r="L1553" s="50"/>
      <c r="M1553" s="43" t="str">
        <f aca="false">IF(OR($L1553="",$F1553=""),"",IFERROR($L1553/INDEX(Cadastro!$E$6:$E$8,MATCH($F1553,Cadastro!$B$6:$B$8,0)),""))</f>
        <v/>
      </c>
      <c r="N1553" s="43" t="str">
        <f aca="false">IF(OR($L1553="",$I1553="",$I1553=0),"",$L1553/$I1553)</f>
        <v/>
      </c>
      <c r="O1553" s="51"/>
    </row>
    <row r="1554" customFormat="false" ht="15" hidden="false" customHeight="false" outlineLevel="0" collapsed="false">
      <c r="A1554" s="45"/>
      <c r="B1554" s="37" t="str">
        <f aca="false">IF($A1554="","",WEEKNUM($A1554,2))</f>
        <v/>
      </c>
      <c r="C1554" s="37" t="str">
        <f aca="false">IF($A1554="","",CHOOSE(WEEKDAY($A1554,2),"Seg","Ter","Qua","Qui","Sex","Sáb","Dom"))</f>
        <v/>
      </c>
      <c r="D1554" s="46"/>
      <c r="E1554" s="47"/>
      <c r="F1554" s="47"/>
      <c r="G1554" s="48"/>
      <c r="H1554" s="49"/>
      <c r="I1554" s="50"/>
      <c r="J1554" s="48"/>
      <c r="K1554" s="49"/>
      <c r="L1554" s="50"/>
      <c r="M1554" s="43" t="str">
        <f aca="false">IF(OR($L1554="",$F1554=""),"",IFERROR($L1554/INDEX(Cadastro!$E$6:$E$8,MATCH($F1554,Cadastro!$B$6:$B$8,0)),""))</f>
        <v/>
      </c>
      <c r="N1554" s="43" t="str">
        <f aca="false">IF(OR($L1554="",$I1554="",$I1554=0),"",$L1554/$I1554)</f>
        <v/>
      </c>
      <c r="O1554" s="51"/>
    </row>
    <row r="1555" customFormat="false" ht="15" hidden="false" customHeight="false" outlineLevel="0" collapsed="false">
      <c r="A1555" s="45"/>
      <c r="B1555" s="37" t="str">
        <f aca="false">IF($A1555="","",WEEKNUM($A1555,2))</f>
        <v/>
      </c>
      <c r="C1555" s="37" t="str">
        <f aca="false">IF($A1555="","",CHOOSE(WEEKDAY($A1555,2),"Seg","Ter","Qua","Qui","Sex","Sáb","Dom"))</f>
        <v/>
      </c>
      <c r="D1555" s="46"/>
      <c r="E1555" s="47"/>
      <c r="F1555" s="47"/>
      <c r="G1555" s="48"/>
      <c r="H1555" s="49"/>
      <c r="I1555" s="50"/>
      <c r="J1555" s="48"/>
      <c r="K1555" s="49"/>
      <c r="L1555" s="50"/>
      <c r="M1555" s="43" t="str">
        <f aca="false">IF(OR($L1555="",$F1555=""),"",IFERROR($L1555/INDEX(Cadastro!$E$6:$E$8,MATCH($F1555,Cadastro!$B$6:$B$8,0)),""))</f>
        <v/>
      </c>
      <c r="N1555" s="43" t="str">
        <f aca="false">IF(OR($L1555="",$I1555="",$I1555=0),"",$L1555/$I1555)</f>
        <v/>
      </c>
      <c r="O1555" s="51"/>
    </row>
    <row r="1556" customFormat="false" ht="15" hidden="false" customHeight="false" outlineLevel="0" collapsed="false">
      <c r="A1556" s="45"/>
      <c r="B1556" s="37" t="str">
        <f aca="false">IF($A1556="","",WEEKNUM($A1556,2))</f>
        <v/>
      </c>
      <c r="C1556" s="37" t="str">
        <f aca="false">IF($A1556="","",CHOOSE(WEEKDAY($A1556,2),"Seg","Ter","Qua","Qui","Sex","Sáb","Dom"))</f>
        <v/>
      </c>
      <c r="D1556" s="46"/>
      <c r="E1556" s="47"/>
      <c r="F1556" s="47"/>
      <c r="G1556" s="48"/>
      <c r="H1556" s="49"/>
      <c r="I1556" s="50"/>
      <c r="J1556" s="48"/>
      <c r="K1556" s="49"/>
      <c r="L1556" s="50"/>
      <c r="M1556" s="43" t="str">
        <f aca="false">IF(OR($L1556="",$F1556=""),"",IFERROR($L1556/INDEX(Cadastro!$E$6:$E$8,MATCH($F1556,Cadastro!$B$6:$B$8,0)),""))</f>
        <v/>
      </c>
      <c r="N1556" s="43" t="str">
        <f aca="false">IF(OR($L1556="",$I1556="",$I1556=0),"",$L1556/$I1556)</f>
        <v/>
      </c>
      <c r="O1556" s="51"/>
    </row>
    <row r="1557" customFormat="false" ht="15" hidden="false" customHeight="false" outlineLevel="0" collapsed="false">
      <c r="A1557" s="45"/>
      <c r="B1557" s="37" t="str">
        <f aca="false">IF($A1557="","",WEEKNUM($A1557,2))</f>
        <v/>
      </c>
      <c r="C1557" s="37" t="str">
        <f aca="false">IF($A1557="","",CHOOSE(WEEKDAY($A1557,2),"Seg","Ter","Qua","Qui","Sex","Sáb","Dom"))</f>
        <v/>
      </c>
      <c r="D1557" s="46"/>
      <c r="E1557" s="47"/>
      <c r="F1557" s="47"/>
      <c r="G1557" s="48"/>
      <c r="H1557" s="49"/>
      <c r="I1557" s="50"/>
      <c r="J1557" s="48"/>
      <c r="K1557" s="49"/>
      <c r="L1557" s="50"/>
      <c r="M1557" s="43" t="str">
        <f aca="false">IF(OR($L1557="",$F1557=""),"",IFERROR($L1557/INDEX(Cadastro!$E$6:$E$8,MATCH($F1557,Cadastro!$B$6:$B$8,0)),""))</f>
        <v/>
      </c>
      <c r="N1557" s="43" t="str">
        <f aca="false">IF(OR($L1557="",$I1557="",$I1557=0),"",$L1557/$I1557)</f>
        <v/>
      </c>
      <c r="O1557" s="51"/>
    </row>
    <row r="1558" customFormat="false" ht="15" hidden="false" customHeight="false" outlineLevel="0" collapsed="false">
      <c r="A1558" s="45"/>
      <c r="B1558" s="37" t="str">
        <f aca="false">IF($A1558="","",WEEKNUM($A1558,2))</f>
        <v/>
      </c>
      <c r="C1558" s="37" t="str">
        <f aca="false">IF($A1558="","",CHOOSE(WEEKDAY($A1558,2),"Seg","Ter","Qua","Qui","Sex","Sáb","Dom"))</f>
        <v/>
      </c>
      <c r="D1558" s="46"/>
      <c r="E1558" s="47"/>
      <c r="F1558" s="47"/>
      <c r="G1558" s="48"/>
      <c r="H1558" s="49"/>
      <c r="I1558" s="50"/>
      <c r="J1558" s="48"/>
      <c r="K1558" s="49"/>
      <c r="L1558" s="50"/>
      <c r="M1558" s="43" t="str">
        <f aca="false">IF(OR($L1558="",$F1558=""),"",IFERROR($L1558/INDEX(Cadastro!$E$6:$E$8,MATCH($F1558,Cadastro!$B$6:$B$8,0)),""))</f>
        <v/>
      </c>
      <c r="N1558" s="43" t="str">
        <f aca="false">IF(OR($L1558="",$I1558="",$I1558=0),"",$L1558/$I1558)</f>
        <v/>
      </c>
      <c r="O1558" s="51"/>
    </row>
    <row r="1559" customFormat="false" ht="15" hidden="false" customHeight="false" outlineLevel="0" collapsed="false">
      <c r="A1559" s="45"/>
      <c r="B1559" s="37" t="str">
        <f aca="false">IF($A1559="","",WEEKNUM($A1559,2))</f>
        <v/>
      </c>
      <c r="C1559" s="37" t="str">
        <f aca="false">IF($A1559="","",CHOOSE(WEEKDAY($A1559,2),"Seg","Ter","Qua","Qui","Sex","Sáb","Dom"))</f>
        <v/>
      </c>
      <c r="D1559" s="46"/>
      <c r="E1559" s="47"/>
      <c r="F1559" s="47"/>
      <c r="G1559" s="48"/>
      <c r="H1559" s="49"/>
      <c r="I1559" s="50"/>
      <c r="J1559" s="48"/>
      <c r="K1559" s="49"/>
      <c r="L1559" s="50"/>
      <c r="M1559" s="43" t="str">
        <f aca="false">IF(OR($L1559="",$F1559=""),"",IFERROR($L1559/INDEX(Cadastro!$E$6:$E$8,MATCH($F1559,Cadastro!$B$6:$B$8,0)),""))</f>
        <v/>
      </c>
      <c r="N1559" s="43" t="str">
        <f aca="false">IF(OR($L1559="",$I1559="",$I1559=0),"",$L1559/$I1559)</f>
        <v/>
      </c>
      <c r="O1559" s="51"/>
    </row>
    <row r="1560" customFormat="false" ht="15" hidden="false" customHeight="false" outlineLevel="0" collapsed="false">
      <c r="A1560" s="45"/>
      <c r="B1560" s="37" t="str">
        <f aca="false">IF($A1560="","",WEEKNUM($A1560,2))</f>
        <v/>
      </c>
      <c r="C1560" s="37" t="str">
        <f aca="false">IF($A1560="","",CHOOSE(WEEKDAY($A1560,2),"Seg","Ter","Qua","Qui","Sex","Sáb","Dom"))</f>
        <v/>
      </c>
      <c r="D1560" s="46"/>
      <c r="E1560" s="47"/>
      <c r="F1560" s="47"/>
      <c r="G1560" s="48"/>
      <c r="H1560" s="49"/>
      <c r="I1560" s="50"/>
      <c r="J1560" s="48"/>
      <c r="K1560" s="49"/>
      <c r="L1560" s="50"/>
      <c r="M1560" s="43" t="str">
        <f aca="false">IF(OR($L1560="",$F1560=""),"",IFERROR($L1560/INDEX(Cadastro!$E$6:$E$8,MATCH($F1560,Cadastro!$B$6:$B$8,0)),""))</f>
        <v/>
      </c>
      <c r="N1560" s="43" t="str">
        <f aca="false">IF(OR($L1560="",$I1560="",$I1560=0),"",$L1560/$I1560)</f>
        <v/>
      </c>
      <c r="O1560" s="51"/>
    </row>
    <row r="1561" customFormat="false" ht="15" hidden="false" customHeight="false" outlineLevel="0" collapsed="false">
      <c r="A1561" s="45"/>
      <c r="B1561" s="37" t="str">
        <f aca="false">IF($A1561="","",WEEKNUM($A1561,2))</f>
        <v/>
      </c>
      <c r="C1561" s="37" t="str">
        <f aca="false">IF($A1561="","",CHOOSE(WEEKDAY($A1561,2),"Seg","Ter","Qua","Qui","Sex","Sáb","Dom"))</f>
        <v/>
      </c>
      <c r="D1561" s="46"/>
      <c r="E1561" s="47"/>
      <c r="F1561" s="47"/>
      <c r="G1561" s="48"/>
      <c r="H1561" s="49"/>
      <c r="I1561" s="50"/>
      <c r="J1561" s="48"/>
      <c r="K1561" s="49"/>
      <c r="L1561" s="50"/>
      <c r="M1561" s="43" t="str">
        <f aca="false">IF(OR($L1561="",$F1561=""),"",IFERROR($L1561/INDEX(Cadastro!$E$6:$E$8,MATCH($F1561,Cadastro!$B$6:$B$8,0)),""))</f>
        <v/>
      </c>
      <c r="N1561" s="43" t="str">
        <f aca="false">IF(OR($L1561="",$I1561="",$I1561=0),"",$L1561/$I1561)</f>
        <v/>
      </c>
      <c r="O1561" s="51"/>
    </row>
    <row r="1562" customFormat="false" ht="15" hidden="false" customHeight="false" outlineLevel="0" collapsed="false">
      <c r="A1562" s="45"/>
      <c r="B1562" s="37" t="str">
        <f aca="false">IF($A1562="","",WEEKNUM($A1562,2))</f>
        <v/>
      </c>
      <c r="C1562" s="37" t="str">
        <f aca="false">IF($A1562="","",CHOOSE(WEEKDAY($A1562,2),"Seg","Ter","Qua","Qui","Sex","Sáb","Dom"))</f>
        <v/>
      </c>
      <c r="D1562" s="46"/>
      <c r="E1562" s="47"/>
      <c r="F1562" s="47"/>
      <c r="G1562" s="48"/>
      <c r="H1562" s="49"/>
      <c r="I1562" s="50"/>
      <c r="J1562" s="48"/>
      <c r="K1562" s="49"/>
      <c r="L1562" s="50"/>
      <c r="M1562" s="43" t="str">
        <f aca="false">IF(OR($L1562="",$F1562=""),"",IFERROR($L1562/INDEX(Cadastro!$E$6:$E$8,MATCH($F1562,Cadastro!$B$6:$B$8,0)),""))</f>
        <v/>
      </c>
      <c r="N1562" s="43" t="str">
        <f aca="false">IF(OR($L1562="",$I1562="",$I1562=0),"",$L1562/$I1562)</f>
        <v/>
      </c>
      <c r="O1562" s="51"/>
    </row>
    <row r="1563" customFormat="false" ht="15" hidden="false" customHeight="false" outlineLevel="0" collapsed="false">
      <c r="A1563" s="45"/>
      <c r="B1563" s="37" t="str">
        <f aca="false">IF($A1563="","",WEEKNUM($A1563,2))</f>
        <v/>
      </c>
      <c r="C1563" s="37" t="str">
        <f aca="false">IF($A1563="","",CHOOSE(WEEKDAY($A1563,2),"Seg","Ter","Qua","Qui","Sex","Sáb","Dom"))</f>
        <v/>
      </c>
      <c r="D1563" s="46"/>
      <c r="E1563" s="47"/>
      <c r="F1563" s="47"/>
      <c r="G1563" s="48"/>
      <c r="H1563" s="49"/>
      <c r="I1563" s="50"/>
      <c r="J1563" s="48"/>
      <c r="K1563" s="49"/>
      <c r="L1563" s="50"/>
      <c r="M1563" s="43" t="str">
        <f aca="false">IF(OR($L1563="",$F1563=""),"",IFERROR($L1563/INDEX(Cadastro!$E$6:$E$8,MATCH($F1563,Cadastro!$B$6:$B$8,0)),""))</f>
        <v/>
      </c>
      <c r="N1563" s="43" t="str">
        <f aca="false">IF(OR($L1563="",$I1563="",$I1563=0),"",$L1563/$I1563)</f>
        <v/>
      </c>
      <c r="O1563" s="51"/>
    </row>
    <row r="1564" customFormat="false" ht="15" hidden="false" customHeight="false" outlineLevel="0" collapsed="false">
      <c r="A1564" s="45"/>
      <c r="B1564" s="37" t="str">
        <f aca="false">IF($A1564="","",WEEKNUM($A1564,2))</f>
        <v/>
      </c>
      <c r="C1564" s="37" t="str">
        <f aca="false">IF($A1564="","",CHOOSE(WEEKDAY($A1564,2),"Seg","Ter","Qua","Qui","Sex","Sáb","Dom"))</f>
        <v/>
      </c>
      <c r="D1564" s="46"/>
      <c r="E1564" s="47"/>
      <c r="F1564" s="47"/>
      <c r="G1564" s="48"/>
      <c r="H1564" s="49"/>
      <c r="I1564" s="50"/>
      <c r="J1564" s="48"/>
      <c r="K1564" s="49"/>
      <c r="L1564" s="50"/>
      <c r="M1564" s="43" t="str">
        <f aca="false">IF(OR($L1564="",$F1564=""),"",IFERROR($L1564/INDEX(Cadastro!$E$6:$E$8,MATCH($F1564,Cadastro!$B$6:$B$8,0)),""))</f>
        <v/>
      </c>
      <c r="N1564" s="43" t="str">
        <f aca="false">IF(OR($L1564="",$I1564="",$I1564=0),"",$L1564/$I1564)</f>
        <v/>
      </c>
      <c r="O1564" s="51"/>
    </row>
    <row r="1565" customFormat="false" ht="15" hidden="false" customHeight="false" outlineLevel="0" collapsed="false">
      <c r="A1565" s="45"/>
      <c r="B1565" s="37" t="str">
        <f aca="false">IF($A1565="","",WEEKNUM($A1565,2))</f>
        <v/>
      </c>
      <c r="C1565" s="37" t="str">
        <f aca="false">IF($A1565="","",CHOOSE(WEEKDAY($A1565,2),"Seg","Ter","Qua","Qui","Sex","Sáb","Dom"))</f>
        <v/>
      </c>
      <c r="D1565" s="46"/>
      <c r="E1565" s="47"/>
      <c r="F1565" s="47"/>
      <c r="G1565" s="48"/>
      <c r="H1565" s="49"/>
      <c r="I1565" s="50"/>
      <c r="J1565" s="48"/>
      <c r="K1565" s="49"/>
      <c r="L1565" s="50"/>
      <c r="M1565" s="43" t="str">
        <f aca="false">IF(OR($L1565="",$F1565=""),"",IFERROR($L1565/INDEX(Cadastro!$E$6:$E$8,MATCH($F1565,Cadastro!$B$6:$B$8,0)),""))</f>
        <v/>
      </c>
      <c r="N1565" s="43" t="str">
        <f aca="false">IF(OR($L1565="",$I1565="",$I1565=0),"",$L1565/$I1565)</f>
        <v/>
      </c>
      <c r="O1565" s="51"/>
    </row>
    <row r="1566" customFormat="false" ht="15" hidden="false" customHeight="false" outlineLevel="0" collapsed="false">
      <c r="A1566" s="45"/>
      <c r="B1566" s="37" t="str">
        <f aca="false">IF($A1566="","",WEEKNUM($A1566,2))</f>
        <v/>
      </c>
      <c r="C1566" s="37" t="str">
        <f aca="false">IF($A1566="","",CHOOSE(WEEKDAY($A1566,2),"Seg","Ter","Qua","Qui","Sex","Sáb","Dom"))</f>
        <v/>
      </c>
      <c r="D1566" s="46"/>
      <c r="E1566" s="47"/>
      <c r="F1566" s="47"/>
      <c r="G1566" s="48"/>
      <c r="H1566" s="49"/>
      <c r="I1566" s="50"/>
      <c r="J1566" s="48"/>
      <c r="K1566" s="49"/>
      <c r="L1566" s="50"/>
      <c r="M1566" s="43" t="str">
        <f aca="false">IF(OR($L1566="",$F1566=""),"",IFERROR($L1566/INDEX(Cadastro!$E$6:$E$8,MATCH($F1566,Cadastro!$B$6:$B$8,0)),""))</f>
        <v/>
      </c>
      <c r="N1566" s="43" t="str">
        <f aca="false">IF(OR($L1566="",$I1566="",$I1566=0),"",$L1566/$I1566)</f>
        <v/>
      </c>
      <c r="O1566" s="51"/>
    </row>
    <row r="1567" customFormat="false" ht="15" hidden="false" customHeight="false" outlineLevel="0" collapsed="false">
      <c r="A1567" s="45"/>
      <c r="B1567" s="37" t="str">
        <f aca="false">IF($A1567="","",WEEKNUM($A1567,2))</f>
        <v/>
      </c>
      <c r="C1567" s="37" t="str">
        <f aca="false">IF($A1567="","",CHOOSE(WEEKDAY($A1567,2),"Seg","Ter","Qua","Qui","Sex","Sáb","Dom"))</f>
        <v/>
      </c>
      <c r="D1567" s="46"/>
      <c r="E1567" s="47"/>
      <c r="F1567" s="47"/>
      <c r="G1567" s="48"/>
      <c r="H1567" s="49"/>
      <c r="I1567" s="50"/>
      <c r="J1567" s="48"/>
      <c r="K1567" s="49"/>
      <c r="L1567" s="50"/>
      <c r="M1567" s="43" t="str">
        <f aca="false">IF(OR($L1567="",$F1567=""),"",IFERROR($L1567/INDEX(Cadastro!$E$6:$E$8,MATCH($F1567,Cadastro!$B$6:$B$8,0)),""))</f>
        <v/>
      </c>
      <c r="N1567" s="43" t="str">
        <f aca="false">IF(OR($L1567="",$I1567="",$I1567=0),"",$L1567/$I1567)</f>
        <v/>
      </c>
      <c r="O1567" s="51"/>
    </row>
    <row r="1568" customFormat="false" ht="15" hidden="false" customHeight="false" outlineLevel="0" collapsed="false">
      <c r="A1568" s="45"/>
      <c r="B1568" s="37" t="str">
        <f aca="false">IF($A1568="","",WEEKNUM($A1568,2))</f>
        <v/>
      </c>
      <c r="C1568" s="37" t="str">
        <f aca="false">IF($A1568="","",CHOOSE(WEEKDAY($A1568,2),"Seg","Ter","Qua","Qui","Sex","Sáb","Dom"))</f>
        <v/>
      </c>
      <c r="D1568" s="46"/>
      <c r="E1568" s="47"/>
      <c r="F1568" s="47"/>
      <c r="G1568" s="48"/>
      <c r="H1568" s="49"/>
      <c r="I1568" s="50"/>
      <c r="J1568" s="48"/>
      <c r="K1568" s="49"/>
      <c r="L1568" s="50"/>
      <c r="M1568" s="43" t="str">
        <f aca="false">IF(OR($L1568="",$F1568=""),"",IFERROR($L1568/INDEX(Cadastro!$E$6:$E$8,MATCH($F1568,Cadastro!$B$6:$B$8,0)),""))</f>
        <v/>
      </c>
      <c r="N1568" s="43" t="str">
        <f aca="false">IF(OR($L1568="",$I1568="",$I1568=0),"",$L1568/$I1568)</f>
        <v/>
      </c>
      <c r="O1568" s="51"/>
    </row>
    <row r="1569" customFormat="false" ht="15" hidden="false" customHeight="false" outlineLevel="0" collapsed="false">
      <c r="A1569" s="45"/>
      <c r="B1569" s="37" t="str">
        <f aca="false">IF($A1569="","",WEEKNUM($A1569,2))</f>
        <v/>
      </c>
      <c r="C1569" s="37" t="str">
        <f aca="false">IF($A1569="","",CHOOSE(WEEKDAY($A1569,2),"Seg","Ter","Qua","Qui","Sex","Sáb","Dom"))</f>
        <v/>
      </c>
      <c r="D1569" s="46"/>
      <c r="E1569" s="47"/>
      <c r="F1569" s="47"/>
      <c r="G1569" s="48"/>
      <c r="H1569" s="49"/>
      <c r="I1569" s="50"/>
      <c r="J1569" s="48"/>
      <c r="K1569" s="49"/>
      <c r="L1569" s="50"/>
      <c r="M1569" s="43" t="str">
        <f aca="false">IF(OR($L1569="",$F1569=""),"",IFERROR($L1569/INDEX(Cadastro!$E$6:$E$8,MATCH($F1569,Cadastro!$B$6:$B$8,0)),""))</f>
        <v/>
      </c>
      <c r="N1569" s="43" t="str">
        <f aca="false">IF(OR($L1569="",$I1569="",$I1569=0),"",$L1569/$I1569)</f>
        <v/>
      </c>
      <c r="O1569" s="51"/>
    </row>
    <row r="1570" customFormat="false" ht="15" hidden="false" customHeight="false" outlineLevel="0" collapsed="false">
      <c r="A1570" s="45"/>
      <c r="B1570" s="37" t="str">
        <f aca="false">IF($A1570="","",WEEKNUM($A1570,2))</f>
        <v/>
      </c>
      <c r="C1570" s="37" t="str">
        <f aca="false">IF($A1570="","",CHOOSE(WEEKDAY($A1570,2),"Seg","Ter","Qua","Qui","Sex","Sáb","Dom"))</f>
        <v/>
      </c>
      <c r="D1570" s="46"/>
      <c r="E1570" s="47"/>
      <c r="F1570" s="47"/>
      <c r="G1570" s="48"/>
      <c r="H1570" s="49"/>
      <c r="I1570" s="50"/>
      <c r="J1570" s="48"/>
      <c r="K1570" s="49"/>
      <c r="L1570" s="50"/>
      <c r="M1570" s="43" t="str">
        <f aca="false">IF(OR($L1570="",$F1570=""),"",IFERROR($L1570/INDEX(Cadastro!$E$6:$E$8,MATCH($F1570,Cadastro!$B$6:$B$8,0)),""))</f>
        <v/>
      </c>
      <c r="N1570" s="43" t="str">
        <f aca="false">IF(OR($L1570="",$I1570="",$I1570=0),"",$L1570/$I1570)</f>
        <v/>
      </c>
      <c r="O1570" s="51"/>
    </row>
    <row r="1571" customFormat="false" ht="15" hidden="false" customHeight="false" outlineLevel="0" collapsed="false">
      <c r="A1571" s="45"/>
      <c r="B1571" s="37" t="str">
        <f aca="false">IF($A1571="","",WEEKNUM($A1571,2))</f>
        <v/>
      </c>
      <c r="C1571" s="37" t="str">
        <f aca="false">IF($A1571="","",CHOOSE(WEEKDAY($A1571,2),"Seg","Ter","Qua","Qui","Sex","Sáb","Dom"))</f>
        <v/>
      </c>
      <c r="D1571" s="46"/>
      <c r="E1571" s="47"/>
      <c r="F1571" s="47"/>
      <c r="G1571" s="48"/>
      <c r="H1571" s="49"/>
      <c r="I1571" s="50"/>
      <c r="J1571" s="48"/>
      <c r="K1571" s="49"/>
      <c r="L1571" s="50"/>
      <c r="M1571" s="43" t="str">
        <f aca="false">IF(OR($L1571="",$F1571=""),"",IFERROR($L1571/INDEX(Cadastro!$E$6:$E$8,MATCH($F1571,Cadastro!$B$6:$B$8,0)),""))</f>
        <v/>
      </c>
      <c r="N1571" s="43" t="str">
        <f aca="false">IF(OR($L1571="",$I1571="",$I1571=0),"",$L1571/$I1571)</f>
        <v/>
      </c>
      <c r="O1571" s="51"/>
    </row>
    <row r="1572" customFormat="false" ht="15" hidden="false" customHeight="false" outlineLevel="0" collapsed="false">
      <c r="A1572" s="45"/>
      <c r="B1572" s="37" t="str">
        <f aca="false">IF($A1572="","",WEEKNUM($A1572,2))</f>
        <v/>
      </c>
      <c r="C1572" s="37" t="str">
        <f aca="false">IF($A1572="","",CHOOSE(WEEKDAY($A1572,2),"Seg","Ter","Qua","Qui","Sex","Sáb","Dom"))</f>
        <v/>
      </c>
      <c r="D1572" s="46"/>
      <c r="E1572" s="47"/>
      <c r="F1572" s="47"/>
      <c r="G1572" s="48"/>
      <c r="H1572" s="49"/>
      <c r="I1572" s="50"/>
      <c r="J1572" s="48"/>
      <c r="K1572" s="49"/>
      <c r="L1572" s="50"/>
      <c r="M1572" s="43" t="str">
        <f aca="false">IF(OR($L1572="",$F1572=""),"",IFERROR($L1572/INDEX(Cadastro!$E$6:$E$8,MATCH($F1572,Cadastro!$B$6:$B$8,0)),""))</f>
        <v/>
      </c>
      <c r="N1572" s="43" t="str">
        <f aca="false">IF(OR($L1572="",$I1572="",$I1572=0),"",$L1572/$I1572)</f>
        <v/>
      </c>
      <c r="O1572" s="51"/>
    </row>
    <row r="1573" customFormat="false" ht="15" hidden="false" customHeight="false" outlineLevel="0" collapsed="false">
      <c r="A1573" s="45"/>
      <c r="B1573" s="37" t="str">
        <f aca="false">IF($A1573="","",WEEKNUM($A1573,2))</f>
        <v/>
      </c>
      <c r="C1573" s="37" t="str">
        <f aca="false">IF($A1573="","",CHOOSE(WEEKDAY($A1573,2),"Seg","Ter","Qua","Qui","Sex","Sáb","Dom"))</f>
        <v/>
      </c>
      <c r="D1573" s="46"/>
      <c r="E1573" s="47"/>
      <c r="F1573" s="47"/>
      <c r="G1573" s="48"/>
      <c r="H1573" s="49"/>
      <c r="I1573" s="50"/>
      <c r="J1573" s="48"/>
      <c r="K1573" s="49"/>
      <c r="L1573" s="50"/>
      <c r="M1573" s="43" t="str">
        <f aca="false">IF(OR($L1573="",$F1573=""),"",IFERROR($L1573/INDEX(Cadastro!$E$6:$E$8,MATCH($F1573,Cadastro!$B$6:$B$8,0)),""))</f>
        <v/>
      </c>
      <c r="N1573" s="43" t="str">
        <f aca="false">IF(OR($L1573="",$I1573="",$I1573=0),"",$L1573/$I1573)</f>
        <v/>
      </c>
      <c r="O1573" s="51"/>
    </row>
    <row r="1574" customFormat="false" ht="15" hidden="false" customHeight="false" outlineLevel="0" collapsed="false">
      <c r="A1574" s="45"/>
      <c r="B1574" s="37" t="str">
        <f aca="false">IF($A1574="","",WEEKNUM($A1574,2))</f>
        <v/>
      </c>
      <c r="C1574" s="37" t="str">
        <f aca="false">IF($A1574="","",CHOOSE(WEEKDAY($A1574,2),"Seg","Ter","Qua","Qui","Sex","Sáb","Dom"))</f>
        <v/>
      </c>
      <c r="D1574" s="46"/>
      <c r="E1574" s="47"/>
      <c r="F1574" s="47"/>
      <c r="G1574" s="48"/>
      <c r="H1574" s="49"/>
      <c r="I1574" s="50"/>
      <c r="J1574" s="48"/>
      <c r="K1574" s="49"/>
      <c r="L1574" s="50"/>
      <c r="M1574" s="43" t="str">
        <f aca="false">IF(OR($L1574="",$F1574=""),"",IFERROR($L1574/INDEX(Cadastro!$E$6:$E$8,MATCH($F1574,Cadastro!$B$6:$B$8,0)),""))</f>
        <v/>
      </c>
      <c r="N1574" s="43" t="str">
        <f aca="false">IF(OR($L1574="",$I1574="",$I1574=0),"",$L1574/$I1574)</f>
        <v/>
      </c>
      <c r="O1574" s="51"/>
    </row>
    <row r="1575" customFormat="false" ht="15" hidden="false" customHeight="false" outlineLevel="0" collapsed="false">
      <c r="A1575" s="45"/>
      <c r="B1575" s="37" t="str">
        <f aca="false">IF($A1575="","",WEEKNUM($A1575,2))</f>
        <v/>
      </c>
      <c r="C1575" s="37" t="str">
        <f aca="false">IF($A1575="","",CHOOSE(WEEKDAY($A1575,2),"Seg","Ter","Qua","Qui","Sex","Sáb","Dom"))</f>
        <v/>
      </c>
      <c r="D1575" s="46"/>
      <c r="E1575" s="47"/>
      <c r="F1575" s="47"/>
      <c r="G1575" s="48"/>
      <c r="H1575" s="49"/>
      <c r="I1575" s="50"/>
      <c r="J1575" s="48"/>
      <c r="K1575" s="49"/>
      <c r="L1575" s="50"/>
      <c r="M1575" s="43" t="str">
        <f aca="false">IF(OR($L1575="",$F1575=""),"",IFERROR($L1575/INDEX(Cadastro!$E$6:$E$8,MATCH($F1575,Cadastro!$B$6:$B$8,0)),""))</f>
        <v/>
      </c>
      <c r="N1575" s="43" t="str">
        <f aca="false">IF(OR($L1575="",$I1575="",$I1575=0),"",$L1575/$I1575)</f>
        <v/>
      </c>
      <c r="O1575" s="51"/>
    </row>
    <row r="1576" customFormat="false" ht="15" hidden="false" customHeight="false" outlineLevel="0" collapsed="false">
      <c r="A1576" s="45"/>
      <c r="B1576" s="37" t="str">
        <f aca="false">IF($A1576="","",WEEKNUM($A1576,2))</f>
        <v/>
      </c>
      <c r="C1576" s="37" t="str">
        <f aca="false">IF($A1576="","",CHOOSE(WEEKDAY($A1576,2),"Seg","Ter","Qua","Qui","Sex","Sáb","Dom"))</f>
        <v/>
      </c>
      <c r="D1576" s="46"/>
      <c r="E1576" s="47"/>
      <c r="F1576" s="47"/>
      <c r="G1576" s="48"/>
      <c r="H1576" s="49"/>
      <c r="I1576" s="50"/>
      <c r="J1576" s="48"/>
      <c r="K1576" s="49"/>
      <c r="L1576" s="50"/>
      <c r="M1576" s="43" t="str">
        <f aca="false">IF(OR($L1576="",$F1576=""),"",IFERROR($L1576/INDEX(Cadastro!$E$6:$E$8,MATCH($F1576,Cadastro!$B$6:$B$8,0)),""))</f>
        <v/>
      </c>
      <c r="N1576" s="43" t="str">
        <f aca="false">IF(OR($L1576="",$I1576="",$I1576=0),"",$L1576/$I1576)</f>
        <v/>
      </c>
      <c r="O1576" s="51"/>
    </row>
    <row r="1577" customFormat="false" ht="15" hidden="false" customHeight="false" outlineLevel="0" collapsed="false">
      <c r="A1577" s="45"/>
      <c r="B1577" s="37" t="str">
        <f aca="false">IF($A1577="","",WEEKNUM($A1577,2))</f>
        <v/>
      </c>
      <c r="C1577" s="37" t="str">
        <f aca="false">IF($A1577="","",CHOOSE(WEEKDAY($A1577,2),"Seg","Ter","Qua","Qui","Sex","Sáb","Dom"))</f>
        <v/>
      </c>
      <c r="D1577" s="46"/>
      <c r="E1577" s="47"/>
      <c r="F1577" s="47"/>
      <c r="G1577" s="48"/>
      <c r="H1577" s="49"/>
      <c r="I1577" s="50"/>
      <c r="J1577" s="48"/>
      <c r="K1577" s="49"/>
      <c r="L1577" s="50"/>
      <c r="M1577" s="43" t="str">
        <f aca="false">IF(OR($L1577="",$F1577=""),"",IFERROR($L1577/INDEX(Cadastro!$E$6:$E$8,MATCH($F1577,Cadastro!$B$6:$B$8,0)),""))</f>
        <v/>
      </c>
      <c r="N1577" s="43" t="str">
        <f aca="false">IF(OR($L1577="",$I1577="",$I1577=0),"",$L1577/$I1577)</f>
        <v/>
      </c>
      <c r="O1577" s="51"/>
    </row>
    <row r="1578" customFormat="false" ht="15" hidden="false" customHeight="false" outlineLevel="0" collapsed="false">
      <c r="A1578" s="45"/>
      <c r="B1578" s="37" t="str">
        <f aca="false">IF($A1578="","",WEEKNUM($A1578,2))</f>
        <v/>
      </c>
      <c r="C1578" s="37" t="str">
        <f aca="false">IF($A1578="","",CHOOSE(WEEKDAY($A1578,2),"Seg","Ter","Qua","Qui","Sex","Sáb","Dom"))</f>
        <v/>
      </c>
      <c r="D1578" s="46"/>
      <c r="E1578" s="47"/>
      <c r="F1578" s="47"/>
      <c r="G1578" s="48"/>
      <c r="H1578" s="49"/>
      <c r="I1578" s="50"/>
      <c r="J1578" s="48"/>
      <c r="K1578" s="49"/>
      <c r="L1578" s="50"/>
      <c r="M1578" s="43" t="str">
        <f aca="false">IF(OR($L1578="",$F1578=""),"",IFERROR($L1578/INDEX(Cadastro!$E$6:$E$8,MATCH($F1578,Cadastro!$B$6:$B$8,0)),""))</f>
        <v/>
      </c>
      <c r="N1578" s="43" t="str">
        <f aca="false">IF(OR($L1578="",$I1578="",$I1578=0),"",$L1578/$I1578)</f>
        <v/>
      </c>
      <c r="O1578" s="51"/>
    </row>
    <row r="1579" customFormat="false" ht="15" hidden="false" customHeight="false" outlineLevel="0" collapsed="false">
      <c r="A1579" s="45"/>
      <c r="B1579" s="37" t="str">
        <f aca="false">IF($A1579="","",WEEKNUM($A1579,2))</f>
        <v/>
      </c>
      <c r="C1579" s="37" t="str">
        <f aca="false">IF($A1579="","",CHOOSE(WEEKDAY($A1579,2),"Seg","Ter","Qua","Qui","Sex","Sáb","Dom"))</f>
        <v/>
      </c>
      <c r="D1579" s="46"/>
      <c r="E1579" s="47"/>
      <c r="F1579" s="47"/>
      <c r="G1579" s="48"/>
      <c r="H1579" s="49"/>
      <c r="I1579" s="50"/>
      <c r="J1579" s="48"/>
      <c r="K1579" s="49"/>
      <c r="L1579" s="50"/>
      <c r="M1579" s="43" t="str">
        <f aca="false">IF(OR($L1579="",$F1579=""),"",IFERROR($L1579/INDEX(Cadastro!$E$6:$E$8,MATCH($F1579,Cadastro!$B$6:$B$8,0)),""))</f>
        <v/>
      </c>
      <c r="N1579" s="43" t="str">
        <f aca="false">IF(OR($L1579="",$I1579="",$I1579=0),"",$L1579/$I1579)</f>
        <v/>
      </c>
      <c r="O1579" s="51"/>
    </row>
    <row r="1580" customFormat="false" ht="15" hidden="false" customHeight="false" outlineLevel="0" collapsed="false">
      <c r="A1580" s="45"/>
      <c r="B1580" s="37" t="str">
        <f aca="false">IF($A1580="","",WEEKNUM($A1580,2))</f>
        <v/>
      </c>
      <c r="C1580" s="37" t="str">
        <f aca="false">IF($A1580="","",CHOOSE(WEEKDAY($A1580,2),"Seg","Ter","Qua","Qui","Sex","Sáb","Dom"))</f>
        <v/>
      </c>
      <c r="D1580" s="46"/>
      <c r="E1580" s="47"/>
      <c r="F1580" s="47"/>
      <c r="G1580" s="48"/>
      <c r="H1580" s="49"/>
      <c r="I1580" s="50"/>
      <c r="J1580" s="48"/>
      <c r="K1580" s="49"/>
      <c r="L1580" s="50"/>
      <c r="M1580" s="43" t="str">
        <f aca="false">IF(OR($L1580="",$F1580=""),"",IFERROR($L1580/INDEX(Cadastro!$E$6:$E$8,MATCH($F1580,Cadastro!$B$6:$B$8,0)),""))</f>
        <v/>
      </c>
      <c r="N1580" s="43" t="str">
        <f aca="false">IF(OR($L1580="",$I1580="",$I1580=0),"",$L1580/$I1580)</f>
        <v/>
      </c>
      <c r="O1580" s="51"/>
    </row>
    <row r="1581" customFormat="false" ht="15" hidden="false" customHeight="false" outlineLevel="0" collapsed="false">
      <c r="A1581" s="45"/>
      <c r="B1581" s="37" t="str">
        <f aca="false">IF($A1581="","",WEEKNUM($A1581,2))</f>
        <v/>
      </c>
      <c r="C1581" s="37" t="str">
        <f aca="false">IF($A1581="","",CHOOSE(WEEKDAY($A1581,2),"Seg","Ter","Qua","Qui","Sex","Sáb","Dom"))</f>
        <v/>
      </c>
      <c r="D1581" s="46"/>
      <c r="E1581" s="47"/>
      <c r="F1581" s="47"/>
      <c r="G1581" s="48"/>
      <c r="H1581" s="49"/>
      <c r="I1581" s="50"/>
      <c r="J1581" s="48"/>
      <c r="K1581" s="49"/>
      <c r="L1581" s="50"/>
      <c r="M1581" s="43" t="str">
        <f aca="false">IF(OR($L1581="",$F1581=""),"",IFERROR($L1581/INDEX(Cadastro!$E$6:$E$8,MATCH($F1581,Cadastro!$B$6:$B$8,0)),""))</f>
        <v/>
      </c>
      <c r="N1581" s="43" t="str">
        <f aca="false">IF(OR($L1581="",$I1581="",$I1581=0),"",$L1581/$I1581)</f>
        <v/>
      </c>
      <c r="O1581" s="51"/>
    </row>
    <row r="1582" customFormat="false" ht="15" hidden="false" customHeight="false" outlineLevel="0" collapsed="false">
      <c r="A1582" s="45"/>
      <c r="B1582" s="37" t="str">
        <f aca="false">IF($A1582="","",WEEKNUM($A1582,2))</f>
        <v/>
      </c>
      <c r="C1582" s="37" t="str">
        <f aca="false">IF($A1582="","",CHOOSE(WEEKDAY($A1582,2),"Seg","Ter","Qua","Qui","Sex","Sáb","Dom"))</f>
        <v/>
      </c>
      <c r="D1582" s="46"/>
      <c r="E1582" s="47"/>
      <c r="F1582" s="47"/>
      <c r="G1582" s="48"/>
      <c r="H1582" s="49"/>
      <c r="I1582" s="50"/>
      <c r="J1582" s="48"/>
      <c r="K1582" s="49"/>
      <c r="L1582" s="50"/>
      <c r="M1582" s="43" t="str">
        <f aca="false">IF(OR($L1582="",$F1582=""),"",IFERROR($L1582/INDEX(Cadastro!$E$6:$E$8,MATCH($F1582,Cadastro!$B$6:$B$8,0)),""))</f>
        <v/>
      </c>
      <c r="N1582" s="43" t="str">
        <f aca="false">IF(OR($L1582="",$I1582="",$I1582=0),"",$L1582/$I1582)</f>
        <v/>
      </c>
      <c r="O1582" s="51"/>
    </row>
    <row r="1583" customFormat="false" ht="15" hidden="false" customHeight="false" outlineLevel="0" collapsed="false">
      <c r="A1583" s="45"/>
      <c r="B1583" s="37" t="str">
        <f aca="false">IF($A1583="","",WEEKNUM($A1583,2))</f>
        <v/>
      </c>
      <c r="C1583" s="37" t="str">
        <f aca="false">IF($A1583="","",CHOOSE(WEEKDAY($A1583,2),"Seg","Ter","Qua","Qui","Sex","Sáb","Dom"))</f>
        <v/>
      </c>
      <c r="D1583" s="46"/>
      <c r="E1583" s="47"/>
      <c r="F1583" s="47"/>
      <c r="G1583" s="48"/>
      <c r="H1583" s="49"/>
      <c r="I1583" s="50"/>
      <c r="J1583" s="48"/>
      <c r="K1583" s="49"/>
      <c r="L1583" s="50"/>
      <c r="M1583" s="43" t="str">
        <f aca="false">IF(OR($L1583="",$F1583=""),"",IFERROR($L1583/INDEX(Cadastro!$E$6:$E$8,MATCH($F1583,Cadastro!$B$6:$B$8,0)),""))</f>
        <v/>
      </c>
      <c r="N1583" s="43" t="str">
        <f aca="false">IF(OR($L1583="",$I1583="",$I1583=0),"",$L1583/$I1583)</f>
        <v/>
      </c>
      <c r="O1583" s="51"/>
    </row>
    <row r="1584" customFormat="false" ht="15" hidden="false" customHeight="false" outlineLevel="0" collapsed="false">
      <c r="A1584" s="45"/>
      <c r="B1584" s="37" t="str">
        <f aca="false">IF($A1584="","",WEEKNUM($A1584,2))</f>
        <v/>
      </c>
      <c r="C1584" s="37" t="str">
        <f aca="false">IF($A1584="","",CHOOSE(WEEKDAY($A1584,2),"Seg","Ter","Qua","Qui","Sex","Sáb","Dom"))</f>
        <v/>
      </c>
      <c r="D1584" s="46"/>
      <c r="E1584" s="47"/>
      <c r="F1584" s="47"/>
      <c r="G1584" s="48"/>
      <c r="H1584" s="49"/>
      <c r="I1584" s="50"/>
      <c r="J1584" s="48"/>
      <c r="K1584" s="49"/>
      <c r="L1584" s="50"/>
      <c r="M1584" s="43" t="str">
        <f aca="false">IF(OR($L1584="",$F1584=""),"",IFERROR($L1584/INDEX(Cadastro!$E$6:$E$8,MATCH($F1584,Cadastro!$B$6:$B$8,0)),""))</f>
        <v/>
      </c>
      <c r="N1584" s="43" t="str">
        <f aca="false">IF(OR($L1584="",$I1584="",$I1584=0),"",$L1584/$I1584)</f>
        <v/>
      </c>
      <c r="O1584" s="51"/>
    </row>
    <row r="1585" customFormat="false" ht="15" hidden="false" customHeight="false" outlineLevel="0" collapsed="false">
      <c r="A1585" s="45"/>
      <c r="B1585" s="37" t="str">
        <f aca="false">IF($A1585="","",WEEKNUM($A1585,2))</f>
        <v/>
      </c>
      <c r="C1585" s="37" t="str">
        <f aca="false">IF($A1585="","",CHOOSE(WEEKDAY($A1585,2),"Seg","Ter","Qua","Qui","Sex","Sáb","Dom"))</f>
        <v/>
      </c>
      <c r="D1585" s="46"/>
      <c r="E1585" s="47"/>
      <c r="F1585" s="47"/>
      <c r="G1585" s="48"/>
      <c r="H1585" s="49"/>
      <c r="I1585" s="50"/>
      <c r="J1585" s="48"/>
      <c r="K1585" s="49"/>
      <c r="L1585" s="50"/>
      <c r="M1585" s="43" t="str">
        <f aca="false">IF(OR($L1585="",$F1585=""),"",IFERROR($L1585/INDEX(Cadastro!$E$6:$E$8,MATCH($F1585,Cadastro!$B$6:$B$8,0)),""))</f>
        <v/>
      </c>
      <c r="N1585" s="43" t="str">
        <f aca="false">IF(OR($L1585="",$I1585="",$I1585=0),"",$L1585/$I1585)</f>
        <v/>
      </c>
      <c r="O1585" s="51"/>
    </row>
    <row r="1586" customFormat="false" ht="15" hidden="false" customHeight="false" outlineLevel="0" collapsed="false">
      <c r="A1586" s="45"/>
      <c r="B1586" s="37" t="str">
        <f aca="false">IF($A1586="","",WEEKNUM($A1586,2))</f>
        <v/>
      </c>
      <c r="C1586" s="37" t="str">
        <f aca="false">IF($A1586="","",CHOOSE(WEEKDAY($A1586,2),"Seg","Ter","Qua","Qui","Sex","Sáb","Dom"))</f>
        <v/>
      </c>
      <c r="D1586" s="46"/>
      <c r="E1586" s="47"/>
      <c r="F1586" s="47"/>
      <c r="G1586" s="48"/>
      <c r="H1586" s="49"/>
      <c r="I1586" s="50"/>
      <c r="J1586" s="48"/>
      <c r="K1586" s="49"/>
      <c r="L1586" s="50"/>
      <c r="M1586" s="43" t="str">
        <f aca="false">IF(OR($L1586="",$F1586=""),"",IFERROR($L1586/INDEX(Cadastro!$E$6:$E$8,MATCH($F1586,Cadastro!$B$6:$B$8,0)),""))</f>
        <v/>
      </c>
      <c r="N1586" s="43" t="str">
        <f aca="false">IF(OR($L1586="",$I1586="",$I1586=0),"",$L1586/$I1586)</f>
        <v/>
      </c>
      <c r="O1586" s="51"/>
    </row>
    <row r="1587" customFormat="false" ht="15" hidden="false" customHeight="false" outlineLevel="0" collapsed="false">
      <c r="A1587" s="45"/>
      <c r="B1587" s="37" t="str">
        <f aca="false">IF($A1587="","",WEEKNUM($A1587,2))</f>
        <v/>
      </c>
      <c r="C1587" s="37" t="str">
        <f aca="false">IF($A1587="","",CHOOSE(WEEKDAY($A1587,2),"Seg","Ter","Qua","Qui","Sex","Sáb","Dom"))</f>
        <v/>
      </c>
      <c r="D1587" s="46"/>
      <c r="E1587" s="47"/>
      <c r="F1587" s="47"/>
      <c r="G1587" s="48"/>
      <c r="H1587" s="49"/>
      <c r="I1587" s="50"/>
      <c r="J1587" s="48"/>
      <c r="K1587" s="49"/>
      <c r="L1587" s="50"/>
      <c r="M1587" s="43" t="str">
        <f aca="false">IF(OR($L1587="",$F1587=""),"",IFERROR($L1587/INDEX(Cadastro!$E$6:$E$8,MATCH($F1587,Cadastro!$B$6:$B$8,0)),""))</f>
        <v/>
      </c>
      <c r="N1587" s="43" t="str">
        <f aca="false">IF(OR($L1587="",$I1587="",$I1587=0),"",$L1587/$I1587)</f>
        <v/>
      </c>
      <c r="O1587" s="51"/>
    </row>
    <row r="1588" customFormat="false" ht="15" hidden="false" customHeight="false" outlineLevel="0" collapsed="false">
      <c r="A1588" s="45"/>
      <c r="B1588" s="37" t="str">
        <f aca="false">IF($A1588="","",WEEKNUM($A1588,2))</f>
        <v/>
      </c>
      <c r="C1588" s="37" t="str">
        <f aca="false">IF($A1588="","",CHOOSE(WEEKDAY($A1588,2),"Seg","Ter","Qua","Qui","Sex","Sáb","Dom"))</f>
        <v/>
      </c>
      <c r="D1588" s="46"/>
      <c r="E1588" s="47"/>
      <c r="F1588" s="47"/>
      <c r="G1588" s="48"/>
      <c r="H1588" s="49"/>
      <c r="I1588" s="50"/>
      <c r="J1588" s="48"/>
      <c r="K1588" s="49"/>
      <c r="L1588" s="50"/>
      <c r="M1588" s="43" t="str">
        <f aca="false">IF(OR($L1588="",$F1588=""),"",IFERROR($L1588/INDEX(Cadastro!$E$6:$E$8,MATCH($F1588,Cadastro!$B$6:$B$8,0)),""))</f>
        <v/>
      </c>
      <c r="N1588" s="43" t="str">
        <f aca="false">IF(OR($L1588="",$I1588="",$I1588=0),"",$L1588/$I1588)</f>
        <v/>
      </c>
      <c r="O1588" s="51"/>
    </row>
    <row r="1589" customFormat="false" ht="15" hidden="false" customHeight="false" outlineLevel="0" collapsed="false">
      <c r="A1589" s="45"/>
      <c r="B1589" s="37" t="str">
        <f aca="false">IF($A1589="","",WEEKNUM($A1589,2))</f>
        <v/>
      </c>
      <c r="C1589" s="37" t="str">
        <f aca="false">IF($A1589="","",CHOOSE(WEEKDAY($A1589,2),"Seg","Ter","Qua","Qui","Sex","Sáb","Dom"))</f>
        <v/>
      </c>
      <c r="D1589" s="46"/>
      <c r="E1589" s="47"/>
      <c r="F1589" s="47"/>
      <c r="G1589" s="48"/>
      <c r="H1589" s="49"/>
      <c r="I1589" s="50"/>
      <c r="J1589" s="48"/>
      <c r="K1589" s="49"/>
      <c r="L1589" s="50"/>
      <c r="M1589" s="43" t="str">
        <f aca="false">IF(OR($L1589="",$F1589=""),"",IFERROR($L1589/INDEX(Cadastro!$E$6:$E$8,MATCH($F1589,Cadastro!$B$6:$B$8,0)),""))</f>
        <v/>
      </c>
      <c r="N1589" s="43" t="str">
        <f aca="false">IF(OR($L1589="",$I1589="",$I1589=0),"",$L1589/$I1589)</f>
        <v/>
      </c>
      <c r="O1589" s="51"/>
    </row>
    <row r="1590" customFormat="false" ht="15" hidden="false" customHeight="false" outlineLevel="0" collapsed="false">
      <c r="A1590" s="45"/>
      <c r="B1590" s="37" t="str">
        <f aca="false">IF($A1590="","",WEEKNUM($A1590,2))</f>
        <v/>
      </c>
      <c r="C1590" s="37" t="str">
        <f aca="false">IF($A1590="","",CHOOSE(WEEKDAY($A1590,2),"Seg","Ter","Qua","Qui","Sex","Sáb","Dom"))</f>
        <v/>
      </c>
      <c r="D1590" s="46"/>
      <c r="E1590" s="47"/>
      <c r="F1590" s="47"/>
      <c r="G1590" s="48"/>
      <c r="H1590" s="49"/>
      <c r="I1590" s="50"/>
      <c r="J1590" s="48"/>
      <c r="K1590" s="49"/>
      <c r="L1590" s="50"/>
      <c r="M1590" s="43" t="str">
        <f aca="false">IF(OR($L1590="",$F1590=""),"",IFERROR($L1590/INDEX(Cadastro!$E$6:$E$8,MATCH($F1590,Cadastro!$B$6:$B$8,0)),""))</f>
        <v/>
      </c>
      <c r="N1590" s="43" t="str">
        <f aca="false">IF(OR($L1590="",$I1590="",$I1590=0),"",$L1590/$I1590)</f>
        <v/>
      </c>
      <c r="O1590" s="51"/>
    </row>
    <row r="1591" customFormat="false" ht="15" hidden="false" customHeight="false" outlineLevel="0" collapsed="false">
      <c r="A1591" s="45"/>
      <c r="B1591" s="37" t="str">
        <f aca="false">IF($A1591="","",WEEKNUM($A1591,2))</f>
        <v/>
      </c>
      <c r="C1591" s="37" t="str">
        <f aca="false">IF($A1591="","",CHOOSE(WEEKDAY($A1591,2),"Seg","Ter","Qua","Qui","Sex","Sáb","Dom"))</f>
        <v/>
      </c>
      <c r="D1591" s="46"/>
      <c r="E1591" s="47"/>
      <c r="F1591" s="47"/>
      <c r="G1591" s="48"/>
      <c r="H1591" s="49"/>
      <c r="I1591" s="50"/>
      <c r="J1591" s="48"/>
      <c r="K1591" s="49"/>
      <c r="L1591" s="50"/>
      <c r="M1591" s="43" t="str">
        <f aca="false">IF(OR($L1591="",$F1591=""),"",IFERROR($L1591/INDEX(Cadastro!$E$6:$E$8,MATCH($F1591,Cadastro!$B$6:$B$8,0)),""))</f>
        <v/>
      </c>
      <c r="N1591" s="43" t="str">
        <f aca="false">IF(OR($L1591="",$I1591="",$I1591=0),"",$L1591/$I1591)</f>
        <v/>
      </c>
      <c r="O1591" s="51"/>
    </row>
    <row r="1592" customFormat="false" ht="15" hidden="false" customHeight="false" outlineLevel="0" collapsed="false">
      <c r="A1592" s="45"/>
      <c r="B1592" s="37" t="str">
        <f aca="false">IF($A1592="","",WEEKNUM($A1592,2))</f>
        <v/>
      </c>
      <c r="C1592" s="37" t="str">
        <f aca="false">IF($A1592="","",CHOOSE(WEEKDAY($A1592,2),"Seg","Ter","Qua","Qui","Sex","Sáb","Dom"))</f>
        <v/>
      </c>
      <c r="D1592" s="46"/>
      <c r="E1592" s="47"/>
      <c r="F1592" s="47"/>
      <c r="G1592" s="48"/>
      <c r="H1592" s="49"/>
      <c r="I1592" s="50"/>
      <c r="J1592" s="48"/>
      <c r="K1592" s="49"/>
      <c r="L1592" s="50"/>
      <c r="M1592" s="43" t="str">
        <f aca="false">IF(OR($L1592="",$F1592=""),"",IFERROR($L1592/INDEX(Cadastro!$E$6:$E$8,MATCH($F1592,Cadastro!$B$6:$B$8,0)),""))</f>
        <v/>
      </c>
      <c r="N1592" s="43" t="str">
        <f aca="false">IF(OR($L1592="",$I1592="",$I1592=0),"",$L1592/$I1592)</f>
        <v/>
      </c>
      <c r="O1592" s="51"/>
    </row>
    <row r="1593" customFormat="false" ht="15" hidden="false" customHeight="false" outlineLevel="0" collapsed="false">
      <c r="A1593" s="45"/>
      <c r="B1593" s="37" t="str">
        <f aca="false">IF($A1593="","",WEEKNUM($A1593,2))</f>
        <v/>
      </c>
      <c r="C1593" s="37" t="str">
        <f aca="false">IF($A1593="","",CHOOSE(WEEKDAY($A1593,2),"Seg","Ter","Qua","Qui","Sex","Sáb","Dom"))</f>
        <v/>
      </c>
      <c r="D1593" s="46"/>
      <c r="E1593" s="47"/>
      <c r="F1593" s="47"/>
      <c r="G1593" s="48"/>
      <c r="H1593" s="49"/>
      <c r="I1593" s="50"/>
      <c r="J1593" s="48"/>
      <c r="K1593" s="49"/>
      <c r="L1593" s="50"/>
      <c r="M1593" s="43" t="str">
        <f aca="false">IF(OR($L1593="",$F1593=""),"",IFERROR($L1593/INDEX(Cadastro!$E$6:$E$8,MATCH($F1593,Cadastro!$B$6:$B$8,0)),""))</f>
        <v/>
      </c>
      <c r="N1593" s="43" t="str">
        <f aca="false">IF(OR($L1593="",$I1593="",$I1593=0),"",$L1593/$I1593)</f>
        <v/>
      </c>
      <c r="O1593" s="51"/>
    </row>
    <row r="1594" customFormat="false" ht="15" hidden="false" customHeight="false" outlineLevel="0" collapsed="false">
      <c r="A1594" s="45"/>
      <c r="B1594" s="37" t="str">
        <f aca="false">IF($A1594="","",WEEKNUM($A1594,2))</f>
        <v/>
      </c>
      <c r="C1594" s="37" t="str">
        <f aca="false">IF($A1594="","",CHOOSE(WEEKDAY($A1594,2),"Seg","Ter","Qua","Qui","Sex","Sáb","Dom"))</f>
        <v/>
      </c>
      <c r="D1594" s="46"/>
      <c r="E1594" s="47"/>
      <c r="F1594" s="47"/>
      <c r="G1594" s="48"/>
      <c r="H1594" s="49"/>
      <c r="I1594" s="50"/>
      <c r="J1594" s="48"/>
      <c r="K1594" s="49"/>
      <c r="L1594" s="50"/>
      <c r="M1594" s="43" t="str">
        <f aca="false">IF(OR($L1594="",$F1594=""),"",IFERROR($L1594/INDEX(Cadastro!$E$6:$E$8,MATCH($F1594,Cadastro!$B$6:$B$8,0)),""))</f>
        <v/>
      </c>
      <c r="N1594" s="43" t="str">
        <f aca="false">IF(OR($L1594="",$I1594="",$I1594=0),"",$L1594/$I1594)</f>
        <v/>
      </c>
      <c r="O1594" s="51"/>
    </row>
    <row r="1595" customFormat="false" ht="15" hidden="false" customHeight="false" outlineLevel="0" collapsed="false">
      <c r="A1595" s="45"/>
      <c r="B1595" s="37" t="str">
        <f aca="false">IF($A1595="","",WEEKNUM($A1595,2))</f>
        <v/>
      </c>
      <c r="C1595" s="37" t="str">
        <f aca="false">IF($A1595="","",CHOOSE(WEEKDAY($A1595,2),"Seg","Ter","Qua","Qui","Sex","Sáb","Dom"))</f>
        <v/>
      </c>
      <c r="D1595" s="46"/>
      <c r="E1595" s="47"/>
      <c r="F1595" s="47"/>
      <c r="G1595" s="48"/>
      <c r="H1595" s="49"/>
      <c r="I1595" s="50"/>
      <c r="J1595" s="48"/>
      <c r="K1595" s="49"/>
      <c r="L1595" s="50"/>
      <c r="M1595" s="43" t="str">
        <f aca="false">IF(OR($L1595="",$F1595=""),"",IFERROR($L1595/INDEX(Cadastro!$E$6:$E$8,MATCH($F1595,Cadastro!$B$6:$B$8,0)),""))</f>
        <v/>
      </c>
      <c r="N1595" s="43" t="str">
        <f aca="false">IF(OR($L1595="",$I1595="",$I1595=0),"",$L1595/$I1595)</f>
        <v/>
      </c>
      <c r="O1595" s="51"/>
    </row>
    <row r="1596" customFormat="false" ht="15" hidden="false" customHeight="false" outlineLevel="0" collapsed="false">
      <c r="A1596" s="45"/>
      <c r="B1596" s="37" t="str">
        <f aca="false">IF($A1596="","",WEEKNUM($A1596,2))</f>
        <v/>
      </c>
      <c r="C1596" s="37" t="str">
        <f aca="false">IF($A1596="","",CHOOSE(WEEKDAY($A1596,2),"Seg","Ter","Qua","Qui","Sex","Sáb","Dom"))</f>
        <v/>
      </c>
      <c r="D1596" s="46"/>
      <c r="E1596" s="47"/>
      <c r="F1596" s="47"/>
      <c r="G1596" s="48"/>
      <c r="H1596" s="49"/>
      <c r="I1596" s="50"/>
      <c r="J1596" s="48"/>
      <c r="K1596" s="49"/>
      <c r="L1596" s="50"/>
      <c r="M1596" s="43" t="str">
        <f aca="false">IF(OR($L1596="",$F1596=""),"",IFERROR($L1596/INDEX(Cadastro!$E$6:$E$8,MATCH($F1596,Cadastro!$B$6:$B$8,0)),""))</f>
        <v/>
      </c>
      <c r="N1596" s="43" t="str">
        <f aca="false">IF(OR($L1596="",$I1596="",$I1596=0),"",$L1596/$I1596)</f>
        <v/>
      </c>
      <c r="O1596" s="51"/>
    </row>
    <row r="1597" customFormat="false" ht="15" hidden="false" customHeight="false" outlineLevel="0" collapsed="false">
      <c r="A1597" s="45"/>
      <c r="B1597" s="37" t="str">
        <f aca="false">IF($A1597="","",WEEKNUM($A1597,2))</f>
        <v/>
      </c>
      <c r="C1597" s="37" t="str">
        <f aca="false">IF($A1597="","",CHOOSE(WEEKDAY($A1597,2),"Seg","Ter","Qua","Qui","Sex","Sáb","Dom"))</f>
        <v/>
      </c>
      <c r="D1597" s="46"/>
      <c r="E1597" s="47"/>
      <c r="F1597" s="47"/>
      <c r="G1597" s="48"/>
      <c r="H1597" s="49"/>
      <c r="I1597" s="50"/>
      <c r="J1597" s="48"/>
      <c r="K1597" s="49"/>
      <c r="L1597" s="50"/>
      <c r="M1597" s="43" t="str">
        <f aca="false">IF(OR($L1597="",$F1597=""),"",IFERROR($L1597/INDEX(Cadastro!$E$6:$E$8,MATCH($F1597,Cadastro!$B$6:$B$8,0)),""))</f>
        <v/>
      </c>
      <c r="N1597" s="43" t="str">
        <f aca="false">IF(OR($L1597="",$I1597="",$I1597=0),"",$L1597/$I1597)</f>
        <v/>
      </c>
      <c r="O1597" s="51"/>
    </row>
    <row r="1598" customFormat="false" ht="15" hidden="false" customHeight="false" outlineLevel="0" collapsed="false">
      <c r="A1598" s="45"/>
      <c r="B1598" s="37" t="str">
        <f aca="false">IF($A1598="","",WEEKNUM($A1598,2))</f>
        <v/>
      </c>
      <c r="C1598" s="37" t="str">
        <f aca="false">IF($A1598="","",CHOOSE(WEEKDAY($A1598,2),"Seg","Ter","Qua","Qui","Sex","Sáb","Dom"))</f>
        <v/>
      </c>
      <c r="D1598" s="46"/>
      <c r="E1598" s="47"/>
      <c r="F1598" s="47"/>
      <c r="G1598" s="48"/>
      <c r="H1598" s="49"/>
      <c r="I1598" s="50"/>
      <c r="J1598" s="48"/>
      <c r="K1598" s="49"/>
      <c r="L1598" s="50"/>
      <c r="M1598" s="43" t="str">
        <f aca="false">IF(OR($L1598="",$F1598=""),"",IFERROR($L1598/INDEX(Cadastro!$E$6:$E$8,MATCH($F1598,Cadastro!$B$6:$B$8,0)),""))</f>
        <v/>
      </c>
      <c r="N1598" s="43" t="str">
        <f aca="false">IF(OR($L1598="",$I1598="",$I1598=0),"",$L1598/$I1598)</f>
        <v/>
      </c>
      <c r="O1598" s="51"/>
    </row>
    <row r="1599" customFormat="false" ht="15" hidden="false" customHeight="false" outlineLevel="0" collapsed="false">
      <c r="A1599" s="45"/>
      <c r="B1599" s="37" t="str">
        <f aca="false">IF($A1599="","",WEEKNUM($A1599,2))</f>
        <v/>
      </c>
      <c r="C1599" s="37" t="str">
        <f aca="false">IF($A1599="","",CHOOSE(WEEKDAY($A1599,2),"Seg","Ter","Qua","Qui","Sex","Sáb","Dom"))</f>
        <v/>
      </c>
      <c r="D1599" s="46"/>
      <c r="E1599" s="47"/>
      <c r="F1599" s="47"/>
      <c r="G1599" s="48"/>
      <c r="H1599" s="49"/>
      <c r="I1599" s="50"/>
      <c r="J1599" s="48"/>
      <c r="K1599" s="49"/>
      <c r="L1599" s="50"/>
      <c r="M1599" s="43" t="str">
        <f aca="false">IF(OR($L1599="",$F1599=""),"",IFERROR($L1599/INDEX(Cadastro!$E$6:$E$8,MATCH($F1599,Cadastro!$B$6:$B$8,0)),""))</f>
        <v/>
      </c>
      <c r="N1599" s="43" t="str">
        <f aca="false">IF(OR($L1599="",$I1599="",$I1599=0),"",$L1599/$I1599)</f>
        <v/>
      </c>
      <c r="O1599" s="51"/>
    </row>
    <row r="1600" customFormat="false" ht="15" hidden="false" customHeight="false" outlineLevel="0" collapsed="false">
      <c r="A1600" s="45"/>
      <c r="B1600" s="37" t="str">
        <f aca="false">IF($A1600="","",WEEKNUM($A1600,2))</f>
        <v/>
      </c>
      <c r="C1600" s="37" t="str">
        <f aca="false">IF($A1600="","",CHOOSE(WEEKDAY($A1600,2),"Seg","Ter","Qua","Qui","Sex","Sáb","Dom"))</f>
        <v/>
      </c>
      <c r="D1600" s="46"/>
      <c r="E1600" s="47"/>
      <c r="F1600" s="47"/>
      <c r="G1600" s="48"/>
      <c r="H1600" s="49"/>
      <c r="I1600" s="50"/>
      <c r="J1600" s="48"/>
      <c r="K1600" s="49"/>
      <c r="L1600" s="50"/>
      <c r="M1600" s="43" t="str">
        <f aca="false">IF(OR($L1600="",$F1600=""),"",IFERROR($L1600/INDEX(Cadastro!$E$6:$E$8,MATCH($F1600,Cadastro!$B$6:$B$8,0)),""))</f>
        <v/>
      </c>
      <c r="N1600" s="43" t="str">
        <f aca="false">IF(OR($L1600="",$I1600="",$I1600=0),"",$L1600/$I1600)</f>
        <v/>
      </c>
      <c r="O1600" s="51"/>
    </row>
    <row r="1601" customFormat="false" ht="15" hidden="false" customHeight="false" outlineLevel="0" collapsed="false">
      <c r="A1601" s="45"/>
      <c r="B1601" s="37" t="str">
        <f aca="false">IF($A1601="","",WEEKNUM($A1601,2))</f>
        <v/>
      </c>
      <c r="C1601" s="37" t="str">
        <f aca="false">IF($A1601="","",CHOOSE(WEEKDAY($A1601,2),"Seg","Ter","Qua","Qui","Sex","Sáb","Dom"))</f>
        <v/>
      </c>
      <c r="D1601" s="46"/>
      <c r="E1601" s="47"/>
      <c r="F1601" s="47"/>
      <c r="G1601" s="48"/>
      <c r="H1601" s="49"/>
      <c r="I1601" s="50"/>
      <c r="J1601" s="48"/>
      <c r="K1601" s="49"/>
      <c r="L1601" s="50"/>
      <c r="M1601" s="43" t="str">
        <f aca="false">IF(OR($L1601="",$F1601=""),"",IFERROR($L1601/INDEX(Cadastro!$E$6:$E$8,MATCH($F1601,Cadastro!$B$6:$B$8,0)),""))</f>
        <v/>
      </c>
      <c r="N1601" s="43" t="str">
        <f aca="false">IF(OR($L1601="",$I1601="",$I1601=0),"",$L1601/$I1601)</f>
        <v/>
      </c>
      <c r="O1601" s="51"/>
    </row>
    <row r="1602" customFormat="false" ht="15" hidden="false" customHeight="false" outlineLevel="0" collapsed="false">
      <c r="A1602" s="45"/>
      <c r="B1602" s="37" t="str">
        <f aca="false">IF($A1602="","",WEEKNUM($A1602,2))</f>
        <v/>
      </c>
      <c r="C1602" s="37" t="str">
        <f aca="false">IF($A1602="","",CHOOSE(WEEKDAY($A1602,2),"Seg","Ter","Qua","Qui","Sex","Sáb","Dom"))</f>
        <v/>
      </c>
      <c r="D1602" s="46"/>
      <c r="E1602" s="47"/>
      <c r="F1602" s="47"/>
      <c r="G1602" s="48"/>
      <c r="H1602" s="49"/>
      <c r="I1602" s="50"/>
      <c r="J1602" s="48"/>
      <c r="K1602" s="49"/>
      <c r="L1602" s="50"/>
      <c r="M1602" s="43" t="str">
        <f aca="false">IF(OR($L1602="",$F1602=""),"",IFERROR($L1602/INDEX(Cadastro!$E$6:$E$8,MATCH($F1602,Cadastro!$B$6:$B$8,0)),""))</f>
        <v/>
      </c>
      <c r="N1602" s="43" t="str">
        <f aca="false">IF(OR($L1602="",$I1602="",$I1602=0),"",$L1602/$I1602)</f>
        <v/>
      </c>
      <c r="O1602" s="51"/>
    </row>
    <row r="1603" customFormat="false" ht="15" hidden="false" customHeight="false" outlineLevel="0" collapsed="false">
      <c r="A1603" s="45"/>
      <c r="B1603" s="37" t="str">
        <f aca="false">IF($A1603="","",WEEKNUM($A1603,2))</f>
        <v/>
      </c>
      <c r="C1603" s="37" t="str">
        <f aca="false">IF($A1603="","",CHOOSE(WEEKDAY($A1603,2),"Seg","Ter","Qua","Qui","Sex","Sáb","Dom"))</f>
        <v/>
      </c>
      <c r="D1603" s="46"/>
      <c r="E1603" s="47"/>
      <c r="F1603" s="47"/>
      <c r="G1603" s="48"/>
      <c r="H1603" s="49"/>
      <c r="I1603" s="50"/>
      <c r="J1603" s="48"/>
      <c r="K1603" s="49"/>
      <c r="L1603" s="50"/>
      <c r="M1603" s="43" t="str">
        <f aca="false">IF(OR($L1603="",$F1603=""),"",IFERROR($L1603/INDEX(Cadastro!$E$6:$E$8,MATCH($F1603,Cadastro!$B$6:$B$8,0)),""))</f>
        <v/>
      </c>
      <c r="N1603" s="43" t="str">
        <f aca="false">IF(OR($L1603="",$I1603="",$I1603=0),"",$L1603/$I1603)</f>
        <v/>
      </c>
      <c r="O1603" s="51"/>
    </row>
    <row r="1604" customFormat="false" ht="15" hidden="false" customHeight="false" outlineLevel="0" collapsed="false">
      <c r="A1604" s="45"/>
      <c r="B1604" s="37" t="str">
        <f aca="false">IF($A1604="","",WEEKNUM($A1604,2))</f>
        <v/>
      </c>
      <c r="C1604" s="37" t="str">
        <f aca="false">IF($A1604="","",CHOOSE(WEEKDAY($A1604,2),"Seg","Ter","Qua","Qui","Sex","Sáb","Dom"))</f>
        <v/>
      </c>
      <c r="D1604" s="46"/>
      <c r="E1604" s="47"/>
      <c r="F1604" s="47"/>
      <c r="G1604" s="48"/>
      <c r="H1604" s="49"/>
      <c r="I1604" s="50"/>
      <c r="J1604" s="48"/>
      <c r="K1604" s="49"/>
      <c r="L1604" s="50"/>
      <c r="M1604" s="43" t="str">
        <f aca="false">IF(OR($L1604="",$F1604=""),"",IFERROR($L1604/INDEX(Cadastro!$E$6:$E$8,MATCH($F1604,Cadastro!$B$6:$B$8,0)),""))</f>
        <v/>
      </c>
      <c r="N1604" s="43" t="str">
        <f aca="false">IF(OR($L1604="",$I1604="",$I1604=0),"",$L1604/$I1604)</f>
        <v/>
      </c>
      <c r="O1604" s="51"/>
    </row>
    <row r="1605" customFormat="false" ht="15" hidden="false" customHeight="false" outlineLevel="0" collapsed="false">
      <c r="A1605" s="45"/>
      <c r="B1605" s="37" t="str">
        <f aca="false">IF($A1605="","",WEEKNUM($A1605,2))</f>
        <v/>
      </c>
      <c r="C1605" s="37" t="str">
        <f aca="false">IF($A1605="","",CHOOSE(WEEKDAY($A1605,2),"Seg","Ter","Qua","Qui","Sex","Sáb","Dom"))</f>
        <v/>
      </c>
      <c r="D1605" s="46"/>
      <c r="E1605" s="47"/>
      <c r="F1605" s="47"/>
      <c r="G1605" s="48"/>
      <c r="H1605" s="49"/>
      <c r="I1605" s="50"/>
      <c r="J1605" s="48"/>
      <c r="K1605" s="49"/>
      <c r="L1605" s="50"/>
      <c r="M1605" s="43" t="str">
        <f aca="false">IF(OR($L1605="",$F1605=""),"",IFERROR($L1605/INDEX(Cadastro!$E$6:$E$8,MATCH($F1605,Cadastro!$B$6:$B$8,0)),""))</f>
        <v/>
      </c>
      <c r="N1605" s="43" t="str">
        <f aca="false">IF(OR($L1605="",$I1605="",$I1605=0),"",$L1605/$I1605)</f>
        <v/>
      </c>
      <c r="O1605" s="51"/>
    </row>
    <row r="1606" customFormat="false" ht="15" hidden="false" customHeight="false" outlineLevel="0" collapsed="false">
      <c r="A1606" s="45"/>
      <c r="B1606" s="37" t="str">
        <f aca="false">IF($A1606="","",WEEKNUM($A1606,2))</f>
        <v/>
      </c>
      <c r="C1606" s="37" t="str">
        <f aca="false">IF($A1606="","",CHOOSE(WEEKDAY($A1606,2),"Seg","Ter","Qua","Qui","Sex","Sáb","Dom"))</f>
        <v/>
      </c>
      <c r="D1606" s="46"/>
      <c r="E1606" s="47"/>
      <c r="F1606" s="47"/>
      <c r="G1606" s="48"/>
      <c r="H1606" s="49"/>
      <c r="I1606" s="50"/>
      <c r="J1606" s="48"/>
      <c r="K1606" s="49"/>
      <c r="L1606" s="50"/>
      <c r="M1606" s="43" t="str">
        <f aca="false">IF(OR($L1606="",$F1606=""),"",IFERROR($L1606/INDEX(Cadastro!$E$6:$E$8,MATCH($F1606,Cadastro!$B$6:$B$8,0)),""))</f>
        <v/>
      </c>
      <c r="N1606" s="43" t="str">
        <f aca="false">IF(OR($L1606="",$I1606="",$I1606=0),"",$L1606/$I1606)</f>
        <v/>
      </c>
      <c r="O1606" s="51"/>
    </row>
    <row r="1607" customFormat="false" ht="15" hidden="false" customHeight="false" outlineLevel="0" collapsed="false">
      <c r="A1607" s="45"/>
      <c r="B1607" s="37" t="str">
        <f aca="false">IF($A1607="","",WEEKNUM($A1607,2))</f>
        <v/>
      </c>
      <c r="C1607" s="37" t="str">
        <f aca="false">IF($A1607="","",CHOOSE(WEEKDAY($A1607,2),"Seg","Ter","Qua","Qui","Sex","Sáb","Dom"))</f>
        <v/>
      </c>
      <c r="D1607" s="46"/>
      <c r="E1607" s="47"/>
      <c r="F1607" s="47"/>
      <c r="G1607" s="48"/>
      <c r="H1607" s="49"/>
      <c r="I1607" s="50"/>
      <c r="J1607" s="48"/>
      <c r="K1607" s="49"/>
      <c r="L1607" s="50"/>
      <c r="M1607" s="43" t="str">
        <f aca="false">IF(OR($L1607="",$F1607=""),"",IFERROR($L1607/INDEX(Cadastro!$E$6:$E$8,MATCH($F1607,Cadastro!$B$6:$B$8,0)),""))</f>
        <v/>
      </c>
      <c r="N1607" s="43" t="str">
        <f aca="false">IF(OR($L1607="",$I1607="",$I1607=0),"",$L1607/$I1607)</f>
        <v/>
      </c>
      <c r="O1607" s="51"/>
    </row>
    <row r="1608" customFormat="false" ht="15" hidden="false" customHeight="false" outlineLevel="0" collapsed="false">
      <c r="A1608" s="45"/>
      <c r="B1608" s="37" t="str">
        <f aca="false">IF($A1608="","",WEEKNUM($A1608,2))</f>
        <v/>
      </c>
      <c r="C1608" s="37" t="str">
        <f aca="false">IF($A1608="","",CHOOSE(WEEKDAY($A1608,2),"Seg","Ter","Qua","Qui","Sex","Sáb","Dom"))</f>
        <v/>
      </c>
      <c r="D1608" s="46"/>
      <c r="E1608" s="47"/>
      <c r="F1608" s="47"/>
      <c r="G1608" s="48"/>
      <c r="H1608" s="49"/>
      <c r="I1608" s="50"/>
      <c r="J1608" s="48"/>
      <c r="K1608" s="49"/>
      <c r="L1608" s="50"/>
      <c r="M1608" s="43" t="str">
        <f aca="false">IF(OR($L1608="",$F1608=""),"",IFERROR($L1608/INDEX(Cadastro!$E$6:$E$8,MATCH($F1608,Cadastro!$B$6:$B$8,0)),""))</f>
        <v/>
      </c>
      <c r="N1608" s="43" t="str">
        <f aca="false">IF(OR($L1608="",$I1608="",$I1608=0),"",$L1608/$I1608)</f>
        <v/>
      </c>
      <c r="O1608" s="51"/>
    </row>
    <row r="1609" customFormat="false" ht="15" hidden="false" customHeight="false" outlineLevel="0" collapsed="false">
      <c r="A1609" s="45"/>
      <c r="B1609" s="37" t="str">
        <f aca="false">IF($A1609="","",WEEKNUM($A1609,2))</f>
        <v/>
      </c>
      <c r="C1609" s="37" t="str">
        <f aca="false">IF($A1609="","",CHOOSE(WEEKDAY($A1609,2),"Seg","Ter","Qua","Qui","Sex","Sáb","Dom"))</f>
        <v/>
      </c>
      <c r="D1609" s="46"/>
      <c r="E1609" s="47"/>
      <c r="F1609" s="47"/>
      <c r="G1609" s="48"/>
      <c r="H1609" s="49"/>
      <c r="I1609" s="50"/>
      <c r="J1609" s="48"/>
      <c r="K1609" s="49"/>
      <c r="L1609" s="50"/>
      <c r="M1609" s="43" t="str">
        <f aca="false">IF(OR($L1609="",$F1609=""),"",IFERROR($L1609/INDEX(Cadastro!$E$6:$E$8,MATCH($F1609,Cadastro!$B$6:$B$8,0)),""))</f>
        <v/>
      </c>
      <c r="N1609" s="43" t="str">
        <f aca="false">IF(OR($L1609="",$I1609="",$I1609=0),"",$L1609/$I1609)</f>
        <v/>
      </c>
      <c r="O1609" s="51"/>
    </row>
    <row r="1610" customFormat="false" ht="15" hidden="false" customHeight="false" outlineLevel="0" collapsed="false">
      <c r="A1610" s="45"/>
      <c r="B1610" s="37" t="str">
        <f aca="false">IF($A1610="","",WEEKNUM($A1610,2))</f>
        <v/>
      </c>
      <c r="C1610" s="37" t="str">
        <f aca="false">IF($A1610="","",CHOOSE(WEEKDAY($A1610,2),"Seg","Ter","Qua","Qui","Sex","Sáb","Dom"))</f>
        <v/>
      </c>
      <c r="D1610" s="46"/>
      <c r="E1610" s="47"/>
      <c r="F1610" s="47"/>
      <c r="G1610" s="48"/>
      <c r="H1610" s="49"/>
      <c r="I1610" s="50"/>
      <c r="J1610" s="48"/>
      <c r="K1610" s="49"/>
      <c r="L1610" s="50"/>
      <c r="M1610" s="43" t="str">
        <f aca="false">IF(OR($L1610="",$F1610=""),"",IFERROR($L1610/INDEX(Cadastro!$E$6:$E$8,MATCH($F1610,Cadastro!$B$6:$B$8,0)),""))</f>
        <v/>
      </c>
      <c r="N1610" s="43" t="str">
        <f aca="false">IF(OR($L1610="",$I1610="",$I1610=0),"",$L1610/$I1610)</f>
        <v/>
      </c>
      <c r="O1610" s="51"/>
    </row>
    <row r="1611" customFormat="false" ht="15" hidden="false" customHeight="false" outlineLevel="0" collapsed="false">
      <c r="A1611" s="45"/>
      <c r="B1611" s="37" t="str">
        <f aca="false">IF($A1611="","",WEEKNUM($A1611,2))</f>
        <v/>
      </c>
      <c r="C1611" s="37" t="str">
        <f aca="false">IF($A1611="","",CHOOSE(WEEKDAY($A1611,2),"Seg","Ter","Qua","Qui","Sex","Sáb","Dom"))</f>
        <v/>
      </c>
      <c r="D1611" s="46"/>
      <c r="E1611" s="47"/>
      <c r="F1611" s="47"/>
      <c r="G1611" s="48"/>
      <c r="H1611" s="49"/>
      <c r="I1611" s="50"/>
      <c r="J1611" s="48"/>
      <c r="K1611" s="49"/>
      <c r="L1611" s="50"/>
      <c r="M1611" s="43" t="str">
        <f aca="false">IF(OR($L1611="",$F1611=""),"",IFERROR($L1611/INDEX(Cadastro!$E$6:$E$8,MATCH($F1611,Cadastro!$B$6:$B$8,0)),""))</f>
        <v/>
      </c>
      <c r="N1611" s="43" t="str">
        <f aca="false">IF(OR($L1611="",$I1611="",$I1611=0),"",$L1611/$I1611)</f>
        <v/>
      </c>
      <c r="O1611" s="51"/>
    </row>
    <row r="1612" customFormat="false" ht="15" hidden="false" customHeight="false" outlineLevel="0" collapsed="false">
      <c r="A1612" s="45"/>
      <c r="B1612" s="37" t="str">
        <f aca="false">IF($A1612="","",WEEKNUM($A1612,2))</f>
        <v/>
      </c>
      <c r="C1612" s="37" t="str">
        <f aca="false">IF($A1612="","",CHOOSE(WEEKDAY($A1612,2),"Seg","Ter","Qua","Qui","Sex","Sáb","Dom"))</f>
        <v/>
      </c>
      <c r="D1612" s="46"/>
      <c r="E1612" s="47"/>
      <c r="F1612" s="47"/>
      <c r="G1612" s="48"/>
      <c r="H1612" s="49"/>
      <c r="I1612" s="50"/>
      <c r="J1612" s="48"/>
      <c r="K1612" s="49"/>
      <c r="L1612" s="50"/>
      <c r="M1612" s="43" t="str">
        <f aca="false">IF(OR($L1612="",$F1612=""),"",IFERROR($L1612/INDEX(Cadastro!$E$6:$E$8,MATCH($F1612,Cadastro!$B$6:$B$8,0)),""))</f>
        <v/>
      </c>
      <c r="N1612" s="43" t="str">
        <f aca="false">IF(OR($L1612="",$I1612="",$I1612=0),"",$L1612/$I1612)</f>
        <v/>
      </c>
      <c r="O1612" s="51"/>
    </row>
    <row r="1613" customFormat="false" ht="15" hidden="false" customHeight="false" outlineLevel="0" collapsed="false">
      <c r="A1613" s="45"/>
      <c r="B1613" s="37" t="str">
        <f aca="false">IF($A1613="","",WEEKNUM($A1613,2))</f>
        <v/>
      </c>
      <c r="C1613" s="37" t="str">
        <f aca="false">IF($A1613="","",CHOOSE(WEEKDAY($A1613,2),"Seg","Ter","Qua","Qui","Sex","Sáb","Dom"))</f>
        <v/>
      </c>
      <c r="D1613" s="46"/>
      <c r="E1613" s="47"/>
      <c r="F1613" s="47"/>
      <c r="G1613" s="48"/>
      <c r="H1613" s="49"/>
      <c r="I1613" s="50"/>
      <c r="J1613" s="48"/>
      <c r="K1613" s="49"/>
      <c r="L1613" s="50"/>
      <c r="M1613" s="43" t="str">
        <f aca="false">IF(OR($L1613="",$F1613=""),"",IFERROR($L1613/INDEX(Cadastro!$E$6:$E$8,MATCH($F1613,Cadastro!$B$6:$B$8,0)),""))</f>
        <v/>
      </c>
      <c r="N1613" s="43" t="str">
        <f aca="false">IF(OR($L1613="",$I1613="",$I1613=0),"",$L1613/$I1613)</f>
        <v/>
      </c>
      <c r="O1613" s="51"/>
    </row>
    <row r="1614" customFormat="false" ht="15" hidden="false" customHeight="false" outlineLevel="0" collapsed="false">
      <c r="A1614" s="45"/>
      <c r="B1614" s="37" t="str">
        <f aca="false">IF($A1614="","",WEEKNUM($A1614,2))</f>
        <v/>
      </c>
      <c r="C1614" s="37" t="str">
        <f aca="false">IF($A1614="","",CHOOSE(WEEKDAY($A1614,2),"Seg","Ter","Qua","Qui","Sex","Sáb","Dom"))</f>
        <v/>
      </c>
      <c r="D1614" s="46"/>
      <c r="E1614" s="47"/>
      <c r="F1614" s="47"/>
      <c r="G1614" s="48"/>
      <c r="H1614" s="49"/>
      <c r="I1614" s="50"/>
      <c r="J1614" s="48"/>
      <c r="K1614" s="49"/>
      <c r="L1614" s="50"/>
      <c r="M1614" s="43" t="str">
        <f aca="false">IF(OR($L1614="",$F1614=""),"",IFERROR($L1614/INDEX(Cadastro!$E$6:$E$8,MATCH($F1614,Cadastro!$B$6:$B$8,0)),""))</f>
        <v/>
      </c>
      <c r="N1614" s="43" t="str">
        <f aca="false">IF(OR($L1614="",$I1614="",$I1614=0),"",$L1614/$I1614)</f>
        <v/>
      </c>
      <c r="O1614" s="51"/>
    </row>
    <row r="1615" customFormat="false" ht="15" hidden="false" customHeight="false" outlineLevel="0" collapsed="false">
      <c r="A1615" s="45"/>
      <c r="B1615" s="37" t="str">
        <f aca="false">IF($A1615="","",WEEKNUM($A1615,2))</f>
        <v/>
      </c>
      <c r="C1615" s="37" t="str">
        <f aca="false">IF($A1615="","",CHOOSE(WEEKDAY($A1615,2),"Seg","Ter","Qua","Qui","Sex","Sáb","Dom"))</f>
        <v/>
      </c>
      <c r="D1615" s="46"/>
      <c r="E1615" s="47"/>
      <c r="F1615" s="47"/>
      <c r="G1615" s="48"/>
      <c r="H1615" s="49"/>
      <c r="I1615" s="50"/>
      <c r="J1615" s="48"/>
      <c r="K1615" s="49"/>
      <c r="L1615" s="50"/>
      <c r="M1615" s="43" t="str">
        <f aca="false">IF(OR($L1615="",$F1615=""),"",IFERROR($L1615/INDEX(Cadastro!$E$6:$E$8,MATCH($F1615,Cadastro!$B$6:$B$8,0)),""))</f>
        <v/>
      </c>
      <c r="N1615" s="43" t="str">
        <f aca="false">IF(OR($L1615="",$I1615="",$I1615=0),"",$L1615/$I1615)</f>
        <v/>
      </c>
      <c r="O1615" s="51"/>
    </row>
    <row r="1616" customFormat="false" ht="15" hidden="false" customHeight="false" outlineLevel="0" collapsed="false">
      <c r="A1616" s="45"/>
      <c r="B1616" s="37" t="str">
        <f aca="false">IF($A1616="","",WEEKNUM($A1616,2))</f>
        <v/>
      </c>
      <c r="C1616" s="37" t="str">
        <f aca="false">IF($A1616="","",CHOOSE(WEEKDAY($A1616,2),"Seg","Ter","Qua","Qui","Sex","Sáb","Dom"))</f>
        <v/>
      </c>
      <c r="D1616" s="46"/>
      <c r="E1616" s="47"/>
      <c r="F1616" s="47"/>
      <c r="G1616" s="48"/>
      <c r="H1616" s="49"/>
      <c r="I1616" s="50"/>
      <c r="J1616" s="48"/>
      <c r="K1616" s="49"/>
      <c r="L1616" s="50"/>
      <c r="M1616" s="43" t="str">
        <f aca="false">IF(OR($L1616="",$F1616=""),"",IFERROR($L1616/INDEX(Cadastro!$E$6:$E$8,MATCH($F1616,Cadastro!$B$6:$B$8,0)),""))</f>
        <v/>
      </c>
      <c r="N1616" s="43" t="str">
        <f aca="false">IF(OR($L1616="",$I1616="",$I1616=0),"",$L1616/$I1616)</f>
        <v/>
      </c>
      <c r="O1616" s="51"/>
    </row>
    <row r="1617" customFormat="false" ht="15" hidden="false" customHeight="false" outlineLevel="0" collapsed="false">
      <c r="A1617" s="45"/>
      <c r="B1617" s="37" t="str">
        <f aca="false">IF($A1617="","",WEEKNUM($A1617,2))</f>
        <v/>
      </c>
      <c r="C1617" s="37" t="str">
        <f aca="false">IF($A1617="","",CHOOSE(WEEKDAY($A1617,2),"Seg","Ter","Qua","Qui","Sex","Sáb","Dom"))</f>
        <v/>
      </c>
      <c r="D1617" s="46"/>
      <c r="E1617" s="47"/>
      <c r="F1617" s="47"/>
      <c r="G1617" s="48"/>
      <c r="H1617" s="49"/>
      <c r="I1617" s="50"/>
      <c r="J1617" s="48"/>
      <c r="K1617" s="49"/>
      <c r="L1617" s="50"/>
      <c r="M1617" s="43" t="str">
        <f aca="false">IF(OR($L1617="",$F1617=""),"",IFERROR($L1617/INDEX(Cadastro!$E$6:$E$8,MATCH($F1617,Cadastro!$B$6:$B$8,0)),""))</f>
        <v/>
      </c>
      <c r="N1617" s="43" t="str">
        <f aca="false">IF(OR($L1617="",$I1617="",$I1617=0),"",$L1617/$I1617)</f>
        <v/>
      </c>
      <c r="O1617" s="51"/>
    </row>
    <row r="1618" customFormat="false" ht="15" hidden="false" customHeight="false" outlineLevel="0" collapsed="false">
      <c r="A1618" s="45"/>
      <c r="B1618" s="37" t="str">
        <f aca="false">IF($A1618="","",WEEKNUM($A1618,2))</f>
        <v/>
      </c>
      <c r="C1618" s="37" t="str">
        <f aca="false">IF($A1618="","",CHOOSE(WEEKDAY($A1618,2),"Seg","Ter","Qua","Qui","Sex","Sáb","Dom"))</f>
        <v/>
      </c>
      <c r="D1618" s="46"/>
      <c r="E1618" s="47"/>
      <c r="F1618" s="47"/>
      <c r="G1618" s="48"/>
      <c r="H1618" s="49"/>
      <c r="I1618" s="50"/>
      <c r="J1618" s="48"/>
      <c r="K1618" s="49"/>
      <c r="L1618" s="50"/>
      <c r="M1618" s="43" t="str">
        <f aca="false">IF(OR($L1618="",$F1618=""),"",IFERROR($L1618/INDEX(Cadastro!$E$6:$E$8,MATCH($F1618,Cadastro!$B$6:$B$8,0)),""))</f>
        <v/>
      </c>
      <c r="N1618" s="43" t="str">
        <f aca="false">IF(OR($L1618="",$I1618="",$I1618=0),"",$L1618/$I1618)</f>
        <v/>
      </c>
      <c r="O1618" s="51"/>
    </row>
    <row r="1619" customFormat="false" ht="15" hidden="false" customHeight="false" outlineLevel="0" collapsed="false">
      <c r="A1619" s="45"/>
      <c r="B1619" s="37" t="str">
        <f aca="false">IF($A1619="","",WEEKNUM($A1619,2))</f>
        <v/>
      </c>
      <c r="C1619" s="37" t="str">
        <f aca="false">IF($A1619="","",CHOOSE(WEEKDAY($A1619,2),"Seg","Ter","Qua","Qui","Sex","Sáb","Dom"))</f>
        <v/>
      </c>
      <c r="D1619" s="46"/>
      <c r="E1619" s="47"/>
      <c r="F1619" s="47"/>
      <c r="G1619" s="48"/>
      <c r="H1619" s="49"/>
      <c r="I1619" s="50"/>
      <c r="J1619" s="48"/>
      <c r="K1619" s="49"/>
      <c r="L1619" s="50"/>
      <c r="M1619" s="43" t="str">
        <f aca="false">IF(OR($L1619="",$F1619=""),"",IFERROR($L1619/INDEX(Cadastro!$E$6:$E$8,MATCH($F1619,Cadastro!$B$6:$B$8,0)),""))</f>
        <v/>
      </c>
      <c r="N1619" s="43" t="str">
        <f aca="false">IF(OR($L1619="",$I1619="",$I1619=0),"",$L1619/$I1619)</f>
        <v/>
      </c>
      <c r="O1619" s="51"/>
    </row>
    <row r="1620" customFormat="false" ht="15" hidden="false" customHeight="false" outlineLevel="0" collapsed="false">
      <c r="A1620" s="45"/>
      <c r="B1620" s="37" t="str">
        <f aca="false">IF($A1620="","",WEEKNUM($A1620,2))</f>
        <v/>
      </c>
      <c r="C1620" s="37" t="str">
        <f aca="false">IF($A1620="","",CHOOSE(WEEKDAY($A1620,2),"Seg","Ter","Qua","Qui","Sex","Sáb","Dom"))</f>
        <v/>
      </c>
      <c r="D1620" s="46"/>
      <c r="E1620" s="47"/>
      <c r="F1620" s="47"/>
      <c r="G1620" s="48"/>
      <c r="H1620" s="49"/>
      <c r="I1620" s="50"/>
      <c r="J1620" s="48"/>
      <c r="K1620" s="49"/>
      <c r="L1620" s="50"/>
      <c r="M1620" s="43" t="str">
        <f aca="false">IF(OR($L1620="",$F1620=""),"",IFERROR($L1620/INDEX(Cadastro!$E$6:$E$8,MATCH($F1620,Cadastro!$B$6:$B$8,0)),""))</f>
        <v/>
      </c>
      <c r="N1620" s="43" t="str">
        <f aca="false">IF(OR($L1620="",$I1620="",$I1620=0),"",$L1620/$I1620)</f>
        <v/>
      </c>
      <c r="O1620" s="51"/>
    </row>
    <row r="1621" customFormat="false" ht="15" hidden="false" customHeight="false" outlineLevel="0" collapsed="false">
      <c r="A1621" s="45"/>
      <c r="B1621" s="37" t="str">
        <f aca="false">IF($A1621="","",WEEKNUM($A1621,2))</f>
        <v/>
      </c>
      <c r="C1621" s="37" t="str">
        <f aca="false">IF($A1621="","",CHOOSE(WEEKDAY($A1621,2),"Seg","Ter","Qua","Qui","Sex","Sáb","Dom"))</f>
        <v/>
      </c>
      <c r="D1621" s="46"/>
      <c r="E1621" s="47"/>
      <c r="F1621" s="47"/>
      <c r="G1621" s="48"/>
      <c r="H1621" s="49"/>
      <c r="I1621" s="50"/>
      <c r="J1621" s="48"/>
      <c r="K1621" s="49"/>
      <c r="L1621" s="50"/>
      <c r="M1621" s="43" t="str">
        <f aca="false">IF(OR($L1621="",$F1621=""),"",IFERROR($L1621/INDEX(Cadastro!$E$6:$E$8,MATCH($F1621,Cadastro!$B$6:$B$8,0)),""))</f>
        <v/>
      </c>
      <c r="N1621" s="43" t="str">
        <f aca="false">IF(OR($L1621="",$I1621="",$I1621=0),"",$L1621/$I1621)</f>
        <v/>
      </c>
      <c r="O1621" s="51"/>
    </row>
    <row r="1622" customFormat="false" ht="15" hidden="false" customHeight="false" outlineLevel="0" collapsed="false">
      <c r="A1622" s="45"/>
      <c r="B1622" s="37" t="str">
        <f aca="false">IF($A1622="","",WEEKNUM($A1622,2))</f>
        <v/>
      </c>
      <c r="C1622" s="37" t="str">
        <f aca="false">IF($A1622="","",CHOOSE(WEEKDAY($A1622,2),"Seg","Ter","Qua","Qui","Sex","Sáb","Dom"))</f>
        <v/>
      </c>
      <c r="D1622" s="46"/>
      <c r="E1622" s="47"/>
      <c r="F1622" s="47"/>
      <c r="G1622" s="48"/>
      <c r="H1622" s="49"/>
      <c r="I1622" s="50"/>
      <c r="J1622" s="48"/>
      <c r="K1622" s="49"/>
      <c r="L1622" s="50"/>
      <c r="M1622" s="43" t="str">
        <f aca="false">IF(OR($L1622="",$F1622=""),"",IFERROR($L1622/INDEX(Cadastro!$E$6:$E$8,MATCH($F1622,Cadastro!$B$6:$B$8,0)),""))</f>
        <v/>
      </c>
      <c r="N1622" s="43" t="str">
        <f aca="false">IF(OR($L1622="",$I1622="",$I1622=0),"",$L1622/$I1622)</f>
        <v/>
      </c>
      <c r="O1622" s="51"/>
    </row>
    <row r="1623" customFormat="false" ht="15" hidden="false" customHeight="false" outlineLevel="0" collapsed="false">
      <c r="A1623" s="45"/>
      <c r="B1623" s="37" t="str">
        <f aca="false">IF($A1623="","",WEEKNUM($A1623,2))</f>
        <v/>
      </c>
      <c r="C1623" s="37" t="str">
        <f aca="false">IF($A1623="","",CHOOSE(WEEKDAY($A1623,2),"Seg","Ter","Qua","Qui","Sex","Sáb","Dom"))</f>
        <v/>
      </c>
      <c r="D1623" s="46"/>
      <c r="E1623" s="47"/>
      <c r="F1623" s="47"/>
      <c r="G1623" s="48"/>
      <c r="H1623" s="49"/>
      <c r="I1623" s="50"/>
      <c r="J1623" s="48"/>
      <c r="K1623" s="49"/>
      <c r="L1623" s="50"/>
      <c r="M1623" s="43" t="str">
        <f aca="false">IF(OR($L1623="",$F1623=""),"",IFERROR($L1623/INDEX(Cadastro!$E$6:$E$8,MATCH($F1623,Cadastro!$B$6:$B$8,0)),""))</f>
        <v/>
      </c>
      <c r="N1623" s="43" t="str">
        <f aca="false">IF(OR($L1623="",$I1623="",$I1623=0),"",$L1623/$I1623)</f>
        <v/>
      </c>
      <c r="O1623" s="51"/>
    </row>
    <row r="1624" customFormat="false" ht="15" hidden="false" customHeight="false" outlineLevel="0" collapsed="false">
      <c r="A1624" s="45"/>
      <c r="B1624" s="37" t="str">
        <f aca="false">IF($A1624="","",WEEKNUM($A1624,2))</f>
        <v/>
      </c>
      <c r="C1624" s="37" t="str">
        <f aca="false">IF($A1624="","",CHOOSE(WEEKDAY($A1624,2),"Seg","Ter","Qua","Qui","Sex","Sáb","Dom"))</f>
        <v/>
      </c>
      <c r="D1624" s="46"/>
      <c r="E1624" s="47"/>
      <c r="F1624" s="47"/>
      <c r="G1624" s="48"/>
      <c r="H1624" s="49"/>
      <c r="I1624" s="50"/>
      <c r="J1624" s="48"/>
      <c r="K1624" s="49"/>
      <c r="L1624" s="50"/>
      <c r="M1624" s="43" t="str">
        <f aca="false">IF(OR($L1624="",$F1624=""),"",IFERROR($L1624/INDEX(Cadastro!$E$6:$E$8,MATCH($F1624,Cadastro!$B$6:$B$8,0)),""))</f>
        <v/>
      </c>
      <c r="N1624" s="43" t="str">
        <f aca="false">IF(OR($L1624="",$I1624="",$I1624=0),"",$L1624/$I1624)</f>
        <v/>
      </c>
      <c r="O1624" s="51"/>
    </row>
    <row r="1625" customFormat="false" ht="15" hidden="false" customHeight="false" outlineLevel="0" collapsed="false">
      <c r="A1625" s="45"/>
      <c r="B1625" s="37" t="str">
        <f aca="false">IF($A1625="","",WEEKNUM($A1625,2))</f>
        <v/>
      </c>
      <c r="C1625" s="37" t="str">
        <f aca="false">IF($A1625="","",CHOOSE(WEEKDAY($A1625,2),"Seg","Ter","Qua","Qui","Sex","Sáb","Dom"))</f>
        <v/>
      </c>
      <c r="D1625" s="46"/>
      <c r="E1625" s="47"/>
      <c r="F1625" s="47"/>
      <c r="G1625" s="48"/>
      <c r="H1625" s="49"/>
      <c r="I1625" s="50"/>
      <c r="J1625" s="48"/>
      <c r="K1625" s="49"/>
      <c r="L1625" s="50"/>
      <c r="M1625" s="43" t="str">
        <f aca="false">IF(OR($L1625="",$F1625=""),"",IFERROR($L1625/INDEX(Cadastro!$E$6:$E$8,MATCH($F1625,Cadastro!$B$6:$B$8,0)),""))</f>
        <v/>
      </c>
      <c r="N1625" s="43" t="str">
        <f aca="false">IF(OR($L1625="",$I1625="",$I1625=0),"",$L1625/$I1625)</f>
        <v/>
      </c>
      <c r="O1625" s="51"/>
    </row>
    <row r="1626" customFormat="false" ht="15" hidden="false" customHeight="false" outlineLevel="0" collapsed="false">
      <c r="A1626" s="45"/>
      <c r="B1626" s="37" t="str">
        <f aca="false">IF($A1626="","",WEEKNUM($A1626,2))</f>
        <v/>
      </c>
      <c r="C1626" s="37" t="str">
        <f aca="false">IF($A1626="","",CHOOSE(WEEKDAY($A1626,2),"Seg","Ter","Qua","Qui","Sex","Sáb","Dom"))</f>
        <v/>
      </c>
      <c r="D1626" s="46"/>
      <c r="E1626" s="47"/>
      <c r="F1626" s="47"/>
      <c r="G1626" s="48"/>
      <c r="H1626" s="49"/>
      <c r="I1626" s="50"/>
      <c r="J1626" s="48"/>
      <c r="K1626" s="49"/>
      <c r="L1626" s="50"/>
      <c r="M1626" s="43" t="str">
        <f aca="false">IF(OR($L1626="",$F1626=""),"",IFERROR($L1626/INDEX(Cadastro!$E$6:$E$8,MATCH($F1626,Cadastro!$B$6:$B$8,0)),""))</f>
        <v/>
      </c>
      <c r="N1626" s="43" t="str">
        <f aca="false">IF(OR($L1626="",$I1626="",$I1626=0),"",$L1626/$I1626)</f>
        <v/>
      </c>
      <c r="O1626" s="51"/>
    </row>
    <row r="1627" customFormat="false" ht="15" hidden="false" customHeight="false" outlineLevel="0" collapsed="false">
      <c r="A1627" s="45"/>
      <c r="B1627" s="37" t="str">
        <f aca="false">IF($A1627="","",WEEKNUM($A1627,2))</f>
        <v/>
      </c>
      <c r="C1627" s="37" t="str">
        <f aca="false">IF($A1627="","",CHOOSE(WEEKDAY($A1627,2),"Seg","Ter","Qua","Qui","Sex","Sáb","Dom"))</f>
        <v/>
      </c>
      <c r="D1627" s="46"/>
      <c r="E1627" s="47"/>
      <c r="F1627" s="47"/>
      <c r="G1627" s="48"/>
      <c r="H1627" s="49"/>
      <c r="I1627" s="50"/>
      <c r="J1627" s="48"/>
      <c r="K1627" s="49"/>
      <c r="L1627" s="50"/>
      <c r="M1627" s="43" t="str">
        <f aca="false">IF(OR($L1627="",$F1627=""),"",IFERROR($L1627/INDEX(Cadastro!$E$6:$E$8,MATCH($F1627,Cadastro!$B$6:$B$8,0)),""))</f>
        <v/>
      </c>
      <c r="N1627" s="43" t="str">
        <f aca="false">IF(OR($L1627="",$I1627="",$I1627=0),"",$L1627/$I1627)</f>
        <v/>
      </c>
      <c r="O1627" s="51"/>
    </row>
    <row r="1628" customFormat="false" ht="15" hidden="false" customHeight="false" outlineLevel="0" collapsed="false">
      <c r="A1628" s="45"/>
      <c r="B1628" s="37" t="str">
        <f aca="false">IF($A1628="","",WEEKNUM($A1628,2))</f>
        <v/>
      </c>
      <c r="C1628" s="37" t="str">
        <f aca="false">IF($A1628="","",CHOOSE(WEEKDAY($A1628,2),"Seg","Ter","Qua","Qui","Sex","Sáb","Dom"))</f>
        <v/>
      </c>
      <c r="D1628" s="46"/>
      <c r="E1628" s="47"/>
      <c r="F1628" s="47"/>
      <c r="G1628" s="48"/>
      <c r="H1628" s="49"/>
      <c r="I1628" s="50"/>
      <c r="J1628" s="48"/>
      <c r="K1628" s="49"/>
      <c r="L1628" s="50"/>
      <c r="M1628" s="43" t="str">
        <f aca="false">IF(OR($L1628="",$F1628=""),"",IFERROR($L1628/INDEX(Cadastro!$E$6:$E$8,MATCH($F1628,Cadastro!$B$6:$B$8,0)),""))</f>
        <v/>
      </c>
      <c r="N1628" s="43" t="str">
        <f aca="false">IF(OR($L1628="",$I1628="",$I1628=0),"",$L1628/$I1628)</f>
        <v/>
      </c>
      <c r="O1628" s="51"/>
    </row>
    <row r="1629" customFormat="false" ht="15" hidden="false" customHeight="false" outlineLevel="0" collapsed="false">
      <c r="A1629" s="45"/>
      <c r="B1629" s="37" t="str">
        <f aca="false">IF($A1629="","",WEEKNUM($A1629,2))</f>
        <v/>
      </c>
      <c r="C1629" s="37" t="str">
        <f aca="false">IF($A1629="","",CHOOSE(WEEKDAY($A1629,2),"Seg","Ter","Qua","Qui","Sex","Sáb","Dom"))</f>
        <v/>
      </c>
      <c r="D1629" s="46"/>
      <c r="E1629" s="47"/>
      <c r="F1629" s="47"/>
      <c r="G1629" s="48"/>
      <c r="H1629" s="49"/>
      <c r="I1629" s="50"/>
      <c r="J1629" s="48"/>
      <c r="K1629" s="49"/>
      <c r="L1629" s="50"/>
      <c r="M1629" s="43" t="str">
        <f aca="false">IF(OR($L1629="",$F1629=""),"",IFERROR($L1629/INDEX(Cadastro!$E$6:$E$8,MATCH($F1629,Cadastro!$B$6:$B$8,0)),""))</f>
        <v/>
      </c>
      <c r="N1629" s="43" t="str">
        <f aca="false">IF(OR($L1629="",$I1629="",$I1629=0),"",$L1629/$I1629)</f>
        <v/>
      </c>
      <c r="O1629" s="51"/>
    </row>
    <row r="1630" customFormat="false" ht="15" hidden="false" customHeight="false" outlineLevel="0" collapsed="false">
      <c r="A1630" s="45"/>
      <c r="B1630" s="37" t="str">
        <f aca="false">IF($A1630="","",WEEKNUM($A1630,2))</f>
        <v/>
      </c>
      <c r="C1630" s="37" t="str">
        <f aca="false">IF($A1630="","",CHOOSE(WEEKDAY($A1630,2),"Seg","Ter","Qua","Qui","Sex","Sáb","Dom"))</f>
        <v/>
      </c>
      <c r="D1630" s="46"/>
      <c r="E1630" s="47"/>
      <c r="F1630" s="47"/>
      <c r="G1630" s="48"/>
      <c r="H1630" s="49"/>
      <c r="I1630" s="50"/>
      <c r="J1630" s="48"/>
      <c r="K1630" s="49"/>
      <c r="L1630" s="50"/>
      <c r="M1630" s="43" t="str">
        <f aca="false">IF(OR($L1630="",$F1630=""),"",IFERROR($L1630/INDEX(Cadastro!$E$6:$E$8,MATCH($F1630,Cadastro!$B$6:$B$8,0)),""))</f>
        <v/>
      </c>
      <c r="N1630" s="43" t="str">
        <f aca="false">IF(OR($L1630="",$I1630="",$I1630=0),"",$L1630/$I1630)</f>
        <v/>
      </c>
      <c r="O1630" s="51"/>
    </row>
    <row r="1631" customFormat="false" ht="15" hidden="false" customHeight="false" outlineLevel="0" collapsed="false">
      <c r="A1631" s="45"/>
      <c r="B1631" s="37" t="str">
        <f aca="false">IF($A1631="","",WEEKNUM($A1631,2))</f>
        <v/>
      </c>
      <c r="C1631" s="37" t="str">
        <f aca="false">IF($A1631="","",CHOOSE(WEEKDAY($A1631,2),"Seg","Ter","Qua","Qui","Sex","Sáb","Dom"))</f>
        <v/>
      </c>
      <c r="D1631" s="46"/>
      <c r="E1631" s="47"/>
      <c r="F1631" s="47"/>
      <c r="G1631" s="48"/>
      <c r="H1631" s="49"/>
      <c r="I1631" s="50"/>
      <c r="J1631" s="48"/>
      <c r="K1631" s="49"/>
      <c r="L1631" s="50"/>
      <c r="M1631" s="43" t="str">
        <f aca="false">IF(OR($L1631="",$F1631=""),"",IFERROR($L1631/INDEX(Cadastro!$E$6:$E$8,MATCH($F1631,Cadastro!$B$6:$B$8,0)),""))</f>
        <v/>
      </c>
      <c r="N1631" s="43" t="str">
        <f aca="false">IF(OR($L1631="",$I1631="",$I1631=0),"",$L1631/$I1631)</f>
        <v/>
      </c>
      <c r="O1631" s="51"/>
    </row>
    <row r="1632" customFormat="false" ht="15" hidden="false" customHeight="false" outlineLevel="0" collapsed="false">
      <c r="A1632" s="45"/>
      <c r="B1632" s="37" t="str">
        <f aca="false">IF($A1632="","",WEEKNUM($A1632,2))</f>
        <v/>
      </c>
      <c r="C1632" s="37" t="str">
        <f aca="false">IF($A1632="","",CHOOSE(WEEKDAY($A1632,2),"Seg","Ter","Qua","Qui","Sex","Sáb","Dom"))</f>
        <v/>
      </c>
      <c r="D1632" s="46"/>
      <c r="E1632" s="47"/>
      <c r="F1632" s="47"/>
      <c r="G1632" s="48"/>
      <c r="H1632" s="49"/>
      <c r="I1632" s="50"/>
      <c r="J1632" s="48"/>
      <c r="K1632" s="49"/>
      <c r="L1632" s="50"/>
      <c r="M1632" s="43" t="str">
        <f aca="false">IF(OR($L1632="",$F1632=""),"",IFERROR($L1632/INDEX(Cadastro!$E$6:$E$8,MATCH($F1632,Cadastro!$B$6:$B$8,0)),""))</f>
        <v/>
      </c>
      <c r="N1632" s="43" t="str">
        <f aca="false">IF(OR($L1632="",$I1632="",$I1632=0),"",$L1632/$I1632)</f>
        <v/>
      </c>
      <c r="O1632" s="51"/>
    </row>
    <row r="1633" customFormat="false" ht="15" hidden="false" customHeight="false" outlineLevel="0" collapsed="false">
      <c r="A1633" s="45"/>
      <c r="B1633" s="37" t="str">
        <f aca="false">IF($A1633="","",WEEKNUM($A1633,2))</f>
        <v/>
      </c>
      <c r="C1633" s="37" t="str">
        <f aca="false">IF($A1633="","",CHOOSE(WEEKDAY($A1633,2),"Seg","Ter","Qua","Qui","Sex","Sáb","Dom"))</f>
        <v/>
      </c>
      <c r="D1633" s="46"/>
      <c r="E1633" s="47"/>
      <c r="F1633" s="47"/>
      <c r="G1633" s="48"/>
      <c r="H1633" s="49"/>
      <c r="I1633" s="50"/>
      <c r="J1633" s="48"/>
      <c r="K1633" s="49"/>
      <c r="L1633" s="50"/>
      <c r="M1633" s="43" t="str">
        <f aca="false">IF(OR($L1633="",$F1633=""),"",IFERROR($L1633/INDEX(Cadastro!$E$6:$E$8,MATCH($F1633,Cadastro!$B$6:$B$8,0)),""))</f>
        <v/>
      </c>
      <c r="N1633" s="43" t="str">
        <f aca="false">IF(OR($L1633="",$I1633="",$I1633=0),"",$L1633/$I1633)</f>
        <v/>
      </c>
      <c r="O1633" s="51"/>
    </row>
    <row r="1634" customFormat="false" ht="15" hidden="false" customHeight="false" outlineLevel="0" collapsed="false">
      <c r="A1634" s="45"/>
      <c r="B1634" s="37" t="str">
        <f aca="false">IF($A1634="","",WEEKNUM($A1634,2))</f>
        <v/>
      </c>
      <c r="C1634" s="37" t="str">
        <f aca="false">IF($A1634="","",CHOOSE(WEEKDAY($A1634,2),"Seg","Ter","Qua","Qui","Sex","Sáb","Dom"))</f>
        <v/>
      </c>
      <c r="D1634" s="46"/>
      <c r="E1634" s="47"/>
      <c r="F1634" s="47"/>
      <c r="G1634" s="48"/>
      <c r="H1634" s="49"/>
      <c r="I1634" s="50"/>
      <c r="J1634" s="48"/>
      <c r="K1634" s="49"/>
      <c r="L1634" s="50"/>
      <c r="M1634" s="43" t="str">
        <f aca="false">IF(OR($L1634="",$F1634=""),"",IFERROR($L1634/INDEX(Cadastro!$E$6:$E$8,MATCH($F1634,Cadastro!$B$6:$B$8,0)),""))</f>
        <v/>
      </c>
      <c r="N1634" s="43" t="str">
        <f aca="false">IF(OR($L1634="",$I1634="",$I1634=0),"",$L1634/$I1634)</f>
        <v/>
      </c>
      <c r="O1634" s="51"/>
    </row>
    <row r="1635" customFormat="false" ht="15" hidden="false" customHeight="false" outlineLevel="0" collapsed="false">
      <c r="A1635" s="45"/>
      <c r="B1635" s="37" t="str">
        <f aca="false">IF($A1635="","",WEEKNUM($A1635,2))</f>
        <v/>
      </c>
      <c r="C1635" s="37" t="str">
        <f aca="false">IF($A1635="","",CHOOSE(WEEKDAY($A1635,2),"Seg","Ter","Qua","Qui","Sex","Sáb","Dom"))</f>
        <v/>
      </c>
      <c r="D1635" s="46"/>
      <c r="E1635" s="47"/>
      <c r="F1635" s="47"/>
      <c r="G1635" s="48"/>
      <c r="H1635" s="49"/>
      <c r="I1635" s="50"/>
      <c r="J1635" s="48"/>
      <c r="K1635" s="49"/>
      <c r="L1635" s="50"/>
      <c r="M1635" s="43" t="str">
        <f aca="false">IF(OR($L1635="",$F1635=""),"",IFERROR($L1635/INDEX(Cadastro!$E$6:$E$8,MATCH($F1635,Cadastro!$B$6:$B$8,0)),""))</f>
        <v/>
      </c>
      <c r="N1635" s="43" t="str">
        <f aca="false">IF(OR($L1635="",$I1635="",$I1635=0),"",$L1635/$I1635)</f>
        <v/>
      </c>
      <c r="O1635" s="51"/>
    </row>
    <row r="1636" customFormat="false" ht="15" hidden="false" customHeight="false" outlineLevel="0" collapsed="false">
      <c r="A1636" s="45"/>
      <c r="B1636" s="37" t="str">
        <f aca="false">IF($A1636="","",WEEKNUM($A1636,2))</f>
        <v/>
      </c>
      <c r="C1636" s="37" t="str">
        <f aca="false">IF($A1636="","",CHOOSE(WEEKDAY($A1636,2),"Seg","Ter","Qua","Qui","Sex","Sáb","Dom"))</f>
        <v/>
      </c>
      <c r="D1636" s="46"/>
      <c r="E1636" s="47"/>
      <c r="F1636" s="47"/>
      <c r="G1636" s="48"/>
      <c r="H1636" s="49"/>
      <c r="I1636" s="50"/>
      <c r="J1636" s="48"/>
      <c r="K1636" s="49"/>
      <c r="L1636" s="50"/>
      <c r="M1636" s="43" t="str">
        <f aca="false">IF(OR($L1636="",$F1636=""),"",IFERROR($L1636/INDEX(Cadastro!$E$6:$E$8,MATCH($F1636,Cadastro!$B$6:$B$8,0)),""))</f>
        <v/>
      </c>
      <c r="N1636" s="43" t="str">
        <f aca="false">IF(OR($L1636="",$I1636="",$I1636=0),"",$L1636/$I1636)</f>
        <v/>
      </c>
      <c r="O1636" s="51"/>
    </row>
    <row r="1637" customFormat="false" ht="15" hidden="false" customHeight="false" outlineLevel="0" collapsed="false">
      <c r="A1637" s="45"/>
      <c r="B1637" s="37" t="str">
        <f aca="false">IF($A1637="","",WEEKNUM($A1637,2))</f>
        <v/>
      </c>
      <c r="C1637" s="37" t="str">
        <f aca="false">IF($A1637="","",CHOOSE(WEEKDAY($A1637,2),"Seg","Ter","Qua","Qui","Sex","Sáb","Dom"))</f>
        <v/>
      </c>
      <c r="D1637" s="46"/>
      <c r="E1637" s="47"/>
      <c r="F1637" s="47"/>
      <c r="G1637" s="48"/>
      <c r="H1637" s="49"/>
      <c r="I1637" s="50"/>
      <c r="J1637" s="48"/>
      <c r="K1637" s="49"/>
      <c r="L1637" s="50"/>
      <c r="M1637" s="43" t="str">
        <f aca="false">IF(OR($L1637="",$F1637=""),"",IFERROR($L1637/INDEX(Cadastro!$E$6:$E$8,MATCH($F1637,Cadastro!$B$6:$B$8,0)),""))</f>
        <v/>
      </c>
      <c r="N1637" s="43" t="str">
        <f aca="false">IF(OR($L1637="",$I1637="",$I1637=0),"",$L1637/$I1637)</f>
        <v/>
      </c>
      <c r="O1637" s="51"/>
    </row>
    <row r="1638" customFormat="false" ht="15" hidden="false" customHeight="false" outlineLevel="0" collapsed="false">
      <c r="A1638" s="45"/>
      <c r="B1638" s="37" t="str">
        <f aca="false">IF($A1638="","",WEEKNUM($A1638,2))</f>
        <v/>
      </c>
      <c r="C1638" s="37" t="str">
        <f aca="false">IF($A1638="","",CHOOSE(WEEKDAY($A1638,2),"Seg","Ter","Qua","Qui","Sex","Sáb","Dom"))</f>
        <v/>
      </c>
      <c r="D1638" s="46"/>
      <c r="E1638" s="47"/>
      <c r="F1638" s="47"/>
      <c r="G1638" s="48"/>
      <c r="H1638" s="49"/>
      <c r="I1638" s="50"/>
      <c r="J1638" s="48"/>
      <c r="K1638" s="49"/>
      <c r="L1638" s="50"/>
      <c r="M1638" s="43" t="str">
        <f aca="false">IF(OR($L1638="",$F1638=""),"",IFERROR($L1638/INDEX(Cadastro!$E$6:$E$8,MATCH($F1638,Cadastro!$B$6:$B$8,0)),""))</f>
        <v/>
      </c>
      <c r="N1638" s="43" t="str">
        <f aca="false">IF(OR($L1638="",$I1638="",$I1638=0),"",$L1638/$I1638)</f>
        <v/>
      </c>
      <c r="O1638" s="51"/>
    </row>
    <row r="1639" customFormat="false" ht="15" hidden="false" customHeight="false" outlineLevel="0" collapsed="false">
      <c r="A1639" s="45"/>
      <c r="B1639" s="37" t="str">
        <f aca="false">IF($A1639="","",WEEKNUM($A1639,2))</f>
        <v/>
      </c>
      <c r="C1639" s="37" t="str">
        <f aca="false">IF($A1639="","",CHOOSE(WEEKDAY($A1639,2),"Seg","Ter","Qua","Qui","Sex","Sáb","Dom"))</f>
        <v/>
      </c>
      <c r="D1639" s="46"/>
      <c r="E1639" s="47"/>
      <c r="F1639" s="47"/>
      <c r="G1639" s="48"/>
      <c r="H1639" s="49"/>
      <c r="I1639" s="50"/>
      <c r="J1639" s="48"/>
      <c r="K1639" s="49"/>
      <c r="L1639" s="50"/>
      <c r="M1639" s="43" t="str">
        <f aca="false">IF(OR($L1639="",$F1639=""),"",IFERROR($L1639/INDEX(Cadastro!$E$6:$E$8,MATCH($F1639,Cadastro!$B$6:$B$8,0)),""))</f>
        <v/>
      </c>
      <c r="N1639" s="43" t="str">
        <f aca="false">IF(OR($L1639="",$I1639="",$I1639=0),"",$L1639/$I1639)</f>
        <v/>
      </c>
      <c r="O1639" s="51"/>
    </row>
    <row r="1640" customFormat="false" ht="15" hidden="false" customHeight="false" outlineLevel="0" collapsed="false">
      <c r="A1640" s="45"/>
      <c r="B1640" s="37" t="str">
        <f aca="false">IF($A1640="","",WEEKNUM($A1640,2))</f>
        <v/>
      </c>
      <c r="C1640" s="37" t="str">
        <f aca="false">IF($A1640="","",CHOOSE(WEEKDAY($A1640,2),"Seg","Ter","Qua","Qui","Sex","Sáb","Dom"))</f>
        <v/>
      </c>
      <c r="D1640" s="46"/>
      <c r="E1640" s="47"/>
      <c r="F1640" s="47"/>
      <c r="G1640" s="48"/>
      <c r="H1640" s="49"/>
      <c r="I1640" s="50"/>
      <c r="J1640" s="48"/>
      <c r="K1640" s="49"/>
      <c r="L1640" s="50"/>
      <c r="M1640" s="43" t="str">
        <f aca="false">IF(OR($L1640="",$F1640=""),"",IFERROR($L1640/INDEX(Cadastro!$E$6:$E$8,MATCH($F1640,Cadastro!$B$6:$B$8,0)),""))</f>
        <v/>
      </c>
      <c r="N1640" s="43" t="str">
        <f aca="false">IF(OR($L1640="",$I1640="",$I1640=0),"",$L1640/$I1640)</f>
        <v/>
      </c>
      <c r="O1640" s="51"/>
    </row>
    <row r="1641" customFormat="false" ht="15" hidden="false" customHeight="false" outlineLevel="0" collapsed="false">
      <c r="A1641" s="45"/>
      <c r="B1641" s="37" t="str">
        <f aca="false">IF($A1641="","",WEEKNUM($A1641,2))</f>
        <v/>
      </c>
      <c r="C1641" s="37" t="str">
        <f aca="false">IF($A1641="","",CHOOSE(WEEKDAY($A1641,2),"Seg","Ter","Qua","Qui","Sex","Sáb","Dom"))</f>
        <v/>
      </c>
      <c r="D1641" s="46"/>
      <c r="E1641" s="47"/>
      <c r="F1641" s="47"/>
      <c r="G1641" s="48"/>
      <c r="H1641" s="49"/>
      <c r="I1641" s="50"/>
      <c r="J1641" s="48"/>
      <c r="K1641" s="49"/>
      <c r="L1641" s="50"/>
      <c r="M1641" s="43" t="str">
        <f aca="false">IF(OR($L1641="",$F1641=""),"",IFERROR($L1641/INDEX(Cadastro!$E$6:$E$8,MATCH($F1641,Cadastro!$B$6:$B$8,0)),""))</f>
        <v/>
      </c>
      <c r="N1641" s="43" t="str">
        <f aca="false">IF(OR($L1641="",$I1641="",$I1641=0),"",$L1641/$I1641)</f>
        <v/>
      </c>
      <c r="O1641" s="51"/>
    </row>
    <row r="1642" customFormat="false" ht="15" hidden="false" customHeight="false" outlineLevel="0" collapsed="false">
      <c r="A1642" s="45"/>
      <c r="B1642" s="37" t="str">
        <f aca="false">IF($A1642="","",WEEKNUM($A1642,2))</f>
        <v/>
      </c>
      <c r="C1642" s="37" t="str">
        <f aca="false">IF($A1642="","",CHOOSE(WEEKDAY($A1642,2),"Seg","Ter","Qua","Qui","Sex","Sáb","Dom"))</f>
        <v/>
      </c>
      <c r="D1642" s="46"/>
      <c r="E1642" s="47"/>
      <c r="F1642" s="47"/>
      <c r="G1642" s="48"/>
      <c r="H1642" s="49"/>
      <c r="I1642" s="50"/>
      <c r="J1642" s="48"/>
      <c r="K1642" s="49"/>
      <c r="L1642" s="50"/>
      <c r="M1642" s="43" t="str">
        <f aca="false">IF(OR($L1642="",$F1642=""),"",IFERROR($L1642/INDEX(Cadastro!$E$6:$E$8,MATCH($F1642,Cadastro!$B$6:$B$8,0)),""))</f>
        <v/>
      </c>
      <c r="N1642" s="43" t="str">
        <f aca="false">IF(OR($L1642="",$I1642="",$I1642=0),"",$L1642/$I1642)</f>
        <v/>
      </c>
      <c r="O1642" s="51"/>
    </row>
    <row r="1643" customFormat="false" ht="15" hidden="false" customHeight="false" outlineLevel="0" collapsed="false">
      <c r="A1643" s="45"/>
      <c r="B1643" s="37" t="str">
        <f aca="false">IF($A1643="","",WEEKNUM($A1643,2))</f>
        <v/>
      </c>
      <c r="C1643" s="37" t="str">
        <f aca="false">IF($A1643="","",CHOOSE(WEEKDAY($A1643,2),"Seg","Ter","Qua","Qui","Sex","Sáb","Dom"))</f>
        <v/>
      </c>
      <c r="D1643" s="46"/>
      <c r="E1643" s="47"/>
      <c r="F1643" s="47"/>
      <c r="G1643" s="48"/>
      <c r="H1643" s="49"/>
      <c r="I1643" s="50"/>
      <c r="J1643" s="48"/>
      <c r="K1643" s="49"/>
      <c r="L1643" s="50"/>
      <c r="M1643" s="43" t="str">
        <f aca="false">IF(OR($L1643="",$F1643=""),"",IFERROR($L1643/INDEX(Cadastro!$E$6:$E$8,MATCH($F1643,Cadastro!$B$6:$B$8,0)),""))</f>
        <v/>
      </c>
      <c r="N1643" s="43" t="str">
        <f aca="false">IF(OR($L1643="",$I1643="",$I1643=0),"",$L1643/$I1643)</f>
        <v/>
      </c>
      <c r="O1643" s="51"/>
    </row>
    <row r="1644" customFormat="false" ht="15" hidden="false" customHeight="false" outlineLevel="0" collapsed="false">
      <c r="A1644" s="45"/>
      <c r="B1644" s="37" t="str">
        <f aca="false">IF($A1644="","",WEEKNUM($A1644,2))</f>
        <v/>
      </c>
      <c r="C1644" s="37" t="str">
        <f aca="false">IF($A1644="","",CHOOSE(WEEKDAY($A1644,2),"Seg","Ter","Qua","Qui","Sex","Sáb","Dom"))</f>
        <v/>
      </c>
      <c r="D1644" s="46"/>
      <c r="E1644" s="47"/>
      <c r="F1644" s="47"/>
      <c r="G1644" s="48"/>
      <c r="H1644" s="49"/>
      <c r="I1644" s="50"/>
      <c r="J1644" s="48"/>
      <c r="K1644" s="49"/>
      <c r="L1644" s="50"/>
      <c r="M1644" s="43" t="str">
        <f aca="false">IF(OR($L1644="",$F1644=""),"",IFERROR($L1644/INDEX(Cadastro!$E$6:$E$8,MATCH($F1644,Cadastro!$B$6:$B$8,0)),""))</f>
        <v/>
      </c>
      <c r="N1644" s="43" t="str">
        <f aca="false">IF(OR($L1644="",$I1644="",$I1644=0),"",$L1644/$I1644)</f>
        <v/>
      </c>
      <c r="O1644" s="51"/>
    </row>
    <row r="1645" customFormat="false" ht="15" hidden="false" customHeight="false" outlineLevel="0" collapsed="false">
      <c r="A1645" s="45"/>
      <c r="B1645" s="37" t="str">
        <f aca="false">IF($A1645="","",WEEKNUM($A1645,2))</f>
        <v/>
      </c>
      <c r="C1645" s="37" t="str">
        <f aca="false">IF($A1645="","",CHOOSE(WEEKDAY($A1645,2),"Seg","Ter","Qua","Qui","Sex","Sáb","Dom"))</f>
        <v/>
      </c>
      <c r="D1645" s="46"/>
      <c r="E1645" s="47"/>
      <c r="F1645" s="47"/>
      <c r="G1645" s="48"/>
      <c r="H1645" s="49"/>
      <c r="I1645" s="50"/>
      <c r="J1645" s="48"/>
      <c r="K1645" s="49"/>
      <c r="L1645" s="50"/>
      <c r="M1645" s="43" t="str">
        <f aca="false">IF(OR($L1645="",$F1645=""),"",IFERROR($L1645/INDEX(Cadastro!$E$6:$E$8,MATCH($F1645,Cadastro!$B$6:$B$8,0)),""))</f>
        <v/>
      </c>
      <c r="N1645" s="43" t="str">
        <f aca="false">IF(OR($L1645="",$I1645="",$I1645=0),"",$L1645/$I1645)</f>
        <v/>
      </c>
      <c r="O1645" s="51"/>
    </row>
    <row r="1646" customFormat="false" ht="15" hidden="false" customHeight="false" outlineLevel="0" collapsed="false">
      <c r="A1646" s="45"/>
      <c r="B1646" s="37" t="str">
        <f aca="false">IF($A1646="","",WEEKNUM($A1646,2))</f>
        <v/>
      </c>
      <c r="C1646" s="37" t="str">
        <f aca="false">IF($A1646="","",CHOOSE(WEEKDAY($A1646,2),"Seg","Ter","Qua","Qui","Sex","Sáb","Dom"))</f>
        <v/>
      </c>
      <c r="D1646" s="46"/>
      <c r="E1646" s="47"/>
      <c r="F1646" s="47"/>
      <c r="G1646" s="48"/>
      <c r="H1646" s="49"/>
      <c r="I1646" s="50"/>
      <c r="J1646" s="48"/>
      <c r="K1646" s="49"/>
      <c r="L1646" s="50"/>
      <c r="M1646" s="43" t="str">
        <f aca="false">IF(OR($L1646="",$F1646=""),"",IFERROR($L1646/INDEX(Cadastro!$E$6:$E$8,MATCH($F1646,Cadastro!$B$6:$B$8,0)),""))</f>
        <v/>
      </c>
      <c r="N1646" s="43" t="str">
        <f aca="false">IF(OR($L1646="",$I1646="",$I1646=0),"",$L1646/$I1646)</f>
        <v/>
      </c>
      <c r="O1646" s="51"/>
    </row>
    <row r="1647" customFormat="false" ht="15" hidden="false" customHeight="false" outlineLevel="0" collapsed="false">
      <c r="A1647" s="45"/>
      <c r="B1647" s="37" t="str">
        <f aca="false">IF($A1647="","",WEEKNUM($A1647,2))</f>
        <v/>
      </c>
      <c r="C1647" s="37" t="str">
        <f aca="false">IF($A1647="","",CHOOSE(WEEKDAY($A1647,2),"Seg","Ter","Qua","Qui","Sex","Sáb","Dom"))</f>
        <v/>
      </c>
      <c r="D1647" s="46"/>
      <c r="E1647" s="47"/>
      <c r="F1647" s="47"/>
      <c r="G1647" s="48"/>
      <c r="H1647" s="49"/>
      <c r="I1647" s="50"/>
      <c r="J1647" s="48"/>
      <c r="K1647" s="49"/>
      <c r="L1647" s="50"/>
      <c r="M1647" s="43" t="str">
        <f aca="false">IF(OR($L1647="",$F1647=""),"",IFERROR($L1647/INDEX(Cadastro!$E$6:$E$8,MATCH($F1647,Cadastro!$B$6:$B$8,0)),""))</f>
        <v/>
      </c>
      <c r="N1647" s="43" t="str">
        <f aca="false">IF(OR($L1647="",$I1647="",$I1647=0),"",$L1647/$I1647)</f>
        <v/>
      </c>
      <c r="O1647" s="51"/>
    </row>
    <row r="1648" customFormat="false" ht="15" hidden="false" customHeight="false" outlineLevel="0" collapsed="false">
      <c r="A1648" s="45"/>
      <c r="B1648" s="37" t="str">
        <f aca="false">IF($A1648="","",WEEKNUM($A1648,2))</f>
        <v/>
      </c>
      <c r="C1648" s="37" t="str">
        <f aca="false">IF($A1648="","",CHOOSE(WEEKDAY($A1648,2),"Seg","Ter","Qua","Qui","Sex","Sáb","Dom"))</f>
        <v/>
      </c>
      <c r="D1648" s="46"/>
      <c r="E1648" s="47"/>
      <c r="F1648" s="47"/>
      <c r="G1648" s="48"/>
      <c r="H1648" s="49"/>
      <c r="I1648" s="50"/>
      <c r="J1648" s="48"/>
      <c r="K1648" s="49"/>
      <c r="L1648" s="50"/>
      <c r="M1648" s="43" t="str">
        <f aca="false">IF(OR($L1648="",$F1648=""),"",IFERROR($L1648/INDEX(Cadastro!$E$6:$E$8,MATCH($F1648,Cadastro!$B$6:$B$8,0)),""))</f>
        <v/>
      </c>
      <c r="N1648" s="43" t="str">
        <f aca="false">IF(OR($L1648="",$I1648="",$I1648=0),"",$L1648/$I1648)</f>
        <v/>
      </c>
      <c r="O1648" s="51"/>
    </row>
    <row r="1649" customFormat="false" ht="15" hidden="false" customHeight="false" outlineLevel="0" collapsed="false">
      <c r="A1649" s="45"/>
      <c r="B1649" s="37" t="str">
        <f aca="false">IF($A1649="","",WEEKNUM($A1649,2))</f>
        <v/>
      </c>
      <c r="C1649" s="37" t="str">
        <f aca="false">IF($A1649="","",CHOOSE(WEEKDAY($A1649,2),"Seg","Ter","Qua","Qui","Sex","Sáb","Dom"))</f>
        <v/>
      </c>
      <c r="D1649" s="46"/>
      <c r="E1649" s="47"/>
      <c r="F1649" s="47"/>
      <c r="G1649" s="48"/>
      <c r="H1649" s="49"/>
      <c r="I1649" s="50"/>
      <c r="J1649" s="48"/>
      <c r="K1649" s="49"/>
      <c r="L1649" s="50"/>
      <c r="M1649" s="43" t="str">
        <f aca="false">IF(OR($L1649="",$F1649=""),"",IFERROR($L1649/INDEX(Cadastro!$E$6:$E$8,MATCH($F1649,Cadastro!$B$6:$B$8,0)),""))</f>
        <v/>
      </c>
      <c r="N1649" s="43" t="str">
        <f aca="false">IF(OR($L1649="",$I1649="",$I1649=0),"",$L1649/$I1649)</f>
        <v/>
      </c>
      <c r="O1649" s="51"/>
    </row>
    <row r="1650" customFormat="false" ht="15" hidden="false" customHeight="false" outlineLevel="0" collapsed="false">
      <c r="A1650" s="45"/>
      <c r="B1650" s="37" t="str">
        <f aca="false">IF($A1650="","",WEEKNUM($A1650,2))</f>
        <v/>
      </c>
      <c r="C1650" s="37" t="str">
        <f aca="false">IF($A1650="","",CHOOSE(WEEKDAY($A1650,2),"Seg","Ter","Qua","Qui","Sex","Sáb","Dom"))</f>
        <v/>
      </c>
      <c r="D1650" s="46"/>
      <c r="E1650" s="47"/>
      <c r="F1650" s="47"/>
      <c r="G1650" s="48"/>
      <c r="H1650" s="49"/>
      <c r="I1650" s="50"/>
      <c r="J1650" s="48"/>
      <c r="K1650" s="49"/>
      <c r="L1650" s="50"/>
      <c r="M1650" s="43" t="str">
        <f aca="false">IF(OR($L1650="",$F1650=""),"",IFERROR($L1650/INDEX(Cadastro!$E$6:$E$8,MATCH($F1650,Cadastro!$B$6:$B$8,0)),""))</f>
        <v/>
      </c>
      <c r="N1650" s="43" t="str">
        <f aca="false">IF(OR($L1650="",$I1650="",$I1650=0),"",$L1650/$I1650)</f>
        <v/>
      </c>
      <c r="O1650" s="51"/>
    </row>
    <row r="1651" customFormat="false" ht="15" hidden="false" customHeight="false" outlineLevel="0" collapsed="false">
      <c r="A1651" s="45"/>
      <c r="B1651" s="37" t="str">
        <f aca="false">IF($A1651="","",WEEKNUM($A1651,2))</f>
        <v/>
      </c>
      <c r="C1651" s="37" t="str">
        <f aca="false">IF($A1651="","",CHOOSE(WEEKDAY($A1651,2),"Seg","Ter","Qua","Qui","Sex","Sáb","Dom"))</f>
        <v/>
      </c>
      <c r="D1651" s="46"/>
      <c r="E1651" s="47"/>
      <c r="F1651" s="47"/>
      <c r="G1651" s="48"/>
      <c r="H1651" s="49"/>
      <c r="I1651" s="50"/>
      <c r="J1651" s="48"/>
      <c r="K1651" s="49"/>
      <c r="L1651" s="50"/>
      <c r="M1651" s="43" t="str">
        <f aca="false">IF(OR($L1651="",$F1651=""),"",IFERROR($L1651/INDEX(Cadastro!$E$6:$E$8,MATCH($F1651,Cadastro!$B$6:$B$8,0)),""))</f>
        <v/>
      </c>
      <c r="N1651" s="43" t="str">
        <f aca="false">IF(OR($L1651="",$I1651="",$I1651=0),"",$L1651/$I1651)</f>
        <v/>
      </c>
      <c r="O1651" s="51"/>
    </row>
    <row r="1652" customFormat="false" ht="15" hidden="false" customHeight="false" outlineLevel="0" collapsed="false">
      <c r="A1652" s="45"/>
      <c r="B1652" s="37" t="str">
        <f aca="false">IF($A1652="","",WEEKNUM($A1652,2))</f>
        <v/>
      </c>
      <c r="C1652" s="37" t="str">
        <f aca="false">IF($A1652="","",CHOOSE(WEEKDAY($A1652,2),"Seg","Ter","Qua","Qui","Sex","Sáb","Dom"))</f>
        <v/>
      </c>
      <c r="D1652" s="46"/>
      <c r="E1652" s="47"/>
      <c r="F1652" s="47"/>
      <c r="G1652" s="48"/>
      <c r="H1652" s="49"/>
      <c r="I1652" s="50"/>
      <c r="J1652" s="48"/>
      <c r="K1652" s="49"/>
      <c r="L1652" s="50"/>
      <c r="M1652" s="43" t="str">
        <f aca="false">IF(OR($L1652="",$F1652=""),"",IFERROR($L1652/INDEX(Cadastro!$E$6:$E$8,MATCH($F1652,Cadastro!$B$6:$B$8,0)),""))</f>
        <v/>
      </c>
      <c r="N1652" s="43" t="str">
        <f aca="false">IF(OR($L1652="",$I1652="",$I1652=0),"",$L1652/$I1652)</f>
        <v/>
      </c>
      <c r="O1652" s="51"/>
    </row>
    <row r="1653" customFormat="false" ht="15" hidden="false" customHeight="false" outlineLevel="0" collapsed="false">
      <c r="A1653" s="45"/>
      <c r="B1653" s="37" t="str">
        <f aca="false">IF($A1653="","",WEEKNUM($A1653,2))</f>
        <v/>
      </c>
      <c r="C1653" s="37" t="str">
        <f aca="false">IF($A1653="","",CHOOSE(WEEKDAY($A1653,2),"Seg","Ter","Qua","Qui","Sex","Sáb","Dom"))</f>
        <v/>
      </c>
      <c r="D1653" s="46"/>
      <c r="E1653" s="47"/>
      <c r="F1653" s="47"/>
      <c r="G1653" s="48"/>
      <c r="H1653" s="49"/>
      <c r="I1653" s="50"/>
      <c r="J1653" s="48"/>
      <c r="K1653" s="49"/>
      <c r="L1653" s="50"/>
      <c r="M1653" s="43" t="str">
        <f aca="false">IF(OR($L1653="",$F1653=""),"",IFERROR($L1653/INDEX(Cadastro!$E$6:$E$8,MATCH($F1653,Cadastro!$B$6:$B$8,0)),""))</f>
        <v/>
      </c>
      <c r="N1653" s="43" t="str">
        <f aca="false">IF(OR($L1653="",$I1653="",$I1653=0),"",$L1653/$I1653)</f>
        <v/>
      </c>
      <c r="O1653" s="51"/>
    </row>
    <row r="1654" customFormat="false" ht="15" hidden="false" customHeight="false" outlineLevel="0" collapsed="false">
      <c r="A1654" s="45"/>
      <c r="B1654" s="37" t="str">
        <f aca="false">IF($A1654="","",WEEKNUM($A1654,2))</f>
        <v/>
      </c>
      <c r="C1654" s="37" t="str">
        <f aca="false">IF($A1654="","",CHOOSE(WEEKDAY($A1654,2),"Seg","Ter","Qua","Qui","Sex","Sáb","Dom"))</f>
        <v/>
      </c>
      <c r="D1654" s="46"/>
      <c r="E1654" s="47"/>
      <c r="F1654" s="47"/>
      <c r="G1654" s="48"/>
      <c r="H1654" s="49"/>
      <c r="I1654" s="50"/>
      <c r="J1654" s="48"/>
      <c r="K1654" s="49"/>
      <c r="L1654" s="50"/>
      <c r="M1654" s="43" t="str">
        <f aca="false">IF(OR($L1654="",$F1654=""),"",IFERROR($L1654/INDEX(Cadastro!$E$6:$E$8,MATCH($F1654,Cadastro!$B$6:$B$8,0)),""))</f>
        <v/>
      </c>
      <c r="N1654" s="43" t="str">
        <f aca="false">IF(OR($L1654="",$I1654="",$I1654=0),"",$L1654/$I1654)</f>
        <v/>
      </c>
      <c r="O1654" s="51"/>
    </row>
    <row r="1655" customFormat="false" ht="15" hidden="false" customHeight="false" outlineLevel="0" collapsed="false">
      <c r="A1655" s="45"/>
      <c r="B1655" s="37" t="str">
        <f aca="false">IF($A1655="","",WEEKNUM($A1655,2))</f>
        <v/>
      </c>
      <c r="C1655" s="37" t="str">
        <f aca="false">IF($A1655="","",CHOOSE(WEEKDAY($A1655,2),"Seg","Ter","Qua","Qui","Sex","Sáb","Dom"))</f>
        <v/>
      </c>
      <c r="D1655" s="46"/>
      <c r="E1655" s="47"/>
      <c r="F1655" s="47"/>
      <c r="G1655" s="48"/>
      <c r="H1655" s="49"/>
      <c r="I1655" s="50"/>
      <c r="J1655" s="48"/>
      <c r="K1655" s="49"/>
      <c r="L1655" s="50"/>
      <c r="M1655" s="43" t="str">
        <f aca="false">IF(OR($L1655="",$F1655=""),"",IFERROR($L1655/INDEX(Cadastro!$E$6:$E$8,MATCH($F1655,Cadastro!$B$6:$B$8,0)),""))</f>
        <v/>
      </c>
      <c r="N1655" s="43" t="str">
        <f aca="false">IF(OR($L1655="",$I1655="",$I1655=0),"",$L1655/$I1655)</f>
        <v/>
      </c>
      <c r="O1655" s="51"/>
    </row>
    <row r="1656" customFormat="false" ht="15" hidden="false" customHeight="false" outlineLevel="0" collapsed="false">
      <c r="A1656" s="45"/>
      <c r="B1656" s="37" t="str">
        <f aca="false">IF($A1656="","",WEEKNUM($A1656,2))</f>
        <v/>
      </c>
      <c r="C1656" s="37" t="str">
        <f aca="false">IF($A1656="","",CHOOSE(WEEKDAY($A1656,2),"Seg","Ter","Qua","Qui","Sex","Sáb","Dom"))</f>
        <v/>
      </c>
      <c r="D1656" s="46"/>
      <c r="E1656" s="47"/>
      <c r="F1656" s="47"/>
      <c r="G1656" s="48"/>
      <c r="H1656" s="49"/>
      <c r="I1656" s="50"/>
      <c r="J1656" s="48"/>
      <c r="K1656" s="49"/>
      <c r="L1656" s="50"/>
      <c r="M1656" s="43" t="str">
        <f aca="false">IF(OR($L1656="",$F1656=""),"",IFERROR($L1656/INDEX(Cadastro!$E$6:$E$8,MATCH($F1656,Cadastro!$B$6:$B$8,0)),""))</f>
        <v/>
      </c>
      <c r="N1656" s="43" t="str">
        <f aca="false">IF(OR($L1656="",$I1656="",$I1656=0),"",$L1656/$I1656)</f>
        <v/>
      </c>
      <c r="O1656" s="51"/>
    </row>
    <row r="1657" customFormat="false" ht="15" hidden="false" customHeight="false" outlineLevel="0" collapsed="false">
      <c r="A1657" s="45"/>
      <c r="B1657" s="37" t="str">
        <f aca="false">IF($A1657="","",WEEKNUM($A1657,2))</f>
        <v/>
      </c>
      <c r="C1657" s="37" t="str">
        <f aca="false">IF($A1657="","",CHOOSE(WEEKDAY($A1657,2),"Seg","Ter","Qua","Qui","Sex","Sáb","Dom"))</f>
        <v/>
      </c>
      <c r="D1657" s="46"/>
      <c r="E1657" s="47"/>
      <c r="F1657" s="47"/>
      <c r="G1657" s="48"/>
      <c r="H1657" s="49"/>
      <c r="I1657" s="50"/>
      <c r="J1657" s="48"/>
      <c r="K1657" s="49"/>
      <c r="L1657" s="50"/>
      <c r="M1657" s="43" t="str">
        <f aca="false">IF(OR($L1657="",$F1657=""),"",IFERROR($L1657/INDEX(Cadastro!$E$6:$E$8,MATCH($F1657,Cadastro!$B$6:$B$8,0)),""))</f>
        <v/>
      </c>
      <c r="N1657" s="43" t="str">
        <f aca="false">IF(OR($L1657="",$I1657="",$I1657=0),"",$L1657/$I1657)</f>
        <v/>
      </c>
      <c r="O1657" s="51"/>
    </row>
    <row r="1658" customFormat="false" ht="15" hidden="false" customHeight="false" outlineLevel="0" collapsed="false">
      <c r="A1658" s="45"/>
      <c r="B1658" s="37" t="str">
        <f aca="false">IF($A1658="","",WEEKNUM($A1658,2))</f>
        <v/>
      </c>
      <c r="C1658" s="37" t="str">
        <f aca="false">IF($A1658="","",CHOOSE(WEEKDAY($A1658,2),"Seg","Ter","Qua","Qui","Sex","Sáb","Dom"))</f>
        <v/>
      </c>
      <c r="D1658" s="46"/>
      <c r="E1658" s="47"/>
      <c r="F1658" s="47"/>
      <c r="G1658" s="48"/>
      <c r="H1658" s="49"/>
      <c r="I1658" s="50"/>
      <c r="J1658" s="48"/>
      <c r="K1658" s="49"/>
      <c r="L1658" s="50"/>
      <c r="M1658" s="43" t="str">
        <f aca="false">IF(OR($L1658="",$F1658=""),"",IFERROR($L1658/INDEX(Cadastro!$E$6:$E$8,MATCH($F1658,Cadastro!$B$6:$B$8,0)),""))</f>
        <v/>
      </c>
      <c r="N1658" s="43" t="str">
        <f aca="false">IF(OR($L1658="",$I1658="",$I1658=0),"",$L1658/$I1658)</f>
        <v/>
      </c>
      <c r="O1658" s="51"/>
    </row>
    <row r="1659" customFormat="false" ht="15" hidden="false" customHeight="false" outlineLevel="0" collapsed="false">
      <c r="A1659" s="45"/>
      <c r="B1659" s="37" t="str">
        <f aca="false">IF($A1659="","",WEEKNUM($A1659,2))</f>
        <v/>
      </c>
      <c r="C1659" s="37" t="str">
        <f aca="false">IF($A1659="","",CHOOSE(WEEKDAY($A1659,2),"Seg","Ter","Qua","Qui","Sex","Sáb","Dom"))</f>
        <v/>
      </c>
      <c r="D1659" s="46"/>
      <c r="E1659" s="47"/>
      <c r="F1659" s="47"/>
      <c r="G1659" s="48"/>
      <c r="H1659" s="49"/>
      <c r="I1659" s="50"/>
      <c r="J1659" s="48"/>
      <c r="K1659" s="49"/>
      <c r="L1659" s="50"/>
      <c r="M1659" s="43" t="str">
        <f aca="false">IF(OR($L1659="",$F1659=""),"",IFERROR($L1659/INDEX(Cadastro!$E$6:$E$8,MATCH($F1659,Cadastro!$B$6:$B$8,0)),""))</f>
        <v/>
      </c>
      <c r="N1659" s="43" t="str">
        <f aca="false">IF(OR($L1659="",$I1659="",$I1659=0),"",$L1659/$I1659)</f>
        <v/>
      </c>
      <c r="O1659" s="51"/>
    </row>
    <row r="1660" customFormat="false" ht="15" hidden="false" customHeight="false" outlineLevel="0" collapsed="false">
      <c r="A1660" s="45"/>
      <c r="B1660" s="37" t="str">
        <f aca="false">IF($A1660="","",WEEKNUM($A1660,2))</f>
        <v/>
      </c>
      <c r="C1660" s="37" t="str">
        <f aca="false">IF($A1660="","",CHOOSE(WEEKDAY($A1660,2),"Seg","Ter","Qua","Qui","Sex","Sáb","Dom"))</f>
        <v/>
      </c>
      <c r="D1660" s="46"/>
      <c r="E1660" s="47"/>
      <c r="F1660" s="47"/>
      <c r="G1660" s="48"/>
      <c r="H1660" s="49"/>
      <c r="I1660" s="50"/>
      <c r="J1660" s="48"/>
      <c r="K1660" s="49"/>
      <c r="L1660" s="50"/>
      <c r="M1660" s="43" t="str">
        <f aca="false">IF(OR($L1660="",$F1660=""),"",IFERROR($L1660/INDEX(Cadastro!$E$6:$E$8,MATCH($F1660,Cadastro!$B$6:$B$8,0)),""))</f>
        <v/>
      </c>
      <c r="N1660" s="43" t="str">
        <f aca="false">IF(OR($L1660="",$I1660="",$I1660=0),"",$L1660/$I1660)</f>
        <v/>
      </c>
      <c r="O1660" s="51"/>
    </row>
    <row r="1661" customFormat="false" ht="15" hidden="false" customHeight="false" outlineLevel="0" collapsed="false">
      <c r="A1661" s="45"/>
      <c r="B1661" s="37" t="str">
        <f aca="false">IF($A1661="","",WEEKNUM($A1661,2))</f>
        <v/>
      </c>
      <c r="C1661" s="37" t="str">
        <f aca="false">IF($A1661="","",CHOOSE(WEEKDAY($A1661,2),"Seg","Ter","Qua","Qui","Sex","Sáb","Dom"))</f>
        <v/>
      </c>
      <c r="D1661" s="46"/>
      <c r="E1661" s="47"/>
      <c r="F1661" s="47"/>
      <c r="G1661" s="48"/>
      <c r="H1661" s="49"/>
      <c r="I1661" s="50"/>
      <c r="J1661" s="48"/>
      <c r="K1661" s="49"/>
      <c r="L1661" s="50"/>
      <c r="M1661" s="43" t="str">
        <f aca="false">IF(OR($L1661="",$F1661=""),"",IFERROR($L1661/INDEX(Cadastro!$E$6:$E$8,MATCH($F1661,Cadastro!$B$6:$B$8,0)),""))</f>
        <v/>
      </c>
      <c r="N1661" s="43" t="str">
        <f aca="false">IF(OR($L1661="",$I1661="",$I1661=0),"",$L1661/$I1661)</f>
        <v/>
      </c>
      <c r="O1661" s="51"/>
    </row>
    <row r="1662" customFormat="false" ht="15" hidden="false" customHeight="false" outlineLevel="0" collapsed="false">
      <c r="A1662" s="45"/>
      <c r="B1662" s="37" t="str">
        <f aca="false">IF($A1662="","",WEEKNUM($A1662,2))</f>
        <v/>
      </c>
      <c r="C1662" s="37" t="str">
        <f aca="false">IF($A1662="","",CHOOSE(WEEKDAY($A1662,2),"Seg","Ter","Qua","Qui","Sex","Sáb","Dom"))</f>
        <v/>
      </c>
      <c r="D1662" s="46"/>
      <c r="E1662" s="47"/>
      <c r="F1662" s="47"/>
      <c r="G1662" s="48"/>
      <c r="H1662" s="49"/>
      <c r="I1662" s="50"/>
      <c r="J1662" s="48"/>
      <c r="K1662" s="49"/>
      <c r="L1662" s="50"/>
      <c r="M1662" s="43" t="str">
        <f aca="false">IF(OR($L1662="",$F1662=""),"",IFERROR($L1662/INDEX(Cadastro!$E$6:$E$8,MATCH($F1662,Cadastro!$B$6:$B$8,0)),""))</f>
        <v/>
      </c>
      <c r="N1662" s="43" t="str">
        <f aca="false">IF(OR($L1662="",$I1662="",$I1662=0),"",$L1662/$I1662)</f>
        <v/>
      </c>
      <c r="O1662" s="51"/>
    </row>
    <row r="1663" customFormat="false" ht="15" hidden="false" customHeight="false" outlineLevel="0" collapsed="false">
      <c r="A1663" s="45"/>
      <c r="B1663" s="37" t="str">
        <f aca="false">IF($A1663="","",WEEKNUM($A1663,2))</f>
        <v/>
      </c>
      <c r="C1663" s="37" t="str">
        <f aca="false">IF($A1663="","",CHOOSE(WEEKDAY($A1663,2),"Seg","Ter","Qua","Qui","Sex","Sáb","Dom"))</f>
        <v/>
      </c>
      <c r="D1663" s="46"/>
      <c r="E1663" s="47"/>
      <c r="F1663" s="47"/>
      <c r="G1663" s="48"/>
      <c r="H1663" s="49"/>
      <c r="I1663" s="50"/>
      <c r="J1663" s="48"/>
      <c r="K1663" s="49"/>
      <c r="L1663" s="50"/>
      <c r="M1663" s="43" t="str">
        <f aca="false">IF(OR($L1663="",$F1663=""),"",IFERROR($L1663/INDEX(Cadastro!$E$6:$E$8,MATCH($F1663,Cadastro!$B$6:$B$8,0)),""))</f>
        <v/>
      </c>
      <c r="N1663" s="43" t="str">
        <f aca="false">IF(OR($L1663="",$I1663="",$I1663=0),"",$L1663/$I1663)</f>
        <v/>
      </c>
      <c r="O1663" s="51"/>
    </row>
    <row r="1664" customFormat="false" ht="15" hidden="false" customHeight="false" outlineLevel="0" collapsed="false">
      <c r="A1664" s="45"/>
      <c r="B1664" s="37" t="str">
        <f aca="false">IF($A1664="","",WEEKNUM($A1664,2))</f>
        <v/>
      </c>
      <c r="C1664" s="37" t="str">
        <f aca="false">IF($A1664="","",CHOOSE(WEEKDAY($A1664,2),"Seg","Ter","Qua","Qui","Sex","Sáb","Dom"))</f>
        <v/>
      </c>
      <c r="D1664" s="46"/>
      <c r="E1664" s="47"/>
      <c r="F1664" s="47"/>
      <c r="G1664" s="48"/>
      <c r="H1664" s="49"/>
      <c r="I1664" s="50"/>
      <c r="J1664" s="48"/>
      <c r="K1664" s="49"/>
      <c r="L1664" s="50"/>
      <c r="M1664" s="43" t="str">
        <f aca="false">IF(OR($L1664="",$F1664=""),"",IFERROR($L1664/INDEX(Cadastro!$E$6:$E$8,MATCH($F1664,Cadastro!$B$6:$B$8,0)),""))</f>
        <v/>
      </c>
      <c r="N1664" s="43" t="str">
        <f aca="false">IF(OR($L1664="",$I1664="",$I1664=0),"",$L1664/$I1664)</f>
        <v/>
      </c>
      <c r="O1664" s="51"/>
    </row>
    <row r="1665" customFormat="false" ht="15" hidden="false" customHeight="false" outlineLevel="0" collapsed="false">
      <c r="A1665" s="45"/>
      <c r="B1665" s="37" t="str">
        <f aca="false">IF($A1665="","",WEEKNUM($A1665,2))</f>
        <v/>
      </c>
      <c r="C1665" s="37" t="str">
        <f aca="false">IF($A1665="","",CHOOSE(WEEKDAY($A1665,2),"Seg","Ter","Qua","Qui","Sex","Sáb","Dom"))</f>
        <v/>
      </c>
      <c r="D1665" s="46"/>
      <c r="E1665" s="47"/>
      <c r="F1665" s="47"/>
      <c r="G1665" s="48"/>
      <c r="H1665" s="49"/>
      <c r="I1665" s="50"/>
      <c r="J1665" s="48"/>
      <c r="K1665" s="49"/>
      <c r="L1665" s="50"/>
      <c r="M1665" s="43" t="str">
        <f aca="false">IF(OR($L1665="",$F1665=""),"",IFERROR($L1665/INDEX(Cadastro!$E$6:$E$8,MATCH($F1665,Cadastro!$B$6:$B$8,0)),""))</f>
        <v/>
      </c>
      <c r="N1665" s="43" t="str">
        <f aca="false">IF(OR($L1665="",$I1665="",$I1665=0),"",$L1665/$I1665)</f>
        <v/>
      </c>
      <c r="O1665" s="51"/>
    </row>
    <row r="1666" customFormat="false" ht="15" hidden="false" customHeight="false" outlineLevel="0" collapsed="false">
      <c r="A1666" s="45"/>
      <c r="B1666" s="37" t="str">
        <f aca="false">IF($A1666="","",WEEKNUM($A1666,2))</f>
        <v/>
      </c>
      <c r="C1666" s="37" t="str">
        <f aca="false">IF($A1666="","",CHOOSE(WEEKDAY($A1666,2),"Seg","Ter","Qua","Qui","Sex","Sáb","Dom"))</f>
        <v/>
      </c>
      <c r="D1666" s="46"/>
      <c r="E1666" s="47"/>
      <c r="F1666" s="47"/>
      <c r="G1666" s="48"/>
      <c r="H1666" s="49"/>
      <c r="I1666" s="50"/>
      <c r="J1666" s="48"/>
      <c r="K1666" s="49"/>
      <c r="L1666" s="50"/>
      <c r="M1666" s="43" t="str">
        <f aca="false">IF(OR($L1666="",$F1666=""),"",IFERROR($L1666/INDEX(Cadastro!$E$6:$E$8,MATCH($F1666,Cadastro!$B$6:$B$8,0)),""))</f>
        <v/>
      </c>
      <c r="N1666" s="43" t="str">
        <f aca="false">IF(OR($L1666="",$I1666="",$I1666=0),"",$L1666/$I1666)</f>
        <v/>
      </c>
      <c r="O1666" s="51"/>
    </row>
    <row r="1667" customFormat="false" ht="15" hidden="false" customHeight="false" outlineLevel="0" collapsed="false">
      <c r="A1667" s="45"/>
      <c r="B1667" s="37" t="str">
        <f aca="false">IF($A1667="","",WEEKNUM($A1667,2))</f>
        <v/>
      </c>
      <c r="C1667" s="37" t="str">
        <f aca="false">IF($A1667="","",CHOOSE(WEEKDAY($A1667,2),"Seg","Ter","Qua","Qui","Sex","Sáb","Dom"))</f>
        <v/>
      </c>
      <c r="D1667" s="46"/>
      <c r="E1667" s="47"/>
      <c r="F1667" s="47"/>
      <c r="G1667" s="48"/>
      <c r="H1667" s="49"/>
      <c r="I1667" s="50"/>
      <c r="J1667" s="48"/>
      <c r="K1667" s="49"/>
      <c r="L1667" s="50"/>
      <c r="M1667" s="43" t="str">
        <f aca="false">IF(OR($L1667="",$F1667=""),"",IFERROR($L1667/INDEX(Cadastro!$E$6:$E$8,MATCH($F1667,Cadastro!$B$6:$B$8,0)),""))</f>
        <v/>
      </c>
      <c r="N1667" s="43" t="str">
        <f aca="false">IF(OR($L1667="",$I1667="",$I1667=0),"",$L1667/$I1667)</f>
        <v/>
      </c>
      <c r="O1667" s="51"/>
    </row>
    <row r="1668" customFormat="false" ht="15" hidden="false" customHeight="false" outlineLevel="0" collapsed="false">
      <c r="A1668" s="45"/>
      <c r="B1668" s="37" t="str">
        <f aca="false">IF($A1668="","",WEEKNUM($A1668,2))</f>
        <v/>
      </c>
      <c r="C1668" s="37" t="str">
        <f aca="false">IF($A1668="","",CHOOSE(WEEKDAY($A1668,2),"Seg","Ter","Qua","Qui","Sex","Sáb","Dom"))</f>
        <v/>
      </c>
      <c r="D1668" s="46"/>
      <c r="E1668" s="47"/>
      <c r="F1668" s="47"/>
      <c r="G1668" s="48"/>
      <c r="H1668" s="49"/>
      <c r="I1668" s="50"/>
      <c r="J1668" s="48"/>
      <c r="K1668" s="49"/>
      <c r="L1668" s="50"/>
      <c r="M1668" s="43" t="str">
        <f aca="false">IF(OR($L1668="",$F1668=""),"",IFERROR($L1668/INDEX(Cadastro!$E$6:$E$8,MATCH($F1668,Cadastro!$B$6:$B$8,0)),""))</f>
        <v/>
      </c>
      <c r="N1668" s="43" t="str">
        <f aca="false">IF(OR($L1668="",$I1668="",$I1668=0),"",$L1668/$I1668)</f>
        <v/>
      </c>
      <c r="O1668" s="51"/>
    </row>
    <row r="1669" customFormat="false" ht="15" hidden="false" customHeight="false" outlineLevel="0" collapsed="false">
      <c r="A1669" s="45"/>
      <c r="B1669" s="37" t="str">
        <f aca="false">IF($A1669="","",WEEKNUM($A1669,2))</f>
        <v/>
      </c>
      <c r="C1669" s="37" t="str">
        <f aca="false">IF($A1669="","",CHOOSE(WEEKDAY($A1669,2),"Seg","Ter","Qua","Qui","Sex","Sáb","Dom"))</f>
        <v/>
      </c>
      <c r="D1669" s="46"/>
      <c r="E1669" s="47"/>
      <c r="F1669" s="47"/>
      <c r="G1669" s="48"/>
      <c r="H1669" s="49"/>
      <c r="I1669" s="50"/>
      <c r="J1669" s="48"/>
      <c r="K1669" s="49"/>
      <c r="L1669" s="50"/>
      <c r="M1669" s="43" t="str">
        <f aca="false">IF(OR($L1669="",$F1669=""),"",IFERROR($L1669/INDEX(Cadastro!$E$6:$E$8,MATCH($F1669,Cadastro!$B$6:$B$8,0)),""))</f>
        <v/>
      </c>
      <c r="N1669" s="43" t="str">
        <f aca="false">IF(OR($L1669="",$I1669="",$I1669=0),"",$L1669/$I1669)</f>
        <v/>
      </c>
      <c r="O1669" s="51"/>
    </row>
    <row r="1670" customFormat="false" ht="15" hidden="false" customHeight="false" outlineLevel="0" collapsed="false">
      <c r="A1670" s="45"/>
      <c r="B1670" s="37" t="str">
        <f aca="false">IF($A1670="","",WEEKNUM($A1670,2))</f>
        <v/>
      </c>
      <c r="C1670" s="37" t="str">
        <f aca="false">IF($A1670="","",CHOOSE(WEEKDAY($A1670,2),"Seg","Ter","Qua","Qui","Sex","Sáb","Dom"))</f>
        <v/>
      </c>
      <c r="D1670" s="46"/>
      <c r="E1670" s="47"/>
      <c r="F1670" s="47"/>
      <c r="G1670" s="48"/>
      <c r="H1670" s="49"/>
      <c r="I1670" s="50"/>
      <c r="J1670" s="48"/>
      <c r="K1670" s="49"/>
      <c r="L1670" s="50"/>
      <c r="M1670" s="43" t="str">
        <f aca="false">IF(OR($L1670="",$F1670=""),"",IFERROR($L1670/INDEX(Cadastro!$E$6:$E$8,MATCH($F1670,Cadastro!$B$6:$B$8,0)),""))</f>
        <v/>
      </c>
      <c r="N1670" s="43" t="str">
        <f aca="false">IF(OR($L1670="",$I1670="",$I1670=0),"",$L1670/$I1670)</f>
        <v/>
      </c>
      <c r="O1670" s="51"/>
    </row>
    <row r="1671" customFormat="false" ht="15" hidden="false" customHeight="false" outlineLevel="0" collapsed="false">
      <c r="A1671" s="45"/>
      <c r="B1671" s="37" t="str">
        <f aca="false">IF($A1671="","",WEEKNUM($A1671,2))</f>
        <v/>
      </c>
      <c r="C1671" s="37" t="str">
        <f aca="false">IF($A1671="","",CHOOSE(WEEKDAY($A1671,2),"Seg","Ter","Qua","Qui","Sex","Sáb","Dom"))</f>
        <v/>
      </c>
      <c r="D1671" s="46"/>
      <c r="E1671" s="47"/>
      <c r="F1671" s="47"/>
      <c r="G1671" s="48"/>
      <c r="H1671" s="49"/>
      <c r="I1671" s="50"/>
      <c r="J1671" s="48"/>
      <c r="K1671" s="49"/>
      <c r="L1671" s="50"/>
      <c r="M1671" s="43" t="str">
        <f aca="false">IF(OR($L1671="",$F1671=""),"",IFERROR($L1671/INDEX(Cadastro!$E$6:$E$8,MATCH($F1671,Cadastro!$B$6:$B$8,0)),""))</f>
        <v/>
      </c>
      <c r="N1671" s="43" t="str">
        <f aca="false">IF(OR($L1671="",$I1671="",$I1671=0),"",$L1671/$I1671)</f>
        <v/>
      </c>
      <c r="O1671" s="51"/>
    </row>
    <row r="1672" customFormat="false" ht="15" hidden="false" customHeight="false" outlineLevel="0" collapsed="false">
      <c r="A1672" s="45"/>
      <c r="B1672" s="37" t="str">
        <f aca="false">IF($A1672="","",WEEKNUM($A1672,2))</f>
        <v/>
      </c>
      <c r="C1672" s="37" t="str">
        <f aca="false">IF($A1672="","",CHOOSE(WEEKDAY($A1672,2),"Seg","Ter","Qua","Qui","Sex","Sáb","Dom"))</f>
        <v/>
      </c>
      <c r="D1672" s="46"/>
      <c r="E1672" s="47"/>
      <c r="F1672" s="47"/>
      <c r="G1672" s="48"/>
      <c r="H1672" s="49"/>
      <c r="I1672" s="50"/>
      <c r="J1672" s="48"/>
      <c r="K1672" s="49"/>
      <c r="L1672" s="50"/>
      <c r="M1672" s="43" t="str">
        <f aca="false">IF(OR($L1672="",$F1672=""),"",IFERROR($L1672/INDEX(Cadastro!$E$6:$E$8,MATCH($F1672,Cadastro!$B$6:$B$8,0)),""))</f>
        <v/>
      </c>
      <c r="N1672" s="43" t="str">
        <f aca="false">IF(OR($L1672="",$I1672="",$I1672=0),"",$L1672/$I1672)</f>
        <v/>
      </c>
      <c r="O1672" s="51"/>
    </row>
    <row r="1673" customFormat="false" ht="15" hidden="false" customHeight="false" outlineLevel="0" collapsed="false">
      <c r="A1673" s="45"/>
      <c r="B1673" s="37" t="str">
        <f aca="false">IF($A1673="","",WEEKNUM($A1673,2))</f>
        <v/>
      </c>
      <c r="C1673" s="37" t="str">
        <f aca="false">IF($A1673="","",CHOOSE(WEEKDAY($A1673,2),"Seg","Ter","Qua","Qui","Sex","Sáb","Dom"))</f>
        <v/>
      </c>
      <c r="D1673" s="46"/>
      <c r="E1673" s="47"/>
      <c r="F1673" s="47"/>
      <c r="G1673" s="48"/>
      <c r="H1673" s="49"/>
      <c r="I1673" s="50"/>
      <c r="J1673" s="48"/>
      <c r="K1673" s="49"/>
      <c r="L1673" s="50"/>
      <c r="M1673" s="43" t="str">
        <f aca="false">IF(OR($L1673="",$F1673=""),"",IFERROR($L1673/INDEX(Cadastro!$E$6:$E$8,MATCH($F1673,Cadastro!$B$6:$B$8,0)),""))</f>
        <v/>
      </c>
      <c r="N1673" s="43" t="str">
        <f aca="false">IF(OR($L1673="",$I1673="",$I1673=0),"",$L1673/$I1673)</f>
        <v/>
      </c>
      <c r="O1673" s="51"/>
    </row>
    <row r="1674" customFormat="false" ht="15" hidden="false" customHeight="false" outlineLevel="0" collapsed="false">
      <c r="A1674" s="45"/>
      <c r="B1674" s="37" t="str">
        <f aca="false">IF($A1674="","",WEEKNUM($A1674,2))</f>
        <v/>
      </c>
      <c r="C1674" s="37" t="str">
        <f aca="false">IF($A1674="","",CHOOSE(WEEKDAY($A1674,2),"Seg","Ter","Qua","Qui","Sex","Sáb","Dom"))</f>
        <v/>
      </c>
      <c r="D1674" s="46"/>
      <c r="E1674" s="47"/>
      <c r="F1674" s="47"/>
      <c r="G1674" s="48"/>
      <c r="H1674" s="49"/>
      <c r="I1674" s="50"/>
      <c r="J1674" s="48"/>
      <c r="K1674" s="49"/>
      <c r="L1674" s="50"/>
      <c r="M1674" s="43" t="str">
        <f aca="false">IF(OR($L1674="",$F1674=""),"",IFERROR($L1674/INDEX(Cadastro!$E$6:$E$8,MATCH($F1674,Cadastro!$B$6:$B$8,0)),""))</f>
        <v/>
      </c>
      <c r="N1674" s="43" t="str">
        <f aca="false">IF(OR($L1674="",$I1674="",$I1674=0),"",$L1674/$I1674)</f>
        <v/>
      </c>
      <c r="O1674" s="51"/>
    </row>
    <row r="1675" customFormat="false" ht="15" hidden="false" customHeight="false" outlineLevel="0" collapsed="false">
      <c r="A1675" s="45"/>
      <c r="B1675" s="37" t="str">
        <f aca="false">IF($A1675="","",WEEKNUM($A1675,2))</f>
        <v/>
      </c>
      <c r="C1675" s="37" t="str">
        <f aca="false">IF($A1675="","",CHOOSE(WEEKDAY($A1675,2),"Seg","Ter","Qua","Qui","Sex","Sáb","Dom"))</f>
        <v/>
      </c>
      <c r="D1675" s="46"/>
      <c r="E1675" s="47"/>
      <c r="F1675" s="47"/>
      <c r="G1675" s="48"/>
      <c r="H1675" s="49"/>
      <c r="I1675" s="50"/>
      <c r="J1675" s="48"/>
      <c r="K1675" s="49"/>
      <c r="L1675" s="50"/>
      <c r="M1675" s="43" t="str">
        <f aca="false">IF(OR($L1675="",$F1675=""),"",IFERROR($L1675/INDEX(Cadastro!$E$6:$E$8,MATCH($F1675,Cadastro!$B$6:$B$8,0)),""))</f>
        <v/>
      </c>
      <c r="N1675" s="43" t="str">
        <f aca="false">IF(OR($L1675="",$I1675="",$I1675=0),"",$L1675/$I1675)</f>
        <v/>
      </c>
      <c r="O1675" s="51"/>
    </row>
    <row r="1676" customFormat="false" ht="15" hidden="false" customHeight="false" outlineLevel="0" collapsed="false">
      <c r="A1676" s="45"/>
      <c r="B1676" s="37" t="str">
        <f aca="false">IF($A1676="","",WEEKNUM($A1676,2))</f>
        <v/>
      </c>
      <c r="C1676" s="37" t="str">
        <f aca="false">IF($A1676="","",CHOOSE(WEEKDAY($A1676,2),"Seg","Ter","Qua","Qui","Sex","Sáb","Dom"))</f>
        <v/>
      </c>
      <c r="D1676" s="46"/>
      <c r="E1676" s="47"/>
      <c r="F1676" s="47"/>
      <c r="G1676" s="48"/>
      <c r="H1676" s="49"/>
      <c r="I1676" s="50"/>
      <c r="J1676" s="48"/>
      <c r="K1676" s="49"/>
      <c r="L1676" s="50"/>
      <c r="M1676" s="43" t="str">
        <f aca="false">IF(OR($L1676="",$F1676=""),"",IFERROR($L1676/INDEX(Cadastro!$E$6:$E$8,MATCH($F1676,Cadastro!$B$6:$B$8,0)),""))</f>
        <v/>
      </c>
      <c r="N1676" s="43" t="str">
        <f aca="false">IF(OR($L1676="",$I1676="",$I1676=0),"",$L1676/$I1676)</f>
        <v/>
      </c>
      <c r="O1676" s="51"/>
    </row>
    <row r="1677" customFormat="false" ht="15" hidden="false" customHeight="false" outlineLevel="0" collapsed="false">
      <c r="A1677" s="45"/>
      <c r="B1677" s="37" t="str">
        <f aca="false">IF($A1677="","",WEEKNUM($A1677,2))</f>
        <v/>
      </c>
      <c r="C1677" s="37" t="str">
        <f aca="false">IF($A1677="","",CHOOSE(WEEKDAY($A1677,2),"Seg","Ter","Qua","Qui","Sex","Sáb","Dom"))</f>
        <v/>
      </c>
      <c r="D1677" s="46"/>
      <c r="E1677" s="47"/>
      <c r="F1677" s="47"/>
      <c r="G1677" s="48"/>
      <c r="H1677" s="49"/>
      <c r="I1677" s="50"/>
      <c r="J1677" s="48"/>
      <c r="K1677" s="49"/>
      <c r="L1677" s="50"/>
      <c r="M1677" s="43" t="str">
        <f aca="false">IF(OR($L1677="",$F1677=""),"",IFERROR($L1677/INDEX(Cadastro!$E$6:$E$8,MATCH($F1677,Cadastro!$B$6:$B$8,0)),""))</f>
        <v/>
      </c>
      <c r="N1677" s="43" t="str">
        <f aca="false">IF(OR($L1677="",$I1677="",$I1677=0),"",$L1677/$I1677)</f>
        <v/>
      </c>
      <c r="O1677" s="51"/>
    </row>
    <row r="1678" customFormat="false" ht="15" hidden="false" customHeight="false" outlineLevel="0" collapsed="false">
      <c r="A1678" s="45"/>
      <c r="B1678" s="37" t="str">
        <f aca="false">IF($A1678="","",WEEKNUM($A1678,2))</f>
        <v/>
      </c>
      <c r="C1678" s="37" t="str">
        <f aca="false">IF($A1678="","",CHOOSE(WEEKDAY($A1678,2),"Seg","Ter","Qua","Qui","Sex","Sáb","Dom"))</f>
        <v/>
      </c>
      <c r="D1678" s="46"/>
      <c r="E1678" s="47"/>
      <c r="F1678" s="47"/>
      <c r="G1678" s="48"/>
      <c r="H1678" s="49"/>
      <c r="I1678" s="50"/>
      <c r="J1678" s="48"/>
      <c r="K1678" s="49"/>
      <c r="L1678" s="50"/>
      <c r="M1678" s="43" t="str">
        <f aca="false">IF(OR($L1678="",$F1678=""),"",IFERROR($L1678/INDEX(Cadastro!$E$6:$E$8,MATCH($F1678,Cadastro!$B$6:$B$8,0)),""))</f>
        <v/>
      </c>
      <c r="N1678" s="43" t="str">
        <f aca="false">IF(OR($L1678="",$I1678="",$I1678=0),"",$L1678/$I1678)</f>
        <v/>
      </c>
      <c r="O1678" s="51"/>
    </row>
    <row r="1679" customFormat="false" ht="15" hidden="false" customHeight="false" outlineLevel="0" collapsed="false">
      <c r="A1679" s="45"/>
      <c r="B1679" s="37" t="str">
        <f aca="false">IF($A1679="","",WEEKNUM($A1679,2))</f>
        <v/>
      </c>
      <c r="C1679" s="37" t="str">
        <f aca="false">IF($A1679="","",CHOOSE(WEEKDAY($A1679,2),"Seg","Ter","Qua","Qui","Sex","Sáb","Dom"))</f>
        <v/>
      </c>
      <c r="D1679" s="46"/>
      <c r="E1679" s="47"/>
      <c r="F1679" s="47"/>
      <c r="G1679" s="48"/>
      <c r="H1679" s="49"/>
      <c r="I1679" s="50"/>
      <c r="J1679" s="48"/>
      <c r="K1679" s="49"/>
      <c r="L1679" s="50"/>
      <c r="M1679" s="43" t="str">
        <f aca="false">IF(OR($L1679="",$F1679=""),"",IFERROR($L1679/INDEX(Cadastro!$E$6:$E$8,MATCH($F1679,Cadastro!$B$6:$B$8,0)),""))</f>
        <v/>
      </c>
      <c r="N1679" s="43" t="str">
        <f aca="false">IF(OR($L1679="",$I1679="",$I1679=0),"",$L1679/$I1679)</f>
        <v/>
      </c>
      <c r="O1679" s="51"/>
    </row>
    <row r="1680" customFormat="false" ht="15" hidden="false" customHeight="false" outlineLevel="0" collapsed="false">
      <c r="A1680" s="45"/>
      <c r="B1680" s="37" t="str">
        <f aca="false">IF($A1680="","",WEEKNUM($A1680,2))</f>
        <v/>
      </c>
      <c r="C1680" s="37" t="str">
        <f aca="false">IF($A1680="","",CHOOSE(WEEKDAY($A1680,2),"Seg","Ter","Qua","Qui","Sex","Sáb","Dom"))</f>
        <v/>
      </c>
      <c r="D1680" s="46"/>
      <c r="E1680" s="47"/>
      <c r="F1680" s="47"/>
      <c r="G1680" s="48"/>
      <c r="H1680" s="49"/>
      <c r="I1680" s="50"/>
      <c r="J1680" s="48"/>
      <c r="K1680" s="49"/>
      <c r="L1680" s="50"/>
      <c r="M1680" s="43" t="str">
        <f aca="false">IF(OR($L1680="",$F1680=""),"",IFERROR($L1680/INDEX(Cadastro!$E$6:$E$8,MATCH($F1680,Cadastro!$B$6:$B$8,0)),""))</f>
        <v/>
      </c>
      <c r="N1680" s="43" t="str">
        <f aca="false">IF(OR($L1680="",$I1680="",$I1680=0),"",$L1680/$I1680)</f>
        <v/>
      </c>
      <c r="O1680" s="51"/>
    </row>
    <row r="1681" customFormat="false" ht="15" hidden="false" customHeight="false" outlineLevel="0" collapsed="false">
      <c r="A1681" s="45"/>
      <c r="B1681" s="37" t="str">
        <f aca="false">IF($A1681="","",WEEKNUM($A1681,2))</f>
        <v/>
      </c>
      <c r="C1681" s="37" t="str">
        <f aca="false">IF($A1681="","",CHOOSE(WEEKDAY($A1681,2),"Seg","Ter","Qua","Qui","Sex","Sáb","Dom"))</f>
        <v/>
      </c>
      <c r="D1681" s="46"/>
      <c r="E1681" s="47"/>
      <c r="F1681" s="47"/>
      <c r="G1681" s="48"/>
      <c r="H1681" s="49"/>
      <c r="I1681" s="50"/>
      <c r="J1681" s="48"/>
      <c r="K1681" s="49"/>
      <c r="L1681" s="50"/>
      <c r="M1681" s="43" t="str">
        <f aca="false">IF(OR($L1681="",$F1681=""),"",IFERROR($L1681/INDEX(Cadastro!$E$6:$E$8,MATCH($F1681,Cadastro!$B$6:$B$8,0)),""))</f>
        <v/>
      </c>
      <c r="N1681" s="43" t="str">
        <f aca="false">IF(OR($L1681="",$I1681="",$I1681=0),"",$L1681/$I1681)</f>
        <v/>
      </c>
      <c r="O1681" s="51"/>
    </row>
    <row r="1682" customFormat="false" ht="15" hidden="false" customHeight="false" outlineLevel="0" collapsed="false">
      <c r="A1682" s="45"/>
      <c r="B1682" s="37" t="str">
        <f aca="false">IF($A1682="","",WEEKNUM($A1682,2))</f>
        <v/>
      </c>
      <c r="C1682" s="37" t="str">
        <f aca="false">IF($A1682="","",CHOOSE(WEEKDAY($A1682,2),"Seg","Ter","Qua","Qui","Sex","Sáb","Dom"))</f>
        <v/>
      </c>
      <c r="D1682" s="46"/>
      <c r="E1682" s="47"/>
      <c r="F1682" s="47"/>
      <c r="G1682" s="48"/>
      <c r="H1682" s="49"/>
      <c r="I1682" s="50"/>
      <c r="J1682" s="48"/>
      <c r="K1682" s="49"/>
      <c r="L1682" s="50"/>
      <c r="M1682" s="43" t="str">
        <f aca="false">IF(OR($L1682="",$F1682=""),"",IFERROR($L1682/INDEX(Cadastro!$E$6:$E$8,MATCH($F1682,Cadastro!$B$6:$B$8,0)),""))</f>
        <v/>
      </c>
      <c r="N1682" s="43" t="str">
        <f aca="false">IF(OR($L1682="",$I1682="",$I1682=0),"",$L1682/$I1682)</f>
        <v/>
      </c>
      <c r="O1682" s="51"/>
    </row>
    <row r="1683" customFormat="false" ht="15" hidden="false" customHeight="false" outlineLevel="0" collapsed="false">
      <c r="A1683" s="45"/>
      <c r="B1683" s="37" t="str">
        <f aca="false">IF($A1683="","",WEEKNUM($A1683,2))</f>
        <v/>
      </c>
      <c r="C1683" s="37" t="str">
        <f aca="false">IF($A1683="","",CHOOSE(WEEKDAY($A1683,2),"Seg","Ter","Qua","Qui","Sex","Sáb","Dom"))</f>
        <v/>
      </c>
      <c r="D1683" s="46"/>
      <c r="E1683" s="47"/>
      <c r="F1683" s="47"/>
      <c r="G1683" s="48"/>
      <c r="H1683" s="49"/>
      <c r="I1683" s="50"/>
      <c r="J1683" s="48"/>
      <c r="K1683" s="49"/>
      <c r="L1683" s="50"/>
      <c r="M1683" s="43" t="str">
        <f aca="false">IF(OR($L1683="",$F1683=""),"",IFERROR($L1683/INDEX(Cadastro!$E$6:$E$8,MATCH($F1683,Cadastro!$B$6:$B$8,0)),""))</f>
        <v/>
      </c>
      <c r="N1683" s="43" t="str">
        <f aca="false">IF(OR($L1683="",$I1683="",$I1683=0),"",$L1683/$I1683)</f>
        <v/>
      </c>
      <c r="O1683" s="51"/>
    </row>
    <row r="1684" customFormat="false" ht="15" hidden="false" customHeight="false" outlineLevel="0" collapsed="false">
      <c r="A1684" s="45"/>
      <c r="B1684" s="37" t="str">
        <f aca="false">IF($A1684="","",WEEKNUM($A1684,2))</f>
        <v/>
      </c>
      <c r="C1684" s="37" t="str">
        <f aca="false">IF($A1684="","",CHOOSE(WEEKDAY($A1684,2),"Seg","Ter","Qua","Qui","Sex","Sáb","Dom"))</f>
        <v/>
      </c>
      <c r="D1684" s="46"/>
      <c r="E1684" s="47"/>
      <c r="F1684" s="47"/>
      <c r="G1684" s="48"/>
      <c r="H1684" s="49"/>
      <c r="I1684" s="50"/>
      <c r="J1684" s="48"/>
      <c r="K1684" s="49"/>
      <c r="L1684" s="50"/>
      <c r="M1684" s="43" t="str">
        <f aca="false">IF(OR($L1684="",$F1684=""),"",IFERROR($L1684/INDEX(Cadastro!$E$6:$E$8,MATCH($F1684,Cadastro!$B$6:$B$8,0)),""))</f>
        <v/>
      </c>
      <c r="N1684" s="43" t="str">
        <f aca="false">IF(OR($L1684="",$I1684="",$I1684=0),"",$L1684/$I1684)</f>
        <v/>
      </c>
      <c r="O1684" s="51"/>
    </row>
    <row r="1685" customFormat="false" ht="15" hidden="false" customHeight="false" outlineLevel="0" collapsed="false">
      <c r="A1685" s="45"/>
      <c r="B1685" s="37" t="str">
        <f aca="false">IF($A1685="","",WEEKNUM($A1685,2))</f>
        <v/>
      </c>
      <c r="C1685" s="37" t="str">
        <f aca="false">IF($A1685="","",CHOOSE(WEEKDAY($A1685,2),"Seg","Ter","Qua","Qui","Sex","Sáb","Dom"))</f>
        <v/>
      </c>
      <c r="D1685" s="46"/>
      <c r="E1685" s="47"/>
      <c r="F1685" s="47"/>
      <c r="G1685" s="48"/>
      <c r="H1685" s="49"/>
      <c r="I1685" s="50"/>
      <c r="J1685" s="48"/>
      <c r="K1685" s="49"/>
      <c r="L1685" s="50"/>
      <c r="M1685" s="43" t="str">
        <f aca="false">IF(OR($L1685="",$F1685=""),"",IFERROR($L1685/INDEX(Cadastro!$E$6:$E$8,MATCH($F1685,Cadastro!$B$6:$B$8,0)),""))</f>
        <v/>
      </c>
      <c r="N1685" s="43" t="str">
        <f aca="false">IF(OR($L1685="",$I1685="",$I1685=0),"",$L1685/$I1685)</f>
        <v/>
      </c>
      <c r="O1685" s="51"/>
    </row>
    <row r="1686" customFormat="false" ht="15" hidden="false" customHeight="false" outlineLevel="0" collapsed="false">
      <c r="A1686" s="45"/>
      <c r="B1686" s="37" t="str">
        <f aca="false">IF($A1686="","",WEEKNUM($A1686,2))</f>
        <v/>
      </c>
      <c r="C1686" s="37" t="str">
        <f aca="false">IF($A1686="","",CHOOSE(WEEKDAY($A1686,2),"Seg","Ter","Qua","Qui","Sex","Sáb","Dom"))</f>
        <v/>
      </c>
      <c r="D1686" s="46"/>
      <c r="E1686" s="47"/>
      <c r="F1686" s="47"/>
      <c r="G1686" s="48"/>
      <c r="H1686" s="49"/>
      <c r="I1686" s="50"/>
      <c r="J1686" s="48"/>
      <c r="K1686" s="49"/>
      <c r="L1686" s="50"/>
      <c r="M1686" s="43" t="str">
        <f aca="false">IF(OR($L1686="",$F1686=""),"",IFERROR($L1686/INDEX(Cadastro!$E$6:$E$8,MATCH($F1686,Cadastro!$B$6:$B$8,0)),""))</f>
        <v/>
      </c>
      <c r="N1686" s="43" t="str">
        <f aca="false">IF(OR($L1686="",$I1686="",$I1686=0),"",$L1686/$I1686)</f>
        <v/>
      </c>
      <c r="O1686" s="51"/>
    </row>
    <row r="1687" customFormat="false" ht="15" hidden="false" customHeight="false" outlineLevel="0" collapsed="false">
      <c r="A1687" s="45"/>
      <c r="B1687" s="37" t="str">
        <f aca="false">IF($A1687="","",WEEKNUM($A1687,2))</f>
        <v/>
      </c>
      <c r="C1687" s="37" t="str">
        <f aca="false">IF($A1687="","",CHOOSE(WEEKDAY($A1687,2),"Seg","Ter","Qua","Qui","Sex","Sáb","Dom"))</f>
        <v/>
      </c>
      <c r="D1687" s="46"/>
      <c r="E1687" s="47"/>
      <c r="F1687" s="47"/>
      <c r="G1687" s="48"/>
      <c r="H1687" s="49"/>
      <c r="I1687" s="50"/>
      <c r="J1687" s="48"/>
      <c r="K1687" s="49"/>
      <c r="L1687" s="50"/>
      <c r="M1687" s="43" t="str">
        <f aca="false">IF(OR($L1687="",$F1687=""),"",IFERROR($L1687/INDEX(Cadastro!$E$6:$E$8,MATCH($F1687,Cadastro!$B$6:$B$8,0)),""))</f>
        <v/>
      </c>
      <c r="N1687" s="43" t="str">
        <f aca="false">IF(OR($L1687="",$I1687="",$I1687=0),"",$L1687/$I1687)</f>
        <v/>
      </c>
      <c r="O1687" s="51"/>
    </row>
    <row r="1688" customFormat="false" ht="15" hidden="false" customHeight="false" outlineLevel="0" collapsed="false">
      <c r="A1688" s="45"/>
      <c r="B1688" s="37" t="str">
        <f aca="false">IF($A1688="","",WEEKNUM($A1688,2))</f>
        <v/>
      </c>
      <c r="C1688" s="37" t="str">
        <f aca="false">IF($A1688="","",CHOOSE(WEEKDAY($A1688,2),"Seg","Ter","Qua","Qui","Sex","Sáb","Dom"))</f>
        <v/>
      </c>
      <c r="D1688" s="46"/>
      <c r="E1688" s="47"/>
      <c r="F1688" s="47"/>
      <c r="G1688" s="48"/>
      <c r="H1688" s="49"/>
      <c r="I1688" s="50"/>
      <c r="J1688" s="48"/>
      <c r="K1688" s="49"/>
      <c r="L1688" s="50"/>
      <c r="M1688" s="43" t="str">
        <f aca="false">IF(OR($L1688="",$F1688=""),"",IFERROR($L1688/INDEX(Cadastro!$E$6:$E$8,MATCH($F1688,Cadastro!$B$6:$B$8,0)),""))</f>
        <v/>
      </c>
      <c r="N1688" s="43" t="str">
        <f aca="false">IF(OR($L1688="",$I1688="",$I1688=0),"",$L1688/$I1688)</f>
        <v/>
      </c>
      <c r="O1688" s="51"/>
    </row>
    <row r="1689" customFormat="false" ht="15" hidden="false" customHeight="false" outlineLevel="0" collapsed="false">
      <c r="A1689" s="45"/>
      <c r="B1689" s="37" t="str">
        <f aca="false">IF($A1689="","",WEEKNUM($A1689,2))</f>
        <v/>
      </c>
      <c r="C1689" s="37" t="str">
        <f aca="false">IF($A1689="","",CHOOSE(WEEKDAY($A1689,2),"Seg","Ter","Qua","Qui","Sex","Sáb","Dom"))</f>
        <v/>
      </c>
      <c r="D1689" s="46"/>
      <c r="E1689" s="47"/>
      <c r="F1689" s="47"/>
      <c r="G1689" s="48"/>
      <c r="H1689" s="49"/>
      <c r="I1689" s="50"/>
      <c r="J1689" s="48"/>
      <c r="K1689" s="49"/>
      <c r="L1689" s="50"/>
      <c r="M1689" s="43" t="str">
        <f aca="false">IF(OR($L1689="",$F1689=""),"",IFERROR($L1689/INDEX(Cadastro!$E$6:$E$8,MATCH($F1689,Cadastro!$B$6:$B$8,0)),""))</f>
        <v/>
      </c>
      <c r="N1689" s="43" t="str">
        <f aca="false">IF(OR($L1689="",$I1689="",$I1689=0),"",$L1689/$I1689)</f>
        <v/>
      </c>
      <c r="O1689" s="51"/>
    </row>
    <row r="1690" customFormat="false" ht="15" hidden="false" customHeight="false" outlineLevel="0" collapsed="false">
      <c r="A1690" s="45"/>
      <c r="B1690" s="37" t="str">
        <f aca="false">IF($A1690="","",WEEKNUM($A1690,2))</f>
        <v/>
      </c>
      <c r="C1690" s="37" t="str">
        <f aca="false">IF($A1690="","",CHOOSE(WEEKDAY($A1690,2),"Seg","Ter","Qua","Qui","Sex","Sáb","Dom"))</f>
        <v/>
      </c>
      <c r="D1690" s="46"/>
      <c r="E1690" s="47"/>
      <c r="F1690" s="47"/>
      <c r="G1690" s="48"/>
      <c r="H1690" s="49"/>
      <c r="I1690" s="50"/>
      <c r="J1690" s="48"/>
      <c r="K1690" s="49"/>
      <c r="L1690" s="50"/>
      <c r="M1690" s="43" t="str">
        <f aca="false">IF(OR($L1690="",$F1690=""),"",IFERROR($L1690/INDEX(Cadastro!$E$6:$E$8,MATCH($F1690,Cadastro!$B$6:$B$8,0)),""))</f>
        <v/>
      </c>
      <c r="N1690" s="43" t="str">
        <f aca="false">IF(OR($L1690="",$I1690="",$I1690=0),"",$L1690/$I1690)</f>
        <v/>
      </c>
      <c r="O1690" s="51"/>
    </row>
    <row r="1691" customFormat="false" ht="15" hidden="false" customHeight="false" outlineLevel="0" collapsed="false">
      <c r="A1691" s="45"/>
      <c r="B1691" s="37" t="str">
        <f aca="false">IF($A1691="","",WEEKNUM($A1691,2))</f>
        <v/>
      </c>
      <c r="C1691" s="37" t="str">
        <f aca="false">IF($A1691="","",CHOOSE(WEEKDAY($A1691,2),"Seg","Ter","Qua","Qui","Sex","Sáb","Dom"))</f>
        <v/>
      </c>
      <c r="D1691" s="46"/>
      <c r="E1691" s="47"/>
      <c r="F1691" s="47"/>
      <c r="G1691" s="48"/>
      <c r="H1691" s="49"/>
      <c r="I1691" s="50"/>
      <c r="J1691" s="48"/>
      <c r="K1691" s="49"/>
      <c r="L1691" s="50"/>
      <c r="M1691" s="43" t="str">
        <f aca="false">IF(OR($L1691="",$F1691=""),"",IFERROR($L1691/INDEX(Cadastro!$E$6:$E$8,MATCH($F1691,Cadastro!$B$6:$B$8,0)),""))</f>
        <v/>
      </c>
      <c r="N1691" s="43" t="str">
        <f aca="false">IF(OR($L1691="",$I1691="",$I1691=0),"",$L1691/$I1691)</f>
        <v/>
      </c>
      <c r="O1691" s="51"/>
    </row>
    <row r="1692" customFormat="false" ht="15" hidden="false" customHeight="false" outlineLevel="0" collapsed="false">
      <c r="A1692" s="45"/>
      <c r="B1692" s="37" t="str">
        <f aca="false">IF($A1692="","",WEEKNUM($A1692,2))</f>
        <v/>
      </c>
      <c r="C1692" s="37" t="str">
        <f aca="false">IF($A1692="","",CHOOSE(WEEKDAY($A1692,2),"Seg","Ter","Qua","Qui","Sex","Sáb","Dom"))</f>
        <v/>
      </c>
      <c r="D1692" s="46"/>
      <c r="E1692" s="47"/>
      <c r="F1692" s="47"/>
      <c r="G1692" s="48"/>
      <c r="H1692" s="49"/>
      <c r="I1692" s="50"/>
      <c r="J1692" s="48"/>
      <c r="K1692" s="49"/>
      <c r="L1692" s="50"/>
      <c r="M1692" s="43" t="str">
        <f aca="false">IF(OR($L1692="",$F1692=""),"",IFERROR($L1692/INDEX(Cadastro!$E$6:$E$8,MATCH($F1692,Cadastro!$B$6:$B$8,0)),""))</f>
        <v/>
      </c>
      <c r="N1692" s="43" t="str">
        <f aca="false">IF(OR($L1692="",$I1692="",$I1692=0),"",$L1692/$I1692)</f>
        <v/>
      </c>
      <c r="O1692" s="51"/>
    </row>
    <row r="1693" customFormat="false" ht="15" hidden="false" customHeight="false" outlineLevel="0" collapsed="false">
      <c r="A1693" s="45"/>
      <c r="B1693" s="37" t="str">
        <f aca="false">IF($A1693="","",WEEKNUM($A1693,2))</f>
        <v/>
      </c>
      <c r="C1693" s="37" t="str">
        <f aca="false">IF($A1693="","",CHOOSE(WEEKDAY($A1693,2),"Seg","Ter","Qua","Qui","Sex","Sáb","Dom"))</f>
        <v/>
      </c>
      <c r="D1693" s="46"/>
      <c r="E1693" s="47"/>
      <c r="F1693" s="47"/>
      <c r="G1693" s="48"/>
      <c r="H1693" s="49"/>
      <c r="I1693" s="50"/>
      <c r="J1693" s="48"/>
      <c r="K1693" s="49"/>
      <c r="L1693" s="50"/>
      <c r="M1693" s="43" t="str">
        <f aca="false">IF(OR($L1693="",$F1693=""),"",IFERROR($L1693/INDEX(Cadastro!$E$6:$E$8,MATCH($F1693,Cadastro!$B$6:$B$8,0)),""))</f>
        <v/>
      </c>
      <c r="N1693" s="43" t="str">
        <f aca="false">IF(OR($L1693="",$I1693="",$I1693=0),"",$L1693/$I1693)</f>
        <v/>
      </c>
      <c r="O1693" s="51"/>
    </row>
    <row r="1694" customFormat="false" ht="15" hidden="false" customHeight="false" outlineLevel="0" collapsed="false">
      <c r="A1694" s="45"/>
      <c r="B1694" s="37" t="str">
        <f aca="false">IF($A1694="","",WEEKNUM($A1694,2))</f>
        <v/>
      </c>
      <c r="C1694" s="37" t="str">
        <f aca="false">IF($A1694="","",CHOOSE(WEEKDAY($A1694,2),"Seg","Ter","Qua","Qui","Sex","Sáb","Dom"))</f>
        <v/>
      </c>
      <c r="D1694" s="46"/>
      <c r="E1694" s="47"/>
      <c r="F1694" s="47"/>
      <c r="G1694" s="48"/>
      <c r="H1694" s="49"/>
      <c r="I1694" s="50"/>
      <c r="J1694" s="48"/>
      <c r="K1694" s="49"/>
      <c r="L1694" s="50"/>
      <c r="M1694" s="43" t="str">
        <f aca="false">IF(OR($L1694="",$F1694=""),"",IFERROR($L1694/INDEX(Cadastro!$E$6:$E$8,MATCH($F1694,Cadastro!$B$6:$B$8,0)),""))</f>
        <v/>
      </c>
      <c r="N1694" s="43" t="str">
        <f aca="false">IF(OR($L1694="",$I1694="",$I1694=0),"",$L1694/$I1694)</f>
        <v/>
      </c>
      <c r="O1694" s="51"/>
    </row>
    <row r="1695" customFormat="false" ht="15" hidden="false" customHeight="false" outlineLevel="0" collapsed="false">
      <c r="A1695" s="45"/>
      <c r="B1695" s="37" t="str">
        <f aca="false">IF($A1695="","",WEEKNUM($A1695,2))</f>
        <v/>
      </c>
      <c r="C1695" s="37" t="str">
        <f aca="false">IF($A1695="","",CHOOSE(WEEKDAY($A1695,2),"Seg","Ter","Qua","Qui","Sex","Sáb","Dom"))</f>
        <v/>
      </c>
      <c r="D1695" s="46"/>
      <c r="E1695" s="47"/>
      <c r="F1695" s="47"/>
      <c r="G1695" s="48"/>
      <c r="H1695" s="49"/>
      <c r="I1695" s="50"/>
      <c r="J1695" s="48"/>
      <c r="K1695" s="49"/>
      <c r="L1695" s="50"/>
      <c r="M1695" s="43" t="str">
        <f aca="false">IF(OR($L1695="",$F1695=""),"",IFERROR($L1695/INDEX(Cadastro!$E$6:$E$8,MATCH($F1695,Cadastro!$B$6:$B$8,0)),""))</f>
        <v/>
      </c>
      <c r="N1695" s="43" t="str">
        <f aca="false">IF(OR($L1695="",$I1695="",$I1695=0),"",$L1695/$I1695)</f>
        <v/>
      </c>
      <c r="O1695" s="51"/>
    </row>
    <row r="1696" customFormat="false" ht="15" hidden="false" customHeight="false" outlineLevel="0" collapsed="false">
      <c r="A1696" s="45"/>
      <c r="B1696" s="37" t="str">
        <f aca="false">IF($A1696="","",WEEKNUM($A1696,2))</f>
        <v/>
      </c>
      <c r="C1696" s="37" t="str">
        <f aca="false">IF($A1696="","",CHOOSE(WEEKDAY($A1696,2),"Seg","Ter","Qua","Qui","Sex","Sáb","Dom"))</f>
        <v/>
      </c>
      <c r="D1696" s="46"/>
      <c r="E1696" s="47"/>
      <c r="F1696" s="47"/>
      <c r="G1696" s="48"/>
      <c r="H1696" s="49"/>
      <c r="I1696" s="50"/>
      <c r="J1696" s="48"/>
      <c r="K1696" s="49"/>
      <c r="L1696" s="50"/>
      <c r="M1696" s="43" t="str">
        <f aca="false">IF(OR($L1696="",$F1696=""),"",IFERROR($L1696/INDEX(Cadastro!$E$6:$E$8,MATCH($F1696,Cadastro!$B$6:$B$8,0)),""))</f>
        <v/>
      </c>
      <c r="N1696" s="43" t="str">
        <f aca="false">IF(OR($L1696="",$I1696="",$I1696=0),"",$L1696/$I1696)</f>
        <v/>
      </c>
      <c r="O1696" s="51"/>
    </row>
    <row r="1697" customFormat="false" ht="15" hidden="false" customHeight="false" outlineLevel="0" collapsed="false">
      <c r="A1697" s="45"/>
      <c r="B1697" s="37" t="str">
        <f aca="false">IF($A1697="","",WEEKNUM($A1697,2))</f>
        <v/>
      </c>
      <c r="C1697" s="37" t="str">
        <f aca="false">IF($A1697="","",CHOOSE(WEEKDAY($A1697,2),"Seg","Ter","Qua","Qui","Sex","Sáb","Dom"))</f>
        <v/>
      </c>
      <c r="D1697" s="46"/>
      <c r="E1697" s="47"/>
      <c r="F1697" s="47"/>
      <c r="G1697" s="48"/>
      <c r="H1697" s="49"/>
      <c r="I1697" s="50"/>
      <c r="J1697" s="48"/>
      <c r="K1697" s="49"/>
      <c r="L1697" s="50"/>
      <c r="M1697" s="43" t="str">
        <f aca="false">IF(OR($L1697="",$F1697=""),"",IFERROR($L1697/INDEX(Cadastro!$E$6:$E$8,MATCH($F1697,Cadastro!$B$6:$B$8,0)),""))</f>
        <v/>
      </c>
      <c r="N1697" s="43" t="str">
        <f aca="false">IF(OR($L1697="",$I1697="",$I1697=0),"",$L1697/$I1697)</f>
        <v/>
      </c>
      <c r="O1697" s="51"/>
    </row>
    <row r="1698" customFormat="false" ht="15" hidden="false" customHeight="false" outlineLevel="0" collapsed="false">
      <c r="A1698" s="45"/>
      <c r="B1698" s="37" t="str">
        <f aca="false">IF($A1698="","",WEEKNUM($A1698,2))</f>
        <v/>
      </c>
      <c r="C1698" s="37" t="str">
        <f aca="false">IF($A1698="","",CHOOSE(WEEKDAY($A1698,2),"Seg","Ter","Qua","Qui","Sex","Sáb","Dom"))</f>
        <v/>
      </c>
      <c r="D1698" s="46"/>
      <c r="E1698" s="47"/>
      <c r="F1698" s="47"/>
      <c r="G1698" s="48"/>
      <c r="H1698" s="49"/>
      <c r="I1698" s="50"/>
      <c r="J1698" s="48"/>
      <c r="K1698" s="49"/>
      <c r="L1698" s="50"/>
      <c r="M1698" s="43" t="str">
        <f aca="false">IF(OR($L1698="",$F1698=""),"",IFERROR($L1698/INDEX(Cadastro!$E$6:$E$8,MATCH($F1698,Cadastro!$B$6:$B$8,0)),""))</f>
        <v/>
      </c>
      <c r="N1698" s="43" t="str">
        <f aca="false">IF(OR($L1698="",$I1698="",$I1698=0),"",$L1698/$I1698)</f>
        <v/>
      </c>
      <c r="O1698" s="51"/>
    </row>
    <row r="1699" customFormat="false" ht="15" hidden="false" customHeight="false" outlineLevel="0" collapsed="false">
      <c r="A1699" s="45"/>
      <c r="B1699" s="37" t="str">
        <f aca="false">IF($A1699="","",WEEKNUM($A1699,2))</f>
        <v/>
      </c>
      <c r="C1699" s="37" t="str">
        <f aca="false">IF($A1699="","",CHOOSE(WEEKDAY($A1699,2),"Seg","Ter","Qua","Qui","Sex","Sáb","Dom"))</f>
        <v/>
      </c>
      <c r="D1699" s="46"/>
      <c r="E1699" s="47"/>
      <c r="F1699" s="47"/>
      <c r="G1699" s="48"/>
      <c r="H1699" s="49"/>
      <c r="I1699" s="50"/>
      <c r="J1699" s="48"/>
      <c r="K1699" s="49"/>
      <c r="L1699" s="50"/>
      <c r="M1699" s="43" t="str">
        <f aca="false">IF(OR($L1699="",$F1699=""),"",IFERROR($L1699/INDEX(Cadastro!$E$6:$E$8,MATCH($F1699,Cadastro!$B$6:$B$8,0)),""))</f>
        <v/>
      </c>
      <c r="N1699" s="43" t="str">
        <f aca="false">IF(OR($L1699="",$I1699="",$I1699=0),"",$L1699/$I1699)</f>
        <v/>
      </c>
      <c r="O1699" s="51"/>
    </row>
    <row r="1700" customFormat="false" ht="15" hidden="false" customHeight="false" outlineLevel="0" collapsed="false">
      <c r="A1700" s="45"/>
      <c r="B1700" s="37" t="str">
        <f aca="false">IF($A1700="","",WEEKNUM($A1700,2))</f>
        <v/>
      </c>
      <c r="C1700" s="37" t="str">
        <f aca="false">IF($A1700="","",CHOOSE(WEEKDAY($A1700,2),"Seg","Ter","Qua","Qui","Sex","Sáb","Dom"))</f>
        <v/>
      </c>
      <c r="D1700" s="46"/>
      <c r="E1700" s="47"/>
      <c r="F1700" s="47"/>
      <c r="G1700" s="48"/>
      <c r="H1700" s="49"/>
      <c r="I1700" s="50"/>
      <c r="J1700" s="48"/>
      <c r="K1700" s="49"/>
      <c r="L1700" s="50"/>
      <c r="M1700" s="43" t="str">
        <f aca="false">IF(OR($L1700="",$F1700=""),"",IFERROR($L1700/INDEX(Cadastro!$E$6:$E$8,MATCH($F1700,Cadastro!$B$6:$B$8,0)),""))</f>
        <v/>
      </c>
      <c r="N1700" s="43" t="str">
        <f aca="false">IF(OR($L1700="",$I1700="",$I1700=0),"",$L1700/$I1700)</f>
        <v/>
      </c>
      <c r="O1700" s="51"/>
    </row>
    <row r="1701" customFormat="false" ht="15" hidden="false" customHeight="false" outlineLevel="0" collapsed="false">
      <c r="A1701" s="45"/>
      <c r="B1701" s="37" t="str">
        <f aca="false">IF($A1701="","",WEEKNUM($A1701,2))</f>
        <v/>
      </c>
      <c r="C1701" s="37" t="str">
        <f aca="false">IF($A1701="","",CHOOSE(WEEKDAY($A1701,2),"Seg","Ter","Qua","Qui","Sex","Sáb","Dom"))</f>
        <v/>
      </c>
      <c r="D1701" s="46"/>
      <c r="E1701" s="47"/>
      <c r="F1701" s="47"/>
      <c r="G1701" s="48"/>
      <c r="H1701" s="49"/>
      <c r="I1701" s="50"/>
      <c r="J1701" s="48"/>
      <c r="K1701" s="49"/>
      <c r="L1701" s="50"/>
      <c r="M1701" s="43" t="str">
        <f aca="false">IF(OR($L1701="",$F1701=""),"",IFERROR($L1701/INDEX(Cadastro!$E$6:$E$8,MATCH($F1701,Cadastro!$B$6:$B$8,0)),""))</f>
        <v/>
      </c>
      <c r="N1701" s="43" t="str">
        <f aca="false">IF(OR($L1701="",$I1701="",$I1701=0),"",$L1701/$I1701)</f>
        <v/>
      </c>
      <c r="O1701" s="51"/>
    </row>
    <row r="1702" customFormat="false" ht="15" hidden="false" customHeight="false" outlineLevel="0" collapsed="false">
      <c r="A1702" s="45"/>
      <c r="B1702" s="37" t="str">
        <f aca="false">IF($A1702="","",WEEKNUM($A1702,2))</f>
        <v/>
      </c>
      <c r="C1702" s="37" t="str">
        <f aca="false">IF($A1702="","",CHOOSE(WEEKDAY($A1702,2),"Seg","Ter","Qua","Qui","Sex","Sáb","Dom"))</f>
        <v/>
      </c>
      <c r="D1702" s="46"/>
      <c r="E1702" s="47"/>
      <c r="F1702" s="47"/>
      <c r="G1702" s="48"/>
      <c r="H1702" s="49"/>
      <c r="I1702" s="50"/>
      <c r="J1702" s="48"/>
      <c r="K1702" s="49"/>
      <c r="L1702" s="50"/>
      <c r="M1702" s="43" t="str">
        <f aca="false">IF(OR($L1702="",$F1702=""),"",IFERROR($L1702/INDEX(Cadastro!$E$6:$E$8,MATCH($F1702,Cadastro!$B$6:$B$8,0)),""))</f>
        <v/>
      </c>
      <c r="N1702" s="43" t="str">
        <f aca="false">IF(OR($L1702="",$I1702="",$I1702=0),"",$L1702/$I1702)</f>
        <v/>
      </c>
      <c r="O1702" s="51"/>
    </row>
    <row r="1703" customFormat="false" ht="15" hidden="false" customHeight="false" outlineLevel="0" collapsed="false">
      <c r="A1703" s="45"/>
      <c r="B1703" s="37" t="str">
        <f aca="false">IF($A1703="","",WEEKNUM($A1703,2))</f>
        <v/>
      </c>
      <c r="C1703" s="37" t="str">
        <f aca="false">IF($A1703="","",CHOOSE(WEEKDAY($A1703,2),"Seg","Ter","Qua","Qui","Sex","Sáb","Dom"))</f>
        <v/>
      </c>
      <c r="D1703" s="46"/>
      <c r="E1703" s="47"/>
      <c r="F1703" s="47"/>
      <c r="G1703" s="48"/>
      <c r="H1703" s="49"/>
      <c r="I1703" s="50"/>
      <c r="J1703" s="48"/>
      <c r="K1703" s="49"/>
      <c r="L1703" s="50"/>
      <c r="M1703" s="43" t="str">
        <f aca="false">IF(OR($L1703="",$F1703=""),"",IFERROR($L1703/INDEX(Cadastro!$E$6:$E$8,MATCH($F1703,Cadastro!$B$6:$B$8,0)),""))</f>
        <v/>
      </c>
      <c r="N1703" s="43" t="str">
        <f aca="false">IF(OR($L1703="",$I1703="",$I1703=0),"",$L1703/$I1703)</f>
        <v/>
      </c>
      <c r="O1703" s="51"/>
    </row>
    <row r="1704" customFormat="false" ht="15" hidden="false" customHeight="false" outlineLevel="0" collapsed="false">
      <c r="A1704" s="45"/>
      <c r="B1704" s="37" t="str">
        <f aca="false">IF($A1704="","",WEEKNUM($A1704,2))</f>
        <v/>
      </c>
      <c r="C1704" s="37" t="str">
        <f aca="false">IF($A1704="","",CHOOSE(WEEKDAY($A1704,2),"Seg","Ter","Qua","Qui","Sex","Sáb","Dom"))</f>
        <v/>
      </c>
      <c r="D1704" s="46"/>
      <c r="E1704" s="47"/>
      <c r="F1704" s="47"/>
      <c r="G1704" s="48"/>
      <c r="H1704" s="49"/>
      <c r="I1704" s="50"/>
      <c r="J1704" s="48"/>
      <c r="K1704" s="49"/>
      <c r="L1704" s="50"/>
      <c r="M1704" s="43" t="str">
        <f aca="false">IF(OR($L1704="",$F1704=""),"",IFERROR($L1704/INDEX(Cadastro!$E$6:$E$8,MATCH($F1704,Cadastro!$B$6:$B$8,0)),""))</f>
        <v/>
      </c>
      <c r="N1704" s="43" t="str">
        <f aca="false">IF(OR($L1704="",$I1704="",$I1704=0),"",$L1704/$I1704)</f>
        <v/>
      </c>
      <c r="O1704" s="51"/>
    </row>
    <row r="1705" customFormat="false" ht="15" hidden="false" customHeight="false" outlineLevel="0" collapsed="false">
      <c r="A1705" s="45"/>
      <c r="B1705" s="37" t="str">
        <f aca="false">IF($A1705="","",WEEKNUM($A1705,2))</f>
        <v/>
      </c>
      <c r="C1705" s="37" t="str">
        <f aca="false">IF($A1705="","",CHOOSE(WEEKDAY($A1705,2),"Seg","Ter","Qua","Qui","Sex","Sáb","Dom"))</f>
        <v/>
      </c>
      <c r="D1705" s="46"/>
      <c r="E1705" s="47"/>
      <c r="F1705" s="47"/>
      <c r="G1705" s="48"/>
      <c r="H1705" s="49"/>
      <c r="I1705" s="50"/>
      <c r="J1705" s="48"/>
      <c r="K1705" s="49"/>
      <c r="L1705" s="50"/>
      <c r="M1705" s="43" t="str">
        <f aca="false">IF(OR($L1705="",$F1705=""),"",IFERROR($L1705/INDEX(Cadastro!$E$6:$E$8,MATCH($F1705,Cadastro!$B$6:$B$8,0)),""))</f>
        <v/>
      </c>
      <c r="N1705" s="43" t="str">
        <f aca="false">IF(OR($L1705="",$I1705="",$I1705=0),"",$L1705/$I1705)</f>
        <v/>
      </c>
      <c r="O1705" s="51"/>
    </row>
    <row r="1706" customFormat="false" ht="15" hidden="false" customHeight="false" outlineLevel="0" collapsed="false">
      <c r="A1706" s="45"/>
      <c r="B1706" s="37" t="str">
        <f aca="false">IF($A1706="","",WEEKNUM($A1706,2))</f>
        <v/>
      </c>
      <c r="C1706" s="37" t="str">
        <f aca="false">IF($A1706="","",CHOOSE(WEEKDAY($A1706,2),"Seg","Ter","Qua","Qui","Sex","Sáb","Dom"))</f>
        <v/>
      </c>
      <c r="D1706" s="46"/>
      <c r="E1706" s="47"/>
      <c r="F1706" s="47"/>
      <c r="G1706" s="48"/>
      <c r="H1706" s="49"/>
      <c r="I1706" s="50"/>
      <c r="J1706" s="48"/>
      <c r="K1706" s="49"/>
      <c r="L1706" s="50"/>
      <c r="M1706" s="43" t="str">
        <f aca="false">IF(OR($L1706="",$F1706=""),"",IFERROR($L1706/INDEX(Cadastro!$E$6:$E$8,MATCH($F1706,Cadastro!$B$6:$B$8,0)),""))</f>
        <v/>
      </c>
      <c r="N1706" s="43" t="str">
        <f aca="false">IF(OR($L1706="",$I1706="",$I1706=0),"",$L1706/$I1706)</f>
        <v/>
      </c>
      <c r="O1706" s="51"/>
    </row>
    <row r="1707" customFormat="false" ht="15" hidden="false" customHeight="false" outlineLevel="0" collapsed="false">
      <c r="A1707" s="45"/>
      <c r="B1707" s="37" t="str">
        <f aca="false">IF($A1707="","",WEEKNUM($A1707,2))</f>
        <v/>
      </c>
      <c r="C1707" s="37" t="str">
        <f aca="false">IF($A1707="","",CHOOSE(WEEKDAY($A1707,2),"Seg","Ter","Qua","Qui","Sex","Sáb","Dom"))</f>
        <v/>
      </c>
      <c r="D1707" s="46"/>
      <c r="E1707" s="47"/>
      <c r="F1707" s="47"/>
      <c r="G1707" s="48"/>
      <c r="H1707" s="49"/>
      <c r="I1707" s="50"/>
      <c r="J1707" s="48"/>
      <c r="K1707" s="49"/>
      <c r="L1707" s="50"/>
      <c r="M1707" s="43" t="str">
        <f aca="false">IF(OR($L1707="",$F1707=""),"",IFERROR($L1707/INDEX(Cadastro!$E$6:$E$8,MATCH($F1707,Cadastro!$B$6:$B$8,0)),""))</f>
        <v/>
      </c>
      <c r="N1707" s="43" t="str">
        <f aca="false">IF(OR($L1707="",$I1707="",$I1707=0),"",$L1707/$I1707)</f>
        <v/>
      </c>
      <c r="O1707" s="51"/>
    </row>
    <row r="1708" customFormat="false" ht="15" hidden="false" customHeight="false" outlineLevel="0" collapsed="false">
      <c r="A1708" s="45"/>
      <c r="B1708" s="37" t="str">
        <f aca="false">IF($A1708="","",WEEKNUM($A1708,2))</f>
        <v/>
      </c>
      <c r="C1708" s="37" t="str">
        <f aca="false">IF($A1708="","",CHOOSE(WEEKDAY($A1708,2),"Seg","Ter","Qua","Qui","Sex","Sáb","Dom"))</f>
        <v/>
      </c>
      <c r="D1708" s="46"/>
      <c r="E1708" s="47"/>
      <c r="F1708" s="47"/>
      <c r="G1708" s="48"/>
      <c r="H1708" s="49"/>
      <c r="I1708" s="50"/>
      <c r="J1708" s="48"/>
      <c r="K1708" s="49"/>
      <c r="L1708" s="50"/>
      <c r="M1708" s="43" t="str">
        <f aca="false">IF(OR($L1708="",$F1708=""),"",IFERROR($L1708/INDEX(Cadastro!$E$6:$E$8,MATCH($F1708,Cadastro!$B$6:$B$8,0)),""))</f>
        <v/>
      </c>
      <c r="N1708" s="43" t="str">
        <f aca="false">IF(OR($L1708="",$I1708="",$I1708=0),"",$L1708/$I1708)</f>
        <v/>
      </c>
      <c r="O1708" s="51"/>
    </row>
    <row r="1709" customFormat="false" ht="15" hidden="false" customHeight="false" outlineLevel="0" collapsed="false">
      <c r="A1709" s="45"/>
      <c r="B1709" s="37" t="str">
        <f aca="false">IF($A1709="","",WEEKNUM($A1709,2))</f>
        <v/>
      </c>
      <c r="C1709" s="37" t="str">
        <f aca="false">IF($A1709="","",CHOOSE(WEEKDAY($A1709,2),"Seg","Ter","Qua","Qui","Sex","Sáb","Dom"))</f>
        <v/>
      </c>
      <c r="D1709" s="46"/>
      <c r="E1709" s="47"/>
      <c r="F1709" s="47"/>
      <c r="G1709" s="48"/>
      <c r="H1709" s="49"/>
      <c r="I1709" s="50"/>
      <c r="J1709" s="48"/>
      <c r="K1709" s="49"/>
      <c r="L1709" s="50"/>
      <c r="M1709" s="43" t="str">
        <f aca="false">IF(OR($L1709="",$F1709=""),"",IFERROR($L1709/INDEX(Cadastro!$E$6:$E$8,MATCH($F1709,Cadastro!$B$6:$B$8,0)),""))</f>
        <v/>
      </c>
      <c r="N1709" s="43" t="str">
        <f aca="false">IF(OR($L1709="",$I1709="",$I1709=0),"",$L1709/$I1709)</f>
        <v/>
      </c>
      <c r="O1709" s="51"/>
    </row>
    <row r="1710" customFormat="false" ht="15" hidden="false" customHeight="false" outlineLevel="0" collapsed="false">
      <c r="A1710" s="45"/>
      <c r="B1710" s="37" t="str">
        <f aca="false">IF($A1710="","",WEEKNUM($A1710,2))</f>
        <v/>
      </c>
      <c r="C1710" s="37" t="str">
        <f aca="false">IF($A1710="","",CHOOSE(WEEKDAY($A1710,2),"Seg","Ter","Qua","Qui","Sex","Sáb","Dom"))</f>
        <v/>
      </c>
      <c r="D1710" s="46"/>
      <c r="E1710" s="47"/>
      <c r="F1710" s="47"/>
      <c r="G1710" s="48"/>
      <c r="H1710" s="49"/>
      <c r="I1710" s="50"/>
      <c r="J1710" s="48"/>
      <c r="K1710" s="49"/>
      <c r="L1710" s="50"/>
      <c r="M1710" s="43" t="str">
        <f aca="false">IF(OR($L1710="",$F1710=""),"",IFERROR($L1710/INDEX(Cadastro!$E$6:$E$8,MATCH($F1710,Cadastro!$B$6:$B$8,0)),""))</f>
        <v/>
      </c>
      <c r="N1710" s="43" t="str">
        <f aca="false">IF(OR($L1710="",$I1710="",$I1710=0),"",$L1710/$I1710)</f>
        <v/>
      </c>
      <c r="O1710" s="51"/>
    </row>
    <row r="1711" customFormat="false" ht="15" hidden="false" customHeight="false" outlineLevel="0" collapsed="false">
      <c r="A1711" s="45"/>
      <c r="B1711" s="37" t="str">
        <f aca="false">IF($A1711="","",WEEKNUM($A1711,2))</f>
        <v/>
      </c>
      <c r="C1711" s="37" t="str">
        <f aca="false">IF($A1711="","",CHOOSE(WEEKDAY($A1711,2),"Seg","Ter","Qua","Qui","Sex","Sáb","Dom"))</f>
        <v/>
      </c>
      <c r="D1711" s="46"/>
      <c r="E1711" s="47"/>
      <c r="F1711" s="47"/>
      <c r="G1711" s="48"/>
      <c r="H1711" s="49"/>
      <c r="I1711" s="50"/>
      <c r="J1711" s="48"/>
      <c r="K1711" s="49"/>
      <c r="L1711" s="50"/>
      <c r="M1711" s="43" t="str">
        <f aca="false">IF(OR($L1711="",$F1711=""),"",IFERROR($L1711/INDEX(Cadastro!$E$6:$E$8,MATCH($F1711,Cadastro!$B$6:$B$8,0)),""))</f>
        <v/>
      </c>
      <c r="N1711" s="43" t="str">
        <f aca="false">IF(OR($L1711="",$I1711="",$I1711=0),"",$L1711/$I1711)</f>
        <v/>
      </c>
      <c r="O1711" s="51"/>
    </row>
    <row r="1712" customFormat="false" ht="15" hidden="false" customHeight="false" outlineLevel="0" collapsed="false">
      <c r="A1712" s="45"/>
      <c r="B1712" s="37" t="str">
        <f aca="false">IF($A1712="","",WEEKNUM($A1712,2))</f>
        <v/>
      </c>
      <c r="C1712" s="37" t="str">
        <f aca="false">IF($A1712="","",CHOOSE(WEEKDAY($A1712,2),"Seg","Ter","Qua","Qui","Sex","Sáb","Dom"))</f>
        <v/>
      </c>
      <c r="D1712" s="46"/>
      <c r="E1712" s="47"/>
      <c r="F1712" s="47"/>
      <c r="G1712" s="48"/>
      <c r="H1712" s="49"/>
      <c r="I1712" s="50"/>
      <c r="J1712" s="48"/>
      <c r="K1712" s="49"/>
      <c r="L1712" s="50"/>
      <c r="M1712" s="43" t="str">
        <f aca="false">IF(OR($L1712="",$F1712=""),"",IFERROR($L1712/INDEX(Cadastro!$E$6:$E$8,MATCH($F1712,Cadastro!$B$6:$B$8,0)),""))</f>
        <v/>
      </c>
      <c r="N1712" s="43" t="str">
        <f aca="false">IF(OR($L1712="",$I1712="",$I1712=0),"",$L1712/$I1712)</f>
        <v/>
      </c>
      <c r="O1712" s="51"/>
    </row>
    <row r="1713" customFormat="false" ht="15" hidden="false" customHeight="false" outlineLevel="0" collapsed="false">
      <c r="A1713" s="45"/>
      <c r="B1713" s="37" t="str">
        <f aca="false">IF($A1713="","",WEEKNUM($A1713,2))</f>
        <v/>
      </c>
      <c r="C1713" s="37" t="str">
        <f aca="false">IF($A1713="","",CHOOSE(WEEKDAY($A1713,2),"Seg","Ter","Qua","Qui","Sex","Sáb","Dom"))</f>
        <v/>
      </c>
      <c r="D1713" s="46"/>
      <c r="E1713" s="47"/>
      <c r="F1713" s="47"/>
      <c r="G1713" s="48"/>
      <c r="H1713" s="49"/>
      <c r="I1713" s="50"/>
      <c r="J1713" s="48"/>
      <c r="K1713" s="49"/>
      <c r="L1713" s="50"/>
      <c r="M1713" s="43" t="str">
        <f aca="false">IF(OR($L1713="",$F1713=""),"",IFERROR($L1713/INDEX(Cadastro!$E$6:$E$8,MATCH($F1713,Cadastro!$B$6:$B$8,0)),""))</f>
        <v/>
      </c>
      <c r="N1713" s="43" t="str">
        <f aca="false">IF(OR($L1713="",$I1713="",$I1713=0),"",$L1713/$I1713)</f>
        <v/>
      </c>
      <c r="O1713" s="51"/>
    </row>
    <row r="1714" customFormat="false" ht="15" hidden="false" customHeight="false" outlineLevel="0" collapsed="false">
      <c r="A1714" s="45"/>
      <c r="B1714" s="37" t="str">
        <f aca="false">IF($A1714="","",WEEKNUM($A1714,2))</f>
        <v/>
      </c>
      <c r="C1714" s="37" t="str">
        <f aca="false">IF($A1714="","",CHOOSE(WEEKDAY($A1714,2),"Seg","Ter","Qua","Qui","Sex","Sáb","Dom"))</f>
        <v/>
      </c>
      <c r="D1714" s="46"/>
      <c r="E1714" s="47"/>
      <c r="F1714" s="47"/>
      <c r="G1714" s="48"/>
      <c r="H1714" s="49"/>
      <c r="I1714" s="50"/>
      <c r="J1714" s="48"/>
      <c r="K1714" s="49"/>
      <c r="L1714" s="50"/>
      <c r="M1714" s="43" t="str">
        <f aca="false">IF(OR($L1714="",$F1714=""),"",IFERROR($L1714/INDEX(Cadastro!$E$6:$E$8,MATCH($F1714,Cadastro!$B$6:$B$8,0)),""))</f>
        <v/>
      </c>
      <c r="N1714" s="43" t="str">
        <f aca="false">IF(OR($L1714="",$I1714="",$I1714=0),"",$L1714/$I1714)</f>
        <v/>
      </c>
      <c r="O1714" s="51"/>
    </row>
    <row r="1715" customFormat="false" ht="15" hidden="false" customHeight="false" outlineLevel="0" collapsed="false">
      <c r="A1715" s="45"/>
      <c r="B1715" s="37" t="str">
        <f aca="false">IF($A1715="","",WEEKNUM($A1715,2))</f>
        <v/>
      </c>
      <c r="C1715" s="37" t="str">
        <f aca="false">IF($A1715="","",CHOOSE(WEEKDAY($A1715,2),"Seg","Ter","Qua","Qui","Sex","Sáb","Dom"))</f>
        <v/>
      </c>
      <c r="D1715" s="46"/>
      <c r="E1715" s="47"/>
      <c r="F1715" s="47"/>
      <c r="G1715" s="48"/>
      <c r="H1715" s="49"/>
      <c r="I1715" s="50"/>
      <c r="J1715" s="48"/>
      <c r="K1715" s="49"/>
      <c r="L1715" s="50"/>
      <c r="M1715" s="43" t="str">
        <f aca="false">IF(OR($L1715="",$F1715=""),"",IFERROR($L1715/INDEX(Cadastro!$E$6:$E$8,MATCH($F1715,Cadastro!$B$6:$B$8,0)),""))</f>
        <v/>
      </c>
      <c r="N1715" s="43" t="str">
        <f aca="false">IF(OR($L1715="",$I1715="",$I1715=0),"",$L1715/$I1715)</f>
        <v/>
      </c>
      <c r="O1715" s="51"/>
    </row>
    <row r="1716" customFormat="false" ht="15" hidden="false" customHeight="false" outlineLevel="0" collapsed="false">
      <c r="A1716" s="45"/>
      <c r="B1716" s="37" t="str">
        <f aca="false">IF($A1716="","",WEEKNUM($A1716,2))</f>
        <v/>
      </c>
      <c r="C1716" s="37" t="str">
        <f aca="false">IF($A1716="","",CHOOSE(WEEKDAY($A1716,2),"Seg","Ter","Qua","Qui","Sex","Sáb","Dom"))</f>
        <v/>
      </c>
      <c r="D1716" s="46"/>
      <c r="E1716" s="47"/>
      <c r="F1716" s="47"/>
      <c r="G1716" s="48"/>
      <c r="H1716" s="49"/>
      <c r="I1716" s="50"/>
      <c r="J1716" s="48"/>
      <c r="K1716" s="49"/>
      <c r="L1716" s="50"/>
      <c r="M1716" s="43" t="str">
        <f aca="false">IF(OR($L1716="",$F1716=""),"",IFERROR($L1716/INDEX(Cadastro!$E$6:$E$8,MATCH($F1716,Cadastro!$B$6:$B$8,0)),""))</f>
        <v/>
      </c>
      <c r="N1716" s="43" t="str">
        <f aca="false">IF(OR($L1716="",$I1716="",$I1716=0),"",$L1716/$I1716)</f>
        <v/>
      </c>
      <c r="O1716" s="51"/>
    </row>
    <row r="1717" customFormat="false" ht="15" hidden="false" customHeight="false" outlineLevel="0" collapsed="false">
      <c r="A1717" s="45"/>
      <c r="B1717" s="37" t="str">
        <f aca="false">IF($A1717="","",WEEKNUM($A1717,2))</f>
        <v/>
      </c>
      <c r="C1717" s="37" t="str">
        <f aca="false">IF($A1717="","",CHOOSE(WEEKDAY($A1717,2),"Seg","Ter","Qua","Qui","Sex","Sáb","Dom"))</f>
        <v/>
      </c>
      <c r="D1717" s="46"/>
      <c r="E1717" s="47"/>
      <c r="F1717" s="47"/>
      <c r="G1717" s="48"/>
      <c r="H1717" s="49"/>
      <c r="I1717" s="50"/>
      <c r="J1717" s="48"/>
      <c r="K1717" s="49"/>
      <c r="L1717" s="50"/>
      <c r="M1717" s="43" t="str">
        <f aca="false">IF(OR($L1717="",$F1717=""),"",IFERROR($L1717/INDEX(Cadastro!$E$6:$E$8,MATCH($F1717,Cadastro!$B$6:$B$8,0)),""))</f>
        <v/>
      </c>
      <c r="N1717" s="43" t="str">
        <f aca="false">IF(OR($L1717="",$I1717="",$I1717=0),"",$L1717/$I1717)</f>
        <v/>
      </c>
      <c r="O1717" s="51"/>
    </row>
    <row r="1718" customFormat="false" ht="15" hidden="false" customHeight="false" outlineLevel="0" collapsed="false">
      <c r="A1718" s="45"/>
      <c r="B1718" s="37" t="str">
        <f aca="false">IF($A1718="","",WEEKNUM($A1718,2))</f>
        <v/>
      </c>
      <c r="C1718" s="37" t="str">
        <f aca="false">IF($A1718="","",CHOOSE(WEEKDAY($A1718,2),"Seg","Ter","Qua","Qui","Sex","Sáb","Dom"))</f>
        <v/>
      </c>
      <c r="D1718" s="46"/>
      <c r="E1718" s="47"/>
      <c r="F1718" s="47"/>
      <c r="G1718" s="48"/>
      <c r="H1718" s="49"/>
      <c r="I1718" s="50"/>
      <c r="J1718" s="48"/>
      <c r="K1718" s="49"/>
      <c r="L1718" s="50"/>
      <c r="M1718" s="43" t="str">
        <f aca="false">IF(OR($L1718="",$F1718=""),"",IFERROR($L1718/INDEX(Cadastro!$E$6:$E$8,MATCH($F1718,Cadastro!$B$6:$B$8,0)),""))</f>
        <v/>
      </c>
      <c r="N1718" s="43" t="str">
        <f aca="false">IF(OR($L1718="",$I1718="",$I1718=0),"",$L1718/$I1718)</f>
        <v/>
      </c>
      <c r="O1718" s="51"/>
    </row>
    <row r="1719" customFormat="false" ht="15" hidden="false" customHeight="false" outlineLevel="0" collapsed="false">
      <c r="A1719" s="45"/>
      <c r="B1719" s="37" t="str">
        <f aca="false">IF($A1719="","",WEEKNUM($A1719,2))</f>
        <v/>
      </c>
      <c r="C1719" s="37" t="str">
        <f aca="false">IF($A1719="","",CHOOSE(WEEKDAY($A1719,2),"Seg","Ter","Qua","Qui","Sex","Sáb","Dom"))</f>
        <v/>
      </c>
      <c r="D1719" s="46"/>
      <c r="E1719" s="47"/>
      <c r="F1719" s="47"/>
      <c r="G1719" s="48"/>
      <c r="H1719" s="49"/>
      <c r="I1719" s="50"/>
      <c r="J1719" s="48"/>
      <c r="K1719" s="49"/>
      <c r="L1719" s="50"/>
      <c r="M1719" s="43" t="str">
        <f aca="false">IF(OR($L1719="",$F1719=""),"",IFERROR($L1719/INDEX(Cadastro!$E$6:$E$8,MATCH($F1719,Cadastro!$B$6:$B$8,0)),""))</f>
        <v/>
      </c>
      <c r="N1719" s="43" t="str">
        <f aca="false">IF(OR($L1719="",$I1719="",$I1719=0),"",$L1719/$I1719)</f>
        <v/>
      </c>
      <c r="O1719" s="51"/>
    </row>
    <row r="1720" customFormat="false" ht="15" hidden="false" customHeight="false" outlineLevel="0" collapsed="false">
      <c r="A1720" s="45"/>
      <c r="B1720" s="37" t="str">
        <f aca="false">IF($A1720="","",WEEKNUM($A1720,2))</f>
        <v/>
      </c>
      <c r="C1720" s="37" t="str">
        <f aca="false">IF($A1720="","",CHOOSE(WEEKDAY($A1720,2),"Seg","Ter","Qua","Qui","Sex","Sáb","Dom"))</f>
        <v/>
      </c>
      <c r="D1720" s="46"/>
      <c r="E1720" s="47"/>
      <c r="F1720" s="47"/>
      <c r="G1720" s="48"/>
      <c r="H1720" s="49"/>
      <c r="I1720" s="50"/>
      <c r="J1720" s="48"/>
      <c r="K1720" s="49"/>
      <c r="L1720" s="50"/>
      <c r="M1720" s="43" t="str">
        <f aca="false">IF(OR($L1720="",$F1720=""),"",IFERROR($L1720/INDEX(Cadastro!$E$6:$E$8,MATCH($F1720,Cadastro!$B$6:$B$8,0)),""))</f>
        <v/>
      </c>
      <c r="N1720" s="43" t="str">
        <f aca="false">IF(OR($L1720="",$I1720="",$I1720=0),"",$L1720/$I1720)</f>
        <v/>
      </c>
      <c r="O1720" s="51"/>
    </row>
    <row r="1721" customFormat="false" ht="15" hidden="false" customHeight="false" outlineLevel="0" collapsed="false">
      <c r="A1721" s="45"/>
      <c r="B1721" s="37" t="str">
        <f aca="false">IF($A1721="","",WEEKNUM($A1721,2))</f>
        <v/>
      </c>
      <c r="C1721" s="37" t="str">
        <f aca="false">IF($A1721="","",CHOOSE(WEEKDAY($A1721,2),"Seg","Ter","Qua","Qui","Sex","Sáb","Dom"))</f>
        <v/>
      </c>
      <c r="D1721" s="46"/>
      <c r="E1721" s="47"/>
      <c r="F1721" s="47"/>
      <c r="G1721" s="48"/>
      <c r="H1721" s="49"/>
      <c r="I1721" s="50"/>
      <c r="J1721" s="48"/>
      <c r="K1721" s="49"/>
      <c r="L1721" s="50"/>
      <c r="M1721" s="43" t="str">
        <f aca="false">IF(OR($L1721="",$F1721=""),"",IFERROR($L1721/INDEX(Cadastro!$E$6:$E$8,MATCH($F1721,Cadastro!$B$6:$B$8,0)),""))</f>
        <v/>
      </c>
      <c r="N1721" s="43" t="str">
        <f aca="false">IF(OR($L1721="",$I1721="",$I1721=0),"",$L1721/$I1721)</f>
        <v/>
      </c>
      <c r="O1721" s="51"/>
    </row>
    <row r="1722" customFormat="false" ht="15" hidden="false" customHeight="false" outlineLevel="0" collapsed="false">
      <c r="A1722" s="45"/>
      <c r="B1722" s="37" t="str">
        <f aca="false">IF($A1722="","",WEEKNUM($A1722,2))</f>
        <v/>
      </c>
      <c r="C1722" s="37" t="str">
        <f aca="false">IF($A1722="","",CHOOSE(WEEKDAY($A1722,2),"Seg","Ter","Qua","Qui","Sex","Sáb","Dom"))</f>
        <v/>
      </c>
      <c r="D1722" s="46"/>
      <c r="E1722" s="47"/>
      <c r="F1722" s="47"/>
      <c r="G1722" s="48"/>
      <c r="H1722" s="49"/>
      <c r="I1722" s="50"/>
      <c r="J1722" s="48"/>
      <c r="K1722" s="49"/>
      <c r="L1722" s="50"/>
      <c r="M1722" s="43" t="str">
        <f aca="false">IF(OR($L1722="",$F1722=""),"",IFERROR($L1722/INDEX(Cadastro!$E$6:$E$8,MATCH($F1722,Cadastro!$B$6:$B$8,0)),""))</f>
        <v/>
      </c>
      <c r="N1722" s="43" t="str">
        <f aca="false">IF(OR($L1722="",$I1722="",$I1722=0),"",$L1722/$I1722)</f>
        <v/>
      </c>
      <c r="O1722" s="51"/>
    </row>
    <row r="1723" customFormat="false" ht="15" hidden="false" customHeight="false" outlineLevel="0" collapsed="false">
      <c r="A1723" s="45"/>
      <c r="B1723" s="37" t="str">
        <f aca="false">IF($A1723="","",WEEKNUM($A1723,2))</f>
        <v/>
      </c>
      <c r="C1723" s="37" t="str">
        <f aca="false">IF($A1723="","",CHOOSE(WEEKDAY($A1723,2),"Seg","Ter","Qua","Qui","Sex","Sáb","Dom"))</f>
        <v/>
      </c>
      <c r="D1723" s="46"/>
      <c r="E1723" s="47"/>
      <c r="F1723" s="47"/>
      <c r="G1723" s="48"/>
      <c r="H1723" s="49"/>
      <c r="I1723" s="50"/>
      <c r="J1723" s="48"/>
      <c r="K1723" s="49"/>
      <c r="L1723" s="50"/>
      <c r="M1723" s="43" t="str">
        <f aca="false">IF(OR($L1723="",$F1723=""),"",IFERROR($L1723/INDEX(Cadastro!$E$6:$E$8,MATCH($F1723,Cadastro!$B$6:$B$8,0)),""))</f>
        <v/>
      </c>
      <c r="N1723" s="43" t="str">
        <f aca="false">IF(OR($L1723="",$I1723="",$I1723=0),"",$L1723/$I1723)</f>
        <v/>
      </c>
      <c r="O1723" s="51"/>
    </row>
    <row r="1724" customFormat="false" ht="15" hidden="false" customHeight="false" outlineLevel="0" collapsed="false">
      <c r="A1724" s="45"/>
      <c r="B1724" s="37" t="str">
        <f aca="false">IF($A1724="","",WEEKNUM($A1724,2))</f>
        <v/>
      </c>
      <c r="C1724" s="37" t="str">
        <f aca="false">IF($A1724="","",CHOOSE(WEEKDAY($A1724,2),"Seg","Ter","Qua","Qui","Sex","Sáb","Dom"))</f>
        <v/>
      </c>
      <c r="D1724" s="46"/>
      <c r="E1724" s="47"/>
      <c r="F1724" s="47"/>
      <c r="G1724" s="48"/>
      <c r="H1724" s="49"/>
      <c r="I1724" s="50"/>
      <c r="J1724" s="48"/>
      <c r="K1724" s="49"/>
      <c r="L1724" s="50"/>
      <c r="M1724" s="43" t="str">
        <f aca="false">IF(OR($L1724="",$F1724=""),"",IFERROR($L1724/INDEX(Cadastro!$E$6:$E$8,MATCH($F1724,Cadastro!$B$6:$B$8,0)),""))</f>
        <v/>
      </c>
      <c r="N1724" s="43" t="str">
        <f aca="false">IF(OR($L1724="",$I1724="",$I1724=0),"",$L1724/$I1724)</f>
        <v/>
      </c>
      <c r="O1724" s="51"/>
    </row>
    <row r="1725" customFormat="false" ht="15" hidden="false" customHeight="false" outlineLevel="0" collapsed="false">
      <c r="A1725" s="45"/>
      <c r="B1725" s="37" t="str">
        <f aca="false">IF($A1725="","",WEEKNUM($A1725,2))</f>
        <v/>
      </c>
      <c r="C1725" s="37" t="str">
        <f aca="false">IF($A1725="","",CHOOSE(WEEKDAY($A1725,2),"Seg","Ter","Qua","Qui","Sex","Sáb","Dom"))</f>
        <v/>
      </c>
      <c r="D1725" s="46"/>
      <c r="E1725" s="47"/>
      <c r="F1725" s="47"/>
      <c r="G1725" s="48"/>
      <c r="H1725" s="49"/>
      <c r="I1725" s="50"/>
      <c r="J1725" s="48"/>
      <c r="K1725" s="49"/>
      <c r="L1725" s="50"/>
      <c r="M1725" s="43" t="str">
        <f aca="false">IF(OR($L1725="",$F1725=""),"",IFERROR($L1725/INDEX(Cadastro!$E$6:$E$8,MATCH($F1725,Cadastro!$B$6:$B$8,0)),""))</f>
        <v/>
      </c>
      <c r="N1725" s="43" t="str">
        <f aca="false">IF(OR($L1725="",$I1725="",$I1725=0),"",$L1725/$I1725)</f>
        <v/>
      </c>
      <c r="O1725" s="51"/>
    </row>
    <row r="1726" customFormat="false" ht="15" hidden="false" customHeight="false" outlineLevel="0" collapsed="false">
      <c r="A1726" s="45"/>
      <c r="B1726" s="37" t="str">
        <f aca="false">IF($A1726="","",WEEKNUM($A1726,2))</f>
        <v/>
      </c>
      <c r="C1726" s="37" t="str">
        <f aca="false">IF($A1726="","",CHOOSE(WEEKDAY($A1726,2),"Seg","Ter","Qua","Qui","Sex","Sáb","Dom"))</f>
        <v/>
      </c>
      <c r="D1726" s="46"/>
      <c r="E1726" s="47"/>
      <c r="F1726" s="47"/>
      <c r="G1726" s="48"/>
      <c r="H1726" s="49"/>
      <c r="I1726" s="50"/>
      <c r="J1726" s="48"/>
      <c r="K1726" s="49"/>
      <c r="L1726" s="50"/>
      <c r="M1726" s="43" t="str">
        <f aca="false">IF(OR($L1726="",$F1726=""),"",IFERROR($L1726/INDEX(Cadastro!$E$6:$E$8,MATCH($F1726,Cadastro!$B$6:$B$8,0)),""))</f>
        <v/>
      </c>
      <c r="N1726" s="43" t="str">
        <f aca="false">IF(OR($L1726="",$I1726="",$I1726=0),"",$L1726/$I1726)</f>
        <v/>
      </c>
      <c r="O1726" s="51"/>
    </row>
    <row r="1727" customFormat="false" ht="15" hidden="false" customHeight="false" outlineLevel="0" collapsed="false">
      <c r="A1727" s="45"/>
      <c r="B1727" s="37" t="str">
        <f aca="false">IF($A1727="","",WEEKNUM($A1727,2))</f>
        <v/>
      </c>
      <c r="C1727" s="37" t="str">
        <f aca="false">IF($A1727="","",CHOOSE(WEEKDAY($A1727,2),"Seg","Ter","Qua","Qui","Sex","Sáb","Dom"))</f>
        <v/>
      </c>
      <c r="D1727" s="46"/>
      <c r="E1727" s="47"/>
      <c r="F1727" s="47"/>
      <c r="G1727" s="48"/>
      <c r="H1727" s="49"/>
      <c r="I1727" s="50"/>
      <c r="J1727" s="48"/>
      <c r="K1727" s="49"/>
      <c r="L1727" s="50"/>
      <c r="M1727" s="43" t="str">
        <f aca="false">IF(OR($L1727="",$F1727=""),"",IFERROR($L1727/INDEX(Cadastro!$E$6:$E$8,MATCH($F1727,Cadastro!$B$6:$B$8,0)),""))</f>
        <v/>
      </c>
      <c r="N1727" s="43" t="str">
        <f aca="false">IF(OR($L1727="",$I1727="",$I1727=0),"",$L1727/$I1727)</f>
        <v/>
      </c>
      <c r="O1727" s="51"/>
    </row>
    <row r="1728" customFormat="false" ht="15" hidden="false" customHeight="false" outlineLevel="0" collapsed="false">
      <c r="A1728" s="45"/>
      <c r="B1728" s="37" t="str">
        <f aca="false">IF($A1728="","",WEEKNUM($A1728,2))</f>
        <v/>
      </c>
      <c r="C1728" s="37" t="str">
        <f aca="false">IF($A1728="","",CHOOSE(WEEKDAY($A1728,2),"Seg","Ter","Qua","Qui","Sex","Sáb","Dom"))</f>
        <v/>
      </c>
      <c r="D1728" s="46"/>
      <c r="E1728" s="47"/>
      <c r="F1728" s="47"/>
      <c r="G1728" s="48"/>
      <c r="H1728" s="49"/>
      <c r="I1728" s="50"/>
      <c r="J1728" s="48"/>
      <c r="K1728" s="49"/>
      <c r="L1728" s="50"/>
      <c r="M1728" s="43" t="str">
        <f aca="false">IF(OR($L1728="",$F1728=""),"",IFERROR($L1728/INDEX(Cadastro!$E$6:$E$8,MATCH($F1728,Cadastro!$B$6:$B$8,0)),""))</f>
        <v/>
      </c>
      <c r="N1728" s="43" t="str">
        <f aca="false">IF(OR($L1728="",$I1728="",$I1728=0),"",$L1728/$I1728)</f>
        <v/>
      </c>
      <c r="O1728" s="51"/>
    </row>
    <row r="1729" customFormat="false" ht="15" hidden="false" customHeight="false" outlineLevel="0" collapsed="false">
      <c r="A1729" s="45"/>
      <c r="B1729" s="37" t="str">
        <f aca="false">IF($A1729="","",WEEKNUM($A1729,2))</f>
        <v/>
      </c>
      <c r="C1729" s="37" t="str">
        <f aca="false">IF($A1729="","",CHOOSE(WEEKDAY($A1729,2),"Seg","Ter","Qua","Qui","Sex","Sáb","Dom"))</f>
        <v/>
      </c>
      <c r="D1729" s="46"/>
      <c r="E1729" s="47"/>
      <c r="F1729" s="47"/>
      <c r="G1729" s="48"/>
      <c r="H1729" s="49"/>
      <c r="I1729" s="50"/>
      <c r="J1729" s="48"/>
      <c r="K1729" s="49"/>
      <c r="L1729" s="50"/>
      <c r="M1729" s="43" t="str">
        <f aca="false">IF(OR($L1729="",$F1729=""),"",IFERROR($L1729/INDEX(Cadastro!$E$6:$E$8,MATCH($F1729,Cadastro!$B$6:$B$8,0)),""))</f>
        <v/>
      </c>
      <c r="N1729" s="43" t="str">
        <f aca="false">IF(OR($L1729="",$I1729="",$I1729=0),"",$L1729/$I1729)</f>
        <v/>
      </c>
      <c r="O1729" s="51"/>
    </row>
    <row r="1730" customFormat="false" ht="15" hidden="false" customHeight="false" outlineLevel="0" collapsed="false">
      <c r="A1730" s="45"/>
      <c r="B1730" s="37" t="str">
        <f aca="false">IF($A1730="","",WEEKNUM($A1730,2))</f>
        <v/>
      </c>
      <c r="C1730" s="37" t="str">
        <f aca="false">IF($A1730="","",CHOOSE(WEEKDAY($A1730,2),"Seg","Ter","Qua","Qui","Sex","Sáb","Dom"))</f>
        <v/>
      </c>
      <c r="D1730" s="46"/>
      <c r="E1730" s="47"/>
      <c r="F1730" s="47"/>
      <c r="G1730" s="48"/>
      <c r="H1730" s="49"/>
      <c r="I1730" s="50"/>
      <c r="J1730" s="48"/>
      <c r="K1730" s="49"/>
      <c r="L1730" s="50"/>
      <c r="M1730" s="43" t="str">
        <f aca="false">IF(OR($L1730="",$F1730=""),"",IFERROR($L1730/INDEX(Cadastro!$E$6:$E$8,MATCH($F1730,Cadastro!$B$6:$B$8,0)),""))</f>
        <v/>
      </c>
      <c r="N1730" s="43" t="str">
        <f aca="false">IF(OR($L1730="",$I1730="",$I1730=0),"",$L1730/$I1730)</f>
        <v/>
      </c>
      <c r="O1730" s="51"/>
    </row>
    <row r="1731" customFormat="false" ht="15" hidden="false" customHeight="false" outlineLevel="0" collapsed="false">
      <c r="A1731" s="45"/>
      <c r="B1731" s="37" t="str">
        <f aca="false">IF($A1731="","",WEEKNUM($A1731,2))</f>
        <v/>
      </c>
      <c r="C1731" s="37" t="str">
        <f aca="false">IF($A1731="","",CHOOSE(WEEKDAY($A1731,2),"Seg","Ter","Qua","Qui","Sex","Sáb","Dom"))</f>
        <v/>
      </c>
      <c r="D1731" s="46"/>
      <c r="E1731" s="47"/>
      <c r="F1731" s="47"/>
      <c r="G1731" s="48"/>
      <c r="H1731" s="49"/>
      <c r="I1731" s="50"/>
      <c r="J1731" s="48"/>
      <c r="K1731" s="49"/>
      <c r="L1731" s="50"/>
      <c r="M1731" s="43" t="str">
        <f aca="false">IF(OR($L1731="",$F1731=""),"",IFERROR($L1731/INDEX(Cadastro!$E$6:$E$8,MATCH($F1731,Cadastro!$B$6:$B$8,0)),""))</f>
        <v/>
      </c>
      <c r="N1731" s="43" t="str">
        <f aca="false">IF(OR($L1731="",$I1731="",$I1731=0),"",$L1731/$I1731)</f>
        <v/>
      </c>
      <c r="O1731" s="51"/>
    </row>
    <row r="1732" customFormat="false" ht="15" hidden="false" customHeight="false" outlineLevel="0" collapsed="false">
      <c r="A1732" s="45"/>
      <c r="B1732" s="37" t="str">
        <f aca="false">IF($A1732="","",WEEKNUM($A1732,2))</f>
        <v/>
      </c>
      <c r="C1732" s="37" t="str">
        <f aca="false">IF($A1732="","",CHOOSE(WEEKDAY($A1732,2),"Seg","Ter","Qua","Qui","Sex","Sáb","Dom"))</f>
        <v/>
      </c>
      <c r="D1732" s="46"/>
      <c r="E1732" s="47"/>
      <c r="F1732" s="47"/>
      <c r="G1732" s="48"/>
      <c r="H1732" s="49"/>
      <c r="I1732" s="50"/>
      <c r="J1732" s="48"/>
      <c r="K1732" s="49"/>
      <c r="L1732" s="50"/>
      <c r="M1732" s="43" t="str">
        <f aca="false">IF(OR($L1732="",$F1732=""),"",IFERROR($L1732/INDEX(Cadastro!$E$6:$E$8,MATCH($F1732,Cadastro!$B$6:$B$8,0)),""))</f>
        <v/>
      </c>
      <c r="N1732" s="43" t="str">
        <f aca="false">IF(OR($L1732="",$I1732="",$I1732=0),"",$L1732/$I1732)</f>
        <v/>
      </c>
      <c r="O1732" s="51"/>
    </row>
    <row r="1733" customFormat="false" ht="15" hidden="false" customHeight="false" outlineLevel="0" collapsed="false">
      <c r="A1733" s="45"/>
      <c r="B1733" s="37" t="str">
        <f aca="false">IF($A1733="","",WEEKNUM($A1733,2))</f>
        <v/>
      </c>
      <c r="C1733" s="37" t="str">
        <f aca="false">IF($A1733="","",CHOOSE(WEEKDAY($A1733,2),"Seg","Ter","Qua","Qui","Sex","Sáb","Dom"))</f>
        <v/>
      </c>
      <c r="D1733" s="46"/>
      <c r="E1733" s="47"/>
      <c r="F1733" s="47"/>
      <c r="G1733" s="48"/>
      <c r="H1733" s="49"/>
      <c r="I1733" s="50"/>
      <c r="J1733" s="48"/>
      <c r="K1733" s="49"/>
      <c r="L1733" s="50"/>
      <c r="M1733" s="43" t="str">
        <f aca="false">IF(OR($L1733="",$F1733=""),"",IFERROR($L1733/INDEX(Cadastro!$E$6:$E$8,MATCH($F1733,Cadastro!$B$6:$B$8,0)),""))</f>
        <v/>
      </c>
      <c r="N1733" s="43" t="str">
        <f aca="false">IF(OR($L1733="",$I1733="",$I1733=0),"",$L1733/$I1733)</f>
        <v/>
      </c>
      <c r="O1733" s="51"/>
    </row>
    <row r="1734" customFormat="false" ht="15" hidden="false" customHeight="false" outlineLevel="0" collapsed="false">
      <c r="A1734" s="45"/>
      <c r="B1734" s="37" t="str">
        <f aca="false">IF($A1734="","",WEEKNUM($A1734,2))</f>
        <v/>
      </c>
      <c r="C1734" s="37" t="str">
        <f aca="false">IF($A1734="","",CHOOSE(WEEKDAY($A1734,2),"Seg","Ter","Qua","Qui","Sex","Sáb","Dom"))</f>
        <v/>
      </c>
      <c r="D1734" s="46"/>
      <c r="E1734" s="47"/>
      <c r="F1734" s="47"/>
      <c r="G1734" s="48"/>
      <c r="H1734" s="49"/>
      <c r="I1734" s="50"/>
      <c r="J1734" s="48"/>
      <c r="K1734" s="49"/>
      <c r="L1734" s="50"/>
      <c r="M1734" s="43" t="str">
        <f aca="false">IF(OR($L1734="",$F1734=""),"",IFERROR($L1734/INDEX(Cadastro!$E$6:$E$8,MATCH($F1734,Cadastro!$B$6:$B$8,0)),""))</f>
        <v/>
      </c>
      <c r="N1734" s="43" t="str">
        <f aca="false">IF(OR($L1734="",$I1734="",$I1734=0),"",$L1734/$I1734)</f>
        <v/>
      </c>
      <c r="O1734" s="51"/>
    </row>
    <row r="1735" customFormat="false" ht="15" hidden="false" customHeight="false" outlineLevel="0" collapsed="false">
      <c r="A1735" s="45"/>
      <c r="B1735" s="37" t="str">
        <f aca="false">IF($A1735="","",WEEKNUM($A1735,2))</f>
        <v/>
      </c>
      <c r="C1735" s="37" t="str">
        <f aca="false">IF($A1735="","",CHOOSE(WEEKDAY($A1735,2),"Seg","Ter","Qua","Qui","Sex","Sáb","Dom"))</f>
        <v/>
      </c>
      <c r="D1735" s="46"/>
      <c r="E1735" s="47"/>
      <c r="F1735" s="47"/>
      <c r="G1735" s="48"/>
      <c r="H1735" s="49"/>
      <c r="I1735" s="50"/>
      <c r="J1735" s="48"/>
      <c r="K1735" s="49"/>
      <c r="L1735" s="50"/>
      <c r="M1735" s="43" t="str">
        <f aca="false">IF(OR($L1735="",$F1735=""),"",IFERROR($L1735/INDEX(Cadastro!$E$6:$E$8,MATCH($F1735,Cadastro!$B$6:$B$8,0)),""))</f>
        <v/>
      </c>
      <c r="N1735" s="43" t="str">
        <f aca="false">IF(OR($L1735="",$I1735="",$I1735=0),"",$L1735/$I1735)</f>
        <v/>
      </c>
      <c r="O1735" s="51"/>
    </row>
    <row r="1736" customFormat="false" ht="15" hidden="false" customHeight="false" outlineLevel="0" collapsed="false">
      <c r="A1736" s="45"/>
      <c r="B1736" s="37" t="str">
        <f aca="false">IF($A1736="","",WEEKNUM($A1736,2))</f>
        <v/>
      </c>
      <c r="C1736" s="37" t="str">
        <f aca="false">IF($A1736="","",CHOOSE(WEEKDAY($A1736,2),"Seg","Ter","Qua","Qui","Sex","Sáb","Dom"))</f>
        <v/>
      </c>
      <c r="D1736" s="46"/>
      <c r="E1736" s="47"/>
      <c r="F1736" s="47"/>
      <c r="G1736" s="48"/>
      <c r="H1736" s="49"/>
      <c r="I1736" s="50"/>
      <c r="J1736" s="48"/>
      <c r="K1736" s="49"/>
      <c r="L1736" s="50"/>
      <c r="M1736" s="43" t="str">
        <f aca="false">IF(OR($L1736="",$F1736=""),"",IFERROR($L1736/INDEX(Cadastro!$E$6:$E$8,MATCH($F1736,Cadastro!$B$6:$B$8,0)),""))</f>
        <v/>
      </c>
      <c r="N1736" s="43" t="str">
        <f aca="false">IF(OR($L1736="",$I1736="",$I1736=0),"",$L1736/$I1736)</f>
        <v/>
      </c>
      <c r="O1736" s="51"/>
    </row>
    <row r="1737" customFormat="false" ht="15" hidden="false" customHeight="false" outlineLevel="0" collapsed="false">
      <c r="A1737" s="45"/>
      <c r="B1737" s="37" t="str">
        <f aca="false">IF($A1737="","",WEEKNUM($A1737,2))</f>
        <v/>
      </c>
      <c r="C1737" s="37" t="str">
        <f aca="false">IF($A1737="","",CHOOSE(WEEKDAY($A1737,2),"Seg","Ter","Qua","Qui","Sex","Sáb","Dom"))</f>
        <v/>
      </c>
      <c r="D1737" s="46"/>
      <c r="E1737" s="47"/>
      <c r="F1737" s="47"/>
      <c r="G1737" s="48"/>
      <c r="H1737" s="49"/>
      <c r="I1737" s="50"/>
      <c r="J1737" s="48"/>
      <c r="K1737" s="49"/>
      <c r="L1737" s="50"/>
      <c r="M1737" s="43" t="str">
        <f aca="false">IF(OR($L1737="",$F1737=""),"",IFERROR($L1737/INDEX(Cadastro!$E$6:$E$8,MATCH($F1737,Cadastro!$B$6:$B$8,0)),""))</f>
        <v/>
      </c>
      <c r="N1737" s="43" t="str">
        <f aca="false">IF(OR($L1737="",$I1737="",$I1737=0),"",$L1737/$I1737)</f>
        <v/>
      </c>
      <c r="O1737" s="51"/>
    </row>
    <row r="1738" customFormat="false" ht="15" hidden="false" customHeight="false" outlineLevel="0" collapsed="false">
      <c r="A1738" s="45"/>
      <c r="B1738" s="37" t="str">
        <f aca="false">IF($A1738="","",WEEKNUM($A1738,2))</f>
        <v/>
      </c>
      <c r="C1738" s="37" t="str">
        <f aca="false">IF($A1738="","",CHOOSE(WEEKDAY($A1738,2),"Seg","Ter","Qua","Qui","Sex","Sáb","Dom"))</f>
        <v/>
      </c>
      <c r="D1738" s="46"/>
      <c r="E1738" s="47"/>
      <c r="F1738" s="47"/>
      <c r="G1738" s="48"/>
      <c r="H1738" s="49"/>
      <c r="I1738" s="50"/>
      <c r="J1738" s="48"/>
      <c r="K1738" s="49"/>
      <c r="L1738" s="50"/>
      <c r="M1738" s="43" t="str">
        <f aca="false">IF(OR($L1738="",$F1738=""),"",IFERROR($L1738/INDEX(Cadastro!$E$6:$E$8,MATCH($F1738,Cadastro!$B$6:$B$8,0)),""))</f>
        <v/>
      </c>
      <c r="N1738" s="43" t="str">
        <f aca="false">IF(OR($L1738="",$I1738="",$I1738=0),"",$L1738/$I1738)</f>
        <v/>
      </c>
      <c r="O1738" s="51"/>
    </row>
    <row r="1739" customFormat="false" ht="15" hidden="false" customHeight="false" outlineLevel="0" collapsed="false">
      <c r="A1739" s="45"/>
      <c r="B1739" s="37" t="str">
        <f aca="false">IF($A1739="","",WEEKNUM($A1739,2))</f>
        <v/>
      </c>
      <c r="C1739" s="37" t="str">
        <f aca="false">IF($A1739="","",CHOOSE(WEEKDAY($A1739,2),"Seg","Ter","Qua","Qui","Sex","Sáb","Dom"))</f>
        <v/>
      </c>
      <c r="D1739" s="46"/>
      <c r="E1739" s="47"/>
      <c r="F1739" s="47"/>
      <c r="G1739" s="48"/>
      <c r="H1739" s="49"/>
      <c r="I1739" s="50"/>
      <c r="J1739" s="48"/>
      <c r="K1739" s="49"/>
      <c r="L1739" s="50"/>
      <c r="M1739" s="43" t="str">
        <f aca="false">IF(OR($L1739="",$F1739=""),"",IFERROR($L1739/INDEX(Cadastro!$E$6:$E$8,MATCH($F1739,Cadastro!$B$6:$B$8,0)),""))</f>
        <v/>
      </c>
      <c r="N1739" s="43" t="str">
        <f aca="false">IF(OR($L1739="",$I1739="",$I1739=0),"",$L1739/$I1739)</f>
        <v/>
      </c>
      <c r="O1739" s="51"/>
    </row>
    <row r="1740" customFormat="false" ht="15" hidden="false" customHeight="false" outlineLevel="0" collapsed="false">
      <c r="A1740" s="45"/>
      <c r="B1740" s="37" t="str">
        <f aca="false">IF($A1740="","",WEEKNUM($A1740,2))</f>
        <v/>
      </c>
      <c r="C1740" s="37" t="str">
        <f aca="false">IF($A1740="","",CHOOSE(WEEKDAY($A1740,2),"Seg","Ter","Qua","Qui","Sex","Sáb","Dom"))</f>
        <v/>
      </c>
      <c r="D1740" s="46"/>
      <c r="E1740" s="47"/>
      <c r="F1740" s="47"/>
      <c r="G1740" s="48"/>
      <c r="H1740" s="49"/>
      <c r="I1740" s="50"/>
      <c r="J1740" s="48"/>
      <c r="K1740" s="49"/>
      <c r="L1740" s="50"/>
      <c r="M1740" s="43" t="str">
        <f aca="false">IF(OR($L1740="",$F1740=""),"",IFERROR($L1740/INDEX(Cadastro!$E$6:$E$8,MATCH($F1740,Cadastro!$B$6:$B$8,0)),""))</f>
        <v/>
      </c>
      <c r="N1740" s="43" t="str">
        <f aca="false">IF(OR($L1740="",$I1740="",$I1740=0),"",$L1740/$I1740)</f>
        <v/>
      </c>
      <c r="O1740" s="51"/>
    </row>
    <row r="1741" customFormat="false" ht="15" hidden="false" customHeight="false" outlineLevel="0" collapsed="false">
      <c r="A1741" s="45"/>
      <c r="B1741" s="37" t="str">
        <f aca="false">IF($A1741="","",WEEKNUM($A1741,2))</f>
        <v/>
      </c>
      <c r="C1741" s="37" t="str">
        <f aca="false">IF($A1741="","",CHOOSE(WEEKDAY($A1741,2),"Seg","Ter","Qua","Qui","Sex","Sáb","Dom"))</f>
        <v/>
      </c>
      <c r="D1741" s="46"/>
      <c r="E1741" s="47"/>
      <c r="F1741" s="47"/>
      <c r="G1741" s="48"/>
      <c r="H1741" s="49"/>
      <c r="I1741" s="50"/>
      <c r="J1741" s="48"/>
      <c r="K1741" s="49"/>
      <c r="L1741" s="50"/>
      <c r="M1741" s="43" t="str">
        <f aca="false">IF(OR($L1741="",$F1741=""),"",IFERROR($L1741/INDEX(Cadastro!$E$6:$E$8,MATCH($F1741,Cadastro!$B$6:$B$8,0)),""))</f>
        <v/>
      </c>
      <c r="N1741" s="43" t="str">
        <f aca="false">IF(OR($L1741="",$I1741="",$I1741=0),"",$L1741/$I1741)</f>
        <v/>
      </c>
      <c r="O1741" s="51"/>
    </row>
    <row r="1742" customFormat="false" ht="15" hidden="false" customHeight="false" outlineLevel="0" collapsed="false">
      <c r="A1742" s="45"/>
      <c r="B1742" s="37" t="str">
        <f aca="false">IF($A1742="","",WEEKNUM($A1742,2))</f>
        <v/>
      </c>
      <c r="C1742" s="37" t="str">
        <f aca="false">IF($A1742="","",CHOOSE(WEEKDAY($A1742,2),"Seg","Ter","Qua","Qui","Sex","Sáb","Dom"))</f>
        <v/>
      </c>
      <c r="D1742" s="46"/>
      <c r="E1742" s="47"/>
      <c r="F1742" s="47"/>
      <c r="G1742" s="48"/>
      <c r="H1742" s="49"/>
      <c r="I1742" s="50"/>
      <c r="J1742" s="48"/>
      <c r="K1742" s="49"/>
      <c r="L1742" s="50"/>
      <c r="M1742" s="43" t="str">
        <f aca="false">IF(OR($L1742="",$F1742=""),"",IFERROR($L1742/INDEX(Cadastro!$E$6:$E$8,MATCH($F1742,Cadastro!$B$6:$B$8,0)),""))</f>
        <v/>
      </c>
      <c r="N1742" s="43" t="str">
        <f aca="false">IF(OR($L1742="",$I1742="",$I1742=0),"",$L1742/$I1742)</f>
        <v/>
      </c>
      <c r="O1742" s="51"/>
    </row>
    <row r="1743" customFormat="false" ht="15" hidden="false" customHeight="false" outlineLevel="0" collapsed="false">
      <c r="A1743" s="45"/>
      <c r="B1743" s="37" t="str">
        <f aca="false">IF($A1743="","",WEEKNUM($A1743,2))</f>
        <v/>
      </c>
      <c r="C1743" s="37" t="str">
        <f aca="false">IF($A1743="","",CHOOSE(WEEKDAY($A1743,2),"Seg","Ter","Qua","Qui","Sex","Sáb","Dom"))</f>
        <v/>
      </c>
      <c r="D1743" s="46"/>
      <c r="E1743" s="47"/>
      <c r="F1743" s="47"/>
      <c r="G1743" s="48"/>
      <c r="H1743" s="49"/>
      <c r="I1743" s="50"/>
      <c r="J1743" s="48"/>
      <c r="K1743" s="49"/>
      <c r="L1743" s="50"/>
      <c r="M1743" s="43" t="str">
        <f aca="false">IF(OR($L1743="",$F1743=""),"",IFERROR($L1743/INDEX(Cadastro!$E$6:$E$8,MATCH($F1743,Cadastro!$B$6:$B$8,0)),""))</f>
        <v/>
      </c>
      <c r="N1743" s="43" t="str">
        <f aca="false">IF(OR($L1743="",$I1743="",$I1743=0),"",$L1743/$I1743)</f>
        <v/>
      </c>
      <c r="O1743" s="51"/>
    </row>
    <row r="1744" customFormat="false" ht="15" hidden="false" customHeight="false" outlineLevel="0" collapsed="false">
      <c r="A1744" s="45"/>
      <c r="B1744" s="37" t="str">
        <f aca="false">IF($A1744="","",WEEKNUM($A1744,2))</f>
        <v/>
      </c>
      <c r="C1744" s="37" t="str">
        <f aca="false">IF($A1744="","",CHOOSE(WEEKDAY($A1744,2),"Seg","Ter","Qua","Qui","Sex","Sáb","Dom"))</f>
        <v/>
      </c>
      <c r="D1744" s="46"/>
      <c r="E1744" s="47"/>
      <c r="F1744" s="47"/>
      <c r="G1744" s="48"/>
      <c r="H1744" s="49"/>
      <c r="I1744" s="50"/>
      <c r="J1744" s="48"/>
      <c r="K1744" s="49"/>
      <c r="L1744" s="50"/>
      <c r="M1744" s="43" t="str">
        <f aca="false">IF(OR($L1744="",$F1744=""),"",IFERROR($L1744/INDEX(Cadastro!$E$6:$E$8,MATCH($F1744,Cadastro!$B$6:$B$8,0)),""))</f>
        <v/>
      </c>
      <c r="N1744" s="43" t="str">
        <f aca="false">IF(OR($L1744="",$I1744="",$I1744=0),"",$L1744/$I1744)</f>
        <v/>
      </c>
      <c r="O1744" s="51"/>
    </row>
    <row r="1745" customFormat="false" ht="15" hidden="false" customHeight="false" outlineLevel="0" collapsed="false">
      <c r="A1745" s="45"/>
      <c r="B1745" s="37" t="str">
        <f aca="false">IF($A1745="","",WEEKNUM($A1745,2))</f>
        <v/>
      </c>
      <c r="C1745" s="37" t="str">
        <f aca="false">IF($A1745="","",CHOOSE(WEEKDAY($A1745,2),"Seg","Ter","Qua","Qui","Sex","Sáb","Dom"))</f>
        <v/>
      </c>
      <c r="D1745" s="46"/>
      <c r="E1745" s="47"/>
      <c r="F1745" s="47"/>
      <c r="G1745" s="48"/>
      <c r="H1745" s="49"/>
      <c r="I1745" s="50"/>
      <c r="J1745" s="48"/>
      <c r="K1745" s="49"/>
      <c r="L1745" s="50"/>
      <c r="M1745" s="43" t="str">
        <f aca="false">IF(OR($L1745="",$F1745=""),"",IFERROR($L1745/INDEX(Cadastro!$E$6:$E$8,MATCH($F1745,Cadastro!$B$6:$B$8,0)),""))</f>
        <v/>
      </c>
      <c r="N1745" s="43" t="str">
        <f aca="false">IF(OR($L1745="",$I1745="",$I1745=0),"",$L1745/$I1745)</f>
        <v/>
      </c>
      <c r="O1745" s="51"/>
    </row>
    <row r="1746" customFormat="false" ht="15" hidden="false" customHeight="false" outlineLevel="0" collapsed="false">
      <c r="A1746" s="45"/>
      <c r="B1746" s="37" t="str">
        <f aca="false">IF($A1746="","",WEEKNUM($A1746,2))</f>
        <v/>
      </c>
      <c r="C1746" s="37" t="str">
        <f aca="false">IF($A1746="","",CHOOSE(WEEKDAY($A1746,2),"Seg","Ter","Qua","Qui","Sex","Sáb","Dom"))</f>
        <v/>
      </c>
      <c r="D1746" s="46"/>
      <c r="E1746" s="47"/>
      <c r="F1746" s="47"/>
      <c r="G1746" s="48"/>
      <c r="H1746" s="49"/>
      <c r="I1746" s="50"/>
      <c r="J1746" s="48"/>
      <c r="K1746" s="49"/>
      <c r="L1746" s="50"/>
      <c r="M1746" s="43" t="str">
        <f aca="false">IF(OR($L1746="",$F1746=""),"",IFERROR($L1746/INDEX(Cadastro!$E$6:$E$8,MATCH($F1746,Cadastro!$B$6:$B$8,0)),""))</f>
        <v/>
      </c>
      <c r="N1746" s="43" t="str">
        <f aca="false">IF(OR($L1746="",$I1746="",$I1746=0),"",$L1746/$I1746)</f>
        <v/>
      </c>
      <c r="O1746" s="51"/>
    </row>
    <row r="1747" customFormat="false" ht="15" hidden="false" customHeight="false" outlineLevel="0" collapsed="false">
      <c r="A1747" s="45"/>
      <c r="B1747" s="37" t="str">
        <f aca="false">IF($A1747="","",WEEKNUM($A1747,2))</f>
        <v/>
      </c>
      <c r="C1747" s="37" t="str">
        <f aca="false">IF($A1747="","",CHOOSE(WEEKDAY($A1747,2),"Seg","Ter","Qua","Qui","Sex","Sáb","Dom"))</f>
        <v/>
      </c>
      <c r="D1747" s="46"/>
      <c r="E1747" s="47"/>
      <c r="F1747" s="47"/>
      <c r="G1747" s="48"/>
      <c r="H1747" s="49"/>
      <c r="I1747" s="50"/>
      <c r="J1747" s="48"/>
      <c r="K1747" s="49"/>
      <c r="L1747" s="50"/>
      <c r="M1747" s="43" t="str">
        <f aca="false">IF(OR($L1747="",$F1747=""),"",IFERROR($L1747/INDEX(Cadastro!$E$6:$E$8,MATCH($F1747,Cadastro!$B$6:$B$8,0)),""))</f>
        <v/>
      </c>
      <c r="N1747" s="43" t="str">
        <f aca="false">IF(OR($L1747="",$I1747="",$I1747=0),"",$L1747/$I1747)</f>
        <v/>
      </c>
      <c r="O1747" s="51"/>
    </row>
    <row r="1748" customFormat="false" ht="15" hidden="false" customHeight="false" outlineLevel="0" collapsed="false">
      <c r="A1748" s="45"/>
      <c r="B1748" s="37" t="str">
        <f aca="false">IF($A1748="","",WEEKNUM($A1748,2))</f>
        <v/>
      </c>
      <c r="C1748" s="37" t="str">
        <f aca="false">IF($A1748="","",CHOOSE(WEEKDAY($A1748,2),"Seg","Ter","Qua","Qui","Sex","Sáb","Dom"))</f>
        <v/>
      </c>
      <c r="D1748" s="46"/>
      <c r="E1748" s="47"/>
      <c r="F1748" s="47"/>
      <c r="G1748" s="48"/>
      <c r="H1748" s="49"/>
      <c r="I1748" s="50"/>
      <c r="J1748" s="48"/>
      <c r="K1748" s="49"/>
      <c r="L1748" s="50"/>
      <c r="M1748" s="43" t="str">
        <f aca="false">IF(OR($L1748="",$F1748=""),"",IFERROR($L1748/INDEX(Cadastro!$E$6:$E$8,MATCH($F1748,Cadastro!$B$6:$B$8,0)),""))</f>
        <v/>
      </c>
      <c r="N1748" s="43" t="str">
        <f aca="false">IF(OR($L1748="",$I1748="",$I1748=0),"",$L1748/$I1748)</f>
        <v/>
      </c>
      <c r="O1748" s="51"/>
    </row>
    <row r="1749" customFormat="false" ht="15" hidden="false" customHeight="false" outlineLevel="0" collapsed="false">
      <c r="A1749" s="45"/>
      <c r="B1749" s="37" t="str">
        <f aca="false">IF($A1749="","",WEEKNUM($A1749,2))</f>
        <v/>
      </c>
      <c r="C1749" s="37" t="str">
        <f aca="false">IF($A1749="","",CHOOSE(WEEKDAY($A1749,2),"Seg","Ter","Qua","Qui","Sex","Sáb","Dom"))</f>
        <v/>
      </c>
      <c r="D1749" s="46"/>
      <c r="E1749" s="47"/>
      <c r="F1749" s="47"/>
      <c r="G1749" s="48"/>
      <c r="H1749" s="49"/>
      <c r="I1749" s="50"/>
      <c r="J1749" s="48"/>
      <c r="K1749" s="49"/>
      <c r="L1749" s="50"/>
      <c r="M1749" s="43" t="str">
        <f aca="false">IF(OR($L1749="",$F1749=""),"",IFERROR($L1749/INDEX(Cadastro!$E$6:$E$8,MATCH($F1749,Cadastro!$B$6:$B$8,0)),""))</f>
        <v/>
      </c>
      <c r="N1749" s="43" t="str">
        <f aca="false">IF(OR($L1749="",$I1749="",$I1749=0),"",$L1749/$I1749)</f>
        <v/>
      </c>
      <c r="O1749" s="51"/>
    </row>
    <row r="1750" customFormat="false" ht="15" hidden="false" customHeight="false" outlineLevel="0" collapsed="false">
      <c r="A1750" s="45"/>
      <c r="B1750" s="37" t="str">
        <f aca="false">IF($A1750="","",WEEKNUM($A1750,2))</f>
        <v/>
      </c>
      <c r="C1750" s="37" t="str">
        <f aca="false">IF($A1750="","",CHOOSE(WEEKDAY($A1750,2),"Seg","Ter","Qua","Qui","Sex","Sáb","Dom"))</f>
        <v/>
      </c>
      <c r="D1750" s="46"/>
      <c r="E1750" s="47"/>
      <c r="F1750" s="47"/>
      <c r="G1750" s="48"/>
      <c r="H1750" s="49"/>
      <c r="I1750" s="50"/>
      <c r="J1750" s="48"/>
      <c r="K1750" s="49"/>
      <c r="L1750" s="50"/>
      <c r="M1750" s="43" t="str">
        <f aca="false">IF(OR($L1750="",$F1750=""),"",IFERROR($L1750/INDEX(Cadastro!$E$6:$E$8,MATCH($F1750,Cadastro!$B$6:$B$8,0)),""))</f>
        <v/>
      </c>
      <c r="N1750" s="43" t="str">
        <f aca="false">IF(OR($L1750="",$I1750="",$I1750=0),"",$L1750/$I1750)</f>
        <v/>
      </c>
      <c r="O1750" s="51"/>
    </row>
    <row r="1751" customFormat="false" ht="15" hidden="false" customHeight="false" outlineLevel="0" collapsed="false">
      <c r="A1751" s="45"/>
      <c r="B1751" s="37" t="str">
        <f aca="false">IF($A1751="","",WEEKNUM($A1751,2))</f>
        <v/>
      </c>
      <c r="C1751" s="37" t="str">
        <f aca="false">IF($A1751="","",CHOOSE(WEEKDAY($A1751,2),"Seg","Ter","Qua","Qui","Sex","Sáb","Dom"))</f>
        <v/>
      </c>
      <c r="D1751" s="46"/>
      <c r="E1751" s="47"/>
      <c r="F1751" s="47"/>
      <c r="G1751" s="48"/>
      <c r="H1751" s="49"/>
      <c r="I1751" s="50"/>
      <c r="J1751" s="48"/>
      <c r="K1751" s="49"/>
      <c r="L1751" s="50"/>
      <c r="M1751" s="43" t="str">
        <f aca="false">IF(OR($L1751="",$F1751=""),"",IFERROR($L1751/INDEX(Cadastro!$E$6:$E$8,MATCH($F1751,Cadastro!$B$6:$B$8,0)),""))</f>
        <v/>
      </c>
      <c r="N1751" s="43" t="str">
        <f aca="false">IF(OR($L1751="",$I1751="",$I1751=0),"",$L1751/$I1751)</f>
        <v/>
      </c>
      <c r="O1751" s="51"/>
    </row>
    <row r="1752" customFormat="false" ht="15" hidden="false" customHeight="false" outlineLevel="0" collapsed="false">
      <c r="A1752" s="45"/>
      <c r="B1752" s="37" t="str">
        <f aca="false">IF($A1752="","",WEEKNUM($A1752,2))</f>
        <v/>
      </c>
      <c r="C1752" s="37" t="str">
        <f aca="false">IF($A1752="","",CHOOSE(WEEKDAY($A1752,2),"Seg","Ter","Qua","Qui","Sex","Sáb","Dom"))</f>
        <v/>
      </c>
      <c r="D1752" s="46"/>
      <c r="E1752" s="47"/>
      <c r="F1752" s="47"/>
      <c r="G1752" s="48"/>
      <c r="H1752" s="49"/>
      <c r="I1752" s="50"/>
      <c r="J1752" s="48"/>
      <c r="K1752" s="49"/>
      <c r="L1752" s="50"/>
      <c r="M1752" s="43" t="str">
        <f aca="false">IF(OR($L1752="",$F1752=""),"",IFERROR($L1752/INDEX(Cadastro!$E$6:$E$8,MATCH($F1752,Cadastro!$B$6:$B$8,0)),""))</f>
        <v/>
      </c>
      <c r="N1752" s="43" t="str">
        <f aca="false">IF(OR($L1752="",$I1752="",$I1752=0),"",$L1752/$I1752)</f>
        <v/>
      </c>
      <c r="O1752" s="51"/>
    </row>
    <row r="1753" customFormat="false" ht="15" hidden="false" customHeight="false" outlineLevel="0" collapsed="false">
      <c r="A1753" s="45"/>
      <c r="B1753" s="37" t="str">
        <f aca="false">IF($A1753="","",WEEKNUM($A1753,2))</f>
        <v/>
      </c>
      <c r="C1753" s="37" t="str">
        <f aca="false">IF($A1753="","",CHOOSE(WEEKDAY($A1753,2),"Seg","Ter","Qua","Qui","Sex","Sáb","Dom"))</f>
        <v/>
      </c>
      <c r="D1753" s="46"/>
      <c r="E1753" s="47"/>
      <c r="F1753" s="47"/>
      <c r="G1753" s="48"/>
      <c r="H1753" s="49"/>
      <c r="I1753" s="50"/>
      <c r="J1753" s="48"/>
      <c r="K1753" s="49"/>
      <c r="L1753" s="50"/>
      <c r="M1753" s="43" t="str">
        <f aca="false">IF(OR($L1753="",$F1753=""),"",IFERROR($L1753/INDEX(Cadastro!$E$6:$E$8,MATCH($F1753,Cadastro!$B$6:$B$8,0)),""))</f>
        <v/>
      </c>
      <c r="N1753" s="43" t="str">
        <f aca="false">IF(OR($L1753="",$I1753="",$I1753=0),"",$L1753/$I1753)</f>
        <v/>
      </c>
      <c r="O1753" s="51"/>
    </row>
    <row r="1754" customFormat="false" ht="15" hidden="false" customHeight="false" outlineLevel="0" collapsed="false">
      <c r="A1754" s="45"/>
      <c r="B1754" s="37" t="str">
        <f aca="false">IF($A1754="","",WEEKNUM($A1754,2))</f>
        <v/>
      </c>
      <c r="C1754" s="37" t="str">
        <f aca="false">IF($A1754="","",CHOOSE(WEEKDAY($A1754,2),"Seg","Ter","Qua","Qui","Sex","Sáb","Dom"))</f>
        <v/>
      </c>
      <c r="D1754" s="46"/>
      <c r="E1754" s="47"/>
      <c r="F1754" s="47"/>
      <c r="G1754" s="48"/>
      <c r="H1754" s="49"/>
      <c r="I1754" s="50"/>
      <c r="J1754" s="48"/>
      <c r="K1754" s="49"/>
      <c r="L1754" s="50"/>
      <c r="M1754" s="43" t="str">
        <f aca="false">IF(OR($L1754="",$F1754=""),"",IFERROR($L1754/INDEX(Cadastro!$E$6:$E$8,MATCH($F1754,Cadastro!$B$6:$B$8,0)),""))</f>
        <v/>
      </c>
      <c r="N1754" s="43" t="str">
        <f aca="false">IF(OR($L1754="",$I1754="",$I1754=0),"",$L1754/$I1754)</f>
        <v/>
      </c>
      <c r="O1754" s="51"/>
    </row>
    <row r="1755" customFormat="false" ht="15" hidden="false" customHeight="false" outlineLevel="0" collapsed="false">
      <c r="A1755" s="45"/>
      <c r="B1755" s="37" t="str">
        <f aca="false">IF($A1755="","",WEEKNUM($A1755,2))</f>
        <v/>
      </c>
      <c r="C1755" s="37" t="str">
        <f aca="false">IF($A1755="","",CHOOSE(WEEKDAY($A1755,2),"Seg","Ter","Qua","Qui","Sex","Sáb","Dom"))</f>
        <v/>
      </c>
      <c r="D1755" s="46"/>
      <c r="E1755" s="47"/>
      <c r="F1755" s="47"/>
      <c r="G1755" s="48"/>
      <c r="H1755" s="49"/>
      <c r="I1755" s="50"/>
      <c r="J1755" s="48"/>
      <c r="K1755" s="49"/>
      <c r="L1755" s="50"/>
      <c r="M1755" s="43" t="str">
        <f aca="false">IF(OR($L1755="",$F1755=""),"",IFERROR($L1755/INDEX(Cadastro!$E$6:$E$8,MATCH($F1755,Cadastro!$B$6:$B$8,0)),""))</f>
        <v/>
      </c>
      <c r="N1755" s="43" t="str">
        <f aca="false">IF(OR($L1755="",$I1755="",$I1755=0),"",$L1755/$I1755)</f>
        <v/>
      </c>
      <c r="O1755" s="51"/>
    </row>
    <row r="1756" customFormat="false" ht="15" hidden="false" customHeight="false" outlineLevel="0" collapsed="false">
      <c r="A1756" s="45"/>
      <c r="B1756" s="37" t="str">
        <f aca="false">IF($A1756="","",WEEKNUM($A1756,2))</f>
        <v/>
      </c>
      <c r="C1756" s="37" t="str">
        <f aca="false">IF($A1756="","",CHOOSE(WEEKDAY($A1756,2),"Seg","Ter","Qua","Qui","Sex","Sáb","Dom"))</f>
        <v/>
      </c>
      <c r="D1756" s="46"/>
      <c r="E1756" s="47"/>
      <c r="F1756" s="47"/>
      <c r="G1756" s="48"/>
      <c r="H1756" s="49"/>
      <c r="I1756" s="50"/>
      <c r="J1756" s="48"/>
      <c r="K1756" s="49"/>
      <c r="L1756" s="50"/>
      <c r="M1756" s="43" t="str">
        <f aca="false">IF(OR($L1756="",$F1756=""),"",IFERROR($L1756/INDEX(Cadastro!$E$6:$E$8,MATCH($F1756,Cadastro!$B$6:$B$8,0)),""))</f>
        <v/>
      </c>
      <c r="N1756" s="43" t="str">
        <f aca="false">IF(OR($L1756="",$I1756="",$I1756=0),"",$L1756/$I1756)</f>
        <v/>
      </c>
      <c r="O1756" s="51"/>
    </row>
    <row r="1757" customFormat="false" ht="15" hidden="false" customHeight="false" outlineLevel="0" collapsed="false">
      <c r="A1757" s="45"/>
      <c r="B1757" s="37" t="str">
        <f aca="false">IF($A1757="","",WEEKNUM($A1757,2))</f>
        <v/>
      </c>
      <c r="C1757" s="37" t="str">
        <f aca="false">IF($A1757="","",CHOOSE(WEEKDAY($A1757,2),"Seg","Ter","Qua","Qui","Sex","Sáb","Dom"))</f>
        <v/>
      </c>
      <c r="D1757" s="46"/>
      <c r="E1757" s="47"/>
      <c r="F1757" s="47"/>
      <c r="G1757" s="48"/>
      <c r="H1757" s="49"/>
      <c r="I1757" s="50"/>
      <c r="J1757" s="48"/>
      <c r="K1757" s="49"/>
      <c r="L1757" s="50"/>
      <c r="M1757" s="43" t="str">
        <f aca="false">IF(OR($L1757="",$F1757=""),"",IFERROR($L1757/INDEX(Cadastro!$E$6:$E$8,MATCH($F1757,Cadastro!$B$6:$B$8,0)),""))</f>
        <v/>
      </c>
      <c r="N1757" s="43" t="str">
        <f aca="false">IF(OR($L1757="",$I1757="",$I1757=0),"",$L1757/$I1757)</f>
        <v/>
      </c>
      <c r="O1757" s="51"/>
    </row>
    <row r="1758" customFormat="false" ht="15" hidden="false" customHeight="false" outlineLevel="0" collapsed="false">
      <c r="A1758" s="45"/>
      <c r="B1758" s="37" t="str">
        <f aca="false">IF($A1758="","",WEEKNUM($A1758,2))</f>
        <v/>
      </c>
      <c r="C1758" s="37" t="str">
        <f aca="false">IF($A1758="","",CHOOSE(WEEKDAY($A1758,2),"Seg","Ter","Qua","Qui","Sex","Sáb","Dom"))</f>
        <v/>
      </c>
      <c r="D1758" s="46"/>
      <c r="E1758" s="47"/>
      <c r="F1758" s="47"/>
      <c r="G1758" s="48"/>
      <c r="H1758" s="49"/>
      <c r="I1758" s="50"/>
      <c r="J1758" s="48"/>
      <c r="K1758" s="49"/>
      <c r="L1758" s="50"/>
      <c r="M1758" s="43" t="str">
        <f aca="false">IF(OR($L1758="",$F1758=""),"",IFERROR($L1758/INDEX(Cadastro!$E$6:$E$8,MATCH($F1758,Cadastro!$B$6:$B$8,0)),""))</f>
        <v/>
      </c>
      <c r="N1758" s="43" t="str">
        <f aca="false">IF(OR($L1758="",$I1758="",$I1758=0),"",$L1758/$I1758)</f>
        <v/>
      </c>
      <c r="O1758" s="51"/>
    </row>
    <row r="1759" customFormat="false" ht="15" hidden="false" customHeight="false" outlineLevel="0" collapsed="false">
      <c r="A1759" s="45"/>
      <c r="B1759" s="37" t="str">
        <f aca="false">IF($A1759="","",WEEKNUM($A1759,2))</f>
        <v/>
      </c>
      <c r="C1759" s="37" t="str">
        <f aca="false">IF($A1759="","",CHOOSE(WEEKDAY($A1759,2),"Seg","Ter","Qua","Qui","Sex","Sáb","Dom"))</f>
        <v/>
      </c>
      <c r="D1759" s="46"/>
      <c r="E1759" s="47"/>
      <c r="F1759" s="47"/>
      <c r="G1759" s="48"/>
      <c r="H1759" s="49"/>
      <c r="I1759" s="50"/>
      <c r="J1759" s="48"/>
      <c r="K1759" s="49"/>
      <c r="L1759" s="50"/>
      <c r="M1759" s="43" t="str">
        <f aca="false">IF(OR($L1759="",$F1759=""),"",IFERROR($L1759/INDEX(Cadastro!$E$6:$E$8,MATCH($F1759,Cadastro!$B$6:$B$8,0)),""))</f>
        <v/>
      </c>
      <c r="N1759" s="43" t="str">
        <f aca="false">IF(OR($L1759="",$I1759="",$I1759=0),"",$L1759/$I1759)</f>
        <v/>
      </c>
      <c r="O1759" s="51"/>
    </row>
    <row r="1760" customFormat="false" ht="15" hidden="false" customHeight="false" outlineLevel="0" collapsed="false">
      <c r="A1760" s="45"/>
      <c r="B1760" s="37" t="str">
        <f aca="false">IF($A1760="","",WEEKNUM($A1760,2))</f>
        <v/>
      </c>
      <c r="C1760" s="37" t="str">
        <f aca="false">IF($A1760="","",CHOOSE(WEEKDAY($A1760,2),"Seg","Ter","Qua","Qui","Sex","Sáb","Dom"))</f>
        <v/>
      </c>
      <c r="D1760" s="46"/>
      <c r="E1760" s="47"/>
      <c r="F1760" s="47"/>
      <c r="G1760" s="48"/>
      <c r="H1760" s="49"/>
      <c r="I1760" s="50"/>
      <c r="J1760" s="48"/>
      <c r="K1760" s="49"/>
      <c r="L1760" s="50"/>
      <c r="M1760" s="43" t="str">
        <f aca="false">IF(OR($L1760="",$F1760=""),"",IFERROR($L1760/INDEX(Cadastro!$E$6:$E$8,MATCH($F1760,Cadastro!$B$6:$B$8,0)),""))</f>
        <v/>
      </c>
      <c r="N1760" s="43" t="str">
        <f aca="false">IF(OR($L1760="",$I1760="",$I1760=0),"",$L1760/$I1760)</f>
        <v/>
      </c>
      <c r="O1760" s="51"/>
    </row>
    <row r="1761" customFormat="false" ht="15" hidden="false" customHeight="false" outlineLevel="0" collapsed="false">
      <c r="A1761" s="45"/>
      <c r="B1761" s="37" t="str">
        <f aca="false">IF($A1761="","",WEEKNUM($A1761,2))</f>
        <v/>
      </c>
      <c r="C1761" s="37" t="str">
        <f aca="false">IF($A1761="","",CHOOSE(WEEKDAY($A1761,2),"Seg","Ter","Qua","Qui","Sex","Sáb","Dom"))</f>
        <v/>
      </c>
      <c r="D1761" s="46"/>
      <c r="E1761" s="47"/>
      <c r="F1761" s="47"/>
      <c r="G1761" s="48"/>
      <c r="H1761" s="49"/>
      <c r="I1761" s="50"/>
      <c r="J1761" s="48"/>
      <c r="K1761" s="49"/>
      <c r="L1761" s="50"/>
      <c r="M1761" s="43" t="str">
        <f aca="false">IF(OR($L1761="",$F1761=""),"",IFERROR($L1761/INDEX(Cadastro!$E$6:$E$8,MATCH($F1761,Cadastro!$B$6:$B$8,0)),""))</f>
        <v/>
      </c>
      <c r="N1761" s="43" t="str">
        <f aca="false">IF(OR($L1761="",$I1761="",$I1761=0),"",$L1761/$I1761)</f>
        <v/>
      </c>
      <c r="O1761" s="51"/>
    </row>
    <row r="1762" customFormat="false" ht="15" hidden="false" customHeight="false" outlineLevel="0" collapsed="false">
      <c r="A1762" s="45"/>
      <c r="B1762" s="37" t="str">
        <f aca="false">IF($A1762="","",WEEKNUM($A1762,2))</f>
        <v/>
      </c>
      <c r="C1762" s="37" t="str">
        <f aca="false">IF($A1762="","",CHOOSE(WEEKDAY($A1762,2),"Seg","Ter","Qua","Qui","Sex","Sáb","Dom"))</f>
        <v/>
      </c>
      <c r="D1762" s="46"/>
      <c r="E1762" s="47"/>
      <c r="F1762" s="47"/>
      <c r="G1762" s="48"/>
      <c r="H1762" s="49"/>
      <c r="I1762" s="50"/>
      <c r="J1762" s="48"/>
      <c r="K1762" s="49"/>
      <c r="L1762" s="50"/>
      <c r="M1762" s="43" t="str">
        <f aca="false">IF(OR($L1762="",$F1762=""),"",IFERROR($L1762/INDEX(Cadastro!$E$6:$E$8,MATCH($F1762,Cadastro!$B$6:$B$8,0)),""))</f>
        <v/>
      </c>
      <c r="N1762" s="43" t="str">
        <f aca="false">IF(OR($L1762="",$I1762="",$I1762=0),"",$L1762/$I1762)</f>
        <v/>
      </c>
      <c r="O1762" s="51"/>
    </row>
    <row r="1763" customFormat="false" ht="15" hidden="false" customHeight="false" outlineLevel="0" collapsed="false">
      <c r="A1763" s="45"/>
      <c r="B1763" s="37" t="str">
        <f aca="false">IF($A1763="","",WEEKNUM($A1763,2))</f>
        <v/>
      </c>
      <c r="C1763" s="37" t="str">
        <f aca="false">IF($A1763="","",CHOOSE(WEEKDAY($A1763,2),"Seg","Ter","Qua","Qui","Sex","Sáb","Dom"))</f>
        <v/>
      </c>
      <c r="D1763" s="46"/>
      <c r="E1763" s="47"/>
      <c r="F1763" s="47"/>
      <c r="G1763" s="48"/>
      <c r="H1763" s="49"/>
      <c r="I1763" s="50"/>
      <c r="J1763" s="48"/>
      <c r="K1763" s="49"/>
      <c r="L1763" s="50"/>
      <c r="M1763" s="43" t="str">
        <f aca="false">IF(OR($L1763="",$F1763=""),"",IFERROR($L1763/INDEX(Cadastro!$E$6:$E$8,MATCH($F1763,Cadastro!$B$6:$B$8,0)),""))</f>
        <v/>
      </c>
      <c r="N1763" s="43" t="str">
        <f aca="false">IF(OR($L1763="",$I1763="",$I1763=0),"",$L1763/$I1763)</f>
        <v/>
      </c>
      <c r="O1763" s="51"/>
    </row>
    <row r="1764" customFormat="false" ht="15" hidden="false" customHeight="false" outlineLevel="0" collapsed="false">
      <c r="A1764" s="45"/>
      <c r="B1764" s="37" t="str">
        <f aca="false">IF($A1764="","",WEEKNUM($A1764,2))</f>
        <v/>
      </c>
      <c r="C1764" s="37" t="str">
        <f aca="false">IF($A1764="","",CHOOSE(WEEKDAY($A1764,2),"Seg","Ter","Qua","Qui","Sex","Sáb","Dom"))</f>
        <v/>
      </c>
      <c r="D1764" s="46"/>
      <c r="E1764" s="47"/>
      <c r="F1764" s="47"/>
      <c r="G1764" s="48"/>
      <c r="H1764" s="49"/>
      <c r="I1764" s="50"/>
      <c r="J1764" s="48"/>
      <c r="K1764" s="49"/>
      <c r="L1764" s="50"/>
      <c r="M1764" s="43" t="str">
        <f aca="false">IF(OR($L1764="",$F1764=""),"",IFERROR($L1764/INDEX(Cadastro!$E$6:$E$8,MATCH($F1764,Cadastro!$B$6:$B$8,0)),""))</f>
        <v/>
      </c>
      <c r="N1764" s="43" t="str">
        <f aca="false">IF(OR($L1764="",$I1764="",$I1764=0),"",$L1764/$I1764)</f>
        <v/>
      </c>
      <c r="O1764" s="51"/>
    </row>
    <row r="1765" customFormat="false" ht="15" hidden="false" customHeight="false" outlineLevel="0" collapsed="false">
      <c r="A1765" s="45"/>
      <c r="B1765" s="37" t="str">
        <f aca="false">IF($A1765="","",WEEKNUM($A1765,2))</f>
        <v/>
      </c>
      <c r="C1765" s="37" t="str">
        <f aca="false">IF($A1765="","",CHOOSE(WEEKDAY($A1765,2),"Seg","Ter","Qua","Qui","Sex","Sáb","Dom"))</f>
        <v/>
      </c>
      <c r="D1765" s="46"/>
      <c r="E1765" s="47"/>
      <c r="F1765" s="47"/>
      <c r="G1765" s="48"/>
      <c r="H1765" s="49"/>
      <c r="I1765" s="50"/>
      <c r="J1765" s="48"/>
      <c r="K1765" s="49"/>
      <c r="L1765" s="50"/>
      <c r="M1765" s="43" t="str">
        <f aca="false">IF(OR($L1765="",$F1765=""),"",IFERROR($L1765/INDEX(Cadastro!$E$6:$E$8,MATCH($F1765,Cadastro!$B$6:$B$8,0)),""))</f>
        <v/>
      </c>
      <c r="N1765" s="43" t="str">
        <f aca="false">IF(OR($L1765="",$I1765="",$I1765=0),"",$L1765/$I1765)</f>
        <v/>
      </c>
      <c r="O1765" s="51"/>
    </row>
    <row r="1766" customFormat="false" ht="15" hidden="false" customHeight="false" outlineLevel="0" collapsed="false">
      <c r="A1766" s="45"/>
      <c r="B1766" s="37" t="str">
        <f aca="false">IF($A1766="","",WEEKNUM($A1766,2))</f>
        <v/>
      </c>
      <c r="C1766" s="37" t="str">
        <f aca="false">IF($A1766="","",CHOOSE(WEEKDAY($A1766,2),"Seg","Ter","Qua","Qui","Sex","Sáb","Dom"))</f>
        <v/>
      </c>
      <c r="D1766" s="46"/>
      <c r="E1766" s="47"/>
      <c r="F1766" s="47"/>
      <c r="G1766" s="48"/>
      <c r="H1766" s="49"/>
      <c r="I1766" s="50"/>
      <c r="J1766" s="48"/>
      <c r="K1766" s="49"/>
      <c r="L1766" s="50"/>
      <c r="M1766" s="43" t="str">
        <f aca="false">IF(OR($L1766="",$F1766=""),"",IFERROR($L1766/INDEX(Cadastro!$E$6:$E$8,MATCH($F1766,Cadastro!$B$6:$B$8,0)),""))</f>
        <v/>
      </c>
      <c r="N1766" s="43" t="str">
        <f aca="false">IF(OR($L1766="",$I1766="",$I1766=0),"",$L1766/$I1766)</f>
        <v/>
      </c>
      <c r="O1766" s="51"/>
    </row>
    <row r="1767" customFormat="false" ht="15" hidden="false" customHeight="false" outlineLevel="0" collapsed="false">
      <c r="A1767" s="45"/>
      <c r="B1767" s="37" t="str">
        <f aca="false">IF($A1767="","",WEEKNUM($A1767,2))</f>
        <v/>
      </c>
      <c r="C1767" s="37" t="str">
        <f aca="false">IF($A1767="","",CHOOSE(WEEKDAY($A1767,2),"Seg","Ter","Qua","Qui","Sex","Sáb","Dom"))</f>
        <v/>
      </c>
      <c r="D1767" s="46"/>
      <c r="E1767" s="47"/>
      <c r="F1767" s="47"/>
      <c r="G1767" s="48"/>
      <c r="H1767" s="49"/>
      <c r="I1767" s="50"/>
      <c r="J1767" s="48"/>
      <c r="K1767" s="49"/>
      <c r="L1767" s="50"/>
      <c r="M1767" s="43" t="str">
        <f aca="false">IF(OR($L1767="",$F1767=""),"",IFERROR($L1767/INDEX(Cadastro!$E$6:$E$8,MATCH($F1767,Cadastro!$B$6:$B$8,0)),""))</f>
        <v/>
      </c>
      <c r="N1767" s="43" t="str">
        <f aca="false">IF(OR($L1767="",$I1767="",$I1767=0),"",$L1767/$I1767)</f>
        <v/>
      </c>
      <c r="O1767" s="51"/>
    </row>
    <row r="1768" customFormat="false" ht="15" hidden="false" customHeight="false" outlineLevel="0" collapsed="false">
      <c r="A1768" s="45"/>
      <c r="B1768" s="37" t="str">
        <f aca="false">IF($A1768="","",WEEKNUM($A1768,2))</f>
        <v/>
      </c>
      <c r="C1768" s="37" t="str">
        <f aca="false">IF($A1768="","",CHOOSE(WEEKDAY($A1768,2),"Seg","Ter","Qua","Qui","Sex","Sáb","Dom"))</f>
        <v/>
      </c>
      <c r="D1768" s="46"/>
      <c r="E1768" s="47"/>
      <c r="F1768" s="47"/>
      <c r="G1768" s="48"/>
      <c r="H1768" s="49"/>
      <c r="I1768" s="50"/>
      <c r="J1768" s="48"/>
      <c r="K1768" s="49"/>
      <c r="L1768" s="50"/>
      <c r="M1768" s="43" t="str">
        <f aca="false">IF(OR($L1768="",$F1768=""),"",IFERROR($L1768/INDEX(Cadastro!$E$6:$E$8,MATCH($F1768,Cadastro!$B$6:$B$8,0)),""))</f>
        <v/>
      </c>
      <c r="N1768" s="43" t="str">
        <f aca="false">IF(OR($L1768="",$I1768="",$I1768=0),"",$L1768/$I1768)</f>
        <v/>
      </c>
      <c r="O1768" s="51"/>
    </row>
    <row r="1769" customFormat="false" ht="15" hidden="false" customHeight="false" outlineLevel="0" collapsed="false">
      <c r="A1769" s="45"/>
      <c r="B1769" s="37" t="str">
        <f aca="false">IF($A1769="","",WEEKNUM($A1769,2))</f>
        <v/>
      </c>
      <c r="C1769" s="37" t="str">
        <f aca="false">IF($A1769="","",CHOOSE(WEEKDAY($A1769,2),"Seg","Ter","Qua","Qui","Sex","Sáb","Dom"))</f>
        <v/>
      </c>
      <c r="D1769" s="46"/>
      <c r="E1769" s="47"/>
      <c r="F1769" s="47"/>
      <c r="G1769" s="48"/>
      <c r="H1769" s="49"/>
      <c r="I1769" s="50"/>
      <c r="J1769" s="48"/>
      <c r="K1769" s="49"/>
      <c r="L1769" s="50"/>
      <c r="M1769" s="43" t="str">
        <f aca="false">IF(OR($L1769="",$F1769=""),"",IFERROR($L1769/INDEX(Cadastro!$E$6:$E$8,MATCH($F1769,Cadastro!$B$6:$B$8,0)),""))</f>
        <v/>
      </c>
      <c r="N1769" s="43" t="str">
        <f aca="false">IF(OR($L1769="",$I1769="",$I1769=0),"",$L1769/$I1769)</f>
        <v/>
      </c>
      <c r="O1769" s="51"/>
    </row>
    <row r="1770" customFormat="false" ht="15" hidden="false" customHeight="false" outlineLevel="0" collapsed="false">
      <c r="A1770" s="45"/>
      <c r="B1770" s="37" t="str">
        <f aca="false">IF($A1770="","",WEEKNUM($A1770,2))</f>
        <v/>
      </c>
      <c r="C1770" s="37" t="str">
        <f aca="false">IF($A1770="","",CHOOSE(WEEKDAY($A1770,2),"Seg","Ter","Qua","Qui","Sex","Sáb","Dom"))</f>
        <v/>
      </c>
      <c r="D1770" s="46"/>
      <c r="E1770" s="47"/>
      <c r="F1770" s="47"/>
      <c r="G1770" s="48"/>
      <c r="H1770" s="49"/>
      <c r="I1770" s="50"/>
      <c r="J1770" s="48"/>
      <c r="K1770" s="49"/>
      <c r="L1770" s="50"/>
      <c r="M1770" s="43" t="str">
        <f aca="false">IF(OR($L1770="",$F1770=""),"",IFERROR($L1770/INDEX(Cadastro!$E$6:$E$8,MATCH($F1770,Cadastro!$B$6:$B$8,0)),""))</f>
        <v/>
      </c>
      <c r="N1770" s="43" t="str">
        <f aca="false">IF(OR($L1770="",$I1770="",$I1770=0),"",$L1770/$I1770)</f>
        <v/>
      </c>
      <c r="O1770" s="51"/>
    </row>
    <row r="1771" customFormat="false" ht="15" hidden="false" customHeight="false" outlineLevel="0" collapsed="false">
      <c r="A1771" s="45"/>
      <c r="B1771" s="37" t="str">
        <f aca="false">IF($A1771="","",WEEKNUM($A1771,2))</f>
        <v/>
      </c>
      <c r="C1771" s="37" t="str">
        <f aca="false">IF($A1771="","",CHOOSE(WEEKDAY($A1771,2),"Seg","Ter","Qua","Qui","Sex","Sáb","Dom"))</f>
        <v/>
      </c>
      <c r="D1771" s="46"/>
      <c r="E1771" s="47"/>
      <c r="F1771" s="47"/>
      <c r="G1771" s="48"/>
      <c r="H1771" s="49"/>
      <c r="I1771" s="50"/>
      <c r="J1771" s="48"/>
      <c r="K1771" s="49"/>
      <c r="L1771" s="50"/>
      <c r="M1771" s="43" t="str">
        <f aca="false">IF(OR($L1771="",$F1771=""),"",IFERROR($L1771/INDEX(Cadastro!$E$6:$E$8,MATCH($F1771,Cadastro!$B$6:$B$8,0)),""))</f>
        <v/>
      </c>
      <c r="N1771" s="43" t="str">
        <f aca="false">IF(OR($L1771="",$I1771="",$I1771=0),"",$L1771/$I1771)</f>
        <v/>
      </c>
      <c r="O1771" s="51"/>
    </row>
    <row r="1772" customFormat="false" ht="15" hidden="false" customHeight="false" outlineLevel="0" collapsed="false">
      <c r="A1772" s="45"/>
      <c r="B1772" s="37" t="str">
        <f aca="false">IF($A1772="","",WEEKNUM($A1772,2))</f>
        <v/>
      </c>
      <c r="C1772" s="37" t="str">
        <f aca="false">IF($A1772="","",CHOOSE(WEEKDAY($A1772,2),"Seg","Ter","Qua","Qui","Sex","Sáb","Dom"))</f>
        <v/>
      </c>
      <c r="D1772" s="46"/>
      <c r="E1772" s="47"/>
      <c r="F1772" s="47"/>
      <c r="G1772" s="48"/>
      <c r="H1772" s="49"/>
      <c r="I1772" s="50"/>
      <c r="J1772" s="48"/>
      <c r="K1772" s="49"/>
      <c r="L1772" s="50"/>
      <c r="M1772" s="43" t="str">
        <f aca="false">IF(OR($L1772="",$F1772=""),"",IFERROR($L1772/INDEX(Cadastro!$E$6:$E$8,MATCH($F1772,Cadastro!$B$6:$B$8,0)),""))</f>
        <v/>
      </c>
      <c r="N1772" s="43" t="str">
        <f aca="false">IF(OR($L1772="",$I1772="",$I1772=0),"",$L1772/$I1772)</f>
        <v/>
      </c>
      <c r="O1772" s="51"/>
    </row>
    <row r="1773" customFormat="false" ht="15" hidden="false" customHeight="false" outlineLevel="0" collapsed="false">
      <c r="A1773" s="45"/>
      <c r="B1773" s="37" t="str">
        <f aca="false">IF($A1773="","",WEEKNUM($A1773,2))</f>
        <v/>
      </c>
      <c r="C1773" s="37" t="str">
        <f aca="false">IF($A1773="","",CHOOSE(WEEKDAY($A1773,2),"Seg","Ter","Qua","Qui","Sex","Sáb","Dom"))</f>
        <v/>
      </c>
      <c r="D1773" s="46"/>
      <c r="E1773" s="47"/>
      <c r="F1773" s="47"/>
      <c r="G1773" s="48"/>
      <c r="H1773" s="49"/>
      <c r="I1773" s="50"/>
      <c r="J1773" s="48"/>
      <c r="K1773" s="49"/>
      <c r="L1773" s="50"/>
      <c r="M1773" s="43" t="str">
        <f aca="false">IF(OR($L1773="",$F1773=""),"",IFERROR($L1773/INDEX(Cadastro!$E$6:$E$8,MATCH($F1773,Cadastro!$B$6:$B$8,0)),""))</f>
        <v/>
      </c>
      <c r="N1773" s="43" t="str">
        <f aca="false">IF(OR($L1773="",$I1773="",$I1773=0),"",$L1773/$I1773)</f>
        <v/>
      </c>
      <c r="O1773" s="51"/>
    </row>
    <row r="1774" customFormat="false" ht="15" hidden="false" customHeight="false" outlineLevel="0" collapsed="false">
      <c r="A1774" s="45"/>
      <c r="B1774" s="37" t="str">
        <f aca="false">IF($A1774="","",WEEKNUM($A1774,2))</f>
        <v/>
      </c>
      <c r="C1774" s="37" t="str">
        <f aca="false">IF($A1774="","",CHOOSE(WEEKDAY($A1774,2),"Seg","Ter","Qua","Qui","Sex","Sáb","Dom"))</f>
        <v/>
      </c>
      <c r="D1774" s="46"/>
      <c r="E1774" s="47"/>
      <c r="F1774" s="47"/>
      <c r="G1774" s="48"/>
      <c r="H1774" s="49"/>
      <c r="I1774" s="50"/>
      <c r="J1774" s="48"/>
      <c r="K1774" s="49"/>
      <c r="L1774" s="50"/>
      <c r="M1774" s="43" t="str">
        <f aca="false">IF(OR($L1774="",$F1774=""),"",IFERROR($L1774/INDEX(Cadastro!$E$6:$E$8,MATCH($F1774,Cadastro!$B$6:$B$8,0)),""))</f>
        <v/>
      </c>
      <c r="N1774" s="43" t="str">
        <f aca="false">IF(OR($L1774="",$I1774="",$I1774=0),"",$L1774/$I1774)</f>
        <v/>
      </c>
      <c r="O1774" s="51"/>
    </row>
    <row r="1775" customFormat="false" ht="15" hidden="false" customHeight="false" outlineLevel="0" collapsed="false">
      <c r="A1775" s="45"/>
      <c r="B1775" s="37" t="str">
        <f aca="false">IF($A1775="","",WEEKNUM($A1775,2))</f>
        <v/>
      </c>
      <c r="C1775" s="37" t="str">
        <f aca="false">IF($A1775="","",CHOOSE(WEEKDAY($A1775,2),"Seg","Ter","Qua","Qui","Sex","Sáb","Dom"))</f>
        <v/>
      </c>
      <c r="D1775" s="46"/>
      <c r="E1775" s="47"/>
      <c r="F1775" s="47"/>
      <c r="G1775" s="48"/>
      <c r="H1775" s="49"/>
      <c r="I1775" s="50"/>
      <c r="J1775" s="48"/>
      <c r="K1775" s="49"/>
      <c r="L1775" s="50"/>
      <c r="M1775" s="43" t="str">
        <f aca="false">IF(OR($L1775="",$F1775=""),"",IFERROR($L1775/INDEX(Cadastro!$E$6:$E$8,MATCH($F1775,Cadastro!$B$6:$B$8,0)),""))</f>
        <v/>
      </c>
      <c r="N1775" s="43" t="str">
        <f aca="false">IF(OR($L1775="",$I1775="",$I1775=0),"",$L1775/$I1775)</f>
        <v/>
      </c>
      <c r="O1775" s="51"/>
    </row>
    <row r="1776" customFormat="false" ht="15" hidden="false" customHeight="false" outlineLevel="0" collapsed="false">
      <c r="A1776" s="45"/>
      <c r="B1776" s="37" t="str">
        <f aca="false">IF($A1776="","",WEEKNUM($A1776,2))</f>
        <v/>
      </c>
      <c r="C1776" s="37" t="str">
        <f aca="false">IF($A1776="","",CHOOSE(WEEKDAY($A1776,2),"Seg","Ter","Qua","Qui","Sex","Sáb","Dom"))</f>
        <v/>
      </c>
      <c r="D1776" s="46"/>
      <c r="E1776" s="47"/>
      <c r="F1776" s="47"/>
      <c r="G1776" s="48"/>
      <c r="H1776" s="49"/>
      <c r="I1776" s="50"/>
      <c r="J1776" s="48"/>
      <c r="K1776" s="49"/>
      <c r="L1776" s="50"/>
      <c r="M1776" s="43" t="str">
        <f aca="false">IF(OR($L1776="",$F1776=""),"",IFERROR($L1776/INDEX(Cadastro!$E$6:$E$8,MATCH($F1776,Cadastro!$B$6:$B$8,0)),""))</f>
        <v/>
      </c>
      <c r="N1776" s="43" t="str">
        <f aca="false">IF(OR($L1776="",$I1776="",$I1776=0),"",$L1776/$I1776)</f>
        <v/>
      </c>
      <c r="O1776" s="51"/>
    </row>
    <row r="1777" customFormat="false" ht="15" hidden="false" customHeight="false" outlineLevel="0" collapsed="false">
      <c r="A1777" s="45"/>
      <c r="B1777" s="37" t="str">
        <f aca="false">IF($A1777="","",WEEKNUM($A1777,2))</f>
        <v/>
      </c>
      <c r="C1777" s="37" t="str">
        <f aca="false">IF($A1777="","",CHOOSE(WEEKDAY($A1777,2),"Seg","Ter","Qua","Qui","Sex","Sáb","Dom"))</f>
        <v/>
      </c>
      <c r="D1777" s="46"/>
      <c r="E1777" s="47"/>
      <c r="F1777" s="47"/>
      <c r="G1777" s="48"/>
      <c r="H1777" s="49"/>
      <c r="I1777" s="50"/>
      <c r="J1777" s="48"/>
      <c r="K1777" s="49"/>
      <c r="L1777" s="50"/>
      <c r="M1777" s="43" t="str">
        <f aca="false">IF(OR($L1777="",$F1777=""),"",IFERROR($L1777/INDEX(Cadastro!$E$6:$E$8,MATCH($F1777,Cadastro!$B$6:$B$8,0)),""))</f>
        <v/>
      </c>
      <c r="N1777" s="43" t="str">
        <f aca="false">IF(OR($L1777="",$I1777="",$I1777=0),"",$L1777/$I1777)</f>
        <v/>
      </c>
      <c r="O1777" s="51"/>
    </row>
    <row r="1778" customFormat="false" ht="15" hidden="false" customHeight="false" outlineLevel="0" collapsed="false">
      <c r="A1778" s="45"/>
      <c r="B1778" s="37" t="str">
        <f aca="false">IF($A1778="","",WEEKNUM($A1778,2))</f>
        <v/>
      </c>
      <c r="C1778" s="37" t="str">
        <f aca="false">IF($A1778="","",CHOOSE(WEEKDAY($A1778,2),"Seg","Ter","Qua","Qui","Sex","Sáb","Dom"))</f>
        <v/>
      </c>
      <c r="D1778" s="46"/>
      <c r="E1778" s="47"/>
      <c r="F1778" s="47"/>
      <c r="G1778" s="48"/>
      <c r="H1778" s="49"/>
      <c r="I1778" s="50"/>
      <c r="J1778" s="48"/>
      <c r="K1778" s="49"/>
      <c r="L1778" s="50"/>
      <c r="M1778" s="43" t="str">
        <f aca="false">IF(OR($L1778="",$F1778=""),"",IFERROR($L1778/INDEX(Cadastro!$E$6:$E$8,MATCH($F1778,Cadastro!$B$6:$B$8,0)),""))</f>
        <v/>
      </c>
      <c r="N1778" s="43" t="str">
        <f aca="false">IF(OR($L1778="",$I1778="",$I1778=0),"",$L1778/$I1778)</f>
        <v/>
      </c>
      <c r="O1778" s="51"/>
    </row>
    <row r="1779" customFormat="false" ht="15" hidden="false" customHeight="false" outlineLevel="0" collapsed="false">
      <c r="A1779" s="45"/>
      <c r="B1779" s="37" t="str">
        <f aca="false">IF($A1779="","",WEEKNUM($A1779,2))</f>
        <v/>
      </c>
      <c r="C1779" s="37" t="str">
        <f aca="false">IF($A1779="","",CHOOSE(WEEKDAY($A1779,2),"Seg","Ter","Qua","Qui","Sex","Sáb","Dom"))</f>
        <v/>
      </c>
      <c r="D1779" s="46"/>
      <c r="E1779" s="47"/>
      <c r="F1779" s="47"/>
      <c r="G1779" s="48"/>
      <c r="H1779" s="49"/>
      <c r="I1779" s="50"/>
      <c r="J1779" s="48"/>
      <c r="K1779" s="49"/>
      <c r="L1779" s="50"/>
      <c r="M1779" s="43" t="str">
        <f aca="false">IF(OR($L1779="",$F1779=""),"",IFERROR($L1779/INDEX(Cadastro!$E$6:$E$8,MATCH($F1779,Cadastro!$B$6:$B$8,0)),""))</f>
        <v/>
      </c>
      <c r="N1779" s="43" t="str">
        <f aca="false">IF(OR($L1779="",$I1779="",$I1779=0),"",$L1779/$I1779)</f>
        <v/>
      </c>
      <c r="O1779" s="51"/>
    </row>
    <row r="1780" customFormat="false" ht="15" hidden="false" customHeight="false" outlineLevel="0" collapsed="false">
      <c r="A1780" s="45"/>
      <c r="B1780" s="37" t="str">
        <f aca="false">IF($A1780="","",WEEKNUM($A1780,2))</f>
        <v/>
      </c>
      <c r="C1780" s="37" t="str">
        <f aca="false">IF($A1780="","",CHOOSE(WEEKDAY($A1780,2),"Seg","Ter","Qua","Qui","Sex","Sáb","Dom"))</f>
        <v/>
      </c>
      <c r="D1780" s="46"/>
      <c r="E1780" s="47"/>
      <c r="F1780" s="47"/>
      <c r="G1780" s="48"/>
      <c r="H1780" s="49"/>
      <c r="I1780" s="50"/>
      <c r="J1780" s="48"/>
      <c r="K1780" s="49"/>
      <c r="L1780" s="50"/>
      <c r="M1780" s="43" t="str">
        <f aca="false">IF(OR($L1780="",$F1780=""),"",IFERROR($L1780/INDEX(Cadastro!$E$6:$E$8,MATCH($F1780,Cadastro!$B$6:$B$8,0)),""))</f>
        <v/>
      </c>
      <c r="N1780" s="43" t="str">
        <f aca="false">IF(OR($L1780="",$I1780="",$I1780=0),"",$L1780/$I1780)</f>
        <v/>
      </c>
      <c r="O1780" s="51"/>
    </row>
    <row r="1781" customFormat="false" ht="15" hidden="false" customHeight="false" outlineLevel="0" collapsed="false">
      <c r="A1781" s="45"/>
      <c r="B1781" s="37" t="str">
        <f aca="false">IF($A1781="","",WEEKNUM($A1781,2))</f>
        <v/>
      </c>
      <c r="C1781" s="37" t="str">
        <f aca="false">IF($A1781="","",CHOOSE(WEEKDAY($A1781,2),"Seg","Ter","Qua","Qui","Sex","Sáb","Dom"))</f>
        <v/>
      </c>
      <c r="D1781" s="46"/>
      <c r="E1781" s="47"/>
      <c r="F1781" s="47"/>
      <c r="G1781" s="48"/>
      <c r="H1781" s="49"/>
      <c r="I1781" s="50"/>
      <c r="J1781" s="48"/>
      <c r="K1781" s="49"/>
      <c r="L1781" s="50"/>
      <c r="M1781" s="43" t="str">
        <f aca="false">IF(OR($L1781="",$F1781=""),"",IFERROR($L1781/INDEX(Cadastro!$E$6:$E$8,MATCH($F1781,Cadastro!$B$6:$B$8,0)),""))</f>
        <v/>
      </c>
      <c r="N1781" s="43" t="str">
        <f aca="false">IF(OR($L1781="",$I1781="",$I1781=0),"",$L1781/$I1781)</f>
        <v/>
      </c>
      <c r="O1781" s="51"/>
    </row>
    <row r="1782" customFormat="false" ht="15" hidden="false" customHeight="false" outlineLevel="0" collapsed="false">
      <c r="A1782" s="45"/>
      <c r="B1782" s="37" t="str">
        <f aca="false">IF($A1782="","",WEEKNUM($A1782,2))</f>
        <v/>
      </c>
      <c r="C1782" s="37" t="str">
        <f aca="false">IF($A1782="","",CHOOSE(WEEKDAY($A1782,2),"Seg","Ter","Qua","Qui","Sex","Sáb","Dom"))</f>
        <v/>
      </c>
      <c r="D1782" s="46"/>
      <c r="E1782" s="47"/>
      <c r="F1782" s="47"/>
      <c r="G1782" s="48"/>
      <c r="H1782" s="49"/>
      <c r="I1782" s="50"/>
      <c r="J1782" s="48"/>
      <c r="K1782" s="49"/>
      <c r="L1782" s="50"/>
      <c r="M1782" s="43" t="str">
        <f aca="false">IF(OR($L1782="",$F1782=""),"",IFERROR($L1782/INDEX(Cadastro!$E$6:$E$8,MATCH($F1782,Cadastro!$B$6:$B$8,0)),""))</f>
        <v/>
      </c>
      <c r="N1782" s="43" t="str">
        <f aca="false">IF(OR($L1782="",$I1782="",$I1782=0),"",$L1782/$I1782)</f>
        <v/>
      </c>
      <c r="O1782" s="51"/>
    </row>
    <row r="1783" customFormat="false" ht="15" hidden="false" customHeight="false" outlineLevel="0" collapsed="false">
      <c r="A1783" s="45"/>
      <c r="B1783" s="37" t="str">
        <f aca="false">IF($A1783="","",WEEKNUM($A1783,2))</f>
        <v/>
      </c>
      <c r="C1783" s="37" t="str">
        <f aca="false">IF($A1783="","",CHOOSE(WEEKDAY($A1783,2),"Seg","Ter","Qua","Qui","Sex","Sáb","Dom"))</f>
        <v/>
      </c>
      <c r="D1783" s="46"/>
      <c r="E1783" s="47"/>
      <c r="F1783" s="47"/>
      <c r="G1783" s="48"/>
      <c r="H1783" s="49"/>
      <c r="I1783" s="50"/>
      <c r="J1783" s="48"/>
      <c r="K1783" s="49"/>
      <c r="L1783" s="50"/>
      <c r="M1783" s="43" t="str">
        <f aca="false">IF(OR($L1783="",$F1783=""),"",IFERROR($L1783/INDEX(Cadastro!$E$6:$E$8,MATCH($F1783,Cadastro!$B$6:$B$8,0)),""))</f>
        <v/>
      </c>
      <c r="N1783" s="43" t="str">
        <f aca="false">IF(OR($L1783="",$I1783="",$I1783=0),"",$L1783/$I1783)</f>
        <v/>
      </c>
      <c r="O1783" s="51"/>
    </row>
    <row r="1784" customFormat="false" ht="15" hidden="false" customHeight="false" outlineLevel="0" collapsed="false">
      <c r="A1784" s="45"/>
      <c r="B1784" s="37" t="str">
        <f aca="false">IF($A1784="","",WEEKNUM($A1784,2))</f>
        <v/>
      </c>
      <c r="C1784" s="37" t="str">
        <f aca="false">IF($A1784="","",CHOOSE(WEEKDAY($A1784,2),"Seg","Ter","Qua","Qui","Sex","Sáb","Dom"))</f>
        <v/>
      </c>
      <c r="D1784" s="46"/>
      <c r="E1784" s="47"/>
      <c r="F1784" s="47"/>
      <c r="G1784" s="48"/>
      <c r="H1784" s="49"/>
      <c r="I1784" s="50"/>
      <c r="J1784" s="48"/>
      <c r="K1784" s="49"/>
      <c r="L1784" s="50"/>
      <c r="M1784" s="43" t="str">
        <f aca="false">IF(OR($L1784="",$F1784=""),"",IFERROR($L1784/INDEX(Cadastro!$E$6:$E$8,MATCH($F1784,Cadastro!$B$6:$B$8,0)),""))</f>
        <v/>
      </c>
      <c r="N1784" s="43" t="str">
        <f aca="false">IF(OR($L1784="",$I1784="",$I1784=0),"",$L1784/$I1784)</f>
        <v/>
      </c>
      <c r="O1784" s="51"/>
    </row>
    <row r="1785" customFormat="false" ht="15" hidden="false" customHeight="false" outlineLevel="0" collapsed="false">
      <c r="A1785" s="45"/>
      <c r="B1785" s="37" t="str">
        <f aca="false">IF($A1785="","",WEEKNUM($A1785,2))</f>
        <v/>
      </c>
      <c r="C1785" s="37" t="str">
        <f aca="false">IF($A1785="","",CHOOSE(WEEKDAY($A1785,2),"Seg","Ter","Qua","Qui","Sex","Sáb","Dom"))</f>
        <v/>
      </c>
      <c r="D1785" s="46"/>
      <c r="E1785" s="47"/>
      <c r="F1785" s="47"/>
      <c r="G1785" s="48"/>
      <c r="H1785" s="49"/>
      <c r="I1785" s="50"/>
      <c r="J1785" s="48"/>
      <c r="K1785" s="49"/>
      <c r="L1785" s="50"/>
      <c r="M1785" s="43" t="str">
        <f aca="false">IF(OR($L1785="",$F1785=""),"",IFERROR($L1785/INDEX(Cadastro!$E$6:$E$8,MATCH($F1785,Cadastro!$B$6:$B$8,0)),""))</f>
        <v/>
      </c>
      <c r="N1785" s="43" t="str">
        <f aca="false">IF(OR($L1785="",$I1785="",$I1785=0),"",$L1785/$I1785)</f>
        <v/>
      </c>
      <c r="O1785" s="51"/>
    </row>
    <row r="1786" customFormat="false" ht="15" hidden="false" customHeight="false" outlineLevel="0" collapsed="false">
      <c r="A1786" s="45"/>
      <c r="B1786" s="37" t="str">
        <f aca="false">IF($A1786="","",WEEKNUM($A1786,2))</f>
        <v/>
      </c>
      <c r="C1786" s="37" t="str">
        <f aca="false">IF($A1786="","",CHOOSE(WEEKDAY($A1786,2),"Seg","Ter","Qua","Qui","Sex","Sáb","Dom"))</f>
        <v/>
      </c>
      <c r="D1786" s="46"/>
      <c r="E1786" s="47"/>
      <c r="F1786" s="47"/>
      <c r="G1786" s="48"/>
      <c r="H1786" s="49"/>
      <c r="I1786" s="50"/>
      <c r="J1786" s="48"/>
      <c r="K1786" s="49"/>
      <c r="L1786" s="50"/>
      <c r="M1786" s="43" t="str">
        <f aca="false">IF(OR($L1786="",$F1786=""),"",IFERROR($L1786/INDEX(Cadastro!$E$6:$E$8,MATCH($F1786,Cadastro!$B$6:$B$8,0)),""))</f>
        <v/>
      </c>
      <c r="N1786" s="43" t="str">
        <f aca="false">IF(OR($L1786="",$I1786="",$I1786=0),"",$L1786/$I1786)</f>
        <v/>
      </c>
      <c r="O1786" s="51"/>
    </row>
    <row r="1787" customFormat="false" ht="15" hidden="false" customHeight="false" outlineLevel="0" collapsed="false">
      <c r="A1787" s="45"/>
      <c r="B1787" s="37" t="str">
        <f aca="false">IF($A1787="","",WEEKNUM($A1787,2))</f>
        <v/>
      </c>
      <c r="C1787" s="37" t="str">
        <f aca="false">IF($A1787="","",CHOOSE(WEEKDAY($A1787,2),"Seg","Ter","Qua","Qui","Sex","Sáb","Dom"))</f>
        <v/>
      </c>
      <c r="D1787" s="46"/>
      <c r="E1787" s="47"/>
      <c r="F1787" s="47"/>
      <c r="G1787" s="48"/>
      <c r="H1787" s="49"/>
      <c r="I1787" s="50"/>
      <c r="J1787" s="48"/>
      <c r="K1787" s="49"/>
      <c r="L1787" s="50"/>
      <c r="M1787" s="43" t="str">
        <f aca="false">IF(OR($L1787="",$F1787=""),"",IFERROR($L1787/INDEX(Cadastro!$E$6:$E$8,MATCH($F1787,Cadastro!$B$6:$B$8,0)),""))</f>
        <v/>
      </c>
      <c r="N1787" s="43" t="str">
        <f aca="false">IF(OR($L1787="",$I1787="",$I1787=0),"",$L1787/$I1787)</f>
        <v/>
      </c>
      <c r="O1787" s="51"/>
    </row>
    <row r="1788" customFormat="false" ht="15" hidden="false" customHeight="false" outlineLevel="0" collapsed="false">
      <c r="A1788" s="45"/>
      <c r="B1788" s="37" t="str">
        <f aca="false">IF($A1788="","",WEEKNUM($A1788,2))</f>
        <v/>
      </c>
      <c r="C1788" s="37" t="str">
        <f aca="false">IF($A1788="","",CHOOSE(WEEKDAY($A1788,2),"Seg","Ter","Qua","Qui","Sex","Sáb","Dom"))</f>
        <v/>
      </c>
      <c r="D1788" s="46"/>
      <c r="E1788" s="47"/>
      <c r="F1788" s="47"/>
      <c r="G1788" s="48"/>
      <c r="H1788" s="49"/>
      <c r="I1788" s="50"/>
      <c r="J1788" s="48"/>
      <c r="K1788" s="49"/>
      <c r="L1788" s="50"/>
      <c r="M1788" s="43" t="str">
        <f aca="false">IF(OR($L1788="",$F1788=""),"",IFERROR($L1788/INDEX(Cadastro!$E$6:$E$8,MATCH($F1788,Cadastro!$B$6:$B$8,0)),""))</f>
        <v/>
      </c>
      <c r="N1788" s="43" t="str">
        <f aca="false">IF(OR($L1788="",$I1788="",$I1788=0),"",$L1788/$I1788)</f>
        <v/>
      </c>
      <c r="O1788" s="51"/>
    </row>
    <row r="1789" customFormat="false" ht="15" hidden="false" customHeight="false" outlineLevel="0" collapsed="false">
      <c r="A1789" s="45"/>
      <c r="B1789" s="37" t="str">
        <f aca="false">IF($A1789="","",WEEKNUM($A1789,2))</f>
        <v/>
      </c>
      <c r="C1789" s="37" t="str">
        <f aca="false">IF($A1789="","",CHOOSE(WEEKDAY($A1789,2),"Seg","Ter","Qua","Qui","Sex","Sáb","Dom"))</f>
        <v/>
      </c>
      <c r="D1789" s="46"/>
      <c r="E1789" s="47"/>
      <c r="F1789" s="47"/>
      <c r="G1789" s="48"/>
      <c r="H1789" s="49"/>
      <c r="I1789" s="50"/>
      <c r="J1789" s="48"/>
      <c r="K1789" s="49"/>
      <c r="L1789" s="50"/>
      <c r="M1789" s="43" t="str">
        <f aca="false">IF(OR($L1789="",$F1789=""),"",IFERROR($L1789/INDEX(Cadastro!$E$6:$E$8,MATCH($F1789,Cadastro!$B$6:$B$8,0)),""))</f>
        <v/>
      </c>
      <c r="N1789" s="43" t="str">
        <f aca="false">IF(OR($L1789="",$I1789="",$I1789=0),"",$L1789/$I1789)</f>
        <v/>
      </c>
      <c r="O1789" s="51"/>
    </row>
    <row r="1790" customFormat="false" ht="15" hidden="false" customHeight="false" outlineLevel="0" collapsed="false">
      <c r="A1790" s="45"/>
      <c r="B1790" s="37" t="str">
        <f aca="false">IF($A1790="","",WEEKNUM($A1790,2))</f>
        <v/>
      </c>
      <c r="C1790" s="37" t="str">
        <f aca="false">IF($A1790="","",CHOOSE(WEEKDAY($A1790,2),"Seg","Ter","Qua","Qui","Sex","Sáb","Dom"))</f>
        <v/>
      </c>
      <c r="D1790" s="46"/>
      <c r="E1790" s="47"/>
      <c r="F1790" s="47"/>
      <c r="G1790" s="48"/>
      <c r="H1790" s="49"/>
      <c r="I1790" s="50"/>
      <c r="J1790" s="48"/>
      <c r="K1790" s="49"/>
      <c r="L1790" s="50"/>
      <c r="M1790" s="43" t="str">
        <f aca="false">IF(OR($L1790="",$F1790=""),"",IFERROR($L1790/INDEX(Cadastro!$E$6:$E$8,MATCH($F1790,Cadastro!$B$6:$B$8,0)),""))</f>
        <v/>
      </c>
      <c r="N1790" s="43" t="str">
        <f aca="false">IF(OR($L1790="",$I1790="",$I1790=0),"",$L1790/$I1790)</f>
        <v/>
      </c>
      <c r="O1790" s="51"/>
    </row>
    <row r="1791" customFormat="false" ht="15" hidden="false" customHeight="false" outlineLevel="0" collapsed="false">
      <c r="A1791" s="45"/>
      <c r="B1791" s="37" t="str">
        <f aca="false">IF($A1791="","",WEEKNUM($A1791,2))</f>
        <v/>
      </c>
      <c r="C1791" s="37" t="str">
        <f aca="false">IF($A1791="","",CHOOSE(WEEKDAY($A1791,2),"Seg","Ter","Qua","Qui","Sex","Sáb","Dom"))</f>
        <v/>
      </c>
      <c r="D1791" s="46"/>
      <c r="E1791" s="47"/>
      <c r="F1791" s="47"/>
      <c r="G1791" s="48"/>
      <c r="H1791" s="49"/>
      <c r="I1791" s="50"/>
      <c r="J1791" s="48"/>
      <c r="K1791" s="49"/>
      <c r="L1791" s="50"/>
      <c r="M1791" s="43" t="str">
        <f aca="false">IF(OR($L1791="",$F1791=""),"",IFERROR($L1791/INDEX(Cadastro!$E$6:$E$8,MATCH($F1791,Cadastro!$B$6:$B$8,0)),""))</f>
        <v/>
      </c>
      <c r="N1791" s="43" t="str">
        <f aca="false">IF(OR($L1791="",$I1791="",$I1791=0),"",$L1791/$I1791)</f>
        <v/>
      </c>
      <c r="O1791" s="51"/>
    </row>
    <row r="1792" customFormat="false" ht="15" hidden="false" customHeight="false" outlineLevel="0" collapsed="false">
      <c r="A1792" s="45"/>
      <c r="B1792" s="37" t="str">
        <f aca="false">IF($A1792="","",WEEKNUM($A1792,2))</f>
        <v/>
      </c>
      <c r="C1792" s="37" t="str">
        <f aca="false">IF($A1792="","",CHOOSE(WEEKDAY($A1792,2),"Seg","Ter","Qua","Qui","Sex","Sáb","Dom"))</f>
        <v/>
      </c>
      <c r="D1792" s="46"/>
      <c r="E1792" s="47"/>
      <c r="F1792" s="47"/>
      <c r="G1792" s="48"/>
      <c r="H1792" s="49"/>
      <c r="I1792" s="50"/>
      <c r="J1792" s="48"/>
      <c r="K1792" s="49"/>
      <c r="L1792" s="50"/>
      <c r="M1792" s="43" t="str">
        <f aca="false">IF(OR($L1792="",$F1792=""),"",IFERROR($L1792/INDEX(Cadastro!$E$6:$E$8,MATCH($F1792,Cadastro!$B$6:$B$8,0)),""))</f>
        <v/>
      </c>
      <c r="N1792" s="43" t="str">
        <f aca="false">IF(OR($L1792="",$I1792="",$I1792=0),"",$L1792/$I1792)</f>
        <v/>
      </c>
      <c r="O1792" s="51"/>
    </row>
    <row r="1793" customFormat="false" ht="15" hidden="false" customHeight="false" outlineLevel="0" collapsed="false">
      <c r="A1793" s="45"/>
      <c r="B1793" s="37" t="str">
        <f aca="false">IF($A1793="","",WEEKNUM($A1793,2))</f>
        <v/>
      </c>
      <c r="C1793" s="37" t="str">
        <f aca="false">IF($A1793="","",CHOOSE(WEEKDAY($A1793,2),"Seg","Ter","Qua","Qui","Sex","Sáb","Dom"))</f>
        <v/>
      </c>
      <c r="D1793" s="46"/>
      <c r="E1793" s="47"/>
      <c r="F1793" s="47"/>
      <c r="G1793" s="48"/>
      <c r="H1793" s="49"/>
      <c r="I1793" s="50"/>
      <c r="J1793" s="48"/>
      <c r="K1793" s="49"/>
      <c r="L1793" s="50"/>
      <c r="M1793" s="43" t="str">
        <f aca="false">IF(OR($L1793="",$F1793=""),"",IFERROR($L1793/INDEX(Cadastro!$E$6:$E$8,MATCH($F1793,Cadastro!$B$6:$B$8,0)),""))</f>
        <v/>
      </c>
      <c r="N1793" s="43" t="str">
        <f aca="false">IF(OR($L1793="",$I1793="",$I1793=0),"",$L1793/$I1793)</f>
        <v/>
      </c>
      <c r="O1793" s="51"/>
    </row>
    <row r="1794" customFormat="false" ht="15" hidden="false" customHeight="false" outlineLevel="0" collapsed="false">
      <c r="A1794" s="45"/>
      <c r="B1794" s="37" t="str">
        <f aca="false">IF($A1794="","",WEEKNUM($A1794,2))</f>
        <v/>
      </c>
      <c r="C1794" s="37" t="str">
        <f aca="false">IF($A1794="","",CHOOSE(WEEKDAY($A1794,2),"Seg","Ter","Qua","Qui","Sex","Sáb","Dom"))</f>
        <v/>
      </c>
      <c r="D1794" s="46"/>
      <c r="E1794" s="47"/>
      <c r="F1794" s="47"/>
      <c r="G1794" s="48"/>
      <c r="H1794" s="49"/>
      <c r="I1794" s="50"/>
      <c r="J1794" s="48"/>
      <c r="K1794" s="49"/>
      <c r="L1794" s="50"/>
      <c r="M1794" s="43" t="str">
        <f aca="false">IF(OR($L1794="",$F1794=""),"",IFERROR($L1794/INDEX(Cadastro!$E$6:$E$8,MATCH($F1794,Cadastro!$B$6:$B$8,0)),""))</f>
        <v/>
      </c>
      <c r="N1794" s="43" t="str">
        <f aca="false">IF(OR($L1794="",$I1794="",$I1794=0),"",$L1794/$I1794)</f>
        <v/>
      </c>
      <c r="O1794" s="51"/>
    </row>
    <row r="1795" customFormat="false" ht="15" hidden="false" customHeight="false" outlineLevel="0" collapsed="false">
      <c r="A1795" s="45"/>
      <c r="B1795" s="37" t="str">
        <f aca="false">IF($A1795="","",WEEKNUM($A1795,2))</f>
        <v/>
      </c>
      <c r="C1795" s="37" t="str">
        <f aca="false">IF($A1795="","",CHOOSE(WEEKDAY($A1795,2),"Seg","Ter","Qua","Qui","Sex","Sáb","Dom"))</f>
        <v/>
      </c>
      <c r="D1795" s="46"/>
      <c r="E1795" s="47"/>
      <c r="F1795" s="47"/>
      <c r="G1795" s="48"/>
      <c r="H1795" s="49"/>
      <c r="I1795" s="50"/>
      <c r="J1795" s="48"/>
      <c r="K1795" s="49"/>
      <c r="L1795" s="50"/>
      <c r="M1795" s="43" t="str">
        <f aca="false">IF(OR($L1795="",$F1795=""),"",IFERROR($L1795/INDEX(Cadastro!$E$6:$E$8,MATCH($F1795,Cadastro!$B$6:$B$8,0)),""))</f>
        <v/>
      </c>
      <c r="N1795" s="43" t="str">
        <f aca="false">IF(OR($L1795="",$I1795="",$I1795=0),"",$L1795/$I1795)</f>
        <v/>
      </c>
      <c r="O1795" s="51"/>
    </row>
    <row r="1796" customFormat="false" ht="15" hidden="false" customHeight="false" outlineLevel="0" collapsed="false">
      <c r="A1796" s="45"/>
      <c r="B1796" s="37" t="str">
        <f aca="false">IF($A1796="","",WEEKNUM($A1796,2))</f>
        <v/>
      </c>
      <c r="C1796" s="37" t="str">
        <f aca="false">IF($A1796="","",CHOOSE(WEEKDAY($A1796,2),"Seg","Ter","Qua","Qui","Sex","Sáb","Dom"))</f>
        <v/>
      </c>
      <c r="D1796" s="46"/>
      <c r="E1796" s="47"/>
      <c r="F1796" s="47"/>
      <c r="G1796" s="48"/>
      <c r="H1796" s="49"/>
      <c r="I1796" s="50"/>
      <c r="J1796" s="48"/>
      <c r="K1796" s="49"/>
      <c r="L1796" s="50"/>
      <c r="M1796" s="43" t="str">
        <f aca="false">IF(OR($L1796="",$F1796=""),"",IFERROR($L1796/INDEX(Cadastro!$E$6:$E$8,MATCH($F1796,Cadastro!$B$6:$B$8,0)),""))</f>
        <v/>
      </c>
      <c r="N1796" s="43" t="str">
        <f aca="false">IF(OR($L1796="",$I1796="",$I1796=0),"",$L1796/$I1796)</f>
        <v/>
      </c>
      <c r="O1796" s="51"/>
    </row>
    <row r="1797" customFormat="false" ht="15" hidden="false" customHeight="false" outlineLevel="0" collapsed="false">
      <c r="A1797" s="45"/>
      <c r="B1797" s="37" t="str">
        <f aca="false">IF($A1797="","",WEEKNUM($A1797,2))</f>
        <v/>
      </c>
      <c r="C1797" s="37" t="str">
        <f aca="false">IF($A1797="","",CHOOSE(WEEKDAY($A1797,2),"Seg","Ter","Qua","Qui","Sex","Sáb","Dom"))</f>
        <v/>
      </c>
      <c r="D1797" s="46"/>
      <c r="E1797" s="47"/>
      <c r="F1797" s="47"/>
      <c r="G1797" s="48"/>
      <c r="H1797" s="49"/>
      <c r="I1797" s="50"/>
      <c r="J1797" s="48"/>
      <c r="K1797" s="49"/>
      <c r="L1797" s="50"/>
      <c r="M1797" s="43" t="str">
        <f aca="false">IF(OR($L1797="",$F1797=""),"",IFERROR($L1797/INDEX(Cadastro!$E$6:$E$8,MATCH($F1797,Cadastro!$B$6:$B$8,0)),""))</f>
        <v/>
      </c>
      <c r="N1797" s="43" t="str">
        <f aca="false">IF(OR($L1797="",$I1797="",$I1797=0),"",$L1797/$I1797)</f>
        <v/>
      </c>
      <c r="O1797" s="51"/>
    </row>
    <row r="1798" customFormat="false" ht="15" hidden="false" customHeight="false" outlineLevel="0" collapsed="false">
      <c r="A1798" s="45"/>
      <c r="B1798" s="37" t="str">
        <f aca="false">IF($A1798="","",WEEKNUM($A1798,2))</f>
        <v/>
      </c>
      <c r="C1798" s="37" t="str">
        <f aca="false">IF($A1798="","",CHOOSE(WEEKDAY($A1798,2),"Seg","Ter","Qua","Qui","Sex","Sáb","Dom"))</f>
        <v/>
      </c>
      <c r="D1798" s="46"/>
      <c r="E1798" s="47"/>
      <c r="F1798" s="47"/>
      <c r="G1798" s="48"/>
      <c r="H1798" s="49"/>
      <c r="I1798" s="50"/>
      <c r="J1798" s="48"/>
      <c r="K1798" s="49"/>
      <c r="L1798" s="50"/>
      <c r="M1798" s="43" t="str">
        <f aca="false">IF(OR($L1798="",$F1798=""),"",IFERROR($L1798/INDEX(Cadastro!$E$6:$E$8,MATCH($F1798,Cadastro!$B$6:$B$8,0)),""))</f>
        <v/>
      </c>
      <c r="N1798" s="43" t="str">
        <f aca="false">IF(OR($L1798="",$I1798="",$I1798=0),"",$L1798/$I1798)</f>
        <v/>
      </c>
      <c r="O1798" s="51"/>
    </row>
    <row r="1799" customFormat="false" ht="15" hidden="false" customHeight="false" outlineLevel="0" collapsed="false">
      <c r="A1799" s="45"/>
      <c r="B1799" s="37" t="str">
        <f aca="false">IF($A1799="","",WEEKNUM($A1799,2))</f>
        <v/>
      </c>
      <c r="C1799" s="37" t="str">
        <f aca="false">IF($A1799="","",CHOOSE(WEEKDAY($A1799,2),"Seg","Ter","Qua","Qui","Sex","Sáb","Dom"))</f>
        <v/>
      </c>
      <c r="D1799" s="46"/>
      <c r="E1799" s="47"/>
      <c r="F1799" s="47"/>
      <c r="G1799" s="48"/>
      <c r="H1799" s="49"/>
      <c r="I1799" s="50"/>
      <c r="J1799" s="48"/>
      <c r="K1799" s="49"/>
      <c r="L1799" s="50"/>
      <c r="M1799" s="43" t="str">
        <f aca="false">IF(OR($L1799="",$F1799=""),"",IFERROR($L1799/INDEX(Cadastro!$E$6:$E$8,MATCH($F1799,Cadastro!$B$6:$B$8,0)),""))</f>
        <v/>
      </c>
      <c r="N1799" s="43" t="str">
        <f aca="false">IF(OR($L1799="",$I1799="",$I1799=0),"",$L1799/$I1799)</f>
        <v/>
      </c>
      <c r="O1799" s="51"/>
    </row>
    <row r="1800" customFormat="false" ht="15" hidden="false" customHeight="false" outlineLevel="0" collapsed="false">
      <c r="A1800" s="45"/>
      <c r="B1800" s="37" t="str">
        <f aca="false">IF($A1800="","",WEEKNUM($A1800,2))</f>
        <v/>
      </c>
      <c r="C1800" s="37" t="str">
        <f aca="false">IF($A1800="","",CHOOSE(WEEKDAY($A1800,2),"Seg","Ter","Qua","Qui","Sex","Sáb","Dom"))</f>
        <v/>
      </c>
      <c r="D1800" s="46"/>
      <c r="E1800" s="47"/>
      <c r="F1800" s="47"/>
      <c r="G1800" s="48"/>
      <c r="H1800" s="49"/>
      <c r="I1800" s="50"/>
      <c r="J1800" s="48"/>
      <c r="K1800" s="49"/>
      <c r="L1800" s="50"/>
      <c r="M1800" s="43" t="str">
        <f aca="false">IF(OR($L1800="",$F1800=""),"",IFERROR($L1800/INDEX(Cadastro!$E$6:$E$8,MATCH($F1800,Cadastro!$B$6:$B$8,0)),""))</f>
        <v/>
      </c>
      <c r="N1800" s="43" t="str">
        <f aca="false">IF(OR($L1800="",$I1800="",$I1800=0),"",$L1800/$I1800)</f>
        <v/>
      </c>
      <c r="O1800" s="51"/>
    </row>
    <row r="1801" customFormat="false" ht="15" hidden="false" customHeight="false" outlineLevel="0" collapsed="false">
      <c r="A1801" s="45"/>
      <c r="B1801" s="37" t="str">
        <f aca="false">IF($A1801="","",WEEKNUM($A1801,2))</f>
        <v/>
      </c>
      <c r="C1801" s="37" t="str">
        <f aca="false">IF($A1801="","",CHOOSE(WEEKDAY($A1801,2),"Seg","Ter","Qua","Qui","Sex","Sáb","Dom"))</f>
        <v/>
      </c>
      <c r="D1801" s="46"/>
      <c r="E1801" s="47"/>
      <c r="F1801" s="47"/>
      <c r="G1801" s="48"/>
      <c r="H1801" s="49"/>
      <c r="I1801" s="50"/>
      <c r="J1801" s="48"/>
      <c r="K1801" s="49"/>
      <c r="L1801" s="50"/>
      <c r="M1801" s="43" t="str">
        <f aca="false">IF(OR($L1801="",$F1801=""),"",IFERROR($L1801/INDEX(Cadastro!$E$6:$E$8,MATCH($F1801,Cadastro!$B$6:$B$8,0)),""))</f>
        <v/>
      </c>
      <c r="N1801" s="43" t="str">
        <f aca="false">IF(OR($L1801="",$I1801="",$I1801=0),"",$L1801/$I1801)</f>
        <v/>
      </c>
      <c r="O1801" s="51"/>
    </row>
    <row r="1802" customFormat="false" ht="15" hidden="false" customHeight="false" outlineLevel="0" collapsed="false">
      <c r="A1802" s="45"/>
      <c r="B1802" s="37" t="str">
        <f aca="false">IF($A1802="","",WEEKNUM($A1802,2))</f>
        <v/>
      </c>
      <c r="C1802" s="37" t="str">
        <f aca="false">IF($A1802="","",CHOOSE(WEEKDAY($A1802,2),"Seg","Ter","Qua","Qui","Sex","Sáb","Dom"))</f>
        <v/>
      </c>
      <c r="D1802" s="46"/>
      <c r="E1802" s="47"/>
      <c r="F1802" s="47"/>
      <c r="G1802" s="48"/>
      <c r="H1802" s="49"/>
      <c r="I1802" s="50"/>
      <c r="J1802" s="48"/>
      <c r="K1802" s="49"/>
      <c r="L1802" s="50"/>
      <c r="M1802" s="43" t="str">
        <f aca="false">IF(OR($L1802="",$F1802=""),"",IFERROR($L1802/INDEX(Cadastro!$E$6:$E$8,MATCH($F1802,Cadastro!$B$6:$B$8,0)),""))</f>
        <v/>
      </c>
      <c r="N1802" s="43" t="str">
        <f aca="false">IF(OR($L1802="",$I1802="",$I1802=0),"",$L1802/$I1802)</f>
        <v/>
      </c>
      <c r="O1802" s="51"/>
    </row>
    <row r="1803" customFormat="false" ht="15" hidden="false" customHeight="false" outlineLevel="0" collapsed="false">
      <c r="A1803" s="45"/>
      <c r="B1803" s="37" t="str">
        <f aca="false">IF($A1803="","",WEEKNUM($A1803,2))</f>
        <v/>
      </c>
      <c r="C1803" s="37" t="str">
        <f aca="false">IF($A1803="","",CHOOSE(WEEKDAY($A1803,2),"Seg","Ter","Qua","Qui","Sex","Sáb","Dom"))</f>
        <v/>
      </c>
      <c r="D1803" s="46"/>
      <c r="E1803" s="47"/>
      <c r="F1803" s="47"/>
      <c r="G1803" s="48"/>
      <c r="H1803" s="49"/>
      <c r="I1803" s="50"/>
      <c r="J1803" s="48"/>
      <c r="K1803" s="49"/>
      <c r="L1803" s="50"/>
      <c r="M1803" s="43" t="str">
        <f aca="false">IF(OR($L1803="",$F1803=""),"",IFERROR($L1803/INDEX(Cadastro!$E$6:$E$8,MATCH($F1803,Cadastro!$B$6:$B$8,0)),""))</f>
        <v/>
      </c>
      <c r="N1803" s="43" t="str">
        <f aca="false">IF(OR($L1803="",$I1803="",$I1803=0),"",$L1803/$I1803)</f>
        <v/>
      </c>
      <c r="O1803" s="51"/>
    </row>
    <row r="1804" customFormat="false" ht="15" hidden="false" customHeight="false" outlineLevel="0" collapsed="false">
      <c r="A1804" s="45"/>
      <c r="B1804" s="37" t="str">
        <f aca="false">IF($A1804="","",WEEKNUM($A1804,2))</f>
        <v/>
      </c>
      <c r="C1804" s="37" t="str">
        <f aca="false">IF($A1804="","",CHOOSE(WEEKDAY($A1804,2),"Seg","Ter","Qua","Qui","Sex","Sáb","Dom"))</f>
        <v/>
      </c>
      <c r="D1804" s="46"/>
      <c r="E1804" s="47"/>
      <c r="F1804" s="47"/>
      <c r="G1804" s="48"/>
      <c r="H1804" s="49"/>
      <c r="I1804" s="50"/>
      <c r="J1804" s="48"/>
      <c r="K1804" s="49"/>
      <c r="L1804" s="50"/>
      <c r="M1804" s="43" t="str">
        <f aca="false">IF(OR($L1804="",$F1804=""),"",IFERROR($L1804/INDEX(Cadastro!$E$6:$E$8,MATCH($F1804,Cadastro!$B$6:$B$8,0)),""))</f>
        <v/>
      </c>
      <c r="N1804" s="43" t="str">
        <f aca="false">IF(OR($L1804="",$I1804="",$I1804=0),"",$L1804/$I1804)</f>
        <v/>
      </c>
      <c r="O1804" s="51"/>
    </row>
    <row r="1805" customFormat="false" ht="15" hidden="false" customHeight="false" outlineLevel="0" collapsed="false">
      <c r="A1805" s="45"/>
      <c r="B1805" s="37" t="str">
        <f aca="false">IF($A1805="","",WEEKNUM($A1805,2))</f>
        <v/>
      </c>
      <c r="C1805" s="37" t="str">
        <f aca="false">IF($A1805="","",CHOOSE(WEEKDAY($A1805,2),"Seg","Ter","Qua","Qui","Sex","Sáb","Dom"))</f>
        <v/>
      </c>
      <c r="D1805" s="46"/>
      <c r="E1805" s="47"/>
      <c r="F1805" s="47"/>
      <c r="G1805" s="48"/>
      <c r="H1805" s="49"/>
      <c r="I1805" s="50"/>
      <c r="J1805" s="48"/>
      <c r="K1805" s="49"/>
      <c r="L1805" s="50"/>
      <c r="M1805" s="43" t="str">
        <f aca="false">IF(OR($L1805="",$F1805=""),"",IFERROR($L1805/INDEX(Cadastro!$E$6:$E$8,MATCH($F1805,Cadastro!$B$6:$B$8,0)),""))</f>
        <v/>
      </c>
      <c r="N1805" s="43" t="str">
        <f aca="false">IF(OR($L1805="",$I1805="",$I1805=0),"",$L1805/$I1805)</f>
        <v/>
      </c>
      <c r="O1805" s="51"/>
    </row>
    <row r="1806" customFormat="false" ht="15" hidden="false" customHeight="false" outlineLevel="0" collapsed="false">
      <c r="A1806" s="45"/>
      <c r="B1806" s="37" t="str">
        <f aca="false">IF($A1806="","",WEEKNUM($A1806,2))</f>
        <v/>
      </c>
      <c r="C1806" s="37" t="str">
        <f aca="false">IF($A1806="","",CHOOSE(WEEKDAY($A1806,2),"Seg","Ter","Qua","Qui","Sex","Sáb","Dom"))</f>
        <v/>
      </c>
      <c r="D1806" s="46"/>
      <c r="E1806" s="47"/>
      <c r="F1806" s="47"/>
      <c r="G1806" s="48"/>
      <c r="H1806" s="49"/>
      <c r="I1806" s="50"/>
      <c r="J1806" s="48"/>
      <c r="K1806" s="49"/>
      <c r="L1806" s="50"/>
      <c r="M1806" s="43" t="str">
        <f aca="false">IF(OR($L1806="",$F1806=""),"",IFERROR($L1806/INDEX(Cadastro!$E$6:$E$8,MATCH($F1806,Cadastro!$B$6:$B$8,0)),""))</f>
        <v/>
      </c>
      <c r="N1806" s="43" t="str">
        <f aca="false">IF(OR($L1806="",$I1806="",$I1806=0),"",$L1806/$I1806)</f>
        <v/>
      </c>
      <c r="O1806" s="51"/>
    </row>
    <row r="1807" customFormat="false" ht="15" hidden="false" customHeight="false" outlineLevel="0" collapsed="false">
      <c r="A1807" s="45"/>
      <c r="B1807" s="37" t="str">
        <f aca="false">IF($A1807="","",WEEKNUM($A1807,2))</f>
        <v/>
      </c>
      <c r="C1807" s="37" t="str">
        <f aca="false">IF($A1807="","",CHOOSE(WEEKDAY($A1807,2),"Seg","Ter","Qua","Qui","Sex","Sáb","Dom"))</f>
        <v/>
      </c>
      <c r="D1807" s="46"/>
      <c r="E1807" s="47"/>
      <c r="F1807" s="47"/>
      <c r="G1807" s="48"/>
      <c r="H1807" s="49"/>
      <c r="I1807" s="50"/>
      <c r="J1807" s="48"/>
      <c r="K1807" s="49"/>
      <c r="L1807" s="50"/>
      <c r="M1807" s="43" t="str">
        <f aca="false">IF(OR($L1807="",$F1807=""),"",IFERROR($L1807/INDEX(Cadastro!$E$6:$E$8,MATCH($F1807,Cadastro!$B$6:$B$8,0)),""))</f>
        <v/>
      </c>
      <c r="N1807" s="43" t="str">
        <f aca="false">IF(OR($L1807="",$I1807="",$I1807=0),"",$L1807/$I1807)</f>
        <v/>
      </c>
      <c r="O1807" s="51"/>
    </row>
    <row r="1808" customFormat="false" ht="15" hidden="false" customHeight="false" outlineLevel="0" collapsed="false">
      <c r="A1808" s="45"/>
      <c r="B1808" s="37" t="str">
        <f aca="false">IF($A1808="","",WEEKNUM($A1808,2))</f>
        <v/>
      </c>
      <c r="C1808" s="37" t="str">
        <f aca="false">IF($A1808="","",CHOOSE(WEEKDAY($A1808,2),"Seg","Ter","Qua","Qui","Sex","Sáb","Dom"))</f>
        <v/>
      </c>
      <c r="D1808" s="46"/>
      <c r="E1808" s="47"/>
      <c r="F1808" s="47"/>
      <c r="G1808" s="48"/>
      <c r="H1808" s="49"/>
      <c r="I1808" s="50"/>
      <c r="J1808" s="48"/>
      <c r="K1808" s="49"/>
      <c r="L1808" s="50"/>
      <c r="M1808" s="43" t="str">
        <f aca="false">IF(OR($L1808="",$F1808=""),"",IFERROR($L1808/INDEX(Cadastro!$E$6:$E$8,MATCH($F1808,Cadastro!$B$6:$B$8,0)),""))</f>
        <v/>
      </c>
      <c r="N1808" s="43" t="str">
        <f aca="false">IF(OR($L1808="",$I1808="",$I1808=0),"",$L1808/$I1808)</f>
        <v/>
      </c>
      <c r="O1808" s="51"/>
    </row>
    <row r="1809" customFormat="false" ht="15" hidden="false" customHeight="false" outlineLevel="0" collapsed="false">
      <c r="A1809" s="45"/>
      <c r="B1809" s="37" t="str">
        <f aca="false">IF($A1809="","",WEEKNUM($A1809,2))</f>
        <v/>
      </c>
      <c r="C1809" s="37" t="str">
        <f aca="false">IF($A1809="","",CHOOSE(WEEKDAY($A1809,2),"Seg","Ter","Qua","Qui","Sex","Sáb","Dom"))</f>
        <v/>
      </c>
      <c r="D1809" s="46"/>
      <c r="E1809" s="47"/>
      <c r="F1809" s="47"/>
      <c r="G1809" s="48"/>
      <c r="H1809" s="49"/>
      <c r="I1809" s="50"/>
      <c r="J1809" s="48"/>
      <c r="K1809" s="49"/>
      <c r="L1809" s="50"/>
      <c r="M1809" s="43" t="str">
        <f aca="false">IF(OR($L1809="",$F1809=""),"",IFERROR($L1809/INDEX(Cadastro!$E$6:$E$8,MATCH($F1809,Cadastro!$B$6:$B$8,0)),""))</f>
        <v/>
      </c>
      <c r="N1809" s="43" t="str">
        <f aca="false">IF(OR($L1809="",$I1809="",$I1809=0),"",$L1809/$I1809)</f>
        <v/>
      </c>
      <c r="O1809" s="51"/>
    </row>
    <row r="1810" customFormat="false" ht="15" hidden="false" customHeight="false" outlineLevel="0" collapsed="false">
      <c r="A1810" s="45"/>
      <c r="B1810" s="37" t="str">
        <f aca="false">IF($A1810="","",WEEKNUM($A1810,2))</f>
        <v/>
      </c>
      <c r="C1810" s="37" t="str">
        <f aca="false">IF($A1810="","",CHOOSE(WEEKDAY($A1810,2),"Seg","Ter","Qua","Qui","Sex","Sáb","Dom"))</f>
        <v/>
      </c>
      <c r="D1810" s="46"/>
      <c r="E1810" s="47"/>
      <c r="F1810" s="47"/>
      <c r="G1810" s="48"/>
      <c r="H1810" s="49"/>
      <c r="I1810" s="50"/>
      <c r="J1810" s="48"/>
      <c r="K1810" s="49"/>
      <c r="L1810" s="50"/>
      <c r="M1810" s="43" t="str">
        <f aca="false">IF(OR($L1810="",$F1810=""),"",IFERROR($L1810/INDEX(Cadastro!$E$6:$E$8,MATCH($F1810,Cadastro!$B$6:$B$8,0)),""))</f>
        <v/>
      </c>
      <c r="N1810" s="43" t="str">
        <f aca="false">IF(OR($L1810="",$I1810="",$I1810=0),"",$L1810/$I1810)</f>
        <v/>
      </c>
      <c r="O1810" s="51"/>
    </row>
    <row r="1811" customFormat="false" ht="15" hidden="false" customHeight="false" outlineLevel="0" collapsed="false">
      <c r="A1811" s="45"/>
      <c r="B1811" s="37" t="str">
        <f aca="false">IF($A1811="","",WEEKNUM($A1811,2))</f>
        <v/>
      </c>
      <c r="C1811" s="37" t="str">
        <f aca="false">IF($A1811="","",CHOOSE(WEEKDAY($A1811,2),"Seg","Ter","Qua","Qui","Sex","Sáb","Dom"))</f>
        <v/>
      </c>
      <c r="D1811" s="46"/>
      <c r="E1811" s="47"/>
      <c r="F1811" s="47"/>
      <c r="G1811" s="48"/>
      <c r="H1811" s="49"/>
      <c r="I1811" s="50"/>
      <c r="J1811" s="48"/>
      <c r="K1811" s="49"/>
      <c r="L1811" s="50"/>
      <c r="M1811" s="43" t="str">
        <f aca="false">IF(OR($L1811="",$F1811=""),"",IFERROR($L1811/INDEX(Cadastro!$E$6:$E$8,MATCH($F1811,Cadastro!$B$6:$B$8,0)),""))</f>
        <v/>
      </c>
      <c r="N1811" s="43" t="str">
        <f aca="false">IF(OR($L1811="",$I1811="",$I1811=0),"",$L1811/$I1811)</f>
        <v/>
      </c>
      <c r="O1811" s="51"/>
    </row>
    <row r="1812" customFormat="false" ht="15" hidden="false" customHeight="false" outlineLevel="0" collapsed="false">
      <c r="A1812" s="45"/>
      <c r="B1812" s="37" t="str">
        <f aca="false">IF($A1812="","",WEEKNUM($A1812,2))</f>
        <v/>
      </c>
      <c r="C1812" s="37" t="str">
        <f aca="false">IF($A1812="","",CHOOSE(WEEKDAY($A1812,2),"Seg","Ter","Qua","Qui","Sex","Sáb","Dom"))</f>
        <v/>
      </c>
      <c r="D1812" s="46"/>
      <c r="E1812" s="47"/>
      <c r="F1812" s="47"/>
      <c r="G1812" s="48"/>
      <c r="H1812" s="49"/>
      <c r="I1812" s="50"/>
      <c r="J1812" s="48"/>
      <c r="K1812" s="49"/>
      <c r="L1812" s="50"/>
      <c r="M1812" s="43" t="str">
        <f aca="false">IF(OR($L1812="",$F1812=""),"",IFERROR($L1812/INDEX(Cadastro!$E$6:$E$8,MATCH($F1812,Cadastro!$B$6:$B$8,0)),""))</f>
        <v/>
      </c>
      <c r="N1812" s="43" t="str">
        <f aca="false">IF(OR($L1812="",$I1812="",$I1812=0),"",$L1812/$I1812)</f>
        <v/>
      </c>
      <c r="O1812" s="51"/>
    </row>
    <row r="1813" customFormat="false" ht="15" hidden="false" customHeight="false" outlineLevel="0" collapsed="false">
      <c r="A1813" s="45"/>
      <c r="B1813" s="37" t="str">
        <f aca="false">IF($A1813="","",WEEKNUM($A1813,2))</f>
        <v/>
      </c>
      <c r="C1813" s="37" t="str">
        <f aca="false">IF($A1813="","",CHOOSE(WEEKDAY($A1813,2),"Seg","Ter","Qua","Qui","Sex","Sáb","Dom"))</f>
        <v/>
      </c>
      <c r="D1813" s="46"/>
      <c r="E1813" s="47"/>
      <c r="F1813" s="47"/>
      <c r="G1813" s="48"/>
      <c r="H1813" s="49"/>
      <c r="I1813" s="50"/>
      <c r="J1813" s="48"/>
      <c r="K1813" s="49"/>
      <c r="L1813" s="50"/>
      <c r="M1813" s="43" t="str">
        <f aca="false">IF(OR($L1813="",$F1813=""),"",IFERROR($L1813/INDEX(Cadastro!$E$6:$E$8,MATCH($F1813,Cadastro!$B$6:$B$8,0)),""))</f>
        <v/>
      </c>
      <c r="N1813" s="43" t="str">
        <f aca="false">IF(OR($L1813="",$I1813="",$I1813=0),"",$L1813/$I1813)</f>
        <v/>
      </c>
      <c r="O1813" s="51"/>
    </row>
    <row r="1814" customFormat="false" ht="15" hidden="false" customHeight="false" outlineLevel="0" collapsed="false">
      <c r="A1814" s="45"/>
      <c r="B1814" s="37" t="str">
        <f aca="false">IF($A1814="","",WEEKNUM($A1814,2))</f>
        <v/>
      </c>
      <c r="C1814" s="37" t="str">
        <f aca="false">IF($A1814="","",CHOOSE(WEEKDAY($A1814,2),"Seg","Ter","Qua","Qui","Sex","Sáb","Dom"))</f>
        <v/>
      </c>
      <c r="D1814" s="46"/>
      <c r="E1814" s="47"/>
      <c r="F1814" s="47"/>
      <c r="G1814" s="48"/>
      <c r="H1814" s="49"/>
      <c r="I1814" s="50"/>
      <c r="J1814" s="48"/>
      <c r="K1814" s="49"/>
      <c r="L1814" s="50"/>
      <c r="M1814" s="43" t="str">
        <f aca="false">IF(OR($L1814="",$F1814=""),"",IFERROR($L1814/INDEX(Cadastro!$E$6:$E$8,MATCH($F1814,Cadastro!$B$6:$B$8,0)),""))</f>
        <v/>
      </c>
      <c r="N1814" s="43" t="str">
        <f aca="false">IF(OR($L1814="",$I1814="",$I1814=0),"",$L1814/$I1814)</f>
        <v/>
      </c>
      <c r="O1814" s="51"/>
    </row>
    <row r="1815" customFormat="false" ht="15" hidden="false" customHeight="false" outlineLevel="0" collapsed="false">
      <c r="A1815" s="45"/>
      <c r="B1815" s="37" t="str">
        <f aca="false">IF($A1815="","",WEEKNUM($A1815,2))</f>
        <v/>
      </c>
      <c r="C1815" s="37" t="str">
        <f aca="false">IF($A1815="","",CHOOSE(WEEKDAY($A1815,2),"Seg","Ter","Qua","Qui","Sex","Sáb","Dom"))</f>
        <v/>
      </c>
      <c r="D1815" s="46"/>
      <c r="E1815" s="47"/>
      <c r="F1815" s="47"/>
      <c r="G1815" s="48"/>
      <c r="H1815" s="49"/>
      <c r="I1815" s="50"/>
      <c r="J1815" s="48"/>
      <c r="K1815" s="49"/>
      <c r="L1815" s="50"/>
      <c r="M1815" s="43" t="str">
        <f aca="false">IF(OR($L1815="",$F1815=""),"",IFERROR($L1815/INDEX(Cadastro!$E$6:$E$8,MATCH($F1815,Cadastro!$B$6:$B$8,0)),""))</f>
        <v/>
      </c>
      <c r="N1815" s="43" t="str">
        <f aca="false">IF(OR($L1815="",$I1815="",$I1815=0),"",$L1815/$I1815)</f>
        <v/>
      </c>
      <c r="O1815" s="51"/>
    </row>
    <row r="1816" customFormat="false" ht="15" hidden="false" customHeight="false" outlineLevel="0" collapsed="false">
      <c r="A1816" s="45"/>
      <c r="B1816" s="37" t="str">
        <f aca="false">IF($A1816="","",WEEKNUM($A1816,2))</f>
        <v/>
      </c>
      <c r="C1816" s="37" t="str">
        <f aca="false">IF($A1816="","",CHOOSE(WEEKDAY($A1816,2),"Seg","Ter","Qua","Qui","Sex","Sáb","Dom"))</f>
        <v/>
      </c>
      <c r="D1816" s="46"/>
      <c r="E1816" s="47"/>
      <c r="F1816" s="47"/>
      <c r="G1816" s="48"/>
      <c r="H1816" s="49"/>
      <c r="I1816" s="50"/>
      <c r="J1816" s="48"/>
      <c r="K1816" s="49"/>
      <c r="L1816" s="50"/>
      <c r="M1816" s="43" t="str">
        <f aca="false">IF(OR($L1816="",$F1816=""),"",IFERROR($L1816/INDEX(Cadastro!$E$6:$E$8,MATCH($F1816,Cadastro!$B$6:$B$8,0)),""))</f>
        <v/>
      </c>
      <c r="N1816" s="43" t="str">
        <f aca="false">IF(OR($L1816="",$I1816="",$I1816=0),"",$L1816/$I1816)</f>
        <v/>
      </c>
      <c r="O1816" s="51"/>
    </row>
    <row r="1817" customFormat="false" ht="15" hidden="false" customHeight="false" outlineLevel="0" collapsed="false">
      <c r="A1817" s="45"/>
      <c r="B1817" s="37" t="str">
        <f aca="false">IF($A1817="","",WEEKNUM($A1817,2))</f>
        <v/>
      </c>
      <c r="C1817" s="37" t="str">
        <f aca="false">IF($A1817="","",CHOOSE(WEEKDAY($A1817,2),"Seg","Ter","Qua","Qui","Sex","Sáb","Dom"))</f>
        <v/>
      </c>
      <c r="D1817" s="46"/>
      <c r="E1817" s="47"/>
      <c r="F1817" s="47"/>
      <c r="G1817" s="48"/>
      <c r="H1817" s="49"/>
      <c r="I1817" s="50"/>
      <c r="J1817" s="48"/>
      <c r="K1817" s="49"/>
      <c r="L1817" s="50"/>
      <c r="M1817" s="43" t="str">
        <f aca="false">IF(OR($L1817="",$F1817=""),"",IFERROR($L1817/INDEX(Cadastro!$E$6:$E$8,MATCH($F1817,Cadastro!$B$6:$B$8,0)),""))</f>
        <v/>
      </c>
      <c r="N1817" s="43" t="str">
        <f aca="false">IF(OR($L1817="",$I1817="",$I1817=0),"",$L1817/$I1817)</f>
        <v/>
      </c>
      <c r="O1817" s="51"/>
    </row>
    <row r="1818" customFormat="false" ht="15" hidden="false" customHeight="false" outlineLevel="0" collapsed="false">
      <c r="A1818" s="45"/>
      <c r="B1818" s="37" t="str">
        <f aca="false">IF($A1818="","",WEEKNUM($A1818,2))</f>
        <v/>
      </c>
      <c r="C1818" s="37" t="str">
        <f aca="false">IF($A1818="","",CHOOSE(WEEKDAY($A1818,2),"Seg","Ter","Qua","Qui","Sex","Sáb","Dom"))</f>
        <v/>
      </c>
      <c r="D1818" s="46"/>
      <c r="E1818" s="47"/>
      <c r="F1818" s="47"/>
      <c r="G1818" s="48"/>
      <c r="H1818" s="49"/>
      <c r="I1818" s="50"/>
      <c r="J1818" s="48"/>
      <c r="K1818" s="49"/>
      <c r="L1818" s="50"/>
      <c r="M1818" s="43" t="str">
        <f aca="false">IF(OR($L1818="",$F1818=""),"",IFERROR($L1818/INDEX(Cadastro!$E$6:$E$8,MATCH($F1818,Cadastro!$B$6:$B$8,0)),""))</f>
        <v/>
      </c>
      <c r="N1818" s="43" t="str">
        <f aca="false">IF(OR($L1818="",$I1818="",$I1818=0),"",$L1818/$I1818)</f>
        <v/>
      </c>
      <c r="O1818" s="51"/>
    </row>
    <row r="1819" customFormat="false" ht="15" hidden="false" customHeight="false" outlineLevel="0" collapsed="false">
      <c r="A1819" s="45"/>
      <c r="B1819" s="37" t="str">
        <f aca="false">IF($A1819="","",WEEKNUM($A1819,2))</f>
        <v/>
      </c>
      <c r="C1819" s="37" t="str">
        <f aca="false">IF($A1819="","",CHOOSE(WEEKDAY($A1819,2),"Seg","Ter","Qua","Qui","Sex","Sáb","Dom"))</f>
        <v/>
      </c>
      <c r="D1819" s="46"/>
      <c r="E1819" s="47"/>
      <c r="F1819" s="47"/>
      <c r="G1819" s="48"/>
      <c r="H1819" s="49"/>
      <c r="I1819" s="50"/>
      <c r="J1819" s="48"/>
      <c r="K1819" s="49"/>
      <c r="L1819" s="50"/>
      <c r="M1819" s="43" t="str">
        <f aca="false">IF(OR($L1819="",$F1819=""),"",IFERROR($L1819/INDEX(Cadastro!$E$6:$E$8,MATCH($F1819,Cadastro!$B$6:$B$8,0)),""))</f>
        <v/>
      </c>
      <c r="N1819" s="43" t="str">
        <f aca="false">IF(OR($L1819="",$I1819="",$I1819=0),"",$L1819/$I1819)</f>
        <v/>
      </c>
      <c r="O1819" s="51"/>
    </row>
    <row r="1820" customFormat="false" ht="15" hidden="false" customHeight="false" outlineLevel="0" collapsed="false">
      <c r="A1820" s="45"/>
      <c r="B1820" s="37" t="str">
        <f aca="false">IF($A1820="","",WEEKNUM($A1820,2))</f>
        <v/>
      </c>
      <c r="C1820" s="37" t="str">
        <f aca="false">IF($A1820="","",CHOOSE(WEEKDAY($A1820,2),"Seg","Ter","Qua","Qui","Sex","Sáb","Dom"))</f>
        <v/>
      </c>
      <c r="D1820" s="46"/>
      <c r="E1820" s="47"/>
      <c r="F1820" s="47"/>
      <c r="G1820" s="48"/>
      <c r="H1820" s="49"/>
      <c r="I1820" s="50"/>
      <c r="J1820" s="48"/>
      <c r="K1820" s="49"/>
      <c r="L1820" s="50"/>
      <c r="M1820" s="43" t="str">
        <f aca="false">IF(OR($L1820="",$F1820=""),"",IFERROR($L1820/INDEX(Cadastro!$E$6:$E$8,MATCH($F1820,Cadastro!$B$6:$B$8,0)),""))</f>
        <v/>
      </c>
      <c r="N1820" s="43" t="str">
        <f aca="false">IF(OR($L1820="",$I1820="",$I1820=0),"",$L1820/$I1820)</f>
        <v/>
      </c>
      <c r="O1820" s="51"/>
    </row>
    <row r="1821" customFormat="false" ht="15" hidden="false" customHeight="false" outlineLevel="0" collapsed="false">
      <c r="A1821" s="45"/>
      <c r="B1821" s="37" t="str">
        <f aca="false">IF($A1821="","",WEEKNUM($A1821,2))</f>
        <v/>
      </c>
      <c r="C1821" s="37" t="str">
        <f aca="false">IF($A1821="","",CHOOSE(WEEKDAY($A1821,2),"Seg","Ter","Qua","Qui","Sex","Sáb","Dom"))</f>
        <v/>
      </c>
      <c r="D1821" s="46"/>
      <c r="E1821" s="47"/>
      <c r="F1821" s="47"/>
      <c r="G1821" s="48"/>
      <c r="H1821" s="49"/>
      <c r="I1821" s="50"/>
      <c r="J1821" s="48"/>
      <c r="K1821" s="49"/>
      <c r="L1821" s="50"/>
      <c r="M1821" s="43" t="str">
        <f aca="false">IF(OR($L1821="",$F1821=""),"",IFERROR($L1821/INDEX(Cadastro!$E$6:$E$8,MATCH($F1821,Cadastro!$B$6:$B$8,0)),""))</f>
        <v/>
      </c>
      <c r="N1821" s="43" t="str">
        <f aca="false">IF(OR($L1821="",$I1821="",$I1821=0),"",$L1821/$I1821)</f>
        <v/>
      </c>
      <c r="O1821" s="51"/>
    </row>
    <row r="1822" customFormat="false" ht="15" hidden="false" customHeight="false" outlineLevel="0" collapsed="false">
      <c r="A1822" s="45"/>
      <c r="B1822" s="37" t="str">
        <f aca="false">IF($A1822="","",WEEKNUM($A1822,2))</f>
        <v/>
      </c>
      <c r="C1822" s="37" t="str">
        <f aca="false">IF($A1822="","",CHOOSE(WEEKDAY($A1822,2),"Seg","Ter","Qua","Qui","Sex","Sáb","Dom"))</f>
        <v/>
      </c>
      <c r="D1822" s="46"/>
      <c r="E1822" s="47"/>
      <c r="F1822" s="47"/>
      <c r="G1822" s="48"/>
      <c r="H1822" s="49"/>
      <c r="I1822" s="50"/>
      <c r="J1822" s="48"/>
      <c r="K1822" s="49"/>
      <c r="L1822" s="50"/>
      <c r="M1822" s="43" t="str">
        <f aca="false">IF(OR($L1822="",$F1822=""),"",IFERROR($L1822/INDEX(Cadastro!$E$6:$E$8,MATCH($F1822,Cadastro!$B$6:$B$8,0)),""))</f>
        <v/>
      </c>
      <c r="N1822" s="43" t="str">
        <f aca="false">IF(OR($L1822="",$I1822="",$I1822=0),"",$L1822/$I1822)</f>
        <v/>
      </c>
      <c r="O1822" s="51"/>
    </row>
    <row r="1823" customFormat="false" ht="15" hidden="false" customHeight="false" outlineLevel="0" collapsed="false">
      <c r="A1823" s="45"/>
      <c r="B1823" s="37" t="str">
        <f aca="false">IF($A1823="","",WEEKNUM($A1823,2))</f>
        <v/>
      </c>
      <c r="C1823" s="37" t="str">
        <f aca="false">IF($A1823="","",CHOOSE(WEEKDAY($A1823,2),"Seg","Ter","Qua","Qui","Sex","Sáb","Dom"))</f>
        <v/>
      </c>
      <c r="D1823" s="46"/>
      <c r="E1823" s="47"/>
      <c r="F1823" s="47"/>
      <c r="G1823" s="48"/>
      <c r="H1823" s="49"/>
      <c r="I1823" s="50"/>
      <c r="J1823" s="48"/>
      <c r="K1823" s="49"/>
      <c r="L1823" s="50"/>
      <c r="M1823" s="43" t="str">
        <f aca="false">IF(OR($L1823="",$F1823=""),"",IFERROR($L1823/INDEX(Cadastro!$E$6:$E$8,MATCH($F1823,Cadastro!$B$6:$B$8,0)),""))</f>
        <v/>
      </c>
      <c r="N1823" s="43" t="str">
        <f aca="false">IF(OR($L1823="",$I1823="",$I1823=0),"",$L1823/$I1823)</f>
        <v/>
      </c>
      <c r="O1823" s="51"/>
    </row>
    <row r="1824" customFormat="false" ht="15" hidden="false" customHeight="false" outlineLevel="0" collapsed="false">
      <c r="A1824" s="45"/>
      <c r="B1824" s="37" t="str">
        <f aca="false">IF($A1824="","",WEEKNUM($A1824,2))</f>
        <v/>
      </c>
      <c r="C1824" s="37" t="str">
        <f aca="false">IF($A1824="","",CHOOSE(WEEKDAY($A1824,2),"Seg","Ter","Qua","Qui","Sex","Sáb","Dom"))</f>
        <v/>
      </c>
      <c r="D1824" s="46"/>
      <c r="E1824" s="47"/>
      <c r="F1824" s="47"/>
      <c r="G1824" s="48"/>
      <c r="H1824" s="49"/>
      <c r="I1824" s="50"/>
      <c r="J1824" s="48"/>
      <c r="K1824" s="49"/>
      <c r="L1824" s="50"/>
      <c r="M1824" s="43" t="str">
        <f aca="false">IF(OR($L1824="",$F1824=""),"",IFERROR($L1824/INDEX(Cadastro!$E$6:$E$8,MATCH($F1824,Cadastro!$B$6:$B$8,0)),""))</f>
        <v/>
      </c>
      <c r="N1824" s="43" t="str">
        <f aca="false">IF(OR($L1824="",$I1824="",$I1824=0),"",$L1824/$I1824)</f>
        <v/>
      </c>
      <c r="O1824" s="51"/>
    </row>
    <row r="1825" customFormat="false" ht="15" hidden="false" customHeight="false" outlineLevel="0" collapsed="false">
      <c r="A1825" s="45"/>
      <c r="B1825" s="37" t="str">
        <f aca="false">IF($A1825="","",WEEKNUM($A1825,2))</f>
        <v/>
      </c>
      <c r="C1825" s="37" t="str">
        <f aca="false">IF($A1825="","",CHOOSE(WEEKDAY($A1825,2),"Seg","Ter","Qua","Qui","Sex","Sáb","Dom"))</f>
        <v/>
      </c>
      <c r="D1825" s="46"/>
      <c r="E1825" s="47"/>
      <c r="F1825" s="47"/>
      <c r="G1825" s="48"/>
      <c r="H1825" s="49"/>
      <c r="I1825" s="50"/>
      <c r="J1825" s="48"/>
      <c r="K1825" s="49"/>
      <c r="L1825" s="50"/>
      <c r="M1825" s="43" t="str">
        <f aca="false">IF(OR($L1825="",$F1825=""),"",IFERROR($L1825/INDEX(Cadastro!$E$6:$E$8,MATCH($F1825,Cadastro!$B$6:$B$8,0)),""))</f>
        <v/>
      </c>
      <c r="N1825" s="43" t="str">
        <f aca="false">IF(OR($L1825="",$I1825="",$I1825=0),"",$L1825/$I1825)</f>
        <v/>
      </c>
      <c r="O1825" s="51"/>
    </row>
    <row r="1826" customFormat="false" ht="15" hidden="false" customHeight="false" outlineLevel="0" collapsed="false">
      <c r="A1826" s="45"/>
      <c r="B1826" s="37" t="str">
        <f aca="false">IF($A1826="","",WEEKNUM($A1826,2))</f>
        <v/>
      </c>
      <c r="C1826" s="37" t="str">
        <f aca="false">IF($A1826="","",CHOOSE(WEEKDAY($A1826,2),"Seg","Ter","Qua","Qui","Sex","Sáb","Dom"))</f>
        <v/>
      </c>
      <c r="D1826" s="46"/>
      <c r="E1826" s="47"/>
      <c r="F1826" s="47"/>
      <c r="G1826" s="48"/>
      <c r="H1826" s="49"/>
      <c r="I1826" s="50"/>
      <c r="J1826" s="48"/>
      <c r="K1826" s="49"/>
      <c r="L1826" s="50"/>
      <c r="M1826" s="43" t="str">
        <f aca="false">IF(OR($L1826="",$F1826=""),"",IFERROR($L1826/INDEX(Cadastro!$E$6:$E$8,MATCH($F1826,Cadastro!$B$6:$B$8,0)),""))</f>
        <v/>
      </c>
      <c r="N1826" s="43" t="str">
        <f aca="false">IF(OR($L1826="",$I1826="",$I1826=0),"",$L1826/$I1826)</f>
        <v/>
      </c>
      <c r="O1826" s="51"/>
    </row>
    <row r="1827" customFormat="false" ht="15" hidden="false" customHeight="false" outlineLevel="0" collapsed="false">
      <c r="A1827" s="45"/>
      <c r="B1827" s="37" t="str">
        <f aca="false">IF($A1827="","",WEEKNUM($A1827,2))</f>
        <v/>
      </c>
      <c r="C1827" s="37" t="str">
        <f aca="false">IF($A1827="","",CHOOSE(WEEKDAY($A1827,2),"Seg","Ter","Qua","Qui","Sex","Sáb","Dom"))</f>
        <v/>
      </c>
      <c r="D1827" s="46"/>
      <c r="E1827" s="47"/>
      <c r="F1827" s="47"/>
      <c r="G1827" s="48"/>
      <c r="H1827" s="49"/>
      <c r="I1827" s="50"/>
      <c r="J1827" s="48"/>
      <c r="K1827" s="49"/>
      <c r="L1827" s="50"/>
      <c r="M1827" s="43" t="str">
        <f aca="false">IF(OR($L1827="",$F1827=""),"",IFERROR($L1827/INDEX(Cadastro!$E$6:$E$8,MATCH($F1827,Cadastro!$B$6:$B$8,0)),""))</f>
        <v/>
      </c>
      <c r="N1827" s="43" t="str">
        <f aca="false">IF(OR($L1827="",$I1827="",$I1827=0),"",$L1827/$I1827)</f>
        <v/>
      </c>
      <c r="O1827" s="51"/>
    </row>
    <row r="1828" customFormat="false" ht="15" hidden="false" customHeight="false" outlineLevel="0" collapsed="false">
      <c r="A1828" s="45"/>
      <c r="B1828" s="37" t="str">
        <f aca="false">IF($A1828="","",WEEKNUM($A1828,2))</f>
        <v/>
      </c>
      <c r="C1828" s="37" t="str">
        <f aca="false">IF($A1828="","",CHOOSE(WEEKDAY($A1828,2),"Seg","Ter","Qua","Qui","Sex","Sáb","Dom"))</f>
        <v/>
      </c>
      <c r="D1828" s="46"/>
      <c r="E1828" s="47"/>
      <c r="F1828" s="47"/>
      <c r="G1828" s="48"/>
      <c r="H1828" s="49"/>
      <c r="I1828" s="50"/>
      <c r="J1828" s="48"/>
      <c r="K1828" s="49"/>
      <c r="L1828" s="50"/>
      <c r="M1828" s="43" t="str">
        <f aca="false">IF(OR($L1828="",$F1828=""),"",IFERROR($L1828/INDEX(Cadastro!$E$6:$E$8,MATCH($F1828,Cadastro!$B$6:$B$8,0)),""))</f>
        <v/>
      </c>
      <c r="N1828" s="43" t="str">
        <f aca="false">IF(OR($L1828="",$I1828="",$I1828=0),"",$L1828/$I1828)</f>
        <v/>
      </c>
      <c r="O1828" s="51"/>
    </row>
    <row r="1829" customFormat="false" ht="15" hidden="false" customHeight="false" outlineLevel="0" collapsed="false">
      <c r="A1829" s="45"/>
      <c r="B1829" s="37" t="str">
        <f aca="false">IF($A1829="","",WEEKNUM($A1829,2))</f>
        <v/>
      </c>
      <c r="C1829" s="37" t="str">
        <f aca="false">IF($A1829="","",CHOOSE(WEEKDAY($A1829,2),"Seg","Ter","Qua","Qui","Sex","Sáb","Dom"))</f>
        <v/>
      </c>
      <c r="D1829" s="46"/>
      <c r="E1829" s="47"/>
      <c r="F1829" s="47"/>
      <c r="G1829" s="48"/>
      <c r="H1829" s="49"/>
      <c r="I1829" s="50"/>
      <c r="J1829" s="48"/>
      <c r="K1829" s="49"/>
      <c r="L1829" s="50"/>
      <c r="M1829" s="43" t="str">
        <f aca="false">IF(OR($L1829="",$F1829=""),"",IFERROR($L1829/INDEX(Cadastro!$E$6:$E$8,MATCH($F1829,Cadastro!$B$6:$B$8,0)),""))</f>
        <v/>
      </c>
      <c r="N1829" s="43" t="str">
        <f aca="false">IF(OR($L1829="",$I1829="",$I1829=0),"",$L1829/$I1829)</f>
        <v/>
      </c>
      <c r="O1829" s="51"/>
    </row>
    <row r="1830" customFormat="false" ht="15" hidden="false" customHeight="false" outlineLevel="0" collapsed="false">
      <c r="A1830" s="45"/>
      <c r="B1830" s="37" t="str">
        <f aca="false">IF($A1830="","",WEEKNUM($A1830,2))</f>
        <v/>
      </c>
      <c r="C1830" s="37" t="str">
        <f aca="false">IF($A1830="","",CHOOSE(WEEKDAY($A1830,2),"Seg","Ter","Qua","Qui","Sex","Sáb","Dom"))</f>
        <v/>
      </c>
      <c r="D1830" s="46"/>
      <c r="E1830" s="47"/>
      <c r="F1830" s="47"/>
      <c r="G1830" s="48"/>
      <c r="H1830" s="49"/>
      <c r="I1830" s="50"/>
      <c r="J1830" s="48"/>
      <c r="K1830" s="49"/>
      <c r="L1830" s="50"/>
      <c r="M1830" s="43" t="str">
        <f aca="false">IF(OR($L1830="",$F1830=""),"",IFERROR($L1830/INDEX(Cadastro!$E$6:$E$8,MATCH($F1830,Cadastro!$B$6:$B$8,0)),""))</f>
        <v/>
      </c>
      <c r="N1830" s="43" t="str">
        <f aca="false">IF(OR($L1830="",$I1830="",$I1830=0),"",$L1830/$I1830)</f>
        <v/>
      </c>
      <c r="O1830" s="51"/>
    </row>
    <row r="1831" customFormat="false" ht="15" hidden="false" customHeight="false" outlineLevel="0" collapsed="false">
      <c r="A1831" s="45"/>
      <c r="B1831" s="37" t="str">
        <f aca="false">IF($A1831="","",WEEKNUM($A1831,2))</f>
        <v/>
      </c>
      <c r="C1831" s="37" t="str">
        <f aca="false">IF($A1831="","",CHOOSE(WEEKDAY($A1831,2),"Seg","Ter","Qua","Qui","Sex","Sáb","Dom"))</f>
        <v/>
      </c>
      <c r="D1831" s="46"/>
      <c r="E1831" s="47"/>
      <c r="F1831" s="47"/>
      <c r="G1831" s="48"/>
      <c r="H1831" s="49"/>
      <c r="I1831" s="50"/>
      <c r="J1831" s="48"/>
      <c r="K1831" s="49"/>
      <c r="L1831" s="50"/>
      <c r="M1831" s="43" t="str">
        <f aca="false">IF(OR($L1831="",$F1831=""),"",IFERROR($L1831/INDEX(Cadastro!$E$6:$E$8,MATCH($F1831,Cadastro!$B$6:$B$8,0)),""))</f>
        <v/>
      </c>
      <c r="N1831" s="43" t="str">
        <f aca="false">IF(OR($L1831="",$I1831="",$I1831=0),"",$L1831/$I1831)</f>
        <v/>
      </c>
      <c r="O1831" s="51"/>
    </row>
    <row r="1832" customFormat="false" ht="15" hidden="false" customHeight="false" outlineLevel="0" collapsed="false">
      <c r="A1832" s="45"/>
      <c r="B1832" s="37" t="str">
        <f aca="false">IF($A1832="","",WEEKNUM($A1832,2))</f>
        <v/>
      </c>
      <c r="C1832" s="37" t="str">
        <f aca="false">IF($A1832="","",CHOOSE(WEEKDAY($A1832,2),"Seg","Ter","Qua","Qui","Sex","Sáb","Dom"))</f>
        <v/>
      </c>
      <c r="D1832" s="46"/>
      <c r="E1832" s="47"/>
      <c r="F1832" s="47"/>
      <c r="G1832" s="48"/>
      <c r="H1832" s="49"/>
      <c r="I1832" s="50"/>
      <c r="J1832" s="48"/>
      <c r="K1832" s="49"/>
      <c r="L1832" s="50"/>
      <c r="M1832" s="43" t="str">
        <f aca="false">IF(OR($L1832="",$F1832=""),"",IFERROR($L1832/INDEX(Cadastro!$E$6:$E$8,MATCH($F1832,Cadastro!$B$6:$B$8,0)),""))</f>
        <v/>
      </c>
      <c r="N1832" s="43" t="str">
        <f aca="false">IF(OR($L1832="",$I1832="",$I1832=0),"",$L1832/$I1832)</f>
        <v/>
      </c>
      <c r="O1832" s="51"/>
    </row>
    <row r="1833" customFormat="false" ht="15" hidden="false" customHeight="false" outlineLevel="0" collapsed="false">
      <c r="A1833" s="45"/>
      <c r="B1833" s="37" t="str">
        <f aca="false">IF($A1833="","",WEEKNUM($A1833,2))</f>
        <v/>
      </c>
      <c r="C1833" s="37" t="str">
        <f aca="false">IF($A1833="","",CHOOSE(WEEKDAY($A1833,2),"Seg","Ter","Qua","Qui","Sex","Sáb","Dom"))</f>
        <v/>
      </c>
      <c r="D1833" s="46"/>
      <c r="E1833" s="47"/>
      <c r="F1833" s="47"/>
      <c r="G1833" s="48"/>
      <c r="H1833" s="49"/>
      <c r="I1833" s="50"/>
      <c r="J1833" s="48"/>
      <c r="K1833" s="49"/>
      <c r="L1833" s="50"/>
      <c r="M1833" s="43" t="str">
        <f aca="false">IF(OR($L1833="",$F1833=""),"",IFERROR($L1833/INDEX(Cadastro!$E$6:$E$8,MATCH($F1833,Cadastro!$B$6:$B$8,0)),""))</f>
        <v/>
      </c>
      <c r="N1833" s="43" t="str">
        <f aca="false">IF(OR($L1833="",$I1833="",$I1833=0),"",$L1833/$I1833)</f>
        <v/>
      </c>
      <c r="O1833" s="51"/>
    </row>
    <row r="1834" customFormat="false" ht="15" hidden="false" customHeight="false" outlineLevel="0" collapsed="false">
      <c r="A1834" s="45"/>
      <c r="B1834" s="37" t="str">
        <f aca="false">IF($A1834="","",WEEKNUM($A1834,2))</f>
        <v/>
      </c>
      <c r="C1834" s="37" t="str">
        <f aca="false">IF($A1834="","",CHOOSE(WEEKDAY($A1834,2),"Seg","Ter","Qua","Qui","Sex","Sáb","Dom"))</f>
        <v/>
      </c>
      <c r="D1834" s="46"/>
      <c r="E1834" s="47"/>
      <c r="F1834" s="47"/>
      <c r="G1834" s="48"/>
      <c r="H1834" s="49"/>
      <c r="I1834" s="50"/>
      <c r="J1834" s="48"/>
      <c r="K1834" s="49"/>
      <c r="L1834" s="50"/>
      <c r="M1834" s="43" t="str">
        <f aca="false">IF(OR($L1834="",$F1834=""),"",IFERROR($L1834/INDEX(Cadastro!$E$6:$E$8,MATCH($F1834,Cadastro!$B$6:$B$8,0)),""))</f>
        <v/>
      </c>
      <c r="N1834" s="43" t="str">
        <f aca="false">IF(OR($L1834="",$I1834="",$I1834=0),"",$L1834/$I1834)</f>
        <v/>
      </c>
      <c r="O1834" s="51"/>
    </row>
    <row r="1835" customFormat="false" ht="15" hidden="false" customHeight="false" outlineLevel="0" collapsed="false">
      <c r="A1835" s="45"/>
      <c r="B1835" s="37" t="str">
        <f aca="false">IF($A1835="","",WEEKNUM($A1835,2))</f>
        <v/>
      </c>
      <c r="C1835" s="37" t="str">
        <f aca="false">IF($A1835="","",CHOOSE(WEEKDAY($A1835,2),"Seg","Ter","Qua","Qui","Sex","Sáb","Dom"))</f>
        <v/>
      </c>
      <c r="D1835" s="46"/>
      <c r="E1835" s="47"/>
      <c r="F1835" s="47"/>
      <c r="G1835" s="48"/>
      <c r="H1835" s="49"/>
      <c r="I1835" s="50"/>
      <c r="J1835" s="48"/>
      <c r="K1835" s="49"/>
      <c r="L1835" s="50"/>
      <c r="M1835" s="43" t="str">
        <f aca="false">IF(OR($L1835="",$F1835=""),"",IFERROR($L1835/INDEX(Cadastro!$E$6:$E$8,MATCH($F1835,Cadastro!$B$6:$B$8,0)),""))</f>
        <v/>
      </c>
      <c r="N1835" s="43" t="str">
        <f aca="false">IF(OR($L1835="",$I1835="",$I1835=0),"",$L1835/$I1835)</f>
        <v/>
      </c>
      <c r="O1835" s="51"/>
    </row>
    <row r="1836" customFormat="false" ht="15" hidden="false" customHeight="false" outlineLevel="0" collapsed="false">
      <c r="A1836" s="45"/>
      <c r="B1836" s="37" t="str">
        <f aca="false">IF($A1836="","",WEEKNUM($A1836,2))</f>
        <v/>
      </c>
      <c r="C1836" s="37" t="str">
        <f aca="false">IF($A1836="","",CHOOSE(WEEKDAY($A1836,2),"Seg","Ter","Qua","Qui","Sex","Sáb","Dom"))</f>
        <v/>
      </c>
      <c r="D1836" s="46"/>
      <c r="E1836" s="47"/>
      <c r="F1836" s="47"/>
      <c r="G1836" s="48"/>
      <c r="H1836" s="49"/>
      <c r="I1836" s="50"/>
      <c r="J1836" s="48"/>
      <c r="K1836" s="49"/>
      <c r="L1836" s="50"/>
      <c r="M1836" s="43" t="str">
        <f aca="false">IF(OR($L1836="",$F1836=""),"",IFERROR($L1836/INDEX(Cadastro!$E$6:$E$8,MATCH($F1836,Cadastro!$B$6:$B$8,0)),""))</f>
        <v/>
      </c>
      <c r="N1836" s="43" t="str">
        <f aca="false">IF(OR($L1836="",$I1836="",$I1836=0),"",$L1836/$I1836)</f>
        <v/>
      </c>
      <c r="O1836" s="51"/>
    </row>
    <row r="1837" customFormat="false" ht="15" hidden="false" customHeight="false" outlineLevel="0" collapsed="false">
      <c r="A1837" s="45"/>
      <c r="B1837" s="37" t="str">
        <f aca="false">IF($A1837="","",WEEKNUM($A1837,2))</f>
        <v/>
      </c>
      <c r="C1837" s="37" t="str">
        <f aca="false">IF($A1837="","",CHOOSE(WEEKDAY($A1837,2),"Seg","Ter","Qua","Qui","Sex","Sáb","Dom"))</f>
        <v/>
      </c>
      <c r="D1837" s="46"/>
      <c r="E1837" s="47"/>
      <c r="F1837" s="47"/>
      <c r="G1837" s="48"/>
      <c r="H1837" s="49"/>
      <c r="I1837" s="50"/>
      <c r="J1837" s="48"/>
      <c r="K1837" s="49"/>
      <c r="L1837" s="50"/>
      <c r="M1837" s="43" t="str">
        <f aca="false">IF(OR($L1837="",$F1837=""),"",IFERROR($L1837/INDEX(Cadastro!$E$6:$E$8,MATCH($F1837,Cadastro!$B$6:$B$8,0)),""))</f>
        <v/>
      </c>
      <c r="N1837" s="43" t="str">
        <f aca="false">IF(OR($L1837="",$I1837="",$I1837=0),"",$L1837/$I1837)</f>
        <v/>
      </c>
      <c r="O1837" s="51"/>
    </row>
    <row r="1838" customFormat="false" ht="15" hidden="false" customHeight="false" outlineLevel="0" collapsed="false">
      <c r="A1838" s="45"/>
      <c r="B1838" s="37" t="str">
        <f aca="false">IF($A1838="","",WEEKNUM($A1838,2))</f>
        <v/>
      </c>
      <c r="C1838" s="37" t="str">
        <f aca="false">IF($A1838="","",CHOOSE(WEEKDAY($A1838,2),"Seg","Ter","Qua","Qui","Sex","Sáb","Dom"))</f>
        <v/>
      </c>
      <c r="D1838" s="46"/>
      <c r="E1838" s="47"/>
      <c r="F1838" s="47"/>
      <c r="G1838" s="48"/>
      <c r="H1838" s="49"/>
      <c r="I1838" s="50"/>
      <c r="J1838" s="48"/>
      <c r="K1838" s="49"/>
      <c r="L1838" s="50"/>
      <c r="M1838" s="43" t="str">
        <f aca="false">IF(OR($L1838="",$F1838=""),"",IFERROR($L1838/INDEX(Cadastro!$E$6:$E$8,MATCH($F1838,Cadastro!$B$6:$B$8,0)),""))</f>
        <v/>
      </c>
      <c r="N1838" s="43" t="str">
        <f aca="false">IF(OR($L1838="",$I1838="",$I1838=0),"",$L1838/$I1838)</f>
        <v/>
      </c>
      <c r="O1838" s="51"/>
    </row>
    <row r="1839" customFormat="false" ht="15" hidden="false" customHeight="false" outlineLevel="0" collapsed="false">
      <c r="A1839" s="45"/>
      <c r="B1839" s="37" t="str">
        <f aca="false">IF($A1839="","",WEEKNUM($A1839,2))</f>
        <v/>
      </c>
      <c r="C1839" s="37" t="str">
        <f aca="false">IF($A1839="","",CHOOSE(WEEKDAY($A1839,2),"Seg","Ter","Qua","Qui","Sex","Sáb","Dom"))</f>
        <v/>
      </c>
      <c r="D1839" s="46"/>
      <c r="E1839" s="47"/>
      <c r="F1839" s="47"/>
      <c r="G1839" s="48"/>
      <c r="H1839" s="49"/>
      <c r="I1839" s="50"/>
      <c r="J1839" s="48"/>
      <c r="K1839" s="49"/>
      <c r="L1839" s="50"/>
      <c r="M1839" s="43" t="str">
        <f aca="false">IF(OR($L1839="",$F1839=""),"",IFERROR($L1839/INDEX(Cadastro!$E$6:$E$8,MATCH($F1839,Cadastro!$B$6:$B$8,0)),""))</f>
        <v/>
      </c>
      <c r="N1839" s="43" t="str">
        <f aca="false">IF(OR($L1839="",$I1839="",$I1839=0),"",$L1839/$I1839)</f>
        <v/>
      </c>
      <c r="O1839" s="51"/>
    </row>
    <row r="1840" customFormat="false" ht="15" hidden="false" customHeight="false" outlineLevel="0" collapsed="false">
      <c r="A1840" s="45"/>
      <c r="B1840" s="37" t="str">
        <f aca="false">IF($A1840="","",WEEKNUM($A1840,2))</f>
        <v/>
      </c>
      <c r="C1840" s="37" t="str">
        <f aca="false">IF($A1840="","",CHOOSE(WEEKDAY($A1840,2),"Seg","Ter","Qua","Qui","Sex","Sáb","Dom"))</f>
        <v/>
      </c>
      <c r="D1840" s="46"/>
      <c r="E1840" s="47"/>
      <c r="F1840" s="47"/>
      <c r="G1840" s="48"/>
      <c r="H1840" s="49"/>
      <c r="I1840" s="50"/>
      <c r="J1840" s="48"/>
      <c r="K1840" s="49"/>
      <c r="L1840" s="50"/>
      <c r="M1840" s="43" t="str">
        <f aca="false">IF(OR($L1840="",$F1840=""),"",IFERROR($L1840/INDEX(Cadastro!$E$6:$E$8,MATCH($F1840,Cadastro!$B$6:$B$8,0)),""))</f>
        <v/>
      </c>
      <c r="N1840" s="43" t="str">
        <f aca="false">IF(OR($L1840="",$I1840="",$I1840=0),"",$L1840/$I1840)</f>
        <v/>
      </c>
      <c r="O1840" s="51"/>
    </row>
    <row r="1841" customFormat="false" ht="15" hidden="false" customHeight="false" outlineLevel="0" collapsed="false">
      <c r="A1841" s="45"/>
      <c r="B1841" s="37" t="str">
        <f aca="false">IF($A1841="","",WEEKNUM($A1841,2))</f>
        <v/>
      </c>
      <c r="C1841" s="37" t="str">
        <f aca="false">IF($A1841="","",CHOOSE(WEEKDAY($A1841,2),"Seg","Ter","Qua","Qui","Sex","Sáb","Dom"))</f>
        <v/>
      </c>
      <c r="D1841" s="46"/>
      <c r="E1841" s="47"/>
      <c r="F1841" s="47"/>
      <c r="G1841" s="48"/>
      <c r="H1841" s="49"/>
      <c r="I1841" s="50"/>
      <c r="J1841" s="48"/>
      <c r="K1841" s="49"/>
      <c r="L1841" s="50"/>
      <c r="M1841" s="43" t="str">
        <f aca="false">IF(OR($L1841="",$F1841=""),"",IFERROR($L1841/INDEX(Cadastro!$E$6:$E$8,MATCH($F1841,Cadastro!$B$6:$B$8,0)),""))</f>
        <v/>
      </c>
      <c r="N1841" s="43" t="str">
        <f aca="false">IF(OR($L1841="",$I1841="",$I1841=0),"",$L1841/$I1841)</f>
        <v/>
      </c>
      <c r="O1841" s="51"/>
    </row>
    <row r="1842" customFormat="false" ht="15" hidden="false" customHeight="false" outlineLevel="0" collapsed="false">
      <c r="A1842" s="45"/>
      <c r="B1842" s="37" t="str">
        <f aca="false">IF($A1842="","",WEEKNUM($A1842,2))</f>
        <v/>
      </c>
      <c r="C1842" s="37" t="str">
        <f aca="false">IF($A1842="","",CHOOSE(WEEKDAY($A1842,2),"Seg","Ter","Qua","Qui","Sex","Sáb","Dom"))</f>
        <v/>
      </c>
      <c r="D1842" s="46"/>
      <c r="E1842" s="47"/>
      <c r="F1842" s="47"/>
      <c r="G1842" s="48"/>
      <c r="H1842" s="49"/>
      <c r="I1842" s="50"/>
      <c r="J1842" s="48"/>
      <c r="K1842" s="49"/>
      <c r="L1842" s="50"/>
      <c r="M1842" s="43" t="str">
        <f aca="false">IF(OR($L1842="",$F1842=""),"",IFERROR($L1842/INDEX(Cadastro!$E$6:$E$8,MATCH($F1842,Cadastro!$B$6:$B$8,0)),""))</f>
        <v/>
      </c>
      <c r="N1842" s="43" t="str">
        <f aca="false">IF(OR($L1842="",$I1842="",$I1842=0),"",$L1842/$I1842)</f>
        <v/>
      </c>
      <c r="O1842" s="51"/>
    </row>
    <row r="1843" customFormat="false" ht="15" hidden="false" customHeight="false" outlineLevel="0" collapsed="false">
      <c r="A1843" s="45"/>
      <c r="B1843" s="37" t="str">
        <f aca="false">IF($A1843="","",WEEKNUM($A1843,2))</f>
        <v/>
      </c>
      <c r="C1843" s="37" t="str">
        <f aca="false">IF($A1843="","",CHOOSE(WEEKDAY($A1843,2),"Seg","Ter","Qua","Qui","Sex","Sáb","Dom"))</f>
        <v/>
      </c>
      <c r="D1843" s="46"/>
      <c r="E1843" s="47"/>
      <c r="F1843" s="47"/>
      <c r="G1843" s="48"/>
      <c r="H1843" s="49"/>
      <c r="I1843" s="50"/>
      <c r="J1843" s="48"/>
      <c r="K1843" s="49"/>
      <c r="L1843" s="50"/>
      <c r="M1843" s="43" t="str">
        <f aca="false">IF(OR($L1843="",$F1843=""),"",IFERROR($L1843/INDEX(Cadastro!$E$6:$E$8,MATCH($F1843,Cadastro!$B$6:$B$8,0)),""))</f>
        <v/>
      </c>
      <c r="N1843" s="43" t="str">
        <f aca="false">IF(OR($L1843="",$I1843="",$I1843=0),"",$L1843/$I1843)</f>
        <v/>
      </c>
      <c r="O1843" s="51"/>
    </row>
    <row r="1844" customFormat="false" ht="15" hidden="false" customHeight="false" outlineLevel="0" collapsed="false">
      <c r="A1844" s="45"/>
      <c r="B1844" s="37" t="str">
        <f aca="false">IF($A1844="","",WEEKNUM($A1844,2))</f>
        <v/>
      </c>
      <c r="C1844" s="37" t="str">
        <f aca="false">IF($A1844="","",CHOOSE(WEEKDAY($A1844,2),"Seg","Ter","Qua","Qui","Sex","Sáb","Dom"))</f>
        <v/>
      </c>
      <c r="D1844" s="46"/>
      <c r="E1844" s="47"/>
      <c r="F1844" s="47"/>
      <c r="G1844" s="48"/>
      <c r="H1844" s="49"/>
      <c r="I1844" s="50"/>
      <c r="J1844" s="48"/>
      <c r="K1844" s="49"/>
      <c r="L1844" s="50"/>
      <c r="M1844" s="43" t="str">
        <f aca="false">IF(OR($L1844="",$F1844=""),"",IFERROR($L1844/INDEX(Cadastro!$E$6:$E$8,MATCH($F1844,Cadastro!$B$6:$B$8,0)),""))</f>
        <v/>
      </c>
      <c r="N1844" s="43" t="str">
        <f aca="false">IF(OR($L1844="",$I1844="",$I1844=0),"",$L1844/$I1844)</f>
        <v/>
      </c>
      <c r="O1844" s="51"/>
    </row>
    <row r="1845" customFormat="false" ht="15" hidden="false" customHeight="false" outlineLevel="0" collapsed="false">
      <c r="A1845" s="45"/>
      <c r="B1845" s="37" t="str">
        <f aca="false">IF($A1845="","",WEEKNUM($A1845,2))</f>
        <v/>
      </c>
      <c r="C1845" s="37" t="str">
        <f aca="false">IF($A1845="","",CHOOSE(WEEKDAY($A1845,2),"Seg","Ter","Qua","Qui","Sex","Sáb","Dom"))</f>
        <v/>
      </c>
      <c r="D1845" s="46"/>
      <c r="E1845" s="47"/>
      <c r="F1845" s="47"/>
      <c r="G1845" s="48"/>
      <c r="H1845" s="49"/>
      <c r="I1845" s="50"/>
      <c r="J1845" s="48"/>
      <c r="K1845" s="49"/>
      <c r="L1845" s="50"/>
      <c r="M1845" s="43" t="str">
        <f aca="false">IF(OR($L1845="",$F1845=""),"",IFERROR($L1845/INDEX(Cadastro!$E$6:$E$8,MATCH($F1845,Cadastro!$B$6:$B$8,0)),""))</f>
        <v/>
      </c>
      <c r="N1845" s="43" t="str">
        <f aca="false">IF(OR($L1845="",$I1845="",$I1845=0),"",$L1845/$I1845)</f>
        <v/>
      </c>
      <c r="O1845" s="51"/>
    </row>
    <row r="1846" customFormat="false" ht="15" hidden="false" customHeight="false" outlineLevel="0" collapsed="false">
      <c r="A1846" s="45"/>
      <c r="B1846" s="37" t="str">
        <f aca="false">IF($A1846="","",WEEKNUM($A1846,2))</f>
        <v/>
      </c>
      <c r="C1846" s="37" t="str">
        <f aca="false">IF($A1846="","",CHOOSE(WEEKDAY($A1846,2),"Seg","Ter","Qua","Qui","Sex","Sáb","Dom"))</f>
        <v/>
      </c>
      <c r="D1846" s="46"/>
      <c r="E1846" s="47"/>
      <c r="F1846" s="47"/>
      <c r="G1846" s="48"/>
      <c r="H1846" s="49"/>
      <c r="I1846" s="50"/>
      <c r="J1846" s="48"/>
      <c r="K1846" s="49"/>
      <c r="L1846" s="50"/>
      <c r="M1846" s="43" t="str">
        <f aca="false">IF(OR($L1846="",$F1846=""),"",IFERROR($L1846/INDEX(Cadastro!$E$6:$E$8,MATCH($F1846,Cadastro!$B$6:$B$8,0)),""))</f>
        <v/>
      </c>
      <c r="N1846" s="43" t="str">
        <f aca="false">IF(OR($L1846="",$I1846="",$I1846=0),"",$L1846/$I1846)</f>
        <v/>
      </c>
      <c r="O1846" s="51"/>
    </row>
    <row r="1847" customFormat="false" ht="15" hidden="false" customHeight="false" outlineLevel="0" collapsed="false">
      <c r="A1847" s="45"/>
      <c r="B1847" s="37" t="str">
        <f aca="false">IF($A1847="","",WEEKNUM($A1847,2))</f>
        <v/>
      </c>
      <c r="C1847" s="37" t="str">
        <f aca="false">IF($A1847="","",CHOOSE(WEEKDAY($A1847,2),"Seg","Ter","Qua","Qui","Sex","Sáb","Dom"))</f>
        <v/>
      </c>
      <c r="D1847" s="46"/>
      <c r="E1847" s="47"/>
      <c r="F1847" s="47"/>
      <c r="G1847" s="48"/>
      <c r="H1847" s="49"/>
      <c r="I1847" s="50"/>
      <c r="J1847" s="48"/>
      <c r="K1847" s="49"/>
      <c r="L1847" s="50"/>
      <c r="M1847" s="43" t="str">
        <f aca="false">IF(OR($L1847="",$F1847=""),"",IFERROR($L1847/INDEX(Cadastro!$E$6:$E$8,MATCH($F1847,Cadastro!$B$6:$B$8,0)),""))</f>
        <v/>
      </c>
      <c r="N1847" s="43" t="str">
        <f aca="false">IF(OR($L1847="",$I1847="",$I1847=0),"",$L1847/$I1847)</f>
        <v/>
      </c>
      <c r="O1847" s="51"/>
    </row>
    <row r="1848" customFormat="false" ht="15" hidden="false" customHeight="false" outlineLevel="0" collapsed="false">
      <c r="A1848" s="45"/>
      <c r="B1848" s="37" t="str">
        <f aca="false">IF($A1848="","",WEEKNUM($A1848,2))</f>
        <v/>
      </c>
      <c r="C1848" s="37" t="str">
        <f aca="false">IF($A1848="","",CHOOSE(WEEKDAY($A1848,2),"Seg","Ter","Qua","Qui","Sex","Sáb","Dom"))</f>
        <v/>
      </c>
      <c r="D1848" s="46"/>
      <c r="E1848" s="47"/>
      <c r="F1848" s="47"/>
      <c r="G1848" s="48"/>
      <c r="H1848" s="49"/>
      <c r="I1848" s="50"/>
      <c r="J1848" s="48"/>
      <c r="K1848" s="49"/>
      <c r="L1848" s="50"/>
      <c r="M1848" s="43" t="str">
        <f aca="false">IF(OR($L1848="",$F1848=""),"",IFERROR($L1848/INDEX(Cadastro!$E$6:$E$8,MATCH($F1848,Cadastro!$B$6:$B$8,0)),""))</f>
        <v/>
      </c>
      <c r="N1848" s="43" t="str">
        <f aca="false">IF(OR($L1848="",$I1848="",$I1848=0),"",$L1848/$I1848)</f>
        <v/>
      </c>
      <c r="O1848" s="51"/>
    </row>
    <row r="1849" customFormat="false" ht="15" hidden="false" customHeight="false" outlineLevel="0" collapsed="false">
      <c r="A1849" s="45"/>
      <c r="B1849" s="37" t="str">
        <f aca="false">IF($A1849="","",WEEKNUM($A1849,2))</f>
        <v/>
      </c>
      <c r="C1849" s="37" t="str">
        <f aca="false">IF($A1849="","",CHOOSE(WEEKDAY($A1849,2),"Seg","Ter","Qua","Qui","Sex","Sáb","Dom"))</f>
        <v/>
      </c>
      <c r="D1849" s="46"/>
      <c r="E1849" s="47"/>
      <c r="F1849" s="47"/>
      <c r="G1849" s="48"/>
      <c r="H1849" s="49"/>
      <c r="I1849" s="50"/>
      <c r="J1849" s="48"/>
      <c r="K1849" s="49"/>
      <c r="L1849" s="50"/>
      <c r="M1849" s="43" t="str">
        <f aca="false">IF(OR($L1849="",$F1849=""),"",IFERROR($L1849/INDEX(Cadastro!$E$6:$E$8,MATCH($F1849,Cadastro!$B$6:$B$8,0)),""))</f>
        <v/>
      </c>
      <c r="N1849" s="43" t="str">
        <f aca="false">IF(OR($L1849="",$I1849="",$I1849=0),"",$L1849/$I1849)</f>
        <v/>
      </c>
      <c r="O1849" s="51"/>
    </row>
    <row r="1850" customFormat="false" ht="15" hidden="false" customHeight="false" outlineLevel="0" collapsed="false">
      <c r="A1850" s="45"/>
      <c r="B1850" s="37" t="str">
        <f aca="false">IF($A1850="","",WEEKNUM($A1850,2))</f>
        <v/>
      </c>
      <c r="C1850" s="37" t="str">
        <f aca="false">IF($A1850="","",CHOOSE(WEEKDAY($A1850,2),"Seg","Ter","Qua","Qui","Sex","Sáb","Dom"))</f>
        <v/>
      </c>
      <c r="D1850" s="46"/>
      <c r="E1850" s="47"/>
      <c r="F1850" s="47"/>
      <c r="G1850" s="48"/>
      <c r="H1850" s="49"/>
      <c r="I1850" s="50"/>
      <c r="J1850" s="48"/>
      <c r="K1850" s="49"/>
      <c r="L1850" s="50"/>
      <c r="M1850" s="43" t="str">
        <f aca="false">IF(OR($L1850="",$F1850=""),"",IFERROR($L1850/INDEX(Cadastro!$E$6:$E$8,MATCH($F1850,Cadastro!$B$6:$B$8,0)),""))</f>
        <v/>
      </c>
      <c r="N1850" s="43" t="str">
        <f aca="false">IF(OR($L1850="",$I1850="",$I1850=0),"",$L1850/$I1850)</f>
        <v/>
      </c>
      <c r="O1850" s="51"/>
    </row>
    <row r="1851" customFormat="false" ht="15" hidden="false" customHeight="false" outlineLevel="0" collapsed="false">
      <c r="A1851" s="45"/>
      <c r="B1851" s="37" t="str">
        <f aca="false">IF($A1851="","",WEEKNUM($A1851,2))</f>
        <v/>
      </c>
      <c r="C1851" s="37" t="str">
        <f aca="false">IF($A1851="","",CHOOSE(WEEKDAY($A1851,2),"Seg","Ter","Qua","Qui","Sex","Sáb","Dom"))</f>
        <v/>
      </c>
      <c r="D1851" s="46"/>
      <c r="E1851" s="47"/>
      <c r="F1851" s="47"/>
      <c r="G1851" s="48"/>
      <c r="H1851" s="49"/>
      <c r="I1851" s="50"/>
      <c r="J1851" s="48"/>
      <c r="K1851" s="49"/>
      <c r="L1851" s="50"/>
      <c r="M1851" s="43" t="str">
        <f aca="false">IF(OR($L1851="",$F1851=""),"",IFERROR($L1851/INDEX(Cadastro!$E$6:$E$8,MATCH($F1851,Cadastro!$B$6:$B$8,0)),""))</f>
        <v/>
      </c>
      <c r="N1851" s="43" t="str">
        <f aca="false">IF(OR($L1851="",$I1851="",$I1851=0),"",$L1851/$I1851)</f>
        <v/>
      </c>
      <c r="O1851" s="51"/>
    </row>
    <row r="1852" customFormat="false" ht="15" hidden="false" customHeight="false" outlineLevel="0" collapsed="false">
      <c r="A1852" s="45"/>
      <c r="B1852" s="37" t="str">
        <f aca="false">IF($A1852="","",WEEKNUM($A1852,2))</f>
        <v/>
      </c>
      <c r="C1852" s="37" t="str">
        <f aca="false">IF($A1852="","",CHOOSE(WEEKDAY($A1852,2),"Seg","Ter","Qua","Qui","Sex","Sáb","Dom"))</f>
        <v/>
      </c>
      <c r="D1852" s="46"/>
      <c r="E1852" s="47"/>
      <c r="F1852" s="47"/>
      <c r="G1852" s="48"/>
      <c r="H1852" s="49"/>
      <c r="I1852" s="50"/>
      <c r="J1852" s="48"/>
      <c r="K1852" s="49"/>
      <c r="L1852" s="50"/>
      <c r="M1852" s="43" t="str">
        <f aca="false">IF(OR($L1852="",$F1852=""),"",IFERROR($L1852/INDEX(Cadastro!$E$6:$E$8,MATCH($F1852,Cadastro!$B$6:$B$8,0)),""))</f>
        <v/>
      </c>
      <c r="N1852" s="43" t="str">
        <f aca="false">IF(OR($L1852="",$I1852="",$I1852=0),"",$L1852/$I1852)</f>
        <v/>
      </c>
      <c r="O1852" s="51"/>
    </row>
    <row r="1853" customFormat="false" ht="15" hidden="false" customHeight="false" outlineLevel="0" collapsed="false">
      <c r="A1853" s="45"/>
      <c r="B1853" s="37" t="str">
        <f aca="false">IF($A1853="","",WEEKNUM($A1853,2))</f>
        <v/>
      </c>
      <c r="C1853" s="37" t="str">
        <f aca="false">IF($A1853="","",CHOOSE(WEEKDAY($A1853,2),"Seg","Ter","Qua","Qui","Sex","Sáb","Dom"))</f>
        <v/>
      </c>
      <c r="D1853" s="46"/>
      <c r="E1853" s="47"/>
      <c r="F1853" s="47"/>
      <c r="G1853" s="48"/>
      <c r="H1853" s="49"/>
      <c r="I1853" s="50"/>
      <c r="J1853" s="48"/>
      <c r="K1853" s="49"/>
      <c r="L1853" s="50"/>
      <c r="M1853" s="43" t="str">
        <f aca="false">IF(OR($L1853="",$F1853=""),"",IFERROR($L1853/INDEX(Cadastro!$E$6:$E$8,MATCH($F1853,Cadastro!$B$6:$B$8,0)),""))</f>
        <v/>
      </c>
      <c r="N1853" s="43" t="str">
        <f aca="false">IF(OR($L1853="",$I1853="",$I1853=0),"",$L1853/$I1853)</f>
        <v/>
      </c>
      <c r="O1853" s="51"/>
    </row>
    <row r="1854" customFormat="false" ht="15" hidden="false" customHeight="false" outlineLevel="0" collapsed="false">
      <c r="A1854" s="45"/>
      <c r="B1854" s="37" t="str">
        <f aca="false">IF($A1854="","",WEEKNUM($A1854,2))</f>
        <v/>
      </c>
      <c r="C1854" s="37" t="str">
        <f aca="false">IF($A1854="","",CHOOSE(WEEKDAY($A1854,2),"Seg","Ter","Qua","Qui","Sex","Sáb","Dom"))</f>
        <v/>
      </c>
      <c r="D1854" s="46"/>
      <c r="E1854" s="47"/>
      <c r="F1854" s="47"/>
      <c r="G1854" s="48"/>
      <c r="H1854" s="49"/>
      <c r="I1854" s="50"/>
      <c r="J1854" s="48"/>
      <c r="K1854" s="49"/>
      <c r="L1854" s="50"/>
      <c r="M1854" s="43" t="str">
        <f aca="false">IF(OR($L1854="",$F1854=""),"",IFERROR($L1854/INDEX(Cadastro!$E$6:$E$8,MATCH($F1854,Cadastro!$B$6:$B$8,0)),""))</f>
        <v/>
      </c>
      <c r="N1854" s="43" t="str">
        <f aca="false">IF(OR($L1854="",$I1854="",$I1854=0),"",$L1854/$I1854)</f>
        <v/>
      </c>
      <c r="O1854" s="51"/>
    </row>
    <row r="1855" customFormat="false" ht="15" hidden="false" customHeight="false" outlineLevel="0" collapsed="false">
      <c r="A1855" s="45"/>
      <c r="B1855" s="37" t="str">
        <f aca="false">IF($A1855="","",WEEKNUM($A1855,2))</f>
        <v/>
      </c>
      <c r="C1855" s="37" t="str">
        <f aca="false">IF($A1855="","",CHOOSE(WEEKDAY($A1855,2),"Seg","Ter","Qua","Qui","Sex","Sáb","Dom"))</f>
        <v/>
      </c>
      <c r="D1855" s="46"/>
      <c r="E1855" s="47"/>
      <c r="F1855" s="47"/>
      <c r="G1855" s="48"/>
      <c r="H1855" s="49"/>
      <c r="I1855" s="50"/>
      <c r="J1855" s="48"/>
      <c r="K1855" s="49"/>
      <c r="L1855" s="50"/>
      <c r="M1855" s="43" t="str">
        <f aca="false">IF(OR($L1855="",$F1855=""),"",IFERROR($L1855/INDEX(Cadastro!$E$6:$E$8,MATCH($F1855,Cadastro!$B$6:$B$8,0)),""))</f>
        <v/>
      </c>
      <c r="N1855" s="43" t="str">
        <f aca="false">IF(OR($L1855="",$I1855="",$I1855=0),"",$L1855/$I1855)</f>
        <v/>
      </c>
      <c r="O1855" s="51"/>
    </row>
    <row r="1856" customFormat="false" ht="15" hidden="false" customHeight="false" outlineLevel="0" collapsed="false">
      <c r="A1856" s="45"/>
      <c r="B1856" s="37" t="str">
        <f aca="false">IF($A1856="","",WEEKNUM($A1856,2))</f>
        <v/>
      </c>
      <c r="C1856" s="37" t="str">
        <f aca="false">IF($A1856="","",CHOOSE(WEEKDAY($A1856,2),"Seg","Ter","Qua","Qui","Sex","Sáb","Dom"))</f>
        <v/>
      </c>
      <c r="D1856" s="46"/>
      <c r="E1856" s="47"/>
      <c r="F1856" s="47"/>
      <c r="G1856" s="48"/>
      <c r="H1856" s="49"/>
      <c r="I1856" s="50"/>
      <c r="J1856" s="48"/>
      <c r="K1856" s="49"/>
      <c r="L1856" s="50"/>
      <c r="M1856" s="43" t="str">
        <f aca="false">IF(OR($L1856="",$F1856=""),"",IFERROR($L1856/INDEX(Cadastro!$E$6:$E$8,MATCH($F1856,Cadastro!$B$6:$B$8,0)),""))</f>
        <v/>
      </c>
      <c r="N1856" s="43" t="str">
        <f aca="false">IF(OR($L1856="",$I1856="",$I1856=0),"",$L1856/$I1856)</f>
        <v/>
      </c>
      <c r="O1856" s="51"/>
    </row>
    <row r="1857" customFormat="false" ht="15" hidden="false" customHeight="false" outlineLevel="0" collapsed="false">
      <c r="A1857" s="45"/>
      <c r="B1857" s="37" t="str">
        <f aca="false">IF($A1857="","",WEEKNUM($A1857,2))</f>
        <v/>
      </c>
      <c r="C1857" s="37" t="str">
        <f aca="false">IF($A1857="","",CHOOSE(WEEKDAY($A1857,2),"Seg","Ter","Qua","Qui","Sex","Sáb","Dom"))</f>
        <v/>
      </c>
      <c r="D1857" s="46"/>
      <c r="E1857" s="47"/>
      <c r="F1857" s="47"/>
      <c r="G1857" s="48"/>
      <c r="H1857" s="49"/>
      <c r="I1857" s="50"/>
      <c r="J1857" s="48"/>
      <c r="K1857" s="49"/>
      <c r="L1857" s="50"/>
      <c r="M1857" s="43" t="str">
        <f aca="false">IF(OR($L1857="",$F1857=""),"",IFERROR($L1857/INDEX(Cadastro!$E$6:$E$8,MATCH($F1857,Cadastro!$B$6:$B$8,0)),""))</f>
        <v/>
      </c>
      <c r="N1857" s="43" t="str">
        <f aca="false">IF(OR($L1857="",$I1857="",$I1857=0),"",$L1857/$I1857)</f>
        <v/>
      </c>
      <c r="O1857" s="51"/>
    </row>
    <row r="1858" customFormat="false" ht="15" hidden="false" customHeight="false" outlineLevel="0" collapsed="false">
      <c r="A1858" s="45"/>
      <c r="B1858" s="37" t="str">
        <f aca="false">IF($A1858="","",WEEKNUM($A1858,2))</f>
        <v/>
      </c>
      <c r="C1858" s="37" t="str">
        <f aca="false">IF($A1858="","",CHOOSE(WEEKDAY($A1858,2),"Seg","Ter","Qua","Qui","Sex","Sáb","Dom"))</f>
        <v/>
      </c>
      <c r="D1858" s="46"/>
      <c r="E1858" s="47"/>
      <c r="F1858" s="47"/>
      <c r="G1858" s="48"/>
      <c r="H1858" s="49"/>
      <c r="I1858" s="50"/>
      <c r="J1858" s="48"/>
      <c r="K1858" s="49"/>
      <c r="L1858" s="50"/>
      <c r="M1858" s="43" t="str">
        <f aca="false">IF(OR($L1858="",$F1858=""),"",IFERROR($L1858/INDEX(Cadastro!$E$6:$E$8,MATCH($F1858,Cadastro!$B$6:$B$8,0)),""))</f>
        <v/>
      </c>
      <c r="N1858" s="43" t="str">
        <f aca="false">IF(OR($L1858="",$I1858="",$I1858=0),"",$L1858/$I1858)</f>
        <v/>
      </c>
      <c r="O1858" s="51"/>
    </row>
    <row r="1859" customFormat="false" ht="15" hidden="false" customHeight="false" outlineLevel="0" collapsed="false">
      <c r="A1859" s="45"/>
      <c r="B1859" s="37" t="str">
        <f aca="false">IF($A1859="","",WEEKNUM($A1859,2))</f>
        <v/>
      </c>
      <c r="C1859" s="37" t="str">
        <f aca="false">IF($A1859="","",CHOOSE(WEEKDAY($A1859,2),"Seg","Ter","Qua","Qui","Sex","Sáb","Dom"))</f>
        <v/>
      </c>
      <c r="D1859" s="46"/>
      <c r="E1859" s="47"/>
      <c r="F1859" s="47"/>
      <c r="G1859" s="48"/>
      <c r="H1859" s="49"/>
      <c r="I1859" s="50"/>
      <c r="J1859" s="48"/>
      <c r="K1859" s="49"/>
      <c r="L1859" s="50"/>
      <c r="M1859" s="43" t="str">
        <f aca="false">IF(OR($L1859="",$F1859=""),"",IFERROR($L1859/INDEX(Cadastro!$E$6:$E$8,MATCH($F1859,Cadastro!$B$6:$B$8,0)),""))</f>
        <v/>
      </c>
      <c r="N1859" s="43" t="str">
        <f aca="false">IF(OR($L1859="",$I1859="",$I1859=0),"",$L1859/$I1859)</f>
        <v/>
      </c>
      <c r="O1859" s="51"/>
    </row>
    <row r="1860" customFormat="false" ht="15" hidden="false" customHeight="false" outlineLevel="0" collapsed="false">
      <c r="A1860" s="45"/>
      <c r="B1860" s="37" t="str">
        <f aca="false">IF($A1860="","",WEEKNUM($A1860,2))</f>
        <v/>
      </c>
      <c r="C1860" s="37" t="str">
        <f aca="false">IF($A1860="","",CHOOSE(WEEKDAY($A1860,2),"Seg","Ter","Qua","Qui","Sex","Sáb","Dom"))</f>
        <v/>
      </c>
      <c r="D1860" s="46"/>
      <c r="E1860" s="47"/>
      <c r="F1860" s="47"/>
      <c r="G1860" s="48"/>
      <c r="H1860" s="49"/>
      <c r="I1860" s="50"/>
      <c r="J1860" s="48"/>
      <c r="K1860" s="49"/>
      <c r="L1860" s="50"/>
      <c r="M1860" s="43" t="str">
        <f aca="false">IF(OR($L1860="",$F1860=""),"",IFERROR($L1860/INDEX(Cadastro!$E$6:$E$8,MATCH($F1860,Cadastro!$B$6:$B$8,0)),""))</f>
        <v/>
      </c>
      <c r="N1860" s="43" t="str">
        <f aca="false">IF(OR($L1860="",$I1860="",$I1860=0),"",$L1860/$I1860)</f>
        <v/>
      </c>
      <c r="O1860" s="51"/>
    </row>
    <row r="1861" customFormat="false" ht="15" hidden="false" customHeight="false" outlineLevel="0" collapsed="false">
      <c r="A1861" s="45"/>
      <c r="B1861" s="37" t="str">
        <f aca="false">IF($A1861="","",WEEKNUM($A1861,2))</f>
        <v/>
      </c>
      <c r="C1861" s="37" t="str">
        <f aca="false">IF($A1861="","",CHOOSE(WEEKDAY($A1861,2),"Seg","Ter","Qua","Qui","Sex","Sáb","Dom"))</f>
        <v/>
      </c>
      <c r="D1861" s="46"/>
      <c r="E1861" s="47"/>
      <c r="F1861" s="47"/>
      <c r="G1861" s="48"/>
      <c r="H1861" s="49"/>
      <c r="I1861" s="50"/>
      <c r="J1861" s="48"/>
      <c r="K1861" s="49"/>
      <c r="L1861" s="50"/>
      <c r="M1861" s="43" t="str">
        <f aca="false">IF(OR($L1861="",$F1861=""),"",IFERROR($L1861/INDEX(Cadastro!$E$6:$E$8,MATCH($F1861,Cadastro!$B$6:$B$8,0)),""))</f>
        <v/>
      </c>
      <c r="N1861" s="43" t="str">
        <f aca="false">IF(OR($L1861="",$I1861="",$I1861=0),"",$L1861/$I1861)</f>
        <v/>
      </c>
      <c r="O1861" s="51"/>
    </row>
    <row r="1862" customFormat="false" ht="15" hidden="false" customHeight="false" outlineLevel="0" collapsed="false">
      <c r="A1862" s="45"/>
      <c r="B1862" s="37" t="str">
        <f aca="false">IF($A1862="","",WEEKNUM($A1862,2))</f>
        <v/>
      </c>
      <c r="C1862" s="37" t="str">
        <f aca="false">IF($A1862="","",CHOOSE(WEEKDAY($A1862,2),"Seg","Ter","Qua","Qui","Sex","Sáb","Dom"))</f>
        <v/>
      </c>
      <c r="D1862" s="46"/>
      <c r="E1862" s="47"/>
      <c r="F1862" s="47"/>
      <c r="G1862" s="48"/>
      <c r="H1862" s="49"/>
      <c r="I1862" s="50"/>
      <c r="J1862" s="48"/>
      <c r="K1862" s="49"/>
      <c r="L1862" s="50"/>
      <c r="M1862" s="43" t="str">
        <f aca="false">IF(OR($L1862="",$F1862=""),"",IFERROR($L1862/INDEX(Cadastro!$E$6:$E$8,MATCH($F1862,Cadastro!$B$6:$B$8,0)),""))</f>
        <v/>
      </c>
      <c r="N1862" s="43" t="str">
        <f aca="false">IF(OR($L1862="",$I1862="",$I1862=0),"",$L1862/$I1862)</f>
        <v/>
      </c>
      <c r="O1862" s="51"/>
    </row>
    <row r="1863" customFormat="false" ht="15" hidden="false" customHeight="false" outlineLevel="0" collapsed="false">
      <c r="A1863" s="45"/>
      <c r="B1863" s="37" t="str">
        <f aca="false">IF($A1863="","",WEEKNUM($A1863,2))</f>
        <v/>
      </c>
      <c r="C1863" s="37" t="str">
        <f aca="false">IF($A1863="","",CHOOSE(WEEKDAY($A1863,2),"Seg","Ter","Qua","Qui","Sex","Sáb","Dom"))</f>
        <v/>
      </c>
      <c r="D1863" s="46"/>
      <c r="E1863" s="47"/>
      <c r="F1863" s="47"/>
      <c r="G1863" s="48"/>
      <c r="H1863" s="49"/>
      <c r="I1863" s="50"/>
      <c r="J1863" s="48"/>
      <c r="K1863" s="49"/>
      <c r="L1863" s="50"/>
      <c r="M1863" s="43" t="str">
        <f aca="false">IF(OR($L1863="",$F1863=""),"",IFERROR($L1863/INDEX(Cadastro!$E$6:$E$8,MATCH($F1863,Cadastro!$B$6:$B$8,0)),""))</f>
        <v/>
      </c>
      <c r="N1863" s="43" t="str">
        <f aca="false">IF(OR($L1863="",$I1863="",$I1863=0),"",$L1863/$I1863)</f>
        <v/>
      </c>
      <c r="O1863" s="51"/>
    </row>
    <row r="1864" customFormat="false" ht="15" hidden="false" customHeight="false" outlineLevel="0" collapsed="false">
      <c r="A1864" s="45"/>
      <c r="B1864" s="37" t="str">
        <f aca="false">IF($A1864="","",WEEKNUM($A1864,2))</f>
        <v/>
      </c>
      <c r="C1864" s="37" t="str">
        <f aca="false">IF($A1864="","",CHOOSE(WEEKDAY($A1864,2),"Seg","Ter","Qua","Qui","Sex","Sáb","Dom"))</f>
        <v/>
      </c>
      <c r="D1864" s="46"/>
      <c r="E1864" s="47"/>
      <c r="F1864" s="47"/>
      <c r="G1864" s="48"/>
      <c r="H1864" s="49"/>
      <c r="I1864" s="50"/>
      <c r="J1864" s="48"/>
      <c r="K1864" s="49"/>
      <c r="L1864" s="50"/>
      <c r="M1864" s="43" t="str">
        <f aca="false">IF(OR($L1864="",$F1864=""),"",IFERROR($L1864/INDEX(Cadastro!$E$6:$E$8,MATCH($F1864,Cadastro!$B$6:$B$8,0)),""))</f>
        <v/>
      </c>
      <c r="N1864" s="43" t="str">
        <f aca="false">IF(OR($L1864="",$I1864="",$I1864=0),"",$L1864/$I1864)</f>
        <v/>
      </c>
      <c r="O1864" s="51"/>
    </row>
    <row r="1865" customFormat="false" ht="15" hidden="false" customHeight="false" outlineLevel="0" collapsed="false">
      <c r="A1865" s="45"/>
      <c r="B1865" s="37" t="str">
        <f aca="false">IF($A1865="","",WEEKNUM($A1865,2))</f>
        <v/>
      </c>
      <c r="C1865" s="37" t="str">
        <f aca="false">IF($A1865="","",CHOOSE(WEEKDAY($A1865,2),"Seg","Ter","Qua","Qui","Sex","Sáb","Dom"))</f>
        <v/>
      </c>
      <c r="D1865" s="46"/>
      <c r="E1865" s="47"/>
      <c r="F1865" s="47"/>
      <c r="G1865" s="48"/>
      <c r="H1865" s="49"/>
      <c r="I1865" s="50"/>
      <c r="J1865" s="48"/>
      <c r="K1865" s="49"/>
      <c r="L1865" s="50"/>
      <c r="M1865" s="43" t="str">
        <f aca="false">IF(OR($L1865="",$F1865=""),"",IFERROR($L1865/INDEX(Cadastro!$E$6:$E$8,MATCH($F1865,Cadastro!$B$6:$B$8,0)),""))</f>
        <v/>
      </c>
      <c r="N1865" s="43" t="str">
        <f aca="false">IF(OR($L1865="",$I1865="",$I1865=0),"",$L1865/$I1865)</f>
        <v/>
      </c>
      <c r="O1865" s="51"/>
    </row>
    <row r="1866" customFormat="false" ht="15" hidden="false" customHeight="false" outlineLevel="0" collapsed="false">
      <c r="A1866" s="45"/>
      <c r="B1866" s="37" t="str">
        <f aca="false">IF($A1866="","",WEEKNUM($A1866,2))</f>
        <v/>
      </c>
      <c r="C1866" s="37" t="str">
        <f aca="false">IF($A1866="","",CHOOSE(WEEKDAY($A1866,2),"Seg","Ter","Qua","Qui","Sex","Sáb","Dom"))</f>
        <v/>
      </c>
      <c r="D1866" s="46"/>
      <c r="E1866" s="47"/>
      <c r="F1866" s="47"/>
      <c r="G1866" s="48"/>
      <c r="H1866" s="49"/>
      <c r="I1866" s="50"/>
      <c r="J1866" s="48"/>
      <c r="K1866" s="49"/>
      <c r="L1866" s="50"/>
      <c r="M1866" s="43" t="str">
        <f aca="false">IF(OR($L1866="",$F1866=""),"",IFERROR($L1866/INDEX(Cadastro!$E$6:$E$8,MATCH($F1866,Cadastro!$B$6:$B$8,0)),""))</f>
        <v/>
      </c>
      <c r="N1866" s="43" t="str">
        <f aca="false">IF(OR($L1866="",$I1866="",$I1866=0),"",$L1866/$I1866)</f>
        <v/>
      </c>
      <c r="O1866" s="51"/>
    </row>
    <row r="1867" customFormat="false" ht="15" hidden="false" customHeight="false" outlineLevel="0" collapsed="false">
      <c r="A1867" s="45"/>
      <c r="B1867" s="37" t="str">
        <f aca="false">IF($A1867="","",WEEKNUM($A1867,2))</f>
        <v/>
      </c>
      <c r="C1867" s="37" t="str">
        <f aca="false">IF($A1867="","",CHOOSE(WEEKDAY($A1867,2),"Seg","Ter","Qua","Qui","Sex","Sáb","Dom"))</f>
        <v/>
      </c>
      <c r="D1867" s="46"/>
      <c r="E1867" s="47"/>
      <c r="F1867" s="47"/>
      <c r="G1867" s="48"/>
      <c r="H1867" s="49"/>
      <c r="I1867" s="50"/>
      <c r="J1867" s="48"/>
      <c r="K1867" s="49"/>
      <c r="L1867" s="50"/>
      <c r="M1867" s="43" t="str">
        <f aca="false">IF(OR($L1867="",$F1867=""),"",IFERROR($L1867/INDEX(Cadastro!$E$6:$E$8,MATCH($F1867,Cadastro!$B$6:$B$8,0)),""))</f>
        <v/>
      </c>
      <c r="N1867" s="43" t="str">
        <f aca="false">IF(OR($L1867="",$I1867="",$I1867=0),"",$L1867/$I1867)</f>
        <v/>
      </c>
      <c r="O1867" s="51"/>
    </row>
    <row r="1868" customFormat="false" ht="15" hidden="false" customHeight="false" outlineLevel="0" collapsed="false">
      <c r="A1868" s="45"/>
      <c r="B1868" s="37" t="str">
        <f aca="false">IF($A1868="","",WEEKNUM($A1868,2))</f>
        <v/>
      </c>
      <c r="C1868" s="37" t="str">
        <f aca="false">IF($A1868="","",CHOOSE(WEEKDAY($A1868,2),"Seg","Ter","Qua","Qui","Sex","Sáb","Dom"))</f>
        <v/>
      </c>
      <c r="D1868" s="46"/>
      <c r="E1868" s="47"/>
      <c r="F1868" s="47"/>
      <c r="G1868" s="48"/>
      <c r="H1868" s="49"/>
      <c r="I1868" s="50"/>
      <c r="J1868" s="48"/>
      <c r="K1868" s="49"/>
      <c r="L1868" s="50"/>
      <c r="M1868" s="43" t="str">
        <f aca="false">IF(OR($L1868="",$F1868=""),"",IFERROR($L1868/INDEX(Cadastro!$E$6:$E$8,MATCH($F1868,Cadastro!$B$6:$B$8,0)),""))</f>
        <v/>
      </c>
      <c r="N1868" s="43" t="str">
        <f aca="false">IF(OR($L1868="",$I1868="",$I1868=0),"",$L1868/$I1868)</f>
        <v/>
      </c>
      <c r="O1868" s="51"/>
    </row>
    <row r="1869" customFormat="false" ht="15" hidden="false" customHeight="false" outlineLevel="0" collapsed="false">
      <c r="A1869" s="45"/>
      <c r="B1869" s="37" t="str">
        <f aca="false">IF($A1869="","",WEEKNUM($A1869,2))</f>
        <v/>
      </c>
      <c r="C1869" s="37" t="str">
        <f aca="false">IF($A1869="","",CHOOSE(WEEKDAY($A1869,2),"Seg","Ter","Qua","Qui","Sex","Sáb","Dom"))</f>
        <v/>
      </c>
      <c r="D1869" s="46"/>
      <c r="E1869" s="47"/>
      <c r="F1869" s="47"/>
      <c r="G1869" s="48"/>
      <c r="H1869" s="49"/>
      <c r="I1869" s="50"/>
      <c r="J1869" s="48"/>
      <c r="K1869" s="49"/>
      <c r="L1869" s="50"/>
      <c r="M1869" s="43" t="str">
        <f aca="false">IF(OR($L1869="",$F1869=""),"",IFERROR($L1869/INDEX(Cadastro!$E$6:$E$8,MATCH($F1869,Cadastro!$B$6:$B$8,0)),""))</f>
        <v/>
      </c>
      <c r="N1869" s="43" t="str">
        <f aca="false">IF(OR($L1869="",$I1869="",$I1869=0),"",$L1869/$I1869)</f>
        <v/>
      </c>
      <c r="O1869" s="51"/>
    </row>
    <row r="1870" customFormat="false" ht="15" hidden="false" customHeight="false" outlineLevel="0" collapsed="false">
      <c r="A1870" s="45"/>
      <c r="B1870" s="37" t="str">
        <f aca="false">IF($A1870="","",WEEKNUM($A1870,2))</f>
        <v/>
      </c>
      <c r="C1870" s="37" t="str">
        <f aca="false">IF($A1870="","",CHOOSE(WEEKDAY($A1870,2),"Seg","Ter","Qua","Qui","Sex","Sáb","Dom"))</f>
        <v/>
      </c>
      <c r="D1870" s="46"/>
      <c r="E1870" s="47"/>
      <c r="F1870" s="47"/>
      <c r="G1870" s="48"/>
      <c r="H1870" s="49"/>
      <c r="I1870" s="50"/>
      <c r="J1870" s="48"/>
      <c r="K1870" s="49"/>
      <c r="L1870" s="50"/>
      <c r="M1870" s="43" t="str">
        <f aca="false">IF(OR($L1870="",$F1870=""),"",IFERROR($L1870/INDEX(Cadastro!$E$6:$E$8,MATCH($F1870,Cadastro!$B$6:$B$8,0)),""))</f>
        <v/>
      </c>
      <c r="N1870" s="43" t="str">
        <f aca="false">IF(OR($L1870="",$I1870="",$I1870=0),"",$L1870/$I1870)</f>
        <v/>
      </c>
      <c r="O1870" s="51"/>
    </row>
    <row r="1871" customFormat="false" ht="15" hidden="false" customHeight="false" outlineLevel="0" collapsed="false">
      <c r="A1871" s="45"/>
      <c r="B1871" s="37" t="str">
        <f aca="false">IF($A1871="","",WEEKNUM($A1871,2))</f>
        <v/>
      </c>
      <c r="C1871" s="37" t="str">
        <f aca="false">IF($A1871="","",CHOOSE(WEEKDAY($A1871,2),"Seg","Ter","Qua","Qui","Sex","Sáb","Dom"))</f>
        <v/>
      </c>
      <c r="D1871" s="46"/>
      <c r="E1871" s="47"/>
      <c r="F1871" s="47"/>
      <c r="G1871" s="48"/>
      <c r="H1871" s="49"/>
      <c r="I1871" s="50"/>
      <c r="J1871" s="48"/>
      <c r="K1871" s="49"/>
      <c r="L1871" s="50"/>
      <c r="M1871" s="43" t="str">
        <f aca="false">IF(OR($L1871="",$F1871=""),"",IFERROR($L1871/INDEX(Cadastro!$E$6:$E$8,MATCH($F1871,Cadastro!$B$6:$B$8,0)),""))</f>
        <v/>
      </c>
      <c r="N1871" s="43" t="str">
        <f aca="false">IF(OR($L1871="",$I1871="",$I1871=0),"",$L1871/$I1871)</f>
        <v/>
      </c>
      <c r="O1871" s="51"/>
    </row>
    <row r="1872" customFormat="false" ht="15" hidden="false" customHeight="false" outlineLevel="0" collapsed="false">
      <c r="A1872" s="45"/>
      <c r="B1872" s="37" t="str">
        <f aca="false">IF($A1872="","",WEEKNUM($A1872,2))</f>
        <v/>
      </c>
      <c r="C1872" s="37" t="str">
        <f aca="false">IF($A1872="","",CHOOSE(WEEKDAY($A1872,2),"Seg","Ter","Qua","Qui","Sex","Sáb","Dom"))</f>
        <v/>
      </c>
      <c r="D1872" s="46"/>
      <c r="E1872" s="47"/>
      <c r="F1872" s="47"/>
      <c r="G1872" s="48"/>
      <c r="H1872" s="49"/>
      <c r="I1872" s="50"/>
      <c r="J1872" s="48"/>
      <c r="K1872" s="49"/>
      <c r="L1872" s="50"/>
      <c r="M1872" s="43" t="str">
        <f aca="false">IF(OR($L1872="",$F1872=""),"",IFERROR($L1872/INDEX(Cadastro!$E$6:$E$8,MATCH($F1872,Cadastro!$B$6:$B$8,0)),""))</f>
        <v/>
      </c>
      <c r="N1872" s="43" t="str">
        <f aca="false">IF(OR($L1872="",$I1872="",$I1872=0),"",$L1872/$I1872)</f>
        <v/>
      </c>
      <c r="O1872" s="51"/>
    </row>
    <row r="1873" customFormat="false" ht="15" hidden="false" customHeight="false" outlineLevel="0" collapsed="false">
      <c r="A1873" s="45"/>
      <c r="B1873" s="37" t="str">
        <f aca="false">IF($A1873="","",WEEKNUM($A1873,2))</f>
        <v/>
      </c>
      <c r="C1873" s="37" t="str">
        <f aca="false">IF($A1873="","",CHOOSE(WEEKDAY($A1873,2),"Seg","Ter","Qua","Qui","Sex","Sáb","Dom"))</f>
        <v/>
      </c>
      <c r="D1873" s="46"/>
      <c r="E1873" s="47"/>
      <c r="F1873" s="47"/>
      <c r="G1873" s="48"/>
      <c r="H1873" s="49"/>
      <c r="I1873" s="50"/>
      <c r="J1873" s="48"/>
      <c r="K1873" s="49"/>
      <c r="L1873" s="50"/>
      <c r="M1873" s="43" t="str">
        <f aca="false">IF(OR($L1873="",$F1873=""),"",IFERROR($L1873/INDEX(Cadastro!$E$6:$E$8,MATCH($F1873,Cadastro!$B$6:$B$8,0)),""))</f>
        <v/>
      </c>
      <c r="N1873" s="43" t="str">
        <f aca="false">IF(OR($L1873="",$I1873="",$I1873=0),"",$L1873/$I1873)</f>
        <v/>
      </c>
      <c r="O1873" s="51"/>
    </row>
    <row r="1874" customFormat="false" ht="15" hidden="false" customHeight="false" outlineLevel="0" collapsed="false">
      <c r="A1874" s="45"/>
      <c r="B1874" s="37" t="str">
        <f aca="false">IF($A1874="","",WEEKNUM($A1874,2))</f>
        <v/>
      </c>
      <c r="C1874" s="37" t="str">
        <f aca="false">IF($A1874="","",CHOOSE(WEEKDAY($A1874,2),"Seg","Ter","Qua","Qui","Sex","Sáb","Dom"))</f>
        <v/>
      </c>
      <c r="D1874" s="46"/>
      <c r="E1874" s="47"/>
      <c r="F1874" s="47"/>
      <c r="G1874" s="48"/>
      <c r="H1874" s="49"/>
      <c r="I1874" s="50"/>
      <c r="J1874" s="48"/>
      <c r="K1874" s="49"/>
      <c r="L1874" s="50"/>
      <c r="M1874" s="43" t="str">
        <f aca="false">IF(OR($L1874="",$F1874=""),"",IFERROR($L1874/INDEX(Cadastro!$E$6:$E$8,MATCH($F1874,Cadastro!$B$6:$B$8,0)),""))</f>
        <v/>
      </c>
      <c r="N1874" s="43" t="str">
        <f aca="false">IF(OR($L1874="",$I1874="",$I1874=0),"",$L1874/$I1874)</f>
        <v/>
      </c>
      <c r="O1874" s="51"/>
    </row>
    <row r="1875" customFormat="false" ht="15" hidden="false" customHeight="false" outlineLevel="0" collapsed="false">
      <c r="A1875" s="45"/>
      <c r="B1875" s="37" t="str">
        <f aca="false">IF($A1875="","",WEEKNUM($A1875,2))</f>
        <v/>
      </c>
      <c r="C1875" s="37" t="str">
        <f aca="false">IF($A1875="","",CHOOSE(WEEKDAY($A1875,2),"Seg","Ter","Qua","Qui","Sex","Sáb","Dom"))</f>
        <v/>
      </c>
      <c r="D1875" s="46"/>
      <c r="E1875" s="47"/>
      <c r="F1875" s="47"/>
      <c r="G1875" s="48"/>
      <c r="H1875" s="49"/>
      <c r="I1875" s="50"/>
      <c r="J1875" s="48"/>
      <c r="K1875" s="49"/>
      <c r="L1875" s="50"/>
      <c r="M1875" s="43" t="str">
        <f aca="false">IF(OR($L1875="",$F1875=""),"",IFERROR($L1875/INDEX(Cadastro!$E$6:$E$8,MATCH($F1875,Cadastro!$B$6:$B$8,0)),""))</f>
        <v/>
      </c>
      <c r="N1875" s="43" t="str">
        <f aca="false">IF(OR($L1875="",$I1875="",$I1875=0),"",$L1875/$I1875)</f>
        <v/>
      </c>
      <c r="O1875" s="51"/>
    </row>
    <row r="1876" customFormat="false" ht="15" hidden="false" customHeight="false" outlineLevel="0" collapsed="false">
      <c r="A1876" s="45"/>
      <c r="B1876" s="37" t="str">
        <f aca="false">IF($A1876="","",WEEKNUM($A1876,2))</f>
        <v/>
      </c>
      <c r="C1876" s="37" t="str">
        <f aca="false">IF($A1876="","",CHOOSE(WEEKDAY($A1876,2),"Seg","Ter","Qua","Qui","Sex","Sáb","Dom"))</f>
        <v/>
      </c>
      <c r="D1876" s="46"/>
      <c r="E1876" s="47"/>
      <c r="F1876" s="47"/>
      <c r="G1876" s="48"/>
      <c r="H1876" s="49"/>
      <c r="I1876" s="50"/>
      <c r="J1876" s="48"/>
      <c r="K1876" s="49"/>
      <c r="L1876" s="50"/>
      <c r="M1876" s="43" t="str">
        <f aca="false">IF(OR($L1876="",$F1876=""),"",IFERROR($L1876/INDEX(Cadastro!$E$6:$E$8,MATCH($F1876,Cadastro!$B$6:$B$8,0)),""))</f>
        <v/>
      </c>
      <c r="N1876" s="43" t="str">
        <f aca="false">IF(OR($L1876="",$I1876="",$I1876=0),"",$L1876/$I1876)</f>
        <v/>
      </c>
      <c r="O1876" s="51"/>
    </row>
    <row r="1877" customFormat="false" ht="15" hidden="false" customHeight="false" outlineLevel="0" collapsed="false">
      <c r="A1877" s="45"/>
      <c r="B1877" s="37" t="str">
        <f aca="false">IF($A1877="","",WEEKNUM($A1877,2))</f>
        <v/>
      </c>
      <c r="C1877" s="37" t="str">
        <f aca="false">IF($A1877="","",CHOOSE(WEEKDAY($A1877,2),"Seg","Ter","Qua","Qui","Sex","Sáb","Dom"))</f>
        <v/>
      </c>
      <c r="D1877" s="46"/>
      <c r="E1877" s="47"/>
      <c r="F1877" s="47"/>
      <c r="G1877" s="48"/>
      <c r="H1877" s="49"/>
      <c r="I1877" s="50"/>
      <c r="J1877" s="48"/>
      <c r="K1877" s="49"/>
      <c r="L1877" s="50"/>
      <c r="M1877" s="43" t="str">
        <f aca="false">IF(OR($L1877="",$F1877=""),"",IFERROR($L1877/INDEX(Cadastro!$E$6:$E$8,MATCH($F1877,Cadastro!$B$6:$B$8,0)),""))</f>
        <v/>
      </c>
      <c r="N1877" s="43" t="str">
        <f aca="false">IF(OR($L1877="",$I1877="",$I1877=0),"",$L1877/$I1877)</f>
        <v/>
      </c>
      <c r="O1877" s="51"/>
    </row>
    <row r="1878" customFormat="false" ht="15" hidden="false" customHeight="false" outlineLevel="0" collapsed="false">
      <c r="A1878" s="45"/>
      <c r="B1878" s="37" t="str">
        <f aca="false">IF($A1878="","",WEEKNUM($A1878,2))</f>
        <v/>
      </c>
      <c r="C1878" s="37" t="str">
        <f aca="false">IF($A1878="","",CHOOSE(WEEKDAY($A1878,2),"Seg","Ter","Qua","Qui","Sex","Sáb","Dom"))</f>
        <v/>
      </c>
      <c r="D1878" s="46"/>
      <c r="E1878" s="47"/>
      <c r="F1878" s="47"/>
      <c r="G1878" s="48"/>
      <c r="H1878" s="49"/>
      <c r="I1878" s="50"/>
      <c r="J1878" s="48"/>
      <c r="K1878" s="49"/>
      <c r="L1878" s="50"/>
      <c r="M1878" s="43" t="str">
        <f aca="false">IF(OR($L1878="",$F1878=""),"",IFERROR($L1878/INDEX(Cadastro!$E$6:$E$8,MATCH($F1878,Cadastro!$B$6:$B$8,0)),""))</f>
        <v/>
      </c>
      <c r="N1878" s="43" t="str">
        <f aca="false">IF(OR($L1878="",$I1878="",$I1878=0),"",$L1878/$I1878)</f>
        <v/>
      </c>
      <c r="O1878" s="51"/>
    </row>
    <row r="1879" customFormat="false" ht="15" hidden="false" customHeight="false" outlineLevel="0" collapsed="false">
      <c r="A1879" s="45"/>
      <c r="B1879" s="37" t="str">
        <f aca="false">IF($A1879="","",WEEKNUM($A1879,2))</f>
        <v/>
      </c>
      <c r="C1879" s="37" t="str">
        <f aca="false">IF($A1879="","",CHOOSE(WEEKDAY($A1879,2),"Seg","Ter","Qua","Qui","Sex","Sáb","Dom"))</f>
        <v/>
      </c>
      <c r="D1879" s="46"/>
      <c r="E1879" s="47"/>
      <c r="F1879" s="47"/>
      <c r="G1879" s="48"/>
      <c r="H1879" s="49"/>
      <c r="I1879" s="50"/>
      <c r="J1879" s="48"/>
      <c r="K1879" s="49"/>
      <c r="L1879" s="50"/>
      <c r="M1879" s="43" t="str">
        <f aca="false">IF(OR($L1879="",$F1879=""),"",IFERROR($L1879/INDEX(Cadastro!$E$6:$E$8,MATCH($F1879,Cadastro!$B$6:$B$8,0)),""))</f>
        <v/>
      </c>
      <c r="N1879" s="43" t="str">
        <f aca="false">IF(OR($L1879="",$I1879="",$I1879=0),"",$L1879/$I1879)</f>
        <v/>
      </c>
      <c r="O1879" s="51"/>
    </row>
    <row r="1880" customFormat="false" ht="15" hidden="false" customHeight="false" outlineLevel="0" collapsed="false">
      <c r="A1880" s="45"/>
      <c r="B1880" s="37" t="str">
        <f aca="false">IF($A1880="","",WEEKNUM($A1880,2))</f>
        <v/>
      </c>
      <c r="C1880" s="37" t="str">
        <f aca="false">IF($A1880="","",CHOOSE(WEEKDAY($A1880,2),"Seg","Ter","Qua","Qui","Sex","Sáb","Dom"))</f>
        <v/>
      </c>
      <c r="D1880" s="46"/>
      <c r="E1880" s="47"/>
      <c r="F1880" s="47"/>
      <c r="G1880" s="48"/>
      <c r="H1880" s="49"/>
      <c r="I1880" s="50"/>
      <c r="J1880" s="48"/>
      <c r="K1880" s="49"/>
      <c r="L1880" s="50"/>
      <c r="M1880" s="43" t="str">
        <f aca="false">IF(OR($L1880="",$F1880=""),"",IFERROR($L1880/INDEX(Cadastro!$E$6:$E$8,MATCH($F1880,Cadastro!$B$6:$B$8,0)),""))</f>
        <v/>
      </c>
      <c r="N1880" s="43" t="str">
        <f aca="false">IF(OR($L1880="",$I1880="",$I1880=0),"",$L1880/$I1880)</f>
        <v/>
      </c>
      <c r="O1880" s="51"/>
    </row>
    <row r="1881" customFormat="false" ht="15" hidden="false" customHeight="false" outlineLevel="0" collapsed="false">
      <c r="A1881" s="45"/>
      <c r="B1881" s="37" t="str">
        <f aca="false">IF($A1881="","",WEEKNUM($A1881,2))</f>
        <v/>
      </c>
      <c r="C1881" s="37" t="str">
        <f aca="false">IF($A1881="","",CHOOSE(WEEKDAY($A1881,2),"Seg","Ter","Qua","Qui","Sex","Sáb","Dom"))</f>
        <v/>
      </c>
      <c r="D1881" s="46"/>
      <c r="E1881" s="47"/>
      <c r="F1881" s="47"/>
      <c r="G1881" s="48"/>
      <c r="H1881" s="49"/>
      <c r="I1881" s="50"/>
      <c r="J1881" s="48"/>
      <c r="K1881" s="49"/>
      <c r="L1881" s="50"/>
      <c r="M1881" s="43" t="str">
        <f aca="false">IF(OR($L1881="",$F1881=""),"",IFERROR($L1881/INDEX(Cadastro!$E$6:$E$8,MATCH($F1881,Cadastro!$B$6:$B$8,0)),""))</f>
        <v/>
      </c>
      <c r="N1881" s="43" t="str">
        <f aca="false">IF(OR($L1881="",$I1881="",$I1881=0),"",$L1881/$I1881)</f>
        <v/>
      </c>
      <c r="O1881" s="51"/>
    </row>
    <row r="1882" customFormat="false" ht="15" hidden="false" customHeight="false" outlineLevel="0" collapsed="false">
      <c r="A1882" s="45"/>
      <c r="B1882" s="37" t="str">
        <f aca="false">IF($A1882="","",WEEKNUM($A1882,2))</f>
        <v/>
      </c>
      <c r="C1882" s="37" t="str">
        <f aca="false">IF($A1882="","",CHOOSE(WEEKDAY($A1882,2),"Seg","Ter","Qua","Qui","Sex","Sáb","Dom"))</f>
        <v/>
      </c>
      <c r="D1882" s="46"/>
      <c r="E1882" s="47"/>
      <c r="F1882" s="47"/>
      <c r="G1882" s="48"/>
      <c r="H1882" s="49"/>
      <c r="I1882" s="50"/>
      <c r="J1882" s="48"/>
      <c r="K1882" s="49"/>
      <c r="L1882" s="50"/>
      <c r="M1882" s="43" t="str">
        <f aca="false">IF(OR($L1882="",$F1882=""),"",IFERROR($L1882/INDEX(Cadastro!$E$6:$E$8,MATCH($F1882,Cadastro!$B$6:$B$8,0)),""))</f>
        <v/>
      </c>
      <c r="N1882" s="43" t="str">
        <f aca="false">IF(OR($L1882="",$I1882="",$I1882=0),"",$L1882/$I1882)</f>
        <v/>
      </c>
      <c r="O1882" s="51"/>
    </row>
    <row r="1883" customFormat="false" ht="15" hidden="false" customHeight="false" outlineLevel="0" collapsed="false">
      <c r="A1883" s="45"/>
      <c r="B1883" s="37" t="str">
        <f aca="false">IF($A1883="","",WEEKNUM($A1883,2))</f>
        <v/>
      </c>
      <c r="C1883" s="37" t="str">
        <f aca="false">IF($A1883="","",CHOOSE(WEEKDAY($A1883,2),"Seg","Ter","Qua","Qui","Sex","Sáb","Dom"))</f>
        <v/>
      </c>
      <c r="D1883" s="46"/>
      <c r="E1883" s="47"/>
      <c r="F1883" s="47"/>
      <c r="G1883" s="48"/>
      <c r="H1883" s="49"/>
      <c r="I1883" s="50"/>
      <c r="J1883" s="48"/>
      <c r="K1883" s="49"/>
      <c r="L1883" s="50"/>
      <c r="M1883" s="43" t="str">
        <f aca="false">IF(OR($L1883="",$F1883=""),"",IFERROR($L1883/INDEX(Cadastro!$E$6:$E$8,MATCH($F1883,Cadastro!$B$6:$B$8,0)),""))</f>
        <v/>
      </c>
      <c r="N1883" s="43" t="str">
        <f aca="false">IF(OR($L1883="",$I1883="",$I1883=0),"",$L1883/$I1883)</f>
        <v/>
      </c>
      <c r="O1883" s="51"/>
    </row>
    <row r="1884" customFormat="false" ht="15" hidden="false" customHeight="false" outlineLevel="0" collapsed="false">
      <c r="A1884" s="45"/>
      <c r="B1884" s="37" t="str">
        <f aca="false">IF($A1884="","",WEEKNUM($A1884,2))</f>
        <v/>
      </c>
      <c r="C1884" s="37" t="str">
        <f aca="false">IF($A1884="","",CHOOSE(WEEKDAY($A1884,2),"Seg","Ter","Qua","Qui","Sex","Sáb","Dom"))</f>
        <v/>
      </c>
      <c r="D1884" s="46"/>
      <c r="E1884" s="47"/>
      <c r="F1884" s="47"/>
      <c r="G1884" s="48"/>
      <c r="H1884" s="49"/>
      <c r="I1884" s="50"/>
      <c r="J1884" s="48"/>
      <c r="K1884" s="49"/>
      <c r="L1884" s="50"/>
      <c r="M1884" s="43" t="str">
        <f aca="false">IF(OR($L1884="",$F1884=""),"",IFERROR($L1884/INDEX(Cadastro!$E$6:$E$8,MATCH($F1884,Cadastro!$B$6:$B$8,0)),""))</f>
        <v/>
      </c>
      <c r="N1884" s="43" t="str">
        <f aca="false">IF(OR($L1884="",$I1884="",$I1884=0),"",$L1884/$I1884)</f>
        <v/>
      </c>
      <c r="O1884" s="51"/>
    </row>
    <row r="1885" customFormat="false" ht="15" hidden="false" customHeight="false" outlineLevel="0" collapsed="false">
      <c r="A1885" s="45"/>
      <c r="B1885" s="37" t="str">
        <f aca="false">IF($A1885="","",WEEKNUM($A1885,2))</f>
        <v/>
      </c>
      <c r="C1885" s="37" t="str">
        <f aca="false">IF($A1885="","",CHOOSE(WEEKDAY($A1885,2),"Seg","Ter","Qua","Qui","Sex","Sáb","Dom"))</f>
        <v/>
      </c>
      <c r="D1885" s="46"/>
      <c r="E1885" s="47"/>
      <c r="F1885" s="47"/>
      <c r="G1885" s="48"/>
      <c r="H1885" s="49"/>
      <c r="I1885" s="50"/>
      <c r="J1885" s="48"/>
      <c r="K1885" s="49"/>
      <c r="L1885" s="50"/>
      <c r="M1885" s="43" t="str">
        <f aca="false">IF(OR($L1885="",$F1885=""),"",IFERROR($L1885/INDEX(Cadastro!$E$6:$E$8,MATCH($F1885,Cadastro!$B$6:$B$8,0)),""))</f>
        <v/>
      </c>
      <c r="N1885" s="43" t="str">
        <f aca="false">IF(OR($L1885="",$I1885="",$I1885=0),"",$L1885/$I1885)</f>
        <v/>
      </c>
      <c r="O1885" s="51"/>
    </row>
    <row r="1886" customFormat="false" ht="15" hidden="false" customHeight="false" outlineLevel="0" collapsed="false">
      <c r="A1886" s="45"/>
      <c r="B1886" s="37" t="str">
        <f aca="false">IF($A1886="","",WEEKNUM($A1886,2))</f>
        <v/>
      </c>
      <c r="C1886" s="37" t="str">
        <f aca="false">IF($A1886="","",CHOOSE(WEEKDAY($A1886,2),"Seg","Ter","Qua","Qui","Sex","Sáb","Dom"))</f>
        <v/>
      </c>
      <c r="D1886" s="46"/>
      <c r="E1886" s="47"/>
      <c r="F1886" s="47"/>
      <c r="G1886" s="48"/>
      <c r="H1886" s="49"/>
      <c r="I1886" s="50"/>
      <c r="J1886" s="48"/>
      <c r="K1886" s="49"/>
      <c r="L1886" s="50"/>
      <c r="M1886" s="43" t="str">
        <f aca="false">IF(OR($L1886="",$F1886=""),"",IFERROR($L1886/INDEX(Cadastro!$E$6:$E$8,MATCH($F1886,Cadastro!$B$6:$B$8,0)),""))</f>
        <v/>
      </c>
      <c r="N1886" s="43" t="str">
        <f aca="false">IF(OR($L1886="",$I1886="",$I1886=0),"",$L1886/$I1886)</f>
        <v/>
      </c>
      <c r="O1886" s="51"/>
    </row>
    <row r="1887" customFormat="false" ht="15" hidden="false" customHeight="false" outlineLevel="0" collapsed="false">
      <c r="A1887" s="45"/>
      <c r="B1887" s="37" t="str">
        <f aca="false">IF($A1887="","",WEEKNUM($A1887,2))</f>
        <v/>
      </c>
      <c r="C1887" s="37" t="str">
        <f aca="false">IF($A1887="","",CHOOSE(WEEKDAY($A1887,2),"Seg","Ter","Qua","Qui","Sex","Sáb","Dom"))</f>
        <v/>
      </c>
      <c r="D1887" s="46"/>
      <c r="E1887" s="47"/>
      <c r="F1887" s="47"/>
      <c r="G1887" s="48"/>
      <c r="H1887" s="49"/>
      <c r="I1887" s="50"/>
      <c r="J1887" s="48"/>
      <c r="K1887" s="49"/>
      <c r="L1887" s="50"/>
      <c r="M1887" s="43" t="str">
        <f aca="false">IF(OR($L1887="",$F1887=""),"",IFERROR($L1887/INDEX(Cadastro!$E$6:$E$8,MATCH($F1887,Cadastro!$B$6:$B$8,0)),""))</f>
        <v/>
      </c>
      <c r="N1887" s="43" t="str">
        <f aca="false">IF(OR($L1887="",$I1887="",$I1887=0),"",$L1887/$I1887)</f>
        <v/>
      </c>
      <c r="O1887" s="51"/>
    </row>
    <row r="1888" customFormat="false" ht="15" hidden="false" customHeight="false" outlineLevel="0" collapsed="false">
      <c r="A1888" s="45"/>
      <c r="B1888" s="37" t="str">
        <f aca="false">IF($A1888="","",WEEKNUM($A1888,2))</f>
        <v/>
      </c>
      <c r="C1888" s="37" t="str">
        <f aca="false">IF($A1888="","",CHOOSE(WEEKDAY($A1888,2),"Seg","Ter","Qua","Qui","Sex","Sáb","Dom"))</f>
        <v/>
      </c>
      <c r="D1888" s="46"/>
      <c r="E1888" s="47"/>
      <c r="F1888" s="47"/>
      <c r="G1888" s="48"/>
      <c r="H1888" s="49"/>
      <c r="I1888" s="50"/>
      <c r="J1888" s="48"/>
      <c r="K1888" s="49"/>
      <c r="L1888" s="50"/>
      <c r="M1888" s="43" t="str">
        <f aca="false">IF(OR($L1888="",$F1888=""),"",IFERROR($L1888/INDEX(Cadastro!$E$6:$E$8,MATCH($F1888,Cadastro!$B$6:$B$8,0)),""))</f>
        <v/>
      </c>
      <c r="N1888" s="43" t="str">
        <f aca="false">IF(OR($L1888="",$I1888="",$I1888=0),"",$L1888/$I1888)</f>
        <v/>
      </c>
      <c r="O1888" s="51"/>
    </row>
    <row r="1889" customFormat="false" ht="15" hidden="false" customHeight="false" outlineLevel="0" collapsed="false">
      <c r="A1889" s="45"/>
      <c r="B1889" s="37" t="str">
        <f aca="false">IF($A1889="","",WEEKNUM($A1889,2))</f>
        <v/>
      </c>
      <c r="C1889" s="37" t="str">
        <f aca="false">IF($A1889="","",CHOOSE(WEEKDAY($A1889,2),"Seg","Ter","Qua","Qui","Sex","Sáb","Dom"))</f>
        <v/>
      </c>
      <c r="D1889" s="46"/>
      <c r="E1889" s="47"/>
      <c r="F1889" s="47"/>
      <c r="G1889" s="48"/>
      <c r="H1889" s="49"/>
      <c r="I1889" s="50"/>
      <c r="J1889" s="48"/>
      <c r="K1889" s="49"/>
      <c r="L1889" s="50"/>
      <c r="M1889" s="43" t="str">
        <f aca="false">IF(OR($L1889="",$F1889=""),"",IFERROR($L1889/INDEX(Cadastro!$E$6:$E$8,MATCH($F1889,Cadastro!$B$6:$B$8,0)),""))</f>
        <v/>
      </c>
      <c r="N1889" s="43" t="str">
        <f aca="false">IF(OR($L1889="",$I1889="",$I1889=0),"",$L1889/$I1889)</f>
        <v/>
      </c>
      <c r="O1889" s="51"/>
    </row>
    <row r="1890" customFormat="false" ht="15" hidden="false" customHeight="false" outlineLevel="0" collapsed="false">
      <c r="A1890" s="45"/>
      <c r="B1890" s="37" t="str">
        <f aca="false">IF($A1890="","",WEEKNUM($A1890,2))</f>
        <v/>
      </c>
      <c r="C1890" s="37" t="str">
        <f aca="false">IF($A1890="","",CHOOSE(WEEKDAY($A1890,2),"Seg","Ter","Qua","Qui","Sex","Sáb","Dom"))</f>
        <v/>
      </c>
      <c r="D1890" s="46"/>
      <c r="E1890" s="47"/>
      <c r="F1890" s="47"/>
      <c r="G1890" s="48"/>
      <c r="H1890" s="49"/>
      <c r="I1890" s="50"/>
      <c r="J1890" s="48"/>
      <c r="K1890" s="49"/>
      <c r="L1890" s="50"/>
      <c r="M1890" s="43" t="str">
        <f aca="false">IF(OR($L1890="",$F1890=""),"",IFERROR($L1890/INDEX(Cadastro!$E$6:$E$8,MATCH($F1890,Cadastro!$B$6:$B$8,0)),""))</f>
        <v/>
      </c>
      <c r="N1890" s="43" t="str">
        <f aca="false">IF(OR($L1890="",$I1890="",$I1890=0),"",$L1890/$I1890)</f>
        <v/>
      </c>
      <c r="O1890" s="51"/>
    </row>
    <row r="1891" customFormat="false" ht="15" hidden="false" customHeight="false" outlineLevel="0" collapsed="false">
      <c r="A1891" s="45"/>
      <c r="B1891" s="37" t="str">
        <f aca="false">IF($A1891="","",WEEKNUM($A1891,2))</f>
        <v/>
      </c>
      <c r="C1891" s="37" t="str">
        <f aca="false">IF($A1891="","",CHOOSE(WEEKDAY($A1891,2),"Seg","Ter","Qua","Qui","Sex","Sáb","Dom"))</f>
        <v/>
      </c>
      <c r="D1891" s="46"/>
      <c r="E1891" s="47"/>
      <c r="F1891" s="47"/>
      <c r="G1891" s="48"/>
      <c r="H1891" s="49"/>
      <c r="I1891" s="50"/>
      <c r="J1891" s="48"/>
      <c r="K1891" s="49"/>
      <c r="L1891" s="50"/>
      <c r="M1891" s="43" t="str">
        <f aca="false">IF(OR($L1891="",$F1891=""),"",IFERROR($L1891/INDEX(Cadastro!$E$6:$E$8,MATCH($F1891,Cadastro!$B$6:$B$8,0)),""))</f>
        <v/>
      </c>
      <c r="N1891" s="43" t="str">
        <f aca="false">IF(OR($L1891="",$I1891="",$I1891=0),"",$L1891/$I1891)</f>
        <v/>
      </c>
      <c r="O1891" s="51"/>
    </row>
    <row r="1892" customFormat="false" ht="15" hidden="false" customHeight="false" outlineLevel="0" collapsed="false">
      <c r="A1892" s="45"/>
      <c r="B1892" s="37" t="str">
        <f aca="false">IF($A1892="","",WEEKNUM($A1892,2))</f>
        <v/>
      </c>
      <c r="C1892" s="37" t="str">
        <f aca="false">IF($A1892="","",CHOOSE(WEEKDAY($A1892,2),"Seg","Ter","Qua","Qui","Sex","Sáb","Dom"))</f>
        <v/>
      </c>
      <c r="D1892" s="46"/>
      <c r="E1892" s="47"/>
      <c r="F1892" s="47"/>
      <c r="G1892" s="48"/>
      <c r="H1892" s="49"/>
      <c r="I1892" s="50"/>
      <c r="J1892" s="48"/>
      <c r="K1892" s="49"/>
      <c r="L1892" s="50"/>
      <c r="M1892" s="43" t="str">
        <f aca="false">IF(OR($L1892="",$F1892=""),"",IFERROR($L1892/INDEX(Cadastro!$E$6:$E$8,MATCH($F1892,Cadastro!$B$6:$B$8,0)),""))</f>
        <v/>
      </c>
      <c r="N1892" s="43" t="str">
        <f aca="false">IF(OR($L1892="",$I1892="",$I1892=0),"",$L1892/$I1892)</f>
        <v/>
      </c>
      <c r="O1892" s="51"/>
    </row>
    <row r="1893" customFormat="false" ht="15" hidden="false" customHeight="false" outlineLevel="0" collapsed="false">
      <c r="A1893" s="45"/>
      <c r="B1893" s="37" t="str">
        <f aca="false">IF($A1893="","",WEEKNUM($A1893,2))</f>
        <v/>
      </c>
      <c r="C1893" s="37" t="str">
        <f aca="false">IF($A1893="","",CHOOSE(WEEKDAY($A1893,2),"Seg","Ter","Qua","Qui","Sex","Sáb","Dom"))</f>
        <v/>
      </c>
      <c r="D1893" s="46"/>
      <c r="E1893" s="47"/>
      <c r="F1893" s="47"/>
      <c r="G1893" s="48"/>
      <c r="H1893" s="49"/>
      <c r="I1893" s="50"/>
      <c r="J1893" s="48"/>
      <c r="K1893" s="49"/>
      <c r="L1893" s="50"/>
      <c r="M1893" s="43" t="str">
        <f aca="false">IF(OR($L1893="",$F1893=""),"",IFERROR($L1893/INDEX(Cadastro!$E$6:$E$8,MATCH($F1893,Cadastro!$B$6:$B$8,0)),""))</f>
        <v/>
      </c>
      <c r="N1893" s="43" t="str">
        <f aca="false">IF(OR($L1893="",$I1893="",$I1893=0),"",$L1893/$I1893)</f>
        <v/>
      </c>
      <c r="O1893" s="51"/>
    </row>
    <row r="1894" customFormat="false" ht="15" hidden="false" customHeight="false" outlineLevel="0" collapsed="false">
      <c r="A1894" s="45"/>
      <c r="B1894" s="37" t="str">
        <f aca="false">IF($A1894="","",WEEKNUM($A1894,2))</f>
        <v/>
      </c>
      <c r="C1894" s="37" t="str">
        <f aca="false">IF($A1894="","",CHOOSE(WEEKDAY($A1894,2),"Seg","Ter","Qua","Qui","Sex","Sáb","Dom"))</f>
        <v/>
      </c>
      <c r="D1894" s="46"/>
      <c r="E1894" s="47"/>
      <c r="F1894" s="47"/>
      <c r="G1894" s="48"/>
      <c r="H1894" s="49"/>
      <c r="I1894" s="50"/>
      <c r="J1894" s="48"/>
      <c r="K1894" s="49"/>
      <c r="L1894" s="50"/>
      <c r="M1894" s="43" t="str">
        <f aca="false">IF(OR($L1894="",$F1894=""),"",IFERROR($L1894/INDEX(Cadastro!$E$6:$E$8,MATCH($F1894,Cadastro!$B$6:$B$8,0)),""))</f>
        <v/>
      </c>
      <c r="N1894" s="43" t="str">
        <f aca="false">IF(OR($L1894="",$I1894="",$I1894=0),"",$L1894/$I1894)</f>
        <v/>
      </c>
      <c r="O1894" s="51"/>
    </row>
    <row r="1895" customFormat="false" ht="15" hidden="false" customHeight="false" outlineLevel="0" collapsed="false">
      <c r="A1895" s="45"/>
      <c r="B1895" s="37" t="str">
        <f aca="false">IF($A1895="","",WEEKNUM($A1895,2))</f>
        <v/>
      </c>
      <c r="C1895" s="37" t="str">
        <f aca="false">IF($A1895="","",CHOOSE(WEEKDAY($A1895,2),"Seg","Ter","Qua","Qui","Sex","Sáb","Dom"))</f>
        <v/>
      </c>
      <c r="D1895" s="46"/>
      <c r="E1895" s="47"/>
      <c r="F1895" s="47"/>
      <c r="G1895" s="48"/>
      <c r="H1895" s="49"/>
      <c r="I1895" s="50"/>
      <c r="J1895" s="48"/>
      <c r="K1895" s="49"/>
      <c r="L1895" s="50"/>
      <c r="M1895" s="43" t="str">
        <f aca="false">IF(OR($L1895="",$F1895=""),"",IFERROR($L1895/INDEX(Cadastro!$E$6:$E$8,MATCH($F1895,Cadastro!$B$6:$B$8,0)),""))</f>
        <v/>
      </c>
      <c r="N1895" s="43" t="str">
        <f aca="false">IF(OR($L1895="",$I1895="",$I1895=0),"",$L1895/$I1895)</f>
        <v/>
      </c>
      <c r="O1895" s="51"/>
    </row>
    <row r="1896" customFormat="false" ht="15" hidden="false" customHeight="false" outlineLevel="0" collapsed="false">
      <c r="A1896" s="45"/>
      <c r="B1896" s="37" t="str">
        <f aca="false">IF($A1896="","",WEEKNUM($A1896,2))</f>
        <v/>
      </c>
      <c r="C1896" s="37" t="str">
        <f aca="false">IF($A1896="","",CHOOSE(WEEKDAY($A1896,2),"Seg","Ter","Qua","Qui","Sex","Sáb","Dom"))</f>
        <v/>
      </c>
      <c r="D1896" s="46"/>
      <c r="E1896" s="47"/>
      <c r="F1896" s="47"/>
      <c r="G1896" s="48"/>
      <c r="H1896" s="49"/>
      <c r="I1896" s="50"/>
      <c r="J1896" s="48"/>
      <c r="K1896" s="49"/>
      <c r="L1896" s="50"/>
      <c r="M1896" s="43" t="str">
        <f aca="false">IF(OR($L1896="",$F1896=""),"",IFERROR($L1896/INDEX(Cadastro!$E$6:$E$8,MATCH($F1896,Cadastro!$B$6:$B$8,0)),""))</f>
        <v/>
      </c>
      <c r="N1896" s="43" t="str">
        <f aca="false">IF(OR($L1896="",$I1896="",$I1896=0),"",$L1896/$I1896)</f>
        <v/>
      </c>
      <c r="O1896" s="51"/>
    </row>
    <row r="1897" customFormat="false" ht="15" hidden="false" customHeight="false" outlineLevel="0" collapsed="false">
      <c r="A1897" s="45"/>
      <c r="B1897" s="37" t="str">
        <f aca="false">IF($A1897="","",WEEKNUM($A1897,2))</f>
        <v/>
      </c>
      <c r="C1897" s="37" t="str">
        <f aca="false">IF($A1897="","",CHOOSE(WEEKDAY($A1897,2),"Seg","Ter","Qua","Qui","Sex","Sáb","Dom"))</f>
        <v/>
      </c>
      <c r="D1897" s="46"/>
      <c r="E1897" s="47"/>
      <c r="F1897" s="47"/>
      <c r="G1897" s="48"/>
      <c r="H1897" s="49"/>
      <c r="I1897" s="50"/>
      <c r="J1897" s="48"/>
      <c r="K1897" s="49"/>
      <c r="L1897" s="50"/>
      <c r="M1897" s="43" t="str">
        <f aca="false">IF(OR($L1897="",$F1897=""),"",IFERROR($L1897/INDEX(Cadastro!$E$6:$E$8,MATCH($F1897,Cadastro!$B$6:$B$8,0)),""))</f>
        <v/>
      </c>
      <c r="N1897" s="43" t="str">
        <f aca="false">IF(OR($L1897="",$I1897="",$I1897=0),"",$L1897/$I1897)</f>
        <v/>
      </c>
      <c r="O1897" s="51"/>
    </row>
    <row r="1898" customFormat="false" ht="15" hidden="false" customHeight="false" outlineLevel="0" collapsed="false">
      <c r="A1898" s="45"/>
      <c r="B1898" s="37" t="str">
        <f aca="false">IF($A1898="","",WEEKNUM($A1898,2))</f>
        <v/>
      </c>
      <c r="C1898" s="37" t="str">
        <f aca="false">IF($A1898="","",CHOOSE(WEEKDAY($A1898,2),"Seg","Ter","Qua","Qui","Sex","Sáb","Dom"))</f>
        <v/>
      </c>
      <c r="D1898" s="46"/>
      <c r="E1898" s="47"/>
      <c r="F1898" s="47"/>
      <c r="G1898" s="48"/>
      <c r="H1898" s="49"/>
      <c r="I1898" s="50"/>
      <c r="J1898" s="48"/>
      <c r="K1898" s="49"/>
      <c r="L1898" s="50"/>
      <c r="M1898" s="43" t="str">
        <f aca="false">IF(OR($L1898="",$F1898=""),"",IFERROR($L1898/INDEX(Cadastro!$E$6:$E$8,MATCH($F1898,Cadastro!$B$6:$B$8,0)),""))</f>
        <v/>
      </c>
      <c r="N1898" s="43" t="str">
        <f aca="false">IF(OR($L1898="",$I1898="",$I1898=0),"",$L1898/$I1898)</f>
        <v/>
      </c>
      <c r="O1898" s="51"/>
    </row>
    <row r="1899" customFormat="false" ht="15" hidden="false" customHeight="false" outlineLevel="0" collapsed="false">
      <c r="A1899" s="45"/>
      <c r="B1899" s="37" t="str">
        <f aca="false">IF($A1899="","",WEEKNUM($A1899,2))</f>
        <v/>
      </c>
      <c r="C1899" s="37" t="str">
        <f aca="false">IF($A1899="","",CHOOSE(WEEKDAY($A1899,2),"Seg","Ter","Qua","Qui","Sex","Sáb","Dom"))</f>
        <v/>
      </c>
      <c r="D1899" s="46"/>
      <c r="E1899" s="47"/>
      <c r="F1899" s="47"/>
      <c r="G1899" s="48"/>
      <c r="H1899" s="49"/>
      <c r="I1899" s="50"/>
      <c r="J1899" s="48"/>
      <c r="K1899" s="49"/>
      <c r="L1899" s="50"/>
      <c r="M1899" s="43" t="str">
        <f aca="false">IF(OR($L1899="",$F1899=""),"",IFERROR($L1899/INDEX(Cadastro!$E$6:$E$8,MATCH($F1899,Cadastro!$B$6:$B$8,0)),""))</f>
        <v/>
      </c>
      <c r="N1899" s="43" t="str">
        <f aca="false">IF(OR($L1899="",$I1899="",$I1899=0),"",$L1899/$I1899)</f>
        <v/>
      </c>
      <c r="O1899" s="51"/>
    </row>
    <row r="1900" customFormat="false" ht="15" hidden="false" customHeight="false" outlineLevel="0" collapsed="false">
      <c r="A1900" s="45"/>
      <c r="B1900" s="37" t="str">
        <f aca="false">IF($A1900="","",WEEKNUM($A1900,2))</f>
        <v/>
      </c>
      <c r="C1900" s="37" t="str">
        <f aca="false">IF($A1900="","",CHOOSE(WEEKDAY($A1900,2),"Seg","Ter","Qua","Qui","Sex","Sáb","Dom"))</f>
        <v/>
      </c>
      <c r="D1900" s="46"/>
      <c r="E1900" s="47"/>
      <c r="F1900" s="47"/>
      <c r="G1900" s="48"/>
      <c r="H1900" s="49"/>
      <c r="I1900" s="50"/>
      <c r="J1900" s="48"/>
      <c r="K1900" s="49"/>
      <c r="L1900" s="50"/>
      <c r="M1900" s="43" t="str">
        <f aca="false">IF(OR($L1900="",$F1900=""),"",IFERROR($L1900/INDEX(Cadastro!$E$6:$E$8,MATCH($F1900,Cadastro!$B$6:$B$8,0)),""))</f>
        <v/>
      </c>
      <c r="N1900" s="43" t="str">
        <f aca="false">IF(OR($L1900="",$I1900="",$I1900=0),"",$L1900/$I1900)</f>
        <v/>
      </c>
      <c r="O1900" s="51"/>
    </row>
    <row r="1901" customFormat="false" ht="15" hidden="false" customHeight="false" outlineLevel="0" collapsed="false">
      <c r="A1901" s="45"/>
      <c r="B1901" s="37" t="str">
        <f aca="false">IF($A1901="","",WEEKNUM($A1901,2))</f>
        <v/>
      </c>
      <c r="C1901" s="37" t="str">
        <f aca="false">IF($A1901="","",CHOOSE(WEEKDAY($A1901,2),"Seg","Ter","Qua","Qui","Sex","Sáb","Dom"))</f>
        <v/>
      </c>
      <c r="D1901" s="46"/>
      <c r="E1901" s="47"/>
      <c r="F1901" s="47"/>
      <c r="G1901" s="48"/>
      <c r="H1901" s="49"/>
      <c r="I1901" s="50"/>
      <c r="J1901" s="48"/>
      <c r="K1901" s="49"/>
      <c r="L1901" s="50"/>
      <c r="M1901" s="43" t="str">
        <f aca="false">IF(OR($L1901="",$F1901=""),"",IFERROR($L1901/INDEX(Cadastro!$E$6:$E$8,MATCH($F1901,Cadastro!$B$6:$B$8,0)),""))</f>
        <v/>
      </c>
      <c r="N1901" s="43" t="str">
        <f aca="false">IF(OR($L1901="",$I1901="",$I1901=0),"",$L1901/$I1901)</f>
        <v/>
      </c>
      <c r="O1901" s="51"/>
    </row>
    <row r="1902" customFormat="false" ht="15" hidden="false" customHeight="false" outlineLevel="0" collapsed="false">
      <c r="A1902" s="45"/>
      <c r="B1902" s="37" t="str">
        <f aca="false">IF($A1902="","",WEEKNUM($A1902,2))</f>
        <v/>
      </c>
      <c r="C1902" s="37" t="str">
        <f aca="false">IF($A1902="","",CHOOSE(WEEKDAY($A1902,2),"Seg","Ter","Qua","Qui","Sex","Sáb","Dom"))</f>
        <v/>
      </c>
      <c r="D1902" s="46"/>
      <c r="E1902" s="47"/>
      <c r="F1902" s="47"/>
      <c r="G1902" s="48"/>
      <c r="H1902" s="49"/>
      <c r="I1902" s="50"/>
      <c r="J1902" s="48"/>
      <c r="K1902" s="49"/>
      <c r="L1902" s="50"/>
      <c r="M1902" s="43" t="str">
        <f aca="false">IF(OR($L1902="",$F1902=""),"",IFERROR($L1902/INDEX(Cadastro!$E$6:$E$8,MATCH($F1902,Cadastro!$B$6:$B$8,0)),""))</f>
        <v/>
      </c>
      <c r="N1902" s="43" t="str">
        <f aca="false">IF(OR($L1902="",$I1902="",$I1902=0),"",$L1902/$I1902)</f>
        <v/>
      </c>
      <c r="O1902" s="51"/>
    </row>
    <row r="1903" customFormat="false" ht="15" hidden="false" customHeight="false" outlineLevel="0" collapsed="false">
      <c r="A1903" s="45"/>
      <c r="B1903" s="37" t="str">
        <f aca="false">IF($A1903="","",WEEKNUM($A1903,2))</f>
        <v/>
      </c>
      <c r="C1903" s="37" t="str">
        <f aca="false">IF($A1903="","",CHOOSE(WEEKDAY($A1903,2),"Seg","Ter","Qua","Qui","Sex","Sáb","Dom"))</f>
        <v/>
      </c>
      <c r="D1903" s="46"/>
      <c r="E1903" s="47"/>
      <c r="F1903" s="47"/>
      <c r="G1903" s="48"/>
      <c r="H1903" s="49"/>
      <c r="I1903" s="50"/>
      <c r="J1903" s="48"/>
      <c r="K1903" s="49"/>
      <c r="L1903" s="50"/>
      <c r="M1903" s="43" t="str">
        <f aca="false">IF(OR($L1903="",$F1903=""),"",IFERROR($L1903/INDEX(Cadastro!$E$6:$E$8,MATCH($F1903,Cadastro!$B$6:$B$8,0)),""))</f>
        <v/>
      </c>
      <c r="N1903" s="43" t="str">
        <f aca="false">IF(OR($L1903="",$I1903="",$I1903=0),"",$L1903/$I1903)</f>
        <v/>
      </c>
      <c r="O1903" s="51"/>
    </row>
    <row r="1904" customFormat="false" ht="15" hidden="false" customHeight="false" outlineLevel="0" collapsed="false">
      <c r="A1904" s="45"/>
      <c r="B1904" s="37" t="str">
        <f aca="false">IF($A1904="","",WEEKNUM($A1904,2))</f>
        <v/>
      </c>
      <c r="C1904" s="37" t="str">
        <f aca="false">IF($A1904="","",CHOOSE(WEEKDAY($A1904,2),"Seg","Ter","Qua","Qui","Sex","Sáb","Dom"))</f>
        <v/>
      </c>
      <c r="D1904" s="46"/>
      <c r="E1904" s="47"/>
      <c r="F1904" s="47"/>
      <c r="G1904" s="48"/>
      <c r="H1904" s="49"/>
      <c r="I1904" s="50"/>
      <c r="J1904" s="48"/>
      <c r="K1904" s="49"/>
      <c r="L1904" s="50"/>
      <c r="M1904" s="43" t="str">
        <f aca="false">IF(OR($L1904="",$F1904=""),"",IFERROR($L1904/INDEX(Cadastro!$E$6:$E$8,MATCH($F1904,Cadastro!$B$6:$B$8,0)),""))</f>
        <v/>
      </c>
      <c r="N1904" s="43" t="str">
        <f aca="false">IF(OR($L1904="",$I1904="",$I1904=0),"",$L1904/$I1904)</f>
        <v/>
      </c>
      <c r="O1904" s="51"/>
    </row>
    <row r="1905" customFormat="false" ht="15" hidden="false" customHeight="false" outlineLevel="0" collapsed="false">
      <c r="A1905" s="45"/>
      <c r="B1905" s="37" t="str">
        <f aca="false">IF($A1905="","",WEEKNUM($A1905,2))</f>
        <v/>
      </c>
      <c r="C1905" s="37" t="str">
        <f aca="false">IF($A1905="","",CHOOSE(WEEKDAY($A1905,2),"Seg","Ter","Qua","Qui","Sex","Sáb","Dom"))</f>
        <v/>
      </c>
      <c r="D1905" s="46"/>
      <c r="E1905" s="47"/>
      <c r="F1905" s="47"/>
      <c r="G1905" s="48"/>
      <c r="H1905" s="49"/>
      <c r="I1905" s="50"/>
      <c r="J1905" s="48"/>
      <c r="K1905" s="49"/>
      <c r="L1905" s="50"/>
      <c r="M1905" s="43" t="str">
        <f aca="false">IF(OR($L1905="",$F1905=""),"",IFERROR($L1905/INDEX(Cadastro!$E$6:$E$8,MATCH($F1905,Cadastro!$B$6:$B$8,0)),""))</f>
        <v/>
      </c>
      <c r="N1905" s="43" t="str">
        <f aca="false">IF(OR($L1905="",$I1905="",$I1905=0),"",$L1905/$I1905)</f>
        <v/>
      </c>
      <c r="O1905" s="51"/>
    </row>
    <row r="1906" customFormat="false" ht="15" hidden="false" customHeight="false" outlineLevel="0" collapsed="false">
      <c r="A1906" s="45"/>
      <c r="B1906" s="37" t="str">
        <f aca="false">IF($A1906="","",WEEKNUM($A1906,2))</f>
        <v/>
      </c>
      <c r="C1906" s="37" t="str">
        <f aca="false">IF($A1906="","",CHOOSE(WEEKDAY($A1906,2),"Seg","Ter","Qua","Qui","Sex","Sáb","Dom"))</f>
        <v/>
      </c>
      <c r="D1906" s="46"/>
      <c r="E1906" s="47"/>
      <c r="F1906" s="47"/>
      <c r="G1906" s="48"/>
      <c r="H1906" s="49"/>
      <c r="I1906" s="50"/>
      <c r="J1906" s="48"/>
      <c r="K1906" s="49"/>
      <c r="L1906" s="50"/>
      <c r="M1906" s="43" t="str">
        <f aca="false">IF(OR($L1906="",$F1906=""),"",IFERROR($L1906/INDEX(Cadastro!$E$6:$E$8,MATCH($F1906,Cadastro!$B$6:$B$8,0)),""))</f>
        <v/>
      </c>
      <c r="N1906" s="43" t="str">
        <f aca="false">IF(OR($L1906="",$I1906="",$I1906=0),"",$L1906/$I1906)</f>
        <v/>
      </c>
      <c r="O1906" s="51"/>
    </row>
    <row r="1907" customFormat="false" ht="15" hidden="false" customHeight="false" outlineLevel="0" collapsed="false">
      <c r="A1907" s="45"/>
      <c r="B1907" s="37" t="str">
        <f aca="false">IF($A1907="","",WEEKNUM($A1907,2))</f>
        <v/>
      </c>
      <c r="C1907" s="37" t="str">
        <f aca="false">IF($A1907="","",CHOOSE(WEEKDAY($A1907,2),"Seg","Ter","Qua","Qui","Sex","Sáb","Dom"))</f>
        <v/>
      </c>
      <c r="D1907" s="46"/>
      <c r="E1907" s="47"/>
      <c r="F1907" s="47"/>
      <c r="G1907" s="48"/>
      <c r="H1907" s="49"/>
      <c r="I1907" s="50"/>
      <c r="J1907" s="48"/>
      <c r="K1907" s="49"/>
      <c r="L1907" s="50"/>
      <c r="M1907" s="43" t="str">
        <f aca="false">IF(OR($L1907="",$F1907=""),"",IFERROR($L1907/INDEX(Cadastro!$E$6:$E$8,MATCH($F1907,Cadastro!$B$6:$B$8,0)),""))</f>
        <v/>
      </c>
      <c r="N1907" s="43" t="str">
        <f aca="false">IF(OR($L1907="",$I1907="",$I1907=0),"",$L1907/$I1907)</f>
        <v/>
      </c>
      <c r="O1907" s="51"/>
    </row>
    <row r="1908" customFormat="false" ht="15" hidden="false" customHeight="false" outlineLevel="0" collapsed="false">
      <c r="A1908" s="45"/>
      <c r="B1908" s="37" t="str">
        <f aca="false">IF($A1908="","",WEEKNUM($A1908,2))</f>
        <v/>
      </c>
      <c r="C1908" s="37" t="str">
        <f aca="false">IF($A1908="","",CHOOSE(WEEKDAY($A1908,2),"Seg","Ter","Qua","Qui","Sex","Sáb","Dom"))</f>
        <v/>
      </c>
      <c r="D1908" s="46"/>
      <c r="E1908" s="47"/>
      <c r="F1908" s="47"/>
      <c r="G1908" s="48"/>
      <c r="H1908" s="49"/>
      <c r="I1908" s="50"/>
      <c r="J1908" s="48"/>
      <c r="K1908" s="49"/>
      <c r="L1908" s="50"/>
      <c r="M1908" s="43" t="str">
        <f aca="false">IF(OR($L1908="",$F1908=""),"",IFERROR($L1908/INDEX(Cadastro!$E$6:$E$8,MATCH($F1908,Cadastro!$B$6:$B$8,0)),""))</f>
        <v/>
      </c>
      <c r="N1908" s="43" t="str">
        <f aca="false">IF(OR($L1908="",$I1908="",$I1908=0),"",$L1908/$I1908)</f>
        <v/>
      </c>
      <c r="O1908" s="51"/>
    </row>
    <row r="1909" customFormat="false" ht="15" hidden="false" customHeight="false" outlineLevel="0" collapsed="false">
      <c r="A1909" s="45"/>
      <c r="B1909" s="37" t="str">
        <f aca="false">IF($A1909="","",WEEKNUM($A1909,2))</f>
        <v/>
      </c>
      <c r="C1909" s="37" t="str">
        <f aca="false">IF($A1909="","",CHOOSE(WEEKDAY($A1909,2),"Seg","Ter","Qua","Qui","Sex","Sáb","Dom"))</f>
        <v/>
      </c>
      <c r="D1909" s="46"/>
      <c r="E1909" s="47"/>
      <c r="F1909" s="47"/>
      <c r="G1909" s="48"/>
      <c r="H1909" s="49"/>
      <c r="I1909" s="50"/>
      <c r="J1909" s="48"/>
      <c r="K1909" s="49"/>
      <c r="L1909" s="50"/>
      <c r="M1909" s="43" t="str">
        <f aca="false">IF(OR($L1909="",$F1909=""),"",IFERROR($L1909/INDEX(Cadastro!$E$6:$E$8,MATCH($F1909,Cadastro!$B$6:$B$8,0)),""))</f>
        <v/>
      </c>
      <c r="N1909" s="43" t="str">
        <f aca="false">IF(OR($L1909="",$I1909="",$I1909=0),"",$L1909/$I1909)</f>
        <v/>
      </c>
      <c r="O1909" s="51"/>
    </row>
    <row r="1910" customFormat="false" ht="15" hidden="false" customHeight="false" outlineLevel="0" collapsed="false">
      <c r="A1910" s="45"/>
      <c r="B1910" s="37" t="str">
        <f aca="false">IF($A1910="","",WEEKNUM($A1910,2))</f>
        <v/>
      </c>
      <c r="C1910" s="37" t="str">
        <f aca="false">IF($A1910="","",CHOOSE(WEEKDAY($A1910,2),"Seg","Ter","Qua","Qui","Sex","Sáb","Dom"))</f>
        <v/>
      </c>
      <c r="D1910" s="46"/>
      <c r="E1910" s="47"/>
      <c r="F1910" s="47"/>
      <c r="G1910" s="48"/>
      <c r="H1910" s="49"/>
      <c r="I1910" s="50"/>
      <c r="J1910" s="48"/>
      <c r="K1910" s="49"/>
      <c r="L1910" s="50"/>
      <c r="M1910" s="43" t="str">
        <f aca="false">IF(OR($L1910="",$F1910=""),"",IFERROR($L1910/INDEX(Cadastro!$E$6:$E$8,MATCH($F1910,Cadastro!$B$6:$B$8,0)),""))</f>
        <v/>
      </c>
      <c r="N1910" s="43" t="str">
        <f aca="false">IF(OR($L1910="",$I1910="",$I1910=0),"",$L1910/$I1910)</f>
        <v/>
      </c>
      <c r="O1910" s="51"/>
    </row>
    <row r="1911" customFormat="false" ht="15" hidden="false" customHeight="false" outlineLevel="0" collapsed="false">
      <c r="A1911" s="45"/>
      <c r="B1911" s="37" t="str">
        <f aca="false">IF($A1911="","",WEEKNUM($A1911,2))</f>
        <v/>
      </c>
      <c r="C1911" s="37" t="str">
        <f aca="false">IF($A1911="","",CHOOSE(WEEKDAY($A1911,2),"Seg","Ter","Qua","Qui","Sex","Sáb","Dom"))</f>
        <v/>
      </c>
      <c r="D1911" s="46"/>
      <c r="E1911" s="47"/>
      <c r="F1911" s="47"/>
      <c r="G1911" s="48"/>
      <c r="H1911" s="49"/>
      <c r="I1911" s="50"/>
      <c r="J1911" s="48"/>
      <c r="K1911" s="49"/>
      <c r="L1911" s="50"/>
      <c r="M1911" s="43" t="str">
        <f aca="false">IF(OR($L1911="",$F1911=""),"",IFERROR($L1911/INDEX(Cadastro!$E$6:$E$8,MATCH($F1911,Cadastro!$B$6:$B$8,0)),""))</f>
        <v/>
      </c>
      <c r="N1911" s="43" t="str">
        <f aca="false">IF(OR($L1911="",$I1911="",$I1911=0),"",$L1911/$I1911)</f>
        <v/>
      </c>
      <c r="O1911" s="51"/>
    </row>
    <row r="1912" customFormat="false" ht="15" hidden="false" customHeight="false" outlineLevel="0" collapsed="false">
      <c r="A1912" s="45"/>
      <c r="B1912" s="37" t="str">
        <f aca="false">IF($A1912="","",WEEKNUM($A1912,2))</f>
        <v/>
      </c>
      <c r="C1912" s="37" t="str">
        <f aca="false">IF($A1912="","",CHOOSE(WEEKDAY($A1912,2),"Seg","Ter","Qua","Qui","Sex","Sáb","Dom"))</f>
        <v/>
      </c>
      <c r="D1912" s="46"/>
      <c r="E1912" s="47"/>
      <c r="F1912" s="47"/>
      <c r="G1912" s="48"/>
      <c r="H1912" s="49"/>
      <c r="I1912" s="50"/>
      <c r="J1912" s="48"/>
      <c r="K1912" s="49"/>
      <c r="L1912" s="50"/>
      <c r="M1912" s="43" t="str">
        <f aca="false">IF(OR($L1912="",$F1912=""),"",IFERROR($L1912/INDEX(Cadastro!$E$6:$E$8,MATCH($F1912,Cadastro!$B$6:$B$8,0)),""))</f>
        <v/>
      </c>
      <c r="N1912" s="43" t="str">
        <f aca="false">IF(OR($L1912="",$I1912="",$I1912=0),"",$L1912/$I1912)</f>
        <v/>
      </c>
      <c r="O1912" s="51"/>
    </row>
    <row r="1913" customFormat="false" ht="15" hidden="false" customHeight="false" outlineLevel="0" collapsed="false">
      <c r="A1913" s="45"/>
      <c r="B1913" s="37" t="str">
        <f aca="false">IF($A1913="","",WEEKNUM($A1913,2))</f>
        <v/>
      </c>
      <c r="C1913" s="37" t="str">
        <f aca="false">IF($A1913="","",CHOOSE(WEEKDAY($A1913,2),"Seg","Ter","Qua","Qui","Sex","Sáb","Dom"))</f>
        <v/>
      </c>
      <c r="D1913" s="46"/>
      <c r="E1913" s="47"/>
      <c r="F1913" s="47"/>
      <c r="G1913" s="48"/>
      <c r="H1913" s="49"/>
      <c r="I1913" s="50"/>
      <c r="J1913" s="48"/>
      <c r="K1913" s="49"/>
      <c r="L1913" s="50"/>
      <c r="M1913" s="43" t="str">
        <f aca="false">IF(OR($L1913="",$F1913=""),"",IFERROR($L1913/INDEX(Cadastro!$E$6:$E$8,MATCH($F1913,Cadastro!$B$6:$B$8,0)),""))</f>
        <v/>
      </c>
      <c r="N1913" s="43" t="str">
        <f aca="false">IF(OR($L1913="",$I1913="",$I1913=0),"",$L1913/$I1913)</f>
        <v/>
      </c>
      <c r="O1913" s="51"/>
    </row>
    <row r="1914" customFormat="false" ht="15" hidden="false" customHeight="false" outlineLevel="0" collapsed="false">
      <c r="A1914" s="45"/>
      <c r="B1914" s="37" t="str">
        <f aca="false">IF($A1914="","",WEEKNUM($A1914,2))</f>
        <v/>
      </c>
      <c r="C1914" s="37" t="str">
        <f aca="false">IF($A1914="","",CHOOSE(WEEKDAY($A1914,2),"Seg","Ter","Qua","Qui","Sex","Sáb","Dom"))</f>
        <v/>
      </c>
      <c r="D1914" s="46"/>
      <c r="E1914" s="47"/>
      <c r="F1914" s="47"/>
      <c r="G1914" s="48"/>
      <c r="H1914" s="49"/>
      <c r="I1914" s="50"/>
      <c r="J1914" s="48"/>
      <c r="K1914" s="49"/>
      <c r="L1914" s="50"/>
      <c r="M1914" s="43" t="str">
        <f aca="false">IF(OR($L1914="",$F1914=""),"",IFERROR($L1914/INDEX(Cadastro!$E$6:$E$8,MATCH($F1914,Cadastro!$B$6:$B$8,0)),""))</f>
        <v/>
      </c>
      <c r="N1914" s="43" t="str">
        <f aca="false">IF(OR($L1914="",$I1914="",$I1914=0),"",$L1914/$I1914)</f>
        <v/>
      </c>
      <c r="O1914" s="51"/>
    </row>
    <row r="1915" customFormat="false" ht="15" hidden="false" customHeight="false" outlineLevel="0" collapsed="false">
      <c r="A1915" s="45"/>
      <c r="B1915" s="37" t="str">
        <f aca="false">IF($A1915="","",WEEKNUM($A1915,2))</f>
        <v/>
      </c>
      <c r="C1915" s="37" t="str">
        <f aca="false">IF($A1915="","",CHOOSE(WEEKDAY($A1915,2),"Seg","Ter","Qua","Qui","Sex","Sáb","Dom"))</f>
        <v/>
      </c>
      <c r="D1915" s="46"/>
      <c r="E1915" s="47"/>
      <c r="F1915" s="47"/>
      <c r="G1915" s="48"/>
      <c r="H1915" s="49"/>
      <c r="I1915" s="50"/>
      <c r="J1915" s="48"/>
      <c r="K1915" s="49"/>
      <c r="L1915" s="50"/>
      <c r="M1915" s="43" t="str">
        <f aca="false">IF(OR($L1915="",$F1915=""),"",IFERROR($L1915/INDEX(Cadastro!$E$6:$E$8,MATCH($F1915,Cadastro!$B$6:$B$8,0)),""))</f>
        <v/>
      </c>
      <c r="N1915" s="43" t="str">
        <f aca="false">IF(OR($L1915="",$I1915="",$I1915=0),"",$L1915/$I1915)</f>
        <v/>
      </c>
      <c r="O1915" s="51"/>
    </row>
    <row r="1916" customFormat="false" ht="15" hidden="false" customHeight="false" outlineLevel="0" collapsed="false">
      <c r="A1916" s="45"/>
      <c r="B1916" s="37" t="str">
        <f aca="false">IF($A1916="","",WEEKNUM($A1916,2))</f>
        <v/>
      </c>
      <c r="C1916" s="37" t="str">
        <f aca="false">IF($A1916="","",CHOOSE(WEEKDAY($A1916,2),"Seg","Ter","Qua","Qui","Sex","Sáb","Dom"))</f>
        <v/>
      </c>
      <c r="D1916" s="46"/>
      <c r="E1916" s="47"/>
      <c r="F1916" s="47"/>
      <c r="G1916" s="48"/>
      <c r="H1916" s="49"/>
      <c r="I1916" s="50"/>
      <c r="J1916" s="48"/>
      <c r="K1916" s="49"/>
      <c r="L1916" s="50"/>
      <c r="M1916" s="43" t="str">
        <f aca="false">IF(OR($L1916="",$F1916=""),"",IFERROR($L1916/INDEX(Cadastro!$E$6:$E$8,MATCH($F1916,Cadastro!$B$6:$B$8,0)),""))</f>
        <v/>
      </c>
      <c r="N1916" s="43" t="str">
        <f aca="false">IF(OR($L1916="",$I1916="",$I1916=0),"",$L1916/$I1916)</f>
        <v/>
      </c>
      <c r="O1916" s="51"/>
    </row>
    <row r="1917" customFormat="false" ht="15" hidden="false" customHeight="false" outlineLevel="0" collapsed="false">
      <c r="A1917" s="45"/>
      <c r="B1917" s="37" t="str">
        <f aca="false">IF($A1917="","",WEEKNUM($A1917,2))</f>
        <v/>
      </c>
      <c r="C1917" s="37" t="str">
        <f aca="false">IF($A1917="","",CHOOSE(WEEKDAY($A1917,2),"Seg","Ter","Qua","Qui","Sex","Sáb","Dom"))</f>
        <v/>
      </c>
      <c r="D1917" s="46"/>
      <c r="E1917" s="47"/>
      <c r="F1917" s="47"/>
      <c r="G1917" s="48"/>
      <c r="H1917" s="49"/>
      <c r="I1917" s="50"/>
      <c r="J1917" s="48"/>
      <c r="K1917" s="49"/>
      <c r="L1917" s="50"/>
      <c r="M1917" s="43" t="str">
        <f aca="false">IF(OR($L1917="",$F1917=""),"",IFERROR($L1917/INDEX(Cadastro!$E$6:$E$8,MATCH($F1917,Cadastro!$B$6:$B$8,0)),""))</f>
        <v/>
      </c>
      <c r="N1917" s="43" t="str">
        <f aca="false">IF(OR($L1917="",$I1917="",$I1917=0),"",$L1917/$I1917)</f>
        <v/>
      </c>
      <c r="O1917" s="51"/>
    </row>
    <row r="1918" customFormat="false" ht="15" hidden="false" customHeight="false" outlineLevel="0" collapsed="false">
      <c r="A1918" s="45"/>
      <c r="B1918" s="37" t="str">
        <f aca="false">IF($A1918="","",WEEKNUM($A1918,2))</f>
        <v/>
      </c>
      <c r="C1918" s="37" t="str">
        <f aca="false">IF($A1918="","",CHOOSE(WEEKDAY($A1918,2),"Seg","Ter","Qua","Qui","Sex","Sáb","Dom"))</f>
        <v/>
      </c>
      <c r="D1918" s="46"/>
      <c r="E1918" s="47"/>
      <c r="F1918" s="47"/>
      <c r="G1918" s="48"/>
      <c r="H1918" s="49"/>
      <c r="I1918" s="50"/>
      <c r="J1918" s="48"/>
      <c r="K1918" s="49"/>
      <c r="L1918" s="50"/>
      <c r="M1918" s="43" t="str">
        <f aca="false">IF(OR($L1918="",$F1918=""),"",IFERROR($L1918/INDEX(Cadastro!$E$6:$E$8,MATCH($F1918,Cadastro!$B$6:$B$8,0)),""))</f>
        <v/>
      </c>
      <c r="N1918" s="43" t="str">
        <f aca="false">IF(OR($L1918="",$I1918="",$I1918=0),"",$L1918/$I1918)</f>
        <v/>
      </c>
      <c r="O1918" s="51"/>
    </row>
    <row r="1919" customFormat="false" ht="15" hidden="false" customHeight="false" outlineLevel="0" collapsed="false">
      <c r="A1919" s="45"/>
      <c r="B1919" s="37" t="str">
        <f aca="false">IF($A1919="","",WEEKNUM($A1919,2))</f>
        <v/>
      </c>
      <c r="C1919" s="37" t="str">
        <f aca="false">IF($A1919="","",CHOOSE(WEEKDAY($A1919,2),"Seg","Ter","Qua","Qui","Sex","Sáb","Dom"))</f>
        <v/>
      </c>
      <c r="D1919" s="46"/>
      <c r="E1919" s="47"/>
      <c r="F1919" s="47"/>
      <c r="G1919" s="48"/>
      <c r="H1919" s="49"/>
      <c r="I1919" s="50"/>
      <c r="J1919" s="48"/>
      <c r="K1919" s="49"/>
      <c r="L1919" s="50"/>
      <c r="M1919" s="43" t="str">
        <f aca="false">IF(OR($L1919="",$F1919=""),"",IFERROR($L1919/INDEX(Cadastro!$E$6:$E$8,MATCH($F1919,Cadastro!$B$6:$B$8,0)),""))</f>
        <v/>
      </c>
      <c r="N1919" s="43" t="str">
        <f aca="false">IF(OR($L1919="",$I1919="",$I1919=0),"",$L1919/$I1919)</f>
        <v/>
      </c>
      <c r="O1919" s="51"/>
    </row>
    <row r="1920" customFormat="false" ht="15" hidden="false" customHeight="false" outlineLevel="0" collapsed="false">
      <c r="A1920" s="45"/>
      <c r="B1920" s="37" t="str">
        <f aca="false">IF($A1920="","",WEEKNUM($A1920,2))</f>
        <v/>
      </c>
      <c r="C1920" s="37" t="str">
        <f aca="false">IF($A1920="","",CHOOSE(WEEKDAY($A1920,2),"Seg","Ter","Qua","Qui","Sex","Sáb","Dom"))</f>
        <v/>
      </c>
      <c r="D1920" s="46"/>
      <c r="E1920" s="47"/>
      <c r="F1920" s="47"/>
      <c r="G1920" s="48"/>
      <c r="H1920" s="49"/>
      <c r="I1920" s="50"/>
      <c r="J1920" s="48"/>
      <c r="K1920" s="49"/>
      <c r="L1920" s="50"/>
      <c r="M1920" s="43" t="str">
        <f aca="false">IF(OR($L1920="",$F1920=""),"",IFERROR($L1920/INDEX(Cadastro!$E$6:$E$8,MATCH($F1920,Cadastro!$B$6:$B$8,0)),""))</f>
        <v/>
      </c>
      <c r="N1920" s="43" t="str">
        <f aca="false">IF(OR($L1920="",$I1920="",$I1920=0),"",$L1920/$I1920)</f>
        <v/>
      </c>
      <c r="O1920" s="51"/>
    </row>
    <row r="1921" customFormat="false" ht="15" hidden="false" customHeight="false" outlineLevel="0" collapsed="false">
      <c r="A1921" s="45"/>
      <c r="B1921" s="37" t="str">
        <f aca="false">IF($A1921="","",WEEKNUM($A1921,2))</f>
        <v/>
      </c>
      <c r="C1921" s="37" t="str">
        <f aca="false">IF($A1921="","",CHOOSE(WEEKDAY($A1921,2),"Seg","Ter","Qua","Qui","Sex","Sáb","Dom"))</f>
        <v/>
      </c>
      <c r="D1921" s="46"/>
      <c r="E1921" s="47"/>
      <c r="F1921" s="47"/>
      <c r="G1921" s="48"/>
      <c r="H1921" s="49"/>
      <c r="I1921" s="50"/>
      <c r="J1921" s="48"/>
      <c r="K1921" s="49"/>
      <c r="L1921" s="50"/>
      <c r="M1921" s="43" t="str">
        <f aca="false">IF(OR($L1921="",$F1921=""),"",IFERROR($L1921/INDEX(Cadastro!$E$6:$E$8,MATCH($F1921,Cadastro!$B$6:$B$8,0)),""))</f>
        <v/>
      </c>
      <c r="N1921" s="43" t="str">
        <f aca="false">IF(OR($L1921="",$I1921="",$I1921=0),"",$L1921/$I1921)</f>
        <v/>
      </c>
      <c r="O1921" s="51"/>
    </row>
    <row r="1922" customFormat="false" ht="15" hidden="false" customHeight="false" outlineLevel="0" collapsed="false">
      <c r="A1922" s="45"/>
      <c r="B1922" s="37" t="str">
        <f aca="false">IF($A1922="","",WEEKNUM($A1922,2))</f>
        <v/>
      </c>
      <c r="C1922" s="37" t="str">
        <f aca="false">IF($A1922="","",CHOOSE(WEEKDAY($A1922,2),"Seg","Ter","Qua","Qui","Sex","Sáb","Dom"))</f>
        <v/>
      </c>
      <c r="D1922" s="46"/>
      <c r="E1922" s="47"/>
      <c r="F1922" s="47"/>
      <c r="G1922" s="48"/>
      <c r="H1922" s="49"/>
      <c r="I1922" s="50"/>
      <c r="J1922" s="48"/>
      <c r="K1922" s="49"/>
      <c r="L1922" s="50"/>
      <c r="M1922" s="43" t="str">
        <f aca="false">IF(OR($L1922="",$F1922=""),"",IFERROR($L1922/INDEX(Cadastro!$E$6:$E$8,MATCH($F1922,Cadastro!$B$6:$B$8,0)),""))</f>
        <v/>
      </c>
      <c r="N1922" s="43" t="str">
        <f aca="false">IF(OR($L1922="",$I1922="",$I1922=0),"",$L1922/$I1922)</f>
        <v/>
      </c>
      <c r="O1922" s="51"/>
    </row>
    <row r="1923" customFormat="false" ht="15" hidden="false" customHeight="false" outlineLevel="0" collapsed="false">
      <c r="A1923" s="45"/>
      <c r="B1923" s="37" t="str">
        <f aca="false">IF($A1923="","",WEEKNUM($A1923,2))</f>
        <v/>
      </c>
      <c r="C1923" s="37" t="str">
        <f aca="false">IF($A1923="","",CHOOSE(WEEKDAY($A1923,2),"Seg","Ter","Qua","Qui","Sex","Sáb","Dom"))</f>
        <v/>
      </c>
      <c r="D1923" s="46"/>
      <c r="E1923" s="47"/>
      <c r="F1923" s="47"/>
      <c r="G1923" s="48"/>
      <c r="H1923" s="49"/>
      <c r="I1923" s="50"/>
      <c r="J1923" s="48"/>
      <c r="K1923" s="49"/>
      <c r="L1923" s="50"/>
      <c r="M1923" s="43" t="str">
        <f aca="false">IF(OR($L1923="",$F1923=""),"",IFERROR($L1923/INDEX(Cadastro!$E$6:$E$8,MATCH($F1923,Cadastro!$B$6:$B$8,0)),""))</f>
        <v/>
      </c>
      <c r="N1923" s="43" t="str">
        <f aca="false">IF(OR($L1923="",$I1923="",$I1923=0),"",$L1923/$I1923)</f>
        <v/>
      </c>
      <c r="O1923" s="51"/>
    </row>
    <row r="1924" customFormat="false" ht="15" hidden="false" customHeight="false" outlineLevel="0" collapsed="false">
      <c r="A1924" s="45"/>
      <c r="B1924" s="37" t="str">
        <f aca="false">IF($A1924="","",WEEKNUM($A1924,2))</f>
        <v/>
      </c>
      <c r="C1924" s="37" t="str">
        <f aca="false">IF($A1924="","",CHOOSE(WEEKDAY($A1924,2),"Seg","Ter","Qua","Qui","Sex","Sáb","Dom"))</f>
        <v/>
      </c>
      <c r="D1924" s="46"/>
      <c r="E1924" s="47"/>
      <c r="F1924" s="47"/>
      <c r="G1924" s="48"/>
      <c r="H1924" s="49"/>
      <c r="I1924" s="50"/>
      <c r="J1924" s="48"/>
      <c r="K1924" s="49"/>
      <c r="L1924" s="50"/>
      <c r="M1924" s="43" t="str">
        <f aca="false">IF(OR($L1924="",$F1924=""),"",IFERROR($L1924/INDEX(Cadastro!$E$6:$E$8,MATCH($F1924,Cadastro!$B$6:$B$8,0)),""))</f>
        <v/>
      </c>
      <c r="N1924" s="43" t="str">
        <f aca="false">IF(OR($L1924="",$I1924="",$I1924=0),"",$L1924/$I1924)</f>
        <v/>
      </c>
      <c r="O1924" s="51"/>
    </row>
    <row r="1925" customFormat="false" ht="15" hidden="false" customHeight="false" outlineLevel="0" collapsed="false">
      <c r="A1925" s="45"/>
      <c r="B1925" s="37" t="str">
        <f aca="false">IF($A1925="","",WEEKNUM($A1925,2))</f>
        <v/>
      </c>
      <c r="C1925" s="37" t="str">
        <f aca="false">IF($A1925="","",CHOOSE(WEEKDAY($A1925,2),"Seg","Ter","Qua","Qui","Sex","Sáb","Dom"))</f>
        <v/>
      </c>
      <c r="D1925" s="46"/>
      <c r="E1925" s="47"/>
      <c r="F1925" s="47"/>
      <c r="G1925" s="48"/>
      <c r="H1925" s="49"/>
      <c r="I1925" s="50"/>
      <c r="J1925" s="48"/>
      <c r="K1925" s="49"/>
      <c r="L1925" s="50"/>
      <c r="M1925" s="43" t="str">
        <f aca="false">IF(OR($L1925="",$F1925=""),"",IFERROR($L1925/INDEX(Cadastro!$E$6:$E$8,MATCH($F1925,Cadastro!$B$6:$B$8,0)),""))</f>
        <v/>
      </c>
      <c r="N1925" s="43" t="str">
        <f aca="false">IF(OR($L1925="",$I1925="",$I1925=0),"",$L1925/$I1925)</f>
        <v/>
      </c>
      <c r="O1925" s="51"/>
    </row>
    <row r="1926" customFormat="false" ht="15" hidden="false" customHeight="false" outlineLevel="0" collapsed="false">
      <c r="A1926" s="45"/>
      <c r="B1926" s="37" t="str">
        <f aca="false">IF($A1926="","",WEEKNUM($A1926,2))</f>
        <v/>
      </c>
      <c r="C1926" s="37" t="str">
        <f aca="false">IF($A1926="","",CHOOSE(WEEKDAY($A1926,2),"Seg","Ter","Qua","Qui","Sex","Sáb","Dom"))</f>
        <v/>
      </c>
      <c r="D1926" s="46"/>
      <c r="E1926" s="47"/>
      <c r="F1926" s="47"/>
      <c r="G1926" s="48"/>
      <c r="H1926" s="49"/>
      <c r="I1926" s="50"/>
      <c r="J1926" s="48"/>
      <c r="K1926" s="49"/>
      <c r="L1926" s="50"/>
      <c r="M1926" s="43" t="str">
        <f aca="false">IF(OR($L1926="",$F1926=""),"",IFERROR($L1926/INDEX(Cadastro!$E$6:$E$8,MATCH($F1926,Cadastro!$B$6:$B$8,0)),""))</f>
        <v/>
      </c>
      <c r="N1926" s="43" t="str">
        <f aca="false">IF(OR($L1926="",$I1926="",$I1926=0),"",$L1926/$I1926)</f>
        <v/>
      </c>
      <c r="O1926" s="51"/>
    </row>
    <row r="1927" customFormat="false" ht="15" hidden="false" customHeight="false" outlineLevel="0" collapsed="false">
      <c r="A1927" s="45"/>
      <c r="B1927" s="37" t="str">
        <f aca="false">IF($A1927="","",WEEKNUM($A1927,2))</f>
        <v/>
      </c>
      <c r="C1927" s="37" t="str">
        <f aca="false">IF($A1927="","",CHOOSE(WEEKDAY($A1927,2),"Seg","Ter","Qua","Qui","Sex","Sáb","Dom"))</f>
        <v/>
      </c>
      <c r="D1927" s="46"/>
      <c r="E1927" s="47"/>
      <c r="F1927" s="47"/>
      <c r="G1927" s="48"/>
      <c r="H1927" s="49"/>
      <c r="I1927" s="50"/>
      <c r="J1927" s="48"/>
      <c r="K1927" s="49"/>
      <c r="L1927" s="50"/>
      <c r="M1927" s="43" t="str">
        <f aca="false">IF(OR($L1927="",$F1927=""),"",IFERROR($L1927/INDEX(Cadastro!$E$6:$E$8,MATCH($F1927,Cadastro!$B$6:$B$8,0)),""))</f>
        <v/>
      </c>
      <c r="N1927" s="43" t="str">
        <f aca="false">IF(OR($L1927="",$I1927="",$I1927=0),"",$L1927/$I1927)</f>
        <v/>
      </c>
      <c r="O1927" s="51"/>
    </row>
    <row r="1928" customFormat="false" ht="15" hidden="false" customHeight="false" outlineLevel="0" collapsed="false">
      <c r="A1928" s="45"/>
      <c r="B1928" s="37" t="str">
        <f aca="false">IF($A1928="","",WEEKNUM($A1928,2))</f>
        <v/>
      </c>
      <c r="C1928" s="37" t="str">
        <f aca="false">IF($A1928="","",CHOOSE(WEEKDAY($A1928,2),"Seg","Ter","Qua","Qui","Sex","Sáb","Dom"))</f>
        <v/>
      </c>
      <c r="D1928" s="46"/>
      <c r="E1928" s="47"/>
      <c r="F1928" s="47"/>
      <c r="G1928" s="48"/>
      <c r="H1928" s="49"/>
      <c r="I1928" s="50"/>
      <c r="J1928" s="48"/>
      <c r="K1928" s="49"/>
      <c r="L1928" s="50"/>
      <c r="M1928" s="43" t="str">
        <f aca="false">IF(OR($L1928="",$F1928=""),"",IFERROR($L1928/INDEX(Cadastro!$E$6:$E$8,MATCH($F1928,Cadastro!$B$6:$B$8,0)),""))</f>
        <v/>
      </c>
      <c r="N1928" s="43" t="str">
        <f aca="false">IF(OR($L1928="",$I1928="",$I1928=0),"",$L1928/$I1928)</f>
        <v/>
      </c>
      <c r="O1928" s="51"/>
    </row>
    <row r="1929" customFormat="false" ht="15" hidden="false" customHeight="false" outlineLevel="0" collapsed="false">
      <c r="A1929" s="45"/>
      <c r="B1929" s="37" t="str">
        <f aca="false">IF($A1929="","",WEEKNUM($A1929,2))</f>
        <v/>
      </c>
      <c r="C1929" s="37" t="str">
        <f aca="false">IF($A1929="","",CHOOSE(WEEKDAY($A1929,2),"Seg","Ter","Qua","Qui","Sex","Sáb","Dom"))</f>
        <v/>
      </c>
      <c r="D1929" s="46"/>
      <c r="E1929" s="47"/>
      <c r="F1929" s="47"/>
      <c r="G1929" s="48"/>
      <c r="H1929" s="49"/>
      <c r="I1929" s="50"/>
      <c r="J1929" s="48"/>
      <c r="K1929" s="49"/>
      <c r="L1929" s="50"/>
      <c r="M1929" s="43" t="str">
        <f aca="false">IF(OR($L1929="",$F1929=""),"",IFERROR($L1929/INDEX(Cadastro!$E$6:$E$8,MATCH($F1929,Cadastro!$B$6:$B$8,0)),""))</f>
        <v/>
      </c>
      <c r="N1929" s="43" t="str">
        <f aca="false">IF(OR($L1929="",$I1929="",$I1929=0),"",$L1929/$I1929)</f>
        <v/>
      </c>
      <c r="O1929" s="51"/>
    </row>
    <row r="1930" customFormat="false" ht="15" hidden="false" customHeight="false" outlineLevel="0" collapsed="false">
      <c r="A1930" s="45"/>
      <c r="B1930" s="37" t="str">
        <f aca="false">IF($A1930="","",WEEKNUM($A1930,2))</f>
        <v/>
      </c>
      <c r="C1930" s="37" t="str">
        <f aca="false">IF($A1930="","",CHOOSE(WEEKDAY($A1930,2),"Seg","Ter","Qua","Qui","Sex","Sáb","Dom"))</f>
        <v/>
      </c>
      <c r="D1930" s="46"/>
      <c r="E1930" s="47"/>
      <c r="F1930" s="47"/>
      <c r="G1930" s="48"/>
      <c r="H1930" s="49"/>
      <c r="I1930" s="50"/>
      <c r="J1930" s="48"/>
      <c r="K1930" s="49"/>
      <c r="L1930" s="50"/>
      <c r="M1930" s="43" t="str">
        <f aca="false">IF(OR($L1930="",$F1930=""),"",IFERROR($L1930/INDEX(Cadastro!$E$6:$E$8,MATCH($F1930,Cadastro!$B$6:$B$8,0)),""))</f>
        <v/>
      </c>
      <c r="N1930" s="43" t="str">
        <f aca="false">IF(OR($L1930="",$I1930="",$I1930=0),"",$L1930/$I1930)</f>
        <v/>
      </c>
      <c r="O1930" s="51"/>
    </row>
    <row r="1931" customFormat="false" ht="15" hidden="false" customHeight="false" outlineLevel="0" collapsed="false">
      <c r="A1931" s="45"/>
      <c r="B1931" s="37" t="str">
        <f aca="false">IF($A1931="","",WEEKNUM($A1931,2))</f>
        <v/>
      </c>
      <c r="C1931" s="37" t="str">
        <f aca="false">IF($A1931="","",CHOOSE(WEEKDAY($A1931,2),"Seg","Ter","Qua","Qui","Sex","Sáb","Dom"))</f>
        <v/>
      </c>
      <c r="D1931" s="46"/>
      <c r="E1931" s="47"/>
      <c r="F1931" s="47"/>
      <c r="G1931" s="48"/>
      <c r="H1931" s="49"/>
      <c r="I1931" s="50"/>
      <c r="J1931" s="48"/>
      <c r="K1931" s="49"/>
      <c r="L1931" s="50"/>
      <c r="M1931" s="43" t="str">
        <f aca="false">IF(OR($L1931="",$F1931=""),"",IFERROR($L1931/INDEX(Cadastro!$E$6:$E$8,MATCH($F1931,Cadastro!$B$6:$B$8,0)),""))</f>
        <v/>
      </c>
      <c r="N1931" s="43" t="str">
        <f aca="false">IF(OR($L1931="",$I1931="",$I1931=0),"",$L1931/$I1931)</f>
        <v/>
      </c>
      <c r="O1931" s="51"/>
    </row>
    <row r="1932" customFormat="false" ht="15" hidden="false" customHeight="false" outlineLevel="0" collapsed="false">
      <c r="A1932" s="45"/>
      <c r="B1932" s="37" t="str">
        <f aca="false">IF($A1932="","",WEEKNUM($A1932,2))</f>
        <v/>
      </c>
      <c r="C1932" s="37" t="str">
        <f aca="false">IF($A1932="","",CHOOSE(WEEKDAY($A1932,2),"Seg","Ter","Qua","Qui","Sex","Sáb","Dom"))</f>
        <v/>
      </c>
      <c r="D1932" s="46"/>
      <c r="E1932" s="47"/>
      <c r="F1932" s="47"/>
      <c r="G1932" s="48"/>
      <c r="H1932" s="49"/>
      <c r="I1932" s="50"/>
      <c r="J1932" s="48"/>
      <c r="K1932" s="49"/>
      <c r="L1932" s="50"/>
      <c r="M1932" s="43" t="str">
        <f aca="false">IF(OR($L1932="",$F1932=""),"",IFERROR($L1932/INDEX(Cadastro!$E$6:$E$8,MATCH($F1932,Cadastro!$B$6:$B$8,0)),""))</f>
        <v/>
      </c>
      <c r="N1932" s="43" t="str">
        <f aca="false">IF(OR($L1932="",$I1932="",$I1932=0),"",$L1932/$I1932)</f>
        <v/>
      </c>
      <c r="O1932" s="51"/>
    </row>
    <row r="1933" customFormat="false" ht="15" hidden="false" customHeight="false" outlineLevel="0" collapsed="false">
      <c r="A1933" s="45"/>
      <c r="B1933" s="37" t="str">
        <f aca="false">IF($A1933="","",WEEKNUM($A1933,2))</f>
        <v/>
      </c>
      <c r="C1933" s="37" t="str">
        <f aca="false">IF($A1933="","",CHOOSE(WEEKDAY($A1933,2),"Seg","Ter","Qua","Qui","Sex","Sáb","Dom"))</f>
        <v/>
      </c>
      <c r="D1933" s="46"/>
      <c r="E1933" s="47"/>
      <c r="F1933" s="47"/>
      <c r="G1933" s="48"/>
      <c r="H1933" s="49"/>
      <c r="I1933" s="50"/>
      <c r="J1933" s="48"/>
      <c r="K1933" s="49"/>
      <c r="L1933" s="50"/>
      <c r="M1933" s="43" t="str">
        <f aca="false">IF(OR($L1933="",$F1933=""),"",IFERROR($L1933/INDEX(Cadastro!$E$6:$E$8,MATCH($F1933,Cadastro!$B$6:$B$8,0)),""))</f>
        <v/>
      </c>
      <c r="N1933" s="43" t="str">
        <f aca="false">IF(OR($L1933="",$I1933="",$I1933=0),"",$L1933/$I1933)</f>
        <v/>
      </c>
      <c r="O1933" s="51"/>
    </row>
    <row r="1934" customFormat="false" ht="15" hidden="false" customHeight="false" outlineLevel="0" collapsed="false">
      <c r="A1934" s="45"/>
      <c r="B1934" s="37" t="str">
        <f aca="false">IF($A1934="","",WEEKNUM($A1934,2))</f>
        <v/>
      </c>
      <c r="C1934" s="37" t="str">
        <f aca="false">IF($A1934="","",CHOOSE(WEEKDAY($A1934,2),"Seg","Ter","Qua","Qui","Sex","Sáb","Dom"))</f>
        <v/>
      </c>
      <c r="D1934" s="46"/>
      <c r="E1934" s="47"/>
      <c r="F1934" s="47"/>
      <c r="G1934" s="48"/>
      <c r="H1934" s="49"/>
      <c r="I1934" s="50"/>
      <c r="J1934" s="48"/>
      <c r="K1934" s="49"/>
      <c r="L1934" s="50"/>
      <c r="M1934" s="43" t="str">
        <f aca="false">IF(OR($L1934="",$F1934=""),"",IFERROR($L1934/INDEX(Cadastro!$E$6:$E$8,MATCH($F1934,Cadastro!$B$6:$B$8,0)),""))</f>
        <v/>
      </c>
      <c r="N1934" s="43" t="str">
        <f aca="false">IF(OR($L1934="",$I1934="",$I1934=0),"",$L1934/$I1934)</f>
        <v/>
      </c>
      <c r="O1934" s="51"/>
    </row>
    <row r="1935" customFormat="false" ht="15" hidden="false" customHeight="false" outlineLevel="0" collapsed="false">
      <c r="A1935" s="45"/>
      <c r="B1935" s="37" t="str">
        <f aca="false">IF($A1935="","",WEEKNUM($A1935,2))</f>
        <v/>
      </c>
      <c r="C1935" s="37" t="str">
        <f aca="false">IF($A1935="","",CHOOSE(WEEKDAY($A1935,2),"Seg","Ter","Qua","Qui","Sex","Sáb","Dom"))</f>
        <v/>
      </c>
      <c r="D1935" s="46"/>
      <c r="E1935" s="47"/>
      <c r="F1935" s="47"/>
      <c r="G1935" s="48"/>
      <c r="H1935" s="49"/>
      <c r="I1935" s="50"/>
      <c r="J1935" s="48"/>
      <c r="K1935" s="49"/>
      <c r="L1935" s="50"/>
      <c r="M1935" s="43" t="str">
        <f aca="false">IF(OR($L1935="",$F1935=""),"",IFERROR($L1935/INDEX(Cadastro!$E$6:$E$8,MATCH($F1935,Cadastro!$B$6:$B$8,0)),""))</f>
        <v/>
      </c>
      <c r="N1935" s="43" t="str">
        <f aca="false">IF(OR($L1935="",$I1935="",$I1935=0),"",$L1935/$I1935)</f>
        <v/>
      </c>
      <c r="O1935" s="51"/>
    </row>
    <row r="1936" customFormat="false" ht="15" hidden="false" customHeight="false" outlineLevel="0" collapsed="false">
      <c r="A1936" s="45"/>
      <c r="B1936" s="37" t="str">
        <f aca="false">IF($A1936="","",WEEKNUM($A1936,2))</f>
        <v/>
      </c>
      <c r="C1936" s="37" t="str">
        <f aca="false">IF($A1936="","",CHOOSE(WEEKDAY($A1936,2),"Seg","Ter","Qua","Qui","Sex","Sáb","Dom"))</f>
        <v/>
      </c>
      <c r="D1936" s="46"/>
      <c r="E1936" s="47"/>
      <c r="F1936" s="47"/>
      <c r="G1936" s="48"/>
      <c r="H1936" s="49"/>
      <c r="I1936" s="50"/>
      <c r="J1936" s="48"/>
      <c r="K1936" s="49"/>
      <c r="L1936" s="50"/>
      <c r="M1936" s="43" t="str">
        <f aca="false">IF(OR($L1936="",$F1936=""),"",IFERROR($L1936/INDEX(Cadastro!$E$6:$E$8,MATCH($F1936,Cadastro!$B$6:$B$8,0)),""))</f>
        <v/>
      </c>
      <c r="N1936" s="43" t="str">
        <f aca="false">IF(OR($L1936="",$I1936="",$I1936=0),"",$L1936/$I1936)</f>
        <v/>
      </c>
      <c r="O1936" s="51"/>
    </row>
    <row r="1937" customFormat="false" ht="15" hidden="false" customHeight="false" outlineLevel="0" collapsed="false">
      <c r="A1937" s="45"/>
      <c r="B1937" s="37" t="str">
        <f aca="false">IF($A1937="","",WEEKNUM($A1937,2))</f>
        <v/>
      </c>
      <c r="C1937" s="37" t="str">
        <f aca="false">IF($A1937="","",CHOOSE(WEEKDAY($A1937,2),"Seg","Ter","Qua","Qui","Sex","Sáb","Dom"))</f>
        <v/>
      </c>
      <c r="D1937" s="46"/>
      <c r="E1937" s="47"/>
      <c r="F1937" s="47"/>
      <c r="G1937" s="48"/>
      <c r="H1937" s="49"/>
      <c r="I1937" s="50"/>
      <c r="J1937" s="48"/>
      <c r="K1937" s="49"/>
      <c r="L1937" s="50"/>
      <c r="M1937" s="43" t="str">
        <f aca="false">IF(OR($L1937="",$F1937=""),"",IFERROR($L1937/INDEX(Cadastro!$E$6:$E$8,MATCH($F1937,Cadastro!$B$6:$B$8,0)),""))</f>
        <v/>
      </c>
      <c r="N1937" s="43" t="str">
        <f aca="false">IF(OR($L1937="",$I1937="",$I1937=0),"",$L1937/$I1937)</f>
        <v/>
      </c>
      <c r="O1937" s="51"/>
    </row>
    <row r="1938" customFormat="false" ht="15" hidden="false" customHeight="false" outlineLevel="0" collapsed="false">
      <c r="A1938" s="45"/>
      <c r="B1938" s="37" t="str">
        <f aca="false">IF($A1938="","",WEEKNUM($A1938,2))</f>
        <v/>
      </c>
      <c r="C1938" s="37" t="str">
        <f aca="false">IF($A1938="","",CHOOSE(WEEKDAY($A1938,2),"Seg","Ter","Qua","Qui","Sex","Sáb","Dom"))</f>
        <v/>
      </c>
      <c r="D1938" s="46"/>
      <c r="E1938" s="47"/>
      <c r="F1938" s="47"/>
      <c r="G1938" s="48"/>
      <c r="H1938" s="49"/>
      <c r="I1938" s="50"/>
      <c r="J1938" s="48"/>
      <c r="K1938" s="49"/>
      <c r="L1938" s="50"/>
      <c r="M1938" s="43" t="str">
        <f aca="false">IF(OR($L1938="",$F1938=""),"",IFERROR($L1938/INDEX(Cadastro!$E$6:$E$8,MATCH($F1938,Cadastro!$B$6:$B$8,0)),""))</f>
        <v/>
      </c>
      <c r="N1938" s="43" t="str">
        <f aca="false">IF(OR($L1938="",$I1938="",$I1938=0),"",$L1938/$I1938)</f>
        <v/>
      </c>
      <c r="O1938" s="51"/>
    </row>
    <row r="1939" customFormat="false" ht="15" hidden="false" customHeight="false" outlineLevel="0" collapsed="false">
      <c r="A1939" s="45"/>
      <c r="B1939" s="37" t="str">
        <f aca="false">IF($A1939="","",WEEKNUM($A1939,2))</f>
        <v/>
      </c>
      <c r="C1939" s="37" t="str">
        <f aca="false">IF($A1939="","",CHOOSE(WEEKDAY($A1939,2),"Seg","Ter","Qua","Qui","Sex","Sáb","Dom"))</f>
        <v/>
      </c>
      <c r="D1939" s="46"/>
      <c r="E1939" s="47"/>
      <c r="F1939" s="47"/>
      <c r="G1939" s="48"/>
      <c r="H1939" s="49"/>
      <c r="I1939" s="50"/>
      <c r="J1939" s="48"/>
      <c r="K1939" s="49"/>
      <c r="L1939" s="50"/>
      <c r="M1939" s="43" t="str">
        <f aca="false">IF(OR($L1939="",$F1939=""),"",IFERROR($L1939/INDEX(Cadastro!$E$6:$E$8,MATCH($F1939,Cadastro!$B$6:$B$8,0)),""))</f>
        <v/>
      </c>
      <c r="N1939" s="43" t="str">
        <f aca="false">IF(OR($L1939="",$I1939="",$I1939=0),"",$L1939/$I1939)</f>
        <v/>
      </c>
      <c r="O1939" s="51"/>
    </row>
    <row r="1940" customFormat="false" ht="15" hidden="false" customHeight="false" outlineLevel="0" collapsed="false">
      <c r="A1940" s="45"/>
      <c r="B1940" s="37" t="str">
        <f aca="false">IF($A1940="","",WEEKNUM($A1940,2))</f>
        <v/>
      </c>
      <c r="C1940" s="37" t="str">
        <f aca="false">IF($A1940="","",CHOOSE(WEEKDAY($A1940,2),"Seg","Ter","Qua","Qui","Sex","Sáb","Dom"))</f>
        <v/>
      </c>
      <c r="D1940" s="46"/>
      <c r="E1940" s="47"/>
      <c r="F1940" s="47"/>
      <c r="G1940" s="48"/>
      <c r="H1940" s="49"/>
      <c r="I1940" s="50"/>
      <c r="J1940" s="48"/>
      <c r="K1940" s="49"/>
      <c r="L1940" s="50"/>
      <c r="M1940" s="43" t="str">
        <f aca="false">IF(OR($L1940="",$F1940=""),"",IFERROR($L1940/INDEX(Cadastro!$E$6:$E$8,MATCH($F1940,Cadastro!$B$6:$B$8,0)),""))</f>
        <v/>
      </c>
      <c r="N1940" s="43" t="str">
        <f aca="false">IF(OR($L1940="",$I1940="",$I1940=0),"",$L1940/$I1940)</f>
        <v/>
      </c>
      <c r="O1940" s="51"/>
    </row>
    <row r="1941" customFormat="false" ht="15" hidden="false" customHeight="false" outlineLevel="0" collapsed="false">
      <c r="A1941" s="45"/>
      <c r="B1941" s="37" t="str">
        <f aca="false">IF($A1941="","",WEEKNUM($A1941,2))</f>
        <v/>
      </c>
      <c r="C1941" s="37" t="str">
        <f aca="false">IF($A1941="","",CHOOSE(WEEKDAY($A1941,2),"Seg","Ter","Qua","Qui","Sex","Sáb","Dom"))</f>
        <v/>
      </c>
      <c r="D1941" s="46"/>
      <c r="E1941" s="47"/>
      <c r="F1941" s="47"/>
      <c r="G1941" s="48"/>
      <c r="H1941" s="49"/>
      <c r="I1941" s="50"/>
      <c r="J1941" s="48"/>
      <c r="K1941" s="49"/>
      <c r="L1941" s="50"/>
      <c r="M1941" s="43" t="str">
        <f aca="false">IF(OR($L1941="",$F1941=""),"",IFERROR($L1941/INDEX(Cadastro!$E$6:$E$8,MATCH($F1941,Cadastro!$B$6:$B$8,0)),""))</f>
        <v/>
      </c>
      <c r="N1941" s="43" t="str">
        <f aca="false">IF(OR($L1941="",$I1941="",$I1941=0),"",$L1941/$I1941)</f>
        <v/>
      </c>
      <c r="O1941" s="51"/>
    </row>
    <row r="1942" customFormat="false" ht="15" hidden="false" customHeight="false" outlineLevel="0" collapsed="false">
      <c r="A1942" s="45"/>
      <c r="B1942" s="37" t="str">
        <f aca="false">IF($A1942="","",WEEKNUM($A1942,2))</f>
        <v/>
      </c>
      <c r="C1942" s="37" t="str">
        <f aca="false">IF($A1942="","",CHOOSE(WEEKDAY($A1942,2),"Seg","Ter","Qua","Qui","Sex","Sáb","Dom"))</f>
        <v/>
      </c>
      <c r="D1942" s="46"/>
      <c r="E1942" s="47"/>
      <c r="F1942" s="47"/>
      <c r="G1942" s="48"/>
      <c r="H1942" s="49"/>
      <c r="I1942" s="50"/>
      <c r="J1942" s="48"/>
      <c r="K1942" s="49"/>
      <c r="L1942" s="50"/>
      <c r="M1942" s="43" t="str">
        <f aca="false">IF(OR($L1942="",$F1942=""),"",IFERROR($L1942/INDEX(Cadastro!$E$6:$E$8,MATCH($F1942,Cadastro!$B$6:$B$8,0)),""))</f>
        <v/>
      </c>
      <c r="N1942" s="43" t="str">
        <f aca="false">IF(OR($L1942="",$I1942="",$I1942=0),"",$L1942/$I1942)</f>
        <v/>
      </c>
      <c r="O1942" s="51"/>
    </row>
    <row r="1943" customFormat="false" ht="15" hidden="false" customHeight="false" outlineLevel="0" collapsed="false">
      <c r="A1943" s="45"/>
      <c r="B1943" s="37" t="str">
        <f aca="false">IF($A1943="","",WEEKNUM($A1943,2))</f>
        <v/>
      </c>
      <c r="C1943" s="37" t="str">
        <f aca="false">IF($A1943="","",CHOOSE(WEEKDAY($A1943,2),"Seg","Ter","Qua","Qui","Sex","Sáb","Dom"))</f>
        <v/>
      </c>
      <c r="D1943" s="46"/>
      <c r="E1943" s="47"/>
      <c r="F1943" s="47"/>
      <c r="G1943" s="48"/>
      <c r="H1943" s="49"/>
      <c r="I1943" s="50"/>
      <c r="J1943" s="48"/>
      <c r="K1943" s="49"/>
      <c r="L1943" s="50"/>
      <c r="M1943" s="43" t="str">
        <f aca="false">IF(OR($L1943="",$F1943=""),"",IFERROR($L1943/INDEX(Cadastro!$E$6:$E$8,MATCH($F1943,Cadastro!$B$6:$B$8,0)),""))</f>
        <v/>
      </c>
      <c r="N1943" s="43" t="str">
        <f aca="false">IF(OR($L1943="",$I1943="",$I1943=0),"",$L1943/$I1943)</f>
        <v/>
      </c>
      <c r="O1943" s="51"/>
    </row>
    <row r="1944" customFormat="false" ht="15" hidden="false" customHeight="false" outlineLevel="0" collapsed="false">
      <c r="A1944" s="45"/>
      <c r="B1944" s="37" t="str">
        <f aca="false">IF($A1944="","",WEEKNUM($A1944,2))</f>
        <v/>
      </c>
      <c r="C1944" s="37" t="str">
        <f aca="false">IF($A1944="","",CHOOSE(WEEKDAY($A1944,2),"Seg","Ter","Qua","Qui","Sex","Sáb","Dom"))</f>
        <v/>
      </c>
      <c r="D1944" s="46"/>
      <c r="E1944" s="47"/>
      <c r="F1944" s="47"/>
      <c r="G1944" s="48"/>
      <c r="H1944" s="49"/>
      <c r="I1944" s="50"/>
      <c r="J1944" s="48"/>
      <c r="K1944" s="49"/>
      <c r="L1944" s="50"/>
      <c r="M1944" s="43" t="str">
        <f aca="false">IF(OR($L1944="",$F1944=""),"",IFERROR($L1944/INDEX(Cadastro!$E$6:$E$8,MATCH($F1944,Cadastro!$B$6:$B$8,0)),""))</f>
        <v/>
      </c>
      <c r="N1944" s="43" t="str">
        <f aca="false">IF(OR($L1944="",$I1944="",$I1944=0),"",$L1944/$I1944)</f>
        <v/>
      </c>
      <c r="O1944" s="51"/>
    </row>
    <row r="1945" customFormat="false" ht="15" hidden="false" customHeight="false" outlineLevel="0" collapsed="false">
      <c r="A1945" s="45"/>
      <c r="B1945" s="37" t="str">
        <f aca="false">IF($A1945="","",WEEKNUM($A1945,2))</f>
        <v/>
      </c>
      <c r="C1945" s="37" t="str">
        <f aca="false">IF($A1945="","",CHOOSE(WEEKDAY($A1945,2),"Seg","Ter","Qua","Qui","Sex","Sáb","Dom"))</f>
        <v/>
      </c>
      <c r="D1945" s="46"/>
      <c r="E1945" s="47"/>
      <c r="F1945" s="47"/>
      <c r="G1945" s="48"/>
      <c r="H1945" s="49"/>
      <c r="I1945" s="50"/>
      <c r="J1945" s="48"/>
      <c r="K1945" s="49"/>
      <c r="L1945" s="50"/>
      <c r="M1945" s="43" t="str">
        <f aca="false">IF(OR($L1945="",$F1945=""),"",IFERROR($L1945/INDEX(Cadastro!$E$6:$E$8,MATCH($F1945,Cadastro!$B$6:$B$8,0)),""))</f>
        <v/>
      </c>
      <c r="N1945" s="43" t="str">
        <f aca="false">IF(OR($L1945="",$I1945="",$I1945=0),"",$L1945/$I1945)</f>
        <v/>
      </c>
      <c r="O1945" s="51"/>
    </row>
    <row r="1946" customFormat="false" ht="15" hidden="false" customHeight="false" outlineLevel="0" collapsed="false">
      <c r="A1946" s="45"/>
      <c r="B1946" s="37" t="str">
        <f aca="false">IF($A1946="","",WEEKNUM($A1946,2))</f>
        <v/>
      </c>
      <c r="C1946" s="37" t="str">
        <f aca="false">IF($A1946="","",CHOOSE(WEEKDAY($A1946,2),"Seg","Ter","Qua","Qui","Sex","Sáb","Dom"))</f>
        <v/>
      </c>
      <c r="D1946" s="46"/>
      <c r="E1946" s="47"/>
      <c r="F1946" s="47"/>
      <c r="G1946" s="48"/>
      <c r="H1946" s="49"/>
      <c r="I1946" s="50"/>
      <c r="J1946" s="48"/>
      <c r="K1946" s="49"/>
      <c r="L1946" s="50"/>
      <c r="M1946" s="43" t="str">
        <f aca="false">IF(OR($L1946="",$F1946=""),"",IFERROR($L1946/INDEX(Cadastro!$E$6:$E$8,MATCH($F1946,Cadastro!$B$6:$B$8,0)),""))</f>
        <v/>
      </c>
      <c r="N1946" s="43" t="str">
        <f aca="false">IF(OR($L1946="",$I1946="",$I1946=0),"",$L1946/$I1946)</f>
        <v/>
      </c>
      <c r="O1946" s="51"/>
    </row>
    <row r="1947" customFormat="false" ht="15" hidden="false" customHeight="false" outlineLevel="0" collapsed="false">
      <c r="A1947" s="45"/>
      <c r="B1947" s="37" t="str">
        <f aca="false">IF($A1947="","",WEEKNUM($A1947,2))</f>
        <v/>
      </c>
      <c r="C1947" s="37" t="str">
        <f aca="false">IF($A1947="","",CHOOSE(WEEKDAY($A1947,2),"Seg","Ter","Qua","Qui","Sex","Sáb","Dom"))</f>
        <v/>
      </c>
      <c r="D1947" s="46"/>
      <c r="E1947" s="47"/>
      <c r="F1947" s="47"/>
      <c r="G1947" s="48"/>
      <c r="H1947" s="49"/>
      <c r="I1947" s="50"/>
      <c r="J1947" s="48"/>
      <c r="K1947" s="49"/>
      <c r="L1947" s="50"/>
      <c r="M1947" s="43" t="str">
        <f aca="false">IF(OR($L1947="",$F1947=""),"",IFERROR($L1947/INDEX(Cadastro!$E$6:$E$8,MATCH($F1947,Cadastro!$B$6:$B$8,0)),""))</f>
        <v/>
      </c>
      <c r="N1947" s="43" t="str">
        <f aca="false">IF(OR($L1947="",$I1947="",$I1947=0),"",$L1947/$I1947)</f>
        <v/>
      </c>
      <c r="O1947" s="51"/>
    </row>
    <row r="1948" customFormat="false" ht="15" hidden="false" customHeight="false" outlineLevel="0" collapsed="false">
      <c r="A1948" s="45"/>
      <c r="B1948" s="37" t="str">
        <f aca="false">IF($A1948="","",WEEKNUM($A1948,2))</f>
        <v/>
      </c>
      <c r="C1948" s="37" t="str">
        <f aca="false">IF($A1948="","",CHOOSE(WEEKDAY($A1948,2),"Seg","Ter","Qua","Qui","Sex","Sáb","Dom"))</f>
        <v/>
      </c>
      <c r="D1948" s="46"/>
      <c r="E1948" s="47"/>
      <c r="F1948" s="47"/>
      <c r="G1948" s="48"/>
      <c r="H1948" s="49"/>
      <c r="I1948" s="50"/>
      <c r="J1948" s="48"/>
      <c r="K1948" s="49"/>
      <c r="L1948" s="50"/>
      <c r="M1948" s="43" t="str">
        <f aca="false">IF(OR($L1948="",$F1948=""),"",IFERROR($L1948/INDEX(Cadastro!$E$6:$E$8,MATCH($F1948,Cadastro!$B$6:$B$8,0)),""))</f>
        <v/>
      </c>
      <c r="N1948" s="43" t="str">
        <f aca="false">IF(OR($L1948="",$I1948="",$I1948=0),"",$L1948/$I1948)</f>
        <v/>
      </c>
      <c r="O1948" s="51"/>
    </row>
    <row r="1949" customFormat="false" ht="15" hidden="false" customHeight="false" outlineLevel="0" collapsed="false">
      <c r="A1949" s="45"/>
      <c r="B1949" s="37" t="str">
        <f aca="false">IF($A1949="","",WEEKNUM($A1949,2))</f>
        <v/>
      </c>
      <c r="C1949" s="37" t="str">
        <f aca="false">IF($A1949="","",CHOOSE(WEEKDAY($A1949,2),"Seg","Ter","Qua","Qui","Sex","Sáb","Dom"))</f>
        <v/>
      </c>
      <c r="D1949" s="46"/>
      <c r="E1949" s="47"/>
      <c r="F1949" s="47"/>
      <c r="G1949" s="48"/>
      <c r="H1949" s="49"/>
      <c r="I1949" s="50"/>
      <c r="J1949" s="48"/>
      <c r="K1949" s="49"/>
      <c r="L1949" s="50"/>
      <c r="M1949" s="43" t="str">
        <f aca="false">IF(OR($L1949="",$F1949=""),"",IFERROR($L1949/INDEX(Cadastro!$E$6:$E$8,MATCH($F1949,Cadastro!$B$6:$B$8,0)),""))</f>
        <v/>
      </c>
      <c r="N1949" s="43" t="str">
        <f aca="false">IF(OR($L1949="",$I1949="",$I1949=0),"",$L1949/$I1949)</f>
        <v/>
      </c>
      <c r="O1949" s="51"/>
    </row>
    <row r="1950" customFormat="false" ht="15" hidden="false" customHeight="false" outlineLevel="0" collapsed="false">
      <c r="A1950" s="45"/>
      <c r="B1950" s="37" t="str">
        <f aca="false">IF($A1950="","",WEEKNUM($A1950,2))</f>
        <v/>
      </c>
      <c r="C1950" s="37" t="str">
        <f aca="false">IF($A1950="","",CHOOSE(WEEKDAY($A1950,2),"Seg","Ter","Qua","Qui","Sex","Sáb","Dom"))</f>
        <v/>
      </c>
      <c r="D1950" s="46"/>
      <c r="E1950" s="47"/>
      <c r="F1950" s="47"/>
      <c r="G1950" s="48"/>
      <c r="H1950" s="49"/>
      <c r="I1950" s="50"/>
      <c r="J1950" s="48"/>
      <c r="K1950" s="49"/>
      <c r="L1950" s="50"/>
      <c r="M1950" s="43" t="str">
        <f aca="false">IF(OR($L1950="",$F1950=""),"",IFERROR($L1950/INDEX(Cadastro!$E$6:$E$8,MATCH($F1950,Cadastro!$B$6:$B$8,0)),""))</f>
        <v/>
      </c>
      <c r="N1950" s="43" t="str">
        <f aca="false">IF(OR($L1950="",$I1950="",$I1950=0),"",$L1950/$I1950)</f>
        <v/>
      </c>
      <c r="O1950" s="51"/>
    </row>
    <row r="1951" customFormat="false" ht="15" hidden="false" customHeight="false" outlineLevel="0" collapsed="false">
      <c r="A1951" s="45"/>
      <c r="B1951" s="37" t="str">
        <f aca="false">IF($A1951="","",WEEKNUM($A1951,2))</f>
        <v/>
      </c>
      <c r="C1951" s="37" t="str">
        <f aca="false">IF($A1951="","",CHOOSE(WEEKDAY($A1951,2),"Seg","Ter","Qua","Qui","Sex","Sáb","Dom"))</f>
        <v/>
      </c>
      <c r="D1951" s="46"/>
      <c r="E1951" s="47"/>
      <c r="F1951" s="47"/>
      <c r="G1951" s="48"/>
      <c r="H1951" s="49"/>
      <c r="I1951" s="50"/>
      <c r="J1951" s="48"/>
      <c r="K1951" s="49"/>
      <c r="L1951" s="50"/>
      <c r="M1951" s="43" t="str">
        <f aca="false">IF(OR($L1951="",$F1951=""),"",IFERROR($L1951/INDEX(Cadastro!$E$6:$E$8,MATCH($F1951,Cadastro!$B$6:$B$8,0)),""))</f>
        <v/>
      </c>
      <c r="N1951" s="43" t="str">
        <f aca="false">IF(OR($L1951="",$I1951="",$I1951=0),"",$L1951/$I1951)</f>
        <v/>
      </c>
      <c r="O1951" s="51"/>
    </row>
    <row r="1952" customFormat="false" ht="15" hidden="false" customHeight="false" outlineLevel="0" collapsed="false">
      <c r="A1952" s="45"/>
      <c r="B1952" s="37" t="str">
        <f aca="false">IF($A1952="","",WEEKNUM($A1952,2))</f>
        <v/>
      </c>
      <c r="C1952" s="37" t="str">
        <f aca="false">IF($A1952="","",CHOOSE(WEEKDAY($A1952,2),"Seg","Ter","Qua","Qui","Sex","Sáb","Dom"))</f>
        <v/>
      </c>
      <c r="D1952" s="46"/>
      <c r="E1952" s="47"/>
      <c r="F1952" s="47"/>
      <c r="G1952" s="48"/>
      <c r="H1952" s="49"/>
      <c r="I1952" s="50"/>
      <c r="J1952" s="48"/>
      <c r="K1952" s="49"/>
      <c r="L1952" s="50"/>
      <c r="M1952" s="43" t="str">
        <f aca="false">IF(OR($L1952="",$F1952=""),"",IFERROR($L1952/INDEX(Cadastro!$E$6:$E$8,MATCH($F1952,Cadastro!$B$6:$B$8,0)),""))</f>
        <v/>
      </c>
      <c r="N1952" s="43" t="str">
        <f aca="false">IF(OR($L1952="",$I1952="",$I1952=0),"",$L1952/$I1952)</f>
        <v/>
      </c>
      <c r="O1952" s="51"/>
    </row>
    <row r="1953" customFormat="false" ht="15" hidden="false" customHeight="false" outlineLevel="0" collapsed="false">
      <c r="A1953" s="45"/>
      <c r="B1953" s="37" t="str">
        <f aca="false">IF($A1953="","",WEEKNUM($A1953,2))</f>
        <v/>
      </c>
      <c r="C1953" s="37" t="str">
        <f aca="false">IF($A1953="","",CHOOSE(WEEKDAY($A1953,2),"Seg","Ter","Qua","Qui","Sex","Sáb","Dom"))</f>
        <v/>
      </c>
      <c r="D1953" s="46"/>
      <c r="E1953" s="47"/>
      <c r="F1953" s="47"/>
      <c r="G1953" s="48"/>
      <c r="H1953" s="49"/>
      <c r="I1953" s="50"/>
      <c r="J1953" s="48"/>
      <c r="K1953" s="49"/>
      <c r="L1953" s="50"/>
      <c r="M1953" s="43" t="str">
        <f aca="false">IF(OR($L1953="",$F1953=""),"",IFERROR($L1953/INDEX(Cadastro!$E$6:$E$8,MATCH($F1953,Cadastro!$B$6:$B$8,0)),""))</f>
        <v/>
      </c>
      <c r="N1953" s="43" t="str">
        <f aca="false">IF(OR($L1953="",$I1953="",$I1953=0),"",$L1953/$I1953)</f>
        <v/>
      </c>
      <c r="O1953" s="51"/>
    </row>
    <row r="1954" customFormat="false" ht="15" hidden="false" customHeight="false" outlineLevel="0" collapsed="false">
      <c r="A1954" s="45"/>
      <c r="B1954" s="37" t="str">
        <f aca="false">IF($A1954="","",WEEKNUM($A1954,2))</f>
        <v/>
      </c>
      <c r="C1954" s="37" t="str">
        <f aca="false">IF($A1954="","",CHOOSE(WEEKDAY($A1954,2),"Seg","Ter","Qua","Qui","Sex","Sáb","Dom"))</f>
        <v/>
      </c>
      <c r="D1954" s="46"/>
      <c r="E1954" s="47"/>
      <c r="F1954" s="47"/>
      <c r="G1954" s="48"/>
      <c r="H1954" s="49"/>
      <c r="I1954" s="50"/>
      <c r="J1954" s="48"/>
      <c r="K1954" s="49"/>
      <c r="L1954" s="50"/>
      <c r="M1954" s="43" t="str">
        <f aca="false">IF(OR($L1954="",$F1954=""),"",IFERROR($L1954/INDEX(Cadastro!$E$6:$E$8,MATCH($F1954,Cadastro!$B$6:$B$8,0)),""))</f>
        <v/>
      </c>
      <c r="N1954" s="43" t="str">
        <f aca="false">IF(OR($L1954="",$I1954="",$I1954=0),"",$L1954/$I1954)</f>
        <v/>
      </c>
      <c r="O1954" s="51"/>
    </row>
    <row r="1955" customFormat="false" ht="15" hidden="false" customHeight="false" outlineLevel="0" collapsed="false">
      <c r="A1955" s="45"/>
      <c r="B1955" s="37" t="str">
        <f aca="false">IF($A1955="","",WEEKNUM($A1955,2))</f>
        <v/>
      </c>
      <c r="C1955" s="37" t="str">
        <f aca="false">IF($A1955="","",CHOOSE(WEEKDAY($A1955,2),"Seg","Ter","Qua","Qui","Sex","Sáb","Dom"))</f>
        <v/>
      </c>
      <c r="D1955" s="46"/>
      <c r="E1955" s="47"/>
      <c r="F1955" s="47"/>
      <c r="G1955" s="48"/>
      <c r="H1955" s="49"/>
      <c r="I1955" s="50"/>
      <c r="J1955" s="48"/>
      <c r="K1955" s="49"/>
      <c r="L1955" s="50"/>
      <c r="M1955" s="43" t="str">
        <f aca="false">IF(OR($L1955="",$F1955=""),"",IFERROR($L1955/INDEX(Cadastro!$E$6:$E$8,MATCH($F1955,Cadastro!$B$6:$B$8,0)),""))</f>
        <v/>
      </c>
      <c r="N1955" s="43" t="str">
        <f aca="false">IF(OR($L1955="",$I1955="",$I1955=0),"",$L1955/$I1955)</f>
        <v/>
      </c>
      <c r="O1955" s="51"/>
    </row>
    <row r="1956" customFormat="false" ht="15" hidden="false" customHeight="false" outlineLevel="0" collapsed="false">
      <c r="A1956" s="45"/>
      <c r="B1956" s="37" t="str">
        <f aca="false">IF($A1956="","",WEEKNUM($A1956,2))</f>
        <v/>
      </c>
      <c r="C1956" s="37" t="str">
        <f aca="false">IF($A1956="","",CHOOSE(WEEKDAY($A1956,2),"Seg","Ter","Qua","Qui","Sex","Sáb","Dom"))</f>
        <v/>
      </c>
      <c r="D1956" s="46"/>
      <c r="E1956" s="47"/>
      <c r="F1956" s="47"/>
      <c r="G1956" s="48"/>
      <c r="H1956" s="49"/>
      <c r="I1956" s="50"/>
      <c r="J1956" s="48"/>
      <c r="K1956" s="49"/>
      <c r="L1956" s="50"/>
      <c r="M1956" s="43" t="str">
        <f aca="false">IF(OR($L1956="",$F1956=""),"",IFERROR($L1956/INDEX(Cadastro!$E$6:$E$8,MATCH($F1956,Cadastro!$B$6:$B$8,0)),""))</f>
        <v/>
      </c>
      <c r="N1956" s="43" t="str">
        <f aca="false">IF(OR($L1956="",$I1956="",$I1956=0),"",$L1956/$I1956)</f>
        <v/>
      </c>
      <c r="O1956" s="51"/>
    </row>
    <row r="1957" customFormat="false" ht="15" hidden="false" customHeight="false" outlineLevel="0" collapsed="false">
      <c r="A1957" s="45"/>
      <c r="B1957" s="37" t="str">
        <f aca="false">IF($A1957="","",WEEKNUM($A1957,2))</f>
        <v/>
      </c>
      <c r="C1957" s="37" t="str">
        <f aca="false">IF($A1957="","",CHOOSE(WEEKDAY($A1957,2),"Seg","Ter","Qua","Qui","Sex","Sáb","Dom"))</f>
        <v/>
      </c>
      <c r="D1957" s="46"/>
      <c r="E1957" s="47"/>
      <c r="F1957" s="47"/>
      <c r="G1957" s="48"/>
      <c r="H1957" s="49"/>
      <c r="I1957" s="50"/>
      <c r="J1957" s="48"/>
      <c r="K1957" s="49"/>
      <c r="L1957" s="50"/>
      <c r="M1957" s="43" t="str">
        <f aca="false">IF(OR($L1957="",$F1957=""),"",IFERROR($L1957/INDEX(Cadastro!$E$6:$E$8,MATCH($F1957,Cadastro!$B$6:$B$8,0)),""))</f>
        <v/>
      </c>
      <c r="N1957" s="43" t="str">
        <f aca="false">IF(OR($L1957="",$I1957="",$I1957=0),"",$L1957/$I1957)</f>
        <v/>
      </c>
      <c r="O1957" s="51"/>
    </row>
    <row r="1958" customFormat="false" ht="15" hidden="false" customHeight="false" outlineLevel="0" collapsed="false">
      <c r="A1958" s="45"/>
      <c r="B1958" s="37" t="str">
        <f aca="false">IF($A1958="","",WEEKNUM($A1958,2))</f>
        <v/>
      </c>
      <c r="C1958" s="37" t="str">
        <f aca="false">IF($A1958="","",CHOOSE(WEEKDAY($A1958,2),"Seg","Ter","Qua","Qui","Sex","Sáb","Dom"))</f>
        <v/>
      </c>
      <c r="D1958" s="46"/>
      <c r="E1958" s="47"/>
      <c r="F1958" s="47"/>
      <c r="G1958" s="48"/>
      <c r="H1958" s="49"/>
      <c r="I1958" s="50"/>
      <c r="J1958" s="48"/>
      <c r="K1958" s="49"/>
      <c r="L1958" s="50"/>
      <c r="M1958" s="43" t="str">
        <f aca="false">IF(OR($L1958="",$F1958=""),"",IFERROR($L1958/INDEX(Cadastro!$E$6:$E$8,MATCH($F1958,Cadastro!$B$6:$B$8,0)),""))</f>
        <v/>
      </c>
      <c r="N1958" s="43" t="str">
        <f aca="false">IF(OR($L1958="",$I1958="",$I1958=0),"",$L1958/$I1958)</f>
        <v/>
      </c>
      <c r="O1958" s="51"/>
    </row>
    <row r="1959" customFormat="false" ht="15" hidden="false" customHeight="false" outlineLevel="0" collapsed="false">
      <c r="A1959" s="45"/>
      <c r="B1959" s="37" t="str">
        <f aca="false">IF($A1959="","",WEEKNUM($A1959,2))</f>
        <v/>
      </c>
      <c r="C1959" s="37" t="str">
        <f aca="false">IF($A1959="","",CHOOSE(WEEKDAY($A1959,2),"Seg","Ter","Qua","Qui","Sex","Sáb","Dom"))</f>
        <v/>
      </c>
      <c r="D1959" s="46"/>
      <c r="E1959" s="47"/>
      <c r="F1959" s="47"/>
      <c r="G1959" s="48"/>
      <c r="H1959" s="49"/>
      <c r="I1959" s="50"/>
      <c r="J1959" s="48"/>
      <c r="K1959" s="49"/>
      <c r="L1959" s="50"/>
      <c r="M1959" s="43" t="str">
        <f aca="false">IF(OR($L1959="",$F1959=""),"",IFERROR($L1959/INDEX(Cadastro!$E$6:$E$8,MATCH($F1959,Cadastro!$B$6:$B$8,0)),""))</f>
        <v/>
      </c>
      <c r="N1959" s="43" t="str">
        <f aca="false">IF(OR($L1959="",$I1959="",$I1959=0),"",$L1959/$I1959)</f>
        <v/>
      </c>
      <c r="O1959" s="51"/>
    </row>
    <row r="1960" customFormat="false" ht="15" hidden="false" customHeight="false" outlineLevel="0" collapsed="false">
      <c r="A1960" s="45"/>
      <c r="B1960" s="37" t="str">
        <f aca="false">IF($A1960="","",WEEKNUM($A1960,2))</f>
        <v/>
      </c>
      <c r="C1960" s="37" t="str">
        <f aca="false">IF($A1960="","",CHOOSE(WEEKDAY($A1960,2),"Seg","Ter","Qua","Qui","Sex","Sáb","Dom"))</f>
        <v/>
      </c>
      <c r="D1960" s="46"/>
      <c r="E1960" s="47"/>
      <c r="F1960" s="47"/>
      <c r="G1960" s="48"/>
      <c r="H1960" s="49"/>
      <c r="I1960" s="50"/>
      <c r="J1960" s="48"/>
      <c r="K1960" s="49"/>
      <c r="L1960" s="50"/>
      <c r="M1960" s="43" t="str">
        <f aca="false">IF(OR($L1960="",$F1960=""),"",IFERROR($L1960/INDEX(Cadastro!$E$6:$E$8,MATCH($F1960,Cadastro!$B$6:$B$8,0)),""))</f>
        <v/>
      </c>
      <c r="N1960" s="43" t="str">
        <f aca="false">IF(OR($L1960="",$I1960="",$I1960=0),"",$L1960/$I1960)</f>
        <v/>
      </c>
      <c r="O1960" s="51"/>
    </row>
    <row r="1961" customFormat="false" ht="15" hidden="false" customHeight="false" outlineLevel="0" collapsed="false">
      <c r="A1961" s="45"/>
      <c r="B1961" s="37" t="str">
        <f aca="false">IF($A1961="","",WEEKNUM($A1961,2))</f>
        <v/>
      </c>
      <c r="C1961" s="37" t="str">
        <f aca="false">IF($A1961="","",CHOOSE(WEEKDAY($A1961,2),"Seg","Ter","Qua","Qui","Sex","Sáb","Dom"))</f>
        <v/>
      </c>
      <c r="D1961" s="46"/>
      <c r="E1961" s="47"/>
      <c r="F1961" s="47"/>
      <c r="G1961" s="48"/>
      <c r="H1961" s="49"/>
      <c r="I1961" s="50"/>
      <c r="J1961" s="48"/>
      <c r="K1961" s="49"/>
      <c r="L1961" s="50"/>
      <c r="M1961" s="43" t="str">
        <f aca="false">IF(OR($L1961="",$F1961=""),"",IFERROR($L1961/INDEX(Cadastro!$E$6:$E$8,MATCH($F1961,Cadastro!$B$6:$B$8,0)),""))</f>
        <v/>
      </c>
      <c r="N1961" s="43" t="str">
        <f aca="false">IF(OR($L1961="",$I1961="",$I1961=0),"",$L1961/$I1961)</f>
        <v/>
      </c>
      <c r="O1961" s="51"/>
    </row>
    <row r="1962" customFormat="false" ht="15" hidden="false" customHeight="false" outlineLevel="0" collapsed="false">
      <c r="A1962" s="45"/>
      <c r="B1962" s="37" t="str">
        <f aca="false">IF($A1962="","",WEEKNUM($A1962,2))</f>
        <v/>
      </c>
      <c r="C1962" s="37" t="str">
        <f aca="false">IF($A1962="","",CHOOSE(WEEKDAY($A1962,2),"Seg","Ter","Qua","Qui","Sex","Sáb","Dom"))</f>
        <v/>
      </c>
      <c r="D1962" s="46"/>
      <c r="E1962" s="47"/>
      <c r="F1962" s="47"/>
      <c r="G1962" s="48"/>
      <c r="H1962" s="49"/>
      <c r="I1962" s="50"/>
      <c r="J1962" s="48"/>
      <c r="K1962" s="49"/>
      <c r="L1962" s="50"/>
      <c r="M1962" s="43" t="str">
        <f aca="false">IF(OR($L1962="",$F1962=""),"",IFERROR($L1962/INDEX(Cadastro!$E$6:$E$8,MATCH($F1962,Cadastro!$B$6:$B$8,0)),""))</f>
        <v/>
      </c>
      <c r="N1962" s="43" t="str">
        <f aca="false">IF(OR($L1962="",$I1962="",$I1962=0),"",$L1962/$I1962)</f>
        <v/>
      </c>
      <c r="O1962" s="51"/>
    </row>
    <row r="1963" customFormat="false" ht="15" hidden="false" customHeight="false" outlineLevel="0" collapsed="false">
      <c r="A1963" s="45"/>
      <c r="B1963" s="37" t="str">
        <f aca="false">IF($A1963="","",WEEKNUM($A1963,2))</f>
        <v/>
      </c>
      <c r="C1963" s="37" t="str">
        <f aca="false">IF($A1963="","",CHOOSE(WEEKDAY($A1963,2),"Seg","Ter","Qua","Qui","Sex","Sáb","Dom"))</f>
        <v/>
      </c>
      <c r="D1963" s="46"/>
      <c r="E1963" s="47"/>
      <c r="F1963" s="47"/>
      <c r="G1963" s="48"/>
      <c r="H1963" s="49"/>
      <c r="I1963" s="50"/>
      <c r="J1963" s="48"/>
      <c r="K1963" s="49"/>
      <c r="L1963" s="50"/>
      <c r="M1963" s="43" t="str">
        <f aca="false">IF(OR($L1963="",$F1963=""),"",IFERROR($L1963/INDEX(Cadastro!$E$6:$E$8,MATCH($F1963,Cadastro!$B$6:$B$8,0)),""))</f>
        <v/>
      </c>
      <c r="N1963" s="43" t="str">
        <f aca="false">IF(OR($L1963="",$I1963="",$I1963=0),"",$L1963/$I1963)</f>
        <v/>
      </c>
      <c r="O1963" s="51"/>
    </row>
    <row r="1964" customFormat="false" ht="15" hidden="false" customHeight="false" outlineLevel="0" collapsed="false">
      <c r="A1964" s="45"/>
      <c r="B1964" s="37" t="str">
        <f aca="false">IF($A1964="","",WEEKNUM($A1964,2))</f>
        <v/>
      </c>
      <c r="C1964" s="37" t="str">
        <f aca="false">IF($A1964="","",CHOOSE(WEEKDAY($A1964,2),"Seg","Ter","Qua","Qui","Sex","Sáb","Dom"))</f>
        <v/>
      </c>
      <c r="D1964" s="46"/>
      <c r="E1964" s="47"/>
      <c r="F1964" s="47"/>
      <c r="G1964" s="48"/>
      <c r="H1964" s="49"/>
      <c r="I1964" s="50"/>
      <c r="J1964" s="48"/>
      <c r="K1964" s="49"/>
      <c r="L1964" s="50"/>
      <c r="M1964" s="43" t="str">
        <f aca="false">IF(OR($L1964="",$F1964=""),"",IFERROR($L1964/INDEX(Cadastro!$E$6:$E$8,MATCH($F1964,Cadastro!$B$6:$B$8,0)),""))</f>
        <v/>
      </c>
      <c r="N1964" s="43" t="str">
        <f aca="false">IF(OR($L1964="",$I1964="",$I1964=0),"",$L1964/$I1964)</f>
        <v/>
      </c>
      <c r="O1964" s="51"/>
    </row>
    <row r="1965" customFormat="false" ht="15" hidden="false" customHeight="false" outlineLevel="0" collapsed="false">
      <c r="A1965" s="45"/>
      <c r="B1965" s="37" t="str">
        <f aca="false">IF($A1965="","",WEEKNUM($A1965,2))</f>
        <v/>
      </c>
      <c r="C1965" s="37" t="str">
        <f aca="false">IF($A1965="","",CHOOSE(WEEKDAY($A1965,2),"Seg","Ter","Qua","Qui","Sex","Sáb","Dom"))</f>
        <v/>
      </c>
      <c r="D1965" s="46"/>
      <c r="E1965" s="47"/>
      <c r="F1965" s="47"/>
      <c r="G1965" s="48"/>
      <c r="H1965" s="49"/>
      <c r="I1965" s="50"/>
      <c r="J1965" s="48"/>
      <c r="K1965" s="49"/>
      <c r="L1965" s="50"/>
      <c r="M1965" s="43" t="str">
        <f aca="false">IF(OR($L1965="",$F1965=""),"",IFERROR($L1965/INDEX(Cadastro!$E$6:$E$8,MATCH($F1965,Cadastro!$B$6:$B$8,0)),""))</f>
        <v/>
      </c>
      <c r="N1965" s="43" t="str">
        <f aca="false">IF(OR($L1965="",$I1965="",$I1965=0),"",$L1965/$I1965)</f>
        <v/>
      </c>
      <c r="O1965" s="51"/>
    </row>
    <row r="1966" customFormat="false" ht="15" hidden="false" customHeight="false" outlineLevel="0" collapsed="false">
      <c r="A1966" s="45"/>
      <c r="B1966" s="37" t="str">
        <f aca="false">IF($A1966="","",WEEKNUM($A1966,2))</f>
        <v/>
      </c>
      <c r="C1966" s="37" t="str">
        <f aca="false">IF($A1966="","",CHOOSE(WEEKDAY($A1966,2),"Seg","Ter","Qua","Qui","Sex","Sáb","Dom"))</f>
        <v/>
      </c>
      <c r="D1966" s="46"/>
      <c r="E1966" s="47"/>
      <c r="F1966" s="47"/>
      <c r="G1966" s="48"/>
      <c r="H1966" s="49"/>
      <c r="I1966" s="50"/>
      <c r="J1966" s="48"/>
      <c r="K1966" s="49"/>
      <c r="L1966" s="50"/>
      <c r="M1966" s="43" t="str">
        <f aca="false">IF(OR($L1966="",$F1966=""),"",IFERROR($L1966/INDEX(Cadastro!$E$6:$E$8,MATCH($F1966,Cadastro!$B$6:$B$8,0)),""))</f>
        <v/>
      </c>
      <c r="N1966" s="43" t="str">
        <f aca="false">IF(OR($L1966="",$I1966="",$I1966=0),"",$L1966/$I1966)</f>
        <v/>
      </c>
      <c r="O1966" s="51"/>
    </row>
    <row r="1967" customFormat="false" ht="15" hidden="false" customHeight="false" outlineLevel="0" collapsed="false">
      <c r="A1967" s="45"/>
      <c r="B1967" s="37" t="str">
        <f aca="false">IF($A1967="","",WEEKNUM($A1967,2))</f>
        <v/>
      </c>
      <c r="C1967" s="37" t="str">
        <f aca="false">IF($A1967="","",CHOOSE(WEEKDAY($A1967,2),"Seg","Ter","Qua","Qui","Sex","Sáb","Dom"))</f>
        <v/>
      </c>
      <c r="D1967" s="46"/>
      <c r="E1967" s="47"/>
      <c r="F1967" s="47"/>
      <c r="G1967" s="48"/>
      <c r="H1967" s="49"/>
      <c r="I1967" s="50"/>
      <c r="J1967" s="48"/>
      <c r="K1967" s="49"/>
      <c r="L1967" s="50"/>
      <c r="M1967" s="43" t="str">
        <f aca="false">IF(OR($L1967="",$F1967=""),"",IFERROR($L1967/INDEX(Cadastro!$E$6:$E$8,MATCH($F1967,Cadastro!$B$6:$B$8,0)),""))</f>
        <v/>
      </c>
      <c r="N1967" s="43" t="str">
        <f aca="false">IF(OR($L1967="",$I1967="",$I1967=0),"",$L1967/$I1967)</f>
        <v/>
      </c>
      <c r="O1967" s="51"/>
    </row>
    <row r="1968" customFormat="false" ht="15" hidden="false" customHeight="false" outlineLevel="0" collapsed="false">
      <c r="A1968" s="45"/>
      <c r="B1968" s="37" t="str">
        <f aca="false">IF($A1968="","",WEEKNUM($A1968,2))</f>
        <v/>
      </c>
      <c r="C1968" s="37" t="str">
        <f aca="false">IF($A1968="","",CHOOSE(WEEKDAY($A1968,2),"Seg","Ter","Qua","Qui","Sex","Sáb","Dom"))</f>
        <v/>
      </c>
      <c r="D1968" s="46"/>
      <c r="E1968" s="47"/>
      <c r="F1968" s="47"/>
      <c r="G1968" s="48"/>
      <c r="H1968" s="49"/>
      <c r="I1968" s="50"/>
      <c r="J1968" s="48"/>
      <c r="K1968" s="49"/>
      <c r="L1968" s="50"/>
      <c r="M1968" s="43" t="str">
        <f aca="false">IF(OR($L1968="",$F1968=""),"",IFERROR($L1968/INDEX(Cadastro!$E$6:$E$8,MATCH($F1968,Cadastro!$B$6:$B$8,0)),""))</f>
        <v/>
      </c>
      <c r="N1968" s="43" t="str">
        <f aca="false">IF(OR($L1968="",$I1968="",$I1968=0),"",$L1968/$I1968)</f>
        <v/>
      </c>
      <c r="O1968" s="51"/>
    </row>
    <row r="1969" customFormat="false" ht="15" hidden="false" customHeight="false" outlineLevel="0" collapsed="false">
      <c r="A1969" s="45"/>
      <c r="B1969" s="37" t="str">
        <f aca="false">IF($A1969="","",WEEKNUM($A1969,2))</f>
        <v/>
      </c>
      <c r="C1969" s="37" t="str">
        <f aca="false">IF($A1969="","",CHOOSE(WEEKDAY($A1969,2),"Seg","Ter","Qua","Qui","Sex","Sáb","Dom"))</f>
        <v/>
      </c>
      <c r="D1969" s="46"/>
      <c r="E1969" s="47"/>
      <c r="F1969" s="47"/>
      <c r="G1969" s="48"/>
      <c r="H1969" s="49"/>
      <c r="I1969" s="50"/>
      <c r="J1969" s="48"/>
      <c r="K1969" s="49"/>
      <c r="L1969" s="50"/>
      <c r="M1969" s="43" t="str">
        <f aca="false">IF(OR($L1969="",$F1969=""),"",IFERROR($L1969/INDEX(Cadastro!$E$6:$E$8,MATCH($F1969,Cadastro!$B$6:$B$8,0)),""))</f>
        <v/>
      </c>
      <c r="N1969" s="43" t="str">
        <f aca="false">IF(OR($L1969="",$I1969="",$I1969=0),"",$L1969/$I1969)</f>
        <v/>
      </c>
      <c r="O1969" s="51"/>
    </row>
    <row r="1970" customFormat="false" ht="15" hidden="false" customHeight="false" outlineLevel="0" collapsed="false">
      <c r="A1970" s="45"/>
      <c r="B1970" s="37" t="str">
        <f aca="false">IF($A1970="","",WEEKNUM($A1970,2))</f>
        <v/>
      </c>
      <c r="C1970" s="37" t="str">
        <f aca="false">IF($A1970="","",CHOOSE(WEEKDAY($A1970,2),"Seg","Ter","Qua","Qui","Sex","Sáb","Dom"))</f>
        <v/>
      </c>
      <c r="D1970" s="46"/>
      <c r="E1970" s="47"/>
      <c r="F1970" s="47"/>
      <c r="G1970" s="48"/>
      <c r="H1970" s="49"/>
      <c r="I1970" s="50"/>
      <c r="J1970" s="48"/>
      <c r="K1970" s="49"/>
      <c r="L1970" s="50"/>
      <c r="M1970" s="43" t="str">
        <f aca="false">IF(OR($L1970="",$F1970=""),"",IFERROR($L1970/INDEX(Cadastro!$E$6:$E$8,MATCH($F1970,Cadastro!$B$6:$B$8,0)),""))</f>
        <v/>
      </c>
      <c r="N1970" s="43" t="str">
        <f aca="false">IF(OR($L1970="",$I1970="",$I1970=0),"",$L1970/$I1970)</f>
        <v/>
      </c>
      <c r="O1970" s="51"/>
    </row>
    <row r="1971" customFormat="false" ht="15" hidden="false" customHeight="false" outlineLevel="0" collapsed="false">
      <c r="A1971" s="45"/>
      <c r="B1971" s="37" t="str">
        <f aca="false">IF($A1971="","",WEEKNUM($A1971,2))</f>
        <v/>
      </c>
      <c r="C1971" s="37" t="str">
        <f aca="false">IF($A1971="","",CHOOSE(WEEKDAY($A1971,2),"Seg","Ter","Qua","Qui","Sex","Sáb","Dom"))</f>
        <v/>
      </c>
      <c r="D1971" s="46"/>
      <c r="E1971" s="47"/>
      <c r="F1971" s="47"/>
      <c r="G1971" s="48"/>
      <c r="H1971" s="49"/>
      <c r="I1971" s="50"/>
      <c r="J1971" s="48"/>
      <c r="K1971" s="49"/>
      <c r="L1971" s="50"/>
      <c r="M1971" s="43" t="str">
        <f aca="false">IF(OR($L1971="",$F1971=""),"",IFERROR($L1971/INDEX(Cadastro!$E$6:$E$8,MATCH($F1971,Cadastro!$B$6:$B$8,0)),""))</f>
        <v/>
      </c>
      <c r="N1971" s="43" t="str">
        <f aca="false">IF(OR($L1971="",$I1971="",$I1971=0),"",$L1971/$I1971)</f>
        <v/>
      </c>
      <c r="O1971" s="51"/>
    </row>
    <row r="1972" customFormat="false" ht="15" hidden="false" customHeight="false" outlineLevel="0" collapsed="false">
      <c r="A1972" s="45"/>
      <c r="B1972" s="37" t="str">
        <f aca="false">IF($A1972="","",WEEKNUM($A1972,2))</f>
        <v/>
      </c>
      <c r="C1972" s="37" t="str">
        <f aca="false">IF($A1972="","",CHOOSE(WEEKDAY($A1972,2),"Seg","Ter","Qua","Qui","Sex","Sáb","Dom"))</f>
        <v/>
      </c>
      <c r="D1972" s="46"/>
      <c r="E1972" s="47"/>
      <c r="F1972" s="47"/>
      <c r="G1972" s="48"/>
      <c r="H1972" s="49"/>
      <c r="I1972" s="50"/>
      <c r="J1972" s="48"/>
      <c r="K1972" s="49"/>
      <c r="L1972" s="50"/>
      <c r="M1972" s="43" t="str">
        <f aca="false">IF(OR($L1972="",$F1972=""),"",IFERROR($L1972/INDEX(Cadastro!$E$6:$E$8,MATCH($F1972,Cadastro!$B$6:$B$8,0)),""))</f>
        <v/>
      </c>
      <c r="N1972" s="43" t="str">
        <f aca="false">IF(OR($L1972="",$I1972="",$I1972=0),"",$L1972/$I1972)</f>
        <v/>
      </c>
      <c r="O1972" s="51"/>
    </row>
    <row r="1973" customFormat="false" ht="15" hidden="false" customHeight="false" outlineLevel="0" collapsed="false">
      <c r="A1973" s="45"/>
      <c r="B1973" s="37" t="str">
        <f aca="false">IF($A1973="","",WEEKNUM($A1973,2))</f>
        <v/>
      </c>
      <c r="C1973" s="37" t="str">
        <f aca="false">IF($A1973="","",CHOOSE(WEEKDAY($A1973,2),"Seg","Ter","Qua","Qui","Sex","Sáb","Dom"))</f>
        <v/>
      </c>
      <c r="D1973" s="46"/>
      <c r="E1973" s="47"/>
      <c r="F1973" s="47"/>
      <c r="G1973" s="48"/>
      <c r="H1973" s="49"/>
      <c r="I1973" s="50"/>
      <c r="J1973" s="48"/>
      <c r="K1973" s="49"/>
      <c r="L1973" s="50"/>
      <c r="M1973" s="43" t="str">
        <f aca="false">IF(OR($L1973="",$F1973=""),"",IFERROR($L1973/INDEX(Cadastro!$E$6:$E$8,MATCH($F1973,Cadastro!$B$6:$B$8,0)),""))</f>
        <v/>
      </c>
      <c r="N1973" s="43" t="str">
        <f aca="false">IF(OR($L1973="",$I1973="",$I1973=0),"",$L1973/$I1973)</f>
        <v/>
      </c>
      <c r="O1973" s="51"/>
    </row>
    <row r="1974" customFormat="false" ht="15" hidden="false" customHeight="false" outlineLevel="0" collapsed="false">
      <c r="A1974" s="45"/>
      <c r="B1974" s="37" t="str">
        <f aca="false">IF($A1974="","",WEEKNUM($A1974,2))</f>
        <v/>
      </c>
      <c r="C1974" s="37" t="str">
        <f aca="false">IF($A1974="","",CHOOSE(WEEKDAY($A1974,2),"Seg","Ter","Qua","Qui","Sex","Sáb","Dom"))</f>
        <v/>
      </c>
      <c r="D1974" s="46"/>
      <c r="E1974" s="47"/>
      <c r="F1974" s="47"/>
      <c r="G1974" s="48"/>
      <c r="H1974" s="49"/>
      <c r="I1974" s="50"/>
      <c r="J1974" s="48"/>
      <c r="K1974" s="49"/>
      <c r="L1974" s="50"/>
      <c r="M1974" s="43" t="str">
        <f aca="false">IF(OR($L1974="",$F1974=""),"",IFERROR($L1974/INDEX(Cadastro!$E$6:$E$8,MATCH($F1974,Cadastro!$B$6:$B$8,0)),""))</f>
        <v/>
      </c>
      <c r="N1974" s="43" t="str">
        <f aca="false">IF(OR($L1974="",$I1974="",$I1974=0),"",$L1974/$I1974)</f>
        <v/>
      </c>
      <c r="O1974" s="51"/>
    </row>
    <row r="1975" customFormat="false" ht="15" hidden="false" customHeight="false" outlineLevel="0" collapsed="false">
      <c r="A1975" s="45"/>
      <c r="B1975" s="37" t="str">
        <f aca="false">IF($A1975="","",WEEKNUM($A1975,2))</f>
        <v/>
      </c>
      <c r="C1975" s="37" t="str">
        <f aca="false">IF($A1975="","",CHOOSE(WEEKDAY($A1975,2),"Seg","Ter","Qua","Qui","Sex","Sáb","Dom"))</f>
        <v/>
      </c>
      <c r="D1975" s="46"/>
      <c r="E1975" s="47"/>
      <c r="F1975" s="47"/>
      <c r="G1975" s="48"/>
      <c r="H1975" s="49"/>
      <c r="I1975" s="50"/>
      <c r="J1975" s="48"/>
      <c r="K1975" s="49"/>
      <c r="L1975" s="50"/>
      <c r="M1975" s="43" t="str">
        <f aca="false">IF(OR($L1975="",$F1975=""),"",IFERROR($L1975/INDEX(Cadastro!$E$6:$E$8,MATCH($F1975,Cadastro!$B$6:$B$8,0)),""))</f>
        <v/>
      </c>
      <c r="N1975" s="43" t="str">
        <f aca="false">IF(OR($L1975="",$I1975="",$I1975=0),"",$L1975/$I1975)</f>
        <v/>
      </c>
      <c r="O1975" s="51"/>
    </row>
    <row r="1976" customFormat="false" ht="15" hidden="false" customHeight="false" outlineLevel="0" collapsed="false">
      <c r="A1976" s="45"/>
      <c r="B1976" s="37" t="str">
        <f aca="false">IF($A1976="","",WEEKNUM($A1976,2))</f>
        <v/>
      </c>
      <c r="C1976" s="37" t="str">
        <f aca="false">IF($A1976="","",CHOOSE(WEEKDAY($A1976,2),"Seg","Ter","Qua","Qui","Sex","Sáb","Dom"))</f>
        <v/>
      </c>
      <c r="D1976" s="46"/>
      <c r="E1976" s="47"/>
      <c r="F1976" s="47"/>
      <c r="G1976" s="48"/>
      <c r="H1976" s="49"/>
      <c r="I1976" s="50"/>
      <c r="J1976" s="48"/>
      <c r="K1976" s="49"/>
      <c r="L1976" s="50"/>
      <c r="M1976" s="43" t="str">
        <f aca="false">IF(OR($L1976="",$F1976=""),"",IFERROR($L1976/INDEX(Cadastro!$E$6:$E$8,MATCH($F1976,Cadastro!$B$6:$B$8,0)),""))</f>
        <v/>
      </c>
      <c r="N1976" s="43" t="str">
        <f aca="false">IF(OR($L1976="",$I1976="",$I1976=0),"",$L1976/$I1976)</f>
        <v/>
      </c>
      <c r="O1976" s="51"/>
    </row>
    <row r="1977" customFormat="false" ht="15" hidden="false" customHeight="false" outlineLevel="0" collapsed="false">
      <c r="A1977" s="45"/>
      <c r="B1977" s="37" t="str">
        <f aca="false">IF($A1977="","",WEEKNUM($A1977,2))</f>
        <v/>
      </c>
      <c r="C1977" s="37" t="str">
        <f aca="false">IF($A1977="","",CHOOSE(WEEKDAY($A1977,2),"Seg","Ter","Qua","Qui","Sex","Sáb","Dom"))</f>
        <v/>
      </c>
      <c r="D1977" s="46"/>
      <c r="E1977" s="47"/>
      <c r="F1977" s="47"/>
      <c r="G1977" s="48"/>
      <c r="H1977" s="49"/>
      <c r="I1977" s="50"/>
      <c r="J1977" s="48"/>
      <c r="K1977" s="49"/>
      <c r="L1977" s="50"/>
      <c r="M1977" s="43" t="str">
        <f aca="false">IF(OR($L1977="",$F1977=""),"",IFERROR($L1977/INDEX(Cadastro!$E$6:$E$8,MATCH($F1977,Cadastro!$B$6:$B$8,0)),""))</f>
        <v/>
      </c>
      <c r="N1977" s="43" t="str">
        <f aca="false">IF(OR($L1977="",$I1977="",$I1977=0),"",$L1977/$I1977)</f>
        <v/>
      </c>
      <c r="O1977" s="51"/>
    </row>
    <row r="1978" customFormat="false" ht="15" hidden="false" customHeight="false" outlineLevel="0" collapsed="false">
      <c r="A1978" s="45"/>
      <c r="B1978" s="37" t="str">
        <f aca="false">IF($A1978="","",WEEKNUM($A1978,2))</f>
        <v/>
      </c>
      <c r="C1978" s="37" t="str">
        <f aca="false">IF($A1978="","",CHOOSE(WEEKDAY($A1978,2),"Seg","Ter","Qua","Qui","Sex","Sáb","Dom"))</f>
        <v/>
      </c>
      <c r="D1978" s="46"/>
      <c r="E1978" s="47"/>
      <c r="F1978" s="47"/>
      <c r="G1978" s="48"/>
      <c r="H1978" s="49"/>
      <c r="I1978" s="50"/>
      <c r="J1978" s="48"/>
      <c r="K1978" s="49"/>
      <c r="L1978" s="50"/>
      <c r="M1978" s="43" t="str">
        <f aca="false">IF(OR($L1978="",$F1978=""),"",IFERROR($L1978/INDEX(Cadastro!$E$6:$E$8,MATCH($F1978,Cadastro!$B$6:$B$8,0)),""))</f>
        <v/>
      </c>
      <c r="N1978" s="43" t="str">
        <f aca="false">IF(OR($L1978="",$I1978="",$I1978=0),"",$L1978/$I1978)</f>
        <v/>
      </c>
      <c r="O1978" s="51"/>
    </row>
    <row r="1979" customFormat="false" ht="15" hidden="false" customHeight="false" outlineLevel="0" collapsed="false">
      <c r="A1979" s="45"/>
      <c r="B1979" s="37" t="str">
        <f aca="false">IF($A1979="","",WEEKNUM($A1979,2))</f>
        <v/>
      </c>
      <c r="C1979" s="37" t="str">
        <f aca="false">IF($A1979="","",CHOOSE(WEEKDAY($A1979,2),"Seg","Ter","Qua","Qui","Sex","Sáb","Dom"))</f>
        <v/>
      </c>
      <c r="D1979" s="46"/>
      <c r="E1979" s="47"/>
      <c r="F1979" s="47"/>
      <c r="G1979" s="48"/>
      <c r="H1979" s="49"/>
      <c r="I1979" s="50"/>
      <c r="J1979" s="48"/>
      <c r="K1979" s="49"/>
      <c r="L1979" s="50"/>
      <c r="M1979" s="43" t="str">
        <f aca="false">IF(OR($L1979="",$F1979=""),"",IFERROR($L1979/INDEX(Cadastro!$E$6:$E$8,MATCH($F1979,Cadastro!$B$6:$B$8,0)),""))</f>
        <v/>
      </c>
      <c r="N1979" s="43" t="str">
        <f aca="false">IF(OR($L1979="",$I1979="",$I1979=0),"",$L1979/$I1979)</f>
        <v/>
      </c>
      <c r="O1979" s="51"/>
    </row>
    <row r="1980" customFormat="false" ht="15" hidden="false" customHeight="false" outlineLevel="0" collapsed="false">
      <c r="A1980" s="45"/>
      <c r="B1980" s="37" t="str">
        <f aca="false">IF($A1980="","",WEEKNUM($A1980,2))</f>
        <v/>
      </c>
      <c r="C1980" s="37" t="str">
        <f aca="false">IF($A1980="","",CHOOSE(WEEKDAY($A1980,2),"Seg","Ter","Qua","Qui","Sex","Sáb","Dom"))</f>
        <v/>
      </c>
      <c r="D1980" s="46"/>
      <c r="E1980" s="47"/>
      <c r="F1980" s="47"/>
      <c r="G1980" s="48"/>
      <c r="H1980" s="49"/>
      <c r="I1980" s="50"/>
      <c r="J1980" s="48"/>
      <c r="K1980" s="49"/>
      <c r="L1980" s="50"/>
      <c r="M1980" s="43" t="str">
        <f aca="false">IF(OR($L1980="",$F1980=""),"",IFERROR($L1980/INDEX(Cadastro!$E$6:$E$8,MATCH($F1980,Cadastro!$B$6:$B$8,0)),""))</f>
        <v/>
      </c>
      <c r="N1980" s="43" t="str">
        <f aca="false">IF(OR($L1980="",$I1980="",$I1980=0),"",$L1980/$I1980)</f>
        <v/>
      </c>
      <c r="O1980" s="51"/>
    </row>
    <row r="1981" customFormat="false" ht="15" hidden="false" customHeight="false" outlineLevel="0" collapsed="false">
      <c r="A1981" s="45"/>
      <c r="B1981" s="37" t="str">
        <f aca="false">IF($A1981="","",WEEKNUM($A1981,2))</f>
        <v/>
      </c>
      <c r="C1981" s="37" t="str">
        <f aca="false">IF($A1981="","",CHOOSE(WEEKDAY($A1981,2),"Seg","Ter","Qua","Qui","Sex","Sáb","Dom"))</f>
        <v/>
      </c>
      <c r="D1981" s="46"/>
      <c r="E1981" s="47"/>
      <c r="F1981" s="47"/>
      <c r="G1981" s="48"/>
      <c r="H1981" s="49"/>
      <c r="I1981" s="50"/>
      <c r="J1981" s="48"/>
      <c r="K1981" s="49"/>
      <c r="L1981" s="50"/>
      <c r="M1981" s="43" t="str">
        <f aca="false">IF(OR($L1981="",$F1981=""),"",IFERROR($L1981/INDEX(Cadastro!$E$6:$E$8,MATCH($F1981,Cadastro!$B$6:$B$8,0)),""))</f>
        <v/>
      </c>
      <c r="N1981" s="43" t="str">
        <f aca="false">IF(OR($L1981="",$I1981="",$I1981=0),"",$L1981/$I1981)</f>
        <v/>
      </c>
      <c r="O1981" s="51"/>
    </row>
    <row r="1982" customFormat="false" ht="15" hidden="false" customHeight="false" outlineLevel="0" collapsed="false">
      <c r="A1982" s="45"/>
      <c r="B1982" s="37" t="str">
        <f aca="false">IF($A1982="","",WEEKNUM($A1982,2))</f>
        <v/>
      </c>
      <c r="C1982" s="37" t="str">
        <f aca="false">IF($A1982="","",CHOOSE(WEEKDAY($A1982,2),"Seg","Ter","Qua","Qui","Sex","Sáb","Dom"))</f>
        <v/>
      </c>
      <c r="D1982" s="46"/>
      <c r="E1982" s="47"/>
      <c r="F1982" s="47"/>
      <c r="G1982" s="48"/>
      <c r="H1982" s="49"/>
      <c r="I1982" s="50"/>
      <c r="J1982" s="48"/>
      <c r="K1982" s="49"/>
      <c r="L1982" s="50"/>
      <c r="M1982" s="43" t="str">
        <f aca="false">IF(OR($L1982="",$F1982=""),"",IFERROR($L1982/INDEX(Cadastro!$E$6:$E$8,MATCH($F1982,Cadastro!$B$6:$B$8,0)),""))</f>
        <v/>
      </c>
      <c r="N1982" s="43" t="str">
        <f aca="false">IF(OR($L1982="",$I1982="",$I1982=0),"",$L1982/$I1982)</f>
        <v/>
      </c>
      <c r="O1982" s="51"/>
    </row>
    <row r="1983" customFormat="false" ht="15" hidden="false" customHeight="false" outlineLevel="0" collapsed="false">
      <c r="A1983" s="45"/>
      <c r="B1983" s="37" t="str">
        <f aca="false">IF($A1983="","",WEEKNUM($A1983,2))</f>
        <v/>
      </c>
      <c r="C1983" s="37" t="str">
        <f aca="false">IF($A1983="","",CHOOSE(WEEKDAY($A1983,2),"Seg","Ter","Qua","Qui","Sex","Sáb","Dom"))</f>
        <v/>
      </c>
      <c r="D1983" s="46"/>
      <c r="E1983" s="47"/>
      <c r="F1983" s="47"/>
      <c r="G1983" s="48"/>
      <c r="H1983" s="49"/>
      <c r="I1983" s="50"/>
      <c r="J1983" s="48"/>
      <c r="K1983" s="49"/>
      <c r="L1983" s="50"/>
      <c r="M1983" s="43" t="str">
        <f aca="false">IF(OR($L1983="",$F1983=""),"",IFERROR($L1983/INDEX(Cadastro!$E$6:$E$8,MATCH($F1983,Cadastro!$B$6:$B$8,0)),""))</f>
        <v/>
      </c>
      <c r="N1983" s="43" t="str">
        <f aca="false">IF(OR($L1983="",$I1983="",$I1983=0),"",$L1983/$I1983)</f>
        <v/>
      </c>
      <c r="O1983" s="51"/>
    </row>
    <row r="1984" customFormat="false" ht="15" hidden="false" customHeight="false" outlineLevel="0" collapsed="false">
      <c r="A1984" s="45"/>
      <c r="B1984" s="37" t="str">
        <f aca="false">IF($A1984="","",WEEKNUM($A1984,2))</f>
        <v/>
      </c>
      <c r="C1984" s="37" t="str">
        <f aca="false">IF($A1984="","",CHOOSE(WEEKDAY($A1984,2),"Seg","Ter","Qua","Qui","Sex","Sáb","Dom"))</f>
        <v/>
      </c>
      <c r="D1984" s="46"/>
      <c r="E1984" s="47"/>
      <c r="F1984" s="47"/>
      <c r="G1984" s="48"/>
      <c r="H1984" s="49"/>
      <c r="I1984" s="50"/>
      <c r="J1984" s="48"/>
      <c r="K1984" s="49"/>
      <c r="L1984" s="50"/>
      <c r="M1984" s="43" t="str">
        <f aca="false">IF(OR($L1984="",$F1984=""),"",IFERROR($L1984/INDEX(Cadastro!$E$6:$E$8,MATCH($F1984,Cadastro!$B$6:$B$8,0)),""))</f>
        <v/>
      </c>
      <c r="N1984" s="43" t="str">
        <f aca="false">IF(OR($L1984="",$I1984="",$I1984=0),"",$L1984/$I1984)</f>
        <v/>
      </c>
      <c r="O1984" s="51"/>
    </row>
    <row r="1985" customFormat="false" ht="15" hidden="false" customHeight="false" outlineLevel="0" collapsed="false">
      <c r="A1985" s="45"/>
      <c r="B1985" s="37" t="str">
        <f aca="false">IF($A1985="","",WEEKNUM($A1985,2))</f>
        <v/>
      </c>
      <c r="C1985" s="37" t="str">
        <f aca="false">IF($A1985="","",CHOOSE(WEEKDAY($A1985,2),"Seg","Ter","Qua","Qui","Sex","Sáb","Dom"))</f>
        <v/>
      </c>
      <c r="D1985" s="46"/>
      <c r="E1985" s="47"/>
      <c r="F1985" s="47"/>
      <c r="G1985" s="48"/>
      <c r="H1985" s="49"/>
      <c r="I1985" s="50"/>
      <c r="J1985" s="48"/>
      <c r="K1985" s="49"/>
      <c r="L1985" s="50"/>
      <c r="M1985" s="43" t="str">
        <f aca="false">IF(OR($L1985="",$F1985=""),"",IFERROR($L1985/INDEX(Cadastro!$E$6:$E$8,MATCH($F1985,Cadastro!$B$6:$B$8,0)),""))</f>
        <v/>
      </c>
      <c r="N1985" s="43" t="str">
        <f aca="false">IF(OR($L1985="",$I1985="",$I1985=0),"",$L1985/$I1985)</f>
        <v/>
      </c>
      <c r="O1985" s="51"/>
    </row>
    <row r="1986" customFormat="false" ht="15" hidden="false" customHeight="false" outlineLevel="0" collapsed="false">
      <c r="A1986" s="45"/>
      <c r="B1986" s="37" t="str">
        <f aca="false">IF($A1986="","",WEEKNUM($A1986,2))</f>
        <v/>
      </c>
      <c r="C1986" s="37" t="str">
        <f aca="false">IF($A1986="","",CHOOSE(WEEKDAY($A1986,2),"Seg","Ter","Qua","Qui","Sex","Sáb","Dom"))</f>
        <v/>
      </c>
      <c r="D1986" s="46"/>
      <c r="E1986" s="47"/>
      <c r="F1986" s="47"/>
      <c r="G1986" s="48"/>
      <c r="H1986" s="49"/>
      <c r="I1986" s="50"/>
      <c r="J1986" s="48"/>
      <c r="K1986" s="49"/>
      <c r="L1986" s="50"/>
      <c r="M1986" s="43" t="str">
        <f aca="false">IF(OR($L1986="",$F1986=""),"",IFERROR($L1986/INDEX(Cadastro!$E$6:$E$8,MATCH($F1986,Cadastro!$B$6:$B$8,0)),""))</f>
        <v/>
      </c>
      <c r="N1986" s="43" t="str">
        <f aca="false">IF(OR($L1986="",$I1986="",$I1986=0),"",$L1986/$I1986)</f>
        <v/>
      </c>
      <c r="O1986" s="51"/>
    </row>
    <row r="1987" customFormat="false" ht="15" hidden="false" customHeight="false" outlineLevel="0" collapsed="false">
      <c r="A1987" s="45"/>
      <c r="B1987" s="37" t="str">
        <f aca="false">IF($A1987="","",WEEKNUM($A1987,2))</f>
        <v/>
      </c>
      <c r="C1987" s="37" t="str">
        <f aca="false">IF($A1987="","",CHOOSE(WEEKDAY($A1987,2),"Seg","Ter","Qua","Qui","Sex","Sáb","Dom"))</f>
        <v/>
      </c>
      <c r="D1987" s="46"/>
      <c r="E1987" s="47"/>
      <c r="F1987" s="47"/>
      <c r="G1987" s="48"/>
      <c r="H1987" s="49"/>
      <c r="I1987" s="50"/>
      <c r="J1987" s="48"/>
      <c r="K1987" s="49"/>
      <c r="L1987" s="50"/>
      <c r="M1987" s="43" t="str">
        <f aca="false">IF(OR($L1987="",$F1987=""),"",IFERROR($L1987/INDEX(Cadastro!$E$6:$E$8,MATCH($F1987,Cadastro!$B$6:$B$8,0)),""))</f>
        <v/>
      </c>
      <c r="N1987" s="43" t="str">
        <f aca="false">IF(OR($L1987="",$I1987="",$I1987=0),"",$L1987/$I1987)</f>
        <v/>
      </c>
      <c r="O1987" s="51"/>
    </row>
    <row r="1988" customFormat="false" ht="15" hidden="false" customHeight="false" outlineLevel="0" collapsed="false">
      <c r="A1988" s="45"/>
      <c r="B1988" s="37" t="str">
        <f aca="false">IF($A1988="","",WEEKNUM($A1988,2))</f>
        <v/>
      </c>
      <c r="C1988" s="37" t="str">
        <f aca="false">IF($A1988="","",CHOOSE(WEEKDAY($A1988,2),"Seg","Ter","Qua","Qui","Sex","Sáb","Dom"))</f>
        <v/>
      </c>
      <c r="D1988" s="46"/>
      <c r="E1988" s="47"/>
      <c r="F1988" s="47"/>
      <c r="G1988" s="48"/>
      <c r="H1988" s="49"/>
      <c r="I1988" s="50"/>
      <c r="J1988" s="48"/>
      <c r="K1988" s="49"/>
      <c r="L1988" s="50"/>
      <c r="M1988" s="43" t="str">
        <f aca="false">IF(OR($L1988="",$F1988=""),"",IFERROR($L1988/INDEX(Cadastro!$E$6:$E$8,MATCH($F1988,Cadastro!$B$6:$B$8,0)),""))</f>
        <v/>
      </c>
      <c r="N1988" s="43" t="str">
        <f aca="false">IF(OR($L1988="",$I1988="",$I1988=0),"",$L1988/$I1988)</f>
        <v/>
      </c>
      <c r="O1988" s="51"/>
    </row>
    <row r="1989" customFormat="false" ht="15" hidden="false" customHeight="false" outlineLevel="0" collapsed="false">
      <c r="A1989" s="45"/>
      <c r="B1989" s="37" t="str">
        <f aca="false">IF($A1989="","",WEEKNUM($A1989,2))</f>
        <v/>
      </c>
      <c r="C1989" s="37" t="str">
        <f aca="false">IF($A1989="","",CHOOSE(WEEKDAY($A1989,2),"Seg","Ter","Qua","Qui","Sex","Sáb","Dom"))</f>
        <v/>
      </c>
      <c r="D1989" s="46"/>
      <c r="E1989" s="47"/>
      <c r="F1989" s="47"/>
      <c r="G1989" s="48"/>
      <c r="H1989" s="49"/>
      <c r="I1989" s="50"/>
      <c r="J1989" s="48"/>
      <c r="K1989" s="49"/>
      <c r="L1989" s="50"/>
      <c r="M1989" s="43" t="str">
        <f aca="false">IF(OR($L1989="",$F1989=""),"",IFERROR($L1989/INDEX(Cadastro!$E$6:$E$8,MATCH($F1989,Cadastro!$B$6:$B$8,0)),""))</f>
        <v/>
      </c>
      <c r="N1989" s="43" t="str">
        <f aca="false">IF(OR($L1989="",$I1989="",$I1989=0),"",$L1989/$I1989)</f>
        <v/>
      </c>
      <c r="O1989" s="51"/>
    </row>
    <row r="1990" customFormat="false" ht="15" hidden="false" customHeight="false" outlineLevel="0" collapsed="false">
      <c r="A1990" s="45"/>
      <c r="B1990" s="37" t="str">
        <f aca="false">IF($A1990="","",WEEKNUM($A1990,2))</f>
        <v/>
      </c>
      <c r="C1990" s="37" t="str">
        <f aca="false">IF($A1990="","",CHOOSE(WEEKDAY($A1990,2),"Seg","Ter","Qua","Qui","Sex","Sáb","Dom"))</f>
        <v/>
      </c>
      <c r="D1990" s="46"/>
      <c r="E1990" s="47"/>
      <c r="F1990" s="47"/>
      <c r="G1990" s="48"/>
      <c r="H1990" s="49"/>
      <c r="I1990" s="50"/>
      <c r="J1990" s="48"/>
      <c r="K1990" s="49"/>
      <c r="L1990" s="50"/>
      <c r="M1990" s="43" t="str">
        <f aca="false">IF(OR($L1990="",$F1990=""),"",IFERROR($L1990/INDEX(Cadastro!$E$6:$E$8,MATCH($F1990,Cadastro!$B$6:$B$8,0)),""))</f>
        <v/>
      </c>
      <c r="N1990" s="43" t="str">
        <f aca="false">IF(OR($L1990="",$I1990="",$I1990=0),"",$L1990/$I1990)</f>
        <v/>
      </c>
      <c r="O1990" s="51"/>
    </row>
    <row r="1991" customFormat="false" ht="15" hidden="false" customHeight="false" outlineLevel="0" collapsed="false">
      <c r="A1991" s="45"/>
      <c r="B1991" s="37" t="str">
        <f aca="false">IF($A1991="","",WEEKNUM($A1991,2))</f>
        <v/>
      </c>
      <c r="C1991" s="37" t="str">
        <f aca="false">IF($A1991="","",CHOOSE(WEEKDAY($A1991,2),"Seg","Ter","Qua","Qui","Sex","Sáb","Dom"))</f>
        <v/>
      </c>
      <c r="D1991" s="46"/>
      <c r="E1991" s="47"/>
      <c r="F1991" s="47"/>
      <c r="G1991" s="48"/>
      <c r="H1991" s="49"/>
      <c r="I1991" s="50"/>
      <c r="J1991" s="48"/>
      <c r="K1991" s="49"/>
      <c r="L1991" s="50"/>
      <c r="M1991" s="43" t="str">
        <f aca="false">IF(OR($L1991="",$F1991=""),"",IFERROR($L1991/INDEX(Cadastro!$E$6:$E$8,MATCH($F1991,Cadastro!$B$6:$B$8,0)),""))</f>
        <v/>
      </c>
      <c r="N1991" s="43" t="str">
        <f aca="false">IF(OR($L1991="",$I1991="",$I1991=0),"",$L1991/$I1991)</f>
        <v/>
      </c>
      <c r="O1991" s="51"/>
    </row>
    <row r="1992" customFormat="false" ht="15" hidden="false" customHeight="false" outlineLevel="0" collapsed="false">
      <c r="A1992" s="45"/>
      <c r="B1992" s="37" t="str">
        <f aca="false">IF($A1992="","",WEEKNUM($A1992,2))</f>
        <v/>
      </c>
      <c r="C1992" s="37" t="str">
        <f aca="false">IF($A1992="","",CHOOSE(WEEKDAY($A1992,2),"Seg","Ter","Qua","Qui","Sex","Sáb","Dom"))</f>
        <v/>
      </c>
      <c r="D1992" s="46"/>
      <c r="E1992" s="47"/>
      <c r="F1992" s="47"/>
      <c r="G1992" s="48"/>
      <c r="H1992" s="49"/>
      <c r="I1992" s="50"/>
      <c r="J1992" s="48"/>
      <c r="K1992" s="49"/>
      <c r="L1992" s="50"/>
      <c r="M1992" s="43" t="str">
        <f aca="false">IF(OR($L1992="",$F1992=""),"",IFERROR($L1992/INDEX(Cadastro!$E$6:$E$8,MATCH($F1992,Cadastro!$B$6:$B$8,0)),""))</f>
        <v/>
      </c>
      <c r="N1992" s="43" t="str">
        <f aca="false">IF(OR($L1992="",$I1992="",$I1992=0),"",$L1992/$I1992)</f>
        <v/>
      </c>
      <c r="O1992" s="51"/>
    </row>
    <row r="1993" customFormat="false" ht="15" hidden="false" customHeight="false" outlineLevel="0" collapsed="false">
      <c r="A1993" s="45"/>
      <c r="B1993" s="37" t="str">
        <f aca="false">IF($A1993="","",WEEKNUM($A1993,2))</f>
        <v/>
      </c>
      <c r="C1993" s="37" t="str">
        <f aca="false">IF($A1993="","",CHOOSE(WEEKDAY($A1993,2),"Seg","Ter","Qua","Qui","Sex","Sáb","Dom"))</f>
        <v/>
      </c>
      <c r="D1993" s="46"/>
      <c r="E1993" s="47"/>
      <c r="F1993" s="47"/>
      <c r="G1993" s="48"/>
      <c r="H1993" s="49"/>
      <c r="I1993" s="50"/>
      <c r="J1993" s="48"/>
      <c r="K1993" s="49"/>
      <c r="L1993" s="50"/>
      <c r="M1993" s="43" t="str">
        <f aca="false">IF(OR($L1993="",$F1993=""),"",IFERROR($L1993/INDEX(Cadastro!$E$6:$E$8,MATCH($F1993,Cadastro!$B$6:$B$8,0)),""))</f>
        <v/>
      </c>
      <c r="N1993" s="43" t="str">
        <f aca="false">IF(OR($L1993="",$I1993="",$I1993=0),"",$L1993/$I1993)</f>
        <v/>
      </c>
      <c r="O1993" s="51"/>
    </row>
    <row r="1994" customFormat="false" ht="15" hidden="false" customHeight="false" outlineLevel="0" collapsed="false">
      <c r="A1994" s="45"/>
      <c r="B1994" s="37" t="str">
        <f aca="false">IF($A1994="","",WEEKNUM($A1994,2))</f>
        <v/>
      </c>
      <c r="C1994" s="37" t="str">
        <f aca="false">IF($A1994="","",CHOOSE(WEEKDAY($A1994,2),"Seg","Ter","Qua","Qui","Sex","Sáb","Dom"))</f>
        <v/>
      </c>
      <c r="D1994" s="46"/>
      <c r="E1994" s="47"/>
      <c r="F1994" s="47"/>
      <c r="G1994" s="48"/>
      <c r="H1994" s="49"/>
      <c r="I1994" s="50"/>
      <c r="J1994" s="48"/>
      <c r="K1994" s="49"/>
      <c r="L1994" s="50"/>
      <c r="M1994" s="43" t="str">
        <f aca="false">IF(OR($L1994="",$F1994=""),"",IFERROR($L1994/INDEX(Cadastro!$E$6:$E$8,MATCH($F1994,Cadastro!$B$6:$B$8,0)),""))</f>
        <v/>
      </c>
      <c r="N1994" s="43" t="str">
        <f aca="false">IF(OR($L1994="",$I1994="",$I1994=0),"",$L1994/$I1994)</f>
        <v/>
      </c>
      <c r="O1994" s="51"/>
    </row>
    <row r="1995" customFormat="false" ht="15" hidden="false" customHeight="false" outlineLevel="0" collapsed="false">
      <c r="A1995" s="45"/>
      <c r="B1995" s="37" t="str">
        <f aca="false">IF($A1995="","",WEEKNUM($A1995,2))</f>
        <v/>
      </c>
      <c r="C1995" s="37" t="str">
        <f aca="false">IF($A1995="","",CHOOSE(WEEKDAY($A1995,2),"Seg","Ter","Qua","Qui","Sex","Sáb","Dom"))</f>
        <v/>
      </c>
      <c r="D1995" s="46"/>
      <c r="E1995" s="47"/>
      <c r="F1995" s="47"/>
      <c r="G1995" s="48"/>
      <c r="H1995" s="49"/>
      <c r="I1995" s="50"/>
      <c r="J1995" s="48"/>
      <c r="K1995" s="49"/>
      <c r="L1995" s="50"/>
      <c r="M1995" s="43" t="str">
        <f aca="false">IF(OR($L1995="",$F1995=""),"",IFERROR($L1995/INDEX(Cadastro!$E$6:$E$8,MATCH($F1995,Cadastro!$B$6:$B$8,0)),""))</f>
        <v/>
      </c>
      <c r="N1995" s="43" t="str">
        <f aca="false">IF(OR($L1995="",$I1995="",$I1995=0),"",$L1995/$I1995)</f>
        <v/>
      </c>
      <c r="O1995" s="51"/>
    </row>
    <row r="1996" customFormat="false" ht="15" hidden="false" customHeight="false" outlineLevel="0" collapsed="false">
      <c r="A1996" s="45"/>
      <c r="B1996" s="37" t="str">
        <f aca="false">IF($A1996="","",WEEKNUM($A1996,2))</f>
        <v/>
      </c>
      <c r="C1996" s="37" t="str">
        <f aca="false">IF($A1996="","",CHOOSE(WEEKDAY($A1996,2),"Seg","Ter","Qua","Qui","Sex","Sáb","Dom"))</f>
        <v/>
      </c>
      <c r="D1996" s="46"/>
      <c r="E1996" s="47"/>
      <c r="F1996" s="47"/>
      <c r="G1996" s="48"/>
      <c r="H1996" s="49"/>
      <c r="I1996" s="50"/>
      <c r="J1996" s="48"/>
      <c r="K1996" s="49"/>
      <c r="L1996" s="50"/>
      <c r="M1996" s="43" t="str">
        <f aca="false">IF(OR($L1996="",$F1996=""),"",IFERROR($L1996/INDEX(Cadastro!$E$6:$E$8,MATCH($F1996,Cadastro!$B$6:$B$8,0)),""))</f>
        <v/>
      </c>
      <c r="N1996" s="43" t="str">
        <f aca="false">IF(OR($L1996="",$I1996="",$I1996=0),"",$L1996/$I1996)</f>
        <v/>
      </c>
      <c r="O1996" s="51"/>
    </row>
    <row r="1997" customFormat="false" ht="15" hidden="false" customHeight="false" outlineLevel="0" collapsed="false">
      <c r="A1997" s="45"/>
      <c r="B1997" s="37" t="str">
        <f aca="false">IF($A1997="","",WEEKNUM($A1997,2))</f>
        <v/>
      </c>
      <c r="C1997" s="37" t="str">
        <f aca="false">IF($A1997="","",CHOOSE(WEEKDAY($A1997,2),"Seg","Ter","Qua","Qui","Sex","Sáb","Dom"))</f>
        <v/>
      </c>
      <c r="D1997" s="46"/>
      <c r="E1997" s="47"/>
      <c r="F1997" s="47"/>
      <c r="G1997" s="48"/>
      <c r="H1997" s="49"/>
      <c r="I1997" s="50"/>
      <c r="J1997" s="48"/>
      <c r="K1997" s="49"/>
      <c r="L1997" s="50"/>
      <c r="M1997" s="43" t="str">
        <f aca="false">IF(OR($L1997="",$F1997=""),"",IFERROR($L1997/INDEX(Cadastro!$E$6:$E$8,MATCH($F1997,Cadastro!$B$6:$B$8,0)),""))</f>
        <v/>
      </c>
      <c r="N1997" s="43" t="str">
        <f aca="false">IF(OR($L1997="",$I1997="",$I1997=0),"",$L1997/$I1997)</f>
        <v/>
      </c>
      <c r="O1997" s="51"/>
    </row>
    <row r="1998" customFormat="false" ht="15" hidden="false" customHeight="false" outlineLevel="0" collapsed="false">
      <c r="A1998" s="45"/>
      <c r="B1998" s="37" t="str">
        <f aca="false">IF($A1998="","",WEEKNUM($A1998,2))</f>
        <v/>
      </c>
      <c r="C1998" s="37" t="str">
        <f aca="false">IF($A1998="","",CHOOSE(WEEKDAY($A1998,2),"Seg","Ter","Qua","Qui","Sex","Sáb","Dom"))</f>
        <v/>
      </c>
      <c r="D1998" s="46"/>
      <c r="E1998" s="47"/>
      <c r="F1998" s="47"/>
      <c r="G1998" s="48"/>
      <c r="H1998" s="49"/>
      <c r="I1998" s="50"/>
      <c r="J1998" s="48"/>
      <c r="K1998" s="49"/>
      <c r="L1998" s="50"/>
      <c r="M1998" s="43" t="str">
        <f aca="false">IF(OR($L1998="",$F1998=""),"",IFERROR($L1998/INDEX(Cadastro!$E$6:$E$8,MATCH($F1998,Cadastro!$B$6:$B$8,0)),""))</f>
        <v/>
      </c>
      <c r="N1998" s="43" t="str">
        <f aca="false">IF(OR($L1998="",$I1998="",$I1998=0),"",$L1998/$I1998)</f>
        <v/>
      </c>
      <c r="O1998" s="51"/>
    </row>
    <row r="1999" customFormat="false" ht="15" hidden="false" customHeight="false" outlineLevel="0" collapsed="false">
      <c r="A1999" s="45"/>
      <c r="B1999" s="37" t="str">
        <f aca="false">IF($A1999="","",WEEKNUM($A1999,2))</f>
        <v/>
      </c>
      <c r="C1999" s="37" t="str">
        <f aca="false">IF($A1999="","",CHOOSE(WEEKDAY($A1999,2),"Seg","Ter","Qua","Qui","Sex","Sáb","Dom"))</f>
        <v/>
      </c>
      <c r="D1999" s="46"/>
      <c r="E1999" s="47"/>
      <c r="F1999" s="47"/>
      <c r="G1999" s="48"/>
      <c r="H1999" s="49"/>
      <c r="I1999" s="50"/>
      <c r="J1999" s="48"/>
      <c r="K1999" s="49"/>
      <c r="L1999" s="50"/>
      <c r="M1999" s="43" t="str">
        <f aca="false">IF(OR($L1999="",$F1999=""),"",IFERROR($L1999/INDEX(Cadastro!$E$6:$E$8,MATCH($F1999,Cadastro!$B$6:$B$8,0)),""))</f>
        <v/>
      </c>
      <c r="N1999" s="43" t="str">
        <f aca="false">IF(OR($L1999="",$I1999="",$I1999=0),"",$L1999/$I1999)</f>
        <v/>
      </c>
      <c r="O1999" s="51"/>
    </row>
    <row r="2000" customFormat="false" ht="15" hidden="false" customHeight="false" outlineLevel="0" collapsed="false">
      <c r="A2000" s="45"/>
      <c r="B2000" s="37" t="str">
        <f aca="false">IF($A2000="","",WEEKNUM($A2000,2))</f>
        <v/>
      </c>
      <c r="C2000" s="37" t="str">
        <f aca="false">IF($A2000="","",CHOOSE(WEEKDAY($A2000,2),"Seg","Ter","Qua","Qui","Sex","Sáb","Dom"))</f>
        <v/>
      </c>
      <c r="D2000" s="46"/>
      <c r="E2000" s="47"/>
      <c r="F2000" s="47"/>
      <c r="G2000" s="48"/>
      <c r="H2000" s="49"/>
      <c r="I2000" s="50"/>
      <c r="J2000" s="48"/>
      <c r="K2000" s="49"/>
      <c r="L2000" s="50"/>
      <c r="M2000" s="43" t="str">
        <f aca="false">IF(OR($L2000="",$F2000=""),"",IFERROR($L2000/INDEX(Cadastro!$E$6:$E$8,MATCH($F2000,Cadastro!$B$6:$B$8,0)),""))</f>
        <v/>
      </c>
      <c r="N2000" s="43" t="str">
        <f aca="false">IF(OR($L2000="",$I2000="",$I2000=0),"",$L2000/$I2000)</f>
        <v/>
      </c>
      <c r="O2000" s="51"/>
    </row>
    <row r="2001" customFormat="false" ht="15" hidden="false" customHeight="false" outlineLevel="0" collapsed="false">
      <c r="A2001" s="45"/>
      <c r="B2001" s="37" t="str">
        <f aca="false">IF($A2001="","",WEEKNUM($A2001,2))</f>
        <v/>
      </c>
      <c r="C2001" s="37" t="str">
        <f aca="false">IF($A2001="","",CHOOSE(WEEKDAY($A2001,2),"Seg","Ter","Qua","Qui","Sex","Sáb","Dom"))</f>
        <v/>
      </c>
      <c r="D2001" s="46"/>
      <c r="E2001" s="47"/>
      <c r="F2001" s="47"/>
      <c r="G2001" s="48"/>
      <c r="H2001" s="49"/>
      <c r="I2001" s="50"/>
      <c r="J2001" s="48"/>
      <c r="K2001" s="49"/>
      <c r="L2001" s="50"/>
      <c r="M2001" s="43" t="str">
        <f aca="false">IF(OR($L2001="",$F2001=""),"",IFERROR($L2001/INDEX(Cadastro!$E$6:$E$8,MATCH($F2001,Cadastro!$B$6:$B$8,0)),""))</f>
        <v/>
      </c>
      <c r="N2001" s="43" t="str">
        <f aca="false">IF(OR($L2001="",$I2001="",$I2001=0),"",$L2001/$I2001)</f>
        <v/>
      </c>
      <c r="O2001" s="51"/>
    </row>
    <row r="2002" customFormat="false" ht="15" hidden="false" customHeight="false" outlineLevel="0" collapsed="false">
      <c r="A2002" s="45"/>
      <c r="B2002" s="37" t="str">
        <f aca="false">IF($A2002="","",WEEKNUM($A2002,2))</f>
        <v/>
      </c>
      <c r="C2002" s="37" t="str">
        <f aca="false">IF($A2002="","",CHOOSE(WEEKDAY($A2002,2),"Seg","Ter","Qua","Qui","Sex","Sáb","Dom"))</f>
        <v/>
      </c>
      <c r="D2002" s="46"/>
      <c r="E2002" s="47"/>
      <c r="F2002" s="47"/>
      <c r="G2002" s="48"/>
      <c r="H2002" s="49"/>
      <c r="I2002" s="50"/>
      <c r="J2002" s="48"/>
      <c r="K2002" s="49"/>
      <c r="L2002" s="50"/>
      <c r="M2002" s="43" t="str">
        <f aca="false">IF(OR($L2002="",$F2002=""),"",IFERROR($L2002/INDEX(Cadastro!$E$6:$E$8,MATCH($F2002,Cadastro!$B$6:$B$8,0)),""))</f>
        <v/>
      </c>
      <c r="N2002" s="43" t="str">
        <f aca="false">IF(OR($L2002="",$I2002="",$I2002=0),"",$L2002/$I2002)</f>
        <v/>
      </c>
      <c r="O2002" s="51"/>
    </row>
    <row r="2003" customFormat="false" ht="15" hidden="false" customHeight="false" outlineLevel="0" collapsed="false">
      <c r="A2003" s="45"/>
      <c r="B2003" s="37" t="str">
        <f aca="false">IF($A2003="","",WEEKNUM($A2003,2))</f>
        <v/>
      </c>
      <c r="C2003" s="37" t="str">
        <f aca="false">IF($A2003="","",CHOOSE(WEEKDAY($A2003,2),"Seg","Ter","Qua","Qui","Sex","Sáb","Dom"))</f>
        <v/>
      </c>
      <c r="D2003" s="46"/>
      <c r="E2003" s="47"/>
      <c r="F2003" s="47"/>
      <c r="G2003" s="48"/>
      <c r="H2003" s="49"/>
      <c r="I2003" s="50"/>
      <c r="J2003" s="48"/>
      <c r="K2003" s="49"/>
      <c r="L2003" s="50"/>
      <c r="M2003" s="43" t="str">
        <f aca="false">IF(OR($L2003="",$F2003=""),"",IFERROR($L2003/INDEX(Cadastro!$E$6:$E$8,MATCH($F2003,Cadastro!$B$6:$B$8,0)),""))</f>
        <v/>
      </c>
      <c r="N2003" s="43" t="str">
        <f aca="false">IF(OR($L2003="",$I2003="",$I2003=0),"",$L2003/$I2003)</f>
        <v/>
      </c>
      <c r="O2003" s="51"/>
    </row>
    <row r="2004" customFormat="false" ht="15" hidden="false" customHeight="false" outlineLevel="0" collapsed="false">
      <c r="A2004" s="45"/>
      <c r="B2004" s="37" t="str">
        <f aca="false">IF($A2004="","",WEEKNUM($A2004,2))</f>
        <v/>
      </c>
      <c r="C2004" s="37" t="str">
        <f aca="false">IF($A2004="","",CHOOSE(WEEKDAY($A2004,2),"Seg","Ter","Qua","Qui","Sex","Sáb","Dom"))</f>
        <v/>
      </c>
      <c r="D2004" s="46"/>
      <c r="E2004" s="47"/>
      <c r="F2004" s="47"/>
      <c r="G2004" s="48"/>
      <c r="H2004" s="49"/>
      <c r="I2004" s="50"/>
      <c r="J2004" s="48"/>
      <c r="K2004" s="49"/>
      <c r="L2004" s="50"/>
      <c r="M2004" s="43" t="str">
        <f aca="false">IF(OR($L2004="",$F2004=""),"",IFERROR($L2004/INDEX(Cadastro!$E$6:$E$8,MATCH($F2004,Cadastro!$B$6:$B$8,0)),""))</f>
        <v/>
      </c>
      <c r="N2004" s="43" t="str">
        <f aca="false">IF(OR($L2004="",$I2004="",$I2004=0),"",$L2004/$I2004)</f>
        <v/>
      </c>
      <c r="O2004" s="51"/>
    </row>
    <row r="2005" customFormat="false" ht="15" hidden="false" customHeight="false" outlineLevel="0" collapsed="false">
      <c r="A2005" s="45"/>
      <c r="B2005" s="37" t="str">
        <f aca="false">IF($A2005="","",WEEKNUM($A2005,2))</f>
        <v/>
      </c>
      <c r="C2005" s="37" t="str">
        <f aca="false">IF($A2005="","",CHOOSE(WEEKDAY($A2005,2),"Seg","Ter","Qua","Qui","Sex","Sáb","Dom"))</f>
        <v/>
      </c>
      <c r="D2005" s="46"/>
      <c r="E2005" s="47"/>
      <c r="F2005" s="47"/>
      <c r="G2005" s="48"/>
      <c r="H2005" s="49"/>
      <c r="I2005" s="50"/>
      <c r="J2005" s="48"/>
      <c r="K2005" s="49"/>
      <c r="L2005" s="50"/>
      <c r="M2005" s="43" t="str">
        <f aca="false">IF(OR($L2005="",$F2005=""),"",IFERROR($L2005/INDEX(Cadastro!$E$6:$E$8,MATCH($F2005,Cadastro!$B$6:$B$8,0)),""))</f>
        <v/>
      </c>
      <c r="N2005" s="43" t="str">
        <f aca="false">IF(OR($L2005="",$I2005="",$I2005=0),"",$L2005/$I2005)</f>
        <v/>
      </c>
      <c r="O2005" s="51"/>
    </row>
    <row r="2006" customFormat="false" ht="15" hidden="false" customHeight="false" outlineLevel="0" collapsed="false">
      <c r="A2006" s="45"/>
      <c r="B2006" s="37" t="str">
        <f aca="false">IF($A2006="","",WEEKNUM($A2006,2))</f>
        <v/>
      </c>
      <c r="C2006" s="37" t="str">
        <f aca="false">IF($A2006="","",CHOOSE(WEEKDAY($A2006,2),"Seg","Ter","Qua","Qui","Sex","Sáb","Dom"))</f>
        <v/>
      </c>
      <c r="D2006" s="46"/>
      <c r="E2006" s="47"/>
      <c r="F2006" s="47"/>
      <c r="G2006" s="48"/>
      <c r="H2006" s="49"/>
      <c r="I2006" s="50"/>
      <c r="J2006" s="48"/>
      <c r="K2006" s="49"/>
      <c r="L2006" s="50"/>
      <c r="M2006" s="43" t="str">
        <f aca="false">IF(OR($L2006="",$F2006=""),"",IFERROR($L2006/INDEX(Cadastro!$E$6:$E$8,MATCH($F2006,Cadastro!$B$6:$B$8,0)),""))</f>
        <v/>
      </c>
      <c r="N2006" s="43" t="str">
        <f aca="false">IF(OR($L2006="",$I2006="",$I2006=0),"",$L2006/$I2006)</f>
        <v/>
      </c>
      <c r="O2006" s="51"/>
    </row>
    <row r="2007" customFormat="false" ht="15" hidden="false" customHeight="false" outlineLevel="0" collapsed="false">
      <c r="A2007" s="45"/>
      <c r="B2007" s="37" t="str">
        <f aca="false">IF($A2007="","",WEEKNUM($A2007,2))</f>
        <v/>
      </c>
      <c r="C2007" s="37" t="str">
        <f aca="false">IF($A2007="","",CHOOSE(WEEKDAY($A2007,2),"Seg","Ter","Qua","Qui","Sex","Sáb","Dom"))</f>
        <v/>
      </c>
      <c r="D2007" s="46"/>
      <c r="E2007" s="47"/>
      <c r="F2007" s="47"/>
      <c r="G2007" s="48"/>
      <c r="H2007" s="49"/>
      <c r="I2007" s="50"/>
      <c r="J2007" s="48"/>
      <c r="K2007" s="49"/>
      <c r="L2007" s="50"/>
      <c r="M2007" s="43" t="str">
        <f aca="false">IF(OR($L2007="",$F2007=""),"",IFERROR($L2007/INDEX(Cadastro!$E$6:$E$8,MATCH($F2007,Cadastro!$B$6:$B$8,0)),""))</f>
        <v/>
      </c>
      <c r="N2007" s="43" t="str">
        <f aca="false">IF(OR($L2007="",$I2007="",$I2007=0),"",$L2007/$I2007)</f>
        <v/>
      </c>
      <c r="O2007" s="51"/>
    </row>
    <row r="2008" customFormat="false" ht="15" hidden="false" customHeight="false" outlineLevel="0" collapsed="false">
      <c r="A2008" s="45"/>
      <c r="B2008" s="37" t="str">
        <f aca="false">IF($A2008="","",WEEKNUM($A2008,2))</f>
        <v/>
      </c>
      <c r="C2008" s="37" t="str">
        <f aca="false">IF($A2008="","",CHOOSE(WEEKDAY($A2008,2),"Seg","Ter","Qua","Qui","Sex","Sáb","Dom"))</f>
        <v/>
      </c>
      <c r="D2008" s="46"/>
      <c r="E2008" s="47"/>
      <c r="F2008" s="47"/>
      <c r="G2008" s="48"/>
      <c r="H2008" s="49"/>
      <c r="I2008" s="50"/>
      <c r="J2008" s="48"/>
      <c r="K2008" s="49"/>
      <c r="L2008" s="50"/>
      <c r="M2008" s="43" t="str">
        <f aca="false">IF(OR($L2008="",$F2008=""),"",IFERROR($L2008/INDEX(Cadastro!$E$6:$E$8,MATCH($F2008,Cadastro!$B$6:$B$8,0)),""))</f>
        <v/>
      </c>
      <c r="N2008" s="43" t="str">
        <f aca="false">IF(OR($L2008="",$I2008="",$I2008=0),"",$L2008/$I2008)</f>
        <v/>
      </c>
      <c r="O2008" s="51"/>
    </row>
    <row r="2009" customFormat="false" ht="15" hidden="false" customHeight="false" outlineLevel="0" collapsed="false">
      <c r="A2009" s="45"/>
      <c r="B2009" s="37" t="str">
        <f aca="false">IF($A2009="","",WEEKNUM($A2009,2))</f>
        <v/>
      </c>
      <c r="C2009" s="37" t="str">
        <f aca="false">IF($A2009="","",CHOOSE(WEEKDAY($A2009,2),"Seg","Ter","Qua","Qui","Sex","Sáb","Dom"))</f>
        <v/>
      </c>
      <c r="D2009" s="46"/>
      <c r="E2009" s="47"/>
      <c r="F2009" s="47"/>
      <c r="G2009" s="48"/>
      <c r="H2009" s="49"/>
      <c r="I2009" s="50"/>
      <c r="J2009" s="48"/>
      <c r="K2009" s="49"/>
      <c r="L2009" s="50"/>
      <c r="M2009" s="43" t="str">
        <f aca="false">IF(OR($L2009="",$F2009=""),"",IFERROR($L2009/INDEX(Cadastro!$E$6:$E$8,MATCH($F2009,Cadastro!$B$6:$B$8,0)),""))</f>
        <v/>
      </c>
      <c r="N2009" s="43" t="str">
        <f aca="false">IF(OR($L2009="",$I2009="",$I2009=0),"",$L2009/$I2009)</f>
        <v/>
      </c>
      <c r="O2009" s="51"/>
    </row>
    <row r="2010" customFormat="false" ht="15" hidden="false" customHeight="false" outlineLevel="0" collapsed="false">
      <c r="A2010" s="45"/>
      <c r="B2010" s="37" t="str">
        <f aca="false">IF($A2010="","",WEEKNUM($A2010,2))</f>
        <v/>
      </c>
      <c r="C2010" s="37" t="str">
        <f aca="false">IF($A2010="","",CHOOSE(WEEKDAY($A2010,2),"Seg","Ter","Qua","Qui","Sex","Sáb","Dom"))</f>
        <v/>
      </c>
      <c r="D2010" s="46"/>
      <c r="E2010" s="47"/>
      <c r="F2010" s="47"/>
      <c r="G2010" s="48"/>
      <c r="H2010" s="49"/>
      <c r="I2010" s="50"/>
      <c r="J2010" s="48"/>
      <c r="K2010" s="49"/>
      <c r="L2010" s="50"/>
      <c r="M2010" s="43" t="str">
        <f aca="false">IF(OR($L2010="",$F2010=""),"",IFERROR($L2010/INDEX(Cadastro!$E$6:$E$8,MATCH($F2010,Cadastro!$B$6:$B$8,0)),""))</f>
        <v/>
      </c>
      <c r="N2010" s="43" t="str">
        <f aca="false">IF(OR($L2010="",$I2010="",$I2010=0),"",$L2010/$I2010)</f>
        <v/>
      </c>
      <c r="O2010" s="51"/>
    </row>
    <row r="2011" customFormat="false" ht="15" hidden="false" customHeight="false" outlineLevel="0" collapsed="false">
      <c r="A2011" s="45"/>
      <c r="B2011" s="37" t="str">
        <f aca="false">IF($A2011="","",WEEKNUM($A2011,2))</f>
        <v/>
      </c>
      <c r="C2011" s="37" t="str">
        <f aca="false">IF($A2011="","",CHOOSE(WEEKDAY($A2011,2),"Seg","Ter","Qua","Qui","Sex","Sáb","Dom"))</f>
        <v/>
      </c>
      <c r="D2011" s="46"/>
      <c r="E2011" s="47"/>
      <c r="F2011" s="47"/>
      <c r="G2011" s="48"/>
      <c r="H2011" s="49"/>
      <c r="I2011" s="50"/>
      <c r="J2011" s="48"/>
      <c r="K2011" s="49"/>
      <c r="L2011" s="50"/>
      <c r="M2011" s="43" t="str">
        <f aca="false">IF(OR($L2011="",$F2011=""),"",IFERROR($L2011/INDEX(Cadastro!$E$6:$E$8,MATCH($F2011,Cadastro!$B$6:$B$8,0)),""))</f>
        <v/>
      </c>
      <c r="N2011" s="43" t="str">
        <f aca="false">IF(OR($L2011="",$I2011="",$I2011=0),"",$L2011/$I2011)</f>
        <v/>
      </c>
      <c r="O2011" s="51"/>
    </row>
    <row r="2012" customFormat="false" ht="15" hidden="false" customHeight="false" outlineLevel="0" collapsed="false">
      <c r="A2012" s="45"/>
      <c r="B2012" s="37" t="str">
        <f aca="false">IF($A2012="","",WEEKNUM($A2012,2))</f>
        <v/>
      </c>
      <c r="C2012" s="37" t="str">
        <f aca="false">IF($A2012="","",CHOOSE(WEEKDAY($A2012,2),"Seg","Ter","Qua","Qui","Sex","Sáb","Dom"))</f>
        <v/>
      </c>
      <c r="D2012" s="46"/>
      <c r="E2012" s="47"/>
      <c r="F2012" s="47"/>
      <c r="G2012" s="48"/>
      <c r="H2012" s="49"/>
      <c r="I2012" s="50"/>
      <c r="J2012" s="48"/>
      <c r="K2012" s="49"/>
      <c r="L2012" s="50"/>
      <c r="M2012" s="43" t="str">
        <f aca="false">IF(OR($L2012="",$F2012=""),"",IFERROR($L2012/INDEX(Cadastro!$E$6:$E$8,MATCH($F2012,Cadastro!$B$6:$B$8,0)),""))</f>
        <v/>
      </c>
      <c r="N2012" s="43" t="str">
        <f aca="false">IF(OR($L2012="",$I2012="",$I2012=0),"",$L2012/$I2012)</f>
        <v/>
      </c>
      <c r="O2012" s="51"/>
    </row>
    <row r="2013" customFormat="false" ht="15" hidden="false" customHeight="false" outlineLevel="0" collapsed="false">
      <c r="A2013" s="45"/>
      <c r="B2013" s="37" t="str">
        <f aca="false">IF($A2013="","",WEEKNUM($A2013,2))</f>
        <v/>
      </c>
      <c r="C2013" s="37" t="str">
        <f aca="false">IF($A2013="","",CHOOSE(WEEKDAY($A2013,2),"Seg","Ter","Qua","Qui","Sex","Sáb","Dom"))</f>
        <v/>
      </c>
      <c r="D2013" s="46"/>
      <c r="E2013" s="47"/>
      <c r="F2013" s="47"/>
      <c r="G2013" s="48"/>
      <c r="H2013" s="49"/>
      <c r="I2013" s="50"/>
      <c r="J2013" s="48"/>
      <c r="K2013" s="49"/>
      <c r="L2013" s="50"/>
      <c r="M2013" s="43" t="str">
        <f aca="false">IF(OR($L2013="",$F2013=""),"",IFERROR($L2013/INDEX(Cadastro!$E$6:$E$8,MATCH($F2013,Cadastro!$B$6:$B$8,0)),""))</f>
        <v/>
      </c>
      <c r="N2013" s="43" t="str">
        <f aca="false">IF(OR($L2013="",$I2013="",$I2013=0),"",$L2013/$I2013)</f>
        <v/>
      </c>
      <c r="O2013" s="51"/>
    </row>
    <row r="2014" customFormat="false" ht="15" hidden="false" customHeight="false" outlineLevel="0" collapsed="false">
      <c r="A2014" s="45"/>
      <c r="B2014" s="37" t="str">
        <f aca="false">IF($A2014="","",WEEKNUM($A2014,2))</f>
        <v/>
      </c>
      <c r="C2014" s="37" t="str">
        <f aca="false">IF($A2014="","",CHOOSE(WEEKDAY($A2014,2),"Seg","Ter","Qua","Qui","Sex","Sáb","Dom"))</f>
        <v/>
      </c>
      <c r="D2014" s="46"/>
      <c r="E2014" s="47"/>
      <c r="F2014" s="47"/>
      <c r="G2014" s="48"/>
      <c r="H2014" s="49"/>
      <c r="I2014" s="50"/>
      <c r="J2014" s="48"/>
      <c r="K2014" s="49"/>
      <c r="L2014" s="50"/>
      <c r="M2014" s="43" t="str">
        <f aca="false">IF(OR($L2014="",$F2014=""),"",IFERROR($L2014/INDEX(Cadastro!$E$6:$E$8,MATCH($F2014,Cadastro!$B$6:$B$8,0)),""))</f>
        <v/>
      </c>
      <c r="N2014" s="43" t="str">
        <f aca="false">IF(OR($L2014="",$I2014="",$I2014=0),"",$L2014/$I2014)</f>
        <v/>
      </c>
      <c r="O2014" s="51"/>
    </row>
    <row r="2015" customFormat="false" ht="15" hidden="false" customHeight="false" outlineLevel="0" collapsed="false">
      <c r="A2015" s="45"/>
      <c r="B2015" s="37" t="str">
        <f aca="false">IF($A2015="","",WEEKNUM($A2015,2))</f>
        <v/>
      </c>
      <c r="C2015" s="37" t="str">
        <f aca="false">IF($A2015="","",CHOOSE(WEEKDAY($A2015,2),"Seg","Ter","Qua","Qui","Sex","Sáb","Dom"))</f>
        <v/>
      </c>
      <c r="D2015" s="46"/>
      <c r="E2015" s="47"/>
      <c r="F2015" s="47"/>
      <c r="G2015" s="48"/>
      <c r="H2015" s="49"/>
      <c r="I2015" s="50"/>
      <c r="J2015" s="48"/>
      <c r="K2015" s="49"/>
      <c r="L2015" s="50"/>
      <c r="M2015" s="43" t="str">
        <f aca="false">IF(OR($L2015="",$F2015=""),"",IFERROR($L2015/INDEX(Cadastro!$E$6:$E$8,MATCH($F2015,Cadastro!$B$6:$B$8,0)),""))</f>
        <v/>
      </c>
      <c r="N2015" s="43" t="str">
        <f aca="false">IF(OR($L2015="",$I2015="",$I2015=0),"",$L2015/$I2015)</f>
        <v/>
      </c>
      <c r="O2015" s="51"/>
    </row>
    <row r="2016" customFormat="false" ht="15" hidden="false" customHeight="false" outlineLevel="0" collapsed="false">
      <c r="A2016" s="45"/>
      <c r="B2016" s="37" t="str">
        <f aca="false">IF($A2016="","",WEEKNUM($A2016,2))</f>
        <v/>
      </c>
      <c r="C2016" s="37" t="str">
        <f aca="false">IF($A2016="","",CHOOSE(WEEKDAY($A2016,2),"Seg","Ter","Qua","Qui","Sex","Sáb","Dom"))</f>
        <v/>
      </c>
      <c r="D2016" s="46"/>
      <c r="E2016" s="47"/>
      <c r="F2016" s="47"/>
      <c r="G2016" s="48"/>
      <c r="H2016" s="49"/>
      <c r="I2016" s="50"/>
      <c r="J2016" s="48"/>
      <c r="K2016" s="49"/>
      <c r="L2016" s="50"/>
      <c r="M2016" s="43" t="str">
        <f aca="false">IF(OR($L2016="",$F2016=""),"",IFERROR($L2016/INDEX(Cadastro!$E$6:$E$8,MATCH($F2016,Cadastro!$B$6:$B$8,0)),""))</f>
        <v/>
      </c>
      <c r="N2016" s="43" t="str">
        <f aca="false">IF(OR($L2016="",$I2016="",$I2016=0),"",$L2016/$I2016)</f>
        <v/>
      </c>
      <c r="O2016" s="51"/>
    </row>
    <row r="2017" customFormat="false" ht="15" hidden="false" customHeight="false" outlineLevel="0" collapsed="false">
      <c r="A2017" s="45"/>
      <c r="B2017" s="37" t="str">
        <f aca="false">IF($A2017="","",WEEKNUM($A2017,2))</f>
        <v/>
      </c>
      <c r="C2017" s="37" t="str">
        <f aca="false">IF($A2017="","",CHOOSE(WEEKDAY($A2017,2),"Seg","Ter","Qua","Qui","Sex","Sáb","Dom"))</f>
        <v/>
      </c>
      <c r="D2017" s="46"/>
      <c r="E2017" s="47"/>
      <c r="F2017" s="47"/>
      <c r="G2017" s="48"/>
      <c r="H2017" s="49"/>
      <c r="I2017" s="50"/>
      <c r="J2017" s="48"/>
      <c r="K2017" s="49"/>
      <c r="L2017" s="50"/>
      <c r="M2017" s="43" t="str">
        <f aca="false">IF(OR($L2017="",$F2017=""),"",IFERROR($L2017/INDEX(Cadastro!$E$6:$E$8,MATCH($F2017,Cadastro!$B$6:$B$8,0)),""))</f>
        <v/>
      </c>
      <c r="N2017" s="43" t="str">
        <f aca="false">IF(OR($L2017="",$I2017="",$I2017=0),"",$L2017/$I2017)</f>
        <v/>
      </c>
      <c r="O2017" s="51"/>
    </row>
    <row r="2018" customFormat="false" ht="15" hidden="false" customHeight="false" outlineLevel="0" collapsed="false">
      <c r="A2018" s="45"/>
      <c r="B2018" s="37" t="str">
        <f aca="false">IF($A2018="","",WEEKNUM($A2018,2))</f>
        <v/>
      </c>
      <c r="C2018" s="37" t="str">
        <f aca="false">IF($A2018="","",CHOOSE(WEEKDAY($A2018,2),"Seg","Ter","Qua","Qui","Sex","Sáb","Dom"))</f>
        <v/>
      </c>
      <c r="D2018" s="46"/>
      <c r="E2018" s="47"/>
      <c r="F2018" s="47"/>
      <c r="G2018" s="48"/>
      <c r="H2018" s="49"/>
      <c r="I2018" s="50"/>
      <c r="J2018" s="48"/>
      <c r="K2018" s="49"/>
      <c r="L2018" s="50"/>
      <c r="M2018" s="43" t="str">
        <f aca="false">IF(OR($L2018="",$F2018=""),"",IFERROR($L2018/INDEX(Cadastro!$E$6:$E$8,MATCH($F2018,Cadastro!$B$6:$B$8,0)),""))</f>
        <v/>
      </c>
      <c r="N2018" s="43" t="str">
        <f aca="false">IF(OR($L2018="",$I2018="",$I2018=0),"",$L2018/$I2018)</f>
        <v/>
      </c>
      <c r="O2018" s="51"/>
    </row>
    <row r="2019" customFormat="false" ht="15" hidden="false" customHeight="false" outlineLevel="0" collapsed="false">
      <c r="A2019" s="45"/>
      <c r="B2019" s="37" t="str">
        <f aca="false">IF($A2019="","",WEEKNUM($A2019,2))</f>
        <v/>
      </c>
      <c r="C2019" s="37" t="str">
        <f aca="false">IF($A2019="","",CHOOSE(WEEKDAY($A2019,2),"Seg","Ter","Qua","Qui","Sex","Sáb","Dom"))</f>
        <v/>
      </c>
      <c r="D2019" s="46"/>
      <c r="E2019" s="47"/>
      <c r="F2019" s="47"/>
      <c r="G2019" s="48"/>
      <c r="H2019" s="49"/>
      <c r="I2019" s="50"/>
      <c r="J2019" s="48"/>
      <c r="K2019" s="49"/>
      <c r="L2019" s="50"/>
      <c r="M2019" s="43" t="str">
        <f aca="false">IF(OR($L2019="",$F2019=""),"",IFERROR($L2019/INDEX(Cadastro!$E$6:$E$8,MATCH($F2019,Cadastro!$B$6:$B$8,0)),""))</f>
        <v/>
      </c>
      <c r="N2019" s="43" t="str">
        <f aca="false">IF(OR($L2019="",$I2019="",$I2019=0),"",$L2019/$I2019)</f>
        <v/>
      </c>
      <c r="O2019" s="51"/>
    </row>
    <row r="2020" customFormat="false" ht="15" hidden="false" customHeight="false" outlineLevel="0" collapsed="false">
      <c r="A2020" s="45"/>
      <c r="B2020" s="37" t="str">
        <f aca="false">IF($A2020="","",WEEKNUM($A2020,2))</f>
        <v/>
      </c>
      <c r="C2020" s="37" t="str">
        <f aca="false">IF($A2020="","",CHOOSE(WEEKDAY($A2020,2),"Seg","Ter","Qua","Qui","Sex","Sáb","Dom"))</f>
        <v/>
      </c>
      <c r="D2020" s="46"/>
      <c r="E2020" s="47"/>
      <c r="F2020" s="47"/>
      <c r="G2020" s="48"/>
      <c r="H2020" s="49"/>
      <c r="I2020" s="50"/>
      <c r="J2020" s="48"/>
      <c r="K2020" s="49"/>
      <c r="L2020" s="50"/>
      <c r="M2020" s="43" t="str">
        <f aca="false">IF(OR($L2020="",$F2020=""),"",IFERROR($L2020/INDEX(Cadastro!$E$6:$E$8,MATCH($F2020,Cadastro!$B$6:$B$8,0)),""))</f>
        <v/>
      </c>
      <c r="N2020" s="43" t="str">
        <f aca="false">IF(OR($L2020="",$I2020="",$I2020=0),"",$L2020/$I2020)</f>
        <v/>
      </c>
      <c r="O2020" s="51"/>
    </row>
    <row r="2021" customFormat="false" ht="15" hidden="false" customHeight="false" outlineLevel="0" collapsed="false">
      <c r="A2021" s="45"/>
      <c r="B2021" s="37" t="str">
        <f aca="false">IF($A2021="","",WEEKNUM($A2021,2))</f>
        <v/>
      </c>
      <c r="C2021" s="37" t="str">
        <f aca="false">IF($A2021="","",CHOOSE(WEEKDAY($A2021,2),"Seg","Ter","Qua","Qui","Sex","Sáb","Dom"))</f>
        <v/>
      </c>
      <c r="D2021" s="46"/>
      <c r="E2021" s="47"/>
      <c r="F2021" s="47"/>
      <c r="G2021" s="48"/>
      <c r="H2021" s="49"/>
      <c r="I2021" s="50"/>
      <c r="J2021" s="48"/>
      <c r="K2021" s="49"/>
      <c r="L2021" s="50"/>
      <c r="M2021" s="43" t="str">
        <f aca="false">IF(OR($L2021="",$F2021=""),"",IFERROR($L2021/INDEX(Cadastro!$E$6:$E$8,MATCH($F2021,Cadastro!$B$6:$B$8,0)),""))</f>
        <v/>
      </c>
      <c r="N2021" s="43" t="str">
        <f aca="false">IF(OR($L2021="",$I2021="",$I2021=0),"",$L2021/$I2021)</f>
        <v/>
      </c>
      <c r="O2021" s="51"/>
    </row>
    <row r="2022" customFormat="false" ht="15" hidden="false" customHeight="false" outlineLevel="0" collapsed="false">
      <c r="A2022" s="45"/>
      <c r="B2022" s="37" t="str">
        <f aca="false">IF($A2022="","",WEEKNUM($A2022,2))</f>
        <v/>
      </c>
      <c r="C2022" s="37" t="str">
        <f aca="false">IF($A2022="","",CHOOSE(WEEKDAY($A2022,2),"Seg","Ter","Qua","Qui","Sex","Sáb","Dom"))</f>
        <v/>
      </c>
      <c r="D2022" s="46"/>
      <c r="E2022" s="47"/>
      <c r="F2022" s="47"/>
      <c r="G2022" s="48"/>
      <c r="H2022" s="49"/>
      <c r="I2022" s="50"/>
      <c r="J2022" s="48"/>
      <c r="K2022" s="49"/>
      <c r="L2022" s="50"/>
      <c r="M2022" s="43" t="str">
        <f aca="false">IF(OR($L2022="",$F2022=""),"",IFERROR($L2022/INDEX(Cadastro!$E$6:$E$8,MATCH($F2022,Cadastro!$B$6:$B$8,0)),""))</f>
        <v/>
      </c>
      <c r="N2022" s="43" t="str">
        <f aca="false">IF(OR($L2022="",$I2022="",$I2022=0),"",$L2022/$I2022)</f>
        <v/>
      </c>
      <c r="O2022" s="51"/>
    </row>
    <row r="2023" customFormat="false" ht="15" hidden="false" customHeight="false" outlineLevel="0" collapsed="false">
      <c r="A2023" s="45"/>
      <c r="B2023" s="37" t="str">
        <f aca="false">IF($A2023="","",WEEKNUM($A2023,2))</f>
        <v/>
      </c>
      <c r="C2023" s="37" t="str">
        <f aca="false">IF($A2023="","",CHOOSE(WEEKDAY($A2023,2),"Seg","Ter","Qua","Qui","Sex","Sáb","Dom"))</f>
        <v/>
      </c>
      <c r="D2023" s="46"/>
      <c r="E2023" s="47"/>
      <c r="F2023" s="47"/>
      <c r="G2023" s="48"/>
      <c r="H2023" s="49"/>
      <c r="I2023" s="50"/>
      <c r="J2023" s="48"/>
      <c r="K2023" s="49"/>
      <c r="L2023" s="50"/>
      <c r="M2023" s="43" t="str">
        <f aca="false">IF(OR($L2023="",$F2023=""),"",IFERROR($L2023/INDEX(Cadastro!$E$6:$E$8,MATCH($F2023,Cadastro!$B$6:$B$8,0)),""))</f>
        <v/>
      </c>
      <c r="N2023" s="43" t="str">
        <f aca="false">IF(OR($L2023="",$I2023="",$I2023=0),"",$L2023/$I2023)</f>
        <v/>
      </c>
      <c r="O2023" s="51"/>
    </row>
    <row r="2024" customFormat="false" ht="15" hidden="false" customHeight="false" outlineLevel="0" collapsed="false">
      <c r="A2024" s="45"/>
      <c r="B2024" s="37" t="str">
        <f aca="false">IF($A2024="","",WEEKNUM($A2024,2))</f>
        <v/>
      </c>
      <c r="C2024" s="37" t="str">
        <f aca="false">IF($A2024="","",CHOOSE(WEEKDAY($A2024,2),"Seg","Ter","Qua","Qui","Sex","Sáb","Dom"))</f>
        <v/>
      </c>
      <c r="D2024" s="46"/>
      <c r="E2024" s="47"/>
      <c r="F2024" s="47"/>
      <c r="G2024" s="48"/>
      <c r="H2024" s="49"/>
      <c r="I2024" s="50"/>
      <c r="J2024" s="48"/>
      <c r="K2024" s="49"/>
      <c r="L2024" s="50"/>
      <c r="M2024" s="43" t="str">
        <f aca="false">IF(OR($L2024="",$F2024=""),"",IFERROR($L2024/INDEX(Cadastro!$E$6:$E$8,MATCH($F2024,Cadastro!$B$6:$B$8,0)),""))</f>
        <v/>
      </c>
      <c r="N2024" s="43" t="str">
        <f aca="false">IF(OR($L2024="",$I2024="",$I2024=0),"",$L2024/$I2024)</f>
        <v/>
      </c>
      <c r="O2024" s="51"/>
    </row>
    <row r="2025" customFormat="false" ht="15" hidden="false" customHeight="false" outlineLevel="0" collapsed="false">
      <c r="A2025" s="45"/>
      <c r="B2025" s="37" t="str">
        <f aca="false">IF($A2025="","",WEEKNUM($A2025,2))</f>
        <v/>
      </c>
      <c r="C2025" s="37" t="str">
        <f aca="false">IF($A2025="","",CHOOSE(WEEKDAY($A2025,2),"Seg","Ter","Qua","Qui","Sex","Sáb","Dom"))</f>
        <v/>
      </c>
      <c r="D2025" s="46"/>
      <c r="E2025" s="47"/>
      <c r="F2025" s="47"/>
      <c r="G2025" s="48"/>
      <c r="H2025" s="49"/>
      <c r="I2025" s="50"/>
      <c r="J2025" s="48"/>
      <c r="K2025" s="49"/>
      <c r="L2025" s="50"/>
      <c r="M2025" s="43" t="str">
        <f aca="false">IF(OR($L2025="",$F2025=""),"",IFERROR($L2025/INDEX(Cadastro!$E$6:$E$8,MATCH($F2025,Cadastro!$B$6:$B$8,0)),""))</f>
        <v/>
      </c>
      <c r="N2025" s="43" t="str">
        <f aca="false">IF(OR($L2025="",$I2025="",$I2025=0),"",$L2025/$I2025)</f>
        <v/>
      </c>
      <c r="O2025" s="51"/>
    </row>
    <row r="2026" customFormat="false" ht="15" hidden="false" customHeight="false" outlineLevel="0" collapsed="false">
      <c r="A2026" s="45"/>
      <c r="B2026" s="37" t="str">
        <f aca="false">IF($A2026="","",WEEKNUM($A2026,2))</f>
        <v/>
      </c>
      <c r="C2026" s="37" t="str">
        <f aca="false">IF($A2026="","",CHOOSE(WEEKDAY($A2026,2),"Seg","Ter","Qua","Qui","Sex","Sáb","Dom"))</f>
        <v/>
      </c>
      <c r="D2026" s="46"/>
      <c r="E2026" s="47"/>
      <c r="F2026" s="47"/>
      <c r="G2026" s="48"/>
      <c r="H2026" s="49"/>
      <c r="I2026" s="50"/>
      <c r="J2026" s="48"/>
      <c r="K2026" s="49"/>
      <c r="L2026" s="50"/>
      <c r="M2026" s="43" t="str">
        <f aca="false">IF(OR($L2026="",$F2026=""),"",IFERROR($L2026/INDEX(Cadastro!$E$6:$E$8,MATCH($F2026,Cadastro!$B$6:$B$8,0)),""))</f>
        <v/>
      </c>
      <c r="N2026" s="43" t="str">
        <f aca="false">IF(OR($L2026="",$I2026="",$I2026=0),"",$L2026/$I2026)</f>
        <v/>
      </c>
      <c r="O2026" s="51"/>
    </row>
    <row r="2027" customFormat="false" ht="15" hidden="false" customHeight="false" outlineLevel="0" collapsed="false">
      <c r="A2027" s="45"/>
      <c r="B2027" s="37" t="str">
        <f aca="false">IF($A2027="","",WEEKNUM($A2027,2))</f>
        <v/>
      </c>
      <c r="C2027" s="37" t="str">
        <f aca="false">IF($A2027="","",CHOOSE(WEEKDAY($A2027,2),"Seg","Ter","Qua","Qui","Sex","Sáb","Dom"))</f>
        <v/>
      </c>
      <c r="D2027" s="46"/>
      <c r="E2027" s="47"/>
      <c r="F2027" s="47"/>
      <c r="G2027" s="48"/>
      <c r="H2027" s="49"/>
      <c r="I2027" s="50"/>
      <c r="J2027" s="48"/>
      <c r="K2027" s="49"/>
      <c r="L2027" s="50"/>
      <c r="M2027" s="43" t="str">
        <f aca="false">IF(OR($L2027="",$F2027=""),"",IFERROR($L2027/INDEX(Cadastro!$E$6:$E$8,MATCH($F2027,Cadastro!$B$6:$B$8,0)),""))</f>
        <v/>
      </c>
      <c r="N2027" s="43" t="str">
        <f aca="false">IF(OR($L2027="",$I2027="",$I2027=0),"",$L2027/$I2027)</f>
        <v/>
      </c>
      <c r="O2027" s="51"/>
    </row>
    <row r="2028" customFormat="false" ht="15" hidden="false" customHeight="false" outlineLevel="0" collapsed="false">
      <c r="A2028" s="45"/>
      <c r="B2028" s="37" t="str">
        <f aca="false">IF($A2028="","",WEEKNUM($A2028,2))</f>
        <v/>
      </c>
      <c r="C2028" s="37" t="str">
        <f aca="false">IF($A2028="","",CHOOSE(WEEKDAY($A2028,2),"Seg","Ter","Qua","Qui","Sex","Sáb","Dom"))</f>
        <v/>
      </c>
      <c r="D2028" s="46"/>
      <c r="E2028" s="47"/>
      <c r="F2028" s="47"/>
      <c r="G2028" s="48"/>
      <c r="H2028" s="49"/>
      <c r="I2028" s="50"/>
      <c r="J2028" s="48"/>
      <c r="K2028" s="49"/>
      <c r="L2028" s="50"/>
      <c r="M2028" s="43" t="str">
        <f aca="false">IF(OR($L2028="",$F2028=""),"",IFERROR($L2028/INDEX(Cadastro!$E$6:$E$8,MATCH($F2028,Cadastro!$B$6:$B$8,0)),""))</f>
        <v/>
      </c>
      <c r="N2028" s="43" t="str">
        <f aca="false">IF(OR($L2028="",$I2028="",$I2028=0),"",$L2028/$I2028)</f>
        <v/>
      </c>
      <c r="O2028" s="51"/>
    </row>
    <row r="2029" customFormat="false" ht="15" hidden="false" customHeight="false" outlineLevel="0" collapsed="false">
      <c r="A2029" s="45"/>
      <c r="B2029" s="37" t="str">
        <f aca="false">IF($A2029="","",WEEKNUM($A2029,2))</f>
        <v/>
      </c>
      <c r="C2029" s="37" t="str">
        <f aca="false">IF($A2029="","",CHOOSE(WEEKDAY($A2029,2),"Seg","Ter","Qua","Qui","Sex","Sáb","Dom"))</f>
        <v/>
      </c>
      <c r="D2029" s="46"/>
      <c r="E2029" s="47"/>
      <c r="F2029" s="47"/>
      <c r="G2029" s="48"/>
      <c r="H2029" s="49"/>
      <c r="I2029" s="50"/>
      <c r="J2029" s="48"/>
      <c r="K2029" s="49"/>
      <c r="L2029" s="50"/>
      <c r="M2029" s="43" t="str">
        <f aca="false">IF(OR($L2029="",$F2029=""),"",IFERROR($L2029/INDEX(Cadastro!$E$6:$E$8,MATCH($F2029,Cadastro!$B$6:$B$8,0)),""))</f>
        <v/>
      </c>
      <c r="N2029" s="43" t="str">
        <f aca="false">IF(OR($L2029="",$I2029="",$I2029=0),"",$L2029/$I2029)</f>
        <v/>
      </c>
      <c r="O2029" s="51"/>
    </row>
    <row r="2030" customFormat="false" ht="15" hidden="false" customHeight="false" outlineLevel="0" collapsed="false">
      <c r="A2030" s="45"/>
      <c r="B2030" s="37" t="str">
        <f aca="false">IF($A2030="","",WEEKNUM($A2030,2))</f>
        <v/>
      </c>
      <c r="C2030" s="37" t="str">
        <f aca="false">IF($A2030="","",CHOOSE(WEEKDAY($A2030,2),"Seg","Ter","Qua","Qui","Sex","Sáb","Dom"))</f>
        <v/>
      </c>
      <c r="D2030" s="46"/>
      <c r="E2030" s="47"/>
      <c r="F2030" s="47"/>
      <c r="G2030" s="48"/>
      <c r="H2030" s="49"/>
      <c r="I2030" s="50"/>
      <c r="J2030" s="48"/>
      <c r="K2030" s="49"/>
      <c r="L2030" s="50"/>
      <c r="M2030" s="43" t="str">
        <f aca="false">IF(OR($L2030="",$F2030=""),"",IFERROR($L2030/INDEX(Cadastro!$E$6:$E$8,MATCH($F2030,Cadastro!$B$6:$B$8,0)),""))</f>
        <v/>
      </c>
      <c r="N2030" s="43" t="str">
        <f aca="false">IF(OR($L2030="",$I2030="",$I2030=0),"",$L2030/$I2030)</f>
        <v/>
      </c>
      <c r="O2030" s="51"/>
    </row>
    <row r="2031" customFormat="false" ht="15" hidden="false" customHeight="false" outlineLevel="0" collapsed="false">
      <c r="A2031" s="45"/>
      <c r="B2031" s="37" t="str">
        <f aca="false">IF($A2031="","",WEEKNUM($A2031,2))</f>
        <v/>
      </c>
      <c r="C2031" s="37" t="str">
        <f aca="false">IF($A2031="","",CHOOSE(WEEKDAY($A2031,2),"Seg","Ter","Qua","Qui","Sex","Sáb","Dom"))</f>
        <v/>
      </c>
      <c r="D2031" s="46"/>
      <c r="E2031" s="47"/>
      <c r="F2031" s="47"/>
      <c r="G2031" s="48"/>
      <c r="H2031" s="49"/>
      <c r="I2031" s="50"/>
      <c r="J2031" s="48"/>
      <c r="K2031" s="49"/>
      <c r="L2031" s="50"/>
      <c r="M2031" s="43" t="str">
        <f aca="false">IF(OR($L2031="",$F2031=""),"",IFERROR($L2031/INDEX(Cadastro!$E$6:$E$8,MATCH($F2031,Cadastro!$B$6:$B$8,0)),""))</f>
        <v/>
      </c>
      <c r="N2031" s="43" t="str">
        <f aca="false">IF(OR($L2031="",$I2031="",$I2031=0),"",$L2031/$I2031)</f>
        <v/>
      </c>
      <c r="O2031" s="51"/>
    </row>
    <row r="2032" customFormat="false" ht="15" hidden="false" customHeight="false" outlineLevel="0" collapsed="false">
      <c r="A2032" s="45"/>
      <c r="B2032" s="37" t="str">
        <f aca="false">IF($A2032="","",WEEKNUM($A2032,2))</f>
        <v/>
      </c>
      <c r="C2032" s="37" t="str">
        <f aca="false">IF($A2032="","",CHOOSE(WEEKDAY($A2032,2),"Seg","Ter","Qua","Qui","Sex","Sáb","Dom"))</f>
        <v/>
      </c>
      <c r="D2032" s="46"/>
      <c r="E2032" s="47"/>
      <c r="F2032" s="47"/>
      <c r="G2032" s="48"/>
      <c r="H2032" s="49"/>
      <c r="I2032" s="50"/>
      <c r="J2032" s="48"/>
      <c r="K2032" s="49"/>
      <c r="L2032" s="50"/>
      <c r="M2032" s="43" t="str">
        <f aca="false">IF(OR($L2032="",$F2032=""),"",IFERROR($L2032/INDEX(Cadastro!$E$6:$E$8,MATCH($F2032,Cadastro!$B$6:$B$8,0)),""))</f>
        <v/>
      </c>
      <c r="N2032" s="43" t="str">
        <f aca="false">IF(OR($L2032="",$I2032="",$I2032=0),"",$L2032/$I2032)</f>
        <v/>
      </c>
      <c r="O2032" s="51"/>
    </row>
    <row r="2033" customFormat="false" ht="15" hidden="false" customHeight="false" outlineLevel="0" collapsed="false">
      <c r="A2033" s="45"/>
      <c r="B2033" s="37" t="str">
        <f aca="false">IF($A2033="","",WEEKNUM($A2033,2))</f>
        <v/>
      </c>
      <c r="C2033" s="37" t="str">
        <f aca="false">IF($A2033="","",CHOOSE(WEEKDAY($A2033,2),"Seg","Ter","Qua","Qui","Sex","Sáb","Dom"))</f>
        <v/>
      </c>
      <c r="D2033" s="46"/>
      <c r="E2033" s="47"/>
      <c r="F2033" s="47"/>
      <c r="G2033" s="48"/>
      <c r="H2033" s="49"/>
      <c r="I2033" s="50"/>
      <c r="J2033" s="48"/>
      <c r="K2033" s="49"/>
      <c r="L2033" s="50"/>
      <c r="M2033" s="43" t="str">
        <f aca="false">IF(OR($L2033="",$F2033=""),"",IFERROR($L2033/INDEX(Cadastro!$E$6:$E$8,MATCH($F2033,Cadastro!$B$6:$B$8,0)),""))</f>
        <v/>
      </c>
      <c r="N2033" s="43" t="str">
        <f aca="false">IF(OR($L2033="",$I2033="",$I2033=0),"",$L2033/$I2033)</f>
        <v/>
      </c>
      <c r="O2033" s="51"/>
    </row>
    <row r="2034" customFormat="false" ht="15" hidden="false" customHeight="false" outlineLevel="0" collapsed="false">
      <c r="A2034" s="45"/>
      <c r="B2034" s="37" t="str">
        <f aca="false">IF($A2034="","",WEEKNUM($A2034,2))</f>
        <v/>
      </c>
      <c r="C2034" s="37" t="str">
        <f aca="false">IF($A2034="","",CHOOSE(WEEKDAY($A2034,2),"Seg","Ter","Qua","Qui","Sex","Sáb","Dom"))</f>
        <v/>
      </c>
      <c r="D2034" s="46"/>
      <c r="E2034" s="47"/>
      <c r="F2034" s="47"/>
      <c r="G2034" s="48"/>
      <c r="H2034" s="49"/>
      <c r="I2034" s="50"/>
      <c r="J2034" s="48"/>
      <c r="K2034" s="49"/>
      <c r="L2034" s="50"/>
      <c r="M2034" s="43" t="str">
        <f aca="false">IF(OR($L2034="",$F2034=""),"",IFERROR($L2034/INDEX(Cadastro!$E$6:$E$8,MATCH($F2034,Cadastro!$B$6:$B$8,0)),""))</f>
        <v/>
      </c>
      <c r="N2034" s="43" t="str">
        <f aca="false">IF(OR($L2034="",$I2034="",$I2034=0),"",$L2034/$I2034)</f>
        <v/>
      </c>
      <c r="O2034" s="51"/>
    </row>
    <row r="2035" customFormat="false" ht="15" hidden="false" customHeight="false" outlineLevel="0" collapsed="false">
      <c r="A2035" s="45"/>
      <c r="B2035" s="37" t="str">
        <f aca="false">IF($A2035="","",WEEKNUM($A2035,2))</f>
        <v/>
      </c>
      <c r="C2035" s="37" t="str">
        <f aca="false">IF($A2035="","",CHOOSE(WEEKDAY($A2035,2),"Seg","Ter","Qua","Qui","Sex","Sáb","Dom"))</f>
        <v/>
      </c>
      <c r="D2035" s="46"/>
      <c r="E2035" s="47"/>
      <c r="F2035" s="47"/>
      <c r="G2035" s="48"/>
      <c r="H2035" s="49"/>
      <c r="I2035" s="50"/>
      <c r="J2035" s="48"/>
      <c r="K2035" s="49"/>
      <c r="L2035" s="50"/>
      <c r="M2035" s="43" t="str">
        <f aca="false">IF(OR($L2035="",$F2035=""),"",IFERROR($L2035/INDEX(Cadastro!$E$6:$E$8,MATCH($F2035,Cadastro!$B$6:$B$8,0)),""))</f>
        <v/>
      </c>
      <c r="N2035" s="43" t="str">
        <f aca="false">IF(OR($L2035="",$I2035="",$I2035=0),"",$L2035/$I2035)</f>
        <v/>
      </c>
      <c r="O2035" s="51"/>
    </row>
    <row r="2036" customFormat="false" ht="15" hidden="false" customHeight="false" outlineLevel="0" collapsed="false">
      <c r="A2036" s="45"/>
      <c r="B2036" s="37" t="str">
        <f aca="false">IF($A2036="","",WEEKNUM($A2036,2))</f>
        <v/>
      </c>
      <c r="C2036" s="37" t="str">
        <f aca="false">IF($A2036="","",CHOOSE(WEEKDAY($A2036,2),"Seg","Ter","Qua","Qui","Sex","Sáb","Dom"))</f>
        <v/>
      </c>
      <c r="D2036" s="46"/>
      <c r="E2036" s="47"/>
      <c r="F2036" s="47"/>
      <c r="G2036" s="48"/>
      <c r="H2036" s="49"/>
      <c r="I2036" s="50"/>
      <c r="J2036" s="48"/>
      <c r="K2036" s="49"/>
      <c r="L2036" s="50"/>
      <c r="M2036" s="43" t="str">
        <f aca="false">IF(OR($L2036="",$F2036=""),"",IFERROR($L2036/INDEX(Cadastro!$E$6:$E$8,MATCH($F2036,Cadastro!$B$6:$B$8,0)),""))</f>
        <v/>
      </c>
      <c r="N2036" s="43" t="str">
        <f aca="false">IF(OR($L2036="",$I2036="",$I2036=0),"",$L2036/$I2036)</f>
        <v/>
      </c>
      <c r="O2036" s="51"/>
    </row>
    <row r="2037" customFormat="false" ht="15" hidden="false" customHeight="false" outlineLevel="0" collapsed="false">
      <c r="A2037" s="45"/>
      <c r="B2037" s="37" t="str">
        <f aca="false">IF($A2037="","",WEEKNUM($A2037,2))</f>
        <v/>
      </c>
      <c r="C2037" s="37" t="str">
        <f aca="false">IF($A2037="","",CHOOSE(WEEKDAY($A2037,2),"Seg","Ter","Qua","Qui","Sex","Sáb","Dom"))</f>
        <v/>
      </c>
      <c r="D2037" s="46"/>
      <c r="E2037" s="47"/>
      <c r="F2037" s="47"/>
      <c r="G2037" s="48"/>
      <c r="H2037" s="49"/>
      <c r="I2037" s="50"/>
      <c r="J2037" s="48"/>
      <c r="K2037" s="49"/>
      <c r="L2037" s="50"/>
      <c r="M2037" s="43" t="str">
        <f aca="false">IF(OR($L2037="",$F2037=""),"",IFERROR($L2037/INDEX(Cadastro!$E$6:$E$8,MATCH($F2037,Cadastro!$B$6:$B$8,0)),""))</f>
        <v/>
      </c>
      <c r="N2037" s="43" t="str">
        <f aca="false">IF(OR($L2037="",$I2037="",$I2037=0),"",$L2037/$I2037)</f>
        <v/>
      </c>
      <c r="O2037" s="51"/>
    </row>
    <row r="2038" customFormat="false" ht="15" hidden="false" customHeight="false" outlineLevel="0" collapsed="false">
      <c r="A2038" s="45"/>
      <c r="B2038" s="37" t="str">
        <f aca="false">IF($A2038="","",WEEKNUM($A2038,2))</f>
        <v/>
      </c>
      <c r="C2038" s="37" t="str">
        <f aca="false">IF($A2038="","",CHOOSE(WEEKDAY($A2038,2),"Seg","Ter","Qua","Qui","Sex","Sáb","Dom"))</f>
        <v/>
      </c>
      <c r="D2038" s="46"/>
      <c r="E2038" s="47"/>
      <c r="F2038" s="47"/>
      <c r="G2038" s="48"/>
      <c r="H2038" s="49"/>
      <c r="I2038" s="50"/>
      <c r="J2038" s="48"/>
      <c r="K2038" s="49"/>
      <c r="L2038" s="50"/>
      <c r="M2038" s="43" t="str">
        <f aca="false">IF(OR($L2038="",$F2038=""),"",IFERROR($L2038/INDEX(Cadastro!$E$6:$E$8,MATCH($F2038,Cadastro!$B$6:$B$8,0)),""))</f>
        <v/>
      </c>
      <c r="N2038" s="43" t="str">
        <f aca="false">IF(OR($L2038="",$I2038="",$I2038=0),"",$L2038/$I2038)</f>
        <v/>
      </c>
      <c r="O2038" s="51"/>
    </row>
    <row r="2039" customFormat="false" ht="15" hidden="false" customHeight="false" outlineLevel="0" collapsed="false">
      <c r="A2039" s="45"/>
      <c r="B2039" s="37" t="str">
        <f aca="false">IF($A2039="","",WEEKNUM($A2039,2))</f>
        <v/>
      </c>
      <c r="C2039" s="37" t="str">
        <f aca="false">IF($A2039="","",CHOOSE(WEEKDAY($A2039,2),"Seg","Ter","Qua","Qui","Sex","Sáb","Dom"))</f>
        <v/>
      </c>
      <c r="D2039" s="46"/>
      <c r="E2039" s="47"/>
      <c r="F2039" s="47"/>
      <c r="G2039" s="48"/>
      <c r="H2039" s="49"/>
      <c r="I2039" s="50"/>
      <c r="J2039" s="48"/>
      <c r="K2039" s="49"/>
      <c r="L2039" s="50"/>
      <c r="M2039" s="43" t="str">
        <f aca="false">IF(OR($L2039="",$F2039=""),"",IFERROR($L2039/INDEX(Cadastro!$E$6:$E$8,MATCH($F2039,Cadastro!$B$6:$B$8,0)),""))</f>
        <v/>
      </c>
      <c r="N2039" s="43" t="str">
        <f aca="false">IF(OR($L2039="",$I2039="",$I2039=0),"",$L2039/$I2039)</f>
        <v/>
      </c>
      <c r="O2039" s="51"/>
    </row>
    <row r="2040" customFormat="false" ht="15" hidden="false" customHeight="false" outlineLevel="0" collapsed="false">
      <c r="A2040" s="45"/>
      <c r="B2040" s="37" t="str">
        <f aca="false">IF($A2040="","",WEEKNUM($A2040,2))</f>
        <v/>
      </c>
      <c r="C2040" s="37" t="str">
        <f aca="false">IF($A2040="","",CHOOSE(WEEKDAY($A2040,2),"Seg","Ter","Qua","Qui","Sex","Sáb","Dom"))</f>
        <v/>
      </c>
      <c r="D2040" s="46"/>
      <c r="E2040" s="47"/>
      <c r="F2040" s="47"/>
      <c r="G2040" s="48"/>
      <c r="H2040" s="49"/>
      <c r="I2040" s="50"/>
      <c r="J2040" s="48"/>
      <c r="K2040" s="49"/>
      <c r="L2040" s="50"/>
      <c r="M2040" s="43" t="str">
        <f aca="false">IF(OR($L2040="",$F2040=""),"",IFERROR($L2040/INDEX(Cadastro!$E$6:$E$8,MATCH($F2040,Cadastro!$B$6:$B$8,0)),""))</f>
        <v/>
      </c>
      <c r="N2040" s="43" t="str">
        <f aca="false">IF(OR($L2040="",$I2040="",$I2040=0),"",$L2040/$I2040)</f>
        <v/>
      </c>
      <c r="O2040" s="51"/>
    </row>
    <row r="2041" customFormat="false" ht="15" hidden="false" customHeight="false" outlineLevel="0" collapsed="false">
      <c r="A2041" s="45"/>
      <c r="B2041" s="37" t="str">
        <f aca="false">IF($A2041="","",WEEKNUM($A2041,2))</f>
        <v/>
      </c>
      <c r="C2041" s="37" t="str">
        <f aca="false">IF($A2041="","",CHOOSE(WEEKDAY($A2041,2),"Seg","Ter","Qua","Qui","Sex","Sáb","Dom"))</f>
        <v/>
      </c>
      <c r="D2041" s="46"/>
      <c r="E2041" s="47"/>
      <c r="F2041" s="47"/>
      <c r="G2041" s="48"/>
      <c r="H2041" s="49"/>
      <c r="I2041" s="50"/>
      <c r="J2041" s="48"/>
      <c r="K2041" s="49"/>
      <c r="L2041" s="50"/>
      <c r="M2041" s="43" t="str">
        <f aca="false">IF(OR($L2041="",$F2041=""),"",IFERROR($L2041/INDEX(Cadastro!$E$6:$E$8,MATCH($F2041,Cadastro!$B$6:$B$8,0)),""))</f>
        <v/>
      </c>
      <c r="N2041" s="43" t="str">
        <f aca="false">IF(OR($L2041="",$I2041="",$I2041=0),"",$L2041/$I2041)</f>
        <v/>
      </c>
      <c r="O2041" s="51"/>
    </row>
    <row r="2042" customFormat="false" ht="15" hidden="false" customHeight="false" outlineLevel="0" collapsed="false">
      <c r="A2042" s="45"/>
      <c r="B2042" s="37" t="str">
        <f aca="false">IF($A2042="","",WEEKNUM($A2042,2))</f>
        <v/>
      </c>
      <c r="C2042" s="37" t="str">
        <f aca="false">IF($A2042="","",CHOOSE(WEEKDAY($A2042,2),"Seg","Ter","Qua","Qui","Sex","Sáb","Dom"))</f>
        <v/>
      </c>
      <c r="D2042" s="46"/>
      <c r="E2042" s="47"/>
      <c r="F2042" s="47"/>
      <c r="G2042" s="48"/>
      <c r="H2042" s="49"/>
      <c r="I2042" s="50"/>
      <c r="J2042" s="48"/>
      <c r="K2042" s="49"/>
      <c r="L2042" s="50"/>
      <c r="M2042" s="43" t="str">
        <f aca="false">IF(OR($L2042="",$F2042=""),"",IFERROR($L2042/INDEX(Cadastro!$E$6:$E$8,MATCH($F2042,Cadastro!$B$6:$B$8,0)),""))</f>
        <v/>
      </c>
      <c r="N2042" s="43" t="str">
        <f aca="false">IF(OR($L2042="",$I2042="",$I2042=0),"",$L2042/$I2042)</f>
        <v/>
      </c>
      <c r="O2042" s="51"/>
    </row>
    <row r="2043" customFormat="false" ht="15" hidden="false" customHeight="false" outlineLevel="0" collapsed="false">
      <c r="A2043" s="45"/>
      <c r="B2043" s="37" t="str">
        <f aca="false">IF($A2043="","",WEEKNUM($A2043,2))</f>
        <v/>
      </c>
      <c r="C2043" s="37" t="str">
        <f aca="false">IF($A2043="","",CHOOSE(WEEKDAY($A2043,2),"Seg","Ter","Qua","Qui","Sex","Sáb","Dom"))</f>
        <v/>
      </c>
      <c r="D2043" s="46"/>
      <c r="E2043" s="47"/>
      <c r="F2043" s="47"/>
      <c r="G2043" s="48"/>
      <c r="H2043" s="49"/>
      <c r="I2043" s="50"/>
      <c r="J2043" s="48"/>
      <c r="K2043" s="49"/>
      <c r="L2043" s="50"/>
      <c r="M2043" s="43" t="str">
        <f aca="false">IF(OR($L2043="",$F2043=""),"",IFERROR($L2043/INDEX(Cadastro!$E$6:$E$8,MATCH($F2043,Cadastro!$B$6:$B$8,0)),""))</f>
        <v/>
      </c>
      <c r="N2043" s="43" t="str">
        <f aca="false">IF(OR($L2043="",$I2043="",$I2043=0),"",$L2043/$I2043)</f>
        <v/>
      </c>
      <c r="O2043" s="51"/>
    </row>
    <row r="2044" customFormat="false" ht="15" hidden="false" customHeight="false" outlineLevel="0" collapsed="false">
      <c r="A2044" s="45"/>
      <c r="B2044" s="37" t="str">
        <f aca="false">IF($A2044="","",WEEKNUM($A2044,2))</f>
        <v/>
      </c>
      <c r="C2044" s="37" t="str">
        <f aca="false">IF($A2044="","",CHOOSE(WEEKDAY($A2044,2),"Seg","Ter","Qua","Qui","Sex","Sáb","Dom"))</f>
        <v/>
      </c>
      <c r="D2044" s="46"/>
      <c r="E2044" s="47"/>
      <c r="F2044" s="47"/>
      <c r="G2044" s="48"/>
      <c r="H2044" s="49"/>
      <c r="I2044" s="50"/>
      <c r="J2044" s="48"/>
      <c r="K2044" s="49"/>
      <c r="L2044" s="50"/>
      <c r="M2044" s="43" t="str">
        <f aca="false">IF(OR($L2044="",$F2044=""),"",IFERROR($L2044/INDEX(Cadastro!$E$6:$E$8,MATCH($F2044,Cadastro!$B$6:$B$8,0)),""))</f>
        <v/>
      </c>
      <c r="N2044" s="43" t="str">
        <f aca="false">IF(OR($L2044="",$I2044="",$I2044=0),"",$L2044/$I2044)</f>
        <v/>
      </c>
      <c r="O2044" s="51"/>
    </row>
    <row r="2045" customFormat="false" ht="15" hidden="false" customHeight="false" outlineLevel="0" collapsed="false">
      <c r="A2045" s="45"/>
      <c r="B2045" s="37" t="str">
        <f aca="false">IF($A2045="","",WEEKNUM($A2045,2))</f>
        <v/>
      </c>
      <c r="C2045" s="37" t="str">
        <f aca="false">IF($A2045="","",CHOOSE(WEEKDAY($A2045,2),"Seg","Ter","Qua","Qui","Sex","Sáb","Dom"))</f>
        <v/>
      </c>
      <c r="D2045" s="46"/>
      <c r="E2045" s="47"/>
      <c r="F2045" s="47"/>
      <c r="G2045" s="48"/>
      <c r="H2045" s="49"/>
      <c r="I2045" s="50"/>
      <c r="J2045" s="48"/>
      <c r="K2045" s="49"/>
      <c r="L2045" s="50"/>
      <c r="M2045" s="43" t="str">
        <f aca="false">IF(OR($L2045="",$F2045=""),"",IFERROR($L2045/INDEX(Cadastro!$E$6:$E$8,MATCH($F2045,Cadastro!$B$6:$B$8,0)),""))</f>
        <v/>
      </c>
      <c r="N2045" s="43" t="str">
        <f aca="false">IF(OR($L2045="",$I2045="",$I2045=0),"",$L2045/$I2045)</f>
        <v/>
      </c>
      <c r="O2045" s="51"/>
    </row>
    <row r="2046" customFormat="false" ht="15" hidden="false" customHeight="false" outlineLevel="0" collapsed="false">
      <c r="A2046" s="45"/>
      <c r="B2046" s="37" t="str">
        <f aca="false">IF($A2046="","",WEEKNUM($A2046,2))</f>
        <v/>
      </c>
      <c r="C2046" s="37" t="str">
        <f aca="false">IF($A2046="","",CHOOSE(WEEKDAY($A2046,2),"Seg","Ter","Qua","Qui","Sex","Sáb","Dom"))</f>
        <v/>
      </c>
      <c r="D2046" s="46"/>
      <c r="E2046" s="47"/>
      <c r="F2046" s="47"/>
      <c r="G2046" s="48"/>
      <c r="H2046" s="49"/>
      <c r="I2046" s="50"/>
      <c r="J2046" s="48"/>
      <c r="K2046" s="49"/>
      <c r="L2046" s="50"/>
      <c r="M2046" s="43" t="str">
        <f aca="false">IF(OR($L2046="",$F2046=""),"",IFERROR($L2046/INDEX(Cadastro!$E$6:$E$8,MATCH($F2046,Cadastro!$B$6:$B$8,0)),""))</f>
        <v/>
      </c>
      <c r="N2046" s="43" t="str">
        <f aca="false">IF(OR($L2046="",$I2046="",$I2046=0),"",$L2046/$I2046)</f>
        <v/>
      </c>
      <c r="O2046" s="51"/>
    </row>
    <row r="2047" customFormat="false" ht="15" hidden="false" customHeight="false" outlineLevel="0" collapsed="false">
      <c r="A2047" s="45"/>
      <c r="B2047" s="37" t="str">
        <f aca="false">IF($A2047="","",WEEKNUM($A2047,2))</f>
        <v/>
      </c>
      <c r="C2047" s="37" t="str">
        <f aca="false">IF($A2047="","",CHOOSE(WEEKDAY($A2047,2),"Seg","Ter","Qua","Qui","Sex","Sáb","Dom"))</f>
        <v/>
      </c>
      <c r="D2047" s="46"/>
      <c r="E2047" s="47"/>
      <c r="F2047" s="47"/>
      <c r="G2047" s="48"/>
      <c r="H2047" s="49"/>
      <c r="I2047" s="50"/>
      <c r="J2047" s="48"/>
      <c r="K2047" s="49"/>
      <c r="L2047" s="50"/>
      <c r="M2047" s="43" t="str">
        <f aca="false">IF(OR($L2047="",$F2047=""),"",IFERROR($L2047/INDEX(Cadastro!$E$6:$E$8,MATCH($F2047,Cadastro!$B$6:$B$8,0)),""))</f>
        <v/>
      </c>
      <c r="N2047" s="43" t="str">
        <f aca="false">IF(OR($L2047="",$I2047="",$I2047=0),"",$L2047/$I2047)</f>
        <v/>
      </c>
      <c r="O2047" s="51"/>
    </row>
    <row r="2048" customFormat="false" ht="15" hidden="false" customHeight="false" outlineLevel="0" collapsed="false">
      <c r="A2048" s="45"/>
      <c r="B2048" s="37" t="str">
        <f aca="false">IF($A2048="","",WEEKNUM($A2048,2))</f>
        <v/>
      </c>
      <c r="C2048" s="37" t="str">
        <f aca="false">IF($A2048="","",CHOOSE(WEEKDAY($A2048,2),"Seg","Ter","Qua","Qui","Sex","Sáb","Dom"))</f>
        <v/>
      </c>
      <c r="D2048" s="46"/>
      <c r="E2048" s="47"/>
      <c r="F2048" s="47"/>
      <c r="G2048" s="48"/>
      <c r="H2048" s="49"/>
      <c r="I2048" s="50"/>
      <c r="J2048" s="48"/>
      <c r="K2048" s="49"/>
      <c r="L2048" s="50"/>
      <c r="M2048" s="43" t="str">
        <f aca="false">IF(OR($L2048="",$F2048=""),"",IFERROR($L2048/INDEX(Cadastro!$E$6:$E$8,MATCH($F2048,Cadastro!$B$6:$B$8,0)),""))</f>
        <v/>
      </c>
      <c r="N2048" s="43" t="str">
        <f aca="false">IF(OR($L2048="",$I2048="",$I2048=0),"",$L2048/$I2048)</f>
        <v/>
      </c>
      <c r="O2048" s="51"/>
    </row>
    <row r="2049" customFormat="false" ht="15" hidden="false" customHeight="false" outlineLevel="0" collapsed="false">
      <c r="A2049" s="45"/>
      <c r="B2049" s="37" t="str">
        <f aca="false">IF($A2049="","",WEEKNUM($A2049,2))</f>
        <v/>
      </c>
      <c r="C2049" s="37" t="str">
        <f aca="false">IF($A2049="","",CHOOSE(WEEKDAY($A2049,2),"Seg","Ter","Qua","Qui","Sex","Sáb","Dom"))</f>
        <v/>
      </c>
      <c r="D2049" s="46"/>
      <c r="E2049" s="47"/>
      <c r="F2049" s="47"/>
      <c r="G2049" s="48"/>
      <c r="H2049" s="49"/>
      <c r="I2049" s="50"/>
      <c r="J2049" s="48"/>
      <c r="K2049" s="49"/>
      <c r="L2049" s="50"/>
      <c r="M2049" s="43" t="str">
        <f aca="false">IF(OR($L2049="",$F2049=""),"",IFERROR($L2049/INDEX(Cadastro!$E$6:$E$8,MATCH($F2049,Cadastro!$B$6:$B$8,0)),""))</f>
        <v/>
      </c>
      <c r="N2049" s="43" t="str">
        <f aca="false">IF(OR($L2049="",$I2049="",$I2049=0),"",$L2049/$I2049)</f>
        <v/>
      </c>
      <c r="O2049" s="51"/>
    </row>
    <row r="2050" customFormat="false" ht="15" hidden="false" customHeight="false" outlineLevel="0" collapsed="false">
      <c r="A2050" s="45"/>
      <c r="B2050" s="37" t="str">
        <f aca="false">IF($A2050="","",WEEKNUM($A2050,2))</f>
        <v/>
      </c>
      <c r="C2050" s="37" t="str">
        <f aca="false">IF($A2050="","",CHOOSE(WEEKDAY($A2050,2),"Seg","Ter","Qua","Qui","Sex","Sáb","Dom"))</f>
        <v/>
      </c>
      <c r="D2050" s="46"/>
      <c r="E2050" s="47"/>
      <c r="F2050" s="47"/>
      <c r="G2050" s="48"/>
      <c r="H2050" s="49"/>
      <c r="I2050" s="50"/>
      <c r="J2050" s="48"/>
      <c r="K2050" s="49"/>
      <c r="L2050" s="50"/>
      <c r="M2050" s="43" t="str">
        <f aca="false">IF(OR($L2050="",$F2050=""),"",IFERROR($L2050/INDEX(Cadastro!$E$6:$E$8,MATCH($F2050,Cadastro!$B$6:$B$8,0)),""))</f>
        <v/>
      </c>
      <c r="N2050" s="43" t="str">
        <f aca="false">IF(OR($L2050="",$I2050="",$I2050=0),"",$L2050/$I2050)</f>
        <v/>
      </c>
      <c r="O2050" s="51"/>
    </row>
    <row r="2051" customFormat="false" ht="15" hidden="false" customHeight="false" outlineLevel="0" collapsed="false">
      <c r="A2051" s="45"/>
      <c r="B2051" s="37" t="str">
        <f aca="false">IF($A2051="","",WEEKNUM($A2051,2))</f>
        <v/>
      </c>
      <c r="C2051" s="37" t="str">
        <f aca="false">IF($A2051="","",CHOOSE(WEEKDAY($A2051,2),"Seg","Ter","Qua","Qui","Sex","Sáb","Dom"))</f>
        <v/>
      </c>
      <c r="D2051" s="46"/>
      <c r="E2051" s="47"/>
      <c r="F2051" s="47"/>
      <c r="G2051" s="48"/>
      <c r="H2051" s="49"/>
      <c r="I2051" s="50"/>
      <c r="J2051" s="48"/>
      <c r="K2051" s="49"/>
      <c r="L2051" s="50"/>
      <c r="M2051" s="43" t="str">
        <f aca="false">IF(OR($L2051="",$F2051=""),"",IFERROR($L2051/INDEX(Cadastro!$E$6:$E$8,MATCH($F2051,Cadastro!$B$6:$B$8,0)),""))</f>
        <v/>
      </c>
      <c r="N2051" s="43" t="str">
        <f aca="false">IF(OR($L2051="",$I2051="",$I2051=0),"",$L2051/$I2051)</f>
        <v/>
      </c>
      <c r="O2051" s="51"/>
    </row>
    <row r="2052" customFormat="false" ht="15" hidden="false" customHeight="false" outlineLevel="0" collapsed="false">
      <c r="A2052" s="45"/>
      <c r="B2052" s="37" t="str">
        <f aca="false">IF($A2052="","",WEEKNUM($A2052,2))</f>
        <v/>
      </c>
      <c r="C2052" s="37" t="str">
        <f aca="false">IF($A2052="","",CHOOSE(WEEKDAY($A2052,2),"Seg","Ter","Qua","Qui","Sex","Sáb","Dom"))</f>
        <v/>
      </c>
      <c r="D2052" s="46"/>
      <c r="E2052" s="47"/>
      <c r="F2052" s="47"/>
      <c r="G2052" s="48"/>
      <c r="H2052" s="49"/>
      <c r="I2052" s="50"/>
      <c r="J2052" s="48"/>
      <c r="K2052" s="49"/>
      <c r="L2052" s="50"/>
      <c r="M2052" s="43" t="str">
        <f aca="false">IF(OR($L2052="",$F2052=""),"",IFERROR($L2052/INDEX(Cadastro!$E$6:$E$8,MATCH($F2052,Cadastro!$B$6:$B$8,0)),""))</f>
        <v/>
      </c>
      <c r="N2052" s="43" t="str">
        <f aca="false">IF(OR($L2052="",$I2052="",$I2052=0),"",$L2052/$I2052)</f>
        <v/>
      </c>
      <c r="O2052" s="51"/>
    </row>
    <row r="2053" customFormat="false" ht="15" hidden="false" customHeight="false" outlineLevel="0" collapsed="false">
      <c r="A2053" s="45"/>
      <c r="B2053" s="37" t="str">
        <f aca="false">IF($A2053="","",WEEKNUM($A2053,2))</f>
        <v/>
      </c>
      <c r="C2053" s="37" t="str">
        <f aca="false">IF($A2053="","",CHOOSE(WEEKDAY($A2053,2),"Seg","Ter","Qua","Qui","Sex","Sáb","Dom"))</f>
        <v/>
      </c>
      <c r="D2053" s="46"/>
      <c r="E2053" s="47"/>
      <c r="F2053" s="47"/>
      <c r="G2053" s="48"/>
      <c r="H2053" s="49"/>
      <c r="I2053" s="50"/>
      <c r="J2053" s="48"/>
      <c r="K2053" s="49"/>
      <c r="L2053" s="50"/>
      <c r="M2053" s="43" t="str">
        <f aca="false">IF(OR($L2053="",$F2053=""),"",IFERROR($L2053/INDEX(Cadastro!$E$6:$E$8,MATCH($F2053,Cadastro!$B$6:$B$8,0)),""))</f>
        <v/>
      </c>
      <c r="N2053" s="43" t="str">
        <f aca="false">IF(OR($L2053="",$I2053="",$I2053=0),"",$L2053/$I2053)</f>
        <v/>
      </c>
      <c r="O2053" s="51"/>
    </row>
    <row r="2054" customFormat="false" ht="15" hidden="false" customHeight="false" outlineLevel="0" collapsed="false">
      <c r="A2054" s="45"/>
      <c r="B2054" s="37" t="str">
        <f aca="false">IF($A2054="","",WEEKNUM($A2054,2))</f>
        <v/>
      </c>
      <c r="C2054" s="37" t="str">
        <f aca="false">IF($A2054="","",CHOOSE(WEEKDAY($A2054,2),"Seg","Ter","Qua","Qui","Sex","Sáb","Dom"))</f>
        <v/>
      </c>
      <c r="D2054" s="46"/>
      <c r="E2054" s="47"/>
      <c r="F2054" s="47"/>
      <c r="G2054" s="48"/>
      <c r="H2054" s="49"/>
      <c r="I2054" s="50"/>
      <c r="J2054" s="48"/>
      <c r="K2054" s="49"/>
      <c r="L2054" s="50"/>
      <c r="M2054" s="43" t="str">
        <f aca="false">IF(OR($L2054="",$F2054=""),"",IFERROR($L2054/INDEX(Cadastro!$E$6:$E$8,MATCH($F2054,Cadastro!$B$6:$B$8,0)),""))</f>
        <v/>
      </c>
      <c r="N2054" s="43" t="str">
        <f aca="false">IF(OR($L2054="",$I2054="",$I2054=0),"",$L2054/$I2054)</f>
        <v/>
      </c>
      <c r="O2054" s="51"/>
    </row>
    <row r="2055" customFormat="false" ht="15" hidden="false" customHeight="false" outlineLevel="0" collapsed="false">
      <c r="A2055" s="45"/>
      <c r="B2055" s="37" t="str">
        <f aca="false">IF($A2055="","",WEEKNUM($A2055,2))</f>
        <v/>
      </c>
      <c r="C2055" s="37" t="str">
        <f aca="false">IF($A2055="","",CHOOSE(WEEKDAY($A2055,2),"Seg","Ter","Qua","Qui","Sex","Sáb","Dom"))</f>
        <v/>
      </c>
      <c r="D2055" s="46"/>
      <c r="E2055" s="47"/>
      <c r="F2055" s="47"/>
      <c r="G2055" s="48"/>
      <c r="H2055" s="49"/>
      <c r="I2055" s="50"/>
      <c r="J2055" s="48"/>
      <c r="K2055" s="49"/>
      <c r="L2055" s="50"/>
      <c r="M2055" s="43" t="str">
        <f aca="false">IF(OR($L2055="",$F2055=""),"",IFERROR($L2055/INDEX(Cadastro!$E$6:$E$8,MATCH($F2055,Cadastro!$B$6:$B$8,0)),""))</f>
        <v/>
      </c>
      <c r="N2055" s="43" t="str">
        <f aca="false">IF(OR($L2055="",$I2055="",$I2055=0),"",$L2055/$I2055)</f>
        <v/>
      </c>
      <c r="O2055" s="51"/>
    </row>
    <row r="2056" customFormat="false" ht="15" hidden="false" customHeight="false" outlineLevel="0" collapsed="false">
      <c r="A2056" s="45"/>
      <c r="B2056" s="37" t="str">
        <f aca="false">IF($A2056="","",WEEKNUM($A2056,2))</f>
        <v/>
      </c>
      <c r="C2056" s="37" t="str">
        <f aca="false">IF($A2056="","",CHOOSE(WEEKDAY($A2056,2),"Seg","Ter","Qua","Qui","Sex","Sáb","Dom"))</f>
        <v/>
      </c>
      <c r="D2056" s="46"/>
      <c r="E2056" s="47"/>
      <c r="F2056" s="47"/>
      <c r="G2056" s="48"/>
      <c r="H2056" s="49"/>
      <c r="I2056" s="50"/>
      <c r="J2056" s="48"/>
      <c r="K2056" s="49"/>
      <c r="L2056" s="50"/>
      <c r="M2056" s="43" t="str">
        <f aca="false">IF(OR($L2056="",$F2056=""),"",IFERROR($L2056/INDEX(Cadastro!$E$6:$E$8,MATCH($F2056,Cadastro!$B$6:$B$8,0)),""))</f>
        <v/>
      </c>
      <c r="N2056" s="43" t="str">
        <f aca="false">IF(OR($L2056="",$I2056="",$I2056=0),"",$L2056/$I2056)</f>
        <v/>
      </c>
      <c r="O2056" s="51"/>
    </row>
    <row r="2057" customFormat="false" ht="15" hidden="false" customHeight="false" outlineLevel="0" collapsed="false">
      <c r="A2057" s="45"/>
      <c r="B2057" s="37" t="str">
        <f aca="false">IF($A2057="","",WEEKNUM($A2057,2))</f>
        <v/>
      </c>
      <c r="C2057" s="37" t="str">
        <f aca="false">IF($A2057="","",CHOOSE(WEEKDAY($A2057,2),"Seg","Ter","Qua","Qui","Sex","Sáb","Dom"))</f>
        <v/>
      </c>
      <c r="D2057" s="46"/>
      <c r="E2057" s="47"/>
      <c r="F2057" s="47"/>
      <c r="G2057" s="48"/>
      <c r="H2057" s="49"/>
      <c r="I2057" s="50"/>
      <c r="J2057" s="48"/>
      <c r="K2057" s="49"/>
      <c r="L2057" s="50"/>
      <c r="M2057" s="43" t="str">
        <f aca="false">IF(OR($L2057="",$F2057=""),"",IFERROR($L2057/INDEX(Cadastro!$E$6:$E$8,MATCH($F2057,Cadastro!$B$6:$B$8,0)),""))</f>
        <v/>
      </c>
      <c r="N2057" s="43" t="str">
        <f aca="false">IF(OR($L2057="",$I2057="",$I2057=0),"",$L2057/$I2057)</f>
        <v/>
      </c>
      <c r="O2057" s="51"/>
    </row>
    <row r="2058" customFormat="false" ht="15" hidden="false" customHeight="false" outlineLevel="0" collapsed="false">
      <c r="A2058" s="45"/>
      <c r="B2058" s="37" t="str">
        <f aca="false">IF($A2058="","",WEEKNUM($A2058,2))</f>
        <v/>
      </c>
      <c r="C2058" s="37" t="str">
        <f aca="false">IF($A2058="","",CHOOSE(WEEKDAY($A2058,2),"Seg","Ter","Qua","Qui","Sex","Sáb","Dom"))</f>
        <v/>
      </c>
      <c r="D2058" s="46"/>
      <c r="E2058" s="47"/>
      <c r="F2058" s="47"/>
      <c r="G2058" s="48"/>
      <c r="H2058" s="49"/>
      <c r="I2058" s="50"/>
      <c r="J2058" s="48"/>
      <c r="K2058" s="49"/>
      <c r="L2058" s="50"/>
      <c r="M2058" s="43" t="str">
        <f aca="false">IF(OR($L2058="",$F2058=""),"",IFERROR($L2058/INDEX(Cadastro!$E$6:$E$8,MATCH($F2058,Cadastro!$B$6:$B$8,0)),""))</f>
        <v/>
      </c>
      <c r="N2058" s="43" t="str">
        <f aca="false">IF(OR($L2058="",$I2058="",$I2058=0),"",$L2058/$I2058)</f>
        <v/>
      </c>
      <c r="O2058" s="51"/>
    </row>
    <row r="2059" customFormat="false" ht="15" hidden="false" customHeight="false" outlineLevel="0" collapsed="false">
      <c r="A2059" s="45"/>
      <c r="B2059" s="37" t="str">
        <f aca="false">IF($A2059="","",WEEKNUM($A2059,2))</f>
        <v/>
      </c>
      <c r="C2059" s="37" t="str">
        <f aca="false">IF($A2059="","",CHOOSE(WEEKDAY($A2059,2),"Seg","Ter","Qua","Qui","Sex","Sáb","Dom"))</f>
        <v/>
      </c>
      <c r="D2059" s="46"/>
      <c r="E2059" s="47"/>
      <c r="F2059" s="47"/>
      <c r="G2059" s="48"/>
      <c r="H2059" s="49"/>
      <c r="I2059" s="50"/>
      <c r="J2059" s="48"/>
      <c r="K2059" s="49"/>
      <c r="L2059" s="50"/>
      <c r="M2059" s="43" t="str">
        <f aca="false">IF(OR($L2059="",$F2059=""),"",IFERROR($L2059/INDEX(Cadastro!$E$6:$E$8,MATCH($F2059,Cadastro!$B$6:$B$8,0)),""))</f>
        <v/>
      </c>
      <c r="N2059" s="43" t="str">
        <f aca="false">IF(OR($L2059="",$I2059="",$I2059=0),"",$L2059/$I2059)</f>
        <v/>
      </c>
      <c r="O2059" s="51"/>
    </row>
    <row r="2060" customFormat="false" ht="15" hidden="false" customHeight="false" outlineLevel="0" collapsed="false">
      <c r="A2060" s="45"/>
      <c r="B2060" s="37" t="str">
        <f aca="false">IF($A2060="","",WEEKNUM($A2060,2))</f>
        <v/>
      </c>
      <c r="C2060" s="37" t="str">
        <f aca="false">IF($A2060="","",CHOOSE(WEEKDAY($A2060,2),"Seg","Ter","Qua","Qui","Sex","Sáb","Dom"))</f>
        <v/>
      </c>
      <c r="D2060" s="46"/>
      <c r="E2060" s="47"/>
      <c r="F2060" s="47"/>
      <c r="G2060" s="48"/>
      <c r="H2060" s="49"/>
      <c r="I2060" s="50"/>
      <c r="J2060" s="48"/>
      <c r="K2060" s="49"/>
      <c r="L2060" s="50"/>
      <c r="M2060" s="43" t="str">
        <f aca="false">IF(OR($L2060="",$F2060=""),"",IFERROR($L2060/INDEX(Cadastro!$E$6:$E$8,MATCH($F2060,Cadastro!$B$6:$B$8,0)),""))</f>
        <v/>
      </c>
      <c r="N2060" s="43" t="str">
        <f aca="false">IF(OR($L2060="",$I2060="",$I2060=0),"",$L2060/$I2060)</f>
        <v/>
      </c>
      <c r="O2060" s="51"/>
    </row>
    <row r="2061" customFormat="false" ht="15" hidden="false" customHeight="false" outlineLevel="0" collapsed="false">
      <c r="A2061" s="45"/>
      <c r="B2061" s="37" t="str">
        <f aca="false">IF($A2061="","",WEEKNUM($A2061,2))</f>
        <v/>
      </c>
      <c r="C2061" s="37" t="str">
        <f aca="false">IF($A2061="","",CHOOSE(WEEKDAY($A2061,2),"Seg","Ter","Qua","Qui","Sex","Sáb","Dom"))</f>
        <v/>
      </c>
      <c r="D2061" s="46"/>
      <c r="E2061" s="47"/>
      <c r="F2061" s="47"/>
      <c r="G2061" s="48"/>
      <c r="H2061" s="49"/>
      <c r="I2061" s="50"/>
      <c r="J2061" s="48"/>
      <c r="K2061" s="49"/>
      <c r="L2061" s="50"/>
      <c r="M2061" s="43" t="str">
        <f aca="false">IF(OR($L2061="",$F2061=""),"",IFERROR($L2061/INDEX(Cadastro!$E$6:$E$8,MATCH($F2061,Cadastro!$B$6:$B$8,0)),""))</f>
        <v/>
      </c>
      <c r="N2061" s="43" t="str">
        <f aca="false">IF(OR($L2061="",$I2061="",$I2061=0),"",$L2061/$I2061)</f>
        <v/>
      </c>
      <c r="O2061" s="51"/>
    </row>
    <row r="2062" customFormat="false" ht="15" hidden="false" customHeight="false" outlineLevel="0" collapsed="false">
      <c r="A2062" s="45"/>
      <c r="B2062" s="37" t="str">
        <f aca="false">IF($A2062="","",WEEKNUM($A2062,2))</f>
        <v/>
      </c>
      <c r="C2062" s="37" t="str">
        <f aca="false">IF($A2062="","",CHOOSE(WEEKDAY($A2062,2),"Seg","Ter","Qua","Qui","Sex","Sáb","Dom"))</f>
        <v/>
      </c>
      <c r="D2062" s="46"/>
      <c r="E2062" s="47"/>
      <c r="F2062" s="47"/>
      <c r="G2062" s="48"/>
      <c r="H2062" s="49"/>
      <c r="I2062" s="50"/>
      <c r="J2062" s="48"/>
      <c r="K2062" s="49"/>
      <c r="L2062" s="50"/>
      <c r="M2062" s="43" t="str">
        <f aca="false">IF(OR($L2062="",$F2062=""),"",IFERROR($L2062/INDEX(Cadastro!$E$6:$E$8,MATCH($F2062,Cadastro!$B$6:$B$8,0)),""))</f>
        <v/>
      </c>
      <c r="N2062" s="43" t="str">
        <f aca="false">IF(OR($L2062="",$I2062="",$I2062=0),"",$L2062/$I2062)</f>
        <v/>
      </c>
      <c r="O2062" s="51"/>
    </row>
    <row r="2063" customFormat="false" ht="15" hidden="false" customHeight="false" outlineLevel="0" collapsed="false">
      <c r="A2063" s="45"/>
      <c r="B2063" s="37" t="str">
        <f aca="false">IF($A2063="","",WEEKNUM($A2063,2))</f>
        <v/>
      </c>
      <c r="C2063" s="37" t="str">
        <f aca="false">IF($A2063="","",CHOOSE(WEEKDAY($A2063,2),"Seg","Ter","Qua","Qui","Sex","Sáb","Dom"))</f>
        <v/>
      </c>
      <c r="D2063" s="46"/>
      <c r="E2063" s="47"/>
      <c r="F2063" s="47"/>
      <c r="G2063" s="48"/>
      <c r="H2063" s="49"/>
      <c r="I2063" s="50"/>
      <c r="J2063" s="48"/>
      <c r="K2063" s="49"/>
      <c r="L2063" s="50"/>
      <c r="M2063" s="43" t="str">
        <f aca="false">IF(OR($L2063="",$F2063=""),"",IFERROR($L2063/INDEX(Cadastro!$E$6:$E$8,MATCH($F2063,Cadastro!$B$6:$B$8,0)),""))</f>
        <v/>
      </c>
      <c r="N2063" s="43" t="str">
        <f aca="false">IF(OR($L2063="",$I2063="",$I2063=0),"",$L2063/$I2063)</f>
        <v/>
      </c>
      <c r="O2063" s="51"/>
    </row>
    <row r="2064" customFormat="false" ht="15" hidden="false" customHeight="false" outlineLevel="0" collapsed="false">
      <c r="A2064" s="45"/>
      <c r="B2064" s="37" t="str">
        <f aca="false">IF($A2064="","",WEEKNUM($A2064,2))</f>
        <v/>
      </c>
      <c r="C2064" s="37" t="str">
        <f aca="false">IF($A2064="","",CHOOSE(WEEKDAY($A2064,2),"Seg","Ter","Qua","Qui","Sex","Sáb","Dom"))</f>
        <v/>
      </c>
      <c r="D2064" s="46"/>
      <c r="E2064" s="47"/>
      <c r="F2064" s="47"/>
      <c r="G2064" s="48"/>
      <c r="H2064" s="49"/>
      <c r="I2064" s="50"/>
      <c r="J2064" s="48"/>
      <c r="K2064" s="49"/>
      <c r="L2064" s="50"/>
      <c r="M2064" s="43" t="str">
        <f aca="false">IF(OR($L2064="",$F2064=""),"",IFERROR($L2064/INDEX(Cadastro!$E$6:$E$8,MATCH($F2064,Cadastro!$B$6:$B$8,0)),""))</f>
        <v/>
      </c>
      <c r="N2064" s="43" t="str">
        <f aca="false">IF(OR($L2064="",$I2064="",$I2064=0),"",$L2064/$I2064)</f>
        <v/>
      </c>
      <c r="O2064" s="51"/>
    </row>
    <row r="2065" customFormat="false" ht="15" hidden="false" customHeight="false" outlineLevel="0" collapsed="false">
      <c r="A2065" s="45"/>
      <c r="B2065" s="37" t="str">
        <f aca="false">IF($A2065="","",WEEKNUM($A2065,2))</f>
        <v/>
      </c>
      <c r="C2065" s="37" t="str">
        <f aca="false">IF($A2065="","",CHOOSE(WEEKDAY($A2065,2),"Seg","Ter","Qua","Qui","Sex","Sáb","Dom"))</f>
        <v/>
      </c>
      <c r="D2065" s="46"/>
      <c r="E2065" s="47"/>
      <c r="F2065" s="47"/>
      <c r="G2065" s="48"/>
      <c r="H2065" s="49"/>
      <c r="I2065" s="50"/>
      <c r="J2065" s="48"/>
      <c r="K2065" s="49"/>
      <c r="L2065" s="50"/>
      <c r="M2065" s="43" t="str">
        <f aca="false">IF(OR($L2065="",$F2065=""),"",IFERROR($L2065/INDEX(Cadastro!$E$6:$E$8,MATCH($F2065,Cadastro!$B$6:$B$8,0)),""))</f>
        <v/>
      </c>
      <c r="N2065" s="43" t="str">
        <f aca="false">IF(OR($L2065="",$I2065="",$I2065=0),"",$L2065/$I2065)</f>
        <v/>
      </c>
      <c r="O2065" s="51"/>
    </row>
    <row r="2066" customFormat="false" ht="15" hidden="false" customHeight="false" outlineLevel="0" collapsed="false">
      <c r="A2066" s="45"/>
      <c r="B2066" s="37" t="str">
        <f aca="false">IF($A2066="","",WEEKNUM($A2066,2))</f>
        <v/>
      </c>
      <c r="C2066" s="37" t="str">
        <f aca="false">IF($A2066="","",CHOOSE(WEEKDAY($A2066,2),"Seg","Ter","Qua","Qui","Sex","Sáb","Dom"))</f>
        <v/>
      </c>
      <c r="D2066" s="46"/>
      <c r="E2066" s="47"/>
      <c r="F2066" s="47"/>
      <c r="G2066" s="48"/>
      <c r="H2066" s="49"/>
      <c r="I2066" s="50"/>
      <c r="J2066" s="48"/>
      <c r="K2066" s="49"/>
      <c r="L2066" s="50"/>
      <c r="M2066" s="43" t="str">
        <f aca="false">IF(OR($L2066="",$F2066=""),"",IFERROR($L2066/INDEX(Cadastro!$E$6:$E$8,MATCH($F2066,Cadastro!$B$6:$B$8,0)),""))</f>
        <v/>
      </c>
      <c r="N2066" s="43" t="str">
        <f aca="false">IF(OR($L2066="",$I2066="",$I2066=0),"",$L2066/$I2066)</f>
        <v/>
      </c>
      <c r="O2066" s="51"/>
    </row>
    <row r="2067" customFormat="false" ht="15" hidden="false" customHeight="false" outlineLevel="0" collapsed="false">
      <c r="A2067" s="45"/>
      <c r="B2067" s="37" t="str">
        <f aca="false">IF($A2067="","",WEEKNUM($A2067,2))</f>
        <v/>
      </c>
      <c r="C2067" s="37" t="str">
        <f aca="false">IF($A2067="","",CHOOSE(WEEKDAY($A2067,2),"Seg","Ter","Qua","Qui","Sex","Sáb","Dom"))</f>
        <v/>
      </c>
      <c r="D2067" s="46"/>
      <c r="E2067" s="47"/>
      <c r="F2067" s="47"/>
      <c r="G2067" s="48"/>
      <c r="H2067" s="49"/>
      <c r="I2067" s="50"/>
      <c r="J2067" s="48"/>
      <c r="K2067" s="49"/>
      <c r="L2067" s="50"/>
      <c r="M2067" s="43" t="str">
        <f aca="false">IF(OR($L2067="",$F2067=""),"",IFERROR($L2067/INDEX(Cadastro!$E$6:$E$8,MATCH($F2067,Cadastro!$B$6:$B$8,0)),""))</f>
        <v/>
      </c>
      <c r="N2067" s="43" t="str">
        <f aca="false">IF(OR($L2067="",$I2067="",$I2067=0),"",$L2067/$I2067)</f>
        <v/>
      </c>
      <c r="O2067" s="51"/>
    </row>
    <row r="2068" customFormat="false" ht="15" hidden="false" customHeight="false" outlineLevel="0" collapsed="false">
      <c r="A2068" s="45"/>
      <c r="B2068" s="37" t="str">
        <f aca="false">IF($A2068="","",WEEKNUM($A2068,2))</f>
        <v/>
      </c>
      <c r="C2068" s="37" t="str">
        <f aca="false">IF($A2068="","",CHOOSE(WEEKDAY($A2068,2),"Seg","Ter","Qua","Qui","Sex","Sáb","Dom"))</f>
        <v/>
      </c>
      <c r="D2068" s="46"/>
      <c r="E2068" s="47"/>
      <c r="F2068" s="47"/>
      <c r="G2068" s="48"/>
      <c r="H2068" s="49"/>
      <c r="I2068" s="50"/>
      <c r="J2068" s="48"/>
      <c r="K2068" s="49"/>
      <c r="L2068" s="50"/>
      <c r="M2068" s="43" t="str">
        <f aca="false">IF(OR($L2068="",$F2068=""),"",IFERROR($L2068/INDEX(Cadastro!$E$6:$E$8,MATCH($F2068,Cadastro!$B$6:$B$8,0)),""))</f>
        <v/>
      </c>
      <c r="N2068" s="43" t="str">
        <f aca="false">IF(OR($L2068="",$I2068="",$I2068=0),"",$L2068/$I2068)</f>
        <v/>
      </c>
      <c r="O2068" s="51"/>
    </row>
    <row r="2069" customFormat="false" ht="15" hidden="false" customHeight="false" outlineLevel="0" collapsed="false">
      <c r="A2069" s="45"/>
      <c r="B2069" s="37" t="str">
        <f aca="false">IF($A2069="","",WEEKNUM($A2069,2))</f>
        <v/>
      </c>
      <c r="C2069" s="37" t="str">
        <f aca="false">IF($A2069="","",CHOOSE(WEEKDAY($A2069,2),"Seg","Ter","Qua","Qui","Sex","Sáb","Dom"))</f>
        <v/>
      </c>
      <c r="D2069" s="46"/>
      <c r="E2069" s="47"/>
      <c r="F2069" s="47"/>
      <c r="G2069" s="48"/>
      <c r="H2069" s="49"/>
      <c r="I2069" s="50"/>
      <c r="J2069" s="48"/>
      <c r="K2069" s="49"/>
      <c r="L2069" s="50"/>
      <c r="M2069" s="43" t="str">
        <f aca="false">IF(OR($L2069="",$F2069=""),"",IFERROR($L2069/INDEX(Cadastro!$E$6:$E$8,MATCH($F2069,Cadastro!$B$6:$B$8,0)),""))</f>
        <v/>
      </c>
      <c r="N2069" s="43" t="str">
        <f aca="false">IF(OR($L2069="",$I2069="",$I2069=0),"",$L2069/$I2069)</f>
        <v/>
      </c>
      <c r="O2069" s="51"/>
    </row>
    <row r="2070" customFormat="false" ht="15" hidden="false" customHeight="false" outlineLevel="0" collapsed="false">
      <c r="A2070" s="45"/>
      <c r="B2070" s="37" t="str">
        <f aca="false">IF($A2070="","",WEEKNUM($A2070,2))</f>
        <v/>
      </c>
      <c r="C2070" s="37" t="str">
        <f aca="false">IF($A2070="","",CHOOSE(WEEKDAY($A2070,2),"Seg","Ter","Qua","Qui","Sex","Sáb","Dom"))</f>
        <v/>
      </c>
      <c r="D2070" s="46"/>
      <c r="E2070" s="47"/>
      <c r="F2070" s="47"/>
      <c r="G2070" s="48"/>
      <c r="H2070" s="49"/>
      <c r="I2070" s="50"/>
      <c r="J2070" s="48"/>
      <c r="K2070" s="49"/>
      <c r="L2070" s="50"/>
      <c r="M2070" s="43" t="str">
        <f aca="false">IF(OR($L2070="",$F2070=""),"",IFERROR($L2070/INDEX(Cadastro!$E$6:$E$8,MATCH($F2070,Cadastro!$B$6:$B$8,0)),""))</f>
        <v/>
      </c>
      <c r="N2070" s="43" t="str">
        <f aca="false">IF(OR($L2070="",$I2070="",$I2070=0),"",$L2070/$I2070)</f>
        <v/>
      </c>
      <c r="O2070" s="51"/>
    </row>
    <row r="2071" customFormat="false" ht="15" hidden="false" customHeight="false" outlineLevel="0" collapsed="false">
      <c r="A2071" s="45"/>
      <c r="B2071" s="37" t="str">
        <f aca="false">IF($A2071="","",WEEKNUM($A2071,2))</f>
        <v/>
      </c>
      <c r="C2071" s="37" t="str">
        <f aca="false">IF($A2071="","",CHOOSE(WEEKDAY($A2071,2),"Seg","Ter","Qua","Qui","Sex","Sáb","Dom"))</f>
        <v/>
      </c>
      <c r="D2071" s="46"/>
      <c r="E2071" s="47"/>
      <c r="F2071" s="47"/>
      <c r="G2071" s="48"/>
      <c r="H2071" s="49"/>
      <c r="I2071" s="50"/>
      <c r="J2071" s="48"/>
      <c r="K2071" s="49"/>
      <c r="L2071" s="50"/>
      <c r="M2071" s="43" t="str">
        <f aca="false">IF(OR($L2071="",$F2071=""),"",IFERROR($L2071/INDEX(Cadastro!$E$6:$E$8,MATCH($F2071,Cadastro!$B$6:$B$8,0)),""))</f>
        <v/>
      </c>
      <c r="N2071" s="43" t="str">
        <f aca="false">IF(OR($L2071="",$I2071="",$I2071=0),"",$L2071/$I2071)</f>
        <v/>
      </c>
      <c r="O2071" s="51"/>
    </row>
    <row r="2072" customFormat="false" ht="15" hidden="false" customHeight="false" outlineLevel="0" collapsed="false">
      <c r="A2072" s="45"/>
      <c r="B2072" s="37" t="str">
        <f aca="false">IF($A2072="","",WEEKNUM($A2072,2))</f>
        <v/>
      </c>
      <c r="C2072" s="37" t="str">
        <f aca="false">IF($A2072="","",CHOOSE(WEEKDAY($A2072,2),"Seg","Ter","Qua","Qui","Sex","Sáb","Dom"))</f>
        <v/>
      </c>
      <c r="D2072" s="46"/>
      <c r="E2072" s="47"/>
      <c r="F2072" s="47"/>
      <c r="G2072" s="48"/>
      <c r="H2072" s="49"/>
      <c r="I2072" s="50"/>
      <c r="J2072" s="48"/>
      <c r="K2072" s="49"/>
      <c r="L2072" s="50"/>
      <c r="M2072" s="43" t="str">
        <f aca="false">IF(OR($L2072="",$F2072=""),"",IFERROR($L2072/INDEX(Cadastro!$E$6:$E$8,MATCH($F2072,Cadastro!$B$6:$B$8,0)),""))</f>
        <v/>
      </c>
      <c r="N2072" s="43" t="str">
        <f aca="false">IF(OR($L2072="",$I2072="",$I2072=0),"",$L2072/$I2072)</f>
        <v/>
      </c>
      <c r="O2072" s="51"/>
    </row>
    <row r="2073" customFormat="false" ht="15" hidden="false" customHeight="false" outlineLevel="0" collapsed="false">
      <c r="A2073" s="45"/>
      <c r="B2073" s="37" t="str">
        <f aca="false">IF($A2073="","",WEEKNUM($A2073,2))</f>
        <v/>
      </c>
      <c r="C2073" s="37" t="str">
        <f aca="false">IF($A2073="","",CHOOSE(WEEKDAY($A2073,2),"Seg","Ter","Qua","Qui","Sex","Sáb","Dom"))</f>
        <v/>
      </c>
      <c r="D2073" s="46"/>
      <c r="E2073" s="47"/>
      <c r="F2073" s="47"/>
      <c r="G2073" s="48"/>
      <c r="H2073" s="49"/>
      <c r="I2073" s="50"/>
      <c r="J2073" s="48"/>
      <c r="K2073" s="49"/>
      <c r="L2073" s="50"/>
      <c r="M2073" s="43" t="str">
        <f aca="false">IF(OR($L2073="",$F2073=""),"",IFERROR($L2073/INDEX(Cadastro!$E$6:$E$8,MATCH($F2073,Cadastro!$B$6:$B$8,0)),""))</f>
        <v/>
      </c>
      <c r="N2073" s="43" t="str">
        <f aca="false">IF(OR($L2073="",$I2073="",$I2073=0),"",$L2073/$I2073)</f>
        <v/>
      </c>
      <c r="O2073" s="51"/>
    </row>
    <row r="2074" customFormat="false" ht="15" hidden="false" customHeight="false" outlineLevel="0" collapsed="false">
      <c r="A2074" s="45"/>
      <c r="B2074" s="37" t="str">
        <f aca="false">IF($A2074="","",WEEKNUM($A2074,2))</f>
        <v/>
      </c>
      <c r="C2074" s="37" t="str">
        <f aca="false">IF($A2074="","",CHOOSE(WEEKDAY($A2074,2),"Seg","Ter","Qua","Qui","Sex","Sáb","Dom"))</f>
        <v/>
      </c>
      <c r="D2074" s="46"/>
      <c r="E2074" s="47"/>
      <c r="F2074" s="47"/>
      <c r="G2074" s="48"/>
      <c r="H2074" s="49"/>
      <c r="I2074" s="50"/>
      <c r="J2074" s="48"/>
      <c r="K2074" s="49"/>
      <c r="L2074" s="50"/>
      <c r="M2074" s="43" t="str">
        <f aca="false">IF(OR($L2074="",$F2074=""),"",IFERROR($L2074/INDEX(Cadastro!$E$6:$E$8,MATCH($F2074,Cadastro!$B$6:$B$8,0)),""))</f>
        <v/>
      </c>
      <c r="N2074" s="43" t="str">
        <f aca="false">IF(OR($L2074="",$I2074="",$I2074=0),"",$L2074/$I2074)</f>
        <v/>
      </c>
      <c r="O2074" s="51"/>
    </row>
    <row r="2075" customFormat="false" ht="15" hidden="false" customHeight="false" outlineLevel="0" collapsed="false">
      <c r="A2075" s="45"/>
      <c r="B2075" s="37" t="str">
        <f aca="false">IF($A2075="","",WEEKNUM($A2075,2))</f>
        <v/>
      </c>
      <c r="C2075" s="37" t="str">
        <f aca="false">IF($A2075="","",CHOOSE(WEEKDAY($A2075,2),"Seg","Ter","Qua","Qui","Sex","Sáb","Dom"))</f>
        <v/>
      </c>
      <c r="D2075" s="46"/>
      <c r="E2075" s="47"/>
      <c r="F2075" s="47"/>
      <c r="G2075" s="48"/>
      <c r="H2075" s="49"/>
      <c r="I2075" s="50"/>
      <c r="J2075" s="48"/>
      <c r="K2075" s="49"/>
      <c r="L2075" s="50"/>
      <c r="M2075" s="43" t="str">
        <f aca="false">IF(OR($L2075="",$F2075=""),"",IFERROR($L2075/INDEX(Cadastro!$E$6:$E$8,MATCH($F2075,Cadastro!$B$6:$B$8,0)),""))</f>
        <v/>
      </c>
      <c r="N2075" s="43" t="str">
        <f aca="false">IF(OR($L2075="",$I2075="",$I2075=0),"",$L2075/$I2075)</f>
        <v/>
      </c>
      <c r="O2075" s="51"/>
    </row>
    <row r="2076" customFormat="false" ht="15" hidden="false" customHeight="false" outlineLevel="0" collapsed="false">
      <c r="A2076" s="45"/>
      <c r="B2076" s="37" t="str">
        <f aca="false">IF($A2076="","",WEEKNUM($A2076,2))</f>
        <v/>
      </c>
      <c r="C2076" s="37" t="str">
        <f aca="false">IF($A2076="","",CHOOSE(WEEKDAY($A2076,2),"Seg","Ter","Qua","Qui","Sex","Sáb","Dom"))</f>
        <v/>
      </c>
      <c r="D2076" s="46"/>
      <c r="E2076" s="47"/>
      <c r="F2076" s="47"/>
      <c r="G2076" s="48"/>
      <c r="H2076" s="49"/>
      <c r="I2076" s="50"/>
      <c r="J2076" s="48"/>
      <c r="K2076" s="49"/>
      <c r="L2076" s="50"/>
      <c r="M2076" s="43" t="str">
        <f aca="false">IF(OR($L2076="",$F2076=""),"",IFERROR($L2076/INDEX(Cadastro!$E$6:$E$8,MATCH($F2076,Cadastro!$B$6:$B$8,0)),""))</f>
        <v/>
      </c>
      <c r="N2076" s="43" t="str">
        <f aca="false">IF(OR($L2076="",$I2076="",$I2076=0),"",$L2076/$I2076)</f>
        <v/>
      </c>
      <c r="O2076" s="51"/>
    </row>
    <row r="2077" customFormat="false" ht="15" hidden="false" customHeight="false" outlineLevel="0" collapsed="false">
      <c r="A2077" s="45"/>
      <c r="B2077" s="37" t="str">
        <f aca="false">IF($A2077="","",WEEKNUM($A2077,2))</f>
        <v/>
      </c>
      <c r="C2077" s="37" t="str">
        <f aca="false">IF($A2077="","",CHOOSE(WEEKDAY($A2077,2),"Seg","Ter","Qua","Qui","Sex","Sáb","Dom"))</f>
        <v/>
      </c>
      <c r="D2077" s="46"/>
      <c r="E2077" s="47"/>
      <c r="F2077" s="47"/>
      <c r="G2077" s="48"/>
      <c r="H2077" s="49"/>
      <c r="I2077" s="50"/>
      <c r="J2077" s="48"/>
      <c r="K2077" s="49"/>
      <c r="L2077" s="50"/>
      <c r="M2077" s="43" t="str">
        <f aca="false">IF(OR($L2077="",$F2077=""),"",IFERROR($L2077/INDEX(Cadastro!$E$6:$E$8,MATCH($F2077,Cadastro!$B$6:$B$8,0)),""))</f>
        <v/>
      </c>
      <c r="N2077" s="43" t="str">
        <f aca="false">IF(OR($L2077="",$I2077="",$I2077=0),"",$L2077/$I2077)</f>
        <v/>
      </c>
      <c r="O2077" s="51"/>
    </row>
    <row r="2078" customFormat="false" ht="15" hidden="false" customHeight="false" outlineLevel="0" collapsed="false">
      <c r="A2078" s="45"/>
      <c r="B2078" s="37" t="str">
        <f aca="false">IF($A2078="","",WEEKNUM($A2078,2))</f>
        <v/>
      </c>
      <c r="C2078" s="37" t="str">
        <f aca="false">IF($A2078="","",CHOOSE(WEEKDAY($A2078,2),"Seg","Ter","Qua","Qui","Sex","Sáb","Dom"))</f>
        <v/>
      </c>
      <c r="D2078" s="46"/>
      <c r="E2078" s="47"/>
      <c r="F2078" s="47"/>
      <c r="G2078" s="48"/>
      <c r="H2078" s="49"/>
      <c r="I2078" s="50"/>
      <c r="J2078" s="48"/>
      <c r="K2078" s="49"/>
      <c r="L2078" s="50"/>
      <c r="M2078" s="43" t="str">
        <f aca="false">IF(OR($L2078="",$F2078=""),"",IFERROR($L2078/INDEX(Cadastro!$E$6:$E$8,MATCH($F2078,Cadastro!$B$6:$B$8,0)),""))</f>
        <v/>
      </c>
      <c r="N2078" s="43" t="str">
        <f aca="false">IF(OR($L2078="",$I2078="",$I2078=0),"",$L2078/$I2078)</f>
        <v/>
      </c>
      <c r="O2078" s="51"/>
    </row>
    <row r="2079" customFormat="false" ht="15" hidden="false" customHeight="false" outlineLevel="0" collapsed="false">
      <c r="A2079" s="45"/>
      <c r="B2079" s="37" t="str">
        <f aca="false">IF($A2079="","",WEEKNUM($A2079,2))</f>
        <v/>
      </c>
      <c r="C2079" s="37" t="str">
        <f aca="false">IF($A2079="","",CHOOSE(WEEKDAY($A2079,2),"Seg","Ter","Qua","Qui","Sex","Sáb","Dom"))</f>
        <v/>
      </c>
      <c r="D2079" s="46"/>
      <c r="E2079" s="47"/>
      <c r="F2079" s="47"/>
      <c r="G2079" s="48"/>
      <c r="H2079" s="49"/>
      <c r="I2079" s="50"/>
      <c r="J2079" s="48"/>
      <c r="K2079" s="49"/>
      <c r="L2079" s="50"/>
      <c r="M2079" s="43" t="str">
        <f aca="false">IF(OR($L2079="",$F2079=""),"",IFERROR($L2079/INDEX(Cadastro!$E$6:$E$8,MATCH($F2079,Cadastro!$B$6:$B$8,0)),""))</f>
        <v/>
      </c>
      <c r="N2079" s="43" t="str">
        <f aca="false">IF(OR($L2079="",$I2079="",$I2079=0),"",$L2079/$I2079)</f>
        <v/>
      </c>
      <c r="O2079" s="51"/>
    </row>
    <row r="2080" customFormat="false" ht="15" hidden="false" customHeight="false" outlineLevel="0" collapsed="false">
      <c r="A2080" s="45"/>
      <c r="B2080" s="37" t="str">
        <f aca="false">IF($A2080="","",WEEKNUM($A2080,2))</f>
        <v/>
      </c>
      <c r="C2080" s="37" t="str">
        <f aca="false">IF($A2080="","",CHOOSE(WEEKDAY($A2080,2),"Seg","Ter","Qua","Qui","Sex","Sáb","Dom"))</f>
        <v/>
      </c>
      <c r="D2080" s="46"/>
      <c r="E2080" s="47"/>
      <c r="F2080" s="47"/>
      <c r="G2080" s="48"/>
      <c r="H2080" s="49"/>
      <c r="I2080" s="50"/>
      <c r="J2080" s="48"/>
      <c r="K2080" s="49"/>
      <c r="L2080" s="50"/>
      <c r="M2080" s="43" t="str">
        <f aca="false">IF(OR($L2080="",$F2080=""),"",IFERROR($L2080/INDEX(Cadastro!$E$6:$E$8,MATCH($F2080,Cadastro!$B$6:$B$8,0)),""))</f>
        <v/>
      </c>
      <c r="N2080" s="43" t="str">
        <f aca="false">IF(OR($L2080="",$I2080="",$I2080=0),"",$L2080/$I2080)</f>
        <v/>
      </c>
      <c r="O2080" s="51"/>
    </row>
    <row r="2081" customFormat="false" ht="15" hidden="false" customHeight="false" outlineLevel="0" collapsed="false">
      <c r="A2081" s="45"/>
      <c r="B2081" s="37" t="str">
        <f aca="false">IF($A2081="","",WEEKNUM($A2081,2))</f>
        <v/>
      </c>
      <c r="C2081" s="37" t="str">
        <f aca="false">IF($A2081="","",CHOOSE(WEEKDAY($A2081,2),"Seg","Ter","Qua","Qui","Sex","Sáb","Dom"))</f>
        <v/>
      </c>
      <c r="D2081" s="46"/>
      <c r="E2081" s="47"/>
      <c r="F2081" s="47"/>
      <c r="G2081" s="48"/>
      <c r="H2081" s="49"/>
      <c r="I2081" s="50"/>
      <c r="J2081" s="48"/>
      <c r="K2081" s="49"/>
      <c r="L2081" s="50"/>
      <c r="M2081" s="43" t="str">
        <f aca="false">IF(OR($L2081="",$F2081=""),"",IFERROR($L2081/INDEX(Cadastro!$E$6:$E$8,MATCH($F2081,Cadastro!$B$6:$B$8,0)),""))</f>
        <v/>
      </c>
      <c r="N2081" s="43" t="str">
        <f aca="false">IF(OR($L2081="",$I2081="",$I2081=0),"",$L2081/$I2081)</f>
        <v/>
      </c>
      <c r="O2081" s="51"/>
    </row>
    <row r="2082" customFormat="false" ht="15" hidden="false" customHeight="false" outlineLevel="0" collapsed="false">
      <c r="A2082" s="45"/>
      <c r="B2082" s="37" t="str">
        <f aca="false">IF($A2082="","",WEEKNUM($A2082,2))</f>
        <v/>
      </c>
      <c r="C2082" s="37" t="str">
        <f aca="false">IF($A2082="","",CHOOSE(WEEKDAY($A2082,2),"Seg","Ter","Qua","Qui","Sex","Sáb","Dom"))</f>
        <v/>
      </c>
      <c r="D2082" s="46"/>
      <c r="E2082" s="47"/>
      <c r="F2082" s="47"/>
      <c r="G2082" s="48"/>
      <c r="H2082" s="49"/>
      <c r="I2082" s="50"/>
      <c r="J2082" s="48"/>
      <c r="K2082" s="49"/>
      <c r="L2082" s="50"/>
      <c r="M2082" s="43" t="str">
        <f aca="false">IF(OR($L2082="",$F2082=""),"",IFERROR($L2082/INDEX(Cadastro!$E$6:$E$8,MATCH($F2082,Cadastro!$B$6:$B$8,0)),""))</f>
        <v/>
      </c>
      <c r="N2082" s="43" t="str">
        <f aca="false">IF(OR($L2082="",$I2082="",$I2082=0),"",$L2082/$I2082)</f>
        <v/>
      </c>
      <c r="O2082" s="51"/>
    </row>
    <row r="2083" customFormat="false" ht="15" hidden="false" customHeight="false" outlineLevel="0" collapsed="false">
      <c r="A2083" s="45"/>
      <c r="B2083" s="37" t="str">
        <f aca="false">IF($A2083="","",WEEKNUM($A2083,2))</f>
        <v/>
      </c>
      <c r="C2083" s="37" t="str">
        <f aca="false">IF($A2083="","",CHOOSE(WEEKDAY($A2083,2),"Seg","Ter","Qua","Qui","Sex","Sáb","Dom"))</f>
        <v/>
      </c>
      <c r="D2083" s="46"/>
      <c r="E2083" s="47"/>
      <c r="F2083" s="47"/>
      <c r="G2083" s="48"/>
      <c r="H2083" s="49"/>
      <c r="I2083" s="50"/>
      <c r="J2083" s="48"/>
      <c r="K2083" s="49"/>
      <c r="L2083" s="50"/>
      <c r="M2083" s="43" t="str">
        <f aca="false">IF(OR($L2083="",$F2083=""),"",IFERROR($L2083/INDEX(Cadastro!$E$6:$E$8,MATCH($F2083,Cadastro!$B$6:$B$8,0)),""))</f>
        <v/>
      </c>
      <c r="N2083" s="43" t="str">
        <f aca="false">IF(OR($L2083="",$I2083="",$I2083=0),"",$L2083/$I2083)</f>
        <v/>
      </c>
      <c r="O2083" s="51"/>
    </row>
    <row r="2084" customFormat="false" ht="15" hidden="false" customHeight="false" outlineLevel="0" collapsed="false">
      <c r="A2084" s="45"/>
      <c r="B2084" s="37" t="str">
        <f aca="false">IF($A2084="","",WEEKNUM($A2084,2))</f>
        <v/>
      </c>
      <c r="C2084" s="37" t="str">
        <f aca="false">IF($A2084="","",CHOOSE(WEEKDAY($A2084,2),"Seg","Ter","Qua","Qui","Sex","Sáb","Dom"))</f>
        <v/>
      </c>
      <c r="D2084" s="46"/>
      <c r="E2084" s="47"/>
      <c r="F2084" s="47"/>
      <c r="G2084" s="48"/>
      <c r="H2084" s="49"/>
      <c r="I2084" s="50"/>
      <c r="J2084" s="48"/>
      <c r="K2084" s="49"/>
      <c r="L2084" s="50"/>
      <c r="M2084" s="43" t="str">
        <f aca="false">IF(OR($L2084="",$F2084=""),"",IFERROR($L2084/INDEX(Cadastro!$E$6:$E$8,MATCH($F2084,Cadastro!$B$6:$B$8,0)),""))</f>
        <v/>
      </c>
      <c r="N2084" s="43" t="str">
        <f aca="false">IF(OR($L2084="",$I2084="",$I2084=0),"",$L2084/$I2084)</f>
        <v/>
      </c>
      <c r="O2084" s="51"/>
    </row>
    <row r="2085" customFormat="false" ht="15" hidden="false" customHeight="false" outlineLevel="0" collapsed="false">
      <c r="A2085" s="45"/>
      <c r="B2085" s="37" t="str">
        <f aca="false">IF($A2085="","",WEEKNUM($A2085,2))</f>
        <v/>
      </c>
      <c r="C2085" s="37" t="str">
        <f aca="false">IF($A2085="","",CHOOSE(WEEKDAY($A2085,2),"Seg","Ter","Qua","Qui","Sex","Sáb","Dom"))</f>
        <v/>
      </c>
      <c r="D2085" s="46"/>
      <c r="E2085" s="47"/>
      <c r="F2085" s="47"/>
      <c r="G2085" s="48"/>
      <c r="H2085" s="49"/>
      <c r="I2085" s="50"/>
      <c r="J2085" s="48"/>
      <c r="K2085" s="49"/>
      <c r="L2085" s="50"/>
      <c r="M2085" s="43" t="str">
        <f aca="false">IF(OR($L2085="",$F2085=""),"",IFERROR($L2085/INDEX(Cadastro!$E$6:$E$8,MATCH($F2085,Cadastro!$B$6:$B$8,0)),""))</f>
        <v/>
      </c>
      <c r="N2085" s="43" t="str">
        <f aca="false">IF(OR($L2085="",$I2085="",$I2085=0),"",$L2085/$I2085)</f>
        <v/>
      </c>
      <c r="O2085" s="51"/>
    </row>
    <row r="2086" customFormat="false" ht="15" hidden="false" customHeight="false" outlineLevel="0" collapsed="false">
      <c r="A2086" s="45"/>
      <c r="B2086" s="37" t="str">
        <f aca="false">IF($A2086="","",WEEKNUM($A2086,2))</f>
        <v/>
      </c>
      <c r="C2086" s="37" t="str">
        <f aca="false">IF($A2086="","",CHOOSE(WEEKDAY($A2086,2),"Seg","Ter","Qua","Qui","Sex","Sáb","Dom"))</f>
        <v/>
      </c>
      <c r="D2086" s="46"/>
      <c r="E2086" s="47"/>
      <c r="F2086" s="47"/>
      <c r="G2086" s="48"/>
      <c r="H2086" s="49"/>
      <c r="I2086" s="50"/>
      <c r="J2086" s="48"/>
      <c r="K2086" s="49"/>
      <c r="L2086" s="50"/>
      <c r="M2086" s="43" t="str">
        <f aca="false">IF(OR($L2086="",$F2086=""),"",IFERROR($L2086/INDEX(Cadastro!$E$6:$E$8,MATCH($F2086,Cadastro!$B$6:$B$8,0)),""))</f>
        <v/>
      </c>
      <c r="N2086" s="43" t="str">
        <f aca="false">IF(OR($L2086="",$I2086="",$I2086=0),"",$L2086/$I2086)</f>
        <v/>
      </c>
      <c r="O2086" s="51"/>
    </row>
    <row r="2087" customFormat="false" ht="15" hidden="false" customHeight="false" outlineLevel="0" collapsed="false">
      <c r="A2087" s="45"/>
      <c r="B2087" s="37" t="str">
        <f aca="false">IF($A2087="","",WEEKNUM($A2087,2))</f>
        <v/>
      </c>
      <c r="C2087" s="37" t="str">
        <f aca="false">IF($A2087="","",CHOOSE(WEEKDAY($A2087,2),"Seg","Ter","Qua","Qui","Sex","Sáb","Dom"))</f>
        <v/>
      </c>
      <c r="D2087" s="46"/>
      <c r="E2087" s="47"/>
      <c r="F2087" s="47"/>
      <c r="G2087" s="48"/>
      <c r="H2087" s="49"/>
      <c r="I2087" s="50"/>
      <c r="J2087" s="48"/>
      <c r="K2087" s="49"/>
      <c r="L2087" s="50"/>
      <c r="M2087" s="43" t="str">
        <f aca="false">IF(OR($L2087="",$F2087=""),"",IFERROR($L2087/INDEX(Cadastro!$E$6:$E$8,MATCH($F2087,Cadastro!$B$6:$B$8,0)),""))</f>
        <v/>
      </c>
      <c r="N2087" s="43" t="str">
        <f aca="false">IF(OR($L2087="",$I2087="",$I2087=0),"",$L2087/$I2087)</f>
        <v/>
      </c>
      <c r="O2087" s="51"/>
    </row>
    <row r="2088" customFormat="false" ht="15" hidden="false" customHeight="false" outlineLevel="0" collapsed="false">
      <c r="A2088" s="45"/>
      <c r="B2088" s="37" t="str">
        <f aca="false">IF($A2088="","",WEEKNUM($A2088,2))</f>
        <v/>
      </c>
      <c r="C2088" s="37" t="str">
        <f aca="false">IF($A2088="","",CHOOSE(WEEKDAY($A2088,2),"Seg","Ter","Qua","Qui","Sex","Sáb","Dom"))</f>
        <v/>
      </c>
      <c r="D2088" s="46"/>
      <c r="E2088" s="47"/>
      <c r="F2088" s="47"/>
      <c r="G2088" s="48"/>
      <c r="H2088" s="49"/>
      <c r="I2088" s="50"/>
      <c r="J2088" s="48"/>
      <c r="K2088" s="49"/>
      <c r="L2088" s="50"/>
      <c r="M2088" s="43" t="str">
        <f aca="false">IF(OR($L2088="",$F2088=""),"",IFERROR($L2088/INDEX(Cadastro!$E$6:$E$8,MATCH($F2088,Cadastro!$B$6:$B$8,0)),""))</f>
        <v/>
      </c>
      <c r="N2088" s="43" t="str">
        <f aca="false">IF(OR($L2088="",$I2088="",$I2088=0),"",$L2088/$I2088)</f>
        <v/>
      </c>
      <c r="O2088" s="51"/>
    </row>
    <row r="2089" customFormat="false" ht="15" hidden="false" customHeight="false" outlineLevel="0" collapsed="false">
      <c r="A2089" s="45"/>
      <c r="B2089" s="37" t="str">
        <f aca="false">IF($A2089="","",WEEKNUM($A2089,2))</f>
        <v/>
      </c>
      <c r="C2089" s="37" t="str">
        <f aca="false">IF($A2089="","",CHOOSE(WEEKDAY($A2089,2),"Seg","Ter","Qua","Qui","Sex","Sáb","Dom"))</f>
        <v/>
      </c>
      <c r="D2089" s="46"/>
      <c r="E2089" s="47"/>
      <c r="F2089" s="47"/>
      <c r="G2089" s="48"/>
      <c r="H2089" s="49"/>
      <c r="I2089" s="50"/>
      <c r="J2089" s="48"/>
      <c r="K2089" s="49"/>
      <c r="L2089" s="50"/>
      <c r="M2089" s="43" t="str">
        <f aca="false">IF(OR($L2089="",$F2089=""),"",IFERROR($L2089/INDEX(Cadastro!$E$6:$E$8,MATCH($F2089,Cadastro!$B$6:$B$8,0)),""))</f>
        <v/>
      </c>
      <c r="N2089" s="43" t="str">
        <f aca="false">IF(OR($L2089="",$I2089="",$I2089=0),"",$L2089/$I2089)</f>
        <v/>
      </c>
      <c r="O2089" s="51"/>
    </row>
    <row r="2090" customFormat="false" ht="15" hidden="false" customHeight="false" outlineLevel="0" collapsed="false">
      <c r="A2090" s="45"/>
      <c r="B2090" s="37" t="str">
        <f aca="false">IF($A2090="","",WEEKNUM($A2090,2))</f>
        <v/>
      </c>
      <c r="C2090" s="37" t="str">
        <f aca="false">IF($A2090="","",CHOOSE(WEEKDAY($A2090,2),"Seg","Ter","Qua","Qui","Sex","Sáb","Dom"))</f>
        <v/>
      </c>
      <c r="D2090" s="46"/>
      <c r="E2090" s="47"/>
      <c r="F2090" s="47"/>
      <c r="G2090" s="48"/>
      <c r="H2090" s="49"/>
      <c r="I2090" s="50"/>
      <c r="J2090" s="48"/>
      <c r="K2090" s="49"/>
      <c r="L2090" s="50"/>
      <c r="M2090" s="43" t="str">
        <f aca="false">IF(OR($L2090="",$F2090=""),"",IFERROR($L2090/INDEX(Cadastro!$E$6:$E$8,MATCH($F2090,Cadastro!$B$6:$B$8,0)),""))</f>
        <v/>
      </c>
      <c r="N2090" s="43" t="str">
        <f aca="false">IF(OR($L2090="",$I2090="",$I2090=0),"",$L2090/$I2090)</f>
        <v/>
      </c>
      <c r="O2090" s="51"/>
    </row>
    <row r="2091" customFormat="false" ht="15" hidden="false" customHeight="false" outlineLevel="0" collapsed="false">
      <c r="A2091" s="45"/>
      <c r="B2091" s="37" t="str">
        <f aca="false">IF($A2091="","",WEEKNUM($A2091,2))</f>
        <v/>
      </c>
      <c r="C2091" s="37" t="str">
        <f aca="false">IF($A2091="","",CHOOSE(WEEKDAY($A2091,2),"Seg","Ter","Qua","Qui","Sex","Sáb","Dom"))</f>
        <v/>
      </c>
      <c r="D2091" s="46"/>
      <c r="E2091" s="47"/>
      <c r="F2091" s="47"/>
      <c r="G2091" s="48"/>
      <c r="H2091" s="49"/>
      <c r="I2091" s="50"/>
      <c r="J2091" s="48"/>
      <c r="K2091" s="49"/>
      <c r="L2091" s="50"/>
      <c r="M2091" s="43" t="str">
        <f aca="false">IF(OR($L2091="",$F2091=""),"",IFERROR($L2091/INDEX(Cadastro!$E$6:$E$8,MATCH($F2091,Cadastro!$B$6:$B$8,0)),""))</f>
        <v/>
      </c>
      <c r="N2091" s="43" t="str">
        <f aca="false">IF(OR($L2091="",$I2091="",$I2091=0),"",$L2091/$I2091)</f>
        <v/>
      </c>
      <c r="O2091" s="51"/>
    </row>
    <row r="2092" customFormat="false" ht="15" hidden="false" customHeight="false" outlineLevel="0" collapsed="false">
      <c r="A2092" s="45"/>
      <c r="B2092" s="37" t="str">
        <f aca="false">IF($A2092="","",WEEKNUM($A2092,2))</f>
        <v/>
      </c>
      <c r="C2092" s="37" t="str">
        <f aca="false">IF($A2092="","",CHOOSE(WEEKDAY($A2092,2),"Seg","Ter","Qua","Qui","Sex","Sáb","Dom"))</f>
        <v/>
      </c>
      <c r="D2092" s="46"/>
      <c r="E2092" s="47"/>
      <c r="F2092" s="47"/>
      <c r="G2092" s="48"/>
      <c r="H2092" s="49"/>
      <c r="I2092" s="50"/>
      <c r="J2092" s="48"/>
      <c r="K2092" s="49"/>
      <c r="L2092" s="50"/>
      <c r="M2092" s="43" t="str">
        <f aca="false">IF(OR($L2092="",$F2092=""),"",IFERROR($L2092/INDEX(Cadastro!$E$6:$E$8,MATCH($F2092,Cadastro!$B$6:$B$8,0)),""))</f>
        <v/>
      </c>
      <c r="N2092" s="43" t="str">
        <f aca="false">IF(OR($L2092="",$I2092="",$I2092=0),"",$L2092/$I2092)</f>
        <v/>
      </c>
      <c r="O2092" s="51"/>
    </row>
    <row r="2093" customFormat="false" ht="15" hidden="false" customHeight="false" outlineLevel="0" collapsed="false">
      <c r="A2093" s="45"/>
      <c r="B2093" s="37" t="str">
        <f aca="false">IF($A2093="","",WEEKNUM($A2093,2))</f>
        <v/>
      </c>
      <c r="C2093" s="37" t="str">
        <f aca="false">IF($A2093="","",CHOOSE(WEEKDAY($A2093,2),"Seg","Ter","Qua","Qui","Sex","Sáb","Dom"))</f>
        <v/>
      </c>
      <c r="D2093" s="46"/>
      <c r="E2093" s="47"/>
      <c r="F2093" s="47"/>
      <c r="G2093" s="48"/>
      <c r="H2093" s="49"/>
      <c r="I2093" s="50"/>
      <c r="J2093" s="48"/>
      <c r="K2093" s="49"/>
      <c r="L2093" s="50"/>
      <c r="M2093" s="43" t="str">
        <f aca="false">IF(OR($L2093="",$F2093=""),"",IFERROR($L2093/INDEX(Cadastro!$E$6:$E$8,MATCH($F2093,Cadastro!$B$6:$B$8,0)),""))</f>
        <v/>
      </c>
      <c r="N2093" s="43" t="str">
        <f aca="false">IF(OR($L2093="",$I2093="",$I2093=0),"",$L2093/$I2093)</f>
        <v/>
      </c>
      <c r="O2093" s="51"/>
    </row>
    <row r="2094" customFormat="false" ht="15" hidden="false" customHeight="false" outlineLevel="0" collapsed="false">
      <c r="A2094" s="45"/>
      <c r="B2094" s="37" t="str">
        <f aca="false">IF($A2094="","",WEEKNUM($A2094,2))</f>
        <v/>
      </c>
      <c r="C2094" s="37" t="str">
        <f aca="false">IF($A2094="","",CHOOSE(WEEKDAY($A2094,2),"Seg","Ter","Qua","Qui","Sex","Sáb","Dom"))</f>
        <v/>
      </c>
      <c r="D2094" s="46"/>
      <c r="E2094" s="47"/>
      <c r="F2094" s="47"/>
      <c r="G2094" s="48"/>
      <c r="H2094" s="49"/>
      <c r="I2094" s="50"/>
      <c r="J2094" s="48"/>
      <c r="K2094" s="49"/>
      <c r="L2094" s="50"/>
      <c r="M2094" s="43" t="str">
        <f aca="false">IF(OR($L2094="",$F2094=""),"",IFERROR($L2094/INDEX(Cadastro!$E$6:$E$8,MATCH($F2094,Cadastro!$B$6:$B$8,0)),""))</f>
        <v/>
      </c>
      <c r="N2094" s="43" t="str">
        <f aca="false">IF(OR($L2094="",$I2094="",$I2094=0),"",$L2094/$I2094)</f>
        <v/>
      </c>
      <c r="O2094" s="51"/>
    </row>
    <row r="2095" customFormat="false" ht="15" hidden="false" customHeight="false" outlineLevel="0" collapsed="false">
      <c r="A2095" s="45"/>
      <c r="B2095" s="37" t="str">
        <f aca="false">IF($A2095="","",WEEKNUM($A2095,2))</f>
        <v/>
      </c>
      <c r="C2095" s="37" t="str">
        <f aca="false">IF($A2095="","",CHOOSE(WEEKDAY($A2095,2),"Seg","Ter","Qua","Qui","Sex","Sáb","Dom"))</f>
        <v/>
      </c>
      <c r="D2095" s="46"/>
      <c r="E2095" s="47"/>
      <c r="F2095" s="47"/>
      <c r="G2095" s="48"/>
      <c r="H2095" s="49"/>
      <c r="I2095" s="50"/>
      <c r="J2095" s="48"/>
      <c r="K2095" s="49"/>
      <c r="L2095" s="50"/>
      <c r="M2095" s="43" t="str">
        <f aca="false">IF(OR($L2095="",$F2095=""),"",IFERROR($L2095/INDEX(Cadastro!$E$6:$E$8,MATCH($F2095,Cadastro!$B$6:$B$8,0)),""))</f>
        <v/>
      </c>
      <c r="N2095" s="43" t="str">
        <f aca="false">IF(OR($L2095="",$I2095="",$I2095=0),"",$L2095/$I2095)</f>
        <v/>
      </c>
      <c r="O2095" s="51"/>
    </row>
    <row r="2096" customFormat="false" ht="15" hidden="false" customHeight="false" outlineLevel="0" collapsed="false">
      <c r="A2096" s="45"/>
      <c r="B2096" s="37" t="str">
        <f aca="false">IF($A2096="","",WEEKNUM($A2096,2))</f>
        <v/>
      </c>
      <c r="C2096" s="37" t="str">
        <f aca="false">IF($A2096="","",CHOOSE(WEEKDAY($A2096,2),"Seg","Ter","Qua","Qui","Sex","Sáb","Dom"))</f>
        <v/>
      </c>
      <c r="D2096" s="46"/>
      <c r="E2096" s="47"/>
      <c r="F2096" s="47"/>
      <c r="G2096" s="48"/>
      <c r="H2096" s="49"/>
      <c r="I2096" s="50"/>
      <c r="J2096" s="48"/>
      <c r="K2096" s="49"/>
      <c r="L2096" s="50"/>
      <c r="M2096" s="43" t="str">
        <f aca="false">IF(OR($L2096="",$F2096=""),"",IFERROR($L2096/INDEX(Cadastro!$E$6:$E$8,MATCH($F2096,Cadastro!$B$6:$B$8,0)),""))</f>
        <v/>
      </c>
      <c r="N2096" s="43" t="str">
        <f aca="false">IF(OR($L2096="",$I2096="",$I2096=0),"",$L2096/$I2096)</f>
        <v/>
      </c>
      <c r="O2096" s="51"/>
    </row>
    <row r="2097" customFormat="false" ht="15" hidden="false" customHeight="false" outlineLevel="0" collapsed="false">
      <c r="A2097" s="45"/>
      <c r="B2097" s="37" t="str">
        <f aca="false">IF($A2097="","",WEEKNUM($A2097,2))</f>
        <v/>
      </c>
      <c r="C2097" s="37" t="str">
        <f aca="false">IF($A2097="","",CHOOSE(WEEKDAY($A2097,2),"Seg","Ter","Qua","Qui","Sex","Sáb","Dom"))</f>
        <v/>
      </c>
      <c r="D2097" s="46"/>
      <c r="E2097" s="47"/>
      <c r="F2097" s="47"/>
      <c r="G2097" s="48"/>
      <c r="H2097" s="49"/>
      <c r="I2097" s="50"/>
      <c r="J2097" s="48"/>
      <c r="K2097" s="49"/>
      <c r="L2097" s="50"/>
      <c r="M2097" s="43" t="str">
        <f aca="false">IF(OR($L2097="",$F2097=""),"",IFERROR($L2097/INDEX(Cadastro!$E$6:$E$8,MATCH($F2097,Cadastro!$B$6:$B$8,0)),""))</f>
        <v/>
      </c>
      <c r="N2097" s="43" t="str">
        <f aca="false">IF(OR($L2097="",$I2097="",$I2097=0),"",$L2097/$I2097)</f>
        <v/>
      </c>
      <c r="O2097" s="51"/>
    </row>
    <row r="2098" customFormat="false" ht="15" hidden="false" customHeight="false" outlineLevel="0" collapsed="false">
      <c r="A2098" s="45"/>
      <c r="B2098" s="37" t="str">
        <f aca="false">IF($A2098="","",WEEKNUM($A2098,2))</f>
        <v/>
      </c>
      <c r="C2098" s="37" t="str">
        <f aca="false">IF($A2098="","",CHOOSE(WEEKDAY($A2098,2),"Seg","Ter","Qua","Qui","Sex","Sáb","Dom"))</f>
        <v/>
      </c>
      <c r="D2098" s="46"/>
      <c r="E2098" s="47"/>
      <c r="F2098" s="47"/>
      <c r="G2098" s="48"/>
      <c r="H2098" s="49"/>
      <c r="I2098" s="50"/>
      <c r="J2098" s="48"/>
      <c r="K2098" s="49"/>
      <c r="L2098" s="50"/>
      <c r="M2098" s="43" t="str">
        <f aca="false">IF(OR($L2098="",$F2098=""),"",IFERROR($L2098/INDEX(Cadastro!$E$6:$E$8,MATCH($F2098,Cadastro!$B$6:$B$8,0)),""))</f>
        <v/>
      </c>
      <c r="N2098" s="43" t="str">
        <f aca="false">IF(OR($L2098="",$I2098="",$I2098=0),"",$L2098/$I2098)</f>
        <v/>
      </c>
      <c r="O2098" s="51"/>
    </row>
    <row r="2099" customFormat="false" ht="15" hidden="false" customHeight="false" outlineLevel="0" collapsed="false">
      <c r="A2099" s="45"/>
      <c r="B2099" s="37" t="str">
        <f aca="false">IF($A2099="","",WEEKNUM($A2099,2))</f>
        <v/>
      </c>
      <c r="C2099" s="37" t="str">
        <f aca="false">IF($A2099="","",CHOOSE(WEEKDAY($A2099,2),"Seg","Ter","Qua","Qui","Sex","Sáb","Dom"))</f>
        <v/>
      </c>
      <c r="D2099" s="46"/>
      <c r="E2099" s="47"/>
      <c r="F2099" s="47"/>
      <c r="G2099" s="48"/>
      <c r="H2099" s="49"/>
      <c r="I2099" s="50"/>
      <c r="J2099" s="48"/>
      <c r="K2099" s="49"/>
      <c r="L2099" s="50"/>
      <c r="M2099" s="43" t="str">
        <f aca="false">IF(OR($L2099="",$F2099=""),"",IFERROR($L2099/INDEX(Cadastro!$E$6:$E$8,MATCH($F2099,Cadastro!$B$6:$B$8,0)),""))</f>
        <v/>
      </c>
      <c r="N2099" s="43" t="str">
        <f aca="false">IF(OR($L2099="",$I2099="",$I2099=0),"",$L2099/$I2099)</f>
        <v/>
      </c>
      <c r="O2099" s="51"/>
    </row>
    <row r="2100" customFormat="false" ht="15" hidden="false" customHeight="false" outlineLevel="0" collapsed="false">
      <c r="A2100" s="45"/>
      <c r="B2100" s="37" t="str">
        <f aca="false">IF($A2100="","",WEEKNUM($A2100,2))</f>
        <v/>
      </c>
      <c r="C2100" s="37" t="str">
        <f aca="false">IF($A2100="","",CHOOSE(WEEKDAY($A2100,2),"Seg","Ter","Qua","Qui","Sex","Sáb","Dom"))</f>
        <v/>
      </c>
      <c r="D2100" s="46"/>
      <c r="E2100" s="47"/>
      <c r="F2100" s="47"/>
      <c r="G2100" s="48"/>
      <c r="H2100" s="49"/>
      <c r="I2100" s="50"/>
      <c r="J2100" s="48"/>
      <c r="K2100" s="49"/>
      <c r="L2100" s="50"/>
      <c r="M2100" s="43" t="str">
        <f aca="false">IF(OR($L2100="",$F2100=""),"",IFERROR($L2100/INDEX(Cadastro!$E$6:$E$8,MATCH($F2100,Cadastro!$B$6:$B$8,0)),""))</f>
        <v/>
      </c>
      <c r="N2100" s="43" t="str">
        <f aca="false">IF(OR($L2100="",$I2100="",$I2100=0),"",$L2100/$I2100)</f>
        <v/>
      </c>
      <c r="O2100" s="51"/>
    </row>
    <row r="2101" customFormat="false" ht="15" hidden="false" customHeight="false" outlineLevel="0" collapsed="false">
      <c r="A2101" s="45"/>
      <c r="B2101" s="37" t="str">
        <f aca="false">IF($A2101="","",WEEKNUM($A2101,2))</f>
        <v/>
      </c>
      <c r="C2101" s="37" t="str">
        <f aca="false">IF($A2101="","",CHOOSE(WEEKDAY($A2101,2),"Seg","Ter","Qua","Qui","Sex","Sáb","Dom"))</f>
        <v/>
      </c>
      <c r="D2101" s="46"/>
      <c r="E2101" s="47"/>
      <c r="F2101" s="47"/>
      <c r="G2101" s="48"/>
      <c r="H2101" s="49"/>
      <c r="I2101" s="50"/>
      <c r="J2101" s="48"/>
      <c r="K2101" s="49"/>
      <c r="L2101" s="50"/>
      <c r="M2101" s="43" t="str">
        <f aca="false">IF(OR($L2101="",$F2101=""),"",IFERROR($L2101/INDEX(Cadastro!$E$6:$E$8,MATCH($F2101,Cadastro!$B$6:$B$8,0)),""))</f>
        <v/>
      </c>
      <c r="N2101" s="43" t="str">
        <f aca="false">IF(OR($L2101="",$I2101="",$I2101=0),"",$L2101/$I2101)</f>
        <v/>
      </c>
      <c r="O2101" s="51"/>
    </row>
    <row r="2102" customFormat="false" ht="15" hidden="false" customHeight="false" outlineLevel="0" collapsed="false">
      <c r="A2102" s="45"/>
      <c r="B2102" s="37" t="str">
        <f aca="false">IF($A2102="","",WEEKNUM($A2102,2))</f>
        <v/>
      </c>
      <c r="C2102" s="37" t="str">
        <f aca="false">IF($A2102="","",CHOOSE(WEEKDAY($A2102,2),"Seg","Ter","Qua","Qui","Sex","Sáb","Dom"))</f>
        <v/>
      </c>
      <c r="D2102" s="46"/>
      <c r="E2102" s="47"/>
      <c r="F2102" s="47"/>
      <c r="G2102" s="48"/>
      <c r="H2102" s="49"/>
      <c r="I2102" s="50"/>
      <c r="J2102" s="48"/>
      <c r="K2102" s="49"/>
      <c r="L2102" s="50"/>
      <c r="M2102" s="43" t="str">
        <f aca="false">IF(OR($L2102="",$F2102=""),"",IFERROR($L2102/INDEX(Cadastro!$E$6:$E$8,MATCH($F2102,Cadastro!$B$6:$B$8,0)),""))</f>
        <v/>
      </c>
      <c r="N2102" s="43" t="str">
        <f aca="false">IF(OR($L2102="",$I2102="",$I2102=0),"",$L2102/$I2102)</f>
        <v/>
      </c>
      <c r="O2102" s="51"/>
    </row>
    <row r="2103" customFormat="false" ht="15" hidden="false" customHeight="false" outlineLevel="0" collapsed="false">
      <c r="A2103" s="45"/>
      <c r="B2103" s="37" t="str">
        <f aca="false">IF($A2103="","",WEEKNUM($A2103,2))</f>
        <v/>
      </c>
      <c r="C2103" s="37" t="str">
        <f aca="false">IF($A2103="","",CHOOSE(WEEKDAY($A2103,2),"Seg","Ter","Qua","Qui","Sex","Sáb","Dom"))</f>
        <v/>
      </c>
      <c r="D2103" s="46"/>
      <c r="E2103" s="47"/>
      <c r="F2103" s="47"/>
      <c r="G2103" s="48"/>
      <c r="H2103" s="49"/>
      <c r="I2103" s="50"/>
      <c r="J2103" s="48"/>
      <c r="K2103" s="49"/>
      <c r="L2103" s="50"/>
      <c r="M2103" s="43" t="str">
        <f aca="false">IF(OR($L2103="",$F2103=""),"",IFERROR($L2103/INDEX(Cadastro!$E$6:$E$8,MATCH($F2103,Cadastro!$B$6:$B$8,0)),""))</f>
        <v/>
      </c>
      <c r="N2103" s="43" t="str">
        <f aca="false">IF(OR($L2103="",$I2103="",$I2103=0),"",$L2103/$I2103)</f>
        <v/>
      </c>
      <c r="O2103" s="51"/>
    </row>
    <row r="2104" customFormat="false" ht="15" hidden="false" customHeight="false" outlineLevel="0" collapsed="false">
      <c r="A2104" s="45"/>
      <c r="B2104" s="37" t="str">
        <f aca="false">IF($A2104="","",WEEKNUM($A2104,2))</f>
        <v/>
      </c>
      <c r="C2104" s="37" t="str">
        <f aca="false">IF($A2104="","",CHOOSE(WEEKDAY($A2104,2),"Seg","Ter","Qua","Qui","Sex","Sáb","Dom"))</f>
        <v/>
      </c>
      <c r="D2104" s="46"/>
      <c r="E2104" s="47"/>
      <c r="F2104" s="47"/>
      <c r="G2104" s="48"/>
      <c r="H2104" s="49"/>
      <c r="I2104" s="50"/>
      <c r="J2104" s="48"/>
      <c r="K2104" s="49"/>
      <c r="L2104" s="50"/>
      <c r="M2104" s="43" t="str">
        <f aca="false">IF(OR($L2104="",$F2104=""),"",IFERROR($L2104/INDEX(Cadastro!$E$6:$E$8,MATCH($F2104,Cadastro!$B$6:$B$8,0)),""))</f>
        <v/>
      </c>
      <c r="N2104" s="43" t="str">
        <f aca="false">IF(OR($L2104="",$I2104="",$I2104=0),"",$L2104/$I2104)</f>
        <v/>
      </c>
      <c r="O2104" s="51"/>
    </row>
    <row r="2105" customFormat="false" ht="15" hidden="false" customHeight="false" outlineLevel="0" collapsed="false">
      <c r="A2105" s="45"/>
      <c r="B2105" s="37" t="str">
        <f aca="false">IF($A2105="","",WEEKNUM($A2105,2))</f>
        <v/>
      </c>
      <c r="C2105" s="37" t="str">
        <f aca="false">IF($A2105="","",CHOOSE(WEEKDAY($A2105,2),"Seg","Ter","Qua","Qui","Sex","Sáb","Dom"))</f>
        <v/>
      </c>
      <c r="D2105" s="46"/>
      <c r="E2105" s="47"/>
      <c r="F2105" s="47"/>
      <c r="G2105" s="48"/>
      <c r="H2105" s="49"/>
      <c r="I2105" s="50"/>
      <c r="J2105" s="48"/>
      <c r="K2105" s="49"/>
      <c r="L2105" s="50"/>
      <c r="M2105" s="43" t="str">
        <f aca="false">IF(OR($L2105="",$F2105=""),"",IFERROR($L2105/INDEX(Cadastro!$E$6:$E$8,MATCH($F2105,Cadastro!$B$6:$B$8,0)),""))</f>
        <v/>
      </c>
      <c r="N2105" s="43" t="str">
        <f aca="false">IF(OR($L2105="",$I2105="",$I2105=0),"",$L2105/$I2105)</f>
        <v/>
      </c>
      <c r="O2105" s="51"/>
    </row>
    <row r="2106" customFormat="false" ht="15" hidden="false" customHeight="false" outlineLevel="0" collapsed="false">
      <c r="A2106" s="45"/>
      <c r="B2106" s="37" t="str">
        <f aca="false">IF($A2106="","",WEEKNUM($A2106,2))</f>
        <v/>
      </c>
      <c r="C2106" s="37" t="str">
        <f aca="false">IF($A2106="","",CHOOSE(WEEKDAY($A2106,2),"Seg","Ter","Qua","Qui","Sex","Sáb","Dom"))</f>
        <v/>
      </c>
      <c r="D2106" s="46"/>
      <c r="E2106" s="47"/>
      <c r="F2106" s="47"/>
      <c r="G2106" s="48"/>
      <c r="H2106" s="49"/>
      <c r="I2106" s="50"/>
      <c r="J2106" s="48"/>
      <c r="K2106" s="49"/>
      <c r="L2106" s="50"/>
      <c r="M2106" s="43" t="str">
        <f aca="false">IF(OR($L2106="",$F2106=""),"",IFERROR($L2106/INDEX(Cadastro!$E$6:$E$8,MATCH($F2106,Cadastro!$B$6:$B$8,0)),""))</f>
        <v/>
      </c>
      <c r="N2106" s="43" t="str">
        <f aca="false">IF(OR($L2106="",$I2106="",$I2106=0),"",$L2106/$I2106)</f>
        <v/>
      </c>
      <c r="O2106" s="51"/>
    </row>
    <row r="2107" customFormat="false" ht="15" hidden="false" customHeight="false" outlineLevel="0" collapsed="false">
      <c r="A2107" s="45"/>
      <c r="B2107" s="37" t="str">
        <f aca="false">IF($A2107="","",WEEKNUM($A2107,2))</f>
        <v/>
      </c>
      <c r="C2107" s="37" t="str">
        <f aca="false">IF($A2107="","",CHOOSE(WEEKDAY($A2107,2),"Seg","Ter","Qua","Qui","Sex","Sáb","Dom"))</f>
        <v/>
      </c>
      <c r="D2107" s="46"/>
      <c r="E2107" s="47"/>
      <c r="F2107" s="47"/>
      <c r="G2107" s="48"/>
      <c r="H2107" s="49"/>
      <c r="I2107" s="50"/>
      <c r="J2107" s="48"/>
      <c r="K2107" s="49"/>
      <c r="L2107" s="50"/>
      <c r="M2107" s="43" t="str">
        <f aca="false">IF(OR($L2107="",$F2107=""),"",IFERROR($L2107/INDEX(Cadastro!$E$6:$E$8,MATCH($F2107,Cadastro!$B$6:$B$8,0)),""))</f>
        <v/>
      </c>
      <c r="N2107" s="43" t="str">
        <f aca="false">IF(OR($L2107="",$I2107="",$I2107=0),"",$L2107/$I2107)</f>
        <v/>
      </c>
      <c r="O2107" s="51"/>
    </row>
    <row r="2108" customFormat="false" ht="15" hidden="false" customHeight="false" outlineLevel="0" collapsed="false">
      <c r="A2108" s="45"/>
      <c r="B2108" s="37" t="str">
        <f aca="false">IF($A2108="","",WEEKNUM($A2108,2))</f>
        <v/>
      </c>
      <c r="C2108" s="37" t="str">
        <f aca="false">IF($A2108="","",CHOOSE(WEEKDAY($A2108,2),"Seg","Ter","Qua","Qui","Sex","Sáb","Dom"))</f>
        <v/>
      </c>
      <c r="D2108" s="46"/>
      <c r="E2108" s="47"/>
      <c r="F2108" s="47"/>
      <c r="G2108" s="48"/>
      <c r="H2108" s="49"/>
      <c r="I2108" s="50"/>
      <c r="J2108" s="48"/>
      <c r="K2108" s="49"/>
      <c r="L2108" s="50"/>
      <c r="M2108" s="43" t="str">
        <f aca="false">IF(OR($L2108="",$F2108=""),"",IFERROR($L2108/INDEX(Cadastro!$E$6:$E$8,MATCH($F2108,Cadastro!$B$6:$B$8,0)),""))</f>
        <v/>
      </c>
      <c r="N2108" s="43" t="str">
        <f aca="false">IF(OR($L2108="",$I2108="",$I2108=0),"",$L2108/$I2108)</f>
        <v/>
      </c>
      <c r="O2108" s="51"/>
    </row>
    <row r="2109" customFormat="false" ht="15" hidden="false" customHeight="false" outlineLevel="0" collapsed="false">
      <c r="A2109" s="45"/>
      <c r="B2109" s="37" t="str">
        <f aca="false">IF($A2109="","",WEEKNUM($A2109,2))</f>
        <v/>
      </c>
      <c r="C2109" s="37" t="str">
        <f aca="false">IF($A2109="","",CHOOSE(WEEKDAY($A2109,2),"Seg","Ter","Qua","Qui","Sex","Sáb","Dom"))</f>
        <v/>
      </c>
      <c r="D2109" s="46"/>
      <c r="E2109" s="47"/>
      <c r="F2109" s="47"/>
      <c r="G2109" s="48"/>
      <c r="H2109" s="49"/>
      <c r="I2109" s="50"/>
      <c r="J2109" s="48"/>
      <c r="K2109" s="49"/>
      <c r="L2109" s="50"/>
      <c r="M2109" s="43" t="str">
        <f aca="false">IF(OR($L2109="",$F2109=""),"",IFERROR($L2109/INDEX(Cadastro!$E$6:$E$8,MATCH($F2109,Cadastro!$B$6:$B$8,0)),""))</f>
        <v/>
      </c>
      <c r="N2109" s="43" t="str">
        <f aca="false">IF(OR($L2109="",$I2109="",$I2109=0),"",$L2109/$I2109)</f>
        <v/>
      </c>
      <c r="O2109" s="51"/>
    </row>
    <row r="2110" customFormat="false" ht="15" hidden="false" customHeight="false" outlineLevel="0" collapsed="false">
      <c r="A2110" s="45"/>
      <c r="B2110" s="37" t="str">
        <f aca="false">IF($A2110="","",WEEKNUM($A2110,2))</f>
        <v/>
      </c>
      <c r="C2110" s="37" t="str">
        <f aca="false">IF($A2110="","",CHOOSE(WEEKDAY($A2110,2),"Seg","Ter","Qua","Qui","Sex","Sáb","Dom"))</f>
        <v/>
      </c>
      <c r="D2110" s="46"/>
      <c r="E2110" s="47"/>
      <c r="F2110" s="47"/>
      <c r="G2110" s="48"/>
      <c r="H2110" s="49"/>
      <c r="I2110" s="50"/>
      <c r="J2110" s="48"/>
      <c r="K2110" s="49"/>
      <c r="L2110" s="50"/>
      <c r="M2110" s="43" t="str">
        <f aca="false">IF(OR($L2110="",$F2110=""),"",IFERROR($L2110/INDEX(Cadastro!$E$6:$E$8,MATCH($F2110,Cadastro!$B$6:$B$8,0)),""))</f>
        <v/>
      </c>
      <c r="N2110" s="43" t="str">
        <f aca="false">IF(OR($L2110="",$I2110="",$I2110=0),"",$L2110/$I2110)</f>
        <v/>
      </c>
      <c r="O2110" s="51"/>
    </row>
    <row r="2111" customFormat="false" ht="15" hidden="false" customHeight="false" outlineLevel="0" collapsed="false">
      <c r="A2111" s="45"/>
      <c r="B2111" s="37" t="str">
        <f aca="false">IF($A2111="","",WEEKNUM($A2111,2))</f>
        <v/>
      </c>
      <c r="C2111" s="37" t="str">
        <f aca="false">IF($A2111="","",CHOOSE(WEEKDAY($A2111,2),"Seg","Ter","Qua","Qui","Sex","Sáb","Dom"))</f>
        <v/>
      </c>
      <c r="D2111" s="46"/>
      <c r="E2111" s="47"/>
      <c r="F2111" s="47"/>
      <c r="G2111" s="48"/>
      <c r="H2111" s="49"/>
      <c r="I2111" s="50"/>
      <c r="J2111" s="48"/>
      <c r="K2111" s="49"/>
      <c r="L2111" s="50"/>
      <c r="M2111" s="43" t="str">
        <f aca="false">IF(OR($L2111="",$F2111=""),"",IFERROR($L2111/INDEX(Cadastro!$E$6:$E$8,MATCH($F2111,Cadastro!$B$6:$B$8,0)),""))</f>
        <v/>
      </c>
      <c r="N2111" s="43" t="str">
        <f aca="false">IF(OR($L2111="",$I2111="",$I2111=0),"",$L2111/$I2111)</f>
        <v/>
      </c>
      <c r="O2111" s="51"/>
    </row>
    <row r="2112" customFormat="false" ht="15" hidden="false" customHeight="false" outlineLevel="0" collapsed="false">
      <c r="A2112" s="45"/>
      <c r="B2112" s="37" t="str">
        <f aca="false">IF($A2112="","",WEEKNUM($A2112,2))</f>
        <v/>
      </c>
      <c r="C2112" s="37" t="str">
        <f aca="false">IF($A2112="","",CHOOSE(WEEKDAY($A2112,2),"Seg","Ter","Qua","Qui","Sex","Sáb","Dom"))</f>
        <v/>
      </c>
      <c r="D2112" s="46"/>
      <c r="E2112" s="47"/>
      <c r="F2112" s="47"/>
      <c r="G2112" s="48"/>
      <c r="H2112" s="49"/>
      <c r="I2112" s="50"/>
      <c r="J2112" s="48"/>
      <c r="K2112" s="49"/>
      <c r="L2112" s="50"/>
      <c r="M2112" s="43" t="str">
        <f aca="false">IF(OR($L2112="",$F2112=""),"",IFERROR($L2112/INDEX(Cadastro!$E$6:$E$8,MATCH($F2112,Cadastro!$B$6:$B$8,0)),""))</f>
        <v/>
      </c>
      <c r="N2112" s="43" t="str">
        <f aca="false">IF(OR($L2112="",$I2112="",$I2112=0),"",$L2112/$I2112)</f>
        <v/>
      </c>
      <c r="O2112" s="51"/>
    </row>
    <row r="2113" customFormat="false" ht="15" hidden="false" customHeight="false" outlineLevel="0" collapsed="false">
      <c r="A2113" s="45"/>
      <c r="B2113" s="37" t="str">
        <f aca="false">IF($A2113="","",WEEKNUM($A2113,2))</f>
        <v/>
      </c>
      <c r="C2113" s="37" t="str">
        <f aca="false">IF($A2113="","",CHOOSE(WEEKDAY($A2113,2),"Seg","Ter","Qua","Qui","Sex","Sáb","Dom"))</f>
        <v/>
      </c>
      <c r="D2113" s="46"/>
      <c r="E2113" s="47"/>
      <c r="F2113" s="47"/>
      <c r="G2113" s="48"/>
      <c r="H2113" s="49"/>
      <c r="I2113" s="50"/>
      <c r="J2113" s="48"/>
      <c r="K2113" s="49"/>
      <c r="L2113" s="50"/>
      <c r="M2113" s="43" t="str">
        <f aca="false">IF(OR($L2113="",$F2113=""),"",IFERROR($L2113/INDEX(Cadastro!$E$6:$E$8,MATCH($F2113,Cadastro!$B$6:$B$8,0)),""))</f>
        <v/>
      </c>
      <c r="N2113" s="43" t="str">
        <f aca="false">IF(OR($L2113="",$I2113="",$I2113=0),"",$L2113/$I2113)</f>
        <v/>
      </c>
      <c r="O2113" s="51"/>
    </row>
    <row r="2114" customFormat="false" ht="15" hidden="false" customHeight="false" outlineLevel="0" collapsed="false">
      <c r="A2114" s="45"/>
      <c r="B2114" s="37" t="str">
        <f aca="false">IF($A2114="","",WEEKNUM($A2114,2))</f>
        <v/>
      </c>
      <c r="C2114" s="37" t="str">
        <f aca="false">IF($A2114="","",CHOOSE(WEEKDAY($A2114,2),"Seg","Ter","Qua","Qui","Sex","Sáb","Dom"))</f>
        <v/>
      </c>
      <c r="D2114" s="46"/>
      <c r="E2114" s="47"/>
      <c r="F2114" s="47"/>
      <c r="G2114" s="48"/>
      <c r="H2114" s="49"/>
      <c r="I2114" s="50"/>
      <c r="J2114" s="48"/>
      <c r="K2114" s="49"/>
      <c r="L2114" s="50"/>
      <c r="M2114" s="43" t="str">
        <f aca="false">IF(OR($L2114="",$F2114=""),"",IFERROR($L2114/INDEX(Cadastro!$E$6:$E$8,MATCH($F2114,Cadastro!$B$6:$B$8,0)),""))</f>
        <v/>
      </c>
      <c r="N2114" s="43" t="str">
        <f aca="false">IF(OR($L2114="",$I2114="",$I2114=0),"",$L2114/$I2114)</f>
        <v/>
      </c>
      <c r="O2114" s="51"/>
    </row>
    <row r="2115" customFormat="false" ht="15" hidden="false" customHeight="false" outlineLevel="0" collapsed="false">
      <c r="A2115" s="45"/>
      <c r="B2115" s="37" t="str">
        <f aca="false">IF($A2115="","",WEEKNUM($A2115,2))</f>
        <v/>
      </c>
      <c r="C2115" s="37" t="str">
        <f aca="false">IF($A2115="","",CHOOSE(WEEKDAY($A2115,2),"Seg","Ter","Qua","Qui","Sex","Sáb","Dom"))</f>
        <v/>
      </c>
      <c r="D2115" s="46"/>
      <c r="E2115" s="47"/>
      <c r="F2115" s="47"/>
      <c r="G2115" s="48"/>
      <c r="H2115" s="49"/>
      <c r="I2115" s="50"/>
      <c r="J2115" s="48"/>
      <c r="K2115" s="49"/>
      <c r="L2115" s="50"/>
      <c r="M2115" s="43" t="str">
        <f aca="false">IF(OR($L2115="",$F2115=""),"",IFERROR($L2115/INDEX(Cadastro!$E$6:$E$8,MATCH($F2115,Cadastro!$B$6:$B$8,0)),""))</f>
        <v/>
      </c>
      <c r="N2115" s="43" t="str">
        <f aca="false">IF(OR($L2115="",$I2115="",$I2115=0),"",$L2115/$I2115)</f>
        <v/>
      </c>
      <c r="O2115" s="51"/>
    </row>
    <row r="2116" customFormat="false" ht="15" hidden="false" customHeight="false" outlineLevel="0" collapsed="false">
      <c r="A2116" s="45"/>
      <c r="B2116" s="37" t="str">
        <f aca="false">IF($A2116="","",WEEKNUM($A2116,2))</f>
        <v/>
      </c>
      <c r="C2116" s="37" t="str">
        <f aca="false">IF($A2116="","",CHOOSE(WEEKDAY($A2116,2),"Seg","Ter","Qua","Qui","Sex","Sáb","Dom"))</f>
        <v/>
      </c>
      <c r="D2116" s="46"/>
      <c r="E2116" s="47"/>
      <c r="F2116" s="47"/>
      <c r="G2116" s="48"/>
      <c r="H2116" s="49"/>
      <c r="I2116" s="50"/>
      <c r="J2116" s="48"/>
      <c r="K2116" s="49"/>
      <c r="L2116" s="50"/>
      <c r="M2116" s="43" t="str">
        <f aca="false">IF(OR($L2116="",$F2116=""),"",IFERROR($L2116/INDEX(Cadastro!$E$6:$E$8,MATCH($F2116,Cadastro!$B$6:$B$8,0)),""))</f>
        <v/>
      </c>
      <c r="N2116" s="43" t="str">
        <f aca="false">IF(OR($L2116="",$I2116="",$I2116=0),"",$L2116/$I2116)</f>
        <v/>
      </c>
      <c r="O2116" s="51"/>
    </row>
    <row r="2117" customFormat="false" ht="15" hidden="false" customHeight="false" outlineLevel="0" collapsed="false">
      <c r="A2117" s="45"/>
      <c r="B2117" s="37" t="str">
        <f aca="false">IF($A2117="","",WEEKNUM($A2117,2))</f>
        <v/>
      </c>
      <c r="C2117" s="37" t="str">
        <f aca="false">IF($A2117="","",CHOOSE(WEEKDAY($A2117,2),"Seg","Ter","Qua","Qui","Sex","Sáb","Dom"))</f>
        <v/>
      </c>
      <c r="D2117" s="46"/>
      <c r="E2117" s="47"/>
      <c r="F2117" s="47"/>
      <c r="G2117" s="48"/>
      <c r="H2117" s="49"/>
      <c r="I2117" s="50"/>
      <c r="J2117" s="48"/>
      <c r="K2117" s="49"/>
      <c r="L2117" s="50"/>
      <c r="M2117" s="43" t="str">
        <f aca="false">IF(OR($L2117="",$F2117=""),"",IFERROR($L2117/INDEX(Cadastro!$E$6:$E$8,MATCH($F2117,Cadastro!$B$6:$B$8,0)),""))</f>
        <v/>
      </c>
      <c r="N2117" s="43" t="str">
        <f aca="false">IF(OR($L2117="",$I2117="",$I2117=0),"",$L2117/$I2117)</f>
        <v/>
      </c>
      <c r="O2117" s="51"/>
    </row>
    <row r="2118" customFormat="false" ht="15" hidden="false" customHeight="false" outlineLevel="0" collapsed="false">
      <c r="A2118" s="45"/>
      <c r="B2118" s="37" t="str">
        <f aca="false">IF($A2118="","",WEEKNUM($A2118,2))</f>
        <v/>
      </c>
      <c r="C2118" s="37" t="str">
        <f aca="false">IF($A2118="","",CHOOSE(WEEKDAY($A2118,2),"Seg","Ter","Qua","Qui","Sex","Sáb","Dom"))</f>
        <v/>
      </c>
      <c r="D2118" s="46"/>
      <c r="E2118" s="47"/>
      <c r="F2118" s="47"/>
      <c r="G2118" s="48"/>
      <c r="H2118" s="49"/>
      <c r="I2118" s="50"/>
      <c r="J2118" s="48"/>
      <c r="K2118" s="49"/>
      <c r="L2118" s="50"/>
      <c r="M2118" s="43" t="str">
        <f aca="false">IF(OR($L2118="",$F2118=""),"",IFERROR($L2118/INDEX(Cadastro!$E$6:$E$8,MATCH($F2118,Cadastro!$B$6:$B$8,0)),""))</f>
        <v/>
      </c>
      <c r="N2118" s="43" t="str">
        <f aca="false">IF(OR($L2118="",$I2118="",$I2118=0),"",$L2118/$I2118)</f>
        <v/>
      </c>
      <c r="O2118" s="51"/>
    </row>
    <row r="2119" customFormat="false" ht="15" hidden="false" customHeight="false" outlineLevel="0" collapsed="false">
      <c r="A2119" s="45"/>
      <c r="B2119" s="37" t="str">
        <f aca="false">IF($A2119="","",WEEKNUM($A2119,2))</f>
        <v/>
      </c>
      <c r="C2119" s="37" t="str">
        <f aca="false">IF($A2119="","",CHOOSE(WEEKDAY($A2119,2),"Seg","Ter","Qua","Qui","Sex","Sáb","Dom"))</f>
        <v/>
      </c>
      <c r="D2119" s="46"/>
      <c r="E2119" s="47"/>
      <c r="F2119" s="47"/>
      <c r="G2119" s="48"/>
      <c r="H2119" s="49"/>
      <c r="I2119" s="50"/>
      <c r="J2119" s="48"/>
      <c r="K2119" s="49"/>
      <c r="L2119" s="50"/>
      <c r="M2119" s="43" t="str">
        <f aca="false">IF(OR($L2119="",$F2119=""),"",IFERROR($L2119/INDEX(Cadastro!$E$6:$E$8,MATCH($F2119,Cadastro!$B$6:$B$8,0)),""))</f>
        <v/>
      </c>
      <c r="N2119" s="43" t="str">
        <f aca="false">IF(OR($L2119="",$I2119="",$I2119=0),"",$L2119/$I2119)</f>
        <v/>
      </c>
      <c r="O2119" s="51"/>
    </row>
    <row r="2120" customFormat="false" ht="15" hidden="false" customHeight="false" outlineLevel="0" collapsed="false">
      <c r="A2120" s="45"/>
      <c r="B2120" s="37" t="str">
        <f aca="false">IF($A2120="","",WEEKNUM($A2120,2))</f>
        <v/>
      </c>
      <c r="C2120" s="37" t="str">
        <f aca="false">IF($A2120="","",CHOOSE(WEEKDAY($A2120,2),"Seg","Ter","Qua","Qui","Sex","Sáb","Dom"))</f>
        <v/>
      </c>
      <c r="D2120" s="46"/>
      <c r="E2120" s="47"/>
      <c r="F2120" s="47"/>
      <c r="G2120" s="48"/>
      <c r="H2120" s="49"/>
      <c r="I2120" s="50"/>
      <c r="J2120" s="48"/>
      <c r="K2120" s="49"/>
      <c r="L2120" s="50"/>
      <c r="M2120" s="43" t="str">
        <f aca="false">IF(OR($L2120="",$F2120=""),"",IFERROR($L2120/INDEX(Cadastro!$E$6:$E$8,MATCH($F2120,Cadastro!$B$6:$B$8,0)),""))</f>
        <v/>
      </c>
      <c r="N2120" s="43" t="str">
        <f aca="false">IF(OR($L2120="",$I2120="",$I2120=0),"",$L2120/$I2120)</f>
        <v/>
      </c>
      <c r="O2120" s="51"/>
    </row>
    <row r="2121" customFormat="false" ht="15" hidden="false" customHeight="false" outlineLevel="0" collapsed="false">
      <c r="A2121" s="45"/>
      <c r="B2121" s="37" t="str">
        <f aca="false">IF($A2121="","",WEEKNUM($A2121,2))</f>
        <v/>
      </c>
      <c r="C2121" s="37" t="str">
        <f aca="false">IF($A2121="","",CHOOSE(WEEKDAY($A2121,2),"Seg","Ter","Qua","Qui","Sex","Sáb","Dom"))</f>
        <v/>
      </c>
      <c r="D2121" s="46"/>
      <c r="E2121" s="47"/>
      <c r="F2121" s="47"/>
      <c r="G2121" s="48"/>
      <c r="H2121" s="49"/>
      <c r="I2121" s="50"/>
      <c r="J2121" s="48"/>
      <c r="K2121" s="49"/>
      <c r="L2121" s="50"/>
      <c r="M2121" s="43" t="str">
        <f aca="false">IF(OR($L2121="",$F2121=""),"",IFERROR($L2121/INDEX(Cadastro!$E$6:$E$8,MATCH($F2121,Cadastro!$B$6:$B$8,0)),""))</f>
        <v/>
      </c>
      <c r="N2121" s="43" t="str">
        <f aca="false">IF(OR($L2121="",$I2121="",$I2121=0),"",$L2121/$I2121)</f>
        <v/>
      </c>
      <c r="O2121" s="51"/>
    </row>
    <row r="2122" customFormat="false" ht="15" hidden="false" customHeight="false" outlineLevel="0" collapsed="false">
      <c r="A2122" s="45"/>
      <c r="B2122" s="37" t="str">
        <f aca="false">IF($A2122="","",WEEKNUM($A2122,2))</f>
        <v/>
      </c>
      <c r="C2122" s="37" t="str">
        <f aca="false">IF($A2122="","",CHOOSE(WEEKDAY($A2122,2),"Seg","Ter","Qua","Qui","Sex","Sáb","Dom"))</f>
        <v/>
      </c>
      <c r="D2122" s="46"/>
      <c r="E2122" s="47"/>
      <c r="F2122" s="47"/>
      <c r="G2122" s="48"/>
      <c r="H2122" s="49"/>
      <c r="I2122" s="50"/>
      <c r="J2122" s="48"/>
      <c r="K2122" s="49"/>
      <c r="L2122" s="50"/>
      <c r="M2122" s="43" t="str">
        <f aca="false">IF(OR($L2122="",$F2122=""),"",IFERROR($L2122/INDEX(Cadastro!$E$6:$E$8,MATCH($F2122,Cadastro!$B$6:$B$8,0)),""))</f>
        <v/>
      </c>
      <c r="N2122" s="43" t="str">
        <f aca="false">IF(OR($L2122="",$I2122="",$I2122=0),"",$L2122/$I2122)</f>
        <v/>
      </c>
      <c r="O2122" s="51"/>
    </row>
    <row r="2123" customFormat="false" ht="15" hidden="false" customHeight="false" outlineLevel="0" collapsed="false">
      <c r="A2123" s="45"/>
      <c r="B2123" s="37" t="str">
        <f aca="false">IF($A2123="","",WEEKNUM($A2123,2))</f>
        <v/>
      </c>
      <c r="C2123" s="37" t="str">
        <f aca="false">IF($A2123="","",CHOOSE(WEEKDAY($A2123,2),"Seg","Ter","Qua","Qui","Sex","Sáb","Dom"))</f>
        <v/>
      </c>
      <c r="D2123" s="46"/>
      <c r="E2123" s="47"/>
      <c r="F2123" s="47"/>
      <c r="G2123" s="48"/>
      <c r="H2123" s="49"/>
      <c r="I2123" s="50"/>
      <c r="J2123" s="48"/>
      <c r="K2123" s="49"/>
      <c r="L2123" s="50"/>
      <c r="M2123" s="43" t="str">
        <f aca="false">IF(OR($L2123="",$F2123=""),"",IFERROR($L2123/INDEX(Cadastro!$E$6:$E$8,MATCH($F2123,Cadastro!$B$6:$B$8,0)),""))</f>
        <v/>
      </c>
      <c r="N2123" s="43" t="str">
        <f aca="false">IF(OR($L2123="",$I2123="",$I2123=0),"",$L2123/$I2123)</f>
        <v/>
      </c>
      <c r="O2123" s="51"/>
    </row>
    <row r="2124" customFormat="false" ht="15" hidden="false" customHeight="false" outlineLevel="0" collapsed="false">
      <c r="A2124" s="45"/>
      <c r="B2124" s="37" t="str">
        <f aca="false">IF($A2124="","",WEEKNUM($A2124,2))</f>
        <v/>
      </c>
      <c r="C2124" s="37" t="str">
        <f aca="false">IF($A2124="","",CHOOSE(WEEKDAY($A2124,2),"Seg","Ter","Qua","Qui","Sex","Sáb","Dom"))</f>
        <v/>
      </c>
      <c r="D2124" s="46"/>
      <c r="E2124" s="47"/>
      <c r="F2124" s="47"/>
      <c r="G2124" s="48"/>
      <c r="H2124" s="49"/>
      <c r="I2124" s="50"/>
      <c r="J2124" s="48"/>
      <c r="K2124" s="49"/>
      <c r="L2124" s="50"/>
      <c r="M2124" s="43" t="str">
        <f aca="false">IF(OR($L2124="",$F2124=""),"",IFERROR($L2124/INDEX(Cadastro!$E$6:$E$8,MATCH($F2124,Cadastro!$B$6:$B$8,0)),""))</f>
        <v/>
      </c>
      <c r="N2124" s="43" t="str">
        <f aca="false">IF(OR($L2124="",$I2124="",$I2124=0),"",$L2124/$I2124)</f>
        <v/>
      </c>
      <c r="O2124" s="51"/>
    </row>
    <row r="2125" customFormat="false" ht="15" hidden="false" customHeight="false" outlineLevel="0" collapsed="false">
      <c r="A2125" s="45"/>
      <c r="B2125" s="37" t="str">
        <f aca="false">IF($A2125="","",WEEKNUM($A2125,2))</f>
        <v/>
      </c>
      <c r="C2125" s="37" t="str">
        <f aca="false">IF($A2125="","",CHOOSE(WEEKDAY($A2125,2),"Seg","Ter","Qua","Qui","Sex","Sáb","Dom"))</f>
        <v/>
      </c>
      <c r="D2125" s="46"/>
      <c r="E2125" s="47"/>
      <c r="F2125" s="47"/>
      <c r="G2125" s="48"/>
      <c r="H2125" s="49"/>
      <c r="I2125" s="50"/>
      <c r="J2125" s="48"/>
      <c r="K2125" s="49"/>
      <c r="L2125" s="50"/>
      <c r="M2125" s="43" t="str">
        <f aca="false">IF(OR($L2125="",$F2125=""),"",IFERROR($L2125/INDEX(Cadastro!$E$6:$E$8,MATCH($F2125,Cadastro!$B$6:$B$8,0)),""))</f>
        <v/>
      </c>
      <c r="N2125" s="43" t="str">
        <f aca="false">IF(OR($L2125="",$I2125="",$I2125=0),"",$L2125/$I2125)</f>
        <v/>
      </c>
      <c r="O2125" s="51"/>
    </row>
    <row r="2126" customFormat="false" ht="15" hidden="false" customHeight="false" outlineLevel="0" collapsed="false">
      <c r="A2126" s="45"/>
      <c r="B2126" s="37" t="str">
        <f aca="false">IF($A2126="","",WEEKNUM($A2126,2))</f>
        <v/>
      </c>
      <c r="C2126" s="37" t="str">
        <f aca="false">IF($A2126="","",CHOOSE(WEEKDAY($A2126,2),"Seg","Ter","Qua","Qui","Sex","Sáb","Dom"))</f>
        <v/>
      </c>
      <c r="D2126" s="46"/>
      <c r="E2126" s="47"/>
      <c r="F2126" s="47"/>
      <c r="G2126" s="48"/>
      <c r="H2126" s="49"/>
      <c r="I2126" s="50"/>
      <c r="J2126" s="48"/>
      <c r="K2126" s="49"/>
      <c r="L2126" s="50"/>
      <c r="M2126" s="43" t="str">
        <f aca="false">IF(OR($L2126="",$F2126=""),"",IFERROR($L2126/INDEX(Cadastro!$E$6:$E$8,MATCH($F2126,Cadastro!$B$6:$B$8,0)),""))</f>
        <v/>
      </c>
      <c r="N2126" s="43" t="str">
        <f aca="false">IF(OR($L2126="",$I2126="",$I2126=0),"",$L2126/$I2126)</f>
        <v/>
      </c>
      <c r="O2126" s="51"/>
    </row>
    <row r="2127" customFormat="false" ht="15" hidden="false" customHeight="false" outlineLevel="0" collapsed="false">
      <c r="A2127" s="45"/>
      <c r="B2127" s="37" t="str">
        <f aca="false">IF($A2127="","",WEEKNUM($A2127,2))</f>
        <v/>
      </c>
      <c r="C2127" s="37" t="str">
        <f aca="false">IF($A2127="","",CHOOSE(WEEKDAY($A2127,2),"Seg","Ter","Qua","Qui","Sex","Sáb","Dom"))</f>
        <v/>
      </c>
      <c r="D2127" s="46"/>
      <c r="E2127" s="47"/>
      <c r="F2127" s="47"/>
      <c r="G2127" s="48"/>
      <c r="H2127" s="49"/>
      <c r="I2127" s="50"/>
      <c r="J2127" s="48"/>
      <c r="K2127" s="49"/>
      <c r="L2127" s="50"/>
      <c r="M2127" s="43" t="str">
        <f aca="false">IF(OR($L2127="",$F2127=""),"",IFERROR($L2127/INDEX(Cadastro!$E$6:$E$8,MATCH($F2127,Cadastro!$B$6:$B$8,0)),""))</f>
        <v/>
      </c>
      <c r="N2127" s="43" t="str">
        <f aca="false">IF(OR($L2127="",$I2127="",$I2127=0),"",$L2127/$I2127)</f>
        <v/>
      </c>
      <c r="O2127" s="51"/>
    </row>
    <row r="2128" customFormat="false" ht="15" hidden="false" customHeight="false" outlineLevel="0" collapsed="false">
      <c r="A2128" s="45"/>
      <c r="B2128" s="37" t="str">
        <f aca="false">IF($A2128="","",WEEKNUM($A2128,2))</f>
        <v/>
      </c>
      <c r="C2128" s="37" t="str">
        <f aca="false">IF($A2128="","",CHOOSE(WEEKDAY($A2128,2),"Seg","Ter","Qua","Qui","Sex","Sáb","Dom"))</f>
        <v/>
      </c>
      <c r="D2128" s="46"/>
      <c r="E2128" s="47"/>
      <c r="F2128" s="47"/>
      <c r="G2128" s="48"/>
      <c r="H2128" s="49"/>
      <c r="I2128" s="50"/>
      <c r="J2128" s="48"/>
      <c r="K2128" s="49"/>
      <c r="L2128" s="50"/>
      <c r="M2128" s="43" t="str">
        <f aca="false">IF(OR($L2128="",$F2128=""),"",IFERROR($L2128/INDEX(Cadastro!$E$6:$E$8,MATCH($F2128,Cadastro!$B$6:$B$8,0)),""))</f>
        <v/>
      </c>
      <c r="N2128" s="43" t="str">
        <f aca="false">IF(OR($L2128="",$I2128="",$I2128=0),"",$L2128/$I2128)</f>
        <v/>
      </c>
      <c r="O2128" s="51"/>
    </row>
    <row r="2129" customFormat="false" ht="15" hidden="false" customHeight="false" outlineLevel="0" collapsed="false">
      <c r="A2129" s="45"/>
      <c r="B2129" s="37" t="str">
        <f aca="false">IF($A2129="","",WEEKNUM($A2129,2))</f>
        <v/>
      </c>
      <c r="C2129" s="37" t="str">
        <f aca="false">IF($A2129="","",CHOOSE(WEEKDAY($A2129,2),"Seg","Ter","Qua","Qui","Sex","Sáb","Dom"))</f>
        <v/>
      </c>
      <c r="D2129" s="46"/>
      <c r="E2129" s="47"/>
      <c r="F2129" s="47"/>
      <c r="G2129" s="48"/>
      <c r="H2129" s="49"/>
      <c r="I2129" s="50"/>
      <c r="J2129" s="48"/>
      <c r="K2129" s="49"/>
      <c r="L2129" s="50"/>
      <c r="M2129" s="43" t="str">
        <f aca="false">IF(OR($L2129="",$F2129=""),"",IFERROR($L2129/INDEX(Cadastro!$E$6:$E$8,MATCH($F2129,Cadastro!$B$6:$B$8,0)),""))</f>
        <v/>
      </c>
      <c r="N2129" s="43" t="str">
        <f aca="false">IF(OR($L2129="",$I2129="",$I2129=0),"",$L2129/$I2129)</f>
        <v/>
      </c>
      <c r="O2129" s="51"/>
    </row>
    <row r="2130" customFormat="false" ht="15" hidden="false" customHeight="false" outlineLevel="0" collapsed="false">
      <c r="A2130" s="45"/>
      <c r="B2130" s="37" t="str">
        <f aca="false">IF($A2130="","",WEEKNUM($A2130,2))</f>
        <v/>
      </c>
      <c r="C2130" s="37" t="str">
        <f aca="false">IF($A2130="","",CHOOSE(WEEKDAY($A2130,2),"Seg","Ter","Qua","Qui","Sex","Sáb","Dom"))</f>
        <v/>
      </c>
      <c r="D2130" s="46"/>
      <c r="E2130" s="47"/>
      <c r="F2130" s="47"/>
      <c r="G2130" s="48"/>
      <c r="H2130" s="49"/>
      <c r="I2130" s="50"/>
      <c r="J2130" s="48"/>
      <c r="K2130" s="49"/>
      <c r="L2130" s="50"/>
      <c r="M2130" s="43" t="str">
        <f aca="false">IF(OR($L2130="",$F2130=""),"",IFERROR($L2130/INDEX(Cadastro!$E$6:$E$8,MATCH($F2130,Cadastro!$B$6:$B$8,0)),""))</f>
        <v/>
      </c>
      <c r="N2130" s="43" t="str">
        <f aca="false">IF(OR($L2130="",$I2130="",$I2130=0),"",$L2130/$I2130)</f>
        <v/>
      </c>
      <c r="O2130" s="51"/>
    </row>
    <row r="2131" customFormat="false" ht="15" hidden="false" customHeight="false" outlineLevel="0" collapsed="false">
      <c r="A2131" s="45"/>
      <c r="B2131" s="37" t="str">
        <f aca="false">IF($A2131="","",WEEKNUM($A2131,2))</f>
        <v/>
      </c>
      <c r="C2131" s="37" t="str">
        <f aca="false">IF($A2131="","",CHOOSE(WEEKDAY($A2131,2),"Seg","Ter","Qua","Qui","Sex","Sáb","Dom"))</f>
        <v/>
      </c>
      <c r="D2131" s="46"/>
      <c r="E2131" s="47"/>
      <c r="F2131" s="47"/>
      <c r="G2131" s="48"/>
      <c r="H2131" s="49"/>
      <c r="I2131" s="50"/>
      <c r="J2131" s="48"/>
      <c r="K2131" s="49"/>
      <c r="L2131" s="50"/>
      <c r="M2131" s="43" t="str">
        <f aca="false">IF(OR($L2131="",$F2131=""),"",IFERROR($L2131/INDEX(Cadastro!$E$6:$E$8,MATCH($F2131,Cadastro!$B$6:$B$8,0)),""))</f>
        <v/>
      </c>
      <c r="N2131" s="43" t="str">
        <f aca="false">IF(OR($L2131="",$I2131="",$I2131=0),"",$L2131/$I2131)</f>
        <v/>
      </c>
      <c r="O2131" s="51"/>
    </row>
    <row r="2132" customFormat="false" ht="15" hidden="false" customHeight="false" outlineLevel="0" collapsed="false">
      <c r="A2132" s="45"/>
      <c r="B2132" s="37" t="str">
        <f aca="false">IF($A2132="","",WEEKNUM($A2132,2))</f>
        <v/>
      </c>
      <c r="C2132" s="37" t="str">
        <f aca="false">IF($A2132="","",CHOOSE(WEEKDAY($A2132,2),"Seg","Ter","Qua","Qui","Sex","Sáb","Dom"))</f>
        <v/>
      </c>
      <c r="D2132" s="46"/>
      <c r="E2132" s="47"/>
      <c r="F2132" s="47"/>
      <c r="G2132" s="48"/>
      <c r="H2132" s="49"/>
      <c r="I2132" s="50"/>
      <c r="J2132" s="48"/>
      <c r="K2132" s="49"/>
      <c r="L2132" s="50"/>
      <c r="M2132" s="43" t="str">
        <f aca="false">IF(OR($L2132="",$F2132=""),"",IFERROR($L2132/INDEX(Cadastro!$E$6:$E$8,MATCH($F2132,Cadastro!$B$6:$B$8,0)),""))</f>
        <v/>
      </c>
      <c r="N2132" s="43" t="str">
        <f aca="false">IF(OR($L2132="",$I2132="",$I2132=0),"",$L2132/$I2132)</f>
        <v/>
      </c>
      <c r="O2132" s="51"/>
    </row>
    <row r="2133" customFormat="false" ht="15" hidden="false" customHeight="false" outlineLevel="0" collapsed="false">
      <c r="A2133" s="45"/>
      <c r="B2133" s="37" t="str">
        <f aca="false">IF($A2133="","",WEEKNUM($A2133,2))</f>
        <v/>
      </c>
      <c r="C2133" s="37" t="str">
        <f aca="false">IF($A2133="","",CHOOSE(WEEKDAY($A2133,2),"Seg","Ter","Qua","Qui","Sex","Sáb","Dom"))</f>
        <v/>
      </c>
      <c r="D2133" s="46"/>
      <c r="E2133" s="47"/>
      <c r="F2133" s="47"/>
      <c r="G2133" s="48"/>
      <c r="H2133" s="49"/>
      <c r="I2133" s="50"/>
      <c r="J2133" s="48"/>
      <c r="K2133" s="49"/>
      <c r="L2133" s="50"/>
      <c r="M2133" s="43" t="str">
        <f aca="false">IF(OR($L2133="",$F2133=""),"",IFERROR($L2133/INDEX(Cadastro!$E$6:$E$8,MATCH($F2133,Cadastro!$B$6:$B$8,0)),""))</f>
        <v/>
      </c>
      <c r="N2133" s="43" t="str">
        <f aca="false">IF(OR($L2133="",$I2133="",$I2133=0),"",$L2133/$I2133)</f>
        <v/>
      </c>
      <c r="O2133" s="51"/>
    </row>
    <row r="2134" customFormat="false" ht="15" hidden="false" customHeight="false" outlineLevel="0" collapsed="false">
      <c r="A2134" s="45"/>
      <c r="B2134" s="37" t="str">
        <f aca="false">IF($A2134="","",WEEKNUM($A2134,2))</f>
        <v/>
      </c>
      <c r="C2134" s="37" t="str">
        <f aca="false">IF($A2134="","",CHOOSE(WEEKDAY($A2134,2),"Seg","Ter","Qua","Qui","Sex","Sáb","Dom"))</f>
        <v/>
      </c>
      <c r="D2134" s="46"/>
      <c r="E2134" s="47"/>
      <c r="F2134" s="47"/>
      <c r="G2134" s="48"/>
      <c r="H2134" s="49"/>
      <c r="I2134" s="50"/>
      <c r="J2134" s="48"/>
      <c r="K2134" s="49"/>
      <c r="L2134" s="50"/>
      <c r="M2134" s="43" t="str">
        <f aca="false">IF(OR($L2134="",$F2134=""),"",IFERROR($L2134/INDEX(Cadastro!$E$6:$E$8,MATCH($F2134,Cadastro!$B$6:$B$8,0)),""))</f>
        <v/>
      </c>
      <c r="N2134" s="43" t="str">
        <f aca="false">IF(OR($L2134="",$I2134="",$I2134=0),"",$L2134/$I2134)</f>
        <v/>
      </c>
      <c r="O2134" s="51"/>
    </row>
    <row r="2135" customFormat="false" ht="15" hidden="false" customHeight="false" outlineLevel="0" collapsed="false">
      <c r="A2135" s="45"/>
      <c r="B2135" s="37" t="str">
        <f aca="false">IF($A2135="","",WEEKNUM($A2135,2))</f>
        <v/>
      </c>
      <c r="C2135" s="37" t="str">
        <f aca="false">IF($A2135="","",CHOOSE(WEEKDAY($A2135,2),"Seg","Ter","Qua","Qui","Sex","Sáb","Dom"))</f>
        <v/>
      </c>
      <c r="D2135" s="46"/>
      <c r="E2135" s="47"/>
      <c r="F2135" s="47"/>
      <c r="G2135" s="48"/>
      <c r="H2135" s="49"/>
      <c r="I2135" s="50"/>
      <c r="J2135" s="48"/>
      <c r="K2135" s="49"/>
      <c r="L2135" s="50"/>
      <c r="M2135" s="43" t="str">
        <f aca="false">IF(OR($L2135="",$F2135=""),"",IFERROR($L2135/INDEX(Cadastro!$E$6:$E$8,MATCH($F2135,Cadastro!$B$6:$B$8,0)),""))</f>
        <v/>
      </c>
      <c r="N2135" s="43" t="str">
        <f aca="false">IF(OR($L2135="",$I2135="",$I2135=0),"",$L2135/$I2135)</f>
        <v/>
      </c>
      <c r="O2135" s="51"/>
    </row>
    <row r="2136" customFormat="false" ht="15" hidden="false" customHeight="false" outlineLevel="0" collapsed="false">
      <c r="A2136" s="45"/>
      <c r="B2136" s="37" t="str">
        <f aca="false">IF($A2136="","",WEEKNUM($A2136,2))</f>
        <v/>
      </c>
      <c r="C2136" s="37" t="str">
        <f aca="false">IF($A2136="","",CHOOSE(WEEKDAY($A2136,2),"Seg","Ter","Qua","Qui","Sex","Sáb","Dom"))</f>
        <v/>
      </c>
      <c r="D2136" s="46"/>
      <c r="E2136" s="47"/>
      <c r="F2136" s="47"/>
      <c r="G2136" s="48"/>
      <c r="H2136" s="49"/>
      <c r="I2136" s="50"/>
      <c r="J2136" s="48"/>
      <c r="K2136" s="49"/>
      <c r="L2136" s="50"/>
      <c r="M2136" s="43" t="str">
        <f aca="false">IF(OR($L2136="",$F2136=""),"",IFERROR($L2136/INDEX(Cadastro!$E$6:$E$8,MATCH($F2136,Cadastro!$B$6:$B$8,0)),""))</f>
        <v/>
      </c>
      <c r="N2136" s="43" t="str">
        <f aca="false">IF(OR($L2136="",$I2136="",$I2136=0),"",$L2136/$I2136)</f>
        <v/>
      </c>
      <c r="O2136" s="51"/>
    </row>
    <row r="2137" customFormat="false" ht="15" hidden="false" customHeight="false" outlineLevel="0" collapsed="false">
      <c r="A2137" s="45"/>
      <c r="B2137" s="37" t="str">
        <f aca="false">IF($A2137="","",WEEKNUM($A2137,2))</f>
        <v/>
      </c>
      <c r="C2137" s="37" t="str">
        <f aca="false">IF($A2137="","",CHOOSE(WEEKDAY($A2137,2),"Seg","Ter","Qua","Qui","Sex","Sáb","Dom"))</f>
        <v/>
      </c>
      <c r="D2137" s="46"/>
      <c r="E2137" s="47"/>
      <c r="F2137" s="47"/>
      <c r="G2137" s="48"/>
      <c r="H2137" s="49"/>
      <c r="I2137" s="50"/>
      <c r="J2137" s="48"/>
      <c r="K2137" s="49"/>
      <c r="L2137" s="50"/>
      <c r="M2137" s="43" t="str">
        <f aca="false">IF(OR($L2137="",$F2137=""),"",IFERROR($L2137/INDEX(Cadastro!$E$6:$E$8,MATCH($F2137,Cadastro!$B$6:$B$8,0)),""))</f>
        <v/>
      </c>
      <c r="N2137" s="43" t="str">
        <f aca="false">IF(OR($L2137="",$I2137="",$I2137=0),"",$L2137/$I2137)</f>
        <v/>
      </c>
      <c r="O2137" s="51"/>
    </row>
    <row r="2138" customFormat="false" ht="15" hidden="false" customHeight="false" outlineLevel="0" collapsed="false">
      <c r="A2138" s="45"/>
      <c r="B2138" s="37" t="str">
        <f aca="false">IF($A2138="","",WEEKNUM($A2138,2))</f>
        <v/>
      </c>
      <c r="C2138" s="37" t="str">
        <f aca="false">IF($A2138="","",CHOOSE(WEEKDAY($A2138,2),"Seg","Ter","Qua","Qui","Sex","Sáb","Dom"))</f>
        <v/>
      </c>
      <c r="D2138" s="46"/>
      <c r="E2138" s="47"/>
      <c r="F2138" s="47"/>
      <c r="G2138" s="48"/>
      <c r="H2138" s="49"/>
      <c r="I2138" s="50"/>
      <c r="J2138" s="48"/>
      <c r="K2138" s="49"/>
      <c r="L2138" s="50"/>
      <c r="M2138" s="43" t="str">
        <f aca="false">IF(OR($L2138="",$F2138=""),"",IFERROR($L2138/INDEX(Cadastro!$E$6:$E$8,MATCH($F2138,Cadastro!$B$6:$B$8,0)),""))</f>
        <v/>
      </c>
      <c r="N2138" s="43" t="str">
        <f aca="false">IF(OR($L2138="",$I2138="",$I2138=0),"",$L2138/$I2138)</f>
        <v/>
      </c>
      <c r="O2138" s="51"/>
    </row>
    <row r="2139" customFormat="false" ht="15" hidden="false" customHeight="false" outlineLevel="0" collapsed="false">
      <c r="A2139" s="45"/>
      <c r="B2139" s="37" t="str">
        <f aca="false">IF($A2139="","",WEEKNUM($A2139,2))</f>
        <v/>
      </c>
      <c r="C2139" s="37" t="str">
        <f aca="false">IF($A2139="","",CHOOSE(WEEKDAY($A2139,2),"Seg","Ter","Qua","Qui","Sex","Sáb","Dom"))</f>
        <v/>
      </c>
      <c r="D2139" s="46"/>
      <c r="E2139" s="47"/>
      <c r="F2139" s="47"/>
      <c r="G2139" s="48"/>
      <c r="H2139" s="49"/>
      <c r="I2139" s="50"/>
      <c r="J2139" s="48"/>
      <c r="K2139" s="49"/>
      <c r="L2139" s="50"/>
      <c r="M2139" s="43" t="str">
        <f aca="false">IF(OR($L2139="",$F2139=""),"",IFERROR($L2139/INDEX(Cadastro!$E$6:$E$8,MATCH($F2139,Cadastro!$B$6:$B$8,0)),""))</f>
        <v/>
      </c>
      <c r="N2139" s="43" t="str">
        <f aca="false">IF(OR($L2139="",$I2139="",$I2139=0),"",$L2139/$I2139)</f>
        <v/>
      </c>
      <c r="O2139" s="51"/>
    </row>
    <row r="2140" customFormat="false" ht="15" hidden="false" customHeight="false" outlineLevel="0" collapsed="false">
      <c r="A2140" s="45"/>
      <c r="B2140" s="37" t="str">
        <f aca="false">IF($A2140="","",WEEKNUM($A2140,2))</f>
        <v/>
      </c>
      <c r="C2140" s="37" t="str">
        <f aca="false">IF($A2140="","",CHOOSE(WEEKDAY($A2140,2),"Seg","Ter","Qua","Qui","Sex","Sáb","Dom"))</f>
        <v/>
      </c>
      <c r="D2140" s="46"/>
      <c r="E2140" s="47"/>
      <c r="F2140" s="47"/>
      <c r="G2140" s="48"/>
      <c r="H2140" s="49"/>
      <c r="I2140" s="50"/>
      <c r="J2140" s="48"/>
      <c r="K2140" s="49"/>
      <c r="L2140" s="50"/>
      <c r="M2140" s="43" t="str">
        <f aca="false">IF(OR($L2140="",$F2140=""),"",IFERROR($L2140/INDEX(Cadastro!$E$6:$E$8,MATCH($F2140,Cadastro!$B$6:$B$8,0)),""))</f>
        <v/>
      </c>
      <c r="N2140" s="43" t="str">
        <f aca="false">IF(OR($L2140="",$I2140="",$I2140=0),"",$L2140/$I2140)</f>
        <v/>
      </c>
      <c r="O2140" s="51"/>
    </row>
    <row r="2141" customFormat="false" ht="15" hidden="false" customHeight="false" outlineLevel="0" collapsed="false">
      <c r="A2141" s="45"/>
      <c r="B2141" s="37" t="str">
        <f aca="false">IF($A2141="","",WEEKNUM($A2141,2))</f>
        <v/>
      </c>
      <c r="C2141" s="37" t="str">
        <f aca="false">IF($A2141="","",CHOOSE(WEEKDAY($A2141,2),"Seg","Ter","Qua","Qui","Sex","Sáb","Dom"))</f>
        <v/>
      </c>
      <c r="D2141" s="46"/>
      <c r="E2141" s="47"/>
      <c r="F2141" s="47"/>
      <c r="G2141" s="48"/>
      <c r="H2141" s="49"/>
      <c r="I2141" s="50"/>
      <c r="J2141" s="48"/>
      <c r="K2141" s="49"/>
      <c r="L2141" s="50"/>
      <c r="M2141" s="43" t="str">
        <f aca="false">IF(OR($L2141="",$F2141=""),"",IFERROR($L2141/INDEX(Cadastro!$E$6:$E$8,MATCH($F2141,Cadastro!$B$6:$B$8,0)),""))</f>
        <v/>
      </c>
      <c r="N2141" s="43" t="str">
        <f aca="false">IF(OR($L2141="",$I2141="",$I2141=0),"",$L2141/$I2141)</f>
        <v/>
      </c>
      <c r="O2141" s="51"/>
    </row>
    <row r="2142" customFormat="false" ht="15" hidden="false" customHeight="false" outlineLevel="0" collapsed="false">
      <c r="A2142" s="45"/>
      <c r="B2142" s="37" t="str">
        <f aca="false">IF($A2142="","",WEEKNUM($A2142,2))</f>
        <v/>
      </c>
      <c r="C2142" s="37" t="str">
        <f aca="false">IF($A2142="","",CHOOSE(WEEKDAY($A2142,2),"Seg","Ter","Qua","Qui","Sex","Sáb","Dom"))</f>
        <v/>
      </c>
      <c r="D2142" s="46"/>
      <c r="E2142" s="47"/>
      <c r="F2142" s="47"/>
      <c r="G2142" s="48"/>
      <c r="H2142" s="49"/>
      <c r="I2142" s="50"/>
      <c r="J2142" s="48"/>
      <c r="K2142" s="49"/>
      <c r="L2142" s="50"/>
      <c r="M2142" s="43" t="str">
        <f aca="false">IF(OR($L2142="",$F2142=""),"",IFERROR($L2142/INDEX(Cadastro!$E$6:$E$8,MATCH($F2142,Cadastro!$B$6:$B$8,0)),""))</f>
        <v/>
      </c>
      <c r="N2142" s="43" t="str">
        <f aca="false">IF(OR($L2142="",$I2142="",$I2142=0),"",$L2142/$I2142)</f>
        <v/>
      </c>
      <c r="O2142" s="51"/>
    </row>
    <row r="2143" customFormat="false" ht="15" hidden="false" customHeight="false" outlineLevel="0" collapsed="false">
      <c r="A2143" s="45"/>
      <c r="B2143" s="37" t="str">
        <f aca="false">IF($A2143="","",WEEKNUM($A2143,2))</f>
        <v/>
      </c>
      <c r="C2143" s="37" t="str">
        <f aca="false">IF($A2143="","",CHOOSE(WEEKDAY($A2143,2),"Seg","Ter","Qua","Qui","Sex","Sáb","Dom"))</f>
        <v/>
      </c>
      <c r="D2143" s="46"/>
      <c r="E2143" s="47"/>
      <c r="F2143" s="47"/>
      <c r="G2143" s="48"/>
      <c r="H2143" s="49"/>
      <c r="I2143" s="50"/>
      <c r="J2143" s="48"/>
      <c r="K2143" s="49"/>
      <c r="L2143" s="50"/>
      <c r="M2143" s="43" t="str">
        <f aca="false">IF(OR($L2143="",$F2143=""),"",IFERROR($L2143/INDEX(Cadastro!$E$6:$E$8,MATCH($F2143,Cadastro!$B$6:$B$8,0)),""))</f>
        <v/>
      </c>
      <c r="N2143" s="43" t="str">
        <f aca="false">IF(OR($L2143="",$I2143="",$I2143=0),"",$L2143/$I2143)</f>
        <v/>
      </c>
      <c r="O2143" s="51"/>
    </row>
    <row r="2144" customFormat="false" ht="15" hidden="false" customHeight="false" outlineLevel="0" collapsed="false">
      <c r="A2144" s="45"/>
      <c r="B2144" s="37" t="str">
        <f aca="false">IF($A2144="","",WEEKNUM($A2144,2))</f>
        <v/>
      </c>
      <c r="C2144" s="37" t="str">
        <f aca="false">IF($A2144="","",CHOOSE(WEEKDAY($A2144,2),"Seg","Ter","Qua","Qui","Sex","Sáb","Dom"))</f>
        <v/>
      </c>
      <c r="D2144" s="46"/>
      <c r="E2144" s="47"/>
      <c r="F2144" s="47"/>
      <c r="G2144" s="48"/>
      <c r="H2144" s="49"/>
      <c r="I2144" s="50"/>
      <c r="J2144" s="48"/>
      <c r="K2144" s="49"/>
      <c r="L2144" s="50"/>
      <c r="M2144" s="43" t="str">
        <f aca="false">IF(OR($L2144="",$F2144=""),"",IFERROR($L2144/INDEX(Cadastro!$E$6:$E$8,MATCH($F2144,Cadastro!$B$6:$B$8,0)),""))</f>
        <v/>
      </c>
      <c r="N2144" s="43" t="str">
        <f aca="false">IF(OR($L2144="",$I2144="",$I2144=0),"",$L2144/$I2144)</f>
        <v/>
      </c>
      <c r="O2144" s="51"/>
    </row>
    <row r="2145" customFormat="false" ht="15" hidden="false" customHeight="false" outlineLevel="0" collapsed="false">
      <c r="A2145" s="45"/>
      <c r="B2145" s="37" t="str">
        <f aca="false">IF($A2145="","",WEEKNUM($A2145,2))</f>
        <v/>
      </c>
      <c r="C2145" s="37" t="str">
        <f aca="false">IF($A2145="","",CHOOSE(WEEKDAY($A2145,2),"Seg","Ter","Qua","Qui","Sex","Sáb","Dom"))</f>
        <v/>
      </c>
      <c r="D2145" s="46"/>
      <c r="E2145" s="47"/>
      <c r="F2145" s="47"/>
      <c r="G2145" s="48"/>
      <c r="H2145" s="49"/>
      <c r="I2145" s="50"/>
      <c r="J2145" s="48"/>
      <c r="K2145" s="49"/>
      <c r="L2145" s="50"/>
      <c r="M2145" s="43" t="str">
        <f aca="false">IF(OR($L2145="",$F2145=""),"",IFERROR($L2145/INDEX(Cadastro!$E$6:$E$8,MATCH($F2145,Cadastro!$B$6:$B$8,0)),""))</f>
        <v/>
      </c>
      <c r="N2145" s="43" t="str">
        <f aca="false">IF(OR($L2145="",$I2145="",$I2145=0),"",$L2145/$I2145)</f>
        <v/>
      </c>
      <c r="O2145" s="51"/>
    </row>
    <row r="2146" customFormat="false" ht="15" hidden="false" customHeight="false" outlineLevel="0" collapsed="false">
      <c r="A2146" s="45"/>
      <c r="B2146" s="37" t="str">
        <f aca="false">IF($A2146="","",WEEKNUM($A2146,2))</f>
        <v/>
      </c>
      <c r="C2146" s="37" t="str">
        <f aca="false">IF($A2146="","",CHOOSE(WEEKDAY($A2146,2),"Seg","Ter","Qua","Qui","Sex","Sáb","Dom"))</f>
        <v/>
      </c>
      <c r="D2146" s="46"/>
      <c r="E2146" s="47"/>
      <c r="F2146" s="47"/>
      <c r="G2146" s="48"/>
      <c r="H2146" s="49"/>
      <c r="I2146" s="50"/>
      <c r="J2146" s="48"/>
      <c r="K2146" s="49"/>
      <c r="L2146" s="50"/>
      <c r="M2146" s="43" t="str">
        <f aca="false">IF(OR($L2146="",$F2146=""),"",IFERROR($L2146/INDEX(Cadastro!$E$6:$E$8,MATCH($F2146,Cadastro!$B$6:$B$8,0)),""))</f>
        <v/>
      </c>
      <c r="N2146" s="43" t="str">
        <f aca="false">IF(OR($L2146="",$I2146="",$I2146=0),"",$L2146/$I2146)</f>
        <v/>
      </c>
      <c r="O2146" s="51"/>
    </row>
    <row r="2147" customFormat="false" ht="15" hidden="false" customHeight="false" outlineLevel="0" collapsed="false">
      <c r="A2147" s="45"/>
      <c r="B2147" s="37" t="str">
        <f aca="false">IF($A2147="","",WEEKNUM($A2147,2))</f>
        <v/>
      </c>
      <c r="C2147" s="37" t="str">
        <f aca="false">IF($A2147="","",CHOOSE(WEEKDAY($A2147,2),"Seg","Ter","Qua","Qui","Sex","Sáb","Dom"))</f>
        <v/>
      </c>
      <c r="D2147" s="46"/>
      <c r="E2147" s="47"/>
      <c r="F2147" s="47"/>
      <c r="G2147" s="48"/>
      <c r="H2147" s="49"/>
      <c r="I2147" s="50"/>
      <c r="J2147" s="48"/>
      <c r="K2147" s="49"/>
      <c r="L2147" s="50"/>
      <c r="M2147" s="43" t="str">
        <f aca="false">IF(OR($L2147="",$F2147=""),"",IFERROR($L2147/INDEX(Cadastro!$E$6:$E$8,MATCH($F2147,Cadastro!$B$6:$B$8,0)),""))</f>
        <v/>
      </c>
      <c r="N2147" s="43" t="str">
        <f aca="false">IF(OR($L2147="",$I2147="",$I2147=0),"",$L2147/$I2147)</f>
        <v/>
      </c>
      <c r="O2147" s="51"/>
    </row>
    <row r="2148" customFormat="false" ht="15" hidden="false" customHeight="false" outlineLevel="0" collapsed="false">
      <c r="A2148" s="45"/>
      <c r="B2148" s="37" t="str">
        <f aca="false">IF($A2148="","",WEEKNUM($A2148,2))</f>
        <v/>
      </c>
      <c r="C2148" s="37" t="str">
        <f aca="false">IF($A2148="","",CHOOSE(WEEKDAY($A2148,2),"Seg","Ter","Qua","Qui","Sex","Sáb","Dom"))</f>
        <v/>
      </c>
      <c r="D2148" s="46"/>
      <c r="E2148" s="47"/>
      <c r="F2148" s="47"/>
      <c r="G2148" s="48"/>
      <c r="H2148" s="49"/>
      <c r="I2148" s="50"/>
      <c r="J2148" s="48"/>
      <c r="K2148" s="49"/>
      <c r="L2148" s="50"/>
      <c r="M2148" s="43" t="str">
        <f aca="false">IF(OR($L2148="",$F2148=""),"",IFERROR($L2148/INDEX(Cadastro!$E$6:$E$8,MATCH($F2148,Cadastro!$B$6:$B$8,0)),""))</f>
        <v/>
      </c>
      <c r="N2148" s="43" t="str">
        <f aca="false">IF(OR($L2148="",$I2148="",$I2148=0),"",$L2148/$I2148)</f>
        <v/>
      </c>
      <c r="O2148" s="51"/>
    </row>
    <row r="2149" customFormat="false" ht="15" hidden="false" customHeight="false" outlineLevel="0" collapsed="false">
      <c r="A2149" s="45"/>
      <c r="B2149" s="37" t="str">
        <f aca="false">IF($A2149="","",WEEKNUM($A2149,2))</f>
        <v/>
      </c>
      <c r="C2149" s="37" t="str">
        <f aca="false">IF($A2149="","",CHOOSE(WEEKDAY($A2149,2),"Seg","Ter","Qua","Qui","Sex","Sáb","Dom"))</f>
        <v/>
      </c>
      <c r="D2149" s="46"/>
      <c r="E2149" s="47"/>
      <c r="F2149" s="47"/>
      <c r="G2149" s="48"/>
      <c r="H2149" s="49"/>
      <c r="I2149" s="50"/>
      <c r="J2149" s="48"/>
      <c r="K2149" s="49"/>
      <c r="L2149" s="50"/>
      <c r="M2149" s="43" t="str">
        <f aca="false">IF(OR($L2149="",$F2149=""),"",IFERROR($L2149/INDEX(Cadastro!$E$6:$E$8,MATCH($F2149,Cadastro!$B$6:$B$8,0)),""))</f>
        <v/>
      </c>
      <c r="N2149" s="43" t="str">
        <f aca="false">IF(OR($L2149="",$I2149="",$I2149=0),"",$L2149/$I2149)</f>
        <v/>
      </c>
      <c r="O2149" s="51"/>
    </row>
    <row r="2150" customFormat="false" ht="15" hidden="false" customHeight="false" outlineLevel="0" collapsed="false">
      <c r="A2150" s="45"/>
      <c r="B2150" s="37" t="str">
        <f aca="false">IF($A2150="","",WEEKNUM($A2150,2))</f>
        <v/>
      </c>
      <c r="C2150" s="37" t="str">
        <f aca="false">IF($A2150="","",CHOOSE(WEEKDAY($A2150,2),"Seg","Ter","Qua","Qui","Sex","Sáb","Dom"))</f>
        <v/>
      </c>
      <c r="D2150" s="46"/>
      <c r="E2150" s="47"/>
      <c r="F2150" s="47"/>
      <c r="G2150" s="48"/>
      <c r="H2150" s="49"/>
      <c r="I2150" s="50"/>
      <c r="J2150" s="48"/>
      <c r="K2150" s="49"/>
      <c r="L2150" s="50"/>
      <c r="M2150" s="43" t="str">
        <f aca="false">IF(OR($L2150="",$F2150=""),"",IFERROR($L2150/INDEX(Cadastro!$E$6:$E$8,MATCH($F2150,Cadastro!$B$6:$B$8,0)),""))</f>
        <v/>
      </c>
      <c r="N2150" s="43" t="str">
        <f aca="false">IF(OR($L2150="",$I2150="",$I2150=0),"",$L2150/$I2150)</f>
        <v/>
      </c>
      <c r="O2150" s="51"/>
    </row>
    <row r="2151" customFormat="false" ht="15" hidden="false" customHeight="false" outlineLevel="0" collapsed="false">
      <c r="A2151" s="45"/>
      <c r="B2151" s="37" t="str">
        <f aca="false">IF($A2151="","",WEEKNUM($A2151,2))</f>
        <v/>
      </c>
      <c r="C2151" s="37" t="str">
        <f aca="false">IF($A2151="","",CHOOSE(WEEKDAY($A2151,2),"Seg","Ter","Qua","Qui","Sex","Sáb","Dom"))</f>
        <v/>
      </c>
      <c r="D2151" s="46"/>
      <c r="E2151" s="47"/>
      <c r="F2151" s="47"/>
      <c r="G2151" s="48"/>
      <c r="H2151" s="49"/>
      <c r="I2151" s="50"/>
      <c r="J2151" s="48"/>
      <c r="K2151" s="49"/>
      <c r="L2151" s="50"/>
      <c r="M2151" s="43" t="str">
        <f aca="false">IF(OR($L2151="",$F2151=""),"",IFERROR($L2151/INDEX(Cadastro!$E$6:$E$8,MATCH($F2151,Cadastro!$B$6:$B$8,0)),""))</f>
        <v/>
      </c>
      <c r="N2151" s="43" t="str">
        <f aca="false">IF(OR($L2151="",$I2151="",$I2151=0),"",$L2151/$I2151)</f>
        <v/>
      </c>
      <c r="O2151" s="51"/>
    </row>
    <row r="2152" customFormat="false" ht="15" hidden="false" customHeight="false" outlineLevel="0" collapsed="false">
      <c r="A2152" s="45"/>
      <c r="B2152" s="37" t="str">
        <f aca="false">IF($A2152="","",WEEKNUM($A2152,2))</f>
        <v/>
      </c>
      <c r="C2152" s="37" t="str">
        <f aca="false">IF($A2152="","",CHOOSE(WEEKDAY($A2152,2),"Seg","Ter","Qua","Qui","Sex","Sáb","Dom"))</f>
        <v/>
      </c>
      <c r="D2152" s="46"/>
      <c r="E2152" s="47"/>
      <c r="F2152" s="47"/>
      <c r="G2152" s="48"/>
      <c r="H2152" s="49"/>
      <c r="I2152" s="50"/>
      <c r="J2152" s="48"/>
      <c r="K2152" s="49"/>
      <c r="L2152" s="50"/>
      <c r="M2152" s="43" t="str">
        <f aca="false">IF(OR($L2152="",$F2152=""),"",IFERROR($L2152/INDEX(Cadastro!$E$6:$E$8,MATCH($F2152,Cadastro!$B$6:$B$8,0)),""))</f>
        <v/>
      </c>
      <c r="N2152" s="43" t="str">
        <f aca="false">IF(OR($L2152="",$I2152="",$I2152=0),"",$L2152/$I2152)</f>
        <v/>
      </c>
      <c r="O2152" s="51"/>
    </row>
    <row r="2153" customFormat="false" ht="15" hidden="false" customHeight="false" outlineLevel="0" collapsed="false">
      <c r="A2153" s="45"/>
      <c r="B2153" s="37" t="str">
        <f aca="false">IF($A2153="","",WEEKNUM($A2153,2))</f>
        <v/>
      </c>
      <c r="C2153" s="37" t="str">
        <f aca="false">IF($A2153="","",CHOOSE(WEEKDAY($A2153,2),"Seg","Ter","Qua","Qui","Sex","Sáb","Dom"))</f>
        <v/>
      </c>
      <c r="D2153" s="46"/>
      <c r="E2153" s="47"/>
      <c r="F2153" s="47"/>
      <c r="G2153" s="48"/>
      <c r="H2153" s="49"/>
      <c r="I2153" s="50"/>
      <c r="J2153" s="48"/>
      <c r="K2153" s="49"/>
      <c r="L2153" s="50"/>
      <c r="M2153" s="43" t="str">
        <f aca="false">IF(OR($L2153="",$F2153=""),"",IFERROR($L2153/INDEX(Cadastro!$E$6:$E$8,MATCH($F2153,Cadastro!$B$6:$B$8,0)),""))</f>
        <v/>
      </c>
      <c r="N2153" s="43" t="str">
        <f aca="false">IF(OR($L2153="",$I2153="",$I2153=0),"",$L2153/$I2153)</f>
        <v/>
      </c>
      <c r="O2153" s="51"/>
    </row>
    <row r="2154" customFormat="false" ht="15" hidden="false" customHeight="false" outlineLevel="0" collapsed="false">
      <c r="A2154" s="45"/>
      <c r="B2154" s="37" t="str">
        <f aca="false">IF($A2154="","",WEEKNUM($A2154,2))</f>
        <v/>
      </c>
      <c r="C2154" s="37" t="str">
        <f aca="false">IF($A2154="","",CHOOSE(WEEKDAY($A2154,2),"Seg","Ter","Qua","Qui","Sex","Sáb","Dom"))</f>
        <v/>
      </c>
      <c r="D2154" s="46"/>
      <c r="E2154" s="47"/>
      <c r="F2154" s="47"/>
      <c r="G2154" s="48"/>
      <c r="H2154" s="49"/>
      <c r="I2154" s="50"/>
      <c r="J2154" s="48"/>
      <c r="K2154" s="49"/>
      <c r="L2154" s="50"/>
      <c r="M2154" s="43" t="str">
        <f aca="false">IF(OR($L2154="",$F2154=""),"",IFERROR($L2154/INDEX(Cadastro!$E$6:$E$8,MATCH($F2154,Cadastro!$B$6:$B$8,0)),""))</f>
        <v/>
      </c>
      <c r="N2154" s="43" t="str">
        <f aca="false">IF(OR($L2154="",$I2154="",$I2154=0),"",$L2154/$I2154)</f>
        <v/>
      </c>
      <c r="O2154" s="51"/>
    </row>
    <row r="2155" customFormat="false" ht="15" hidden="false" customHeight="false" outlineLevel="0" collapsed="false">
      <c r="A2155" s="45"/>
      <c r="B2155" s="37" t="str">
        <f aca="false">IF($A2155="","",WEEKNUM($A2155,2))</f>
        <v/>
      </c>
      <c r="C2155" s="37" t="str">
        <f aca="false">IF($A2155="","",CHOOSE(WEEKDAY($A2155,2),"Seg","Ter","Qua","Qui","Sex","Sáb","Dom"))</f>
        <v/>
      </c>
      <c r="D2155" s="46"/>
      <c r="E2155" s="47"/>
      <c r="F2155" s="47"/>
      <c r="G2155" s="48"/>
      <c r="H2155" s="49"/>
      <c r="I2155" s="50"/>
      <c r="J2155" s="48"/>
      <c r="K2155" s="49"/>
      <c r="L2155" s="50"/>
      <c r="M2155" s="43" t="str">
        <f aca="false">IF(OR($L2155="",$F2155=""),"",IFERROR($L2155/INDEX(Cadastro!$E$6:$E$8,MATCH($F2155,Cadastro!$B$6:$B$8,0)),""))</f>
        <v/>
      </c>
      <c r="N2155" s="43" t="str">
        <f aca="false">IF(OR($L2155="",$I2155="",$I2155=0),"",$L2155/$I2155)</f>
        <v/>
      </c>
      <c r="O2155" s="51"/>
    </row>
    <row r="2156" customFormat="false" ht="15" hidden="false" customHeight="false" outlineLevel="0" collapsed="false">
      <c r="A2156" s="45"/>
      <c r="B2156" s="37" t="str">
        <f aca="false">IF($A2156="","",WEEKNUM($A2156,2))</f>
        <v/>
      </c>
      <c r="C2156" s="37" t="str">
        <f aca="false">IF($A2156="","",CHOOSE(WEEKDAY($A2156,2),"Seg","Ter","Qua","Qui","Sex","Sáb","Dom"))</f>
        <v/>
      </c>
      <c r="D2156" s="46"/>
      <c r="E2156" s="47"/>
      <c r="F2156" s="47"/>
      <c r="G2156" s="48"/>
      <c r="H2156" s="49"/>
      <c r="I2156" s="50"/>
      <c r="J2156" s="48"/>
      <c r="K2156" s="49"/>
      <c r="L2156" s="50"/>
      <c r="M2156" s="43" t="str">
        <f aca="false">IF(OR($L2156="",$F2156=""),"",IFERROR($L2156/INDEX(Cadastro!$E$6:$E$8,MATCH($F2156,Cadastro!$B$6:$B$8,0)),""))</f>
        <v/>
      </c>
      <c r="N2156" s="43" t="str">
        <f aca="false">IF(OR($L2156="",$I2156="",$I2156=0),"",$L2156/$I2156)</f>
        <v/>
      </c>
      <c r="O2156" s="51"/>
    </row>
    <row r="2157" customFormat="false" ht="15" hidden="false" customHeight="false" outlineLevel="0" collapsed="false">
      <c r="A2157" s="45"/>
      <c r="B2157" s="37" t="str">
        <f aca="false">IF($A2157="","",WEEKNUM($A2157,2))</f>
        <v/>
      </c>
      <c r="C2157" s="37" t="str">
        <f aca="false">IF($A2157="","",CHOOSE(WEEKDAY($A2157,2),"Seg","Ter","Qua","Qui","Sex","Sáb","Dom"))</f>
        <v/>
      </c>
      <c r="D2157" s="46"/>
      <c r="E2157" s="47"/>
      <c r="F2157" s="47"/>
      <c r="G2157" s="48"/>
      <c r="H2157" s="49"/>
      <c r="I2157" s="50"/>
      <c r="J2157" s="48"/>
      <c r="K2157" s="49"/>
      <c r="L2157" s="50"/>
      <c r="M2157" s="43" t="str">
        <f aca="false">IF(OR($L2157="",$F2157=""),"",IFERROR($L2157/INDEX(Cadastro!$E$6:$E$8,MATCH($F2157,Cadastro!$B$6:$B$8,0)),""))</f>
        <v/>
      </c>
      <c r="N2157" s="43" t="str">
        <f aca="false">IF(OR($L2157="",$I2157="",$I2157=0),"",$L2157/$I2157)</f>
        <v/>
      </c>
      <c r="O2157" s="51"/>
    </row>
    <row r="2158" customFormat="false" ht="15" hidden="false" customHeight="false" outlineLevel="0" collapsed="false">
      <c r="A2158" s="45"/>
      <c r="B2158" s="37" t="str">
        <f aca="false">IF($A2158="","",WEEKNUM($A2158,2))</f>
        <v/>
      </c>
      <c r="C2158" s="37" t="str">
        <f aca="false">IF($A2158="","",CHOOSE(WEEKDAY($A2158,2),"Seg","Ter","Qua","Qui","Sex","Sáb","Dom"))</f>
        <v/>
      </c>
      <c r="D2158" s="46"/>
      <c r="E2158" s="47"/>
      <c r="F2158" s="47"/>
      <c r="G2158" s="48"/>
      <c r="H2158" s="49"/>
      <c r="I2158" s="50"/>
      <c r="J2158" s="48"/>
      <c r="K2158" s="49"/>
      <c r="L2158" s="50"/>
      <c r="M2158" s="43" t="str">
        <f aca="false">IF(OR($L2158="",$F2158=""),"",IFERROR($L2158/INDEX(Cadastro!$E$6:$E$8,MATCH($F2158,Cadastro!$B$6:$B$8,0)),""))</f>
        <v/>
      </c>
      <c r="N2158" s="43" t="str">
        <f aca="false">IF(OR($L2158="",$I2158="",$I2158=0),"",$L2158/$I2158)</f>
        <v/>
      </c>
      <c r="O2158" s="51"/>
    </row>
    <row r="2159" customFormat="false" ht="15" hidden="false" customHeight="false" outlineLevel="0" collapsed="false">
      <c r="A2159" s="45"/>
      <c r="B2159" s="37" t="str">
        <f aca="false">IF($A2159="","",WEEKNUM($A2159,2))</f>
        <v/>
      </c>
      <c r="C2159" s="37" t="str">
        <f aca="false">IF($A2159="","",CHOOSE(WEEKDAY($A2159,2),"Seg","Ter","Qua","Qui","Sex","Sáb","Dom"))</f>
        <v/>
      </c>
      <c r="D2159" s="46"/>
      <c r="E2159" s="47"/>
      <c r="F2159" s="47"/>
      <c r="G2159" s="48"/>
      <c r="H2159" s="49"/>
      <c r="I2159" s="50"/>
      <c r="J2159" s="48"/>
      <c r="K2159" s="49"/>
      <c r="L2159" s="50"/>
      <c r="M2159" s="43" t="str">
        <f aca="false">IF(OR($L2159="",$F2159=""),"",IFERROR($L2159/INDEX(Cadastro!$E$6:$E$8,MATCH($F2159,Cadastro!$B$6:$B$8,0)),""))</f>
        <v/>
      </c>
      <c r="N2159" s="43" t="str">
        <f aca="false">IF(OR($L2159="",$I2159="",$I2159=0),"",$L2159/$I2159)</f>
        <v/>
      </c>
      <c r="O2159" s="51"/>
    </row>
    <row r="2160" customFormat="false" ht="15" hidden="false" customHeight="false" outlineLevel="0" collapsed="false">
      <c r="A2160" s="45"/>
      <c r="B2160" s="37" t="str">
        <f aca="false">IF($A2160="","",WEEKNUM($A2160,2))</f>
        <v/>
      </c>
      <c r="C2160" s="37" t="str">
        <f aca="false">IF($A2160="","",CHOOSE(WEEKDAY($A2160,2),"Seg","Ter","Qua","Qui","Sex","Sáb","Dom"))</f>
        <v/>
      </c>
      <c r="D2160" s="46"/>
      <c r="E2160" s="47"/>
      <c r="F2160" s="47"/>
      <c r="G2160" s="48"/>
      <c r="H2160" s="49"/>
      <c r="I2160" s="50"/>
      <c r="J2160" s="48"/>
      <c r="K2160" s="49"/>
      <c r="L2160" s="50"/>
      <c r="M2160" s="43" t="str">
        <f aca="false">IF(OR($L2160="",$F2160=""),"",IFERROR($L2160/INDEX(Cadastro!$E$6:$E$8,MATCH($F2160,Cadastro!$B$6:$B$8,0)),""))</f>
        <v/>
      </c>
      <c r="N2160" s="43" t="str">
        <f aca="false">IF(OR($L2160="",$I2160="",$I2160=0),"",$L2160/$I2160)</f>
        <v/>
      </c>
      <c r="O2160" s="51"/>
    </row>
    <row r="2161" customFormat="false" ht="15" hidden="false" customHeight="false" outlineLevel="0" collapsed="false">
      <c r="A2161" s="45"/>
      <c r="B2161" s="37" t="str">
        <f aca="false">IF($A2161="","",WEEKNUM($A2161,2))</f>
        <v/>
      </c>
      <c r="C2161" s="37" t="str">
        <f aca="false">IF($A2161="","",CHOOSE(WEEKDAY($A2161,2),"Seg","Ter","Qua","Qui","Sex","Sáb","Dom"))</f>
        <v/>
      </c>
      <c r="D2161" s="46"/>
      <c r="E2161" s="47"/>
      <c r="F2161" s="47"/>
      <c r="G2161" s="48"/>
      <c r="H2161" s="49"/>
      <c r="I2161" s="50"/>
      <c r="J2161" s="48"/>
      <c r="K2161" s="49"/>
      <c r="L2161" s="50"/>
      <c r="M2161" s="43" t="str">
        <f aca="false">IF(OR($L2161="",$F2161=""),"",IFERROR($L2161/INDEX(Cadastro!$E$6:$E$8,MATCH($F2161,Cadastro!$B$6:$B$8,0)),""))</f>
        <v/>
      </c>
      <c r="N2161" s="43" t="str">
        <f aca="false">IF(OR($L2161="",$I2161="",$I2161=0),"",$L2161/$I2161)</f>
        <v/>
      </c>
      <c r="O2161" s="51"/>
    </row>
    <row r="2162" customFormat="false" ht="15" hidden="false" customHeight="false" outlineLevel="0" collapsed="false">
      <c r="A2162" s="45"/>
      <c r="B2162" s="37" t="str">
        <f aca="false">IF($A2162="","",WEEKNUM($A2162,2))</f>
        <v/>
      </c>
      <c r="C2162" s="37" t="str">
        <f aca="false">IF($A2162="","",CHOOSE(WEEKDAY($A2162,2),"Seg","Ter","Qua","Qui","Sex","Sáb","Dom"))</f>
        <v/>
      </c>
      <c r="D2162" s="46"/>
      <c r="E2162" s="47"/>
      <c r="F2162" s="47"/>
      <c r="G2162" s="48"/>
      <c r="H2162" s="49"/>
      <c r="I2162" s="50"/>
      <c r="J2162" s="48"/>
      <c r="K2162" s="49"/>
      <c r="L2162" s="50"/>
      <c r="M2162" s="43" t="str">
        <f aca="false">IF(OR($L2162="",$F2162=""),"",IFERROR($L2162/INDEX(Cadastro!$E$6:$E$8,MATCH($F2162,Cadastro!$B$6:$B$8,0)),""))</f>
        <v/>
      </c>
      <c r="N2162" s="43" t="str">
        <f aca="false">IF(OR($L2162="",$I2162="",$I2162=0),"",$L2162/$I2162)</f>
        <v/>
      </c>
      <c r="O2162" s="51"/>
    </row>
    <row r="2163" customFormat="false" ht="15" hidden="false" customHeight="false" outlineLevel="0" collapsed="false">
      <c r="A2163" s="45"/>
      <c r="B2163" s="37" t="str">
        <f aca="false">IF($A2163="","",WEEKNUM($A2163,2))</f>
        <v/>
      </c>
      <c r="C2163" s="37" t="str">
        <f aca="false">IF($A2163="","",CHOOSE(WEEKDAY($A2163,2),"Seg","Ter","Qua","Qui","Sex","Sáb","Dom"))</f>
        <v/>
      </c>
      <c r="D2163" s="46"/>
      <c r="E2163" s="47"/>
      <c r="F2163" s="47"/>
      <c r="G2163" s="48"/>
      <c r="H2163" s="49"/>
      <c r="I2163" s="50"/>
      <c r="J2163" s="48"/>
      <c r="K2163" s="49"/>
      <c r="L2163" s="50"/>
      <c r="M2163" s="43" t="str">
        <f aca="false">IF(OR($L2163="",$F2163=""),"",IFERROR($L2163/INDEX(Cadastro!$E$6:$E$8,MATCH($F2163,Cadastro!$B$6:$B$8,0)),""))</f>
        <v/>
      </c>
      <c r="N2163" s="43" t="str">
        <f aca="false">IF(OR($L2163="",$I2163="",$I2163=0),"",$L2163/$I2163)</f>
        <v/>
      </c>
      <c r="O2163" s="51"/>
    </row>
    <row r="2164" customFormat="false" ht="15" hidden="false" customHeight="false" outlineLevel="0" collapsed="false">
      <c r="A2164" s="45"/>
      <c r="B2164" s="37" t="str">
        <f aca="false">IF($A2164="","",WEEKNUM($A2164,2))</f>
        <v/>
      </c>
      <c r="C2164" s="37" t="str">
        <f aca="false">IF($A2164="","",CHOOSE(WEEKDAY($A2164,2),"Seg","Ter","Qua","Qui","Sex","Sáb","Dom"))</f>
        <v/>
      </c>
      <c r="D2164" s="46"/>
      <c r="E2164" s="47"/>
      <c r="F2164" s="47"/>
      <c r="G2164" s="48"/>
      <c r="H2164" s="49"/>
      <c r="I2164" s="50"/>
      <c r="J2164" s="48"/>
      <c r="K2164" s="49"/>
      <c r="L2164" s="50"/>
      <c r="M2164" s="43" t="str">
        <f aca="false">IF(OR($L2164="",$F2164=""),"",IFERROR($L2164/INDEX(Cadastro!$E$6:$E$8,MATCH($F2164,Cadastro!$B$6:$B$8,0)),""))</f>
        <v/>
      </c>
      <c r="N2164" s="43" t="str">
        <f aca="false">IF(OR($L2164="",$I2164="",$I2164=0),"",$L2164/$I2164)</f>
        <v/>
      </c>
      <c r="O2164" s="51"/>
    </row>
    <row r="2165" customFormat="false" ht="15" hidden="false" customHeight="false" outlineLevel="0" collapsed="false">
      <c r="A2165" s="45"/>
      <c r="B2165" s="37" t="str">
        <f aca="false">IF($A2165="","",WEEKNUM($A2165,2))</f>
        <v/>
      </c>
      <c r="C2165" s="37" t="str">
        <f aca="false">IF($A2165="","",CHOOSE(WEEKDAY($A2165,2),"Seg","Ter","Qua","Qui","Sex","Sáb","Dom"))</f>
        <v/>
      </c>
      <c r="D2165" s="46"/>
      <c r="E2165" s="47"/>
      <c r="F2165" s="47"/>
      <c r="G2165" s="48"/>
      <c r="H2165" s="49"/>
      <c r="I2165" s="50"/>
      <c r="J2165" s="48"/>
      <c r="K2165" s="49"/>
      <c r="L2165" s="50"/>
      <c r="M2165" s="43" t="str">
        <f aca="false">IF(OR($L2165="",$F2165=""),"",IFERROR($L2165/INDEX(Cadastro!$E$6:$E$8,MATCH($F2165,Cadastro!$B$6:$B$8,0)),""))</f>
        <v/>
      </c>
      <c r="N2165" s="43" t="str">
        <f aca="false">IF(OR($L2165="",$I2165="",$I2165=0),"",$L2165/$I2165)</f>
        <v/>
      </c>
      <c r="O2165" s="51"/>
    </row>
    <row r="2166" customFormat="false" ht="15" hidden="false" customHeight="false" outlineLevel="0" collapsed="false">
      <c r="A2166" s="45"/>
      <c r="B2166" s="37" t="str">
        <f aca="false">IF($A2166="","",WEEKNUM($A2166,2))</f>
        <v/>
      </c>
      <c r="C2166" s="37" t="str">
        <f aca="false">IF($A2166="","",CHOOSE(WEEKDAY($A2166,2),"Seg","Ter","Qua","Qui","Sex","Sáb","Dom"))</f>
        <v/>
      </c>
      <c r="D2166" s="46"/>
      <c r="E2166" s="47"/>
      <c r="F2166" s="47"/>
      <c r="G2166" s="48"/>
      <c r="H2166" s="49"/>
      <c r="I2166" s="50"/>
      <c r="J2166" s="48"/>
      <c r="K2166" s="49"/>
      <c r="L2166" s="50"/>
      <c r="M2166" s="43" t="str">
        <f aca="false">IF(OR($L2166="",$F2166=""),"",IFERROR($L2166/INDEX(Cadastro!$E$6:$E$8,MATCH($F2166,Cadastro!$B$6:$B$8,0)),""))</f>
        <v/>
      </c>
      <c r="N2166" s="43" t="str">
        <f aca="false">IF(OR($L2166="",$I2166="",$I2166=0),"",$L2166/$I2166)</f>
        <v/>
      </c>
      <c r="O2166" s="51"/>
    </row>
    <row r="2167" customFormat="false" ht="15" hidden="false" customHeight="false" outlineLevel="0" collapsed="false">
      <c r="A2167" s="45"/>
      <c r="B2167" s="37" t="str">
        <f aca="false">IF($A2167="","",WEEKNUM($A2167,2))</f>
        <v/>
      </c>
      <c r="C2167" s="37" t="str">
        <f aca="false">IF($A2167="","",CHOOSE(WEEKDAY($A2167,2),"Seg","Ter","Qua","Qui","Sex","Sáb","Dom"))</f>
        <v/>
      </c>
      <c r="D2167" s="46"/>
      <c r="E2167" s="47"/>
      <c r="F2167" s="47"/>
      <c r="G2167" s="48"/>
      <c r="H2167" s="49"/>
      <c r="I2167" s="50"/>
      <c r="J2167" s="48"/>
      <c r="K2167" s="49"/>
      <c r="L2167" s="50"/>
      <c r="M2167" s="43" t="str">
        <f aca="false">IF(OR($L2167="",$F2167=""),"",IFERROR($L2167/INDEX(Cadastro!$E$6:$E$8,MATCH($F2167,Cadastro!$B$6:$B$8,0)),""))</f>
        <v/>
      </c>
      <c r="N2167" s="43" t="str">
        <f aca="false">IF(OR($L2167="",$I2167="",$I2167=0),"",$L2167/$I2167)</f>
        <v/>
      </c>
      <c r="O2167" s="51"/>
    </row>
    <row r="2168" customFormat="false" ht="15" hidden="false" customHeight="false" outlineLevel="0" collapsed="false">
      <c r="A2168" s="45"/>
      <c r="B2168" s="37" t="str">
        <f aca="false">IF($A2168="","",WEEKNUM($A2168,2))</f>
        <v/>
      </c>
      <c r="C2168" s="37" t="str">
        <f aca="false">IF($A2168="","",CHOOSE(WEEKDAY($A2168,2),"Seg","Ter","Qua","Qui","Sex","Sáb","Dom"))</f>
        <v/>
      </c>
      <c r="D2168" s="46"/>
      <c r="E2168" s="47"/>
      <c r="F2168" s="47"/>
      <c r="G2168" s="48"/>
      <c r="H2168" s="49"/>
      <c r="I2168" s="50"/>
      <c r="J2168" s="48"/>
      <c r="K2168" s="49"/>
      <c r="L2168" s="50"/>
      <c r="M2168" s="43" t="str">
        <f aca="false">IF(OR($L2168="",$F2168=""),"",IFERROR($L2168/INDEX(Cadastro!$E$6:$E$8,MATCH($F2168,Cadastro!$B$6:$B$8,0)),""))</f>
        <v/>
      </c>
      <c r="N2168" s="43" t="str">
        <f aca="false">IF(OR($L2168="",$I2168="",$I2168=0),"",$L2168/$I2168)</f>
        <v/>
      </c>
      <c r="O2168" s="51"/>
    </row>
    <row r="2169" customFormat="false" ht="15" hidden="false" customHeight="false" outlineLevel="0" collapsed="false">
      <c r="A2169" s="45"/>
      <c r="B2169" s="37" t="str">
        <f aca="false">IF($A2169="","",WEEKNUM($A2169,2))</f>
        <v/>
      </c>
      <c r="C2169" s="37" t="str">
        <f aca="false">IF($A2169="","",CHOOSE(WEEKDAY($A2169,2),"Seg","Ter","Qua","Qui","Sex","Sáb","Dom"))</f>
        <v/>
      </c>
      <c r="D2169" s="46"/>
      <c r="E2169" s="47"/>
      <c r="F2169" s="47"/>
      <c r="G2169" s="48"/>
      <c r="H2169" s="49"/>
      <c r="I2169" s="50"/>
      <c r="J2169" s="48"/>
      <c r="K2169" s="49"/>
      <c r="L2169" s="50"/>
      <c r="M2169" s="43" t="str">
        <f aca="false">IF(OR($L2169="",$F2169=""),"",IFERROR($L2169/INDEX(Cadastro!$E$6:$E$8,MATCH($F2169,Cadastro!$B$6:$B$8,0)),""))</f>
        <v/>
      </c>
      <c r="N2169" s="43" t="str">
        <f aca="false">IF(OR($L2169="",$I2169="",$I2169=0),"",$L2169/$I2169)</f>
        <v/>
      </c>
      <c r="O2169" s="51"/>
    </row>
    <row r="2170" customFormat="false" ht="15" hidden="false" customHeight="false" outlineLevel="0" collapsed="false">
      <c r="A2170" s="45"/>
      <c r="B2170" s="37" t="str">
        <f aca="false">IF($A2170="","",WEEKNUM($A2170,2))</f>
        <v/>
      </c>
      <c r="C2170" s="37" t="str">
        <f aca="false">IF($A2170="","",CHOOSE(WEEKDAY($A2170,2),"Seg","Ter","Qua","Qui","Sex","Sáb","Dom"))</f>
        <v/>
      </c>
      <c r="D2170" s="46"/>
      <c r="E2170" s="47"/>
      <c r="F2170" s="47"/>
      <c r="G2170" s="48"/>
      <c r="H2170" s="49"/>
      <c r="I2170" s="50"/>
      <c r="J2170" s="48"/>
      <c r="K2170" s="49"/>
      <c r="L2170" s="50"/>
      <c r="M2170" s="43" t="str">
        <f aca="false">IF(OR($L2170="",$F2170=""),"",IFERROR($L2170/INDEX(Cadastro!$E$6:$E$8,MATCH($F2170,Cadastro!$B$6:$B$8,0)),""))</f>
        <v/>
      </c>
      <c r="N2170" s="43" t="str">
        <f aca="false">IF(OR($L2170="",$I2170="",$I2170=0),"",$L2170/$I2170)</f>
        <v/>
      </c>
      <c r="O2170" s="51"/>
    </row>
    <row r="2171" customFormat="false" ht="15" hidden="false" customHeight="false" outlineLevel="0" collapsed="false">
      <c r="A2171" s="45"/>
      <c r="B2171" s="37" t="str">
        <f aca="false">IF($A2171="","",WEEKNUM($A2171,2))</f>
        <v/>
      </c>
      <c r="C2171" s="37" t="str">
        <f aca="false">IF($A2171="","",CHOOSE(WEEKDAY($A2171,2),"Seg","Ter","Qua","Qui","Sex","Sáb","Dom"))</f>
        <v/>
      </c>
      <c r="D2171" s="46"/>
      <c r="E2171" s="47"/>
      <c r="F2171" s="47"/>
      <c r="G2171" s="48"/>
      <c r="H2171" s="49"/>
      <c r="I2171" s="50"/>
      <c r="J2171" s="48"/>
      <c r="K2171" s="49"/>
      <c r="L2171" s="50"/>
      <c r="M2171" s="43" t="str">
        <f aca="false">IF(OR($L2171="",$F2171=""),"",IFERROR($L2171/INDEX(Cadastro!$E$6:$E$8,MATCH($F2171,Cadastro!$B$6:$B$8,0)),""))</f>
        <v/>
      </c>
      <c r="N2171" s="43" t="str">
        <f aca="false">IF(OR($L2171="",$I2171="",$I2171=0),"",$L2171/$I2171)</f>
        <v/>
      </c>
      <c r="O2171" s="51"/>
    </row>
    <row r="2172" customFormat="false" ht="15" hidden="false" customHeight="false" outlineLevel="0" collapsed="false">
      <c r="A2172" s="45"/>
      <c r="B2172" s="37" t="str">
        <f aca="false">IF($A2172="","",WEEKNUM($A2172,2))</f>
        <v/>
      </c>
      <c r="C2172" s="37" t="str">
        <f aca="false">IF($A2172="","",CHOOSE(WEEKDAY($A2172,2),"Seg","Ter","Qua","Qui","Sex","Sáb","Dom"))</f>
        <v/>
      </c>
      <c r="D2172" s="46"/>
      <c r="E2172" s="47"/>
      <c r="F2172" s="47"/>
      <c r="G2172" s="48"/>
      <c r="H2172" s="49"/>
      <c r="I2172" s="50"/>
      <c r="J2172" s="48"/>
      <c r="K2172" s="49"/>
      <c r="L2172" s="50"/>
      <c r="M2172" s="43" t="str">
        <f aca="false">IF(OR($L2172="",$F2172=""),"",IFERROR($L2172/INDEX(Cadastro!$E$6:$E$8,MATCH($F2172,Cadastro!$B$6:$B$8,0)),""))</f>
        <v/>
      </c>
      <c r="N2172" s="43" t="str">
        <f aca="false">IF(OR($L2172="",$I2172="",$I2172=0),"",$L2172/$I2172)</f>
        <v/>
      </c>
      <c r="O2172" s="51"/>
    </row>
    <row r="2173" customFormat="false" ht="15" hidden="false" customHeight="false" outlineLevel="0" collapsed="false">
      <c r="A2173" s="45"/>
      <c r="B2173" s="37" t="str">
        <f aca="false">IF($A2173="","",WEEKNUM($A2173,2))</f>
        <v/>
      </c>
      <c r="C2173" s="37" t="str">
        <f aca="false">IF($A2173="","",CHOOSE(WEEKDAY($A2173,2),"Seg","Ter","Qua","Qui","Sex","Sáb","Dom"))</f>
        <v/>
      </c>
      <c r="D2173" s="46"/>
      <c r="E2173" s="47"/>
      <c r="F2173" s="47"/>
      <c r="G2173" s="48"/>
      <c r="H2173" s="49"/>
      <c r="I2173" s="50"/>
      <c r="J2173" s="48"/>
      <c r="K2173" s="49"/>
      <c r="L2173" s="50"/>
      <c r="M2173" s="43" t="str">
        <f aca="false">IF(OR($L2173="",$F2173=""),"",IFERROR($L2173/INDEX(Cadastro!$E$6:$E$8,MATCH($F2173,Cadastro!$B$6:$B$8,0)),""))</f>
        <v/>
      </c>
      <c r="N2173" s="43" t="str">
        <f aca="false">IF(OR($L2173="",$I2173="",$I2173=0),"",$L2173/$I2173)</f>
        <v/>
      </c>
      <c r="O2173" s="51"/>
    </row>
    <row r="2174" customFormat="false" ht="15" hidden="false" customHeight="false" outlineLevel="0" collapsed="false">
      <c r="A2174" s="45"/>
      <c r="B2174" s="37" t="str">
        <f aca="false">IF($A2174="","",WEEKNUM($A2174,2))</f>
        <v/>
      </c>
      <c r="C2174" s="37" t="str">
        <f aca="false">IF($A2174="","",CHOOSE(WEEKDAY($A2174,2),"Seg","Ter","Qua","Qui","Sex","Sáb","Dom"))</f>
        <v/>
      </c>
      <c r="D2174" s="46"/>
      <c r="E2174" s="47"/>
      <c r="F2174" s="47"/>
      <c r="G2174" s="48"/>
      <c r="H2174" s="49"/>
      <c r="I2174" s="50"/>
      <c r="J2174" s="48"/>
      <c r="K2174" s="49"/>
      <c r="L2174" s="50"/>
      <c r="M2174" s="43" t="str">
        <f aca="false">IF(OR($L2174="",$F2174=""),"",IFERROR($L2174/INDEX(Cadastro!$E$6:$E$8,MATCH($F2174,Cadastro!$B$6:$B$8,0)),""))</f>
        <v/>
      </c>
      <c r="N2174" s="43" t="str">
        <f aca="false">IF(OR($L2174="",$I2174="",$I2174=0),"",$L2174/$I2174)</f>
        <v/>
      </c>
      <c r="O2174" s="51"/>
    </row>
    <row r="2175" customFormat="false" ht="15" hidden="false" customHeight="false" outlineLevel="0" collapsed="false">
      <c r="A2175" s="45"/>
      <c r="B2175" s="37" t="str">
        <f aca="false">IF($A2175="","",WEEKNUM($A2175,2))</f>
        <v/>
      </c>
      <c r="C2175" s="37" t="str">
        <f aca="false">IF($A2175="","",CHOOSE(WEEKDAY($A2175,2),"Seg","Ter","Qua","Qui","Sex","Sáb","Dom"))</f>
        <v/>
      </c>
      <c r="D2175" s="46"/>
      <c r="E2175" s="47"/>
      <c r="F2175" s="47"/>
      <c r="G2175" s="48"/>
      <c r="H2175" s="49"/>
      <c r="I2175" s="50"/>
      <c r="J2175" s="48"/>
      <c r="K2175" s="49"/>
      <c r="L2175" s="50"/>
      <c r="M2175" s="43" t="str">
        <f aca="false">IF(OR($L2175="",$F2175=""),"",IFERROR($L2175/INDEX(Cadastro!$E$6:$E$8,MATCH($F2175,Cadastro!$B$6:$B$8,0)),""))</f>
        <v/>
      </c>
      <c r="N2175" s="43" t="str">
        <f aca="false">IF(OR($L2175="",$I2175="",$I2175=0),"",$L2175/$I2175)</f>
        <v/>
      </c>
      <c r="O2175" s="51"/>
    </row>
    <row r="2176" customFormat="false" ht="15" hidden="false" customHeight="false" outlineLevel="0" collapsed="false">
      <c r="A2176" s="45"/>
      <c r="B2176" s="37" t="str">
        <f aca="false">IF($A2176="","",WEEKNUM($A2176,2))</f>
        <v/>
      </c>
      <c r="C2176" s="37" t="str">
        <f aca="false">IF($A2176="","",CHOOSE(WEEKDAY($A2176,2),"Seg","Ter","Qua","Qui","Sex","Sáb","Dom"))</f>
        <v/>
      </c>
      <c r="D2176" s="46"/>
      <c r="E2176" s="47"/>
      <c r="F2176" s="47"/>
      <c r="G2176" s="48"/>
      <c r="H2176" s="49"/>
      <c r="I2176" s="50"/>
      <c r="J2176" s="48"/>
      <c r="K2176" s="49"/>
      <c r="L2176" s="50"/>
      <c r="M2176" s="43" t="str">
        <f aca="false">IF(OR($L2176="",$F2176=""),"",IFERROR($L2176/INDEX(Cadastro!$E$6:$E$8,MATCH($F2176,Cadastro!$B$6:$B$8,0)),""))</f>
        <v/>
      </c>
      <c r="N2176" s="43" t="str">
        <f aca="false">IF(OR($L2176="",$I2176="",$I2176=0),"",$L2176/$I2176)</f>
        <v/>
      </c>
      <c r="O2176" s="51"/>
    </row>
    <row r="2177" customFormat="false" ht="15" hidden="false" customHeight="false" outlineLevel="0" collapsed="false">
      <c r="A2177" s="45"/>
      <c r="B2177" s="37" t="str">
        <f aca="false">IF($A2177="","",WEEKNUM($A2177,2))</f>
        <v/>
      </c>
      <c r="C2177" s="37" t="str">
        <f aca="false">IF($A2177="","",CHOOSE(WEEKDAY($A2177,2),"Seg","Ter","Qua","Qui","Sex","Sáb","Dom"))</f>
        <v/>
      </c>
      <c r="D2177" s="46"/>
      <c r="E2177" s="47"/>
      <c r="F2177" s="47"/>
      <c r="G2177" s="48"/>
      <c r="H2177" s="49"/>
      <c r="I2177" s="50"/>
      <c r="J2177" s="48"/>
      <c r="K2177" s="49"/>
      <c r="L2177" s="50"/>
      <c r="M2177" s="43" t="str">
        <f aca="false">IF(OR($L2177="",$F2177=""),"",IFERROR($L2177/INDEX(Cadastro!$E$6:$E$8,MATCH($F2177,Cadastro!$B$6:$B$8,0)),""))</f>
        <v/>
      </c>
      <c r="N2177" s="43" t="str">
        <f aca="false">IF(OR($L2177="",$I2177="",$I2177=0),"",$L2177/$I2177)</f>
        <v/>
      </c>
      <c r="O2177" s="51"/>
    </row>
    <row r="2178" customFormat="false" ht="15" hidden="false" customHeight="false" outlineLevel="0" collapsed="false">
      <c r="A2178" s="45"/>
      <c r="B2178" s="37" t="str">
        <f aca="false">IF($A2178="","",WEEKNUM($A2178,2))</f>
        <v/>
      </c>
      <c r="C2178" s="37" t="str">
        <f aca="false">IF($A2178="","",CHOOSE(WEEKDAY($A2178,2),"Seg","Ter","Qua","Qui","Sex","Sáb","Dom"))</f>
        <v/>
      </c>
      <c r="D2178" s="46"/>
      <c r="E2178" s="47"/>
      <c r="F2178" s="47"/>
      <c r="G2178" s="48"/>
      <c r="H2178" s="49"/>
      <c r="I2178" s="50"/>
      <c r="J2178" s="48"/>
      <c r="K2178" s="49"/>
      <c r="L2178" s="50"/>
      <c r="M2178" s="43" t="str">
        <f aca="false">IF(OR($L2178="",$F2178=""),"",IFERROR($L2178/INDEX(Cadastro!$E$6:$E$8,MATCH($F2178,Cadastro!$B$6:$B$8,0)),""))</f>
        <v/>
      </c>
      <c r="N2178" s="43" t="str">
        <f aca="false">IF(OR($L2178="",$I2178="",$I2178=0),"",$L2178/$I2178)</f>
        <v/>
      </c>
      <c r="O2178" s="51"/>
    </row>
    <row r="2179" customFormat="false" ht="15" hidden="false" customHeight="false" outlineLevel="0" collapsed="false">
      <c r="A2179" s="45"/>
      <c r="B2179" s="37" t="str">
        <f aca="false">IF($A2179="","",WEEKNUM($A2179,2))</f>
        <v/>
      </c>
      <c r="C2179" s="37" t="str">
        <f aca="false">IF($A2179="","",CHOOSE(WEEKDAY($A2179,2),"Seg","Ter","Qua","Qui","Sex","Sáb","Dom"))</f>
        <v/>
      </c>
      <c r="D2179" s="46"/>
      <c r="E2179" s="47"/>
      <c r="F2179" s="47"/>
      <c r="G2179" s="48"/>
      <c r="H2179" s="49"/>
      <c r="I2179" s="50"/>
      <c r="J2179" s="48"/>
      <c r="K2179" s="49"/>
      <c r="L2179" s="50"/>
      <c r="M2179" s="43" t="str">
        <f aca="false">IF(OR($L2179="",$F2179=""),"",IFERROR($L2179/INDEX(Cadastro!$E$6:$E$8,MATCH($F2179,Cadastro!$B$6:$B$8,0)),""))</f>
        <v/>
      </c>
      <c r="N2179" s="43" t="str">
        <f aca="false">IF(OR($L2179="",$I2179="",$I2179=0),"",$L2179/$I2179)</f>
        <v/>
      </c>
      <c r="O2179" s="51"/>
    </row>
    <row r="2180" customFormat="false" ht="15" hidden="false" customHeight="false" outlineLevel="0" collapsed="false">
      <c r="A2180" s="45"/>
      <c r="B2180" s="37" t="str">
        <f aca="false">IF($A2180="","",WEEKNUM($A2180,2))</f>
        <v/>
      </c>
      <c r="C2180" s="37" t="str">
        <f aca="false">IF($A2180="","",CHOOSE(WEEKDAY($A2180,2),"Seg","Ter","Qua","Qui","Sex","Sáb","Dom"))</f>
        <v/>
      </c>
      <c r="D2180" s="46"/>
      <c r="E2180" s="47"/>
      <c r="F2180" s="47"/>
      <c r="G2180" s="48"/>
      <c r="H2180" s="49"/>
      <c r="I2180" s="50"/>
      <c r="J2180" s="48"/>
      <c r="K2180" s="49"/>
      <c r="L2180" s="50"/>
      <c r="M2180" s="43" t="str">
        <f aca="false">IF(OR($L2180="",$F2180=""),"",IFERROR($L2180/INDEX(Cadastro!$E$6:$E$8,MATCH($F2180,Cadastro!$B$6:$B$8,0)),""))</f>
        <v/>
      </c>
      <c r="N2180" s="43" t="str">
        <f aca="false">IF(OR($L2180="",$I2180="",$I2180=0),"",$L2180/$I2180)</f>
        <v/>
      </c>
      <c r="O2180" s="51"/>
    </row>
    <row r="2181" customFormat="false" ht="15" hidden="false" customHeight="false" outlineLevel="0" collapsed="false">
      <c r="A2181" s="45"/>
      <c r="B2181" s="37" t="str">
        <f aca="false">IF($A2181="","",WEEKNUM($A2181,2))</f>
        <v/>
      </c>
      <c r="C2181" s="37" t="str">
        <f aca="false">IF($A2181="","",CHOOSE(WEEKDAY($A2181,2),"Seg","Ter","Qua","Qui","Sex","Sáb","Dom"))</f>
        <v/>
      </c>
      <c r="D2181" s="46"/>
      <c r="E2181" s="47"/>
      <c r="F2181" s="47"/>
      <c r="G2181" s="48"/>
      <c r="H2181" s="49"/>
      <c r="I2181" s="50"/>
      <c r="J2181" s="48"/>
      <c r="K2181" s="49"/>
      <c r="L2181" s="50"/>
      <c r="M2181" s="43" t="str">
        <f aca="false">IF(OR($L2181="",$F2181=""),"",IFERROR($L2181/INDEX(Cadastro!$E$6:$E$8,MATCH($F2181,Cadastro!$B$6:$B$8,0)),""))</f>
        <v/>
      </c>
      <c r="N2181" s="43" t="str">
        <f aca="false">IF(OR($L2181="",$I2181="",$I2181=0),"",$L2181/$I2181)</f>
        <v/>
      </c>
      <c r="O2181" s="51"/>
    </row>
    <row r="2182" customFormat="false" ht="15" hidden="false" customHeight="false" outlineLevel="0" collapsed="false">
      <c r="A2182" s="45"/>
      <c r="B2182" s="37" t="str">
        <f aca="false">IF($A2182="","",WEEKNUM($A2182,2))</f>
        <v/>
      </c>
      <c r="C2182" s="37" t="str">
        <f aca="false">IF($A2182="","",CHOOSE(WEEKDAY($A2182,2),"Seg","Ter","Qua","Qui","Sex","Sáb","Dom"))</f>
        <v/>
      </c>
      <c r="D2182" s="46"/>
      <c r="E2182" s="47"/>
      <c r="F2182" s="47"/>
      <c r="G2182" s="48"/>
      <c r="H2182" s="49"/>
      <c r="I2182" s="50"/>
      <c r="J2182" s="48"/>
      <c r="K2182" s="49"/>
      <c r="L2182" s="50"/>
      <c r="M2182" s="43" t="str">
        <f aca="false">IF(OR($L2182="",$F2182=""),"",IFERROR($L2182/INDEX(Cadastro!$E$6:$E$8,MATCH($F2182,Cadastro!$B$6:$B$8,0)),""))</f>
        <v/>
      </c>
      <c r="N2182" s="43" t="str">
        <f aca="false">IF(OR($L2182="",$I2182="",$I2182=0),"",$L2182/$I2182)</f>
        <v/>
      </c>
      <c r="O2182" s="51"/>
    </row>
    <row r="2183" customFormat="false" ht="15" hidden="false" customHeight="false" outlineLevel="0" collapsed="false">
      <c r="A2183" s="45"/>
      <c r="B2183" s="37" t="str">
        <f aca="false">IF($A2183="","",WEEKNUM($A2183,2))</f>
        <v/>
      </c>
      <c r="C2183" s="37" t="str">
        <f aca="false">IF($A2183="","",CHOOSE(WEEKDAY($A2183,2),"Seg","Ter","Qua","Qui","Sex","Sáb","Dom"))</f>
        <v/>
      </c>
      <c r="D2183" s="46"/>
      <c r="E2183" s="47"/>
      <c r="F2183" s="47"/>
      <c r="G2183" s="48"/>
      <c r="H2183" s="49"/>
      <c r="I2183" s="50"/>
      <c r="J2183" s="48"/>
      <c r="K2183" s="49"/>
      <c r="L2183" s="50"/>
      <c r="M2183" s="43" t="str">
        <f aca="false">IF(OR($L2183="",$F2183=""),"",IFERROR($L2183/INDEX(Cadastro!$E$6:$E$8,MATCH($F2183,Cadastro!$B$6:$B$8,0)),""))</f>
        <v/>
      </c>
      <c r="N2183" s="43" t="str">
        <f aca="false">IF(OR($L2183="",$I2183="",$I2183=0),"",$L2183/$I2183)</f>
        <v/>
      </c>
      <c r="O2183" s="51"/>
    </row>
    <row r="2184" customFormat="false" ht="15" hidden="false" customHeight="false" outlineLevel="0" collapsed="false">
      <c r="A2184" s="45"/>
      <c r="B2184" s="37" t="str">
        <f aca="false">IF($A2184="","",WEEKNUM($A2184,2))</f>
        <v/>
      </c>
      <c r="C2184" s="37" t="str">
        <f aca="false">IF($A2184="","",CHOOSE(WEEKDAY($A2184,2),"Seg","Ter","Qua","Qui","Sex","Sáb","Dom"))</f>
        <v/>
      </c>
      <c r="D2184" s="46"/>
      <c r="E2184" s="47"/>
      <c r="F2184" s="47"/>
      <c r="G2184" s="48"/>
      <c r="H2184" s="49"/>
      <c r="I2184" s="50"/>
      <c r="J2184" s="48"/>
      <c r="K2184" s="49"/>
      <c r="L2184" s="50"/>
      <c r="M2184" s="43" t="str">
        <f aca="false">IF(OR($L2184="",$F2184=""),"",IFERROR($L2184/INDEX(Cadastro!$E$6:$E$8,MATCH($F2184,Cadastro!$B$6:$B$8,0)),""))</f>
        <v/>
      </c>
      <c r="N2184" s="43" t="str">
        <f aca="false">IF(OR($L2184="",$I2184="",$I2184=0),"",$L2184/$I2184)</f>
        <v/>
      </c>
      <c r="O2184" s="51"/>
    </row>
    <row r="2185" customFormat="false" ht="15" hidden="false" customHeight="false" outlineLevel="0" collapsed="false">
      <c r="A2185" s="45"/>
      <c r="B2185" s="37" t="str">
        <f aca="false">IF($A2185="","",WEEKNUM($A2185,2))</f>
        <v/>
      </c>
      <c r="C2185" s="37" t="str">
        <f aca="false">IF($A2185="","",CHOOSE(WEEKDAY($A2185,2),"Seg","Ter","Qua","Qui","Sex","Sáb","Dom"))</f>
        <v/>
      </c>
      <c r="D2185" s="46"/>
      <c r="E2185" s="47"/>
      <c r="F2185" s="47"/>
      <c r="G2185" s="48"/>
      <c r="H2185" s="49"/>
      <c r="I2185" s="50"/>
      <c r="J2185" s="48"/>
      <c r="K2185" s="49"/>
      <c r="L2185" s="50"/>
      <c r="M2185" s="43" t="str">
        <f aca="false">IF(OR($L2185="",$F2185=""),"",IFERROR($L2185/INDEX(Cadastro!$E$6:$E$8,MATCH($F2185,Cadastro!$B$6:$B$8,0)),""))</f>
        <v/>
      </c>
      <c r="N2185" s="43" t="str">
        <f aca="false">IF(OR($L2185="",$I2185="",$I2185=0),"",$L2185/$I2185)</f>
        <v/>
      </c>
      <c r="O2185" s="51"/>
    </row>
    <row r="2186" customFormat="false" ht="15" hidden="false" customHeight="false" outlineLevel="0" collapsed="false">
      <c r="A2186" s="45"/>
      <c r="B2186" s="37" t="str">
        <f aca="false">IF($A2186="","",WEEKNUM($A2186,2))</f>
        <v/>
      </c>
      <c r="C2186" s="37" t="str">
        <f aca="false">IF($A2186="","",CHOOSE(WEEKDAY($A2186,2),"Seg","Ter","Qua","Qui","Sex","Sáb","Dom"))</f>
        <v/>
      </c>
      <c r="D2186" s="46"/>
      <c r="E2186" s="47"/>
      <c r="F2186" s="47"/>
      <c r="G2186" s="48"/>
      <c r="H2186" s="49"/>
      <c r="I2186" s="50"/>
      <c r="J2186" s="48"/>
      <c r="K2186" s="49"/>
      <c r="L2186" s="50"/>
      <c r="M2186" s="43" t="str">
        <f aca="false">IF(OR($L2186="",$F2186=""),"",IFERROR($L2186/INDEX(Cadastro!$E$6:$E$8,MATCH($F2186,Cadastro!$B$6:$B$8,0)),""))</f>
        <v/>
      </c>
      <c r="N2186" s="43" t="str">
        <f aca="false">IF(OR($L2186="",$I2186="",$I2186=0),"",$L2186/$I2186)</f>
        <v/>
      </c>
      <c r="O2186" s="51"/>
    </row>
    <row r="2187" customFormat="false" ht="15" hidden="false" customHeight="false" outlineLevel="0" collapsed="false">
      <c r="A2187" s="45"/>
      <c r="B2187" s="37" t="str">
        <f aca="false">IF($A2187="","",WEEKNUM($A2187,2))</f>
        <v/>
      </c>
      <c r="C2187" s="37" t="str">
        <f aca="false">IF($A2187="","",CHOOSE(WEEKDAY($A2187,2),"Seg","Ter","Qua","Qui","Sex","Sáb","Dom"))</f>
        <v/>
      </c>
      <c r="D2187" s="46"/>
      <c r="E2187" s="47"/>
      <c r="F2187" s="47"/>
      <c r="G2187" s="48"/>
      <c r="H2187" s="49"/>
      <c r="I2187" s="50"/>
      <c r="J2187" s="48"/>
      <c r="K2187" s="49"/>
      <c r="L2187" s="50"/>
      <c r="M2187" s="43" t="str">
        <f aca="false">IF(OR($L2187="",$F2187=""),"",IFERROR($L2187/INDEX(Cadastro!$E$6:$E$8,MATCH($F2187,Cadastro!$B$6:$B$8,0)),""))</f>
        <v/>
      </c>
      <c r="N2187" s="43" t="str">
        <f aca="false">IF(OR($L2187="",$I2187="",$I2187=0),"",$L2187/$I2187)</f>
        <v/>
      </c>
      <c r="O2187" s="51"/>
    </row>
    <row r="2188" customFormat="false" ht="15" hidden="false" customHeight="false" outlineLevel="0" collapsed="false">
      <c r="A2188" s="45"/>
      <c r="B2188" s="37" t="str">
        <f aca="false">IF($A2188="","",WEEKNUM($A2188,2))</f>
        <v/>
      </c>
      <c r="C2188" s="37" t="str">
        <f aca="false">IF($A2188="","",CHOOSE(WEEKDAY($A2188,2),"Seg","Ter","Qua","Qui","Sex","Sáb","Dom"))</f>
        <v/>
      </c>
      <c r="D2188" s="46"/>
      <c r="E2188" s="47"/>
      <c r="F2188" s="47"/>
      <c r="G2188" s="48"/>
      <c r="H2188" s="49"/>
      <c r="I2188" s="50"/>
      <c r="J2188" s="48"/>
      <c r="K2188" s="49"/>
      <c r="L2188" s="50"/>
      <c r="M2188" s="43" t="str">
        <f aca="false">IF(OR($L2188="",$F2188=""),"",IFERROR($L2188/INDEX(Cadastro!$E$6:$E$8,MATCH($F2188,Cadastro!$B$6:$B$8,0)),""))</f>
        <v/>
      </c>
      <c r="N2188" s="43" t="str">
        <f aca="false">IF(OR($L2188="",$I2188="",$I2188=0),"",$L2188/$I2188)</f>
        <v/>
      </c>
      <c r="O2188" s="51"/>
    </row>
    <row r="2189" customFormat="false" ht="15" hidden="false" customHeight="false" outlineLevel="0" collapsed="false">
      <c r="A2189" s="45"/>
      <c r="B2189" s="37" t="str">
        <f aca="false">IF($A2189="","",WEEKNUM($A2189,2))</f>
        <v/>
      </c>
      <c r="C2189" s="37" t="str">
        <f aca="false">IF($A2189="","",CHOOSE(WEEKDAY($A2189,2),"Seg","Ter","Qua","Qui","Sex","Sáb","Dom"))</f>
        <v/>
      </c>
      <c r="D2189" s="46"/>
      <c r="E2189" s="47"/>
      <c r="F2189" s="47"/>
      <c r="G2189" s="48"/>
      <c r="H2189" s="49"/>
      <c r="I2189" s="50"/>
      <c r="J2189" s="48"/>
      <c r="K2189" s="49"/>
      <c r="L2189" s="50"/>
      <c r="M2189" s="43" t="str">
        <f aca="false">IF(OR($L2189="",$F2189=""),"",IFERROR($L2189/INDEX(Cadastro!$E$6:$E$8,MATCH($F2189,Cadastro!$B$6:$B$8,0)),""))</f>
        <v/>
      </c>
      <c r="N2189" s="43" t="str">
        <f aca="false">IF(OR($L2189="",$I2189="",$I2189=0),"",$L2189/$I2189)</f>
        <v/>
      </c>
      <c r="O2189" s="51"/>
    </row>
    <row r="2190" customFormat="false" ht="15" hidden="false" customHeight="false" outlineLevel="0" collapsed="false">
      <c r="A2190" s="45"/>
      <c r="B2190" s="37" t="str">
        <f aca="false">IF($A2190="","",WEEKNUM($A2190,2))</f>
        <v/>
      </c>
      <c r="C2190" s="37" t="str">
        <f aca="false">IF($A2190="","",CHOOSE(WEEKDAY($A2190,2),"Seg","Ter","Qua","Qui","Sex","Sáb","Dom"))</f>
        <v/>
      </c>
      <c r="D2190" s="46"/>
      <c r="E2190" s="47"/>
      <c r="F2190" s="47"/>
      <c r="G2190" s="48"/>
      <c r="H2190" s="49"/>
      <c r="I2190" s="50"/>
      <c r="J2190" s="48"/>
      <c r="K2190" s="49"/>
      <c r="L2190" s="50"/>
      <c r="M2190" s="43" t="str">
        <f aca="false">IF(OR($L2190="",$F2190=""),"",IFERROR($L2190/INDEX(Cadastro!$E$6:$E$8,MATCH($F2190,Cadastro!$B$6:$B$8,0)),""))</f>
        <v/>
      </c>
      <c r="N2190" s="43" t="str">
        <f aca="false">IF(OR($L2190="",$I2190="",$I2190=0),"",$L2190/$I2190)</f>
        <v/>
      </c>
      <c r="O2190" s="51"/>
    </row>
    <row r="2191" customFormat="false" ht="15" hidden="false" customHeight="false" outlineLevel="0" collapsed="false">
      <c r="A2191" s="45"/>
      <c r="B2191" s="37" t="str">
        <f aca="false">IF($A2191="","",WEEKNUM($A2191,2))</f>
        <v/>
      </c>
      <c r="C2191" s="37" t="str">
        <f aca="false">IF($A2191="","",CHOOSE(WEEKDAY($A2191,2),"Seg","Ter","Qua","Qui","Sex","Sáb","Dom"))</f>
        <v/>
      </c>
      <c r="D2191" s="46"/>
      <c r="E2191" s="47"/>
      <c r="F2191" s="47"/>
      <c r="G2191" s="48"/>
      <c r="H2191" s="49"/>
      <c r="I2191" s="50"/>
      <c r="J2191" s="48"/>
      <c r="K2191" s="49"/>
      <c r="L2191" s="50"/>
      <c r="M2191" s="43" t="str">
        <f aca="false">IF(OR($L2191="",$F2191=""),"",IFERROR($L2191/INDEX(Cadastro!$E$6:$E$8,MATCH($F2191,Cadastro!$B$6:$B$8,0)),""))</f>
        <v/>
      </c>
      <c r="N2191" s="43" t="str">
        <f aca="false">IF(OR($L2191="",$I2191="",$I2191=0),"",$L2191/$I2191)</f>
        <v/>
      </c>
      <c r="O2191" s="51"/>
    </row>
    <row r="2192" customFormat="false" ht="15" hidden="false" customHeight="false" outlineLevel="0" collapsed="false">
      <c r="A2192" s="45"/>
      <c r="B2192" s="37" t="str">
        <f aca="false">IF($A2192="","",WEEKNUM($A2192,2))</f>
        <v/>
      </c>
      <c r="C2192" s="37" t="str">
        <f aca="false">IF($A2192="","",CHOOSE(WEEKDAY($A2192,2),"Seg","Ter","Qua","Qui","Sex","Sáb","Dom"))</f>
        <v/>
      </c>
      <c r="D2192" s="46"/>
      <c r="E2192" s="47"/>
      <c r="F2192" s="47"/>
      <c r="G2192" s="48"/>
      <c r="H2192" s="49"/>
      <c r="I2192" s="50"/>
      <c r="J2192" s="48"/>
      <c r="K2192" s="49"/>
      <c r="L2192" s="50"/>
      <c r="M2192" s="43" t="str">
        <f aca="false">IF(OR($L2192="",$F2192=""),"",IFERROR($L2192/INDEX(Cadastro!$E$6:$E$8,MATCH($F2192,Cadastro!$B$6:$B$8,0)),""))</f>
        <v/>
      </c>
      <c r="N2192" s="43" t="str">
        <f aca="false">IF(OR($L2192="",$I2192="",$I2192=0),"",$L2192/$I2192)</f>
        <v/>
      </c>
      <c r="O2192" s="51"/>
    </row>
    <row r="2193" customFormat="false" ht="15" hidden="false" customHeight="false" outlineLevel="0" collapsed="false">
      <c r="A2193" s="45"/>
      <c r="B2193" s="37" t="str">
        <f aca="false">IF($A2193="","",WEEKNUM($A2193,2))</f>
        <v/>
      </c>
      <c r="C2193" s="37" t="str">
        <f aca="false">IF($A2193="","",CHOOSE(WEEKDAY($A2193,2),"Seg","Ter","Qua","Qui","Sex","Sáb","Dom"))</f>
        <v/>
      </c>
      <c r="D2193" s="46"/>
      <c r="E2193" s="47"/>
      <c r="F2193" s="47"/>
      <c r="G2193" s="48"/>
      <c r="H2193" s="49"/>
      <c r="I2193" s="50"/>
      <c r="J2193" s="48"/>
      <c r="K2193" s="49"/>
      <c r="L2193" s="50"/>
      <c r="M2193" s="43" t="str">
        <f aca="false">IF(OR($L2193="",$F2193=""),"",IFERROR($L2193/INDEX(Cadastro!$E$6:$E$8,MATCH($F2193,Cadastro!$B$6:$B$8,0)),""))</f>
        <v/>
      </c>
      <c r="N2193" s="43" t="str">
        <f aca="false">IF(OR($L2193="",$I2193="",$I2193=0),"",$L2193/$I2193)</f>
        <v/>
      </c>
      <c r="O2193" s="51"/>
    </row>
    <row r="2194" customFormat="false" ht="15" hidden="false" customHeight="false" outlineLevel="0" collapsed="false">
      <c r="A2194" s="45"/>
      <c r="B2194" s="37" t="str">
        <f aca="false">IF($A2194="","",WEEKNUM($A2194,2))</f>
        <v/>
      </c>
      <c r="C2194" s="37" t="str">
        <f aca="false">IF($A2194="","",CHOOSE(WEEKDAY($A2194,2),"Seg","Ter","Qua","Qui","Sex","Sáb","Dom"))</f>
        <v/>
      </c>
      <c r="D2194" s="46"/>
      <c r="E2194" s="47"/>
      <c r="F2194" s="47"/>
      <c r="G2194" s="48"/>
      <c r="H2194" s="49"/>
      <c r="I2194" s="50"/>
      <c r="J2194" s="48"/>
      <c r="K2194" s="49"/>
      <c r="L2194" s="50"/>
      <c r="M2194" s="43" t="str">
        <f aca="false">IF(OR($L2194="",$F2194=""),"",IFERROR($L2194/INDEX(Cadastro!$E$6:$E$8,MATCH($F2194,Cadastro!$B$6:$B$8,0)),""))</f>
        <v/>
      </c>
      <c r="N2194" s="43" t="str">
        <f aca="false">IF(OR($L2194="",$I2194="",$I2194=0),"",$L2194/$I2194)</f>
        <v/>
      </c>
      <c r="O2194" s="51"/>
    </row>
    <row r="2195" customFormat="false" ht="15" hidden="false" customHeight="false" outlineLevel="0" collapsed="false">
      <c r="A2195" s="45"/>
      <c r="B2195" s="37" t="str">
        <f aca="false">IF($A2195="","",WEEKNUM($A2195,2))</f>
        <v/>
      </c>
      <c r="C2195" s="37" t="str">
        <f aca="false">IF($A2195="","",CHOOSE(WEEKDAY($A2195,2),"Seg","Ter","Qua","Qui","Sex","Sáb","Dom"))</f>
        <v/>
      </c>
      <c r="D2195" s="46"/>
      <c r="E2195" s="47"/>
      <c r="F2195" s="47"/>
      <c r="G2195" s="48"/>
      <c r="H2195" s="49"/>
      <c r="I2195" s="50"/>
      <c r="J2195" s="48"/>
      <c r="K2195" s="49"/>
      <c r="L2195" s="50"/>
      <c r="M2195" s="43" t="str">
        <f aca="false">IF(OR($L2195="",$F2195=""),"",IFERROR($L2195/INDEX(Cadastro!$E$6:$E$8,MATCH($F2195,Cadastro!$B$6:$B$8,0)),""))</f>
        <v/>
      </c>
      <c r="N2195" s="43" t="str">
        <f aca="false">IF(OR($L2195="",$I2195="",$I2195=0),"",$L2195/$I2195)</f>
        <v/>
      </c>
      <c r="O2195" s="51"/>
    </row>
    <row r="2196" customFormat="false" ht="15" hidden="false" customHeight="false" outlineLevel="0" collapsed="false">
      <c r="A2196" s="45"/>
      <c r="B2196" s="37" t="str">
        <f aca="false">IF($A2196="","",WEEKNUM($A2196,2))</f>
        <v/>
      </c>
      <c r="C2196" s="37" t="str">
        <f aca="false">IF($A2196="","",CHOOSE(WEEKDAY($A2196,2),"Seg","Ter","Qua","Qui","Sex","Sáb","Dom"))</f>
        <v/>
      </c>
      <c r="D2196" s="46"/>
      <c r="E2196" s="47"/>
      <c r="F2196" s="47"/>
      <c r="G2196" s="48"/>
      <c r="H2196" s="49"/>
      <c r="I2196" s="50"/>
      <c r="J2196" s="48"/>
      <c r="K2196" s="49"/>
      <c r="L2196" s="50"/>
      <c r="M2196" s="43" t="str">
        <f aca="false">IF(OR($L2196="",$F2196=""),"",IFERROR($L2196/INDEX(Cadastro!$E$6:$E$8,MATCH($F2196,Cadastro!$B$6:$B$8,0)),""))</f>
        <v/>
      </c>
      <c r="N2196" s="43" t="str">
        <f aca="false">IF(OR($L2196="",$I2196="",$I2196=0),"",$L2196/$I2196)</f>
        <v/>
      </c>
      <c r="O2196" s="51"/>
    </row>
    <row r="2197" customFormat="false" ht="15" hidden="false" customHeight="false" outlineLevel="0" collapsed="false">
      <c r="A2197" s="45"/>
      <c r="B2197" s="37" t="str">
        <f aca="false">IF($A2197="","",WEEKNUM($A2197,2))</f>
        <v/>
      </c>
      <c r="C2197" s="37" t="str">
        <f aca="false">IF($A2197="","",CHOOSE(WEEKDAY($A2197,2),"Seg","Ter","Qua","Qui","Sex","Sáb","Dom"))</f>
        <v/>
      </c>
      <c r="D2197" s="46"/>
      <c r="E2197" s="47"/>
      <c r="F2197" s="47"/>
      <c r="G2197" s="48"/>
      <c r="H2197" s="49"/>
      <c r="I2197" s="50"/>
      <c r="J2197" s="48"/>
      <c r="K2197" s="49"/>
      <c r="L2197" s="50"/>
      <c r="M2197" s="43" t="str">
        <f aca="false">IF(OR($L2197="",$F2197=""),"",IFERROR($L2197/INDEX(Cadastro!$E$6:$E$8,MATCH($F2197,Cadastro!$B$6:$B$8,0)),""))</f>
        <v/>
      </c>
      <c r="N2197" s="43" t="str">
        <f aca="false">IF(OR($L2197="",$I2197="",$I2197=0),"",$L2197/$I2197)</f>
        <v/>
      </c>
      <c r="O2197" s="51"/>
    </row>
    <row r="2198" customFormat="false" ht="15" hidden="false" customHeight="false" outlineLevel="0" collapsed="false">
      <c r="A2198" s="45"/>
      <c r="B2198" s="37" t="str">
        <f aca="false">IF($A2198="","",WEEKNUM($A2198,2))</f>
        <v/>
      </c>
      <c r="C2198" s="37" t="str">
        <f aca="false">IF($A2198="","",CHOOSE(WEEKDAY($A2198,2),"Seg","Ter","Qua","Qui","Sex","Sáb","Dom"))</f>
        <v/>
      </c>
      <c r="D2198" s="46"/>
      <c r="E2198" s="47"/>
      <c r="F2198" s="47"/>
      <c r="G2198" s="48"/>
      <c r="H2198" s="49"/>
      <c r="I2198" s="50"/>
      <c r="J2198" s="48"/>
      <c r="K2198" s="49"/>
      <c r="L2198" s="50"/>
      <c r="M2198" s="43" t="str">
        <f aca="false">IF(OR($L2198="",$F2198=""),"",IFERROR($L2198/INDEX(Cadastro!$E$6:$E$8,MATCH($F2198,Cadastro!$B$6:$B$8,0)),""))</f>
        <v/>
      </c>
      <c r="N2198" s="43" t="str">
        <f aca="false">IF(OR($L2198="",$I2198="",$I2198=0),"",$L2198/$I2198)</f>
        <v/>
      </c>
      <c r="O2198" s="51"/>
    </row>
    <row r="2199" customFormat="false" ht="15" hidden="false" customHeight="false" outlineLevel="0" collapsed="false">
      <c r="A2199" s="45"/>
      <c r="B2199" s="37" t="str">
        <f aca="false">IF($A2199="","",WEEKNUM($A2199,2))</f>
        <v/>
      </c>
      <c r="C2199" s="37" t="str">
        <f aca="false">IF($A2199="","",CHOOSE(WEEKDAY($A2199,2),"Seg","Ter","Qua","Qui","Sex","Sáb","Dom"))</f>
        <v/>
      </c>
      <c r="D2199" s="46"/>
      <c r="E2199" s="47"/>
      <c r="F2199" s="47"/>
      <c r="G2199" s="48"/>
      <c r="H2199" s="49"/>
      <c r="I2199" s="50"/>
      <c r="J2199" s="48"/>
      <c r="K2199" s="49"/>
      <c r="L2199" s="50"/>
      <c r="M2199" s="43" t="str">
        <f aca="false">IF(OR($L2199="",$F2199=""),"",IFERROR($L2199/INDEX(Cadastro!$E$6:$E$8,MATCH($F2199,Cadastro!$B$6:$B$8,0)),""))</f>
        <v/>
      </c>
      <c r="N2199" s="43" t="str">
        <f aca="false">IF(OR($L2199="",$I2199="",$I2199=0),"",$L2199/$I2199)</f>
        <v/>
      </c>
      <c r="O2199" s="51"/>
    </row>
    <row r="2200" customFormat="false" ht="15" hidden="false" customHeight="false" outlineLevel="0" collapsed="false">
      <c r="A2200" s="45"/>
      <c r="B2200" s="37" t="str">
        <f aca="false">IF($A2200="","",WEEKNUM($A2200,2))</f>
        <v/>
      </c>
      <c r="C2200" s="37" t="str">
        <f aca="false">IF($A2200="","",CHOOSE(WEEKDAY($A2200,2),"Seg","Ter","Qua","Qui","Sex","Sáb","Dom"))</f>
        <v/>
      </c>
      <c r="D2200" s="46"/>
      <c r="E2200" s="47"/>
      <c r="F2200" s="47"/>
      <c r="G2200" s="48"/>
      <c r="H2200" s="49"/>
      <c r="I2200" s="50"/>
      <c r="J2200" s="48"/>
      <c r="K2200" s="49"/>
      <c r="L2200" s="50"/>
      <c r="M2200" s="43" t="str">
        <f aca="false">IF(OR($L2200="",$F2200=""),"",IFERROR($L2200/INDEX(Cadastro!$E$6:$E$8,MATCH($F2200,Cadastro!$B$6:$B$8,0)),""))</f>
        <v/>
      </c>
      <c r="N2200" s="43" t="str">
        <f aca="false">IF(OR($L2200="",$I2200="",$I2200=0),"",$L2200/$I2200)</f>
        <v/>
      </c>
      <c r="O2200" s="51"/>
    </row>
    <row r="2201" customFormat="false" ht="15" hidden="false" customHeight="false" outlineLevel="0" collapsed="false">
      <c r="A2201" s="45"/>
      <c r="B2201" s="37" t="str">
        <f aca="false">IF($A2201="","",WEEKNUM($A2201,2))</f>
        <v/>
      </c>
      <c r="C2201" s="37" t="str">
        <f aca="false">IF($A2201="","",CHOOSE(WEEKDAY($A2201,2),"Seg","Ter","Qua","Qui","Sex","Sáb","Dom"))</f>
        <v/>
      </c>
      <c r="D2201" s="46"/>
      <c r="E2201" s="47"/>
      <c r="F2201" s="47"/>
      <c r="G2201" s="48"/>
      <c r="H2201" s="49"/>
      <c r="I2201" s="50"/>
      <c r="J2201" s="48"/>
      <c r="K2201" s="49"/>
      <c r="L2201" s="50"/>
      <c r="M2201" s="43" t="str">
        <f aca="false">IF(OR($L2201="",$F2201=""),"",IFERROR($L2201/INDEX(Cadastro!$E$6:$E$8,MATCH($F2201,Cadastro!$B$6:$B$8,0)),""))</f>
        <v/>
      </c>
      <c r="N2201" s="43" t="str">
        <f aca="false">IF(OR($L2201="",$I2201="",$I2201=0),"",$L2201/$I2201)</f>
        <v/>
      </c>
      <c r="O2201" s="51"/>
    </row>
    <row r="2202" customFormat="false" ht="15" hidden="false" customHeight="false" outlineLevel="0" collapsed="false">
      <c r="A2202" s="45"/>
      <c r="B2202" s="37" t="str">
        <f aca="false">IF($A2202="","",WEEKNUM($A2202,2))</f>
        <v/>
      </c>
      <c r="C2202" s="37" t="str">
        <f aca="false">IF($A2202="","",CHOOSE(WEEKDAY($A2202,2),"Seg","Ter","Qua","Qui","Sex","Sáb","Dom"))</f>
        <v/>
      </c>
      <c r="D2202" s="46"/>
      <c r="E2202" s="47"/>
      <c r="F2202" s="47"/>
      <c r="G2202" s="48"/>
      <c r="H2202" s="49"/>
      <c r="I2202" s="50"/>
      <c r="J2202" s="48"/>
      <c r="K2202" s="49"/>
      <c r="L2202" s="50"/>
      <c r="M2202" s="43" t="str">
        <f aca="false">IF(OR($L2202="",$F2202=""),"",IFERROR($L2202/INDEX(Cadastro!$E$6:$E$8,MATCH($F2202,Cadastro!$B$6:$B$8,0)),""))</f>
        <v/>
      </c>
      <c r="N2202" s="43" t="str">
        <f aca="false">IF(OR($L2202="",$I2202="",$I2202=0),"",$L2202/$I2202)</f>
        <v/>
      </c>
      <c r="O2202" s="51"/>
    </row>
    <row r="2203" customFormat="false" ht="15" hidden="false" customHeight="false" outlineLevel="0" collapsed="false">
      <c r="A2203" s="45"/>
      <c r="B2203" s="37" t="str">
        <f aca="false">IF($A2203="","",WEEKNUM($A2203,2))</f>
        <v/>
      </c>
      <c r="C2203" s="37" t="str">
        <f aca="false">IF($A2203="","",CHOOSE(WEEKDAY($A2203,2),"Seg","Ter","Qua","Qui","Sex","Sáb","Dom"))</f>
        <v/>
      </c>
      <c r="D2203" s="46"/>
      <c r="E2203" s="47"/>
      <c r="F2203" s="47"/>
      <c r="G2203" s="48"/>
      <c r="H2203" s="49"/>
      <c r="I2203" s="50"/>
      <c r="J2203" s="48"/>
      <c r="K2203" s="49"/>
      <c r="L2203" s="50"/>
      <c r="M2203" s="43" t="str">
        <f aca="false">IF(OR($L2203="",$F2203=""),"",IFERROR($L2203/INDEX(Cadastro!$E$6:$E$8,MATCH($F2203,Cadastro!$B$6:$B$8,0)),""))</f>
        <v/>
      </c>
      <c r="N2203" s="43" t="str">
        <f aca="false">IF(OR($L2203="",$I2203="",$I2203=0),"",$L2203/$I2203)</f>
        <v/>
      </c>
      <c r="O2203" s="51"/>
    </row>
    <row r="2204" customFormat="false" ht="15" hidden="false" customHeight="false" outlineLevel="0" collapsed="false">
      <c r="A2204" s="45"/>
      <c r="B2204" s="37" t="str">
        <f aca="false">IF($A2204="","",WEEKNUM($A2204,2))</f>
        <v/>
      </c>
      <c r="C2204" s="37" t="str">
        <f aca="false">IF($A2204="","",CHOOSE(WEEKDAY($A2204,2),"Seg","Ter","Qua","Qui","Sex","Sáb","Dom"))</f>
        <v/>
      </c>
      <c r="D2204" s="46"/>
      <c r="E2204" s="47"/>
      <c r="F2204" s="47"/>
      <c r="G2204" s="48"/>
      <c r="H2204" s="49"/>
      <c r="I2204" s="50"/>
      <c r="J2204" s="48"/>
      <c r="K2204" s="49"/>
      <c r="L2204" s="50"/>
      <c r="M2204" s="43" t="str">
        <f aca="false">IF(OR($L2204="",$F2204=""),"",IFERROR($L2204/INDEX(Cadastro!$E$6:$E$8,MATCH($F2204,Cadastro!$B$6:$B$8,0)),""))</f>
        <v/>
      </c>
      <c r="N2204" s="43" t="str">
        <f aca="false">IF(OR($L2204="",$I2204="",$I2204=0),"",$L2204/$I2204)</f>
        <v/>
      </c>
      <c r="O2204" s="51"/>
    </row>
    <row r="2205" customFormat="false" ht="15" hidden="false" customHeight="false" outlineLevel="0" collapsed="false">
      <c r="A2205" s="45"/>
      <c r="B2205" s="37" t="str">
        <f aca="false">IF($A2205="","",WEEKNUM($A2205,2))</f>
        <v/>
      </c>
      <c r="C2205" s="37" t="str">
        <f aca="false">IF($A2205="","",CHOOSE(WEEKDAY($A2205,2),"Seg","Ter","Qua","Qui","Sex","Sáb","Dom"))</f>
        <v/>
      </c>
      <c r="D2205" s="46"/>
      <c r="E2205" s="47"/>
      <c r="F2205" s="47"/>
      <c r="G2205" s="48"/>
      <c r="H2205" s="49"/>
      <c r="I2205" s="50"/>
      <c r="J2205" s="48"/>
      <c r="K2205" s="49"/>
      <c r="L2205" s="50"/>
      <c r="M2205" s="43" t="str">
        <f aca="false">IF(OR($L2205="",$F2205=""),"",IFERROR($L2205/INDEX(Cadastro!$E$6:$E$8,MATCH($F2205,Cadastro!$B$6:$B$8,0)),""))</f>
        <v/>
      </c>
      <c r="N2205" s="43" t="str">
        <f aca="false">IF(OR($L2205="",$I2205="",$I2205=0),"",$L2205/$I2205)</f>
        <v/>
      </c>
      <c r="O2205" s="51"/>
    </row>
    <row r="2206" customFormat="false" ht="15" hidden="false" customHeight="false" outlineLevel="0" collapsed="false">
      <c r="A2206" s="45"/>
      <c r="B2206" s="37" t="str">
        <f aca="false">IF($A2206="","",WEEKNUM($A2206,2))</f>
        <v/>
      </c>
      <c r="C2206" s="37" t="str">
        <f aca="false">IF($A2206="","",CHOOSE(WEEKDAY($A2206,2),"Seg","Ter","Qua","Qui","Sex","Sáb","Dom"))</f>
        <v/>
      </c>
      <c r="D2206" s="46"/>
      <c r="E2206" s="47"/>
      <c r="F2206" s="47"/>
      <c r="G2206" s="48"/>
      <c r="H2206" s="49"/>
      <c r="I2206" s="50"/>
      <c r="J2206" s="48"/>
      <c r="K2206" s="49"/>
      <c r="L2206" s="50"/>
      <c r="M2206" s="43" t="str">
        <f aca="false">IF(OR($L2206="",$F2206=""),"",IFERROR($L2206/INDEX(Cadastro!$E$6:$E$8,MATCH($F2206,Cadastro!$B$6:$B$8,0)),""))</f>
        <v/>
      </c>
      <c r="N2206" s="43" t="str">
        <f aca="false">IF(OR($L2206="",$I2206="",$I2206=0),"",$L2206/$I2206)</f>
        <v/>
      </c>
      <c r="O2206" s="51"/>
    </row>
    <row r="2207" customFormat="false" ht="15" hidden="false" customHeight="false" outlineLevel="0" collapsed="false">
      <c r="A2207" s="45"/>
      <c r="B2207" s="37" t="str">
        <f aca="false">IF($A2207="","",WEEKNUM($A2207,2))</f>
        <v/>
      </c>
      <c r="C2207" s="37" t="str">
        <f aca="false">IF($A2207="","",CHOOSE(WEEKDAY($A2207,2),"Seg","Ter","Qua","Qui","Sex","Sáb","Dom"))</f>
        <v/>
      </c>
      <c r="D2207" s="46"/>
      <c r="E2207" s="47"/>
      <c r="F2207" s="47"/>
      <c r="G2207" s="48"/>
      <c r="H2207" s="49"/>
      <c r="I2207" s="50"/>
      <c r="J2207" s="48"/>
      <c r="K2207" s="49"/>
      <c r="L2207" s="50"/>
      <c r="M2207" s="43" t="str">
        <f aca="false">IF(OR($L2207="",$F2207=""),"",IFERROR($L2207/INDEX(Cadastro!$E$6:$E$8,MATCH($F2207,Cadastro!$B$6:$B$8,0)),""))</f>
        <v/>
      </c>
      <c r="N2207" s="43" t="str">
        <f aca="false">IF(OR($L2207="",$I2207="",$I2207=0),"",$L2207/$I2207)</f>
        <v/>
      </c>
      <c r="O2207" s="51"/>
    </row>
    <row r="2208" customFormat="false" ht="15" hidden="false" customHeight="false" outlineLevel="0" collapsed="false">
      <c r="A2208" s="45"/>
      <c r="B2208" s="37" t="str">
        <f aca="false">IF($A2208="","",WEEKNUM($A2208,2))</f>
        <v/>
      </c>
      <c r="C2208" s="37" t="str">
        <f aca="false">IF($A2208="","",CHOOSE(WEEKDAY($A2208,2),"Seg","Ter","Qua","Qui","Sex","Sáb","Dom"))</f>
        <v/>
      </c>
      <c r="D2208" s="46"/>
      <c r="E2208" s="47"/>
      <c r="F2208" s="47"/>
      <c r="G2208" s="48"/>
      <c r="H2208" s="49"/>
      <c r="I2208" s="50"/>
      <c r="J2208" s="48"/>
      <c r="K2208" s="49"/>
      <c r="L2208" s="50"/>
      <c r="M2208" s="43" t="str">
        <f aca="false">IF(OR($L2208="",$F2208=""),"",IFERROR($L2208/INDEX(Cadastro!$E$6:$E$8,MATCH($F2208,Cadastro!$B$6:$B$8,0)),""))</f>
        <v/>
      </c>
      <c r="N2208" s="43" t="str">
        <f aca="false">IF(OR($L2208="",$I2208="",$I2208=0),"",$L2208/$I2208)</f>
        <v/>
      </c>
      <c r="O2208" s="51"/>
    </row>
    <row r="2209" customFormat="false" ht="15" hidden="false" customHeight="false" outlineLevel="0" collapsed="false">
      <c r="A2209" s="45"/>
      <c r="B2209" s="37" t="str">
        <f aca="false">IF($A2209="","",WEEKNUM($A2209,2))</f>
        <v/>
      </c>
      <c r="C2209" s="37" t="str">
        <f aca="false">IF($A2209="","",CHOOSE(WEEKDAY($A2209,2),"Seg","Ter","Qua","Qui","Sex","Sáb","Dom"))</f>
        <v/>
      </c>
      <c r="D2209" s="46"/>
      <c r="E2209" s="47"/>
      <c r="F2209" s="47"/>
      <c r="G2209" s="48"/>
      <c r="H2209" s="49"/>
      <c r="I2209" s="50"/>
      <c r="J2209" s="48"/>
      <c r="K2209" s="49"/>
      <c r="L2209" s="50"/>
      <c r="M2209" s="43" t="str">
        <f aca="false">IF(OR($L2209="",$F2209=""),"",IFERROR($L2209/INDEX(Cadastro!$E$6:$E$8,MATCH($F2209,Cadastro!$B$6:$B$8,0)),""))</f>
        <v/>
      </c>
      <c r="N2209" s="43" t="str">
        <f aca="false">IF(OR($L2209="",$I2209="",$I2209=0),"",$L2209/$I2209)</f>
        <v/>
      </c>
      <c r="O2209" s="51"/>
    </row>
    <row r="2210" customFormat="false" ht="15" hidden="false" customHeight="false" outlineLevel="0" collapsed="false">
      <c r="A2210" s="45"/>
      <c r="B2210" s="37" t="str">
        <f aca="false">IF($A2210="","",WEEKNUM($A2210,2))</f>
        <v/>
      </c>
      <c r="C2210" s="37" t="str">
        <f aca="false">IF($A2210="","",CHOOSE(WEEKDAY($A2210,2),"Seg","Ter","Qua","Qui","Sex","Sáb","Dom"))</f>
        <v/>
      </c>
      <c r="D2210" s="46"/>
      <c r="E2210" s="47"/>
      <c r="F2210" s="47"/>
      <c r="G2210" s="48"/>
      <c r="H2210" s="49"/>
      <c r="I2210" s="50"/>
      <c r="J2210" s="48"/>
      <c r="K2210" s="49"/>
      <c r="L2210" s="50"/>
      <c r="M2210" s="43" t="str">
        <f aca="false">IF(OR($L2210="",$F2210=""),"",IFERROR($L2210/INDEX(Cadastro!$E$6:$E$8,MATCH($F2210,Cadastro!$B$6:$B$8,0)),""))</f>
        <v/>
      </c>
      <c r="N2210" s="43" t="str">
        <f aca="false">IF(OR($L2210="",$I2210="",$I2210=0),"",$L2210/$I2210)</f>
        <v/>
      </c>
      <c r="O2210" s="51"/>
    </row>
    <row r="2211" customFormat="false" ht="15" hidden="false" customHeight="false" outlineLevel="0" collapsed="false">
      <c r="A2211" s="45"/>
      <c r="B2211" s="37" t="str">
        <f aca="false">IF($A2211="","",WEEKNUM($A2211,2))</f>
        <v/>
      </c>
      <c r="C2211" s="37" t="str">
        <f aca="false">IF($A2211="","",CHOOSE(WEEKDAY($A2211,2),"Seg","Ter","Qua","Qui","Sex","Sáb","Dom"))</f>
        <v/>
      </c>
      <c r="D2211" s="46"/>
      <c r="E2211" s="47"/>
      <c r="F2211" s="47"/>
      <c r="G2211" s="48"/>
      <c r="H2211" s="49"/>
      <c r="I2211" s="50"/>
      <c r="J2211" s="48"/>
      <c r="K2211" s="49"/>
      <c r="L2211" s="50"/>
      <c r="M2211" s="43" t="str">
        <f aca="false">IF(OR($L2211="",$F2211=""),"",IFERROR($L2211/INDEX(Cadastro!$E$6:$E$8,MATCH($F2211,Cadastro!$B$6:$B$8,0)),""))</f>
        <v/>
      </c>
      <c r="N2211" s="43" t="str">
        <f aca="false">IF(OR($L2211="",$I2211="",$I2211=0),"",$L2211/$I2211)</f>
        <v/>
      </c>
      <c r="O2211" s="51"/>
    </row>
    <row r="2212" customFormat="false" ht="15" hidden="false" customHeight="false" outlineLevel="0" collapsed="false">
      <c r="A2212" s="45"/>
      <c r="B2212" s="37" t="str">
        <f aca="false">IF($A2212="","",WEEKNUM($A2212,2))</f>
        <v/>
      </c>
      <c r="C2212" s="37" t="str">
        <f aca="false">IF($A2212="","",CHOOSE(WEEKDAY($A2212,2),"Seg","Ter","Qua","Qui","Sex","Sáb","Dom"))</f>
        <v/>
      </c>
      <c r="D2212" s="46"/>
      <c r="E2212" s="47"/>
      <c r="F2212" s="47"/>
      <c r="G2212" s="48"/>
      <c r="H2212" s="49"/>
      <c r="I2212" s="50"/>
      <c r="J2212" s="48"/>
      <c r="K2212" s="49"/>
      <c r="L2212" s="50"/>
      <c r="M2212" s="43" t="str">
        <f aca="false">IF(OR($L2212="",$F2212=""),"",IFERROR($L2212/INDEX(Cadastro!$E$6:$E$8,MATCH($F2212,Cadastro!$B$6:$B$8,0)),""))</f>
        <v/>
      </c>
      <c r="N2212" s="43" t="str">
        <f aca="false">IF(OR($L2212="",$I2212="",$I2212=0),"",$L2212/$I2212)</f>
        <v/>
      </c>
      <c r="O2212" s="51"/>
    </row>
    <row r="2213" customFormat="false" ht="15" hidden="false" customHeight="false" outlineLevel="0" collapsed="false">
      <c r="A2213" s="45"/>
      <c r="B2213" s="37" t="str">
        <f aca="false">IF($A2213="","",WEEKNUM($A2213,2))</f>
        <v/>
      </c>
      <c r="C2213" s="37" t="str">
        <f aca="false">IF($A2213="","",CHOOSE(WEEKDAY($A2213,2),"Seg","Ter","Qua","Qui","Sex","Sáb","Dom"))</f>
        <v/>
      </c>
      <c r="D2213" s="46"/>
      <c r="E2213" s="47"/>
      <c r="F2213" s="47"/>
      <c r="G2213" s="48"/>
      <c r="H2213" s="49"/>
      <c r="I2213" s="50"/>
      <c r="J2213" s="48"/>
      <c r="K2213" s="49"/>
      <c r="L2213" s="50"/>
      <c r="M2213" s="43" t="str">
        <f aca="false">IF(OR($L2213="",$F2213=""),"",IFERROR($L2213/INDEX(Cadastro!$E$6:$E$8,MATCH($F2213,Cadastro!$B$6:$B$8,0)),""))</f>
        <v/>
      </c>
      <c r="N2213" s="43" t="str">
        <f aca="false">IF(OR($L2213="",$I2213="",$I2213=0),"",$L2213/$I2213)</f>
        <v/>
      </c>
      <c r="O2213" s="51"/>
    </row>
    <row r="2214" customFormat="false" ht="15" hidden="false" customHeight="false" outlineLevel="0" collapsed="false">
      <c r="A2214" s="45"/>
      <c r="B2214" s="37" t="str">
        <f aca="false">IF($A2214="","",WEEKNUM($A2214,2))</f>
        <v/>
      </c>
      <c r="C2214" s="37" t="str">
        <f aca="false">IF($A2214="","",CHOOSE(WEEKDAY($A2214,2),"Seg","Ter","Qua","Qui","Sex","Sáb","Dom"))</f>
        <v/>
      </c>
      <c r="D2214" s="46"/>
      <c r="E2214" s="47"/>
      <c r="F2214" s="47"/>
      <c r="G2214" s="48"/>
      <c r="H2214" s="49"/>
      <c r="I2214" s="50"/>
      <c r="J2214" s="48"/>
      <c r="K2214" s="49"/>
      <c r="L2214" s="50"/>
      <c r="M2214" s="43" t="str">
        <f aca="false">IF(OR($L2214="",$F2214=""),"",IFERROR($L2214/INDEX(Cadastro!$E$6:$E$8,MATCH($F2214,Cadastro!$B$6:$B$8,0)),""))</f>
        <v/>
      </c>
      <c r="N2214" s="43" t="str">
        <f aca="false">IF(OR($L2214="",$I2214="",$I2214=0),"",$L2214/$I2214)</f>
        <v/>
      </c>
      <c r="O2214" s="51"/>
    </row>
    <row r="2215" customFormat="false" ht="15" hidden="false" customHeight="false" outlineLevel="0" collapsed="false">
      <c r="A2215" s="45"/>
      <c r="B2215" s="37" t="str">
        <f aca="false">IF($A2215="","",WEEKNUM($A2215,2))</f>
        <v/>
      </c>
      <c r="C2215" s="37" t="str">
        <f aca="false">IF($A2215="","",CHOOSE(WEEKDAY($A2215,2),"Seg","Ter","Qua","Qui","Sex","Sáb","Dom"))</f>
        <v/>
      </c>
      <c r="D2215" s="46"/>
      <c r="E2215" s="47"/>
      <c r="F2215" s="47"/>
      <c r="G2215" s="48"/>
      <c r="H2215" s="49"/>
      <c r="I2215" s="50"/>
      <c r="J2215" s="48"/>
      <c r="K2215" s="49"/>
      <c r="L2215" s="50"/>
      <c r="M2215" s="43" t="str">
        <f aca="false">IF(OR($L2215="",$F2215=""),"",IFERROR($L2215/INDEX(Cadastro!$E$6:$E$8,MATCH($F2215,Cadastro!$B$6:$B$8,0)),""))</f>
        <v/>
      </c>
      <c r="N2215" s="43" t="str">
        <f aca="false">IF(OR($L2215="",$I2215="",$I2215=0),"",$L2215/$I2215)</f>
        <v/>
      </c>
      <c r="O2215" s="51"/>
    </row>
    <row r="2216" customFormat="false" ht="15" hidden="false" customHeight="false" outlineLevel="0" collapsed="false">
      <c r="A2216" s="45"/>
      <c r="B2216" s="37" t="str">
        <f aca="false">IF($A2216="","",WEEKNUM($A2216,2))</f>
        <v/>
      </c>
      <c r="C2216" s="37" t="str">
        <f aca="false">IF($A2216="","",CHOOSE(WEEKDAY($A2216,2),"Seg","Ter","Qua","Qui","Sex","Sáb","Dom"))</f>
        <v/>
      </c>
      <c r="D2216" s="46"/>
      <c r="E2216" s="47"/>
      <c r="F2216" s="47"/>
      <c r="G2216" s="48"/>
      <c r="H2216" s="49"/>
      <c r="I2216" s="50"/>
      <c r="J2216" s="48"/>
      <c r="K2216" s="49"/>
      <c r="L2216" s="50"/>
      <c r="M2216" s="43" t="str">
        <f aca="false">IF(OR($L2216="",$F2216=""),"",IFERROR($L2216/INDEX(Cadastro!$E$6:$E$8,MATCH($F2216,Cadastro!$B$6:$B$8,0)),""))</f>
        <v/>
      </c>
      <c r="N2216" s="43" t="str">
        <f aca="false">IF(OR($L2216="",$I2216="",$I2216=0),"",$L2216/$I2216)</f>
        <v/>
      </c>
      <c r="O2216" s="51"/>
    </row>
    <row r="2217" customFormat="false" ht="15" hidden="false" customHeight="false" outlineLevel="0" collapsed="false">
      <c r="A2217" s="45"/>
      <c r="B2217" s="37" t="str">
        <f aca="false">IF($A2217="","",WEEKNUM($A2217,2))</f>
        <v/>
      </c>
      <c r="C2217" s="37" t="str">
        <f aca="false">IF($A2217="","",CHOOSE(WEEKDAY($A2217,2),"Seg","Ter","Qua","Qui","Sex","Sáb","Dom"))</f>
        <v/>
      </c>
      <c r="D2217" s="46"/>
      <c r="E2217" s="47"/>
      <c r="F2217" s="47"/>
      <c r="G2217" s="48"/>
      <c r="H2217" s="49"/>
      <c r="I2217" s="50"/>
      <c r="J2217" s="48"/>
      <c r="K2217" s="49"/>
      <c r="L2217" s="50"/>
      <c r="M2217" s="43" t="str">
        <f aca="false">IF(OR($L2217="",$F2217=""),"",IFERROR($L2217/INDEX(Cadastro!$E$6:$E$8,MATCH($F2217,Cadastro!$B$6:$B$8,0)),""))</f>
        <v/>
      </c>
      <c r="N2217" s="43" t="str">
        <f aca="false">IF(OR($L2217="",$I2217="",$I2217=0),"",$L2217/$I2217)</f>
        <v/>
      </c>
      <c r="O2217" s="51"/>
    </row>
    <row r="2218" customFormat="false" ht="15" hidden="false" customHeight="false" outlineLevel="0" collapsed="false">
      <c r="A2218" s="45"/>
      <c r="B2218" s="37" t="str">
        <f aca="false">IF($A2218="","",WEEKNUM($A2218,2))</f>
        <v/>
      </c>
      <c r="C2218" s="37" t="str">
        <f aca="false">IF($A2218="","",CHOOSE(WEEKDAY($A2218,2),"Seg","Ter","Qua","Qui","Sex","Sáb","Dom"))</f>
        <v/>
      </c>
      <c r="D2218" s="46"/>
      <c r="E2218" s="47"/>
      <c r="F2218" s="47"/>
      <c r="G2218" s="48"/>
      <c r="H2218" s="49"/>
      <c r="I2218" s="50"/>
      <c r="J2218" s="48"/>
      <c r="K2218" s="49"/>
      <c r="L2218" s="50"/>
      <c r="M2218" s="43" t="str">
        <f aca="false">IF(OR($L2218="",$F2218=""),"",IFERROR($L2218/INDEX(Cadastro!$E$6:$E$8,MATCH($F2218,Cadastro!$B$6:$B$8,0)),""))</f>
        <v/>
      </c>
      <c r="N2218" s="43" t="str">
        <f aca="false">IF(OR($L2218="",$I2218="",$I2218=0),"",$L2218/$I2218)</f>
        <v/>
      </c>
      <c r="O2218" s="51"/>
    </row>
    <row r="2219" customFormat="false" ht="15" hidden="false" customHeight="false" outlineLevel="0" collapsed="false">
      <c r="A2219" s="45"/>
      <c r="B2219" s="37" t="str">
        <f aca="false">IF($A2219="","",WEEKNUM($A2219,2))</f>
        <v/>
      </c>
      <c r="C2219" s="37" t="str">
        <f aca="false">IF($A2219="","",CHOOSE(WEEKDAY($A2219,2),"Seg","Ter","Qua","Qui","Sex","Sáb","Dom"))</f>
        <v/>
      </c>
      <c r="D2219" s="46"/>
      <c r="E2219" s="47"/>
      <c r="F2219" s="47"/>
      <c r="G2219" s="48"/>
      <c r="H2219" s="49"/>
      <c r="I2219" s="50"/>
      <c r="J2219" s="48"/>
      <c r="K2219" s="49"/>
      <c r="L2219" s="50"/>
      <c r="M2219" s="43" t="str">
        <f aca="false">IF(OR($L2219="",$F2219=""),"",IFERROR($L2219/INDEX(Cadastro!$E$6:$E$8,MATCH($F2219,Cadastro!$B$6:$B$8,0)),""))</f>
        <v/>
      </c>
      <c r="N2219" s="43" t="str">
        <f aca="false">IF(OR($L2219="",$I2219="",$I2219=0),"",$L2219/$I2219)</f>
        <v/>
      </c>
      <c r="O2219" s="51"/>
    </row>
    <row r="2220" customFormat="false" ht="15" hidden="false" customHeight="false" outlineLevel="0" collapsed="false">
      <c r="A2220" s="45"/>
      <c r="B2220" s="37" t="str">
        <f aca="false">IF($A2220="","",WEEKNUM($A2220,2))</f>
        <v/>
      </c>
      <c r="C2220" s="37" t="str">
        <f aca="false">IF($A2220="","",CHOOSE(WEEKDAY($A2220,2),"Seg","Ter","Qua","Qui","Sex","Sáb","Dom"))</f>
        <v/>
      </c>
      <c r="D2220" s="46"/>
      <c r="E2220" s="47"/>
      <c r="F2220" s="47"/>
      <c r="G2220" s="48"/>
      <c r="H2220" s="49"/>
      <c r="I2220" s="50"/>
      <c r="J2220" s="48"/>
      <c r="K2220" s="49"/>
      <c r="L2220" s="50"/>
      <c r="M2220" s="43" t="str">
        <f aca="false">IF(OR($L2220="",$F2220=""),"",IFERROR($L2220/INDEX(Cadastro!$E$6:$E$8,MATCH($F2220,Cadastro!$B$6:$B$8,0)),""))</f>
        <v/>
      </c>
      <c r="N2220" s="43" t="str">
        <f aca="false">IF(OR($L2220="",$I2220="",$I2220=0),"",$L2220/$I2220)</f>
        <v/>
      </c>
      <c r="O2220" s="51"/>
    </row>
    <row r="2221" customFormat="false" ht="15" hidden="false" customHeight="false" outlineLevel="0" collapsed="false">
      <c r="A2221" s="45"/>
      <c r="B2221" s="37" t="str">
        <f aca="false">IF($A2221="","",WEEKNUM($A2221,2))</f>
        <v/>
      </c>
      <c r="C2221" s="37" t="str">
        <f aca="false">IF($A2221="","",CHOOSE(WEEKDAY($A2221,2),"Seg","Ter","Qua","Qui","Sex","Sáb","Dom"))</f>
        <v/>
      </c>
      <c r="D2221" s="46"/>
      <c r="E2221" s="47"/>
      <c r="F2221" s="47"/>
      <c r="G2221" s="48"/>
      <c r="H2221" s="49"/>
      <c r="I2221" s="50"/>
      <c r="J2221" s="48"/>
      <c r="K2221" s="49"/>
      <c r="L2221" s="50"/>
      <c r="M2221" s="43" t="str">
        <f aca="false">IF(OR($L2221="",$F2221=""),"",IFERROR($L2221/INDEX(Cadastro!$E$6:$E$8,MATCH($F2221,Cadastro!$B$6:$B$8,0)),""))</f>
        <v/>
      </c>
      <c r="N2221" s="43" t="str">
        <f aca="false">IF(OR($L2221="",$I2221="",$I2221=0),"",$L2221/$I2221)</f>
        <v/>
      </c>
      <c r="O2221" s="51"/>
    </row>
    <row r="2222" customFormat="false" ht="15" hidden="false" customHeight="false" outlineLevel="0" collapsed="false">
      <c r="A2222" s="45"/>
      <c r="B2222" s="37" t="str">
        <f aca="false">IF($A2222="","",WEEKNUM($A2222,2))</f>
        <v/>
      </c>
      <c r="C2222" s="37" t="str">
        <f aca="false">IF($A2222="","",CHOOSE(WEEKDAY($A2222,2),"Seg","Ter","Qua","Qui","Sex","Sáb","Dom"))</f>
        <v/>
      </c>
      <c r="D2222" s="46"/>
      <c r="E2222" s="47"/>
      <c r="F2222" s="47"/>
      <c r="G2222" s="48"/>
      <c r="H2222" s="49"/>
      <c r="I2222" s="50"/>
      <c r="J2222" s="48"/>
      <c r="K2222" s="49"/>
      <c r="L2222" s="50"/>
      <c r="M2222" s="43" t="str">
        <f aca="false">IF(OR($L2222="",$F2222=""),"",IFERROR($L2222/INDEX(Cadastro!$E$6:$E$8,MATCH($F2222,Cadastro!$B$6:$B$8,0)),""))</f>
        <v/>
      </c>
      <c r="N2222" s="43" t="str">
        <f aca="false">IF(OR($L2222="",$I2222="",$I2222=0),"",$L2222/$I2222)</f>
        <v/>
      </c>
      <c r="O2222" s="51"/>
    </row>
    <row r="2223" customFormat="false" ht="15" hidden="false" customHeight="false" outlineLevel="0" collapsed="false">
      <c r="A2223" s="45"/>
      <c r="B2223" s="37" t="str">
        <f aca="false">IF($A2223="","",WEEKNUM($A2223,2))</f>
        <v/>
      </c>
      <c r="C2223" s="37" t="str">
        <f aca="false">IF($A2223="","",CHOOSE(WEEKDAY($A2223,2),"Seg","Ter","Qua","Qui","Sex","Sáb","Dom"))</f>
        <v/>
      </c>
      <c r="D2223" s="46"/>
      <c r="E2223" s="47"/>
      <c r="F2223" s="47"/>
      <c r="G2223" s="48"/>
      <c r="H2223" s="49"/>
      <c r="I2223" s="50"/>
      <c r="J2223" s="48"/>
      <c r="K2223" s="49"/>
      <c r="L2223" s="50"/>
      <c r="M2223" s="43" t="str">
        <f aca="false">IF(OR($L2223="",$F2223=""),"",IFERROR($L2223/INDEX(Cadastro!$E$6:$E$8,MATCH($F2223,Cadastro!$B$6:$B$8,0)),""))</f>
        <v/>
      </c>
      <c r="N2223" s="43" t="str">
        <f aca="false">IF(OR($L2223="",$I2223="",$I2223=0),"",$L2223/$I2223)</f>
        <v/>
      </c>
      <c r="O2223" s="51"/>
    </row>
    <row r="2224" customFormat="false" ht="15" hidden="false" customHeight="false" outlineLevel="0" collapsed="false">
      <c r="A2224" s="45"/>
      <c r="B2224" s="37" t="str">
        <f aca="false">IF($A2224="","",WEEKNUM($A2224,2))</f>
        <v/>
      </c>
      <c r="C2224" s="37" t="str">
        <f aca="false">IF($A2224="","",CHOOSE(WEEKDAY($A2224,2),"Seg","Ter","Qua","Qui","Sex","Sáb","Dom"))</f>
        <v/>
      </c>
      <c r="D2224" s="46"/>
      <c r="E2224" s="47"/>
      <c r="F2224" s="47"/>
      <c r="G2224" s="48"/>
      <c r="H2224" s="49"/>
      <c r="I2224" s="50"/>
      <c r="J2224" s="48"/>
      <c r="K2224" s="49"/>
      <c r="L2224" s="50"/>
      <c r="M2224" s="43" t="str">
        <f aca="false">IF(OR($L2224="",$F2224=""),"",IFERROR($L2224/INDEX(Cadastro!$E$6:$E$8,MATCH($F2224,Cadastro!$B$6:$B$8,0)),""))</f>
        <v/>
      </c>
      <c r="N2224" s="43" t="str">
        <f aca="false">IF(OR($L2224="",$I2224="",$I2224=0),"",$L2224/$I2224)</f>
        <v/>
      </c>
      <c r="O2224" s="51"/>
    </row>
    <row r="2225" customFormat="false" ht="15" hidden="false" customHeight="false" outlineLevel="0" collapsed="false">
      <c r="A2225" s="45"/>
      <c r="B2225" s="37" t="str">
        <f aca="false">IF($A2225="","",WEEKNUM($A2225,2))</f>
        <v/>
      </c>
      <c r="C2225" s="37" t="str">
        <f aca="false">IF($A2225="","",CHOOSE(WEEKDAY($A2225,2),"Seg","Ter","Qua","Qui","Sex","Sáb","Dom"))</f>
        <v/>
      </c>
      <c r="D2225" s="46"/>
      <c r="E2225" s="47"/>
      <c r="F2225" s="47"/>
      <c r="G2225" s="48"/>
      <c r="H2225" s="49"/>
      <c r="I2225" s="50"/>
      <c r="J2225" s="48"/>
      <c r="K2225" s="49"/>
      <c r="L2225" s="50"/>
      <c r="M2225" s="43" t="str">
        <f aca="false">IF(OR($L2225="",$F2225=""),"",IFERROR($L2225/INDEX(Cadastro!$E$6:$E$8,MATCH($F2225,Cadastro!$B$6:$B$8,0)),""))</f>
        <v/>
      </c>
      <c r="N2225" s="43" t="str">
        <f aca="false">IF(OR($L2225="",$I2225="",$I2225=0),"",$L2225/$I2225)</f>
        <v/>
      </c>
      <c r="O2225" s="51"/>
    </row>
    <row r="2226" customFormat="false" ht="15" hidden="false" customHeight="false" outlineLevel="0" collapsed="false">
      <c r="A2226" s="45"/>
      <c r="B2226" s="37" t="str">
        <f aca="false">IF($A2226="","",WEEKNUM($A2226,2))</f>
        <v/>
      </c>
      <c r="C2226" s="37" t="str">
        <f aca="false">IF($A2226="","",CHOOSE(WEEKDAY($A2226,2),"Seg","Ter","Qua","Qui","Sex","Sáb","Dom"))</f>
        <v/>
      </c>
      <c r="D2226" s="46"/>
      <c r="E2226" s="47"/>
      <c r="F2226" s="47"/>
      <c r="G2226" s="48"/>
      <c r="H2226" s="49"/>
      <c r="I2226" s="50"/>
      <c r="J2226" s="48"/>
      <c r="K2226" s="49"/>
      <c r="L2226" s="50"/>
      <c r="M2226" s="43" t="str">
        <f aca="false">IF(OR($L2226="",$F2226=""),"",IFERROR($L2226/INDEX(Cadastro!$E$6:$E$8,MATCH($F2226,Cadastro!$B$6:$B$8,0)),""))</f>
        <v/>
      </c>
      <c r="N2226" s="43" t="str">
        <f aca="false">IF(OR($L2226="",$I2226="",$I2226=0),"",$L2226/$I2226)</f>
        <v/>
      </c>
      <c r="O2226" s="51"/>
    </row>
    <row r="2227" customFormat="false" ht="15" hidden="false" customHeight="false" outlineLevel="0" collapsed="false">
      <c r="A2227" s="45"/>
      <c r="B2227" s="37" t="str">
        <f aca="false">IF($A2227="","",WEEKNUM($A2227,2))</f>
        <v/>
      </c>
      <c r="C2227" s="37" t="str">
        <f aca="false">IF($A2227="","",CHOOSE(WEEKDAY($A2227,2),"Seg","Ter","Qua","Qui","Sex","Sáb","Dom"))</f>
        <v/>
      </c>
      <c r="D2227" s="46"/>
      <c r="E2227" s="47"/>
      <c r="F2227" s="47"/>
      <c r="G2227" s="48"/>
      <c r="H2227" s="49"/>
      <c r="I2227" s="50"/>
      <c r="J2227" s="48"/>
      <c r="K2227" s="49"/>
      <c r="L2227" s="50"/>
      <c r="M2227" s="43" t="str">
        <f aca="false">IF(OR($L2227="",$F2227=""),"",IFERROR($L2227/INDEX(Cadastro!$E$6:$E$8,MATCH($F2227,Cadastro!$B$6:$B$8,0)),""))</f>
        <v/>
      </c>
      <c r="N2227" s="43" t="str">
        <f aca="false">IF(OR($L2227="",$I2227="",$I2227=0),"",$L2227/$I2227)</f>
        <v/>
      </c>
      <c r="O2227" s="51"/>
    </row>
    <row r="2228" customFormat="false" ht="15" hidden="false" customHeight="false" outlineLevel="0" collapsed="false">
      <c r="A2228" s="45"/>
      <c r="B2228" s="37" t="str">
        <f aca="false">IF($A2228="","",WEEKNUM($A2228,2))</f>
        <v/>
      </c>
      <c r="C2228" s="37" t="str">
        <f aca="false">IF($A2228="","",CHOOSE(WEEKDAY($A2228,2),"Seg","Ter","Qua","Qui","Sex","Sáb","Dom"))</f>
        <v/>
      </c>
      <c r="D2228" s="46"/>
      <c r="E2228" s="47"/>
      <c r="F2228" s="47"/>
      <c r="G2228" s="48"/>
      <c r="H2228" s="49"/>
      <c r="I2228" s="50"/>
      <c r="J2228" s="48"/>
      <c r="K2228" s="49"/>
      <c r="L2228" s="50"/>
      <c r="M2228" s="43" t="str">
        <f aca="false">IF(OR($L2228="",$F2228=""),"",IFERROR($L2228/INDEX(Cadastro!$E$6:$E$8,MATCH($F2228,Cadastro!$B$6:$B$8,0)),""))</f>
        <v/>
      </c>
      <c r="N2228" s="43" t="str">
        <f aca="false">IF(OR($L2228="",$I2228="",$I2228=0),"",$L2228/$I2228)</f>
        <v/>
      </c>
      <c r="O2228" s="51"/>
    </row>
    <row r="2229" customFormat="false" ht="15" hidden="false" customHeight="false" outlineLevel="0" collapsed="false">
      <c r="A2229" s="45"/>
      <c r="B2229" s="37" t="str">
        <f aca="false">IF($A2229="","",WEEKNUM($A2229,2))</f>
        <v/>
      </c>
      <c r="C2229" s="37" t="str">
        <f aca="false">IF($A2229="","",CHOOSE(WEEKDAY($A2229,2),"Seg","Ter","Qua","Qui","Sex","Sáb","Dom"))</f>
        <v/>
      </c>
      <c r="D2229" s="46"/>
      <c r="E2229" s="47"/>
      <c r="F2229" s="47"/>
      <c r="G2229" s="48"/>
      <c r="H2229" s="49"/>
      <c r="I2229" s="50"/>
      <c r="J2229" s="48"/>
      <c r="K2229" s="49"/>
      <c r="L2229" s="50"/>
      <c r="M2229" s="43" t="str">
        <f aca="false">IF(OR($L2229="",$F2229=""),"",IFERROR($L2229/INDEX(Cadastro!$E$6:$E$8,MATCH($F2229,Cadastro!$B$6:$B$8,0)),""))</f>
        <v/>
      </c>
      <c r="N2229" s="43" t="str">
        <f aca="false">IF(OR($L2229="",$I2229="",$I2229=0),"",$L2229/$I2229)</f>
        <v/>
      </c>
      <c r="O2229" s="51"/>
    </row>
    <row r="2230" customFormat="false" ht="15" hidden="false" customHeight="false" outlineLevel="0" collapsed="false">
      <c r="A2230" s="45"/>
      <c r="B2230" s="37" t="str">
        <f aca="false">IF($A2230="","",WEEKNUM($A2230,2))</f>
        <v/>
      </c>
      <c r="C2230" s="37" t="str">
        <f aca="false">IF($A2230="","",CHOOSE(WEEKDAY($A2230,2),"Seg","Ter","Qua","Qui","Sex","Sáb","Dom"))</f>
        <v/>
      </c>
      <c r="D2230" s="46"/>
      <c r="E2230" s="47"/>
      <c r="F2230" s="47"/>
      <c r="G2230" s="48"/>
      <c r="H2230" s="49"/>
      <c r="I2230" s="50"/>
      <c r="J2230" s="48"/>
      <c r="K2230" s="49"/>
      <c r="L2230" s="50"/>
      <c r="M2230" s="43" t="str">
        <f aca="false">IF(OR($L2230="",$F2230=""),"",IFERROR($L2230/INDEX(Cadastro!$E$6:$E$8,MATCH($F2230,Cadastro!$B$6:$B$8,0)),""))</f>
        <v/>
      </c>
      <c r="N2230" s="43" t="str">
        <f aca="false">IF(OR($L2230="",$I2230="",$I2230=0),"",$L2230/$I2230)</f>
        <v/>
      </c>
      <c r="O2230" s="51"/>
    </row>
    <row r="2231" customFormat="false" ht="15" hidden="false" customHeight="false" outlineLevel="0" collapsed="false">
      <c r="A2231" s="45"/>
      <c r="B2231" s="37" t="str">
        <f aca="false">IF($A2231="","",WEEKNUM($A2231,2))</f>
        <v/>
      </c>
      <c r="C2231" s="37" t="str">
        <f aca="false">IF($A2231="","",CHOOSE(WEEKDAY($A2231,2),"Seg","Ter","Qua","Qui","Sex","Sáb","Dom"))</f>
        <v/>
      </c>
      <c r="D2231" s="46"/>
      <c r="E2231" s="47"/>
      <c r="F2231" s="47"/>
      <c r="G2231" s="48"/>
      <c r="H2231" s="49"/>
      <c r="I2231" s="50"/>
      <c r="J2231" s="48"/>
      <c r="K2231" s="49"/>
      <c r="L2231" s="50"/>
      <c r="M2231" s="43" t="str">
        <f aca="false">IF(OR($L2231="",$F2231=""),"",IFERROR($L2231/INDEX(Cadastro!$E$6:$E$8,MATCH($F2231,Cadastro!$B$6:$B$8,0)),""))</f>
        <v/>
      </c>
      <c r="N2231" s="43" t="str">
        <f aca="false">IF(OR($L2231="",$I2231="",$I2231=0),"",$L2231/$I2231)</f>
        <v/>
      </c>
      <c r="O2231" s="51"/>
    </row>
    <row r="2232" customFormat="false" ht="15" hidden="false" customHeight="false" outlineLevel="0" collapsed="false">
      <c r="A2232" s="45"/>
      <c r="B2232" s="37" t="str">
        <f aca="false">IF($A2232="","",WEEKNUM($A2232,2))</f>
        <v/>
      </c>
      <c r="C2232" s="37" t="str">
        <f aca="false">IF($A2232="","",CHOOSE(WEEKDAY($A2232,2),"Seg","Ter","Qua","Qui","Sex","Sáb","Dom"))</f>
        <v/>
      </c>
      <c r="D2232" s="46"/>
      <c r="E2232" s="47"/>
      <c r="F2232" s="47"/>
      <c r="G2232" s="48"/>
      <c r="H2232" s="49"/>
      <c r="I2232" s="50"/>
      <c r="J2232" s="48"/>
      <c r="K2232" s="49"/>
      <c r="L2232" s="50"/>
      <c r="M2232" s="43" t="str">
        <f aca="false">IF(OR($L2232="",$F2232=""),"",IFERROR($L2232/INDEX(Cadastro!$E$6:$E$8,MATCH($F2232,Cadastro!$B$6:$B$8,0)),""))</f>
        <v/>
      </c>
      <c r="N2232" s="43" t="str">
        <f aca="false">IF(OR($L2232="",$I2232="",$I2232=0),"",$L2232/$I2232)</f>
        <v/>
      </c>
      <c r="O2232" s="51"/>
    </row>
    <row r="2233" customFormat="false" ht="15" hidden="false" customHeight="false" outlineLevel="0" collapsed="false">
      <c r="A2233" s="45"/>
      <c r="B2233" s="37" t="str">
        <f aca="false">IF($A2233="","",WEEKNUM($A2233,2))</f>
        <v/>
      </c>
      <c r="C2233" s="37" t="str">
        <f aca="false">IF($A2233="","",CHOOSE(WEEKDAY($A2233,2),"Seg","Ter","Qua","Qui","Sex","Sáb","Dom"))</f>
        <v/>
      </c>
      <c r="D2233" s="46"/>
      <c r="E2233" s="47"/>
      <c r="F2233" s="47"/>
      <c r="G2233" s="48"/>
      <c r="H2233" s="49"/>
      <c r="I2233" s="50"/>
      <c r="J2233" s="48"/>
      <c r="K2233" s="49"/>
      <c r="L2233" s="50"/>
      <c r="M2233" s="43" t="str">
        <f aca="false">IF(OR($L2233="",$F2233=""),"",IFERROR($L2233/INDEX(Cadastro!$E$6:$E$8,MATCH($F2233,Cadastro!$B$6:$B$8,0)),""))</f>
        <v/>
      </c>
      <c r="N2233" s="43" t="str">
        <f aca="false">IF(OR($L2233="",$I2233="",$I2233=0),"",$L2233/$I2233)</f>
        <v/>
      </c>
      <c r="O2233" s="51"/>
    </row>
    <row r="2234" customFormat="false" ht="15" hidden="false" customHeight="false" outlineLevel="0" collapsed="false">
      <c r="A2234" s="45"/>
      <c r="B2234" s="37" t="str">
        <f aca="false">IF($A2234="","",WEEKNUM($A2234,2))</f>
        <v/>
      </c>
      <c r="C2234" s="37" t="str">
        <f aca="false">IF($A2234="","",CHOOSE(WEEKDAY($A2234,2),"Seg","Ter","Qua","Qui","Sex","Sáb","Dom"))</f>
        <v/>
      </c>
      <c r="D2234" s="46"/>
      <c r="E2234" s="47"/>
      <c r="F2234" s="47"/>
      <c r="G2234" s="48"/>
      <c r="H2234" s="49"/>
      <c r="I2234" s="50"/>
      <c r="J2234" s="48"/>
      <c r="K2234" s="49"/>
      <c r="L2234" s="50"/>
      <c r="M2234" s="43" t="str">
        <f aca="false">IF(OR($L2234="",$F2234=""),"",IFERROR($L2234/INDEX(Cadastro!$E$6:$E$8,MATCH($F2234,Cadastro!$B$6:$B$8,0)),""))</f>
        <v/>
      </c>
      <c r="N2234" s="43" t="str">
        <f aca="false">IF(OR($L2234="",$I2234="",$I2234=0),"",$L2234/$I2234)</f>
        <v/>
      </c>
      <c r="O2234" s="51"/>
    </row>
    <row r="2235" customFormat="false" ht="15" hidden="false" customHeight="false" outlineLevel="0" collapsed="false">
      <c r="A2235" s="45"/>
      <c r="B2235" s="37" t="str">
        <f aca="false">IF($A2235="","",WEEKNUM($A2235,2))</f>
        <v/>
      </c>
      <c r="C2235" s="37" t="str">
        <f aca="false">IF($A2235="","",CHOOSE(WEEKDAY($A2235,2),"Seg","Ter","Qua","Qui","Sex","Sáb","Dom"))</f>
        <v/>
      </c>
      <c r="D2235" s="46"/>
      <c r="E2235" s="47"/>
      <c r="F2235" s="47"/>
      <c r="G2235" s="48"/>
      <c r="H2235" s="49"/>
      <c r="I2235" s="50"/>
      <c r="J2235" s="48"/>
      <c r="K2235" s="49"/>
      <c r="L2235" s="50"/>
      <c r="M2235" s="43" t="str">
        <f aca="false">IF(OR($L2235="",$F2235=""),"",IFERROR($L2235/INDEX(Cadastro!$E$6:$E$8,MATCH($F2235,Cadastro!$B$6:$B$8,0)),""))</f>
        <v/>
      </c>
      <c r="N2235" s="43" t="str">
        <f aca="false">IF(OR($L2235="",$I2235="",$I2235=0),"",$L2235/$I2235)</f>
        <v/>
      </c>
      <c r="O2235" s="51"/>
    </row>
    <row r="2236" customFormat="false" ht="15" hidden="false" customHeight="false" outlineLevel="0" collapsed="false">
      <c r="A2236" s="45"/>
      <c r="B2236" s="37" t="str">
        <f aca="false">IF($A2236="","",WEEKNUM($A2236,2))</f>
        <v/>
      </c>
      <c r="C2236" s="37" t="str">
        <f aca="false">IF($A2236="","",CHOOSE(WEEKDAY($A2236,2),"Seg","Ter","Qua","Qui","Sex","Sáb","Dom"))</f>
        <v/>
      </c>
      <c r="D2236" s="46"/>
      <c r="E2236" s="47"/>
      <c r="F2236" s="47"/>
      <c r="G2236" s="48"/>
      <c r="H2236" s="49"/>
      <c r="I2236" s="50"/>
      <c r="J2236" s="48"/>
      <c r="K2236" s="49"/>
      <c r="L2236" s="50"/>
      <c r="M2236" s="43" t="str">
        <f aca="false">IF(OR($L2236="",$F2236=""),"",IFERROR($L2236/INDEX(Cadastro!$E$6:$E$8,MATCH($F2236,Cadastro!$B$6:$B$8,0)),""))</f>
        <v/>
      </c>
      <c r="N2236" s="43" t="str">
        <f aca="false">IF(OR($L2236="",$I2236="",$I2236=0),"",$L2236/$I2236)</f>
        <v/>
      </c>
      <c r="O2236" s="51"/>
    </row>
    <row r="2237" customFormat="false" ht="15" hidden="false" customHeight="false" outlineLevel="0" collapsed="false">
      <c r="A2237" s="45"/>
      <c r="B2237" s="37" t="str">
        <f aca="false">IF($A2237="","",WEEKNUM($A2237,2))</f>
        <v/>
      </c>
      <c r="C2237" s="37" t="str">
        <f aca="false">IF($A2237="","",CHOOSE(WEEKDAY($A2237,2),"Seg","Ter","Qua","Qui","Sex","Sáb","Dom"))</f>
        <v/>
      </c>
      <c r="D2237" s="46"/>
      <c r="E2237" s="47"/>
      <c r="F2237" s="47"/>
      <c r="G2237" s="48"/>
      <c r="H2237" s="49"/>
      <c r="I2237" s="50"/>
      <c r="J2237" s="48"/>
      <c r="K2237" s="49"/>
      <c r="L2237" s="50"/>
      <c r="M2237" s="43" t="str">
        <f aca="false">IF(OR($L2237="",$F2237=""),"",IFERROR($L2237/INDEX(Cadastro!$E$6:$E$8,MATCH($F2237,Cadastro!$B$6:$B$8,0)),""))</f>
        <v/>
      </c>
      <c r="N2237" s="43" t="str">
        <f aca="false">IF(OR($L2237="",$I2237="",$I2237=0),"",$L2237/$I2237)</f>
        <v/>
      </c>
      <c r="O2237" s="51"/>
    </row>
    <row r="2238" customFormat="false" ht="15" hidden="false" customHeight="false" outlineLevel="0" collapsed="false">
      <c r="A2238" s="45"/>
      <c r="B2238" s="37" t="str">
        <f aca="false">IF($A2238="","",WEEKNUM($A2238,2))</f>
        <v/>
      </c>
      <c r="C2238" s="37" t="str">
        <f aca="false">IF($A2238="","",CHOOSE(WEEKDAY($A2238,2),"Seg","Ter","Qua","Qui","Sex","Sáb","Dom"))</f>
        <v/>
      </c>
      <c r="D2238" s="46"/>
      <c r="E2238" s="47"/>
      <c r="F2238" s="47"/>
      <c r="G2238" s="48"/>
      <c r="H2238" s="49"/>
      <c r="I2238" s="50"/>
      <c r="J2238" s="48"/>
      <c r="K2238" s="49"/>
      <c r="L2238" s="50"/>
      <c r="M2238" s="43" t="str">
        <f aca="false">IF(OR($L2238="",$F2238=""),"",IFERROR($L2238/INDEX(Cadastro!$E$6:$E$8,MATCH($F2238,Cadastro!$B$6:$B$8,0)),""))</f>
        <v/>
      </c>
      <c r="N2238" s="43" t="str">
        <f aca="false">IF(OR($L2238="",$I2238="",$I2238=0),"",$L2238/$I2238)</f>
        <v/>
      </c>
      <c r="O2238" s="51"/>
    </row>
    <row r="2239" customFormat="false" ht="15" hidden="false" customHeight="false" outlineLevel="0" collapsed="false">
      <c r="A2239" s="45"/>
      <c r="B2239" s="37" t="str">
        <f aca="false">IF($A2239="","",WEEKNUM($A2239,2))</f>
        <v/>
      </c>
      <c r="C2239" s="37" t="str">
        <f aca="false">IF($A2239="","",CHOOSE(WEEKDAY($A2239,2),"Seg","Ter","Qua","Qui","Sex","Sáb","Dom"))</f>
        <v/>
      </c>
      <c r="D2239" s="46"/>
      <c r="E2239" s="47"/>
      <c r="F2239" s="47"/>
      <c r="G2239" s="48"/>
      <c r="H2239" s="49"/>
      <c r="I2239" s="50"/>
      <c r="J2239" s="48"/>
      <c r="K2239" s="49"/>
      <c r="L2239" s="50"/>
      <c r="M2239" s="43" t="str">
        <f aca="false">IF(OR($L2239="",$F2239=""),"",IFERROR($L2239/INDEX(Cadastro!$E$6:$E$8,MATCH($F2239,Cadastro!$B$6:$B$8,0)),""))</f>
        <v/>
      </c>
      <c r="N2239" s="43" t="str">
        <f aca="false">IF(OR($L2239="",$I2239="",$I2239=0),"",$L2239/$I2239)</f>
        <v/>
      </c>
      <c r="O2239" s="51"/>
    </row>
    <row r="2240" customFormat="false" ht="15" hidden="false" customHeight="false" outlineLevel="0" collapsed="false">
      <c r="A2240" s="45"/>
      <c r="B2240" s="37" t="str">
        <f aca="false">IF($A2240="","",WEEKNUM($A2240,2))</f>
        <v/>
      </c>
      <c r="C2240" s="37" t="str">
        <f aca="false">IF($A2240="","",CHOOSE(WEEKDAY($A2240,2),"Seg","Ter","Qua","Qui","Sex","Sáb","Dom"))</f>
        <v/>
      </c>
      <c r="D2240" s="46"/>
      <c r="E2240" s="47"/>
      <c r="F2240" s="47"/>
      <c r="G2240" s="48"/>
      <c r="H2240" s="49"/>
      <c r="I2240" s="50"/>
      <c r="J2240" s="48"/>
      <c r="K2240" s="49"/>
      <c r="L2240" s="50"/>
      <c r="M2240" s="43" t="str">
        <f aca="false">IF(OR($L2240="",$F2240=""),"",IFERROR($L2240/INDEX(Cadastro!$E$6:$E$8,MATCH($F2240,Cadastro!$B$6:$B$8,0)),""))</f>
        <v/>
      </c>
      <c r="N2240" s="43" t="str">
        <f aca="false">IF(OR($L2240="",$I2240="",$I2240=0),"",$L2240/$I2240)</f>
        <v/>
      </c>
      <c r="O2240" s="51"/>
    </row>
    <row r="2241" customFormat="false" ht="15" hidden="false" customHeight="false" outlineLevel="0" collapsed="false">
      <c r="A2241" s="45"/>
      <c r="B2241" s="37" t="str">
        <f aca="false">IF($A2241="","",WEEKNUM($A2241,2))</f>
        <v/>
      </c>
      <c r="C2241" s="37" t="str">
        <f aca="false">IF($A2241="","",CHOOSE(WEEKDAY($A2241,2),"Seg","Ter","Qua","Qui","Sex","Sáb","Dom"))</f>
        <v/>
      </c>
      <c r="D2241" s="46"/>
      <c r="E2241" s="47"/>
      <c r="F2241" s="47"/>
      <c r="G2241" s="48"/>
      <c r="H2241" s="49"/>
      <c r="I2241" s="50"/>
      <c r="J2241" s="48"/>
      <c r="K2241" s="49"/>
      <c r="L2241" s="50"/>
      <c r="M2241" s="43" t="str">
        <f aca="false">IF(OR($L2241="",$F2241=""),"",IFERROR($L2241/INDEX(Cadastro!$E$6:$E$8,MATCH($F2241,Cadastro!$B$6:$B$8,0)),""))</f>
        <v/>
      </c>
      <c r="N2241" s="43" t="str">
        <f aca="false">IF(OR($L2241="",$I2241="",$I2241=0),"",$L2241/$I2241)</f>
        <v/>
      </c>
      <c r="O2241" s="51"/>
    </row>
    <row r="2242" customFormat="false" ht="15" hidden="false" customHeight="false" outlineLevel="0" collapsed="false">
      <c r="A2242" s="45"/>
      <c r="B2242" s="37" t="str">
        <f aca="false">IF($A2242="","",WEEKNUM($A2242,2))</f>
        <v/>
      </c>
      <c r="C2242" s="37" t="str">
        <f aca="false">IF($A2242="","",CHOOSE(WEEKDAY($A2242,2),"Seg","Ter","Qua","Qui","Sex","Sáb","Dom"))</f>
        <v/>
      </c>
      <c r="D2242" s="46"/>
      <c r="E2242" s="47"/>
      <c r="F2242" s="47"/>
      <c r="G2242" s="48"/>
      <c r="H2242" s="49"/>
      <c r="I2242" s="50"/>
      <c r="J2242" s="48"/>
      <c r="K2242" s="49"/>
      <c r="L2242" s="50"/>
      <c r="M2242" s="43" t="str">
        <f aca="false">IF(OR($L2242="",$F2242=""),"",IFERROR($L2242/INDEX(Cadastro!$E$6:$E$8,MATCH($F2242,Cadastro!$B$6:$B$8,0)),""))</f>
        <v/>
      </c>
      <c r="N2242" s="43" t="str">
        <f aca="false">IF(OR($L2242="",$I2242="",$I2242=0),"",$L2242/$I2242)</f>
        <v/>
      </c>
      <c r="O2242" s="51"/>
    </row>
    <row r="2243" customFormat="false" ht="15" hidden="false" customHeight="false" outlineLevel="0" collapsed="false">
      <c r="A2243" s="45"/>
      <c r="B2243" s="37" t="str">
        <f aca="false">IF($A2243="","",WEEKNUM($A2243,2))</f>
        <v/>
      </c>
      <c r="C2243" s="37" t="str">
        <f aca="false">IF($A2243="","",CHOOSE(WEEKDAY($A2243,2),"Seg","Ter","Qua","Qui","Sex","Sáb","Dom"))</f>
        <v/>
      </c>
      <c r="D2243" s="46"/>
      <c r="E2243" s="47"/>
      <c r="F2243" s="47"/>
      <c r="G2243" s="48"/>
      <c r="H2243" s="49"/>
      <c r="I2243" s="50"/>
      <c r="J2243" s="48"/>
      <c r="K2243" s="49"/>
      <c r="L2243" s="50"/>
      <c r="M2243" s="43" t="str">
        <f aca="false">IF(OR($L2243="",$F2243=""),"",IFERROR($L2243/INDEX(Cadastro!$E$6:$E$8,MATCH($F2243,Cadastro!$B$6:$B$8,0)),""))</f>
        <v/>
      </c>
      <c r="N2243" s="43" t="str">
        <f aca="false">IF(OR($L2243="",$I2243="",$I2243=0),"",$L2243/$I2243)</f>
        <v/>
      </c>
      <c r="O2243" s="51"/>
    </row>
    <row r="2244" customFormat="false" ht="15" hidden="false" customHeight="false" outlineLevel="0" collapsed="false">
      <c r="A2244" s="45"/>
      <c r="B2244" s="37" t="str">
        <f aca="false">IF($A2244="","",WEEKNUM($A2244,2))</f>
        <v/>
      </c>
      <c r="C2244" s="37" t="str">
        <f aca="false">IF($A2244="","",CHOOSE(WEEKDAY($A2244,2),"Seg","Ter","Qua","Qui","Sex","Sáb","Dom"))</f>
        <v/>
      </c>
      <c r="D2244" s="46"/>
      <c r="E2244" s="47"/>
      <c r="F2244" s="47"/>
      <c r="G2244" s="48"/>
      <c r="H2244" s="49"/>
      <c r="I2244" s="50"/>
      <c r="J2244" s="48"/>
      <c r="K2244" s="49"/>
      <c r="L2244" s="50"/>
      <c r="M2244" s="43" t="str">
        <f aca="false">IF(OR($L2244="",$F2244=""),"",IFERROR($L2244/INDEX(Cadastro!$E$6:$E$8,MATCH($F2244,Cadastro!$B$6:$B$8,0)),""))</f>
        <v/>
      </c>
      <c r="N2244" s="43" t="str">
        <f aca="false">IF(OR($L2244="",$I2244="",$I2244=0),"",$L2244/$I2244)</f>
        <v/>
      </c>
      <c r="O2244" s="51"/>
    </row>
    <row r="2245" customFormat="false" ht="15" hidden="false" customHeight="false" outlineLevel="0" collapsed="false">
      <c r="A2245" s="45"/>
      <c r="B2245" s="37" t="str">
        <f aca="false">IF($A2245="","",WEEKNUM($A2245,2))</f>
        <v/>
      </c>
      <c r="C2245" s="37" t="str">
        <f aca="false">IF($A2245="","",CHOOSE(WEEKDAY($A2245,2),"Seg","Ter","Qua","Qui","Sex","Sáb","Dom"))</f>
        <v/>
      </c>
      <c r="D2245" s="46"/>
      <c r="E2245" s="47"/>
      <c r="F2245" s="47"/>
      <c r="G2245" s="48"/>
      <c r="H2245" s="49"/>
      <c r="I2245" s="50"/>
      <c r="J2245" s="48"/>
      <c r="K2245" s="49"/>
      <c r="L2245" s="50"/>
      <c r="M2245" s="43" t="str">
        <f aca="false">IF(OR($L2245="",$F2245=""),"",IFERROR($L2245/INDEX(Cadastro!$E$6:$E$8,MATCH($F2245,Cadastro!$B$6:$B$8,0)),""))</f>
        <v/>
      </c>
      <c r="N2245" s="43" t="str">
        <f aca="false">IF(OR($L2245="",$I2245="",$I2245=0),"",$L2245/$I2245)</f>
        <v/>
      </c>
      <c r="O2245" s="51"/>
    </row>
    <row r="2246" customFormat="false" ht="15" hidden="false" customHeight="false" outlineLevel="0" collapsed="false">
      <c r="A2246" s="45"/>
      <c r="B2246" s="37" t="str">
        <f aca="false">IF($A2246="","",WEEKNUM($A2246,2))</f>
        <v/>
      </c>
      <c r="C2246" s="37" t="str">
        <f aca="false">IF($A2246="","",CHOOSE(WEEKDAY($A2246,2),"Seg","Ter","Qua","Qui","Sex","Sáb","Dom"))</f>
        <v/>
      </c>
      <c r="D2246" s="46"/>
      <c r="E2246" s="47"/>
      <c r="F2246" s="47"/>
      <c r="G2246" s="48"/>
      <c r="H2246" s="49"/>
      <c r="I2246" s="50"/>
      <c r="J2246" s="48"/>
      <c r="K2246" s="49"/>
      <c r="L2246" s="50"/>
      <c r="M2246" s="43" t="str">
        <f aca="false">IF(OR($L2246="",$F2246=""),"",IFERROR($L2246/INDEX(Cadastro!$E$6:$E$8,MATCH($F2246,Cadastro!$B$6:$B$8,0)),""))</f>
        <v/>
      </c>
      <c r="N2246" s="43" t="str">
        <f aca="false">IF(OR($L2246="",$I2246="",$I2246=0),"",$L2246/$I2246)</f>
        <v/>
      </c>
      <c r="O2246" s="51"/>
    </row>
    <row r="2247" customFormat="false" ht="15" hidden="false" customHeight="false" outlineLevel="0" collapsed="false">
      <c r="A2247" s="45"/>
      <c r="B2247" s="37" t="str">
        <f aca="false">IF($A2247="","",WEEKNUM($A2247,2))</f>
        <v/>
      </c>
      <c r="C2247" s="37" t="str">
        <f aca="false">IF($A2247="","",CHOOSE(WEEKDAY($A2247,2),"Seg","Ter","Qua","Qui","Sex","Sáb","Dom"))</f>
        <v/>
      </c>
      <c r="D2247" s="46"/>
      <c r="E2247" s="47"/>
      <c r="F2247" s="47"/>
      <c r="G2247" s="48"/>
      <c r="H2247" s="49"/>
      <c r="I2247" s="50"/>
      <c r="J2247" s="48"/>
      <c r="K2247" s="49"/>
      <c r="L2247" s="50"/>
      <c r="M2247" s="43" t="str">
        <f aca="false">IF(OR($L2247="",$F2247=""),"",IFERROR($L2247/INDEX(Cadastro!$E$6:$E$8,MATCH($F2247,Cadastro!$B$6:$B$8,0)),""))</f>
        <v/>
      </c>
      <c r="N2247" s="43" t="str">
        <f aca="false">IF(OR($L2247="",$I2247="",$I2247=0),"",$L2247/$I2247)</f>
        <v/>
      </c>
      <c r="O2247" s="51"/>
    </row>
    <row r="2248" customFormat="false" ht="15" hidden="false" customHeight="false" outlineLevel="0" collapsed="false">
      <c r="A2248" s="45"/>
      <c r="B2248" s="37" t="str">
        <f aca="false">IF($A2248="","",WEEKNUM($A2248,2))</f>
        <v/>
      </c>
      <c r="C2248" s="37" t="str">
        <f aca="false">IF($A2248="","",CHOOSE(WEEKDAY($A2248,2),"Seg","Ter","Qua","Qui","Sex","Sáb","Dom"))</f>
        <v/>
      </c>
      <c r="D2248" s="46"/>
      <c r="E2248" s="47"/>
      <c r="F2248" s="47"/>
      <c r="G2248" s="48"/>
      <c r="H2248" s="49"/>
      <c r="I2248" s="50"/>
      <c r="J2248" s="48"/>
      <c r="K2248" s="49"/>
      <c r="L2248" s="50"/>
      <c r="M2248" s="43" t="str">
        <f aca="false">IF(OR($L2248="",$F2248=""),"",IFERROR($L2248/INDEX(Cadastro!$E$6:$E$8,MATCH($F2248,Cadastro!$B$6:$B$8,0)),""))</f>
        <v/>
      </c>
      <c r="N2248" s="43" t="str">
        <f aca="false">IF(OR($L2248="",$I2248="",$I2248=0),"",$L2248/$I2248)</f>
        <v/>
      </c>
      <c r="O2248" s="51"/>
    </row>
    <row r="2249" customFormat="false" ht="15" hidden="false" customHeight="false" outlineLevel="0" collapsed="false">
      <c r="A2249" s="45"/>
      <c r="B2249" s="37" t="str">
        <f aca="false">IF($A2249="","",WEEKNUM($A2249,2))</f>
        <v/>
      </c>
      <c r="C2249" s="37" t="str">
        <f aca="false">IF($A2249="","",CHOOSE(WEEKDAY($A2249,2),"Seg","Ter","Qua","Qui","Sex","Sáb","Dom"))</f>
        <v/>
      </c>
      <c r="D2249" s="46"/>
      <c r="E2249" s="47"/>
      <c r="F2249" s="47"/>
      <c r="G2249" s="48"/>
      <c r="H2249" s="49"/>
      <c r="I2249" s="50"/>
      <c r="J2249" s="48"/>
      <c r="K2249" s="49"/>
      <c r="L2249" s="50"/>
      <c r="M2249" s="43" t="str">
        <f aca="false">IF(OR($L2249="",$F2249=""),"",IFERROR($L2249/INDEX(Cadastro!$E$6:$E$8,MATCH($F2249,Cadastro!$B$6:$B$8,0)),""))</f>
        <v/>
      </c>
      <c r="N2249" s="43" t="str">
        <f aca="false">IF(OR($L2249="",$I2249="",$I2249=0),"",$L2249/$I2249)</f>
        <v/>
      </c>
      <c r="O2249" s="51"/>
    </row>
    <row r="2250" customFormat="false" ht="15" hidden="false" customHeight="false" outlineLevel="0" collapsed="false">
      <c r="A2250" s="45"/>
      <c r="B2250" s="37" t="str">
        <f aca="false">IF($A2250="","",WEEKNUM($A2250,2))</f>
        <v/>
      </c>
      <c r="C2250" s="37" t="str">
        <f aca="false">IF($A2250="","",CHOOSE(WEEKDAY($A2250,2),"Seg","Ter","Qua","Qui","Sex","Sáb","Dom"))</f>
        <v/>
      </c>
      <c r="D2250" s="46"/>
      <c r="E2250" s="47"/>
      <c r="F2250" s="47"/>
      <c r="G2250" s="48"/>
      <c r="H2250" s="49"/>
      <c r="I2250" s="50"/>
      <c r="J2250" s="48"/>
      <c r="K2250" s="49"/>
      <c r="L2250" s="50"/>
      <c r="M2250" s="43" t="str">
        <f aca="false">IF(OR($L2250="",$F2250=""),"",IFERROR($L2250/INDEX(Cadastro!$E$6:$E$8,MATCH($F2250,Cadastro!$B$6:$B$8,0)),""))</f>
        <v/>
      </c>
      <c r="N2250" s="43" t="str">
        <f aca="false">IF(OR($L2250="",$I2250="",$I2250=0),"",$L2250/$I2250)</f>
        <v/>
      </c>
      <c r="O2250" s="51"/>
    </row>
    <row r="2251" customFormat="false" ht="15" hidden="false" customHeight="false" outlineLevel="0" collapsed="false">
      <c r="A2251" s="45"/>
      <c r="B2251" s="37" t="str">
        <f aca="false">IF($A2251="","",WEEKNUM($A2251,2))</f>
        <v/>
      </c>
      <c r="C2251" s="37" t="str">
        <f aca="false">IF($A2251="","",CHOOSE(WEEKDAY($A2251,2),"Seg","Ter","Qua","Qui","Sex","Sáb","Dom"))</f>
        <v/>
      </c>
      <c r="D2251" s="46"/>
      <c r="E2251" s="47"/>
      <c r="F2251" s="47"/>
      <c r="G2251" s="48"/>
      <c r="H2251" s="49"/>
      <c r="I2251" s="50"/>
      <c r="J2251" s="48"/>
      <c r="K2251" s="49"/>
      <c r="L2251" s="50"/>
      <c r="M2251" s="43" t="str">
        <f aca="false">IF(OR($L2251="",$F2251=""),"",IFERROR($L2251/INDEX(Cadastro!$E$6:$E$8,MATCH($F2251,Cadastro!$B$6:$B$8,0)),""))</f>
        <v/>
      </c>
      <c r="N2251" s="43" t="str">
        <f aca="false">IF(OR($L2251="",$I2251="",$I2251=0),"",$L2251/$I2251)</f>
        <v/>
      </c>
      <c r="O2251" s="51"/>
    </row>
    <row r="2252" customFormat="false" ht="15" hidden="false" customHeight="false" outlineLevel="0" collapsed="false">
      <c r="A2252" s="45"/>
      <c r="B2252" s="37" t="str">
        <f aca="false">IF($A2252="","",WEEKNUM($A2252,2))</f>
        <v/>
      </c>
      <c r="C2252" s="37" t="str">
        <f aca="false">IF($A2252="","",CHOOSE(WEEKDAY($A2252,2),"Seg","Ter","Qua","Qui","Sex","Sáb","Dom"))</f>
        <v/>
      </c>
      <c r="D2252" s="46"/>
      <c r="E2252" s="47"/>
      <c r="F2252" s="47"/>
      <c r="G2252" s="48"/>
      <c r="H2252" s="49"/>
      <c r="I2252" s="50"/>
      <c r="J2252" s="48"/>
      <c r="K2252" s="49"/>
      <c r="L2252" s="50"/>
      <c r="M2252" s="43" t="str">
        <f aca="false">IF(OR($L2252="",$F2252=""),"",IFERROR($L2252/INDEX(Cadastro!$E$6:$E$8,MATCH($F2252,Cadastro!$B$6:$B$8,0)),""))</f>
        <v/>
      </c>
      <c r="N2252" s="43" t="str">
        <f aca="false">IF(OR($L2252="",$I2252="",$I2252=0),"",$L2252/$I2252)</f>
        <v/>
      </c>
      <c r="O2252" s="51"/>
    </row>
    <row r="2253" customFormat="false" ht="15" hidden="false" customHeight="false" outlineLevel="0" collapsed="false">
      <c r="A2253" s="45"/>
      <c r="B2253" s="37" t="str">
        <f aca="false">IF($A2253="","",WEEKNUM($A2253,2))</f>
        <v/>
      </c>
      <c r="C2253" s="37" t="str">
        <f aca="false">IF($A2253="","",CHOOSE(WEEKDAY($A2253,2),"Seg","Ter","Qua","Qui","Sex","Sáb","Dom"))</f>
        <v/>
      </c>
      <c r="D2253" s="46"/>
      <c r="E2253" s="47"/>
      <c r="F2253" s="47"/>
      <c r="G2253" s="48"/>
      <c r="H2253" s="49"/>
      <c r="I2253" s="50"/>
      <c r="J2253" s="48"/>
      <c r="K2253" s="49"/>
      <c r="L2253" s="50"/>
      <c r="M2253" s="43" t="str">
        <f aca="false">IF(OR($L2253="",$F2253=""),"",IFERROR($L2253/INDEX(Cadastro!$E$6:$E$8,MATCH($F2253,Cadastro!$B$6:$B$8,0)),""))</f>
        <v/>
      </c>
      <c r="N2253" s="43" t="str">
        <f aca="false">IF(OR($L2253="",$I2253="",$I2253=0),"",$L2253/$I2253)</f>
        <v/>
      </c>
      <c r="O2253" s="51"/>
    </row>
    <row r="2254" customFormat="false" ht="15" hidden="false" customHeight="false" outlineLevel="0" collapsed="false">
      <c r="A2254" s="45"/>
      <c r="B2254" s="37" t="str">
        <f aca="false">IF($A2254="","",WEEKNUM($A2254,2))</f>
        <v/>
      </c>
      <c r="C2254" s="37" t="str">
        <f aca="false">IF($A2254="","",CHOOSE(WEEKDAY($A2254,2),"Seg","Ter","Qua","Qui","Sex","Sáb","Dom"))</f>
        <v/>
      </c>
      <c r="D2254" s="46"/>
      <c r="E2254" s="47"/>
      <c r="F2254" s="47"/>
      <c r="G2254" s="48"/>
      <c r="H2254" s="49"/>
      <c r="I2254" s="50"/>
      <c r="J2254" s="48"/>
      <c r="K2254" s="49"/>
      <c r="L2254" s="50"/>
      <c r="M2254" s="43" t="str">
        <f aca="false">IF(OR($L2254="",$F2254=""),"",IFERROR($L2254/INDEX(Cadastro!$E$6:$E$8,MATCH($F2254,Cadastro!$B$6:$B$8,0)),""))</f>
        <v/>
      </c>
      <c r="N2254" s="43" t="str">
        <f aca="false">IF(OR($L2254="",$I2254="",$I2254=0),"",$L2254/$I2254)</f>
        <v/>
      </c>
      <c r="O2254" s="51"/>
    </row>
    <row r="2255" customFormat="false" ht="15" hidden="false" customHeight="false" outlineLevel="0" collapsed="false">
      <c r="A2255" s="45"/>
      <c r="B2255" s="37" t="str">
        <f aca="false">IF($A2255="","",WEEKNUM($A2255,2))</f>
        <v/>
      </c>
      <c r="C2255" s="37" t="str">
        <f aca="false">IF($A2255="","",CHOOSE(WEEKDAY($A2255,2),"Seg","Ter","Qua","Qui","Sex","Sáb","Dom"))</f>
        <v/>
      </c>
      <c r="D2255" s="46"/>
      <c r="E2255" s="47"/>
      <c r="F2255" s="47"/>
      <c r="G2255" s="48"/>
      <c r="H2255" s="49"/>
      <c r="I2255" s="50"/>
      <c r="J2255" s="48"/>
      <c r="K2255" s="49"/>
      <c r="L2255" s="50"/>
      <c r="M2255" s="43" t="str">
        <f aca="false">IF(OR($L2255="",$F2255=""),"",IFERROR($L2255/INDEX(Cadastro!$E$6:$E$8,MATCH($F2255,Cadastro!$B$6:$B$8,0)),""))</f>
        <v/>
      </c>
      <c r="N2255" s="43" t="str">
        <f aca="false">IF(OR($L2255="",$I2255="",$I2255=0),"",$L2255/$I2255)</f>
        <v/>
      </c>
      <c r="O2255" s="51"/>
    </row>
    <row r="2256" customFormat="false" ht="15" hidden="false" customHeight="false" outlineLevel="0" collapsed="false">
      <c r="A2256" s="45"/>
      <c r="B2256" s="37" t="str">
        <f aca="false">IF($A2256="","",WEEKNUM($A2256,2))</f>
        <v/>
      </c>
      <c r="C2256" s="37" t="str">
        <f aca="false">IF($A2256="","",CHOOSE(WEEKDAY($A2256,2),"Seg","Ter","Qua","Qui","Sex","Sáb","Dom"))</f>
        <v/>
      </c>
      <c r="D2256" s="46"/>
      <c r="E2256" s="47"/>
      <c r="F2256" s="47"/>
      <c r="G2256" s="48"/>
      <c r="H2256" s="49"/>
      <c r="I2256" s="50"/>
      <c r="J2256" s="48"/>
      <c r="K2256" s="49"/>
      <c r="L2256" s="50"/>
      <c r="M2256" s="43" t="str">
        <f aca="false">IF(OR($L2256="",$F2256=""),"",IFERROR($L2256/INDEX(Cadastro!$E$6:$E$8,MATCH($F2256,Cadastro!$B$6:$B$8,0)),""))</f>
        <v/>
      </c>
      <c r="N2256" s="43" t="str">
        <f aca="false">IF(OR($L2256="",$I2256="",$I2256=0),"",$L2256/$I2256)</f>
        <v/>
      </c>
      <c r="O2256" s="51"/>
    </row>
    <row r="2257" customFormat="false" ht="15" hidden="false" customHeight="false" outlineLevel="0" collapsed="false">
      <c r="A2257" s="45"/>
      <c r="B2257" s="37" t="str">
        <f aca="false">IF($A2257="","",WEEKNUM($A2257,2))</f>
        <v/>
      </c>
      <c r="C2257" s="37" t="str">
        <f aca="false">IF($A2257="","",CHOOSE(WEEKDAY($A2257,2),"Seg","Ter","Qua","Qui","Sex","Sáb","Dom"))</f>
        <v/>
      </c>
      <c r="D2257" s="46"/>
      <c r="E2257" s="47"/>
      <c r="F2257" s="47"/>
      <c r="G2257" s="48"/>
      <c r="H2257" s="49"/>
      <c r="I2257" s="50"/>
      <c r="J2257" s="48"/>
      <c r="K2257" s="49"/>
      <c r="L2257" s="50"/>
      <c r="M2257" s="43" t="str">
        <f aca="false">IF(OR($L2257="",$F2257=""),"",IFERROR($L2257/INDEX(Cadastro!$E$6:$E$8,MATCH($F2257,Cadastro!$B$6:$B$8,0)),""))</f>
        <v/>
      </c>
      <c r="N2257" s="43" t="str">
        <f aca="false">IF(OR($L2257="",$I2257="",$I2257=0),"",$L2257/$I2257)</f>
        <v/>
      </c>
      <c r="O2257" s="51"/>
    </row>
    <row r="2258" customFormat="false" ht="15" hidden="false" customHeight="false" outlineLevel="0" collapsed="false">
      <c r="A2258" s="45"/>
      <c r="B2258" s="37" t="str">
        <f aca="false">IF($A2258="","",WEEKNUM($A2258,2))</f>
        <v/>
      </c>
      <c r="C2258" s="37" t="str">
        <f aca="false">IF($A2258="","",CHOOSE(WEEKDAY($A2258,2),"Seg","Ter","Qua","Qui","Sex","Sáb","Dom"))</f>
        <v/>
      </c>
      <c r="D2258" s="46"/>
      <c r="E2258" s="47"/>
      <c r="F2258" s="47"/>
      <c r="G2258" s="48"/>
      <c r="H2258" s="49"/>
      <c r="I2258" s="50"/>
      <c r="J2258" s="48"/>
      <c r="K2258" s="49"/>
      <c r="L2258" s="50"/>
      <c r="M2258" s="43" t="str">
        <f aca="false">IF(OR($L2258="",$F2258=""),"",IFERROR($L2258/INDEX(Cadastro!$E$6:$E$8,MATCH($F2258,Cadastro!$B$6:$B$8,0)),""))</f>
        <v/>
      </c>
      <c r="N2258" s="43" t="str">
        <f aca="false">IF(OR($L2258="",$I2258="",$I2258=0),"",$L2258/$I2258)</f>
        <v/>
      </c>
      <c r="O2258" s="51"/>
    </row>
    <row r="2259" customFormat="false" ht="15" hidden="false" customHeight="false" outlineLevel="0" collapsed="false">
      <c r="A2259" s="45"/>
      <c r="B2259" s="37" t="str">
        <f aca="false">IF($A2259="","",WEEKNUM($A2259,2))</f>
        <v/>
      </c>
      <c r="C2259" s="37" t="str">
        <f aca="false">IF($A2259="","",CHOOSE(WEEKDAY($A2259,2),"Seg","Ter","Qua","Qui","Sex","Sáb","Dom"))</f>
        <v/>
      </c>
      <c r="D2259" s="46"/>
      <c r="E2259" s="47"/>
      <c r="F2259" s="47"/>
      <c r="G2259" s="48"/>
      <c r="H2259" s="49"/>
      <c r="I2259" s="50"/>
      <c r="J2259" s="48"/>
      <c r="K2259" s="49"/>
      <c r="L2259" s="50"/>
      <c r="M2259" s="43" t="str">
        <f aca="false">IF(OR($L2259="",$F2259=""),"",IFERROR($L2259/INDEX(Cadastro!$E$6:$E$8,MATCH($F2259,Cadastro!$B$6:$B$8,0)),""))</f>
        <v/>
      </c>
      <c r="N2259" s="43" t="str">
        <f aca="false">IF(OR($L2259="",$I2259="",$I2259=0),"",$L2259/$I2259)</f>
        <v/>
      </c>
      <c r="O2259" s="51"/>
    </row>
    <row r="2260" customFormat="false" ht="15" hidden="false" customHeight="false" outlineLevel="0" collapsed="false">
      <c r="A2260" s="45"/>
      <c r="B2260" s="37" t="str">
        <f aca="false">IF($A2260="","",WEEKNUM($A2260,2))</f>
        <v/>
      </c>
      <c r="C2260" s="37" t="str">
        <f aca="false">IF($A2260="","",CHOOSE(WEEKDAY($A2260,2),"Seg","Ter","Qua","Qui","Sex","Sáb","Dom"))</f>
        <v/>
      </c>
      <c r="D2260" s="46"/>
      <c r="E2260" s="47"/>
      <c r="F2260" s="47"/>
      <c r="G2260" s="48"/>
      <c r="H2260" s="49"/>
      <c r="I2260" s="50"/>
      <c r="J2260" s="48"/>
      <c r="K2260" s="49"/>
      <c r="L2260" s="50"/>
      <c r="M2260" s="43" t="str">
        <f aca="false">IF(OR($L2260="",$F2260=""),"",IFERROR($L2260/INDEX(Cadastro!$E$6:$E$8,MATCH($F2260,Cadastro!$B$6:$B$8,0)),""))</f>
        <v/>
      </c>
      <c r="N2260" s="43" t="str">
        <f aca="false">IF(OR($L2260="",$I2260="",$I2260=0),"",$L2260/$I2260)</f>
        <v/>
      </c>
      <c r="O2260" s="51"/>
    </row>
    <row r="2261" customFormat="false" ht="15" hidden="false" customHeight="false" outlineLevel="0" collapsed="false">
      <c r="A2261" s="45"/>
      <c r="B2261" s="37" t="str">
        <f aca="false">IF($A2261="","",WEEKNUM($A2261,2))</f>
        <v/>
      </c>
      <c r="C2261" s="37" t="str">
        <f aca="false">IF($A2261="","",CHOOSE(WEEKDAY($A2261,2),"Seg","Ter","Qua","Qui","Sex","Sáb","Dom"))</f>
        <v/>
      </c>
      <c r="D2261" s="46"/>
      <c r="E2261" s="47"/>
      <c r="F2261" s="47"/>
      <c r="G2261" s="48"/>
      <c r="H2261" s="49"/>
      <c r="I2261" s="50"/>
      <c r="J2261" s="48"/>
      <c r="K2261" s="49"/>
      <c r="L2261" s="50"/>
      <c r="M2261" s="43" t="str">
        <f aca="false">IF(OR($L2261="",$F2261=""),"",IFERROR($L2261/INDEX(Cadastro!$E$6:$E$8,MATCH($F2261,Cadastro!$B$6:$B$8,0)),""))</f>
        <v/>
      </c>
      <c r="N2261" s="43" t="str">
        <f aca="false">IF(OR($L2261="",$I2261="",$I2261=0),"",$L2261/$I2261)</f>
        <v/>
      </c>
      <c r="O2261" s="51"/>
    </row>
    <row r="2262" customFormat="false" ht="15" hidden="false" customHeight="false" outlineLevel="0" collapsed="false">
      <c r="A2262" s="45"/>
      <c r="B2262" s="37" t="str">
        <f aca="false">IF($A2262="","",WEEKNUM($A2262,2))</f>
        <v/>
      </c>
      <c r="C2262" s="37" t="str">
        <f aca="false">IF($A2262="","",CHOOSE(WEEKDAY($A2262,2),"Seg","Ter","Qua","Qui","Sex","Sáb","Dom"))</f>
        <v/>
      </c>
      <c r="D2262" s="46"/>
      <c r="E2262" s="47"/>
      <c r="F2262" s="47"/>
      <c r="G2262" s="48"/>
      <c r="H2262" s="49"/>
      <c r="I2262" s="50"/>
      <c r="J2262" s="48"/>
      <c r="K2262" s="49"/>
      <c r="L2262" s="50"/>
      <c r="M2262" s="43" t="str">
        <f aca="false">IF(OR($L2262="",$F2262=""),"",IFERROR($L2262/INDEX(Cadastro!$E$6:$E$8,MATCH($F2262,Cadastro!$B$6:$B$8,0)),""))</f>
        <v/>
      </c>
      <c r="N2262" s="43" t="str">
        <f aca="false">IF(OR($L2262="",$I2262="",$I2262=0),"",$L2262/$I2262)</f>
        <v/>
      </c>
      <c r="O2262" s="51"/>
    </row>
    <row r="2263" customFormat="false" ht="15" hidden="false" customHeight="false" outlineLevel="0" collapsed="false">
      <c r="A2263" s="45"/>
      <c r="B2263" s="37" t="str">
        <f aca="false">IF($A2263="","",WEEKNUM($A2263,2))</f>
        <v/>
      </c>
      <c r="C2263" s="37" t="str">
        <f aca="false">IF($A2263="","",CHOOSE(WEEKDAY($A2263,2),"Seg","Ter","Qua","Qui","Sex","Sáb","Dom"))</f>
        <v/>
      </c>
      <c r="D2263" s="46"/>
      <c r="E2263" s="47"/>
      <c r="F2263" s="47"/>
      <c r="G2263" s="48"/>
      <c r="H2263" s="49"/>
      <c r="I2263" s="50"/>
      <c r="J2263" s="48"/>
      <c r="K2263" s="49"/>
      <c r="L2263" s="50"/>
      <c r="M2263" s="43" t="str">
        <f aca="false">IF(OR($L2263="",$F2263=""),"",IFERROR($L2263/INDEX(Cadastro!$E$6:$E$8,MATCH($F2263,Cadastro!$B$6:$B$8,0)),""))</f>
        <v/>
      </c>
      <c r="N2263" s="43" t="str">
        <f aca="false">IF(OR($L2263="",$I2263="",$I2263=0),"",$L2263/$I2263)</f>
        <v/>
      </c>
      <c r="O2263" s="51"/>
    </row>
    <row r="2264" customFormat="false" ht="15" hidden="false" customHeight="false" outlineLevel="0" collapsed="false">
      <c r="A2264" s="45"/>
      <c r="B2264" s="37" t="str">
        <f aca="false">IF($A2264="","",WEEKNUM($A2264,2))</f>
        <v/>
      </c>
      <c r="C2264" s="37" t="str">
        <f aca="false">IF($A2264="","",CHOOSE(WEEKDAY($A2264,2),"Seg","Ter","Qua","Qui","Sex","Sáb","Dom"))</f>
        <v/>
      </c>
      <c r="D2264" s="46"/>
      <c r="E2264" s="47"/>
      <c r="F2264" s="47"/>
      <c r="G2264" s="48"/>
      <c r="H2264" s="49"/>
      <c r="I2264" s="50"/>
      <c r="J2264" s="48"/>
      <c r="K2264" s="49"/>
      <c r="L2264" s="50"/>
      <c r="M2264" s="43" t="str">
        <f aca="false">IF(OR($L2264="",$F2264=""),"",IFERROR($L2264/INDEX(Cadastro!$E$6:$E$8,MATCH($F2264,Cadastro!$B$6:$B$8,0)),""))</f>
        <v/>
      </c>
      <c r="N2264" s="43" t="str">
        <f aca="false">IF(OR($L2264="",$I2264="",$I2264=0),"",$L2264/$I2264)</f>
        <v/>
      </c>
      <c r="O2264" s="51"/>
    </row>
    <row r="2265" customFormat="false" ht="15" hidden="false" customHeight="false" outlineLevel="0" collapsed="false">
      <c r="A2265" s="45"/>
      <c r="B2265" s="37" t="str">
        <f aca="false">IF($A2265="","",WEEKNUM($A2265,2))</f>
        <v/>
      </c>
      <c r="C2265" s="37" t="str">
        <f aca="false">IF($A2265="","",CHOOSE(WEEKDAY($A2265,2),"Seg","Ter","Qua","Qui","Sex","Sáb","Dom"))</f>
        <v/>
      </c>
      <c r="D2265" s="46"/>
      <c r="E2265" s="47"/>
      <c r="F2265" s="47"/>
      <c r="G2265" s="48"/>
      <c r="H2265" s="49"/>
      <c r="I2265" s="50"/>
      <c r="J2265" s="48"/>
      <c r="K2265" s="49"/>
      <c r="L2265" s="50"/>
      <c r="M2265" s="43" t="str">
        <f aca="false">IF(OR($L2265="",$F2265=""),"",IFERROR($L2265/INDEX(Cadastro!$E$6:$E$8,MATCH($F2265,Cadastro!$B$6:$B$8,0)),""))</f>
        <v/>
      </c>
      <c r="N2265" s="43" t="str">
        <f aca="false">IF(OR($L2265="",$I2265="",$I2265=0),"",$L2265/$I2265)</f>
        <v/>
      </c>
      <c r="O2265" s="51"/>
    </row>
    <row r="2266" customFormat="false" ht="15" hidden="false" customHeight="false" outlineLevel="0" collapsed="false">
      <c r="A2266" s="45"/>
      <c r="B2266" s="37" t="str">
        <f aca="false">IF($A2266="","",WEEKNUM($A2266,2))</f>
        <v/>
      </c>
      <c r="C2266" s="37" t="str">
        <f aca="false">IF($A2266="","",CHOOSE(WEEKDAY($A2266,2),"Seg","Ter","Qua","Qui","Sex","Sáb","Dom"))</f>
        <v/>
      </c>
      <c r="D2266" s="46"/>
      <c r="E2266" s="47"/>
      <c r="F2266" s="47"/>
      <c r="G2266" s="48"/>
      <c r="H2266" s="49"/>
      <c r="I2266" s="50"/>
      <c r="J2266" s="48"/>
      <c r="K2266" s="49"/>
      <c r="L2266" s="50"/>
      <c r="M2266" s="43" t="str">
        <f aca="false">IF(OR($L2266="",$F2266=""),"",IFERROR($L2266/INDEX(Cadastro!$E$6:$E$8,MATCH($F2266,Cadastro!$B$6:$B$8,0)),""))</f>
        <v/>
      </c>
      <c r="N2266" s="43" t="str">
        <f aca="false">IF(OR($L2266="",$I2266="",$I2266=0),"",$L2266/$I2266)</f>
        <v/>
      </c>
      <c r="O2266" s="51"/>
    </row>
    <row r="2267" customFormat="false" ht="15" hidden="false" customHeight="false" outlineLevel="0" collapsed="false">
      <c r="A2267" s="45"/>
      <c r="B2267" s="37" t="str">
        <f aca="false">IF($A2267="","",WEEKNUM($A2267,2))</f>
        <v/>
      </c>
      <c r="C2267" s="37" t="str">
        <f aca="false">IF($A2267="","",CHOOSE(WEEKDAY($A2267,2),"Seg","Ter","Qua","Qui","Sex","Sáb","Dom"))</f>
        <v/>
      </c>
      <c r="D2267" s="46"/>
      <c r="E2267" s="47"/>
      <c r="F2267" s="47"/>
      <c r="G2267" s="48"/>
      <c r="H2267" s="49"/>
      <c r="I2267" s="50"/>
      <c r="J2267" s="48"/>
      <c r="K2267" s="49"/>
      <c r="L2267" s="50"/>
      <c r="M2267" s="43" t="str">
        <f aca="false">IF(OR($L2267="",$F2267=""),"",IFERROR($L2267/INDEX(Cadastro!$E$6:$E$8,MATCH($F2267,Cadastro!$B$6:$B$8,0)),""))</f>
        <v/>
      </c>
      <c r="N2267" s="43" t="str">
        <f aca="false">IF(OR($L2267="",$I2267="",$I2267=0),"",$L2267/$I2267)</f>
        <v/>
      </c>
      <c r="O2267" s="51"/>
    </row>
    <row r="2268" customFormat="false" ht="15" hidden="false" customHeight="false" outlineLevel="0" collapsed="false">
      <c r="A2268" s="45"/>
      <c r="B2268" s="37" t="str">
        <f aca="false">IF($A2268="","",WEEKNUM($A2268,2))</f>
        <v/>
      </c>
      <c r="C2268" s="37" t="str">
        <f aca="false">IF($A2268="","",CHOOSE(WEEKDAY($A2268,2),"Seg","Ter","Qua","Qui","Sex","Sáb","Dom"))</f>
        <v/>
      </c>
      <c r="D2268" s="46"/>
      <c r="E2268" s="47"/>
      <c r="F2268" s="47"/>
      <c r="G2268" s="48"/>
      <c r="H2268" s="49"/>
      <c r="I2268" s="50"/>
      <c r="J2268" s="48"/>
      <c r="K2268" s="49"/>
      <c r="L2268" s="50"/>
      <c r="M2268" s="43" t="str">
        <f aca="false">IF(OR($L2268="",$F2268=""),"",IFERROR($L2268/INDEX(Cadastro!$E$6:$E$8,MATCH($F2268,Cadastro!$B$6:$B$8,0)),""))</f>
        <v/>
      </c>
      <c r="N2268" s="43" t="str">
        <f aca="false">IF(OR($L2268="",$I2268="",$I2268=0),"",$L2268/$I2268)</f>
        <v/>
      </c>
      <c r="O2268" s="51"/>
    </row>
    <row r="2269" customFormat="false" ht="15" hidden="false" customHeight="false" outlineLevel="0" collapsed="false">
      <c r="A2269" s="45"/>
      <c r="B2269" s="37" t="str">
        <f aca="false">IF($A2269="","",WEEKNUM($A2269,2))</f>
        <v/>
      </c>
      <c r="C2269" s="37" t="str">
        <f aca="false">IF($A2269="","",CHOOSE(WEEKDAY($A2269,2),"Seg","Ter","Qua","Qui","Sex","Sáb","Dom"))</f>
        <v/>
      </c>
      <c r="D2269" s="46"/>
      <c r="E2269" s="47"/>
      <c r="F2269" s="47"/>
      <c r="G2269" s="48"/>
      <c r="H2269" s="49"/>
      <c r="I2269" s="50"/>
      <c r="J2269" s="48"/>
      <c r="K2269" s="49"/>
      <c r="L2269" s="50"/>
      <c r="M2269" s="43" t="str">
        <f aca="false">IF(OR($L2269="",$F2269=""),"",IFERROR($L2269/INDEX(Cadastro!$E$6:$E$8,MATCH($F2269,Cadastro!$B$6:$B$8,0)),""))</f>
        <v/>
      </c>
      <c r="N2269" s="43" t="str">
        <f aca="false">IF(OR($L2269="",$I2269="",$I2269=0),"",$L2269/$I2269)</f>
        <v/>
      </c>
      <c r="O2269" s="51"/>
    </row>
    <row r="2270" customFormat="false" ht="15" hidden="false" customHeight="false" outlineLevel="0" collapsed="false">
      <c r="A2270" s="45"/>
      <c r="B2270" s="37" t="str">
        <f aca="false">IF($A2270="","",WEEKNUM($A2270,2))</f>
        <v/>
      </c>
      <c r="C2270" s="37" t="str">
        <f aca="false">IF($A2270="","",CHOOSE(WEEKDAY($A2270,2),"Seg","Ter","Qua","Qui","Sex","Sáb","Dom"))</f>
        <v/>
      </c>
      <c r="D2270" s="46"/>
      <c r="E2270" s="47"/>
      <c r="F2270" s="47"/>
      <c r="G2270" s="48"/>
      <c r="H2270" s="49"/>
      <c r="I2270" s="50"/>
      <c r="J2270" s="48"/>
      <c r="K2270" s="49"/>
      <c r="L2270" s="50"/>
      <c r="M2270" s="43" t="str">
        <f aca="false">IF(OR($L2270="",$F2270=""),"",IFERROR($L2270/INDEX(Cadastro!$E$6:$E$8,MATCH($F2270,Cadastro!$B$6:$B$8,0)),""))</f>
        <v/>
      </c>
      <c r="N2270" s="43" t="str">
        <f aca="false">IF(OR($L2270="",$I2270="",$I2270=0),"",$L2270/$I2270)</f>
        <v/>
      </c>
      <c r="O2270" s="51"/>
    </row>
    <row r="2271" customFormat="false" ht="15" hidden="false" customHeight="false" outlineLevel="0" collapsed="false">
      <c r="A2271" s="45"/>
      <c r="B2271" s="37" t="str">
        <f aca="false">IF($A2271="","",WEEKNUM($A2271,2))</f>
        <v/>
      </c>
      <c r="C2271" s="37" t="str">
        <f aca="false">IF($A2271="","",CHOOSE(WEEKDAY($A2271,2),"Seg","Ter","Qua","Qui","Sex","Sáb","Dom"))</f>
        <v/>
      </c>
      <c r="D2271" s="46"/>
      <c r="E2271" s="47"/>
      <c r="F2271" s="47"/>
      <c r="G2271" s="48"/>
      <c r="H2271" s="49"/>
      <c r="I2271" s="50"/>
      <c r="J2271" s="48"/>
      <c r="K2271" s="49"/>
      <c r="L2271" s="50"/>
      <c r="M2271" s="43" t="str">
        <f aca="false">IF(OR($L2271="",$F2271=""),"",IFERROR($L2271/INDEX(Cadastro!$E$6:$E$8,MATCH($F2271,Cadastro!$B$6:$B$8,0)),""))</f>
        <v/>
      </c>
      <c r="N2271" s="43" t="str">
        <f aca="false">IF(OR($L2271="",$I2271="",$I2271=0),"",$L2271/$I2271)</f>
        <v/>
      </c>
      <c r="O2271" s="51"/>
    </row>
    <row r="2272" customFormat="false" ht="15" hidden="false" customHeight="false" outlineLevel="0" collapsed="false">
      <c r="A2272" s="45"/>
      <c r="B2272" s="37" t="str">
        <f aca="false">IF($A2272="","",WEEKNUM($A2272,2))</f>
        <v/>
      </c>
      <c r="C2272" s="37" t="str">
        <f aca="false">IF($A2272="","",CHOOSE(WEEKDAY($A2272,2),"Seg","Ter","Qua","Qui","Sex","Sáb","Dom"))</f>
        <v/>
      </c>
      <c r="D2272" s="46"/>
      <c r="E2272" s="47"/>
      <c r="F2272" s="47"/>
      <c r="G2272" s="48"/>
      <c r="H2272" s="49"/>
      <c r="I2272" s="50"/>
      <c r="J2272" s="48"/>
      <c r="K2272" s="49"/>
      <c r="L2272" s="50"/>
      <c r="M2272" s="43" t="str">
        <f aca="false">IF(OR($L2272="",$F2272=""),"",IFERROR($L2272/INDEX(Cadastro!$E$6:$E$8,MATCH($F2272,Cadastro!$B$6:$B$8,0)),""))</f>
        <v/>
      </c>
      <c r="N2272" s="43" t="str">
        <f aca="false">IF(OR($L2272="",$I2272="",$I2272=0),"",$L2272/$I2272)</f>
        <v/>
      </c>
      <c r="O2272" s="51"/>
    </row>
    <row r="2273" customFormat="false" ht="15" hidden="false" customHeight="false" outlineLevel="0" collapsed="false">
      <c r="A2273" s="45"/>
      <c r="B2273" s="37" t="str">
        <f aca="false">IF($A2273="","",WEEKNUM($A2273,2))</f>
        <v/>
      </c>
      <c r="C2273" s="37" t="str">
        <f aca="false">IF($A2273="","",CHOOSE(WEEKDAY($A2273,2),"Seg","Ter","Qua","Qui","Sex","Sáb","Dom"))</f>
        <v/>
      </c>
      <c r="D2273" s="46"/>
      <c r="E2273" s="47"/>
      <c r="F2273" s="47"/>
      <c r="G2273" s="48"/>
      <c r="H2273" s="49"/>
      <c r="I2273" s="50"/>
      <c r="J2273" s="48"/>
      <c r="K2273" s="49"/>
      <c r="L2273" s="50"/>
      <c r="M2273" s="43" t="str">
        <f aca="false">IF(OR($L2273="",$F2273=""),"",IFERROR($L2273/INDEX(Cadastro!$E$6:$E$8,MATCH($F2273,Cadastro!$B$6:$B$8,0)),""))</f>
        <v/>
      </c>
      <c r="N2273" s="43" t="str">
        <f aca="false">IF(OR($L2273="",$I2273="",$I2273=0),"",$L2273/$I2273)</f>
        <v/>
      </c>
      <c r="O2273" s="51"/>
    </row>
    <row r="2274" customFormat="false" ht="15" hidden="false" customHeight="false" outlineLevel="0" collapsed="false">
      <c r="A2274" s="45"/>
      <c r="B2274" s="37" t="str">
        <f aca="false">IF($A2274="","",WEEKNUM($A2274,2))</f>
        <v/>
      </c>
      <c r="C2274" s="37" t="str">
        <f aca="false">IF($A2274="","",CHOOSE(WEEKDAY($A2274,2),"Seg","Ter","Qua","Qui","Sex","Sáb","Dom"))</f>
        <v/>
      </c>
      <c r="D2274" s="46"/>
      <c r="E2274" s="47"/>
      <c r="F2274" s="47"/>
      <c r="G2274" s="48"/>
      <c r="H2274" s="49"/>
      <c r="I2274" s="50"/>
      <c r="J2274" s="48"/>
      <c r="K2274" s="49"/>
      <c r="L2274" s="50"/>
      <c r="M2274" s="43" t="str">
        <f aca="false">IF(OR($L2274="",$F2274=""),"",IFERROR($L2274/INDEX(Cadastro!$E$6:$E$8,MATCH($F2274,Cadastro!$B$6:$B$8,0)),""))</f>
        <v/>
      </c>
      <c r="N2274" s="43" t="str">
        <f aca="false">IF(OR($L2274="",$I2274="",$I2274=0),"",$L2274/$I2274)</f>
        <v/>
      </c>
      <c r="O2274" s="51"/>
    </row>
    <row r="2275" customFormat="false" ht="15" hidden="false" customHeight="false" outlineLevel="0" collapsed="false">
      <c r="A2275" s="45"/>
      <c r="B2275" s="37" t="str">
        <f aca="false">IF($A2275="","",WEEKNUM($A2275,2))</f>
        <v/>
      </c>
      <c r="C2275" s="37" t="str">
        <f aca="false">IF($A2275="","",CHOOSE(WEEKDAY($A2275,2),"Seg","Ter","Qua","Qui","Sex","Sáb","Dom"))</f>
        <v/>
      </c>
      <c r="D2275" s="46"/>
      <c r="E2275" s="47"/>
      <c r="F2275" s="47"/>
      <c r="G2275" s="48"/>
      <c r="H2275" s="49"/>
      <c r="I2275" s="50"/>
      <c r="J2275" s="48"/>
      <c r="K2275" s="49"/>
      <c r="L2275" s="50"/>
      <c r="M2275" s="43" t="str">
        <f aca="false">IF(OR($L2275="",$F2275=""),"",IFERROR($L2275/INDEX(Cadastro!$E$6:$E$8,MATCH($F2275,Cadastro!$B$6:$B$8,0)),""))</f>
        <v/>
      </c>
      <c r="N2275" s="43" t="str">
        <f aca="false">IF(OR($L2275="",$I2275="",$I2275=0),"",$L2275/$I2275)</f>
        <v/>
      </c>
      <c r="O2275" s="51"/>
    </row>
    <row r="2276" customFormat="false" ht="15" hidden="false" customHeight="false" outlineLevel="0" collapsed="false">
      <c r="A2276" s="45"/>
      <c r="B2276" s="37" t="str">
        <f aca="false">IF($A2276="","",WEEKNUM($A2276,2))</f>
        <v/>
      </c>
      <c r="C2276" s="37" t="str">
        <f aca="false">IF($A2276="","",CHOOSE(WEEKDAY($A2276,2),"Seg","Ter","Qua","Qui","Sex","Sáb","Dom"))</f>
        <v/>
      </c>
      <c r="D2276" s="46"/>
      <c r="E2276" s="47"/>
      <c r="F2276" s="47"/>
      <c r="G2276" s="48"/>
      <c r="H2276" s="49"/>
      <c r="I2276" s="50"/>
      <c r="J2276" s="48"/>
      <c r="K2276" s="49"/>
      <c r="L2276" s="50"/>
      <c r="M2276" s="43" t="str">
        <f aca="false">IF(OR($L2276="",$F2276=""),"",IFERROR($L2276/INDEX(Cadastro!$E$6:$E$8,MATCH($F2276,Cadastro!$B$6:$B$8,0)),""))</f>
        <v/>
      </c>
      <c r="N2276" s="43" t="str">
        <f aca="false">IF(OR($L2276="",$I2276="",$I2276=0),"",$L2276/$I2276)</f>
        <v/>
      </c>
      <c r="O2276" s="51"/>
    </row>
    <row r="2277" customFormat="false" ht="15" hidden="false" customHeight="false" outlineLevel="0" collapsed="false">
      <c r="A2277" s="45"/>
      <c r="B2277" s="37" t="str">
        <f aca="false">IF($A2277="","",WEEKNUM($A2277,2))</f>
        <v/>
      </c>
      <c r="C2277" s="37" t="str">
        <f aca="false">IF($A2277="","",CHOOSE(WEEKDAY($A2277,2),"Seg","Ter","Qua","Qui","Sex","Sáb","Dom"))</f>
        <v/>
      </c>
      <c r="D2277" s="46"/>
      <c r="E2277" s="47"/>
      <c r="F2277" s="47"/>
      <c r="G2277" s="48"/>
      <c r="H2277" s="49"/>
      <c r="I2277" s="50"/>
      <c r="J2277" s="48"/>
      <c r="K2277" s="49"/>
      <c r="L2277" s="50"/>
      <c r="M2277" s="43" t="str">
        <f aca="false">IF(OR($L2277="",$F2277=""),"",IFERROR($L2277/INDEX(Cadastro!$E$6:$E$8,MATCH($F2277,Cadastro!$B$6:$B$8,0)),""))</f>
        <v/>
      </c>
      <c r="N2277" s="43" t="str">
        <f aca="false">IF(OR($L2277="",$I2277="",$I2277=0),"",$L2277/$I2277)</f>
        <v/>
      </c>
      <c r="O2277" s="51"/>
    </row>
    <row r="2278" customFormat="false" ht="15" hidden="false" customHeight="false" outlineLevel="0" collapsed="false">
      <c r="A2278" s="45"/>
      <c r="B2278" s="37" t="str">
        <f aca="false">IF($A2278="","",WEEKNUM($A2278,2))</f>
        <v/>
      </c>
      <c r="C2278" s="37" t="str">
        <f aca="false">IF($A2278="","",CHOOSE(WEEKDAY($A2278,2),"Seg","Ter","Qua","Qui","Sex","Sáb","Dom"))</f>
        <v/>
      </c>
      <c r="D2278" s="46"/>
      <c r="E2278" s="47"/>
      <c r="F2278" s="47"/>
      <c r="G2278" s="48"/>
      <c r="H2278" s="49"/>
      <c r="I2278" s="50"/>
      <c r="J2278" s="48"/>
      <c r="K2278" s="49"/>
      <c r="L2278" s="50"/>
      <c r="M2278" s="43" t="str">
        <f aca="false">IF(OR($L2278="",$F2278=""),"",IFERROR($L2278/INDEX(Cadastro!$E$6:$E$8,MATCH($F2278,Cadastro!$B$6:$B$8,0)),""))</f>
        <v/>
      </c>
      <c r="N2278" s="43" t="str">
        <f aca="false">IF(OR($L2278="",$I2278="",$I2278=0),"",$L2278/$I2278)</f>
        <v/>
      </c>
      <c r="O2278" s="51"/>
    </row>
    <row r="2279" customFormat="false" ht="15" hidden="false" customHeight="false" outlineLevel="0" collapsed="false">
      <c r="A2279" s="45"/>
      <c r="B2279" s="37" t="str">
        <f aca="false">IF($A2279="","",WEEKNUM($A2279,2))</f>
        <v/>
      </c>
      <c r="C2279" s="37" t="str">
        <f aca="false">IF($A2279="","",CHOOSE(WEEKDAY($A2279,2),"Seg","Ter","Qua","Qui","Sex","Sáb","Dom"))</f>
        <v/>
      </c>
      <c r="D2279" s="46"/>
      <c r="E2279" s="47"/>
      <c r="F2279" s="47"/>
      <c r="G2279" s="48"/>
      <c r="H2279" s="49"/>
      <c r="I2279" s="50"/>
      <c r="J2279" s="48"/>
      <c r="K2279" s="49"/>
      <c r="L2279" s="50"/>
      <c r="M2279" s="43" t="str">
        <f aca="false">IF(OR($L2279="",$F2279=""),"",IFERROR($L2279/INDEX(Cadastro!$E$6:$E$8,MATCH($F2279,Cadastro!$B$6:$B$8,0)),""))</f>
        <v/>
      </c>
      <c r="N2279" s="43" t="str">
        <f aca="false">IF(OR($L2279="",$I2279="",$I2279=0),"",$L2279/$I2279)</f>
        <v/>
      </c>
      <c r="O2279" s="51"/>
    </row>
    <row r="2280" customFormat="false" ht="15" hidden="false" customHeight="false" outlineLevel="0" collapsed="false">
      <c r="A2280" s="45"/>
      <c r="B2280" s="37" t="str">
        <f aca="false">IF($A2280="","",WEEKNUM($A2280,2))</f>
        <v/>
      </c>
      <c r="C2280" s="37" t="str">
        <f aca="false">IF($A2280="","",CHOOSE(WEEKDAY($A2280,2),"Seg","Ter","Qua","Qui","Sex","Sáb","Dom"))</f>
        <v/>
      </c>
      <c r="D2280" s="46"/>
      <c r="E2280" s="47"/>
      <c r="F2280" s="47"/>
      <c r="G2280" s="48"/>
      <c r="H2280" s="49"/>
      <c r="I2280" s="50"/>
      <c r="J2280" s="48"/>
      <c r="K2280" s="49"/>
      <c r="L2280" s="50"/>
      <c r="M2280" s="43" t="str">
        <f aca="false">IF(OR($L2280="",$F2280=""),"",IFERROR($L2280/INDEX(Cadastro!$E$6:$E$8,MATCH($F2280,Cadastro!$B$6:$B$8,0)),""))</f>
        <v/>
      </c>
      <c r="N2280" s="43" t="str">
        <f aca="false">IF(OR($L2280="",$I2280="",$I2280=0),"",$L2280/$I2280)</f>
        <v/>
      </c>
      <c r="O2280" s="51"/>
    </row>
    <row r="2281" customFormat="false" ht="15" hidden="false" customHeight="false" outlineLevel="0" collapsed="false">
      <c r="A2281" s="45"/>
      <c r="B2281" s="37" t="str">
        <f aca="false">IF($A2281="","",WEEKNUM($A2281,2))</f>
        <v/>
      </c>
      <c r="C2281" s="37" t="str">
        <f aca="false">IF($A2281="","",CHOOSE(WEEKDAY($A2281,2),"Seg","Ter","Qua","Qui","Sex","Sáb","Dom"))</f>
        <v/>
      </c>
      <c r="D2281" s="46"/>
      <c r="E2281" s="47"/>
      <c r="F2281" s="47"/>
      <c r="G2281" s="48"/>
      <c r="H2281" s="49"/>
      <c r="I2281" s="50"/>
      <c r="J2281" s="48"/>
      <c r="K2281" s="49"/>
      <c r="L2281" s="50"/>
      <c r="M2281" s="43" t="str">
        <f aca="false">IF(OR($L2281="",$F2281=""),"",IFERROR($L2281/INDEX(Cadastro!$E$6:$E$8,MATCH($F2281,Cadastro!$B$6:$B$8,0)),""))</f>
        <v/>
      </c>
      <c r="N2281" s="43" t="str">
        <f aca="false">IF(OR($L2281="",$I2281="",$I2281=0),"",$L2281/$I2281)</f>
        <v/>
      </c>
      <c r="O2281" s="51"/>
    </row>
    <row r="2282" customFormat="false" ht="15" hidden="false" customHeight="false" outlineLevel="0" collapsed="false">
      <c r="A2282" s="45"/>
      <c r="B2282" s="37" t="str">
        <f aca="false">IF($A2282="","",WEEKNUM($A2282,2))</f>
        <v/>
      </c>
      <c r="C2282" s="37" t="str">
        <f aca="false">IF($A2282="","",CHOOSE(WEEKDAY($A2282,2),"Seg","Ter","Qua","Qui","Sex","Sáb","Dom"))</f>
        <v/>
      </c>
      <c r="D2282" s="46"/>
      <c r="E2282" s="47"/>
      <c r="F2282" s="47"/>
      <c r="G2282" s="48"/>
      <c r="H2282" s="49"/>
      <c r="I2282" s="50"/>
      <c r="J2282" s="48"/>
      <c r="K2282" s="49"/>
      <c r="L2282" s="50"/>
      <c r="M2282" s="43" t="str">
        <f aca="false">IF(OR($L2282="",$F2282=""),"",IFERROR($L2282/INDEX(Cadastro!$E$6:$E$8,MATCH($F2282,Cadastro!$B$6:$B$8,0)),""))</f>
        <v/>
      </c>
      <c r="N2282" s="43" t="str">
        <f aca="false">IF(OR($L2282="",$I2282="",$I2282=0),"",$L2282/$I2282)</f>
        <v/>
      </c>
      <c r="O2282" s="51"/>
    </row>
    <row r="2283" customFormat="false" ht="15" hidden="false" customHeight="false" outlineLevel="0" collapsed="false">
      <c r="A2283" s="45"/>
      <c r="B2283" s="37" t="str">
        <f aca="false">IF($A2283="","",WEEKNUM($A2283,2))</f>
        <v/>
      </c>
      <c r="C2283" s="37" t="str">
        <f aca="false">IF($A2283="","",CHOOSE(WEEKDAY($A2283,2),"Seg","Ter","Qua","Qui","Sex","Sáb","Dom"))</f>
        <v/>
      </c>
      <c r="D2283" s="46"/>
      <c r="E2283" s="47"/>
      <c r="F2283" s="47"/>
      <c r="G2283" s="48"/>
      <c r="H2283" s="49"/>
      <c r="I2283" s="50"/>
      <c r="J2283" s="48"/>
      <c r="K2283" s="49"/>
      <c r="L2283" s="50"/>
      <c r="M2283" s="43" t="str">
        <f aca="false">IF(OR($L2283="",$F2283=""),"",IFERROR($L2283/INDEX(Cadastro!$E$6:$E$8,MATCH($F2283,Cadastro!$B$6:$B$8,0)),""))</f>
        <v/>
      </c>
      <c r="N2283" s="43" t="str">
        <f aca="false">IF(OR($L2283="",$I2283="",$I2283=0),"",$L2283/$I2283)</f>
        <v/>
      </c>
      <c r="O2283" s="51"/>
    </row>
    <row r="2284" customFormat="false" ht="15" hidden="false" customHeight="false" outlineLevel="0" collapsed="false">
      <c r="A2284" s="45"/>
      <c r="B2284" s="37" t="str">
        <f aca="false">IF($A2284="","",WEEKNUM($A2284,2))</f>
        <v/>
      </c>
      <c r="C2284" s="37" t="str">
        <f aca="false">IF($A2284="","",CHOOSE(WEEKDAY($A2284,2),"Seg","Ter","Qua","Qui","Sex","Sáb","Dom"))</f>
        <v/>
      </c>
      <c r="D2284" s="46"/>
      <c r="E2284" s="47"/>
      <c r="F2284" s="47"/>
      <c r="G2284" s="48"/>
      <c r="H2284" s="49"/>
      <c r="I2284" s="50"/>
      <c r="J2284" s="48"/>
      <c r="K2284" s="49"/>
      <c r="L2284" s="50"/>
      <c r="M2284" s="43" t="str">
        <f aca="false">IF(OR($L2284="",$F2284=""),"",IFERROR($L2284/INDEX(Cadastro!$E$6:$E$8,MATCH($F2284,Cadastro!$B$6:$B$8,0)),""))</f>
        <v/>
      </c>
      <c r="N2284" s="43" t="str">
        <f aca="false">IF(OR($L2284="",$I2284="",$I2284=0),"",$L2284/$I2284)</f>
        <v/>
      </c>
      <c r="O2284" s="51"/>
    </row>
    <row r="2285" customFormat="false" ht="15" hidden="false" customHeight="false" outlineLevel="0" collapsed="false">
      <c r="A2285" s="45"/>
      <c r="B2285" s="37" t="str">
        <f aca="false">IF($A2285="","",WEEKNUM($A2285,2))</f>
        <v/>
      </c>
      <c r="C2285" s="37" t="str">
        <f aca="false">IF($A2285="","",CHOOSE(WEEKDAY($A2285,2),"Seg","Ter","Qua","Qui","Sex","Sáb","Dom"))</f>
        <v/>
      </c>
      <c r="D2285" s="46"/>
      <c r="E2285" s="47"/>
      <c r="F2285" s="47"/>
      <c r="G2285" s="48"/>
      <c r="H2285" s="49"/>
      <c r="I2285" s="50"/>
      <c r="J2285" s="48"/>
      <c r="K2285" s="49"/>
      <c r="L2285" s="50"/>
      <c r="M2285" s="43" t="str">
        <f aca="false">IF(OR($L2285="",$F2285=""),"",IFERROR($L2285/INDEX(Cadastro!$E$6:$E$8,MATCH($F2285,Cadastro!$B$6:$B$8,0)),""))</f>
        <v/>
      </c>
      <c r="N2285" s="43" t="str">
        <f aca="false">IF(OR($L2285="",$I2285="",$I2285=0),"",$L2285/$I2285)</f>
        <v/>
      </c>
      <c r="O2285" s="51"/>
    </row>
    <row r="2286" customFormat="false" ht="15" hidden="false" customHeight="false" outlineLevel="0" collapsed="false">
      <c r="A2286" s="45"/>
      <c r="B2286" s="37" t="str">
        <f aca="false">IF($A2286="","",WEEKNUM($A2286,2))</f>
        <v/>
      </c>
      <c r="C2286" s="37" t="str">
        <f aca="false">IF($A2286="","",CHOOSE(WEEKDAY($A2286,2),"Seg","Ter","Qua","Qui","Sex","Sáb","Dom"))</f>
        <v/>
      </c>
      <c r="D2286" s="46"/>
      <c r="E2286" s="47"/>
      <c r="F2286" s="47"/>
      <c r="G2286" s="48"/>
      <c r="H2286" s="49"/>
      <c r="I2286" s="50"/>
      <c r="J2286" s="48"/>
      <c r="K2286" s="49"/>
      <c r="L2286" s="50"/>
      <c r="M2286" s="43" t="str">
        <f aca="false">IF(OR($L2286="",$F2286=""),"",IFERROR($L2286/INDEX(Cadastro!$E$6:$E$8,MATCH($F2286,Cadastro!$B$6:$B$8,0)),""))</f>
        <v/>
      </c>
      <c r="N2286" s="43" t="str">
        <f aca="false">IF(OR($L2286="",$I2286="",$I2286=0),"",$L2286/$I2286)</f>
        <v/>
      </c>
      <c r="O2286" s="51"/>
    </row>
    <row r="2287" customFormat="false" ht="15" hidden="false" customHeight="false" outlineLevel="0" collapsed="false">
      <c r="A2287" s="45"/>
      <c r="B2287" s="37" t="str">
        <f aca="false">IF($A2287="","",WEEKNUM($A2287,2))</f>
        <v/>
      </c>
      <c r="C2287" s="37" t="str">
        <f aca="false">IF($A2287="","",CHOOSE(WEEKDAY($A2287,2),"Seg","Ter","Qua","Qui","Sex","Sáb","Dom"))</f>
        <v/>
      </c>
      <c r="D2287" s="46"/>
      <c r="E2287" s="47"/>
      <c r="F2287" s="47"/>
      <c r="G2287" s="48"/>
      <c r="H2287" s="49"/>
      <c r="I2287" s="50"/>
      <c r="J2287" s="48"/>
      <c r="K2287" s="49"/>
      <c r="L2287" s="50"/>
      <c r="M2287" s="43" t="str">
        <f aca="false">IF(OR($L2287="",$F2287=""),"",IFERROR($L2287/INDEX(Cadastro!$E$6:$E$8,MATCH($F2287,Cadastro!$B$6:$B$8,0)),""))</f>
        <v/>
      </c>
      <c r="N2287" s="43" t="str">
        <f aca="false">IF(OR($L2287="",$I2287="",$I2287=0),"",$L2287/$I2287)</f>
        <v/>
      </c>
      <c r="O2287" s="51"/>
    </row>
    <row r="2288" customFormat="false" ht="15" hidden="false" customHeight="false" outlineLevel="0" collapsed="false">
      <c r="A2288" s="45"/>
      <c r="B2288" s="37" t="str">
        <f aca="false">IF($A2288="","",WEEKNUM($A2288,2))</f>
        <v/>
      </c>
      <c r="C2288" s="37" t="str">
        <f aca="false">IF($A2288="","",CHOOSE(WEEKDAY($A2288,2),"Seg","Ter","Qua","Qui","Sex","Sáb","Dom"))</f>
        <v/>
      </c>
      <c r="D2288" s="46"/>
      <c r="E2288" s="47"/>
      <c r="F2288" s="47"/>
      <c r="G2288" s="48"/>
      <c r="H2288" s="49"/>
      <c r="I2288" s="50"/>
      <c r="J2288" s="48"/>
      <c r="K2288" s="49"/>
      <c r="L2288" s="50"/>
      <c r="M2288" s="43" t="str">
        <f aca="false">IF(OR($L2288="",$F2288=""),"",IFERROR($L2288/INDEX(Cadastro!$E$6:$E$8,MATCH($F2288,Cadastro!$B$6:$B$8,0)),""))</f>
        <v/>
      </c>
      <c r="N2288" s="43" t="str">
        <f aca="false">IF(OR($L2288="",$I2288="",$I2288=0),"",$L2288/$I2288)</f>
        <v/>
      </c>
      <c r="O2288" s="51"/>
    </row>
    <row r="2289" customFormat="false" ht="15" hidden="false" customHeight="false" outlineLevel="0" collapsed="false">
      <c r="A2289" s="45"/>
      <c r="B2289" s="37" t="str">
        <f aca="false">IF($A2289="","",WEEKNUM($A2289,2))</f>
        <v/>
      </c>
      <c r="C2289" s="37" t="str">
        <f aca="false">IF($A2289="","",CHOOSE(WEEKDAY($A2289,2),"Seg","Ter","Qua","Qui","Sex","Sáb","Dom"))</f>
        <v/>
      </c>
      <c r="D2289" s="46"/>
      <c r="E2289" s="47"/>
      <c r="F2289" s="47"/>
      <c r="G2289" s="48"/>
      <c r="H2289" s="49"/>
      <c r="I2289" s="50"/>
      <c r="J2289" s="48"/>
      <c r="K2289" s="49"/>
      <c r="L2289" s="50"/>
      <c r="M2289" s="43" t="str">
        <f aca="false">IF(OR($L2289="",$F2289=""),"",IFERROR($L2289/INDEX(Cadastro!$E$6:$E$8,MATCH($F2289,Cadastro!$B$6:$B$8,0)),""))</f>
        <v/>
      </c>
      <c r="N2289" s="43" t="str">
        <f aca="false">IF(OR($L2289="",$I2289="",$I2289=0),"",$L2289/$I2289)</f>
        <v/>
      </c>
      <c r="O2289" s="51"/>
    </row>
    <row r="2290" customFormat="false" ht="15" hidden="false" customHeight="false" outlineLevel="0" collapsed="false">
      <c r="A2290" s="45"/>
      <c r="B2290" s="37" t="str">
        <f aca="false">IF($A2290="","",WEEKNUM($A2290,2))</f>
        <v/>
      </c>
      <c r="C2290" s="37" t="str">
        <f aca="false">IF($A2290="","",CHOOSE(WEEKDAY($A2290,2),"Seg","Ter","Qua","Qui","Sex","Sáb","Dom"))</f>
        <v/>
      </c>
      <c r="D2290" s="46"/>
      <c r="E2290" s="47"/>
      <c r="F2290" s="47"/>
      <c r="G2290" s="48"/>
      <c r="H2290" s="49"/>
      <c r="I2290" s="50"/>
      <c r="J2290" s="48"/>
      <c r="K2290" s="49"/>
      <c r="L2290" s="50"/>
      <c r="M2290" s="43" t="str">
        <f aca="false">IF(OR($L2290="",$F2290=""),"",IFERROR($L2290/INDEX(Cadastro!$E$6:$E$8,MATCH($F2290,Cadastro!$B$6:$B$8,0)),""))</f>
        <v/>
      </c>
      <c r="N2290" s="43" t="str">
        <f aca="false">IF(OR($L2290="",$I2290="",$I2290=0),"",$L2290/$I2290)</f>
        <v/>
      </c>
      <c r="O2290" s="51"/>
    </row>
    <row r="2291" customFormat="false" ht="15" hidden="false" customHeight="false" outlineLevel="0" collapsed="false">
      <c r="A2291" s="45"/>
      <c r="B2291" s="37" t="str">
        <f aca="false">IF($A2291="","",WEEKNUM($A2291,2))</f>
        <v/>
      </c>
      <c r="C2291" s="37" t="str">
        <f aca="false">IF($A2291="","",CHOOSE(WEEKDAY($A2291,2),"Seg","Ter","Qua","Qui","Sex","Sáb","Dom"))</f>
        <v/>
      </c>
      <c r="D2291" s="46"/>
      <c r="E2291" s="47"/>
      <c r="F2291" s="47"/>
      <c r="G2291" s="48"/>
      <c r="H2291" s="49"/>
      <c r="I2291" s="50"/>
      <c r="J2291" s="48"/>
      <c r="K2291" s="49"/>
      <c r="L2291" s="50"/>
      <c r="M2291" s="43" t="str">
        <f aca="false">IF(OR($L2291="",$F2291=""),"",IFERROR($L2291/INDEX(Cadastro!$E$6:$E$8,MATCH($F2291,Cadastro!$B$6:$B$8,0)),""))</f>
        <v/>
      </c>
      <c r="N2291" s="43" t="str">
        <f aca="false">IF(OR($L2291="",$I2291="",$I2291=0),"",$L2291/$I2291)</f>
        <v/>
      </c>
      <c r="O2291" s="51"/>
    </row>
    <row r="2292" customFormat="false" ht="15" hidden="false" customHeight="false" outlineLevel="0" collapsed="false">
      <c r="A2292" s="45"/>
      <c r="B2292" s="37" t="str">
        <f aca="false">IF($A2292="","",WEEKNUM($A2292,2))</f>
        <v/>
      </c>
      <c r="C2292" s="37" t="str">
        <f aca="false">IF($A2292="","",CHOOSE(WEEKDAY($A2292,2),"Seg","Ter","Qua","Qui","Sex","Sáb","Dom"))</f>
        <v/>
      </c>
      <c r="D2292" s="46"/>
      <c r="E2292" s="47"/>
      <c r="F2292" s="47"/>
      <c r="G2292" s="48"/>
      <c r="H2292" s="49"/>
      <c r="I2292" s="50"/>
      <c r="J2292" s="48"/>
      <c r="K2292" s="49"/>
      <c r="L2292" s="50"/>
      <c r="M2292" s="43" t="str">
        <f aca="false">IF(OR($L2292="",$F2292=""),"",IFERROR($L2292/INDEX(Cadastro!$E$6:$E$8,MATCH($F2292,Cadastro!$B$6:$B$8,0)),""))</f>
        <v/>
      </c>
      <c r="N2292" s="43" t="str">
        <f aca="false">IF(OR($L2292="",$I2292="",$I2292=0),"",$L2292/$I2292)</f>
        <v/>
      </c>
      <c r="O2292" s="51"/>
    </row>
    <row r="2293" customFormat="false" ht="15" hidden="false" customHeight="false" outlineLevel="0" collapsed="false">
      <c r="A2293" s="45"/>
      <c r="B2293" s="37" t="str">
        <f aca="false">IF($A2293="","",WEEKNUM($A2293,2))</f>
        <v/>
      </c>
      <c r="C2293" s="37" t="str">
        <f aca="false">IF($A2293="","",CHOOSE(WEEKDAY($A2293,2),"Seg","Ter","Qua","Qui","Sex","Sáb","Dom"))</f>
        <v/>
      </c>
      <c r="D2293" s="46"/>
      <c r="E2293" s="47"/>
      <c r="F2293" s="47"/>
      <c r="G2293" s="48"/>
      <c r="H2293" s="49"/>
      <c r="I2293" s="50"/>
      <c r="J2293" s="48"/>
      <c r="K2293" s="49"/>
      <c r="L2293" s="50"/>
      <c r="M2293" s="43" t="str">
        <f aca="false">IF(OR($L2293="",$F2293=""),"",IFERROR($L2293/INDEX(Cadastro!$E$6:$E$8,MATCH($F2293,Cadastro!$B$6:$B$8,0)),""))</f>
        <v/>
      </c>
      <c r="N2293" s="43" t="str">
        <f aca="false">IF(OR($L2293="",$I2293="",$I2293=0),"",$L2293/$I2293)</f>
        <v/>
      </c>
      <c r="O2293" s="51"/>
    </row>
    <row r="2294" customFormat="false" ht="15" hidden="false" customHeight="false" outlineLevel="0" collapsed="false">
      <c r="A2294" s="45"/>
      <c r="B2294" s="37" t="str">
        <f aca="false">IF($A2294="","",WEEKNUM($A2294,2))</f>
        <v/>
      </c>
      <c r="C2294" s="37" t="str">
        <f aca="false">IF($A2294="","",CHOOSE(WEEKDAY($A2294,2),"Seg","Ter","Qua","Qui","Sex","Sáb","Dom"))</f>
        <v/>
      </c>
      <c r="D2294" s="46"/>
      <c r="E2294" s="47"/>
      <c r="F2294" s="47"/>
      <c r="G2294" s="48"/>
      <c r="H2294" s="49"/>
      <c r="I2294" s="50"/>
      <c r="J2294" s="48"/>
      <c r="K2294" s="49"/>
      <c r="L2294" s="50"/>
      <c r="M2294" s="43" t="str">
        <f aca="false">IF(OR($L2294="",$F2294=""),"",IFERROR($L2294/INDEX(Cadastro!$E$6:$E$8,MATCH($F2294,Cadastro!$B$6:$B$8,0)),""))</f>
        <v/>
      </c>
      <c r="N2294" s="43" t="str">
        <f aca="false">IF(OR($L2294="",$I2294="",$I2294=0),"",$L2294/$I2294)</f>
        <v/>
      </c>
      <c r="O2294" s="51"/>
    </row>
    <row r="2295" customFormat="false" ht="15" hidden="false" customHeight="false" outlineLevel="0" collapsed="false">
      <c r="A2295" s="45"/>
      <c r="B2295" s="37" t="str">
        <f aca="false">IF($A2295="","",WEEKNUM($A2295,2))</f>
        <v/>
      </c>
      <c r="C2295" s="37" t="str">
        <f aca="false">IF($A2295="","",CHOOSE(WEEKDAY($A2295,2),"Seg","Ter","Qua","Qui","Sex","Sáb","Dom"))</f>
        <v/>
      </c>
      <c r="D2295" s="46"/>
      <c r="E2295" s="47"/>
      <c r="F2295" s="47"/>
      <c r="G2295" s="48"/>
      <c r="H2295" s="49"/>
      <c r="I2295" s="50"/>
      <c r="J2295" s="48"/>
      <c r="K2295" s="49"/>
      <c r="L2295" s="50"/>
      <c r="M2295" s="43" t="str">
        <f aca="false">IF(OR($L2295="",$F2295=""),"",IFERROR($L2295/INDEX(Cadastro!$E$6:$E$8,MATCH($F2295,Cadastro!$B$6:$B$8,0)),""))</f>
        <v/>
      </c>
      <c r="N2295" s="43" t="str">
        <f aca="false">IF(OR($L2295="",$I2295="",$I2295=0),"",$L2295/$I2295)</f>
        <v/>
      </c>
      <c r="O2295" s="51"/>
    </row>
    <row r="2296" customFormat="false" ht="15" hidden="false" customHeight="false" outlineLevel="0" collapsed="false">
      <c r="A2296" s="45"/>
      <c r="B2296" s="37" t="str">
        <f aca="false">IF($A2296="","",WEEKNUM($A2296,2))</f>
        <v/>
      </c>
      <c r="C2296" s="37" t="str">
        <f aca="false">IF($A2296="","",CHOOSE(WEEKDAY($A2296,2),"Seg","Ter","Qua","Qui","Sex","Sáb","Dom"))</f>
        <v/>
      </c>
      <c r="D2296" s="46"/>
      <c r="E2296" s="47"/>
      <c r="F2296" s="47"/>
      <c r="G2296" s="48"/>
      <c r="H2296" s="49"/>
      <c r="I2296" s="50"/>
      <c r="J2296" s="48"/>
      <c r="K2296" s="49"/>
      <c r="L2296" s="50"/>
      <c r="M2296" s="43" t="str">
        <f aca="false">IF(OR($L2296="",$F2296=""),"",IFERROR($L2296/INDEX(Cadastro!$E$6:$E$8,MATCH($F2296,Cadastro!$B$6:$B$8,0)),""))</f>
        <v/>
      </c>
      <c r="N2296" s="43" t="str">
        <f aca="false">IF(OR($L2296="",$I2296="",$I2296=0),"",$L2296/$I2296)</f>
        <v/>
      </c>
      <c r="O2296" s="51"/>
    </row>
    <row r="2297" customFormat="false" ht="15" hidden="false" customHeight="false" outlineLevel="0" collapsed="false">
      <c r="A2297" s="45"/>
      <c r="B2297" s="37" t="str">
        <f aca="false">IF($A2297="","",WEEKNUM($A2297,2))</f>
        <v/>
      </c>
      <c r="C2297" s="37" t="str">
        <f aca="false">IF($A2297="","",CHOOSE(WEEKDAY($A2297,2),"Seg","Ter","Qua","Qui","Sex","Sáb","Dom"))</f>
        <v/>
      </c>
      <c r="D2297" s="46"/>
      <c r="E2297" s="47"/>
      <c r="F2297" s="47"/>
      <c r="G2297" s="48"/>
      <c r="H2297" s="49"/>
      <c r="I2297" s="50"/>
      <c r="J2297" s="48"/>
      <c r="K2297" s="49"/>
      <c r="L2297" s="50"/>
      <c r="M2297" s="43" t="str">
        <f aca="false">IF(OR($L2297="",$F2297=""),"",IFERROR($L2297/INDEX(Cadastro!$E$6:$E$8,MATCH($F2297,Cadastro!$B$6:$B$8,0)),""))</f>
        <v/>
      </c>
      <c r="N2297" s="43" t="str">
        <f aca="false">IF(OR($L2297="",$I2297="",$I2297=0),"",$L2297/$I2297)</f>
        <v/>
      </c>
      <c r="O2297" s="51"/>
    </row>
    <row r="2298" customFormat="false" ht="15" hidden="false" customHeight="false" outlineLevel="0" collapsed="false">
      <c r="A2298" s="45"/>
      <c r="B2298" s="37" t="str">
        <f aca="false">IF($A2298="","",WEEKNUM($A2298,2))</f>
        <v/>
      </c>
      <c r="C2298" s="37" t="str">
        <f aca="false">IF($A2298="","",CHOOSE(WEEKDAY($A2298,2),"Seg","Ter","Qua","Qui","Sex","Sáb","Dom"))</f>
        <v/>
      </c>
      <c r="D2298" s="46"/>
      <c r="E2298" s="47"/>
      <c r="F2298" s="47"/>
      <c r="G2298" s="48"/>
      <c r="H2298" s="49"/>
      <c r="I2298" s="50"/>
      <c r="J2298" s="48"/>
      <c r="K2298" s="49"/>
      <c r="L2298" s="50"/>
      <c r="M2298" s="43" t="str">
        <f aca="false">IF(OR($L2298="",$F2298=""),"",IFERROR($L2298/INDEX(Cadastro!$E$6:$E$8,MATCH($F2298,Cadastro!$B$6:$B$8,0)),""))</f>
        <v/>
      </c>
      <c r="N2298" s="43" t="str">
        <f aca="false">IF(OR($L2298="",$I2298="",$I2298=0),"",$L2298/$I2298)</f>
        <v/>
      </c>
      <c r="O2298" s="51"/>
    </row>
    <row r="2299" customFormat="false" ht="15" hidden="false" customHeight="false" outlineLevel="0" collapsed="false">
      <c r="A2299" s="45"/>
      <c r="B2299" s="37" t="str">
        <f aca="false">IF($A2299="","",WEEKNUM($A2299,2))</f>
        <v/>
      </c>
      <c r="C2299" s="37" t="str">
        <f aca="false">IF($A2299="","",CHOOSE(WEEKDAY($A2299,2),"Seg","Ter","Qua","Qui","Sex","Sáb","Dom"))</f>
        <v/>
      </c>
      <c r="D2299" s="46"/>
      <c r="E2299" s="47"/>
      <c r="F2299" s="47"/>
      <c r="G2299" s="48"/>
      <c r="H2299" s="49"/>
      <c r="I2299" s="50"/>
      <c r="J2299" s="48"/>
      <c r="K2299" s="49"/>
      <c r="L2299" s="50"/>
      <c r="M2299" s="43" t="str">
        <f aca="false">IF(OR($L2299="",$F2299=""),"",IFERROR($L2299/INDEX(Cadastro!$E$6:$E$8,MATCH($F2299,Cadastro!$B$6:$B$8,0)),""))</f>
        <v/>
      </c>
      <c r="N2299" s="43" t="str">
        <f aca="false">IF(OR($L2299="",$I2299="",$I2299=0),"",$L2299/$I2299)</f>
        <v/>
      </c>
      <c r="O2299" s="51"/>
    </row>
    <row r="2300" customFormat="false" ht="15" hidden="false" customHeight="false" outlineLevel="0" collapsed="false">
      <c r="A2300" s="45"/>
      <c r="B2300" s="37" t="str">
        <f aca="false">IF($A2300="","",WEEKNUM($A2300,2))</f>
        <v/>
      </c>
      <c r="C2300" s="37" t="str">
        <f aca="false">IF($A2300="","",CHOOSE(WEEKDAY($A2300,2),"Seg","Ter","Qua","Qui","Sex","Sáb","Dom"))</f>
        <v/>
      </c>
      <c r="D2300" s="46"/>
      <c r="E2300" s="47"/>
      <c r="F2300" s="47"/>
      <c r="G2300" s="48"/>
      <c r="H2300" s="49"/>
      <c r="I2300" s="50"/>
      <c r="J2300" s="48"/>
      <c r="K2300" s="49"/>
      <c r="L2300" s="50"/>
      <c r="M2300" s="43" t="str">
        <f aca="false">IF(OR($L2300="",$F2300=""),"",IFERROR($L2300/INDEX(Cadastro!$E$6:$E$8,MATCH($F2300,Cadastro!$B$6:$B$8,0)),""))</f>
        <v/>
      </c>
      <c r="N2300" s="43" t="str">
        <f aca="false">IF(OR($L2300="",$I2300="",$I2300=0),"",$L2300/$I2300)</f>
        <v/>
      </c>
      <c r="O2300" s="51"/>
    </row>
    <row r="2301" customFormat="false" ht="15" hidden="false" customHeight="false" outlineLevel="0" collapsed="false">
      <c r="A2301" s="45"/>
      <c r="B2301" s="37" t="str">
        <f aca="false">IF($A2301="","",WEEKNUM($A2301,2))</f>
        <v/>
      </c>
      <c r="C2301" s="37" t="str">
        <f aca="false">IF($A2301="","",CHOOSE(WEEKDAY($A2301,2),"Seg","Ter","Qua","Qui","Sex","Sáb","Dom"))</f>
        <v/>
      </c>
      <c r="D2301" s="46"/>
      <c r="E2301" s="47"/>
      <c r="F2301" s="47"/>
      <c r="G2301" s="48"/>
      <c r="H2301" s="49"/>
      <c r="I2301" s="50"/>
      <c r="J2301" s="48"/>
      <c r="K2301" s="49"/>
      <c r="L2301" s="50"/>
      <c r="M2301" s="43" t="str">
        <f aca="false">IF(OR($L2301="",$F2301=""),"",IFERROR($L2301/INDEX(Cadastro!$E$6:$E$8,MATCH($F2301,Cadastro!$B$6:$B$8,0)),""))</f>
        <v/>
      </c>
      <c r="N2301" s="43" t="str">
        <f aca="false">IF(OR($L2301="",$I2301="",$I2301=0),"",$L2301/$I2301)</f>
        <v/>
      </c>
      <c r="O2301" s="51"/>
    </row>
    <row r="2302" customFormat="false" ht="15" hidden="false" customHeight="false" outlineLevel="0" collapsed="false">
      <c r="A2302" s="45"/>
      <c r="B2302" s="37" t="str">
        <f aca="false">IF($A2302="","",WEEKNUM($A2302,2))</f>
        <v/>
      </c>
      <c r="C2302" s="37" t="str">
        <f aca="false">IF($A2302="","",CHOOSE(WEEKDAY($A2302,2),"Seg","Ter","Qua","Qui","Sex","Sáb","Dom"))</f>
        <v/>
      </c>
      <c r="D2302" s="46"/>
      <c r="E2302" s="47"/>
      <c r="F2302" s="47"/>
      <c r="G2302" s="48"/>
      <c r="H2302" s="49"/>
      <c r="I2302" s="50"/>
      <c r="J2302" s="48"/>
      <c r="K2302" s="49"/>
      <c r="L2302" s="50"/>
      <c r="M2302" s="43" t="str">
        <f aca="false">IF(OR($L2302="",$F2302=""),"",IFERROR($L2302/INDEX(Cadastro!$E$6:$E$8,MATCH($F2302,Cadastro!$B$6:$B$8,0)),""))</f>
        <v/>
      </c>
      <c r="N2302" s="43" t="str">
        <f aca="false">IF(OR($L2302="",$I2302="",$I2302=0),"",$L2302/$I2302)</f>
        <v/>
      </c>
      <c r="O2302" s="51"/>
    </row>
    <row r="2303" customFormat="false" ht="15" hidden="false" customHeight="false" outlineLevel="0" collapsed="false">
      <c r="A2303" s="45"/>
      <c r="B2303" s="37" t="str">
        <f aca="false">IF($A2303="","",WEEKNUM($A2303,2))</f>
        <v/>
      </c>
      <c r="C2303" s="37" t="str">
        <f aca="false">IF($A2303="","",CHOOSE(WEEKDAY($A2303,2),"Seg","Ter","Qua","Qui","Sex","Sáb","Dom"))</f>
        <v/>
      </c>
      <c r="D2303" s="46"/>
      <c r="E2303" s="47"/>
      <c r="F2303" s="47"/>
      <c r="G2303" s="48"/>
      <c r="H2303" s="49"/>
      <c r="I2303" s="50"/>
      <c r="J2303" s="48"/>
      <c r="K2303" s="49"/>
      <c r="L2303" s="50"/>
      <c r="M2303" s="43" t="str">
        <f aca="false">IF(OR($L2303="",$F2303=""),"",IFERROR($L2303/INDEX(Cadastro!$E$6:$E$8,MATCH($F2303,Cadastro!$B$6:$B$8,0)),""))</f>
        <v/>
      </c>
      <c r="N2303" s="43" t="str">
        <f aca="false">IF(OR($L2303="",$I2303="",$I2303=0),"",$L2303/$I2303)</f>
        <v/>
      </c>
      <c r="O2303" s="51"/>
    </row>
    <row r="2304" customFormat="false" ht="15" hidden="false" customHeight="false" outlineLevel="0" collapsed="false">
      <c r="A2304" s="45"/>
      <c r="B2304" s="37" t="str">
        <f aca="false">IF($A2304="","",WEEKNUM($A2304,2))</f>
        <v/>
      </c>
      <c r="C2304" s="37" t="str">
        <f aca="false">IF($A2304="","",CHOOSE(WEEKDAY($A2304,2),"Seg","Ter","Qua","Qui","Sex","Sáb","Dom"))</f>
        <v/>
      </c>
      <c r="D2304" s="46"/>
      <c r="E2304" s="47"/>
      <c r="F2304" s="47"/>
      <c r="G2304" s="48"/>
      <c r="H2304" s="49"/>
      <c r="I2304" s="50"/>
      <c r="J2304" s="48"/>
      <c r="K2304" s="49"/>
      <c r="L2304" s="50"/>
      <c r="M2304" s="43" t="str">
        <f aca="false">IF(OR($L2304="",$F2304=""),"",IFERROR($L2304/INDEX(Cadastro!$E$6:$E$8,MATCH($F2304,Cadastro!$B$6:$B$8,0)),""))</f>
        <v/>
      </c>
      <c r="N2304" s="43" t="str">
        <f aca="false">IF(OR($L2304="",$I2304="",$I2304=0),"",$L2304/$I2304)</f>
        <v/>
      </c>
      <c r="O2304" s="51"/>
    </row>
    <row r="2305" customFormat="false" ht="15" hidden="false" customHeight="false" outlineLevel="0" collapsed="false">
      <c r="A2305" s="45"/>
      <c r="B2305" s="37" t="str">
        <f aca="false">IF($A2305="","",WEEKNUM($A2305,2))</f>
        <v/>
      </c>
      <c r="C2305" s="37" t="str">
        <f aca="false">IF($A2305="","",CHOOSE(WEEKDAY($A2305,2),"Seg","Ter","Qua","Qui","Sex","Sáb","Dom"))</f>
        <v/>
      </c>
      <c r="D2305" s="46"/>
      <c r="E2305" s="47"/>
      <c r="F2305" s="47"/>
      <c r="G2305" s="48"/>
      <c r="H2305" s="49"/>
      <c r="I2305" s="50"/>
      <c r="J2305" s="48"/>
      <c r="K2305" s="49"/>
      <c r="L2305" s="50"/>
      <c r="M2305" s="43" t="str">
        <f aca="false">IF(OR($L2305="",$F2305=""),"",IFERROR($L2305/INDEX(Cadastro!$E$6:$E$8,MATCH($F2305,Cadastro!$B$6:$B$8,0)),""))</f>
        <v/>
      </c>
      <c r="N2305" s="43" t="str">
        <f aca="false">IF(OR($L2305="",$I2305="",$I2305=0),"",$L2305/$I2305)</f>
        <v/>
      </c>
      <c r="O2305" s="51"/>
    </row>
    <row r="2306" customFormat="false" ht="15" hidden="false" customHeight="false" outlineLevel="0" collapsed="false">
      <c r="A2306" s="45"/>
      <c r="B2306" s="37" t="str">
        <f aca="false">IF($A2306="","",WEEKNUM($A2306,2))</f>
        <v/>
      </c>
      <c r="C2306" s="37" t="str">
        <f aca="false">IF($A2306="","",CHOOSE(WEEKDAY($A2306,2),"Seg","Ter","Qua","Qui","Sex","Sáb","Dom"))</f>
        <v/>
      </c>
      <c r="D2306" s="46"/>
      <c r="E2306" s="47"/>
      <c r="F2306" s="47"/>
      <c r="G2306" s="48"/>
      <c r="H2306" s="49"/>
      <c r="I2306" s="50"/>
      <c r="J2306" s="48"/>
      <c r="K2306" s="49"/>
      <c r="L2306" s="50"/>
      <c r="M2306" s="43" t="str">
        <f aca="false">IF(OR($L2306="",$F2306=""),"",IFERROR($L2306/INDEX(Cadastro!$E$6:$E$8,MATCH($F2306,Cadastro!$B$6:$B$8,0)),""))</f>
        <v/>
      </c>
      <c r="N2306" s="43" t="str">
        <f aca="false">IF(OR($L2306="",$I2306="",$I2306=0),"",$L2306/$I2306)</f>
        <v/>
      </c>
      <c r="O2306" s="51"/>
    </row>
    <row r="2307" customFormat="false" ht="15" hidden="false" customHeight="false" outlineLevel="0" collapsed="false">
      <c r="A2307" s="45"/>
      <c r="B2307" s="37" t="str">
        <f aca="false">IF($A2307="","",WEEKNUM($A2307,2))</f>
        <v/>
      </c>
      <c r="C2307" s="37" t="str">
        <f aca="false">IF($A2307="","",CHOOSE(WEEKDAY($A2307,2),"Seg","Ter","Qua","Qui","Sex","Sáb","Dom"))</f>
        <v/>
      </c>
      <c r="D2307" s="46"/>
      <c r="E2307" s="47"/>
      <c r="F2307" s="47"/>
      <c r="G2307" s="48"/>
      <c r="H2307" s="49"/>
      <c r="I2307" s="50"/>
      <c r="J2307" s="48"/>
      <c r="K2307" s="49"/>
      <c r="L2307" s="50"/>
      <c r="M2307" s="43" t="str">
        <f aca="false">IF(OR($L2307="",$F2307=""),"",IFERROR($L2307/INDEX(Cadastro!$E$6:$E$8,MATCH($F2307,Cadastro!$B$6:$B$8,0)),""))</f>
        <v/>
      </c>
      <c r="N2307" s="43" t="str">
        <f aca="false">IF(OR($L2307="",$I2307="",$I2307=0),"",$L2307/$I2307)</f>
        <v/>
      </c>
      <c r="O2307" s="51"/>
    </row>
    <row r="2308" customFormat="false" ht="15" hidden="false" customHeight="false" outlineLevel="0" collapsed="false">
      <c r="A2308" s="45"/>
      <c r="B2308" s="37" t="str">
        <f aca="false">IF($A2308="","",WEEKNUM($A2308,2))</f>
        <v/>
      </c>
      <c r="C2308" s="37" t="str">
        <f aca="false">IF($A2308="","",CHOOSE(WEEKDAY($A2308,2),"Seg","Ter","Qua","Qui","Sex","Sáb","Dom"))</f>
        <v/>
      </c>
      <c r="D2308" s="46"/>
      <c r="E2308" s="47"/>
      <c r="F2308" s="47"/>
      <c r="G2308" s="48"/>
      <c r="H2308" s="49"/>
      <c r="I2308" s="50"/>
      <c r="J2308" s="48"/>
      <c r="K2308" s="49"/>
      <c r="L2308" s="50"/>
      <c r="M2308" s="43" t="str">
        <f aca="false">IF(OR($L2308="",$F2308=""),"",IFERROR($L2308/INDEX(Cadastro!$E$6:$E$8,MATCH($F2308,Cadastro!$B$6:$B$8,0)),""))</f>
        <v/>
      </c>
      <c r="N2308" s="43" t="str">
        <f aca="false">IF(OR($L2308="",$I2308="",$I2308=0),"",$L2308/$I2308)</f>
        <v/>
      </c>
      <c r="O2308" s="51"/>
    </row>
    <row r="2309" customFormat="false" ht="15" hidden="false" customHeight="false" outlineLevel="0" collapsed="false">
      <c r="A2309" s="45"/>
      <c r="B2309" s="37" t="str">
        <f aca="false">IF($A2309="","",WEEKNUM($A2309,2))</f>
        <v/>
      </c>
      <c r="C2309" s="37" t="str">
        <f aca="false">IF($A2309="","",CHOOSE(WEEKDAY($A2309,2),"Seg","Ter","Qua","Qui","Sex","Sáb","Dom"))</f>
        <v/>
      </c>
      <c r="D2309" s="46"/>
      <c r="E2309" s="47"/>
      <c r="F2309" s="47"/>
      <c r="G2309" s="48"/>
      <c r="H2309" s="49"/>
      <c r="I2309" s="50"/>
      <c r="J2309" s="48"/>
      <c r="K2309" s="49"/>
      <c r="L2309" s="50"/>
      <c r="M2309" s="43" t="str">
        <f aca="false">IF(OR($L2309="",$F2309=""),"",IFERROR($L2309/INDEX(Cadastro!$E$6:$E$8,MATCH($F2309,Cadastro!$B$6:$B$8,0)),""))</f>
        <v/>
      </c>
      <c r="N2309" s="43" t="str">
        <f aca="false">IF(OR($L2309="",$I2309="",$I2309=0),"",$L2309/$I2309)</f>
        <v/>
      </c>
      <c r="O2309" s="51"/>
    </row>
    <row r="2310" customFormat="false" ht="15" hidden="false" customHeight="false" outlineLevel="0" collapsed="false">
      <c r="A2310" s="45"/>
      <c r="B2310" s="37" t="str">
        <f aca="false">IF($A2310="","",WEEKNUM($A2310,2))</f>
        <v/>
      </c>
      <c r="C2310" s="37" t="str">
        <f aca="false">IF($A2310="","",CHOOSE(WEEKDAY($A2310,2),"Seg","Ter","Qua","Qui","Sex","Sáb","Dom"))</f>
        <v/>
      </c>
      <c r="D2310" s="46"/>
      <c r="E2310" s="47"/>
      <c r="F2310" s="47"/>
      <c r="G2310" s="48"/>
      <c r="H2310" s="49"/>
      <c r="I2310" s="50"/>
      <c r="J2310" s="48"/>
      <c r="K2310" s="49"/>
      <c r="L2310" s="50"/>
      <c r="M2310" s="43" t="str">
        <f aca="false">IF(OR($L2310="",$F2310=""),"",IFERROR($L2310/INDEX(Cadastro!$E$6:$E$8,MATCH($F2310,Cadastro!$B$6:$B$8,0)),""))</f>
        <v/>
      </c>
      <c r="N2310" s="43" t="str">
        <f aca="false">IF(OR($L2310="",$I2310="",$I2310=0),"",$L2310/$I2310)</f>
        <v/>
      </c>
      <c r="O2310" s="51"/>
    </row>
    <row r="2311" customFormat="false" ht="15" hidden="false" customHeight="false" outlineLevel="0" collapsed="false">
      <c r="A2311" s="45"/>
      <c r="B2311" s="37" t="str">
        <f aca="false">IF($A2311="","",WEEKNUM($A2311,2))</f>
        <v/>
      </c>
      <c r="C2311" s="37" t="str">
        <f aca="false">IF($A2311="","",CHOOSE(WEEKDAY($A2311,2),"Seg","Ter","Qua","Qui","Sex","Sáb","Dom"))</f>
        <v/>
      </c>
      <c r="D2311" s="46"/>
      <c r="E2311" s="47"/>
      <c r="F2311" s="47"/>
      <c r="G2311" s="48"/>
      <c r="H2311" s="49"/>
      <c r="I2311" s="50"/>
      <c r="J2311" s="48"/>
      <c r="K2311" s="49"/>
      <c r="L2311" s="50"/>
      <c r="M2311" s="43" t="str">
        <f aca="false">IF(OR($L2311="",$F2311=""),"",IFERROR($L2311/INDEX(Cadastro!$E$6:$E$8,MATCH($F2311,Cadastro!$B$6:$B$8,0)),""))</f>
        <v/>
      </c>
      <c r="N2311" s="43" t="str">
        <f aca="false">IF(OR($L2311="",$I2311="",$I2311=0),"",$L2311/$I2311)</f>
        <v/>
      </c>
      <c r="O2311" s="51"/>
    </row>
    <row r="2312" customFormat="false" ht="15" hidden="false" customHeight="false" outlineLevel="0" collapsed="false">
      <c r="A2312" s="45"/>
      <c r="B2312" s="37" t="str">
        <f aca="false">IF($A2312="","",WEEKNUM($A2312,2))</f>
        <v/>
      </c>
      <c r="C2312" s="37" t="str">
        <f aca="false">IF($A2312="","",CHOOSE(WEEKDAY($A2312,2),"Seg","Ter","Qua","Qui","Sex","Sáb","Dom"))</f>
        <v/>
      </c>
      <c r="D2312" s="46"/>
      <c r="E2312" s="47"/>
      <c r="F2312" s="47"/>
      <c r="G2312" s="48"/>
      <c r="H2312" s="49"/>
      <c r="I2312" s="50"/>
      <c r="J2312" s="48"/>
      <c r="K2312" s="49"/>
      <c r="L2312" s="50"/>
      <c r="M2312" s="43" t="str">
        <f aca="false">IF(OR($L2312="",$F2312=""),"",IFERROR($L2312/INDEX(Cadastro!$E$6:$E$8,MATCH($F2312,Cadastro!$B$6:$B$8,0)),""))</f>
        <v/>
      </c>
      <c r="N2312" s="43" t="str">
        <f aca="false">IF(OR($L2312="",$I2312="",$I2312=0),"",$L2312/$I2312)</f>
        <v/>
      </c>
      <c r="O2312" s="51"/>
    </row>
    <row r="2313" customFormat="false" ht="15" hidden="false" customHeight="false" outlineLevel="0" collapsed="false">
      <c r="A2313" s="45"/>
      <c r="B2313" s="37" t="str">
        <f aca="false">IF($A2313="","",WEEKNUM($A2313,2))</f>
        <v/>
      </c>
      <c r="C2313" s="37" t="str">
        <f aca="false">IF($A2313="","",CHOOSE(WEEKDAY($A2313,2),"Seg","Ter","Qua","Qui","Sex","Sáb","Dom"))</f>
        <v/>
      </c>
      <c r="D2313" s="46"/>
      <c r="E2313" s="47"/>
      <c r="F2313" s="47"/>
      <c r="G2313" s="48"/>
      <c r="H2313" s="49"/>
      <c r="I2313" s="50"/>
      <c r="J2313" s="48"/>
      <c r="K2313" s="49"/>
      <c r="L2313" s="50"/>
      <c r="M2313" s="43" t="str">
        <f aca="false">IF(OR($L2313="",$F2313=""),"",IFERROR($L2313/INDEX(Cadastro!$E$6:$E$8,MATCH($F2313,Cadastro!$B$6:$B$8,0)),""))</f>
        <v/>
      </c>
      <c r="N2313" s="43" t="str">
        <f aca="false">IF(OR($L2313="",$I2313="",$I2313=0),"",$L2313/$I2313)</f>
        <v/>
      </c>
      <c r="O2313" s="51"/>
    </row>
    <row r="2314" customFormat="false" ht="15" hidden="false" customHeight="false" outlineLevel="0" collapsed="false">
      <c r="A2314" s="45"/>
      <c r="B2314" s="37" t="str">
        <f aca="false">IF($A2314="","",WEEKNUM($A2314,2))</f>
        <v/>
      </c>
      <c r="C2314" s="37" t="str">
        <f aca="false">IF($A2314="","",CHOOSE(WEEKDAY($A2314,2),"Seg","Ter","Qua","Qui","Sex","Sáb","Dom"))</f>
        <v/>
      </c>
      <c r="D2314" s="46"/>
      <c r="E2314" s="47"/>
      <c r="F2314" s="47"/>
      <c r="G2314" s="48"/>
      <c r="H2314" s="49"/>
      <c r="I2314" s="50"/>
      <c r="J2314" s="48"/>
      <c r="K2314" s="49"/>
      <c r="L2314" s="50"/>
      <c r="M2314" s="43" t="str">
        <f aca="false">IF(OR($L2314="",$F2314=""),"",IFERROR($L2314/INDEX(Cadastro!$E$6:$E$8,MATCH($F2314,Cadastro!$B$6:$B$8,0)),""))</f>
        <v/>
      </c>
      <c r="N2314" s="43" t="str">
        <f aca="false">IF(OR($L2314="",$I2314="",$I2314=0),"",$L2314/$I2314)</f>
        <v/>
      </c>
      <c r="O2314" s="51"/>
    </row>
    <row r="2315" customFormat="false" ht="15" hidden="false" customHeight="false" outlineLevel="0" collapsed="false">
      <c r="A2315" s="45"/>
      <c r="B2315" s="37" t="str">
        <f aca="false">IF($A2315="","",WEEKNUM($A2315,2))</f>
        <v/>
      </c>
      <c r="C2315" s="37" t="str">
        <f aca="false">IF($A2315="","",CHOOSE(WEEKDAY($A2315,2),"Seg","Ter","Qua","Qui","Sex","Sáb","Dom"))</f>
        <v/>
      </c>
      <c r="D2315" s="46"/>
      <c r="E2315" s="47"/>
      <c r="F2315" s="47"/>
      <c r="G2315" s="48"/>
      <c r="H2315" s="49"/>
      <c r="I2315" s="50"/>
      <c r="J2315" s="48"/>
      <c r="K2315" s="49"/>
      <c r="L2315" s="50"/>
      <c r="M2315" s="43" t="str">
        <f aca="false">IF(OR($L2315="",$F2315=""),"",IFERROR($L2315/INDEX(Cadastro!$E$6:$E$8,MATCH($F2315,Cadastro!$B$6:$B$8,0)),""))</f>
        <v/>
      </c>
      <c r="N2315" s="43" t="str">
        <f aca="false">IF(OR($L2315="",$I2315="",$I2315=0),"",$L2315/$I2315)</f>
        <v/>
      </c>
      <c r="O2315" s="51"/>
    </row>
    <row r="2316" customFormat="false" ht="15" hidden="false" customHeight="false" outlineLevel="0" collapsed="false">
      <c r="A2316" s="45"/>
      <c r="B2316" s="37" t="str">
        <f aca="false">IF($A2316="","",WEEKNUM($A2316,2))</f>
        <v/>
      </c>
      <c r="C2316" s="37" t="str">
        <f aca="false">IF($A2316="","",CHOOSE(WEEKDAY($A2316,2),"Seg","Ter","Qua","Qui","Sex","Sáb","Dom"))</f>
        <v/>
      </c>
      <c r="D2316" s="46"/>
      <c r="E2316" s="47"/>
      <c r="F2316" s="47"/>
      <c r="G2316" s="48"/>
      <c r="H2316" s="49"/>
      <c r="I2316" s="50"/>
      <c r="J2316" s="48"/>
      <c r="K2316" s="49"/>
      <c r="L2316" s="50"/>
      <c r="M2316" s="43" t="str">
        <f aca="false">IF(OR($L2316="",$F2316=""),"",IFERROR($L2316/INDEX(Cadastro!$E$6:$E$8,MATCH($F2316,Cadastro!$B$6:$B$8,0)),""))</f>
        <v/>
      </c>
      <c r="N2316" s="43" t="str">
        <f aca="false">IF(OR($L2316="",$I2316="",$I2316=0),"",$L2316/$I2316)</f>
        <v/>
      </c>
      <c r="O2316" s="51"/>
    </row>
    <row r="2317" customFormat="false" ht="15" hidden="false" customHeight="false" outlineLevel="0" collapsed="false">
      <c r="A2317" s="45"/>
      <c r="B2317" s="37" t="str">
        <f aca="false">IF($A2317="","",WEEKNUM($A2317,2))</f>
        <v/>
      </c>
      <c r="C2317" s="37" t="str">
        <f aca="false">IF($A2317="","",CHOOSE(WEEKDAY($A2317,2),"Seg","Ter","Qua","Qui","Sex","Sáb","Dom"))</f>
        <v/>
      </c>
      <c r="D2317" s="46"/>
      <c r="E2317" s="47"/>
      <c r="F2317" s="47"/>
      <c r="G2317" s="48"/>
      <c r="H2317" s="49"/>
      <c r="I2317" s="50"/>
      <c r="J2317" s="48"/>
      <c r="K2317" s="49"/>
      <c r="L2317" s="50"/>
      <c r="M2317" s="43" t="str">
        <f aca="false">IF(OR($L2317="",$F2317=""),"",IFERROR($L2317/INDEX(Cadastro!$E$6:$E$8,MATCH($F2317,Cadastro!$B$6:$B$8,0)),""))</f>
        <v/>
      </c>
      <c r="N2317" s="43" t="str">
        <f aca="false">IF(OR($L2317="",$I2317="",$I2317=0),"",$L2317/$I2317)</f>
        <v/>
      </c>
      <c r="O2317" s="51"/>
    </row>
    <row r="2318" customFormat="false" ht="15" hidden="false" customHeight="false" outlineLevel="0" collapsed="false">
      <c r="A2318" s="45"/>
      <c r="B2318" s="37" t="str">
        <f aca="false">IF($A2318="","",WEEKNUM($A2318,2))</f>
        <v/>
      </c>
      <c r="C2318" s="37" t="str">
        <f aca="false">IF($A2318="","",CHOOSE(WEEKDAY($A2318,2),"Seg","Ter","Qua","Qui","Sex","Sáb","Dom"))</f>
        <v/>
      </c>
      <c r="D2318" s="46"/>
      <c r="E2318" s="47"/>
      <c r="F2318" s="47"/>
      <c r="G2318" s="48"/>
      <c r="H2318" s="49"/>
      <c r="I2318" s="50"/>
      <c r="J2318" s="48"/>
      <c r="K2318" s="49"/>
      <c r="L2318" s="50"/>
      <c r="M2318" s="43" t="str">
        <f aca="false">IF(OR($L2318="",$F2318=""),"",IFERROR($L2318/INDEX(Cadastro!$E$6:$E$8,MATCH($F2318,Cadastro!$B$6:$B$8,0)),""))</f>
        <v/>
      </c>
      <c r="N2318" s="43" t="str">
        <f aca="false">IF(OR($L2318="",$I2318="",$I2318=0),"",$L2318/$I2318)</f>
        <v/>
      </c>
      <c r="O2318" s="51"/>
    </row>
    <row r="2319" customFormat="false" ht="15" hidden="false" customHeight="false" outlineLevel="0" collapsed="false">
      <c r="A2319" s="45"/>
      <c r="B2319" s="37" t="str">
        <f aca="false">IF($A2319="","",WEEKNUM($A2319,2))</f>
        <v/>
      </c>
      <c r="C2319" s="37" t="str">
        <f aca="false">IF($A2319="","",CHOOSE(WEEKDAY($A2319,2),"Seg","Ter","Qua","Qui","Sex","Sáb","Dom"))</f>
        <v/>
      </c>
      <c r="D2319" s="46"/>
      <c r="E2319" s="47"/>
      <c r="F2319" s="47"/>
      <c r="G2319" s="48"/>
      <c r="H2319" s="49"/>
      <c r="I2319" s="50"/>
      <c r="J2319" s="48"/>
      <c r="K2319" s="49"/>
      <c r="L2319" s="50"/>
      <c r="M2319" s="43" t="str">
        <f aca="false">IF(OR($L2319="",$F2319=""),"",IFERROR($L2319/INDEX(Cadastro!$E$6:$E$8,MATCH($F2319,Cadastro!$B$6:$B$8,0)),""))</f>
        <v/>
      </c>
      <c r="N2319" s="43" t="str">
        <f aca="false">IF(OR($L2319="",$I2319="",$I2319=0),"",$L2319/$I2319)</f>
        <v/>
      </c>
      <c r="O2319" s="51"/>
    </row>
    <row r="2320" customFormat="false" ht="15" hidden="false" customHeight="false" outlineLevel="0" collapsed="false">
      <c r="A2320" s="45"/>
      <c r="B2320" s="37" t="str">
        <f aca="false">IF($A2320="","",WEEKNUM($A2320,2))</f>
        <v/>
      </c>
      <c r="C2320" s="37" t="str">
        <f aca="false">IF($A2320="","",CHOOSE(WEEKDAY($A2320,2),"Seg","Ter","Qua","Qui","Sex","Sáb","Dom"))</f>
        <v/>
      </c>
      <c r="D2320" s="46"/>
      <c r="E2320" s="47"/>
      <c r="F2320" s="47"/>
      <c r="G2320" s="48"/>
      <c r="H2320" s="49"/>
      <c r="I2320" s="50"/>
      <c r="J2320" s="48"/>
      <c r="K2320" s="49"/>
      <c r="L2320" s="50"/>
      <c r="M2320" s="43" t="str">
        <f aca="false">IF(OR($L2320="",$F2320=""),"",IFERROR($L2320/INDEX(Cadastro!$E$6:$E$8,MATCH($F2320,Cadastro!$B$6:$B$8,0)),""))</f>
        <v/>
      </c>
      <c r="N2320" s="43" t="str">
        <f aca="false">IF(OR($L2320="",$I2320="",$I2320=0),"",$L2320/$I2320)</f>
        <v/>
      </c>
      <c r="O2320" s="51"/>
    </row>
    <row r="2321" customFormat="false" ht="15" hidden="false" customHeight="false" outlineLevel="0" collapsed="false">
      <c r="A2321" s="45"/>
      <c r="B2321" s="37" t="str">
        <f aca="false">IF($A2321="","",WEEKNUM($A2321,2))</f>
        <v/>
      </c>
      <c r="C2321" s="37" t="str">
        <f aca="false">IF($A2321="","",CHOOSE(WEEKDAY($A2321,2),"Seg","Ter","Qua","Qui","Sex","Sáb","Dom"))</f>
        <v/>
      </c>
      <c r="D2321" s="46"/>
      <c r="E2321" s="47"/>
      <c r="F2321" s="47"/>
      <c r="G2321" s="48"/>
      <c r="H2321" s="49"/>
      <c r="I2321" s="50"/>
      <c r="J2321" s="48"/>
      <c r="K2321" s="49"/>
      <c r="L2321" s="50"/>
      <c r="M2321" s="43" t="str">
        <f aca="false">IF(OR($L2321="",$F2321=""),"",IFERROR($L2321/INDEX(Cadastro!$E$6:$E$8,MATCH($F2321,Cadastro!$B$6:$B$8,0)),""))</f>
        <v/>
      </c>
      <c r="N2321" s="43" t="str">
        <f aca="false">IF(OR($L2321="",$I2321="",$I2321=0),"",$L2321/$I2321)</f>
        <v/>
      </c>
      <c r="O2321" s="51"/>
    </row>
    <row r="2322" customFormat="false" ht="15" hidden="false" customHeight="false" outlineLevel="0" collapsed="false">
      <c r="A2322" s="45"/>
      <c r="B2322" s="37" t="str">
        <f aca="false">IF($A2322="","",WEEKNUM($A2322,2))</f>
        <v/>
      </c>
      <c r="C2322" s="37" t="str">
        <f aca="false">IF($A2322="","",CHOOSE(WEEKDAY($A2322,2),"Seg","Ter","Qua","Qui","Sex","Sáb","Dom"))</f>
        <v/>
      </c>
      <c r="D2322" s="46"/>
      <c r="E2322" s="47"/>
      <c r="F2322" s="47"/>
      <c r="G2322" s="48"/>
      <c r="H2322" s="49"/>
      <c r="I2322" s="50"/>
      <c r="J2322" s="48"/>
      <c r="K2322" s="49"/>
      <c r="L2322" s="50"/>
      <c r="M2322" s="43" t="str">
        <f aca="false">IF(OR($L2322="",$F2322=""),"",IFERROR($L2322/INDEX(Cadastro!$E$6:$E$8,MATCH($F2322,Cadastro!$B$6:$B$8,0)),""))</f>
        <v/>
      </c>
      <c r="N2322" s="43" t="str">
        <f aca="false">IF(OR($L2322="",$I2322="",$I2322=0),"",$L2322/$I2322)</f>
        <v/>
      </c>
      <c r="O2322" s="51"/>
    </row>
    <row r="2323" customFormat="false" ht="15" hidden="false" customHeight="false" outlineLevel="0" collapsed="false">
      <c r="A2323" s="45"/>
      <c r="B2323" s="37" t="str">
        <f aca="false">IF($A2323="","",WEEKNUM($A2323,2))</f>
        <v/>
      </c>
      <c r="C2323" s="37" t="str">
        <f aca="false">IF($A2323="","",CHOOSE(WEEKDAY($A2323,2),"Seg","Ter","Qua","Qui","Sex","Sáb","Dom"))</f>
        <v/>
      </c>
      <c r="D2323" s="46"/>
      <c r="E2323" s="47"/>
      <c r="F2323" s="47"/>
      <c r="G2323" s="48"/>
      <c r="H2323" s="49"/>
      <c r="I2323" s="50"/>
      <c r="J2323" s="48"/>
      <c r="K2323" s="49"/>
      <c r="L2323" s="50"/>
      <c r="M2323" s="43" t="str">
        <f aca="false">IF(OR($L2323="",$F2323=""),"",IFERROR($L2323/INDEX(Cadastro!$E$6:$E$8,MATCH($F2323,Cadastro!$B$6:$B$8,0)),""))</f>
        <v/>
      </c>
      <c r="N2323" s="43" t="str">
        <f aca="false">IF(OR($L2323="",$I2323="",$I2323=0),"",$L2323/$I2323)</f>
        <v/>
      </c>
      <c r="O2323" s="51"/>
    </row>
    <row r="2324" customFormat="false" ht="15" hidden="false" customHeight="false" outlineLevel="0" collapsed="false">
      <c r="A2324" s="45"/>
      <c r="B2324" s="37" t="str">
        <f aca="false">IF($A2324="","",WEEKNUM($A2324,2))</f>
        <v/>
      </c>
      <c r="C2324" s="37" t="str">
        <f aca="false">IF($A2324="","",CHOOSE(WEEKDAY($A2324,2),"Seg","Ter","Qua","Qui","Sex","Sáb","Dom"))</f>
        <v/>
      </c>
      <c r="D2324" s="46"/>
      <c r="E2324" s="47"/>
      <c r="F2324" s="47"/>
      <c r="G2324" s="48"/>
      <c r="H2324" s="49"/>
      <c r="I2324" s="50"/>
      <c r="J2324" s="48"/>
      <c r="K2324" s="49"/>
      <c r="L2324" s="50"/>
      <c r="M2324" s="43" t="str">
        <f aca="false">IF(OR($L2324="",$F2324=""),"",IFERROR($L2324/INDEX(Cadastro!$E$6:$E$8,MATCH($F2324,Cadastro!$B$6:$B$8,0)),""))</f>
        <v/>
      </c>
      <c r="N2324" s="43" t="str">
        <f aca="false">IF(OR($L2324="",$I2324="",$I2324=0),"",$L2324/$I2324)</f>
        <v/>
      </c>
      <c r="O2324" s="51"/>
    </row>
    <row r="2325" customFormat="false" ht="15" hidden="false" customHeight="false" outlineLevel="0" collapsed="false">
      <c r="A2325" s="45"/>
      <c r="B2325" s="37" t="str">
        <f aca="false">IF($A2325="","",WEEKNUM($A2325,2))</f>
        <v/>
      </c>
      <c r="C2325" s="37" t="str">
        <f aca="false">IF($A2325="","",CHOOSE(WEEKDAY($A2325,2),"Seg","Ter","Qua","Qui","Sex","Sáb","Dom"))</f>
        <v/>
      </c>
      <c r="D2325" s="46"/>
      <c r="E2325" s="47"/>
      <c r="F2325" s="47"/>
      <c r="G2325" s="48"/>
      <c r="H2325" s="49"/>
      <c r="I2325" s="50"/>
      <c r="J2325" s="48"/>
      <c r="K2325" s="49"/>
      <c r="L2325" s="50"/>
      <c r="M2325" s="43" t="str">
        <f aca="false">IF(OR($L2325="",$F2325=""),"",IFERROR($L2325/INDEX(Cadastro!$E$6:$E$8,MATCH($F2325,Cadastro!$B$6:$B$8,0)),""))</f>
        <v/>
      </c>
      <c r="N2325" s="43" t="str">
        <f aca="false">IF(OR($L2325="",$I2325="",$I2325=0),"",$L2325/$I2325)</f>
        <v/>
      </c>
      <c r="O2325" s="51"/>
    </row>
    <row r="2326" customFormat="false" ht="15" hidden="false" customHeight="false" outlineLevel="0" collapsed="false">
      <c r="A2326" s="45"/>
      <c r="B2326" s="37" t="str">
        <f aca="false">IF($A2326="","",WEEKNUM($A2326,2))</f>
        <v/>
      </c>
      <c r="C2326" s="37" t="str">
        <f aca="false">IF($A2326="","",CHOOSE(WEEKDAY($A2326,2),"Seg","Ter","Qua","Qui","Sex","Sáb","Dom"))</f>
        <v/>
      </c>
      <c r="D2326" s="46"/>
      <c r="E2326" s="47"/>
      <c r="F2326" s="47"/>
      <c r="G2326" s="48"/>
      <c r="H2326" s="49"/>
      <c r="I2326" s="50"/>
      <c r="J2326" s="48"/>
      <c r="K2326" s="49"/>
      <c r="L2326" s="50"/>
      <c r="M2326" s="43" t="str">
        <f aca="false">IF(OR($L2326="",$F2326=""),"",IFERROR($L2326/INDEX(Cadastro!$E$6:$E$8,MATCH($F2326,Cadastro!$B$6:$B$8,0)),""))</f>
        <v/>
      </c>
      <c r="N2326" s="43" t="str">
        <f aca="false">IF(OR($L2326="",$I2326="",$I2326=0),"",$L2326/$I2326)</f>
        <v/>
      </c>
      <c r="O2326" s="51"/>
    </row>
    <row r="2327" customFormat="false" ht="15" hidden="false" customHeight="false" outlineLevel="0" collapsed="false">
      <c r="A2327" s="45"/>
      <c r="B2327" s="37" t="str">
        <f aca="false">IF($A2327="","",WEEKNUM($A2327,2))</f>
        <v/>
      </c>
      <c r="C2327" s="37" t="str">
        <f aca="false">IF($A2327="","",CHOOSE(WEEKDAY($A2327,2),"Seg","Ter","Qua","Qui","Sex","Sáb","Dom"))</f>
        <v/>
      </c>
      <c r="D2327" s="46"/>
      <c r="E2327" s="47"/>
      <c r="F2327" s="47"/>
      <c r="G2327" s="48"/>
      <c r="H2327" s="49"/>
      <c r="I2327" s="50"/>
      <c r="J2327" s="48"/>
      <c r="K2327" s="49"/>
      <c r="L2327" s="50"/>
      <c r="M2327" s="43" t="str">
        <f aca="false">IF(OR($L2327="",$F2327=""),"",IFERROR($L2327/INDEX(Cadastro!$E$6:$E$8,MATCH($F2327,Cadastro!$B$6:$B$8,0)),""))</f>
        <v/>
      </c>
      <c r="N2327" s="43" t="str">
        <f aca="false">IF(OR($L2327="",$I2327="",$I2327=0),"",$L2327/$I2327)</f>
        <v/>
      </c>
      <c r="O2327" s="51"/>
    </row>
    <row r="2328" customFormat="false" ht="15" hidden="false" customHeight="false" outlineLevel="0" collapsed="false">
      <c r="A2328" s="45"/>
      <c r="B2328" s="37" t="str">
        <f aca="false">IF($A2328="","",WEEKNUM($A2328,2))</f>
        <v/>
      </c>
      <c r="C2328" s="37" t="str">
        <f aca="false">IF($A2328="","",CHOOSE(WEEKDAY($A2328,2),"Seg","Ter","Qua","Qui","Sex","Sáb","Dom"))</f>
        <v/>
      </c>
      <c r="D2328" s="46"/>
      <c r="E2328" s="47"/>
      <c r="F2328" s="47"/>
      <c r="G2328" s="48"/>
      <c r="H2328" s="49"/>
      <c r="I2328" s="50"/>
      <c r="J2328" s="48"/>
      <c r="K2328" s="49"/>
      <c r="L2328" s="50"/>
      <c r="M2328" s="43" t="str">
        <f aca="false">IF(OR($L2328="",$F2328=""),"",IFERROR($L2328/INDEX(Cadastro!$E$6:$E$8,MATCH($F2328,Cadastro!$B$6:$B$8,0)),""))</f>
        <v/>
      </c>
      <c r="N2328" s="43" t="str">
        <f aca="false">IF(OR($L2328="",$I2328="",$I2328=0),"",$L2328/$I2328)</f>
        <v/>
      </c>
      <c r="O2328" s="51"/>
    </row>
    <row r="2329" customFormat="false" ht="15" hidden="false" customHeight="false" outlineLevel="0" collapsed="false">
      <c r="A2329" s="45"/>
      <c r="B2329" s="37" t="str">
        <f aca="false">IF($A2329="","",WEEKNUM($A2329,2))</f>
        <v/>
      </c>
      <c r="C2329" s="37" t="str">
        <f aca="false">IF($A2329="","",CHOOSE(WEEKDAY($A2329,2),"Seg","Ter","Qua","Qui","Sex","Sáb","Dom"))</f>
        <v/>
      </c>
      <c r="D2329" s="46"/>
      <c r="E2329" s="47"/>
      <c r="F2329" s="47"/>
      <c r="G2329" s="48"/>
      <c r="H2329" s="49"/>
      <c r="I2329" s="50"/>
      <c r="J2329" s="48"/>
      <c r="K2329" s="49"/>
      <c r="L2329" s="50"/>
      <c r="M2329" s="43" t="str">
        <f aca="false">IF(OR($L2329="",$F2329=""),"",IFERROR($L2329/INDEX(Cadastro!$E$6:$E$8,MATCH($F2329,Cadastro!$B$6:$B$8,0)),""))</f>
        <v/>
      </c>
      <c r="N2329" s="43" t="str">
        <f aca="false">IF(OR($L2329="",$I2329="",$I2329=0),"",$L2329/$I2329)</f>
        <v/>
      </c>
      <c r="O2329" s="51"/>
    </row>
    <row r="2330" customFormat="false" ht="15" hidden="false" customHeight="false" outlineLevel="0" collapsed="false">
      <c r="A2330" s="45"/>
      <c r="B2330" s="37" t="str">
        <f aca="false">IF($A2330="","",WEEKNUM($A2330,2))</f>
        <v/>
      </c>
      <c r="C2330" s="37" t="str">
        <f aca="false">IF($A2330="","",CHOOSE(WEEKDAY($A2330,2),"Seg","Ter","Qua","Qui","Sex","Sáb","Dom"))</f>
        <v/>
      </c>
      <c r="D2330" s="46"/>
      <c r="E2330" s="47"/>
      <c r="F2330" s="47"/>
      <c r="G2330" s="48"/>
      <c r="H2330" s="49"/>
      <c r="I2330" s="50"/>
      <c r="J2330" s="48"/>
      <c r="K2330" s="49"/>
      <c r="L2330" s="50"/>
      <c r="M2330" s="43" t="str">
        <f aca="false">IF(OR($L2330="",$F2330=""),"",IFERROR($L2330/INDEX(Cadastro!$E$6:$E$8,MATCH($F2330,Cadastro!$B$6:$B$8,0)),""))</f>
        <v/>
      </c>
      <c r="N2330" s="43" t="str">
        <f aca="false">IF(OR($L2330="",$I2330="",$I2330=0),"",$L2330/$I2330)</f>
        <v/>
      </c>
      <c r="O2330" s="51"/>
    </row>
    <row r="2331" customFormat="false" ht="15" hidden="false" customHeight="false" outlineLevel="0" collapsed="false">
      <c r="A2331" s="45"/>
      <c r="B2331" s="37" t="str">
        <f aca="false">IF($A2331="","",WEEKNUM($A2331,2))</f>
        <v/>
      </c>
      <c r="C2331" s="37" t="str">
        <f aca="false">IF($A2331="","",CHOOSE(WEEKDAY($A2331,2),"Seg","Ter","Qua","Qui","Sex","Sáb","Dom"))</f>
        <v/>
      </c>
      <c r="D2331" s="46"/>
      <c r="E2331" s="47"/>
      <c r="F2331" s="47"/>
      <c r="G2331" s="48"/>
      <c r="H2331" s="49"/>
      <c r="I2331" s="50"/>
      <c r="J2331" s="48"/>
      <c r="K2331" s="49"/>
      <c r="L2331" s="50"/>
      <c r="M2331" s="43" t="str">
        <f aca="false">IF(OR($L2331="",$F2331=""),"",IFERROR($L2331/INDEX(Cadastro!$E$6:$E$8,MATCH($F2331,Cadastro!$B$6:$B$8,0)),""))</f>
        <v/>
      </c>
      <c r="N2331" s="43" t="str">
        <f aca="false">IF(OR($L2331="",$I2331="",$I2331=0),"",$L2331/$I2331)</f>
        <v/>
      </c>
      <c r="O2331" s="51"/>
    </row>
    <row r="2332" customFormat="false" ht="15" hidden="false" customHeight="false" outlineLevel="0" collapsed="false">
      <c r="A2332" s="45"/>
      <c r="B2332" s="37" t="str">
        <f aca="false">IF($A2332="","",WEEKNUM($A2332,2))</f>
        <v/>
      </c>
      <c r="C2332" s="37" t="str">
        <f aca="false">IF($A2332="","",CHOOSE(WEEKDAY($A2332,2),"Seg","Ter","Qua","Qui","Sex","Sáb","Dom"))</f>
        <v/>
      </c>
      <c r="D2332" s="46"/>
      <c r="E2332" s="47"/>
      <c r="F2332" s="47"/>
      <c r="G2332" s="48"/>
      <c r="H2332" s="49"/>
      <c r="I2332" s="50"/>
      <c r="J2332" s="48"/>
      <c r="K2332" s="49"/>
      <c r="L2332" s="50"/>
      <c r="M2332" s="43" t="str">
        <f aca="false">IF(OR($L2332="",$F2332=""),"",IFERROR($L2332/INDEX(Cadastro!$E$6:$E$8,MATCH($F2332,Cadastro!$B$6:$B$8,0)),""))</f>
        <v/>
      </c>
      <c r="N2332" s="43" t="str">
        <f aca="false">IF(OR($L2332="",$I2332="",$I2332=0),"",$L2332/$I2332)</f>
        <v/>
      </c>
      <c r="O2332" s="51"/>
    </row>
    <row r="2333" customFormat="false" ht="15" hidden="false" customHeight="false" outlineLevel="0" collapsed="false">
      <c r="A2333" s="45"/>
      <c r="B2333" s="37" t="str">
        <f aca="false">IF($A2333="","",WEEKNUM($A2333,2))</f>
        <v/>
      </c>
      <c r="C2333" s="37" t="str">
        <f aca="false">IF($A2333="","",CHOOSE(WEEKDAY($A2333,2),"Seg","Ter","Qua","Qui","Sex","Sáb","Dom"))</f>
        <v/>
      </c>
      <c r="D2333" s="46"/>
      <c r="E2333" s="47"/>
      <c r="F2333" s="47"/>
      <c r="G2333" s="48"/>
      <c r="H2333" s="49"/>
      <c r="I2333" s="50"/>
      <c r="J2333" s="48"/>
      <c r="K2333" s="49"/>
      <c r="L2333" s="50"/>
      <c r="M2333" s="43" t="str">
        <f aca="false">IF(OR($L2333="",$F2333=""),"",IFERROR($L2333/INDEX(Cadastro!$E$6:$E$8,MATCH($F2333,Cadastro!$B$6:$B$8,0)),""))</f>
        <v/>
      </c>
      <c r="N2333" s="43" t="str">
        <f aca="false">IF(OR($L2333="",$I2333="",$I2333=0),"",$L2333/$I2333)</f>
        <v/>
      </c>
      <c r="O2333" s="51"/>
    </row>
    <row r="2334" customFormat="false" ht="15" hidden="false" customHeight="false" outlineLevel="0" collapsed="false">
      <c r="A2334" s="45"/>
      <c r="B2334" s="37" t="str">
        <f aca="false">IF($A2334="","",WEEKNUM($A2334,2))</f>
        <v/>
      </c>
      <c r="C2334" s="37" t="str">
        <f aca="false">IF($A2334="","",CHOOSE(WEEKDAY($A2334,2),"Seg","Ter","Qua","Qui","Sex","Sáb","Dom"))</f>
        <v/>
      </c>
      <c r="D2334" s="46"/>
      <c r="E2334" s="47"/>
      <c r="F2334" s="47"/>
      <c r="G2334" s="48"/>
      <c r="H2334" s="49"/>
      <c r="I2334" s="50"/>
      <c r="J2334" s="48"/>
      <c r="K2334" s="49"/>
      <c r="L2334" s="50"/>
      <c r="M2334" s="43" t="str">
        <f aca="false">IF(OR($L2334="",$F2334=""),"",IFERROR($L2334/INDEX(Cadastro!$E$6:$E$8,MATCH($F2334,Cadastro!$B$6:$B$8,0)),""))</f>
        <v/>
      </c>
      <c r="N2334" s="43" t="str">
        <f aca="false">IF(OR($L2334="",$I2334="",$I2334=0),"",$L2334/$I2334)</f>
        <v/>
      </c>
      <c r="O2334" s="51"/>
    </row>
    <row r="2335" customFormat="false" ht="15" hidden="false" customHeight="false" outlineLevel="0" collapsed="false">
      <c r="A2335" s="45"/>
      <c r="B2335" s="37" t="str">
        <f aca="false">IF($A2335="","",WEEKNUM($A2335,2))</f>
        <v/>
      </c>
      <c r="C2335" s="37" t="str">
        <f aca="false">IF($A2335="","",CHOOSE(WEEKDAY($A2335,2),"Seg","Ter","Qua","Qui","Sex","Sáb","Dom"))</f>
        <v/>
      </c>
      <c r="D2335" s="46"/>
      <c r="E2335" s="47"/>
      <c r="F2335" s="47"/>
      <c r="G2335" s="48"/>
      <c r="H2335" s="49"/>
      <c r="I2335" s="50"/>
      <c r="J2335" s="48"/>
      <c r="K2335" s="49"/>
      <c r="L2335" s="50"/>
      <c r="M2335" s="43" t="str">
        <f aca="false">IF(OR($L2335="",$F2335=""),"",IFERROR($L2335/INDEX(Cadastro!$E$6:$E$8,MATCH($F2335,Cadastro!$B$6:$B$8,0)),""))</f>
        <v/>
      </c>
      <c r="N2335" s="43" t="str">
        <f aca="false">IF(OR($L2335="",$I2335="",$I2335=0),"",$L2335/$I2335)</f>
        <v/>
      </c>
      <c r="O2335" s="51"/>
    </row>
    <row r="2336" customFormat="false" ht="15" hidden="false" customHeight="false" outlineLevel="0" collapsed="false">
      <c r="A2336" s="45"/>
      <c r="B2336" s="37" t="str">
        <f aca="false">IF($A2336="","",WEEKNUM($A2336,2))</f>
        <v/>
      </c>
      <c r="C2336" s="37" t="str">
        <f aca="false">IF($A2336="","",CHOOSE(WEEKDAY($A2336,2),"Seg","Ter","Qua","Qui","Sex","Sáb","Dom"))</f>
        <v/>
      </c>
      <c r="D2336" s="46"/>
      <c r="E2336" s="47"/>
      <c r="F2336" s="47"/>
      <c r="G2336" s="48"/>
      <c r="H2336" s="49"/>
      <c r="I2336" s="50"/>
      <c r="J2336" s="48"/>
      <c r="K2336" s="49"/>
      <c r="L2336" s="50"/>
      <c r="M2336" s="43" t="str">
        <f aca="false">IF(OR($L2336="",$F2336=""),"",IFERROR($L2336/INDEX(Cadastro!$E$6:$E$8,MATCH($F2336,Cadastro!$B$6:$B$8,0)),""))</f>
        <v/>
      </c>
      <c r="N2336" s="43" t="str">
        <f aca="false">IF(OR($L2336="",$I2336="",$I2336=0),"",$L2336/$I2336)</f>
        <v/>
      </c>
      <c r="O2336" s="51"/>
    </row>
    <row r="2337" customFormat="false" ht="15" hidden="false" customHeight="false" outlineLevel="0" collapsed="false">
      <c r="A2337" s="45"/>
      <c r="B2337" s="37" t="str">
        <f aca="false">IF($A2337="","",WEEKNUM($A2337,2))</f>
        <v/>
      </c>
      <c r="C2337" s="37" t="str">
        <f aca="false">IF($A2337="","",CHOOSE(WEEKDAY($A2337,2),"Seg","Ter","Qua","Qui","Sex","Sáb","Dom"))</f>
        <v/>
      </c>
      <c r="D2337" s="46"/>
      <c r="E2337" s="47"/>
      <c r="F2337" s="47"/>
      <c r="G2337" s="48"/>
      <c r="H2337" s="49"/>
      <c r="I2337" s="50"/>
      <c r="J2337" s="48"/>
      <c r="K2337" s="49"/>
      <c r="L2337" s="50"/>
      <c r="M2337" s="43" t="str">
        <f aca="false">IF(OR($L2337="",$F2337=""),"",IFERROR($L2337/INDEX(Cadastro!$E$6:$E$8,MATCH($F2337,Cadastro!$B$6:$B$8,0)),""))</f>
        <v/>
      </c>
      <c r="N2337" s="43" t="str">
        <f aca="false">IF(OR($L2337="",$I2337="",$I2337=0),"",$L2337/$I2337)</f>
        <v/>
      </c>
      <c r="O2337" s="51"/>
    </row>
    <row r="2338" customFormat="false" ht="15" hidden="false" customHeight="false" outlineLevel="0" collapsed="false">
      <c r="A2338" s="45"/>
      <c r="B2338" s="37" t="str">
        <f aca="false">IF($A2338="","",WEEKNUM($A2338,2))</f>
        <v/>
      </c>
      <c r="C2338" s="37" t="str">
        <f aca="false">IF($A2338="","",CHOOSE(WEEKDAY($A2338,2),"Seg","Ter","Qua","Qui","Sex","Sáb","Dom"))</f>
        <v/>
      </c>
      <c r="D2338" s="46"/>
      <c r="E2338" s="47"/>
      <c r="F2338" s="47"/>
      <c r="G2338" s="48"/>
      <c r="H2338" s="49"/>
      <c r="I2338" s="50"/>
      <c r="J2338" s="48"/>
      <c r="K2338" s="49"/>
      <c r="L2338" s="50"/>
      <c r="M2338" s="43" t="str">
        <f aca="false">IF(OR($L2338="",$F2338=""),"",IFERROR($L2338/INDEX(Cadastro!$E$6:$E$8,MATCH($F2338,Cadastro!$B$6:$B$8,0)),""))</f>
        <v/>
      </c>
      <c r="N2338" s="43" t="str">
        <f aca="false">IF(OR($L2338="",$I2338="",$I2338=0),"",$L2338/$I2338)</f>
        <v/>
      </c>
      <c r="O2338" s="51"/>
    </row>
    <row r="2339" customFormat="false" ht="15" hidden="false" customHeight="false" outlineLevel="0" collapsed="false">
      <c r="A2339" s="45"/>
      <c r="B2339" s="37" t="str">
        <f aca="false">IF($A2339="","",WEEKNUM($A2339,2))</f>
        <v/>
      </c>
      <c r="C2339" s="37" t="str">
        <f aca="false">IF($A2339="","",CHOOSE(WEEKDAY($A2339,2),"Seg","Ter","Qua","Qui","Sex","Sáb","Dom"))</f>
        <v/>
      </c>
      <c r="D2339" s="46"/>
      <c r="E2339" s="47"/>
      <c r="F2339" s="47"/>
      <c r="G2339" s="48"/>
      <c r="H2339" s="49"/>
      <c r="I2339" s="50"/>
      <c r="J2339" s="48"/>
      <c r="K2339" s="49"/>
      <c r="L2339" s="50"/>
      <c r="M2339" s="43" t="str">
        <f aca="false">IF(OR($L2339="",$F2339=""),"",IFERROR($L2339/INDEX(Cadastro!$E$6:$E$8,MATCH($F2339,Cadastro!$B$6:$B$8,0)),""))</f>
        <v/>
      </c>
      <c r="N2339" s="43" t="str">
        <f aca="false">IF(OR($L2339="",$I2339="",$I2339=0),"",$L2339/$I2339)</f>
        <v/>
      </c>
      <c r="O2339" s="51"/>
    </row>
    <row r="2340" customFormat="false" ht="15" hidden="false" customHeight="false" outlineLevel="0" collapsed="false">
      <c r="A2340" s="45"/>
      <c r="B2340" s="37" t="str">
        <f aca="false">IF($A2340="","",WEEKNUM($A2340,2))</f>
        <v/>
      </c>
      <c r="C2340" s="37" t="str">
        <f aca="false">IF($A2340="","",CHOOSE(WEEKDAY($A2340,2),"Seg","Ter","Qua","Qui","Sex","Sáb","Dom"))</f>
        <v/>
      </c>
      <c r="D2340" s="46"/>
      <c r="E2340" s="47"/>
      <c r="F2340" s="47"/>
      <c r="G2340" s="48"/>
      <c r="H2340" s="49"/>
      <c r="I2340" s="50"/>
      <c r="J2340" s="48"/>
      <c r="K2340" s="49"/>
      <c r="L2340" s="50"/>
      <c r="M2340" s="43" t="str">
        <f aca="false">IF(OR($L2340="",$F2340=""),"",IFERROR($L2340/INDEX(Cadastro!$E$6:$E$8,MATCH($F2340,Cadastro!$B$6:$B$8,0)),""))</f>
        <v/>
      </c>
      <c r="N2340" s="43" t="str">
        <f aca="false">IF(OR($L2340="",$I2340="",$I2340=0),"",$L2340/$I2340)</f>
        <v/>
      </c>
      <c r="O2340" s="51"/>
    </row>
    <row r="2341" customFormat="false" ht="15" hidden="false" customHeight="false" outlineLevel="0" collapsed="false">
      <c r="A2341" s="45"/>
      <c r="B2341" s="37" t="str">
        <f aca="false">IF($A2341="","",WEEKNUM($A2341,2))</f>
        <v/>
      </c>
      <c r="C2341" s="37" t="str">
        <f aca="false">IF($A2341="","",CHOOSE(WEEKDAY($A2341,2),"Seg","Ter","Qua","Qui","Sex","Sáb","Dom"))</f>
        <v/>
      </c>
      <c r="D2341" s="46"/>
      <c r="E2341" s="47"/>
      <c r="F2341" s="47"/>
      <c r="G2341" s="48"/>
      <c r="H2341" s="49"/>
      <c r="I2341" s="50"/>
      <c r="J2341" s="48"/>
      <c r="K2341" s="49"/>
      <c r="L2341" s="50"/>
      <c r="M2341" s="43" t="str">
        <f aca="false">IF(OR($L2341="",$F2341=""),"",IFERROR($L2341/INDEX(Cadastro!$E$6:$E$8,MATCH($F2341,Cadastro!$B$6:$B$8,0)),""))</f>
        <v/>
      </c>
      <c r="N2341" s="43" t="str">
        <f aca="false">IF(OR($L2341="",$I2341="",$I2341=0),"",$L2341/$I2341)</f>
        <v/>
      </c>
      <c r="O2341" s="51"/>
    </row>
    <row r="2342" customFormat="false" ht="15" hidden="false" customHeight="false" outlineLevel="0" collapsed="false">
      <c r="A2342" s="45"/>
      <c r="B2342" s="37" t="str">
        <f aca="false">IF($A2342="","",WEEKNUM($A2342,2))</f>
        <v/>
      </c>
      <c r="C2342" s="37" t="str">
        <f aca="false">IF($A2342="","",CHOOSE(WEEKDAY($A2342,2),"Seg","Ter","Qua","Qui","Sex","Sáb","Dom"))</f>
        <v/>
      </c>
      <c r="D2342" s="46"/>
      <c r="E2342" s="47"/>
      <c r="F2342" s="47"/>
      <c r="G2342" s="48"/>
      <c r="H2342" s="49"/>
      <c r="I2342" s="50"/>
      <c r="J2342" s="48"/>
      <c r="K2342" s="49"/>
      <c r="L2342" s="50"/>
      <c r="M2342" s="43" t="str">
        <f aca="false">IF(OR($L2342="",$F2342=""),"",IFERROR($L2342/INDEX(Cadastro!$E$6:$E$8,MATCH($F2342,Cadastro!$B$6:$B$8,0)),""))</f>
        <v/>
      </c>
      <c r="N2342" s="43" t="str">
        <f aca="false">IF(OR($L2342="",$I2342="",$I2342=0),"",$L2342/$I2342)</f>
        <v/>
      </c>
      <c r="O2342" s="51"/>
    </row>
    <row r="2343" customFormat="false" ht="15" hidden="false" customHeight="false" outlineLevel="0" collapsed="false">
      <c r="A2343" s="45"/>
      <c r="B2343" s="37" t="str">
        <f aca="false">IF($A2343="","",WEEKNUM($A2343,2))</f>
        <v/>
      </c>
      <c r="C2343" s="37" t="str">
        <f aca="false">IF($A2343="","",CHOOSE(WEEKDAY($A2343,2),"Seg","Ter","Qua","Qui","Sex","Sáb","Dom"))</f>
        <v/>
      </c>
      <c r="D2343" s="46"/>
      <c r="E2343" s="47"/>
      <c r="F2343" s="47"/>
      <c r="G2343" s="48"/>
      <c r="H2343" s="49"/>
      <c r="I2343" s="50"/>
      <c r="J2343" s="48"/>
      <c r="K2343" s="49"/>
      <c r="L2343" s="50"/>
      <c r="M2343" s="43" t="str">
        <f aca="false">IF(OR($L2343="",$F2343=""),"",IFERROR($L2343/INDEX(Cadastro!$E$6:$E$8,MATCH($F2343,Cadastro!$B$6:$B$8,0)),""))</f>
        <v/>
      </c>
      <c r="N2343" s="43" t="str">
        <f aca="false">IF(OR($L2343="",$I2343="",$I2343=0),"",$L2343/$I2343)</f>
        <v/>
      </c>
      <c r="O2343" s="51"/>
    </row>
    <row r="2344" customFormat="false" ht="15" hidden="false" customHeight="false" outlineLevel="0" collapsed="false">
      <c r="A2344" s="45"/>
      <c r="B2344" s="37" t="str">
        <f aca="false">IF($A2344="","",WEEKNUM($A2344,2))</f>
        <v/>
      </c>
      <c r="C2344" s="37" t="str">
        <f aca="false">IF($A2344="","",CHOOSE(WEEKDAY($A2344,2),"Seg","Ter","Qua","Qui","Sex","Sáb","Dom"))</f>
        <v/>
      </c>
      <c r="D2344" s="46"/>
      <c r="E2344" s="47"/>
      <c r="F2344" s="47"/>
      <c r="G2344" s="48"/>
      <c r="H2344" s="49"/>
      <c r="I2344" s="50"/>
      <c r="J2344" s="48"/>
      <c r="K2344" s="49"/>
      <c r="L2344" s="50"/>
      <c r="M2344" s="43" t="str">
        <f aca="false">IF(OR($L2344="",$F2344=""),"",IFERROR($L2344/INDEX(Cadastro!$E$6:$E$8,MATCH($F2344,Cadastro!$B$6:$B$8,0)),""))</f>
        <v/>
      </c>
      <c r="N2344" s="43" t="str">
        <f aca="false">IF(OR($L2344="",$I2344="",$I2344=0),"",$L2344/$I2344)</f>
        <v/>
      </c>
      <c r="O2344" s="51"/>
    </row>
    <row r="2345" customFormat="false" ht="15" hidden="false" customHeight="false" outlineLevel="0" collapsed="false">
      <c r="A2345" s="45"/>
      <c r="B2345" s="37" t="str">
        <f aca="false">IF($A2345="","",WEEKNUM($A2345,2))</f>
        <v/>
      </c>
      <c r="C2345" s="37" t="str">
        <f aca="false">IF($A2345="","",CHOOSE(WEEKDAY($A2345,2),"Seg","Ter","Qua","Qui","Sex","Sáb","Dom"))</f>
        <v/>
      </c>
      <c r="D2345" s="46"/>
      <c r="E2345" s="47"/>
      <c r="F2345" s="47"/>
      <c r="G2345" s="48"/>
      <c r="H2345" s="49"/>
      <c r="I2345" s="50"/>
      <c r="J2345" s="48"/>
      <c r="K2345" s="49"/>
      <c r="L2345" s="50"/>
      <c r="M2345" s="43" t="str">
        <f aca="false">IF(OR($L2345="",$F2345=""),"",IFERROR($L2345/INDEX(Cadastro!$E$6:$E$8,MATCH($F2345,Cadastro!$B$6:$B$8,0)),""))</f>
        <v/>
      </c>
      <c r="N2345" s="43" t="str">
        <f aca="false">IF(OR($L2345="",$I2345="",$I2345=0),"",$L2345/$I2345)</f>
        <v/>
      </c>
      <c r="O2345" s="51"/>
    </row>
    <row r="2346" customFormat="false" ht="15" hidden="false" customHeight="false" outlineLevel="0" collapsed="false">
      <c r="A2346" s="45"/>
      <c r="B2346" s="37" t="str">
        <f aca="false">IF($A2346="","",WEEKNUM($A2346,2))</f>
        <v/>
      </c>
      <c r="C2346" s="37" t="str">
        <f aca="false">IF($A2346="","",CHOOSE(WEEKDAY($A2346,2),"Seg","Ter","Qua","Qui","Sex","Sáb","Dom"))</f>
        <v/>
      </c>
      <c r="D2346" s="46"/>
      <c r="E2346" s="47"/>
      <c r="F2346" s="47"/>
      <c r="G2346" s="48"/>
      <c r="H2346" s="49"/>
      <c r="I2346" s="50"/>
      <c r="J2346" s="48"/>
      <c r="K2346" s="49"/>
      <c r="L2346" s="50"/>
      <c r="M2346" s="43" t="str">
        <f aca="false">IF(OR($L2346="",$F2346=""),"",IFERROR($L2346/INDEX(Cadastro!$E$6:$E$8,MATCH($F2346,Cadastro!$B$6:$B$8,0)),""))</f>
        <v/>
      </c>
      <c r="N2346" s="43" t="str">
        <f aca="false">IF(OR($L2346="",$I2346="",$I2346=0),"",$L2346/$I2346)</f>
        <v/>
      </c>
      <c r="O2346" s="51"/>
    </row>
    <row r="2347" customFormat="false" ht="15" hidden="false" customHeight="false" outlineLevel="0" collapsed="false">
      <c r="A2347" s="45"/>
      <c r="B2347" s="37" t="str">
        <f aca="false">IF($A2347="","",WEEKNUM($A2347,2))</f>
        <v/>
      </c>
      <c r="C2347" s="37" t="str">
        <f aca="false">IF($A2347="","",CHOOSE(WEEKDAY($A2347,2),"Seg","Ter","Qua","Qui","Sex","Sáb","Dom"))</f>
        <v/>
      </c>
      <c r="D2347" s="46"/>
      <c r="E2347" s="47"/>
      <c r="F2347" s="47"/>
      <c r="G2347" s="48"/>
      <c r="H2347" s="49"/>
      <c r="I2347" s="50"/>
      <c r="J2347" s="48"/>
      <c r="K2347" s="49"/>
      <c r="L2347" s="50"/>
      <c r="M2347" s="43" t="str">
        <f aca="false">IF(OR($L2347="",$F2347=""),"",IFERROR($L2347/INDEX(Cadastro!$E$6:$E$8,MATCH($F2347,Cadastro!$B$6:$B$8,0)),""))</f>
        <v/>
      </c>
      <c r="N2347" s="43" t="str">
        <f aca="false">IF(OR($L2347="",$I2347="",$I2347=0),"",$L2347/$I2347)</f>
        <v/>
      </c>
      <c r="O2347" s="51"/>
    </row>
    <row r="2348" customFormat="false" ht="15" hidden="false" customHeight="false" outlineLevel="0" collapsed="false">
      <c r="A2348" s="45"/>
      <c r="B2348" s="37" t="str">
        <f aca="false">IF($A2348="","",WEEKNUM($A2348,2))</f>
        <v/>
      </c>
      <c r="C2348" s="37" t="str">
        <f aca="false">IF($A2348="","",CHOOSE(WEEKDAY($A2348,2),"Seg","Ter","Qua","Qui","Sex","Sáb","Dom"))</f>
        <v/>
      </c>
      <c r="D2348" s="46"/>
      <c r="E2348" s="47"/>
      <c r="F2348" s="47"/>
      <c r="G2348" s="48"/>
      <c r="H2348" s="49"/>
      <c r="I2348" s="50"/>
      <c r="J2348" s="48"/>
      <c r="K2348" s="49"/>
      <c r="L2348" s="50"/>
      <c r="M2348" s="43" t="str">
        <f aca="false">IF(OR($L2348="",$F2348=""),"",IFERROR($L2348/INDEX(Cadastro!$E$6:$E$8,MATCH($F2348,Cadastro!$B$6:$B$8,0)),""))</f>
        <v/>
      </c>
      <c r="N2348" s="43" t="str">
        <f aca="false">IF(OR($L2348="",$I2348="",$I2348=0),"",$L2348/$I2348)</f>
        <v/>
      </c>
      <c r="O2348" s="51"/>
    </row>
    <row r="2349" customFormat="false" ht="15" hidden="false" customHeight="false" outlineLevel="0" collapsed="false">
      <c r="A2349" s="45"/>
      <c r="B2349" s="37" t="str">
        <f aca="false">IF($A2349="","",WEEKNUM($A2349,2))</f>
        <v/>
      </c>
      <c r="C2349" s="37" t="str">
        <f aca="false">IF($A2349="","",CHOOSE(WEEKDAY($A2349,2),"Seg","Ter","Qua","Qui","Sex","Sáb","Dom"))</f>
        <v/>
      </c>
      <c r="D2349" s="46"/>
      <c r="E2349" s="47"/>
      <c r="F2349" s="47"/>
      <c r="G2349" s="48"/>
      <c r="H2349" s="49"/>
      <c r="I2349" s="50"/>
      <c r="J2349" s="48"/>
      <c r="K2349" s="49"/>
      <c r="L2349" s="50"/>
      <c r="M2349" s="43" t="str">
        <f aca="false">IF(OR($L2349="",$F2349=""),"",IFERROR($L2349/INDEX(Cadastro!$E$6:$E$8,MATCH($F2349,Cadastro!$B$6:$B$8,0)),""))</f>
        <v/>
      </c>
      <c r="N2349" s="43" t="str">
        <f aca="false">IF(OR($L2349="",$I2349="",$I2349=0),"",$L2349/$I2349)</f>
        <v/>
      </c>
      <c r="O2349" s="51"/>
    </row>
    <row r="2350" customFormat="false" ht="15" hidden="false" customHeight="false" outlineLevel="0" collapsed="false">
      <c r="A2350" s="45"/>
      <c r="B2350" s="37" t="str">
        <f aca="false">IF($A2350="","",WEEKNUM($A2350,2))</f>
        <v/>
      </c>
      <c r="C2350" s="37" t="str">
        <f aca="false">IF($A2350="","",CHOOSE(WEEKDAY($A2350,2),"Seg","Ter","Qua","Qui","Sex","Sáb","Dom"))</f>
        <v/>
      </c>
      <c r="D2350" s="46"/>
      <c r="E2350" s="47"/>
      <c r="F2350" s="47"/>
      <c r="G2350" s="48"/>
      <c r="H2350" s="49"/>
      <c r="I2350" s="50"/>
      <c r="J2350" s="48"/>
      <c r="K2350" s="49"/>
      <c r="L2350" s="50"/>
      <c r="M2350" s="43" t="str">
        <f aca="false">IF(OR($L2350="",$F2350=""),"",IFERROR($L2350/INDEX(Cadastro!$E$6:$E$8,MATCH($F2350,Cadastro!$B$6:$B$8,0)),""))</f>
        <v/>
      </c>
      <c r="N2350" s="43" t="str">
        <f aca="false">IF(OR($L2350="",$I2350="",$I2350=0),"",$L2350/$I2350)</f>
        <v/>
      </c>
      <c r="O2350" s="51"/>
    </row>
    <row r="2351" customFormat="false" ht="15" hidden="false" customHeight="false" outlineLevel="0" collapsed="false">
      <c r="A2351" s="45"/>
      <c r="B2351" s="37" t="str">
        <f aca="false">IF($A2351="","",WEEKNUM($A2351,2))</f>
        <v/>
      </c>
      <c r="C2351" s="37" t="str">
        <f aca="false">IF($A2351="","",CHOOSE(WEEKDAY($A2351,2),"Seg","Ter","Qua","Qui","Sex","Sáb","Dom"))</f>
        <v/>
      </c>
      <c r="D2351" s="46"/>
      <c r="E2351" s="47"/>
      <c r="F2351" s="47"/>
      <c r="G2351" s="48"/>
      <c r="H2351" s="49"/>
      <c r="I2351" s="50"/>
      <c r="J2351" s="48"/>
      <c r="K2351" s="49"/>
      <c r="L2351" s="50"/>
      <c r="M2351" s="43" t="str">
        <f aca="false">IF(OR($L2351="",$F2351=""),"",IFERROR($L2351/INDEX(Cadastro!$E$6:$E$8,MATCH($F2351,Cadastro!$B$6:$B$8,0)),""))</f>
        <v/>
      </c>
      <c r="N2351" s="43" t="str">
        <f aca="false">IF(OR($L2351="",$I2351="",$I2351=0),"",$L2351/$I2351)</f>
        <v/>
      </c>
      <c r="O2351" s="51"/>
    </row>
    <row r="2352" customFormat="false" ht="15" hidden="false" customHeight="false" outlineLevel="0" collapsed="false">
      <c r="A2352" s="45"/>
      <c r="B2352" s="37" t="str">
        <f aca="false">IF($A2352="","",WEEKNUM($A2352,2))</f>
        <v/>
      </c>
      <c r="C2352" s="37" t="str">
        <f aca="false">IF($A2352="","",CHOOSE(WEEKDAY($A2352,2),"Seg","Ter","Qua","Qui","Sex","Sáb","Dom"))</f>
        <v/>
      </c>
      <c r="D2352" s="46"/>
      <c r="E2352" s="47"/>
      <c r="F2352" s="47"/>
      <c r="G2352" s="48"/>
      <c r="H2352" s="49"/>
      <c r="I2352" s="50"/>
      <c r="J2352" s="48"/>
      <c r="K2352" s="49"/>
      <c r="L2352" s="50"/>
      <c r="M2352" s="43" t="str">
        <f aca="false">IF(OR($L2352="",$F2352=""),"",IFERROR($L2352/INDEX(Cadastro!$E$6:$E$8,MATCH($F2352,Cadastro!$B$6:$B$8,0)),""))</f>
        <v/>
      </c>
      <c r="N2352" s="43" t="str">
        <f aca="false">IF(OR($L2352="",$I2352="",$I2352=0),"",$L2352/$I2352)</f>
        <v/>
      </c>
      <c r="O2352" s="51"/>
    </row>
    <row r="2353" customFormat="false" ht="15" hidden="false" customHeight="false" outlineLevel="0" collapsed="false">
      <c r="A2353" s="45"/>
      <c r="B2353" s="37" t="str">
        <f aca="false">IF($A2353="","",WEEKNUM($A2353,2))</f>
        <v/>
      </c>
      <c r="C2353" s="37" t="str">
        <f aca="false">IF($A2353="","",CHOOSE(WEEKDAY($A2353,2),"Seg","Ter","Qua","Qui","Sex","Sáb","Dom"))</f>
        <v/>
      </c>
      <c r="D2353" s="46"/>
      <c r="E2353" s="47"/>
      <c r="F2353" s="47"/>
      <c r="G2353" s="48"/>
      <c r="H2353" s="49"/>
      <c r="I2353" s="50"/>
      <c r="J2353" s="48"/>
      <c r="K2353" s="49"/>
      <c r="L2353" s="50"/>
      <c r="M2353" s="43" t="str">
        <f aca="false">IF(OR($L2353="",$F2353=""),"",IFERROR($L2353/INDEX(Cadastro!$E$6:$E$8,MATCH($F2353,Cadastro!$B$6:$B$8,0)),""))</f>
        <v/>
      </c>
      <c r="N2353" s="43" t="str">
        <f aca="false">IF(OR($L2353="",$I2353="",$I2353=0),"",$L2353/$I2353)</f>
        <v/>
      </c>
      <c r="O2353" s="51"/>
    </row>
    <row r="2354" customFormat="false" ht="15" hidden="false" customHeight="false" outlineLevel="0" collapsed="false">
      <c r="A2354" s="45"/>
      <c r="B2354" s="37" t="str">
        <f aca="false">IF($A2354="","",WEEKNUM($A2354,2))</f>
        <v/>
      </c>
      <c r="C2354" s="37" t="str">
        <f aca="false">IF($A2354="","",CHOOSE(WEEKDAY($A2354,2),"Seg","Ter","Qua","Qui","Sex","Sáb","Dom"))</f>
        <v/>
      </c>
      <c r="D2354" s="46"/>
      <c r="E2354" s="47"/>
      <c r="F2354" s="47"/>
      <c r="G2354" s="48"/>
      <c r="H2354" s="49"/>
      <c r="I2354" s="50"/>
      <c r="J2354" s="48"/>
      <c r="K2354" s="49"/>
      <c r="L2354" s="50"/>
      <c r="M2354" s="43" t="str">
        <f aca="false">IF(OR($L2354="",$F2354=""),"",IFERROR($L2354/INDEX(Cadastro!$E$6:$E$8,MATCH($F2354,Cadastro!$B$6:$B$8,0)),""))</f>
        <v/>
      </c>
      <c r="N2354" s="43" t="str">
        <f aca="false">IF(OR($L2354="",$I2354="",$I2354=0),"",$L2354/$I2354)</f>
        <v/>
      </c>
      <c r="O2354" s="51"/>
    </row>
    <row r="2355" customFormat="false" ht="15" hidden="false" customHeight="false" outlineLevel="0" collapsed="false">
      <c r="A2355" s="45"/>
      <c r="B2355" s="37" t="str">
        <f aca="false">IF($A2355="","",WEEKNUM($A2355,2))</f>
        <v/>
      </c>
      <c r="C2355" s="37" t="str">
        <f aca="false">IF($A2355="","",CHOOSE(WEEKDAY($A2355,2),"Seg","Ter","Qua","Qui","Sex","Sáb","Dom"))</f>
        <v/>
      </c>
      <c r="D2355" s="46"/>
      <c r="E2355" s="47"/>
      <c r="F2355" s="47"/>
      <c r="G2355" s="48"/>
      <c r="H2355" s="49"/>
      <c r="I2355" s="50"/>
      <c r="J2355" s="48"/>
      <c r="K2355" s="49"/>
      <c r="L2355" s="50"/>
      <c r="M2355" s="43" t="str">
        <f aca="false">IF(OR($L2355="",$F2355=""),"",IFERROR($L2355/INDEX(Cadastro!$E$6:$E$8,MATCH($F2355,Cadastro!$B$6:$B$8,0)),""))</f>
        <v/>
      </c>
      <c r="N2355" s="43" t="str">
        <f aca="false">IF(OR($L2355="",$I2355="",$I2355=0),"",$L2355/$I2355)</f>
        <v/>
      </c>
      <c r="O2355" s="51"/>
    </row>
    <row r="2356" customFormat="false" ht="15" hidden="false" customHeight="false" outlineLevel="0" collapsed="false">
      <c r="A2356" s="45"/>
      <c r="B2356" s="37" t="str">
        <f aca="false">IF($A2356="","",WEEKNUM($A2356,2))</f>
        <v/>
      </c>
      <c r="C2356" s="37" t="str">
        <f aca="false">IF($A2356="","",CHOOSE(WEEKDAY($A2356,2),"Seg","Ter","Qua","Qui","Sex","Sáb","Dom"))</f>
        <v/>
      </c>
      <c r="D2356" s="46"/>
      <c r="E2356" s="47"/>
      <c r="F2356" s="47"/>
      <c r="G2356" s="48"/>
      <c r="H2356" s="49"/>
      <c r="I2356" s="50"/>
      <c r="J2356" s="48"/>
      <c r="K2356" s="49"/>
      <c r="L2356" s="50"/>
      <c r="M2356" s="43" t="str">
        <f aca="false">IF(OR($L2356="",$F2356=""),"",IFERROR($L2356/INDEX(Cadastro!$E$6:$E$8,MATCH($F2356,Cadastro!$B$6:$B$8,0)),""))</f>
        <v/>
      </c>
      <c r="N2356" s="43" t="str">
        <f aca="false">IF(OR($L2356="",$I2356="",$I2356=0),"",$L2356/$I2356)</f>
        <v/>
      </c>
      <c r="O2356" s="51"/>
    </row>
    <row r="2357" customFormat="false" ht="15" hidden="false" customHeight="false" outlineLevel="0" collapsed="false">
      <c r="A2357" s="45"/>
      <c r="B2357" s="37" t="str">
        <f aca="false">IF($A2357="","",WEEKNUM($A2357,2))</f>
        <v/>
      </c>
      <c r="C2357" s="37" t="str">
        <f aca="false">IF($A2357="","",CHOOSE(WEEKDAY($A2357,2),"Seg","Ter","Qua","Qui","Sex","Sáb","Dom"))</f>
        <v/>
      </c>
      <c r="D2357" s="46"/>
      <c r="E2357" s="47"/>
      <c r="F2357" s="47"/>
      <c r="G2357" s="48"/>
      <c r="H2357" s="49"/>
      <c r="I2357" s="50"/>
      <c r="J2357" s="48"/>
      <c r="K2357" s="49"/>
      <c r="L2357" s="50"/>
      <c r="M2357" s="43" t="str">
        <f aca="false">IF(OR($L2357="",$F2357=""),"",IFERROR($L2357/INDEX(Cadastro!$E$6:$E$8,MATCH($F2357,Cadastro!$B$6:$B$8,0)),""))</f>
        <v/>
      </c>
      <c r="N2357" s="43" t="str">
        <f aca="false">IF(OR($L2357="",$I2357="",$I2357=0),"",$L2357/$I2357)</f>
        <v/>
      </c>
      <c r="O2357" s="51"/>
    </row>
    <row r="2358" customFormat="false" ht="15" hidden="false" customHeight="false" outlineLevel="0" collapsed="false">
      <c r="A2358" s="45"/>
      <c r="B2358" s="37" t="str">
        <f aca="false">IF($A2358="","",WEEKNUM($A2358,2))</f>
        <v/>
      </c>
      <c r="C2358" s="37" t="str">
        <f aca="false">IF($A2358="","",CHOOSE(WEEKDAY($A2358,2),"Seg","Ter","Qua","Qui","Sex","Sáb","Dom"))</f>
        <v/>
      </c>
      <c r="D2358" s="46"/>
      <c r="E2358" s="47"/>
      <c r="F2358" s="47"/>
      <c r="G2358" s="48"/>
      <c r="H2358" s="49"/>
      <c r="I2358" s="50"/>
      <c r="J2358" s="48"/>
      <c r="K2358" s="49"/>
      <c r="L2358" s="50"/>
      <c r="M2358" s="43" t="str">
        <f aca="false">IF(OR($L2358="",$F2358=""),"",IFERROR($L2358/INDEX(Cadastro!$E$6:$E$8,MATCH($F2358,Cadastro!$B$6:$B$8,0)),""))</f>
        <v/>
      </c>
      <c r="N2358" s="43" t="str">
        <f aca="false">IF(OR($L2358="",$I2358="",$I2358=0),"",$L2358/$I2358)</f>
        <v/>
      </c>
      <c r="O2358" s="51"/>
    </row>
    <row r="2359" customFormat="false" ht="15" hidden="false" customHeight="false" outlineLevel="0" collapsed="false">
      <c r="A2359" s="45"/>
      <c r="B2359" s="37" t="str">
        <f aca="false">IF($A2359="","",WEEKNUM($A2359,2))</f>
        <v/>
      </c>
      <c r="C2359" s="37" t="str">
        <f aca="false">IF($A2359="","",CHOOSE(WEEKDAY($A2359,2),"Seg","Ter","Qua","Qui","Sex","Sáb","Dom"))</f>
        <v/>
      </c>
      <c r="D2359" s="46"/>
      <c r="E2359" s="47"/>
      <c r="F2359" s="47"/>
      <c r="G2359" s="48"/>
      <c r="H2359" s="49"/>
      <c r="I2359" s="50"/>
      <c r="J2359" s="48"/>
      <c r="K2359" s="49"/>
      <c r="L2359" s="50"/>
      <c r="M2359" s="43" t="str">
        <f aca="false">IF(OR($L2359="",$F2359=""),"",IFERROR($L2359/INDEX(Cadastro!$E$6:$E$8,MATCH($F2359,Cadastro!$B$6:$B$8,0)),""))</f>
        <v/>
      </c>
      <c r="N2359" s="43" t="str">
        <f aca="false">IF(OR($L2359="",$I2359="",$I2359=0),"",$L2359/$I2359)</f>
        <v/>
      </c>
      <c r="O2359" s="51"/>
    </row>
    <row r="2360" customFormat="false" ht="15" hidden="false" customHeight="false" outlineLevel="0" collapsed="false">
      <c r="A2360" s="45"/>
      <c r="B2360" s="37" t="str">
        <f aca="false">IF($A2360="","",WEEKNUM($A2360,2))</f>
        <v/>
      </c>
      <c r="C2360" s="37" t="str">
        <f aca="false">IF($A2360="","",CHOOSE(WEEKDAY($A2360,2),"Seg","Ter","Qua","Qui","Sex","Sáb","Dom"))</f>
        <v/>
      </c>
      <c r="D2360" s="46"/>
      <c r="E2360" s="47"/>
      <c r="F2360" s="47"/>
      <c r="G2360" s="48"/>
      <c r="H2360" s="49"/>
      <c r="I2360" s="50"/>
      <c r="J2360" s="48"/>
      <c r="K2360" s="49"/>
      <c r="L2360" s="50"/>
      <c r="M2360" s="43" t="str">
        <f aca="false">IF(OR($L2360="",$F2360=""),"",IFERROR($L2360/INDEX(Cadastro!$E$6:$E$8,MATCH($F2360,Cadastro!$B$6:$B$8,0)),""))</f>
        <v/>
      </c>
      <c r="N2360" s="43" t="str">
        <f aca="false">IF(OR($L2360="",$I2360="",$I2360=0),"",$L2360/$I2360)</f>
        <v/>
      </c>
      <c r="O2360" s="51"/>
    </row>
    <row r="2361" customFormat="false" ht="15" hidden="false" customHeight="false" outlineLevel="0" collapsed="false">
      <c r="A2361" s="45"/>
      <c r="B2361" s="37" t="str">
        <f aca="false">IF($A2361="","",WEEKNUM($A2361,2))</f>
        <v/>
      </c>
      <c r="C2361" s="37" t="str">
        <f aca="false">IF($A2361="","",CHOOSE(WEEKDAY($A2361,2),"Seg","Ter","Qua","Qui","Sex","Sáb","Dom"))</f>
        <v/>
      </c>
      <c r="D2361" s="46"/>
      <c r="E2361" s="47"/>
      <c r="F2361" s="47"/>
      <c r="G2361" s="48"/>
      <c r="H2361" s="49"/>
      <c r="I2361" s="50"/>
      <c r="J2361" s="48"/>
      <c r="K2361" s="49"/>
      <c r="L2361" s="50"/>
      <c r="M2361" s="43" t="str">
        <f aca="false">IF(OR($L2361="",$F2361=""),"",IFERROR($L2361/INDEX(Cadastro!$E$6:$E$8,MATCH($F2361,Cadastro!$B$6:$B$8,0)),""))</f>
        <v/>
      </c>
      <c r="N2361" s="43" t="str">
        <f aca="false">IF(OR($L2361="",$I2361="",$I2361=0),"",$L2361/$I2361)</f>
        <v/>
      </c>
      <c r="O2361" s="51"/>
    </row>
    <row r="2362" customFormat="false" ht="15" hidden="false" customHeight="false" outlineLevel="0" collapsed="false">
      <c r="A2362" s="45"/>
      <c r="B2362" s="37" t="str">
        <f aca="false">IF($A2362="","",WEEKNUM($A2362,2))</f>
        <v/>
      </c>
      <c r="C2362" s="37" t="str">
        <f aca="false">IF($A2362="","",CHOOSE(WEEKDAY($A2362,2),"Seg","Ter","Qua","Qui","Sex","Sáb","Dom"))</f>
        <v/>
      </c>
      <c r="D2362" s="46"/>
      <c r="E2362" s="47"/>
      <c r="F2362" s="47"/>
      <c r="G2362" s="48"/>
      <c r="H2362" s="49"/>
      <c r="I2362" s="50"/>
      <c r="J2362" s="48"/>
      <c r="K2362" s="49"/>
      <c r="L2362" s="50"/>
      <c r="M2362" s="43" t="str">
        <f aca="false">IF(OR($L2362="",$F2362=""),"",IFERROR($L2362/INDEX(Cadastro!$E$6:$E$8,MATCH($F2362,Cadastro!$B$6:$B$8,0)),""))</f>
        <v/>
      </c>
      <c r="N2362" s="43" t="str">
        <f aca="false">IF(OR($L2362="",$I2362="",$I2362=0),"",$L2362/$I2362)</f>
        <v/>
      </c>
      <c r="O2362" s="51"/>
    </row>
    <row r="2363" customFormat="false" ht="15" hidden="false" customHeight="false" outlineLevel="0" collapsed="false">
      <c r="A2363" s="45"/>
      <c r="B2363" s="37" t="str">
        <f aca="false">IF($A2363="","",WEEKNUM($A2363,2))</f>
        <v/>
      </c>
      <c r="C2363" s="37" t="str">
        <f aca="false">IF($A2363="","",CHOOSE(WEEKDAY($A2363,2),"Seg","Ter","Qua","Qui","Sex","Sáb","Dom"))</f>
        <v/>
      </c>
      <c r="D2363" s="46"/>
      <c r="E2363" s="47"/>
      <c r="F2363" s="47"/>
      <c r="G2363" s="48"/>
      <c r="H2363" s="49"/>
      <c r="I2363" s="50"/>
      <c r="J2363" s="48"/>
      <c r="K2363" s="49"/>
      <c r="L2363" s="50"/>
      <c r="M2363" s="43" t="str">
        <f aca="false">IF(OR($L2363="",$F2363=""),"",IFERROR($L2363/INDEX(Cadastro!$E$6:$E$8,MATCH($F2363,Cadastro!$B$6:$B$8,0)),""))</f>
        <v/>
      </c>
      <c r="N2363" s="43" t="str">
        <f aca="false">IF(OR($L2363="",$I2363="",$I2363=0),"",$L2363/$I2363)</f>
        <v/>
      </c>
      <c r="O2363" s="51"/>
    </row>
    <row r="2364" customFormat="false" ht="15" hidden="false" customHeight="false" outlineLevel="0" collapsed="false">
      <c r="A2364" s="45"/>
      <c r="B2364" s="37" t="str">
        <f aca="false">IF($A2364="","",WEEKNUM($A2364,2))</f>
        <v/>
      </c>
      <c r="C2364" s="37" t="str">
        <f aca="false">IF($A2364="","",CHOOSE(WEEKDAY($A2364,2),"Seg","Ter","Qua","Qui","Sex","Sáb","Dom"))</f>
        <v/>
      </c>
      <c r="D2364" s="46"/>
      <c r="E2364" s="47"/>
      <c r="F2364" s="47"/>
      <c r="G2364" s="48"/>
      <c r="H2364" s="49"/>
      <c r="I2364" s="50"/>
      <c r="J2364" s="48"/>
      <c r="K2364" s="49"/>
      <c r="L2364" s="50"/>
      <c r="M2364" s="43" t="str">
        <f aca="false">IF(OR($L2364="",$F2364=""),"",IFERROR($L2364/INDEX(Cadastro!$E$6:$E$8,MATCH($F2364,Cadastro!$B$6:$B$8,0)),""))</f>
        <v/>
      </c>
      <c r="N2364" s="43" t="str">
        <f aca="false">IF(OR($L2364="",$I2364="",$I2364=0),"",$L2364/$I2364)</f>
        <v/>
      </c>
      <c r="O2364" s="51"/>
    </row>
    <row r="2365" customFormat="false" ht="15" hidden="false" customHeight="false" outlineLevel="0" collapsed="false">
      <c r="A2365" s="45"/>
      <c r="B2365" s="37" t="str">
        <f aca="false">IF($A2365="","",WEEKNUM($A2365,2))</f>
        <v/>
      </c>
      <c r="C2365" s="37" t="str">
        <f aca="false">IF($A2365="","",CHOOSE(WEEKDAY($A2365,2),"Seg","Ter","Qua","Qui","Sex","Sáb","Dom"))</f>
        <v/>
      </c>
      <c r="D2365" s="46"/>
      <c r="E2365" s="47"/>
      <c r="F2365" s="47"/>
      <c r="G2365" s="48"/>
      <c r="H2365" s="49"/>
      <c r="I2365" s="50"/>
      <c r="J2365" s="48"/>
      <c r="K2365" s="49"/>
      <c r="L2365" s="50"/>
      <c r="M2365" s="43" t="str">
        <f aca="false">IF(OR($L2365="",$F2365=""),"",IFERROR($L2365/INDEX(Cadastro!$E$6:$E$8,MATCH($F2365,Cadastro!$B$6:$B$8,0)),""))</f>
        <v/>
      </c>
      <c r="N2365" s="43" t="str">
        <f aca="false">IF(OR($L2365="",$I2365="",$I2365=0),"",$L2365/$I2365)</f>
        <v/>
      </c>
      <c r="O2365" s="51"/>
    </row>
    <row r="2366" customFormat="false" ht="15" hidden="false" customHeight="false" outlineLevel="0" collapsed="false">
      <c r="A2366" s="45"/>
      <c r="B2366" s="37" t="str">
        <f aca="false">IF($A2366="","",WEEKNUM($A2366,2))</f>
        <v/>
      </c>
      <c r="C2366" s="37" t="str">
        <f aca="false">IF($A2366="","",CHOOSE(WEEKDAY($A2366,2),"Seg","Ter","Qua","Qui","Sex","Sáb","Dom"))</f>
        <v/>
      </c>
      <c r="D2366" s="46"/>
      <c r="E2366" s="47"/>
      <c r="F2366" s="47"/>
      <c r="G2366" s="48"/>
      <c r="H2366" s="49"/>
      <c r="I2366" s="50"/>
      <c r="J2366" s="48"/>
      <c r="K2366" s="49"/>
      <c r="L2366" s="50"/>
      <c r="M2366" s="43" t="str">
        <f aca="false">IF(OR($L2366="",$F2366=""),"",IFERROR($L2366/INDEX(Cadastro!$E$6:$E$8,MATCH($F2366,Cadastro!$B$6:$B$8,0)),""))</f>
        <v/>
      </c>
      <c r="N2366" s="43" t="str">
        <f aca="false">IF(OR($L2366="",$I2366="",$I2366=0),"",$L2366/$I2366)</f>
        <v/>
      </c>
      <c r="O2366" s="51"/>
    </row>
    <row r="2367" customFormat="false" ht="15" hidden="false" customHeight="false" outlineLevel="0" collapsed="false">
      <c r="A2367" s="45"/>
      <c r="B2367" s="37" t="str">
        <f aca="false">IF($A2367="","",WEEKNUM($A2367,2))</f>
        <v/>
      </c>
      <c r="C2367" s="37" t="str">
        <f aca="false">IF($A2367="","",CHOOSE(WEEKDAY($A2367,2),"Seg","Ter","Qua","Qui","Sex","Sáb","Dom"))</f>
        <v/>
      </c>
      <c r="D2367" s="46"/>
      <c r="E2367" s="47"/>
      <c r="F2367" s="47"/>
      <c r="G2367" s="48"/>
      <c r="H2367" s="49"/>
      <c r="I2367" s="50"/>
      <c r="J2367" s="48"/>
      <c r="K2367" s="49"/>
      <c r="L2367" s="50"/>
      <c r="M2367" s="43" t="str">
        <f aca="false">IF(OR($L2367="",$F2367=""),"",IFERROR($L2367/INDEX(Cadastro!$E$6:$E$8,MATCH($F2367,Cadastro!$B$6:$B$8,0)),""))</f>
        <v/>
      </c>
      <c r="N2367" s="43" t="str">
        <f aca="false">IF(OR($L2367="",$I2367="",$I2367=0),"",$L2367/$I2367)</f>
        <v/>
      </c>
      <c r="O2367" s="51"/>
    </row>
    <row r="2368" customFormat="false" ht="15" hidden="false" customHeight="false" outlineLevel="0" collapsed="false">
      <c r="A2368" s="45"/>
      <c r="B2368" s="37" t="str">
        <f aca="false">IF($A2368="","",WEEKNUM($A2368,2))</f>
        <v/>
      </c>
      <c r="C2368" s="37" t="str">
        <f aca="false">IF($A2368="","",CHOOSE(WEEKDAY($A2368,2),"Seg","Ter","Qua","Qui","Sex","Sáb","Dom"))</f>
        <v/>
      </c>
      <c r="D2368" s="46"/>
      <c r="E2368" s="47"/>
      <c r="F2368" s="47"/>
      <c r="G2368" s="48"/>
      <c r="H2368" s="49"/>
      <c r="I2368" s="50"/>
      <c r="J2368" s="48"/>
      <c r="K2368" s="49"/>
      <c r="L2368" s="50"/>
      <c r="M2368" s="43" t="str">
        <f aca="false">IF(OR($L2368="",$F2368=""),"",IFERROR($L2368/INDEX(Cadastro!$E$6:$E$8,MATCH($F2368,Cadastro!$B$6:$B$8,0)),""))</f>
        <v/>
      </c>
      <c r="N2368" s="43" t="str">
        <f aca="false">IF(OR($L2368="",$I2368="",$I2368=0),"",$L2368/$I2368)</f>
        <v/>
      </c>
      <c r="O2368" s="51"/>
    </row>
    <row r="2369" customFormat="false" ht="15" hidden="false" customHeight="false" outlineLevel="0" collapsed="false">
      <c r="A2369" s="45"/>
      <c r="B2369" s="37" t="str">
        <f aca="false">IF($A2369="","",WEEKNUM($A2369,2))</f>
        <v/>
      </c>
      <c r="C2369" s="37" t="str">
        <f aca="false">IF($A2369="","",CHOOSE(WEEKDAY($A2369,2),"Seg","Ter","Qua","Qui","Sex","Sáb","Dom"))</f>
        <v/>
      </c>
      <c r="D2369" s="46"/>
      <c r="E2369" s="47"/>
      <c r="F2369" s="47"/>
      <c r="G2369" s="48"/>
      <c r="H2369" s="49"/>
      <c r="I2369" s="50"/>
      <c r="J2369" s="48"/>
      <c r="K2369" s="49"/>
      <c r="L2369" s="50"/>
      <c r="M2369" s="43" t="str">
        <f aca="false">IF(OR($L2369="",$F2369=""),"",IFERROR($L2369/INDEX(Cadastro!$E$6:$E$8,MATCH($F2369,Cadastro!$B$6:$B$8,0)),""))</f>
        <v/>
      </c>
      <c r="N2369" s="43" t="str">
        <f aca="false">IF(OR($L2369="",$I2369="",$I2369=0),"",$L2369/$I2369)</f>
        <v/>
      </c>
      <c r="O2369" s="51"/>
    </row>
    <row r="2370" customFormat="false" ht="15" hidden="false" customHeight="false" outlineLevel="0" collapsed="false">
      <c r="A2370" s="45"/>
      <c r="B2370" s="37" t="str">
        <f aca="false">IF($A2370="","",WEEKNUM($A2370,2))</f>
        <v/>
      </c>
      <c r="C2370" s="37" t="str">
        <f aca="false">IF($A2370="","",CHOOSE(WEEKDAY($A2370,2),"Seg","Ter","Qua","Qui","Sex","Sáb","Dom"))</f>
        <v/>
      </c>
      <c r="D2370" s="46"/>
      <c r="E2370" s="47"/>
      <c r="F2370" s="47"/>
      <c r="G2370" s="48"/>
      <c r="H2370" s="49"/>
      <c r="I2370" s="50"/>
      <c r="J2370" s="48"/>
      <c r="K2370" s="49"/>
      <c r="L2370" s="50"/>
      <c r="M2370" s="43" t="str">
        <f aca="false">IF(OR($L2370="",$F2370=""),"",IFERROR($L2370/INDEX(Cadastro!$E$6:$E$8,MATCH($F2370,Cadastro!$B$6:$B$8,0)),""))</f>
        <v/>
      </c>
      <c r="N2370" s="43" t="str">
        <f aca="false">IF(OR($L2370="",$I2370="",$I2370=0),"",$L2370/$I2370)</f>
        <v/>
      </c>
      <c r="O2370" s="51"/>
    </row>
    <row r="2371" customFormat="false" ht="15" hidden="false" customHeight="false" outlineLevel="0" collapsed="false">
      <c r="A2371" s="45"/>
      <c r="B2371" s="37" t="str">
        <f aca="false">IF($A2371="","",WEEKNUM($A2371,2))</f>
        <v/>
      </c>
      <c r="C2371" s="37" t="str">
        <f aca="false">IF($A2371="","",CHOOSE(WEEKDAY($A2371,2),"Seg","Ter","Qua","Qui","Sex","Sáb","Dom"))</f>
        <v/>
      </c>
      <c r="D2371" s="46"/>
      <c r="E2371" s="47"/>
      <c r="F2371" s="47"/>
      <c r="G2371" s="48"/>
      <c r="H2371" s="49"/>
      <c r="I2371" s="50"/>
      <c r="J2371" s="48"/>
      <c r="K2371" s="49"/>
      <c r="L2371" s="50"/>
      <c r="M2371" s="43" t="str">
        <f aca="false">IF(OR($L2371="",$F2371=""),"",IFERROR($L2371/INDEX(Cadastro!$E$6:$E$8,MATCH($F2371,Cadastro!$B$6:$B$8,0)),""))</f>
        <v/>
      </c>
      <c r="N2371" s="43" t="str">
        <f aca="false">IF(OR($L2371="",$I2371="",$I2371=0),"",$L2371/$I2371)</f>
        <v/>
      </c>
      <c r="O2371" s="51"/>
    </row>
    <row r="2372" customFormat="false" ht="15" hidden="false" customHeight="false" outlineLevel="0" collapsed="false">
      <c r="A2372" s="45"/>
      <c r="B2372" s="37" t="str">
        <f aca="false">IF($A2372="","",WEEKNUM($A2372,2))</f>
        <v/>
      </c>
      <c r="C2372" s="37" t="str">
        <f aca="false">IF($A2372="","",CHOOSE(WEEKDAY($A2372,2),"Seg","Ter","Qua","Qui","Sex","Sáb","Dom"))</f>
        <v/>
      </c>
      <c r="D2372" s="46"/>
      <c r="E2372" s="47"/>
      <c r="F2372" s="47"/>
      <c r="G2372" s="48"/>
      <c r="H2372" s="49"/>
      <c r="I2372" s="50"/>
      <c r="J2372" s="48"/>
      <c r="K2372" s="49"/>
      <c r="L2372" s="50"/>
      <c r="M2372" s="43" t="str">
        <f aca="false">IF(OR($L2372="",$F2372=""),"",IFERROR($L2372/INDEX(Cadastro!$E$6:$E$8,MATCH($F2372,Cadastro!$B$6:$B$8,0)),""))</f>
        <v/>
      </c>
      <c r="N2372" s="43" t="str">
        <f aca="false">IF(OR($L2372="",$I2372="",$I2372=0),"",$L2372/$I2372)</f>
        <v/>
      </c>
      <c r="O2372" s="51"/>
    </row>
    <row r="2373" customFormat="false" ht="15" hidden="false" customHeight="false" outlineLevel="0" collapsed="false">
      <c r="A2373" s="45"/>
      <c r="B2373" s="37" t="str">
        <f aca="false">IF($A2373="","",WEEKNUM($A2373,2))</f>
        <v/>
      </c>
      <c r="C2373" s="37" t="str">
        <f aca="false">IF($A2373="","",CHOOSE(WEEKDAY($A2373,2),"Seg","Ter","Qua","Qui","Sex","Sáb","Dom"))</f>
        <v/>
      </c>
      <c r="D2373" s="46"/>
      <c r="E2373" s="47"/>
      <c r="F2373" s="47"/>
      <c r="G2373" s="48"/>
      <c r="H2373" s="49"/>
      <c r="I2373" s="50"/>
      <c r="J2373" s="48"/>
      <c r="K2373" s="49"/>
      <c r="L2373" s="50"/>
      <c r="M2373" s="43" t="str">
        <f aca="false">IF(OR($L2373="",$F2373=""),"",IFERROR($L2373/INDEX(Cadastro!$E$6:$E$8,MATCH($F2373,Cadastro!$B$6:$B$8,0)),""))</f>
        <v/>
      </c>
      <c r="N2373" s="43" t="str">
        <f aca="false">IF(OR($L2373="",$I2373="",$I2373=0),"",$L2373/$I2373)</f>
        <v/>
      </c>
      <c r="O2373" s="51"/>
    </row>
    <row r="2374" customFormat="false" ht="15" hidden="false" customHeight="false" outlineLevel="0" collapsed="false">
      <c r="A2374" s="45"/>
      <c r="B2374" s="37" t="str">
        <f aca="false">IF($A2374="","",WEEKNUM($A2374,2))</f>
        <v/>
      </c>
      <c r="C2374" s="37" t="str">
        <f aca="false">IF($A2374="","",CHOOSE(WEEKDAY($A2374,2),"Seg","Ter","Qua","Qui","Sex","Sáb","Dom"))</f>
        <v/>
      </c>
      <c r="D2374" s="46"/>
      <c r="E2374" s="47"/>
      <c r="F2374" s="47"/>
      <c r="G2374" s="48"/>
      <c r="H2374" s="49"/>
      <c r="I2374" s="50"/>
      <c r="J2374" s="48"/>
      <c r="K2374" s="49"/>
      <c r="L2374" s="50"/>
      <c r="M2374" s="43" t="str">
        <f aca="false">IF(OR($L2374="",$F2374=""),"",IFERROR($L2374/INDEX(Cadastro!$E$6:$E$8,MATCH($F2374,Cadastro!$B$6:$B$8,0)),""))</f>
        <v/>
      </c>
      <c r="N2374" s="43" t="str">
        <f aca="false">IF(OR($L2374="",$I2374="",$I2374=0),"",$L2374/$I2374)</f>
        <v/>
      </c>
      <c r="O2374" s="51"/>
    </row>
    <row r="2375" customFormat="false" ht="15" hidden="false" customHeight="false" outlineLevel="0" collapsed="false">
      <c r="A2375" s="45"/>
      <c r="B2375" s="37" t="str">
        <f aca="false">IF($A2375="","",WEEKNUM($A2375,2))</f>
        <v/>
      </c>
      <c r="C2375" s="37" t="str">
        <f aca="false">IF($A2375="","",CHOOSE(WEEKDAY($A2375,2),"Seg","Ter","Qua","Qui","Sex","Sáb","Dom"))</f>
        <v/>
      </c>
      <c r="D2375" s="46"/>
      <c r="E2375" s="47"/>
      <c r="F2375" s="47"/>
      <c r="G2375" s="48"/>
      <c r="H2375" s="49"/>
      <c r="I2375" s="50"/>
      <c r="J2375" s="48"/>
      <c r="K2375" s="49"/>
      <c r="L2375" s="50"/>
      <c r="M2375" s="43" t="str">
        <f aca="false">IF(OR($L2375="",$F2375=""),"",IFERROR($L2375/INDEX(Cadastro!$E$6:$E$8,MATCH($F2375,Cadastro!$B$6:$B$8,0)),""))</f>
        <v/>
      </c>
      <c r="N2375" s="43" t="str">
        <f aca="false">IF(OR($L2375="",$I2375="",$I2375=0),"",$L2375/$I2375)</f>
        <v/>
      </c>
      <c r="O2375" s="51"/>
    </row>
    <row r="2376" customFormat="false" ht="15" hidden="false" customHeight="false" outlineLevel="0" collapsed="false">
      <c r="A2376" s="45"/>
      <c r="B2376" s="37" t="str">
        <f aca="false">IF($A2376="","",WEEKNUM($A2376,2))</f>
        <v/>
      </c>
      <c r="C2376" s="37" t="str">
        <f aca="false">IF($A2376="","",CHOOSE(WEEKDAY($A2376,2),"Seg","Ter","Qua","Qui","Sex","Sáb","Dom"))</f>
        <v/>
      </c>
      <c r="D2376" s="46"/>
      <c r="E2376" s="47"/>
      <c r="F2376" s="47"/>
      <c r="G2376" s="48"/>
      <c r="H2376" s="49"/>
      <c r="I2376" s="50"/>
      <c r="J2376" s="48"/>
      <c r="K2376" s="49"/>
      <c r="L2376" s="50"/>
      <c r="M2376" s="43" t="str">
        <f aca="false">IF(OR($L2376="",$F2376=""),"",IFERROR($L2376/INDEX(Cadastro!$E$6:$E$8,MATCH($F2376,Cadastro!$B$6:$B$8,0)),""))</f>
        <v/>
      </c>
      <c r="N2376" s="43" t="str">
        <f aca="false">IF(OR($L2376="",$I2376="",$I2376=0),"",$L2376/$I2376)</f>
        <v/>
      </c>
      <c r="O2376" s="51"/>
    </row>
    <row r="2377" customFormat="false" ht="15" hidden="false" customHeight="false" outlineLevel="0" collapsed="false">
      <c r="A2377" s="45"/>
      <c r="B2377" s="37" t="str">
        <f aca="false">IF($A2377="","",WEEKNUM($A2377,2))</f>
        <v/>
      </c>
      <c r="C2377" s="37" t="str">
        <f aca="false">IF($A2377="","",CHOOSE(WEEKDAY($A2377,2),"Seg","Ter","Qua","Qui","Sex","Sáb","Dom"))</f>
        <v/>
      </c>
      <c r="D2377" s="46"/>
      <c r="E2377" s="47"/>
      <c r="F2377" s="47"/>
      <c r="G2377" s="48"/>
      <c r="H2377" s="49"/>
      <c r="I2377" s="50"/>
      <c r="J2377" s="48"/>
      <c r="K2377" s="49"/>
      <c r="L2377" s="50"/>
      <c r="M2377" s="43" t="str">
        <f aca="false">IF(OR($L2377="",$F2377=""),"",IFERROR($L2377/INDEX(Cadastro!$E$6:$E$8,MATCH($F2377,Cadastro!$B$6:$B$8,0)),""))</f>
        <v/>
      </c>
      <c r="N2377" s="43" t="str">
        <f aca="false">IF(OR($L2377="",$I2377="",$I2377=0),"",$L2377/$I2377)</f>
        <v/>
      </c>
      <c r="O2377" s="51"/>
    </row>
    <row r="2378" customFormat="false" ht="15" hidden="false" customHeight="false" outlineLevel="0" collapsed="false">
      <c r="A2378" s="45"/>
      <c r="B2378" s="37" t="str">
        <f aca="false">IF($A2378="","",WEEKNUM($A2378,2))</f>
        <v/>
      </c>
      <c r="C2378" s="37" t="str">
        <f aca="false">IF($A2378="","",CHOOSE(WEEKDAY($A2378,2),"Seg","Ter","Qua","Qui","Sex","Sáb","Dom"))</f>
        <v/>
      </c>
      <c r="D2378" s="46"/>
      <c r="E2378" s="47"/>
      <c r="F2378" s="47"/>
      <c r="G2378" s="48"/>
      <c r="H2378" s="49"/>
      <c r="I2378" s="50"/>
      <c r="J2378" s="48"/>
      <c r="K2378" s="49"/>
      <c r="L2378" s="50"/>
      <c r="M2378" s="43" t="str">
        <f aca="false">IF(OR($L2378="",$F2378=""),"",IFERROR($L2378/INDEX(Cadastro!$E$6:$E$8,MATCH($F2378,Cadastro!$B$6:$B$8,0)),""))</f>
        <v/>
      </c>
      <c r="N2378" s="43" t="str">
        <f aca="false">IF(OR($L2378="",$I2378="",$I2378=0),"",$L2378/$I2378)</f>
        <v/>
      </c>
      <c r="O2378" s="51"/>
    </row>
    <row r="2379" customFormat="false" ht="15" hidden="false" customHeight="false" outlineLevel="0" collapsed="false">
      <c r="A2379" s="45"/>
      <c r="B2379" s="37" t="str">
        <f aca="false">IF($A2379="","",WEEKNUM($A2379,2))</f>
        <v/>
      </c>
      <c r="C2379" s="37" t="str">
        <f aca="false">IF($A2379="","",CHOOSE(WEEKDAY($A2379,2),"Seg","Ter","Qua","Qui","Sex","Sáb","Dom"))</f>
        <v/>
      </c>
      <c r="D2379" s="46"/>
      <c r="E2379" s="47"/>
      <c r="F2379" s="47"/>
      <c r="G2379" s="48"/>
      <c r="H2379" s="49"/>
      <c r="I2379" s="50"/>
      <c r="J2379" s="48"/>
      <c r="K2379" s="49"/>
      <c r="L2379" s="50"/>
      <c r="M2379" s="43" t="str">
        <f aca="false">IF(OR($L2379="",$F2379=""),"",IFERROR($L2379/INDEX(Cadastro!$E$6:$E$8,MATCH($F2379,Cadastro!$B$6:$B$8,0)),""))</f>
        <v/>
      </c>
      <c r="N2379" s="43" t="str">
        <f aca="false">IF(OR($L2379="",$I2379="",$I2379=0),"",$L2379/$I2379)</f>
        <v/>
      </c>
      <c r="O2379" s="51"/>
    </row>
    <row r="2380" customFormat="false" ht="15" hidden="false" customHeight="false" outlineLevel="0" collapsed="false">
      <c r="A2380" s="45"/>
      <c r="B2380" s="37" t="str">
        <f aca="false">IF($A2380="","",WEEKNUM($A2380,2))</f>
        <v/>
      </c>
      <c r="C2380" s="37" t="str">
        <f aca="false">IF($A2380="","",CHOOSE(WEEKDAY($A2380,2),"Seg","Ter","Qua","Qui","Sex","Sáb","Dom"))</f>
        <v/>
      </c>
      <c r="D2380" s="46"/>
      <c r="E2380" s="47"/>
      <c r="F2380" s="47"/>
      <c r="G2380" s="48"/>
      <c r="H2380" s="49"/>
      <c r="I2380" s="50"/>
      <c r="J2380" s="48"/>
      <c r="K2380" s="49"/>
      <c r="L2380" s="50"/>
      <c r="M2380" s="43" t="str">
        <f aca="false">IF(OR($L2380="",$F2380=""),"",IFERROR($L2380/INDEX(Cadastro!$E$6:$E$8,MATCH($F2380,Cadastro!$B$6:$B$8,0)),""))</f>
        <v/>
      </c>
      <c r="N2380" s="43" t="str">
        <f aca="false">IF(OR($L2380="",$I2380="",$I2380=0),"",$L2380/$I2380)</f>
        <v/>
      </c>
      <c r="O2380" s="51"/>
    </row>
    <row r="2381" customFormat="false" ht="15" hidden="false" customHeight="false" outlineLevel="0" collapsed="false">
      <c r="A2381" s="45"/>
      <c r="B2381" s="37" t="str">
        <f aca="false">IF($A2381="","",WEEKNUM($A2381,2))</f>
        <v/>
      </c>
      <c r="C2381" s="37" t="str">
        <f aca="false">IF($A2381="","",CHOOSE(WEEKDAY($A2381,2),"Seg","Ter","Qua","Qui","Sex","Sáb","Dom"))</f>
        <v/>
      </c>
      <c r="D2381" s="46"/>
      <c r="E2381" s="47"/>
      <c r="F2381" s="47"/>
      <c r="G2381" s="48"/>
      <c r="H2381" s="49"/>
      <c r="I2381" s="50"/>
      <c r="J2381" s="48"/>
      <c r="K2381" s="49"/>
      <c r="L2381" s="50"/>
      <c r="M2381" s="43" t="str">
        <f aca="false">IF(OR($L2381="",$F2381=""),"",IFERROR($L2381/INDEX(Cadastro!$E$6:$E$8,MATCH($F2381,Cadastro!$B$6:$B$8,0)),""))</f>
        <v/>
      </c>
      <c r="N2381" s="43" t="str">
        <f aca="false">IF(OR($L2381="",$I2381="",$I2381=0),"",$L2381/$I2381)</f>
        <v/>
      </c>
      <c r="O2381" s="51"/>
    </row>
    <row r="2382" customFormat="false" ht="15" hidden="false" customHeight="false" outlineLevel="0" collapsed="false">
      <c r="A2382" s="45"/>
      <c r="B2382" s="37" t="str">
        <f aca="false">IF($A2382="","",WEEKNUM($A2382,2))</f>
        <v/>
      </c>
      <c r="C2382" s="37" t="str">
        <f aca="false">IF($A2382="","",CHOOSE(WEEKDAY($A2382,2),"Seg","Ter","Qua","Qui","Sex","Sáb","Dom"))</f>
        <v/>
      </c>
      <c r="D2382" s="46"/>
      <c r="E2382" s="47"/>
      <c r="F2382" s="47"/>
      <c r="G2382" s="48"/>
      <c r="H2382" s="49"/>
      <c r="I2382" s="50"/>
      <c r="J2382" s="48"/>
      <c r="K2382" s="49"/>
      <c r="L2382" s="50"/>
      <c r="M2382" s="43" t="str">
        <f aca="false">IF(OR($L2382="",$F2382=""),"",IFERROR($L2382/INDEX(Cadastro!$E$6:$E$8,MATCH($F2382,Cadastro!$B$6:$B$8,0)),""))</f>
        <v/>
      </c>
      <c r="N2382" s="43" t="str">
        <f aca="false">IF(OR($L2382="",$I2382="",$I2382=0),"",$L2382/$I2382)</f>
        <v/>
      </c>
      <c r="O2382" s="51"/>
    </row>
    <row r="2383" customFormat="false" ht="15" hidden="false" customHeight="false" outlineLevel="0" collapsed="false">
      <c r="A2383" s="45"/>
      <c r="B2383" s="37" t="str">
        <f aca="false">IF($A2383="","",WEEKNUM($A2383,2))</f>
        <v/>
      </c>
      <c r="C2383" s="37" t="str">
        <f aca="false">IF($A2383="","",CHOOSE(WEEKDAY($A2383,2),"Seg","Ter","Qua","Qui","Sex","Sáb","Dom"))</f>
        <v/>
      </c>
      <c r="D2383" s="46"/>
      <c r="E2383" s="47"/>
      <c r="F2383" s="47"/>
      <c r="G2383" s="48"/>
      <c r="H2383" s="49"/>
      <c r="I2383" s="50"/>
      <c r="J2383" s="48"/>
      <c r="K2383" s="49"/>
      <c r="L2383" s="50"/>
      <c r="M2383" s="43" t="str">
        <f aca="false">IF(OR($L2383="",$F2383=""),"",IFERROR($L2383/INDEX(Cadastro!$E$6:$E$8,MATCH($F2383,Cadastro!$B$6:$B$8,0)),""))</f>
        <v/>
      </c>
      <c r="N2383" s="43" t="str">
        <f aca="false">IF(OR($L2383="",$I2383="",$I2383=0),"",$L2383/$I2383)</f>
        <v/>
      </c>
      <c r="O2383" s="51"/>
    </row>
    <row r="2384" customFormat="false" ht="15" hidden="false" customHeight="false" outlineLevel="0" collapsed="false">
      <c r="A2384" s="45"/>
      <c r="B2384" s="37" t="str">
        <f aca="false">IF($A2384="","",WEEKNUM($A2384,2))</f>
        <v/>
      </c>
      <c r="C2384" s="37" t="str">
        <f aca="false">IF($A2384="","",CHOOSE(WEEKDAY($A2384,2),"Seg","Ter","Qua","Qui","Sex","Sáb","Dom"))</f>
        <v/>
      </c>
      <c r="D2384" s="46"/>
      <c r="E2384" s="47"/>
      <c r="F2384" s="47"/>
      <c r="G2384" s="48"/>
      <c r="H2384" s="49"/>
      <c r="I2384" s="50"/>
      <c r="J2384" s="48"/>
      <c r="K2384" s="49"/>
      <c r="L2384" s="50"/>
      <c r="M2384" s="43" t="str">
        <f aca="false">IF(OR($L2384="",$F2384=""),"",IFERROR($L2384/INDEX(Cadastro!$E$6:$E$8,MATCH($F2384,Cadastro!$B$6:$B$8,0)),""))</f>
        <v/>
      </c>
      <c r="N2384" s="43" t="str">
        <f aca="false">IF(OR($L2384="",$I2384="",$I2384=0),"",$L2384/$I2384)</f>
        <v/>
      </c>
      <c r="O2384" s="51"/>
    </row>
    <row r="2385" customFormat="false" ht="15" hidden="false" customHeight="false" outlineLevel="0" collapsed="false">
      <c r="A2385" s="45"/>
      <c r="B2385" s="37" t="str">
        <f aca="false">IF($A2385="","",WEEKNUM($A2385,2))</f>
        <v/>
      </c>
      <c r="C2385" s="37" t="str">
        <f aca="false">IF($A2385="","",CHOOSE(WEEKDAY($A2385,2),"Seg","Ter","Qua","Qui","Sex","Sáb","Dom"))</f>
        <v/>
      </c>
      <c r="D2385" s="46"/>
      <c r="E2385" s="47"/>
      <c r="F2385" s="47"/>
      <c r="G2385" s="48"/>
      <c r="H2385" s="49"/>
      <c r="I2385" s="50"/>
      <c r="J2385" s="48"/>
      <c r="K2385" s="49"/>
      <c r="L2385" s="50"/>
      <c r="M2385" s="43" t="str">
        <f aca="false">IF(OR($L2385="",$F2385=""),"",IFERROR($L2385/INDEX(Cadastro!$E$6:$E$8,MATCH($F2385,Cadastro!$B$6:$B$8,0)),""))</f>
        <v/>
      </c>
      <c r="N2385" s="43" t="str">
        <f aca="false">IF(OR($L2385="",$I2385="",$I2385=0),"",$L2385/$I2385)</f>
        <v/>
      </c>
      <c r="O2385" s="51"/>
    </row>
    <row r="2386" customFormat="false" ht="15" hidden="false" customHeight="false" outlineLevel="0" collapsed="false">
      <c r="A2386" s="45"/>
      <c r="B2386" s="37" t="str">
        <f aca="false">IF($A2386="","",WEEKNUM($A2386,2))</f>
        <v/>
      </c>
      <c r="C2386" s="37" t="str">
        <f aca="false">IF($A2386="","",CHOOSE(WEEKDAY($A2386,2),"Seg","Ter","Qua","Qui","Sex","Sáb","Dom"))</f>
        <v/>
      </c>
      <c r="D2386" s="46"/>
      <c r="E2386" s="47"/>
      <c r="F2386" s="47"/>
      <c r="G2386" s="48"/>
      <c r="H2386" s="49"/>
      <c r="I2386" s="50"/>
      <c r="J2386" s="48"/>
      <c r="K2386" s="49"/>
      <c r="L2386" s="50"/>
      <c r="M2386" s="43" t="str">
        <f aca="false">IF(OR($L2386="",$F2386=""),"",IFERROR($L2386/INDEX(Cadastro!$E$6:$E$8,MATCH($F2386,Cadastro!$B$6:$B$8,0)),""))</f>
        <v/>
      </c>
      <c r="N2386" s="43" t="str">
        <f aca="false">IF(OR($L2386="",$I2386="",$I2386=0),"",$L2386/$I2386)</f>
        <v/>
      </c>
      <c r="O2386" s="51"/>
    </row>
    <row r="2387" customFormat="false" ht="15" hidden="false" customHeight="false" outlineLevel="0" collapsed="false">
      <c r="A2387" s="45"/>
      <c r="B2387" s="37" t="str">
        <f aca="false">IF($A2387="","",WEEKNUM($A2387,2))</f>
        <v/>
      </c>
      <c r="C2387" s="37" t="str">
        <f aca="false">IF($A2387="","",CHOOSE(WEEKDAY($A2387,2),"Seg","Ter","Qua","Qui","Sex","Sáb","Dom"))</f>
        <v/>
      </c>
      <c r="D2387" s="46"/>
      <c r="E2387" s="47"/>
      <c r="F2387" s="47"/>
      <c r="G2387" s="48"/>
      <c r="H2387" s="49"/>
      <c r="I2387" s="50"/>
      <c r="J2387" s="48"/>
      <c r="K2387" s="49"/>
      <c r="L2387" s="50"/>
      <c r="M2387" s="43" t="str">
        <f aca="false">IF(OR($L2387="",$F2387=""),"",IFERROR($L2387/INDEX(Cadastro!$E$6:$E$8,MATCH($F2387,Cadastro!$B$6:$B$8,0)),""))</f>
        <v/>
      </c>
      <c r="N2387" s="43" t="str">
        <f aca="false">IF(OR($L2387="",$I2387="",$I2387=0),"",$L2387/$I2387)</f>
        <v/>
      </c>
      <c r="O2387" s="51"/>
    </row>
    <row r="2388" customFormat="false" ht="15" hidden="false" customHeight="false" outlineLevel="0" collapsed="false">
      <c r="A2388" s="45"/>
      <c r="B2388" s="37" t="str">
        <f aca="false">IF($A2388="","",WEEKNUM($A2388,2))</f>
        <v/>
      </c>
      <c r="C2388" s="37" t="str">
        <f aca="false">IF($A2388="","",CHOOSE(WEEKDAY($A2388,2),"Seg","Ter","Qua","Qui","Sex","Sáb","Dom"))</f>
        <v/>
      </c>
      <c r="D2388" s="46"/>
      <c r="E2388" s="47"/>
      <c r="F2388" s="47"/>
      <c r="G2388" s="48"/>
      <c r="H2388" s="49"/>
      <c r="I2388" s="50"/>
      <c r="J2388" s="48"/>
      <c r="K2388" s="49"/>
      <c r="L2388" s="50"/>
      <c r="M2388" s="43" t="str">
        <f aca="false">IF(OR($L2388="",$F2388=""),"",IFERROR($L2388/INDEX(Cadastro!$E$6:$E$8,MATCH($F2388,Cadastro!$B$6:$B$8,0)),""))</f>
        <v/>
      </c>
      <c r="N2388" s="43" t="str">
        <f aca="false">IF(OR($L2388="",$I2388="",$I2388=0),"",$L2388/$I2388)</f>
        <v/>
      </c>
      <c r="O2388" s="51"/>
    </row>
    <row r="2389" customFormat="false" ht="15" hidden="false" customHeight="false" outlineLevel="0" collapsed="false">
      <c r="A2389" s="45"/>
      <c r="B2389" s="37" t="str">
        <f aca="false">IF($A2389="","",WEEKNUM($A2389,2))</f>
        <v/>
      </c>
      <c r="C2389" s="37" t="str">
        <f aca="false">IF($A2389="","",CHOOSE(WEEKDAY($A2389,2),"Seg","Ter","Qua","Qui","Sex","Sáb","Dom"))</f>
        <v/>
      </c>
      <c r="D2389" s="46"/>
      <c r="E2389" s="47"/>
      <c r="F2389" s="47"/>
      <c r="G2389" s="48"/>
      <c r="H2389" s="49"/>
      <c r="I2389" s="50"/>
      <c r="J2389" s="48"/>
      <c r="K2389" s="49"/>
      <c r="L2389" s="50"/>
      <c r="M2389" s="43" t="str">
        <f aca="false">IF(OR($L2389="",$F2389=""),"",IFERROR($L2389/INDEX(Cadastro!$E$6:$E$8,MATCH($F2389,Cadastro!$B$6:$B$8,0)),""))</f>
        <v/>
      </c>
      <c r="N2389" s="43" t="str">
        <f aca="false">IF(OR($L2389="",$I2389="",$I2389=0),"",$L2389/$I2389)</f>
        <v/>
      </c>
      <c r="O2389" s="51"/>
    </row>
    <row r="2390" customFormat="false" ht="15" hidden="false" customHeight="false" outlineLevel="0" collapsed="false">
      <c r="A2390" s="45"/>
      <c r="B2390" s="37" t="str">
        <f aca="false">IF($A2390="","",WEEKNUM($A2390,2))</f>
        <v/>
      </c>
      <c r="C2390" s="37" t="str">
        <f aca="false">IF($A2390="","",CHOOSE(WEEKDAY($A2390,2),"Seg","Ter","Qua","Qui","Sex","Sáb","Dom"))</f>
        <v/>
      </c>
      <c r="D2390" s="46"/>
      <c r="E2390" s="47"/>
      <c r="F2390" s="47"/>
      <c r="G2390" s="48"/>
      <c r="H2390" s="49"/>
      <c r="I2390" s="50"/>
      <c r="J2390" s="48"/>
      <c r="K2390" s="49"/>
      <c r="L2390" s="50"/>
      <c r="M2390" s="43" t="str">
        <f aca="false">IF(OR($L2390="",$F2390=""),"",IFERROR($L2390/INDEX(Cadastro!$E$6:$E$8,MATCH($F2390,Cadastro!$B$6:$B$8,0)),""))</f>
        <v/>
      </c>
      <c r="N2390" s="43" t="str">
        <f aca="false">IF(OR($L2390="",$I2390="",$I2390=0),"",$L2390/$I2390)</f>
        <v/>
      </c>
      <c r="O2390" s="51"/>
    </row>
    <row r="2391" customFormat="false" ht="15" hidden="false" customHeight="false" outlineLevel="0" collapsed="false">
      <c r="A2391" s="45"/>
      <c r="B2391" s="37" t="str">
        <f aca="false">IF($A2391="","",WEEKNUM($A2391,2))</f>
        <v/>
      </c>
      <c r="C2391" s="37" t="str">
        <f aca="false">IF($A2391="","",CHOOSE(WEEKDAY($A2391,2),"Seg","Ter","Qua","Qui","Sex","Sáb","Dom"))</f>
        <v/>
      </c>
      <c r="D2391" s="46"/>
      <c r="E2391" s="47"/>
      <c r="F2391" s="47"/>
      <c r="G2391" s="48"/>
      <c r="H2391" s="49"/>
      <c r="I2391" s="50"/>
      <c r="J2391" s="48"/>
      <c r="K2391" s="49"/>
      <c r="L2391" s="50"/>
      <c r="M2391" s="43" t="str">
        <f aca="false">IF(OR($L2391="",$F2391=""),"",IFERROR($L2391/INDEX(Cadastro!$E$6:$E$8,MATCH($F2391,Cadastro!$B$6:$B$8,0)),""))</f>
        <v/>
      </c>
      <c r="N2391" s="43" t="str">
        <f aca="false">IF(OR($L2391="",$I2391="",$I2391=0),"",$L2391/$I2391)</f>
        <v/>
      </c>
      <c r="O2391" s="51"/>
    </row>
    <row r="2392" customFormat="false" ht="15" hidden="false" customHeight="false" outlineLevel="0" collapsed="false">
      <c r="A2392" s="45"/>
      <c r="B2392" s="37" t="str">
        <f aca="false">IF($A2392="","",WEEKNUM($A2392,2))</f>
        <v/>
      </c>
      <c r="C2392" s="37" t="str">
        <f aca="false">IF($A2392="","",CHOOSE(WEEKDAY($A2392,2),"Seg","Ter","Qua","Qui","Sex","Sáb","Dom"))</f>
        <v/>
      </c>
      <c r="D2392" s="46"/>
      <c r="E2392" s="47"/>
      <c r="F2392" s="47"/>
      <c r="G2392" s="48"/>
      <c r="H2392" s="49"/>
      <c r="I2392" s="50"/>
      <c r="J2392" s="48"/>
      <c r="K2392" s="49"/>
      <c r="L2392" s="50"/>
      <c r="M2392" s="43" t="str">
        <f aca="false">IF(OR($L2392="",$F2392=""),"",IFERROR($L2392/INDEX(Cadastro!$E$6:$E$8,MATCH($F2392,Cadastro!$B$6:$B$8,0)),""))</f>
        <v/>
      </c>
      <c r="N2392" s="43" t="str">
        <f aca="false">IF(OR($L2392="",$I2392="",$I2392=0),"",$L2392/$I2392)</f>
        <v/>
      </c>
      <c r="O2392" s="51"/>
    </row>
    <row r="2393" customFormat="false" ht="15" hidden="false" customHeight="false" outlineLevel="0" collapsed="false">
      <c r="A2393" s="45"/>
      <c r="B2393" s="37" t="str">
        <f aca="false">IF($A2393="","",WEEKNUM($A2393,2))</f>
        <v/>
      </c>
      <c r="C2393" s="37" t="str">
        <f aca="false">IF($A2393="","",CHOOSE(WEEKDAY($A2393,2),"Seg","Ter","Qua","Qui","Sex","Sáb","Dom"))</f>
        <v/>
      </c>
      <c r="D2393" s="46"/>
      <c r="E2393" s="47"/>
      <c r="F2393" s="47"/>
      <c r="G2393" s="48"/>
      <c r="H2393" s="49"/>
      <c r="I2393" s="50"/>
      <c r="J2393" s="48"/>
      <c r="K2393" s="49"/>
      <c r="L2393" s="50"/>
      <c r="M2393" s="43" t="str">
        <f aca="false">IF(OR($L2393="",$F2393=""),"",IFERROR($L2393/INDEX(Cadastro!$E$6:$E$8,MATCH($F2393,Cadastro!$B$6:$B$8,0)),""))</f>
        <v/>
      </c>
      <c r="N2393" s="43" t="str">
        <f aca="false">IF(OR($L2393="",$I2393="",$I2393=0),"",$L2393/$I2393)</f>
        <v/>
      </c>
      <c r="O2393" s="51"/>
    </row>
    <row r="2394" customFormat="false" ht="15" hidden="false" customHeight="false" outlineLevel="0" collapsed="false">
      <c r="A2394" s="45"/>
      <c r="B2394" s="37" t="str">
        <f aca="false">IF($A2394="","",WEEKNUM($A2394,2))</f>
        <v/>
      </c>
      <c r="C2394" s="37" t="str">
        <f aca="false">IF($A2394="","",CHOOSE(WEEKDAY($A2394,2),"Seg","Ter","Qua","Qui","Sex","Sáb","Dom"))</f>
        <v/>
      </c>
      <c r="D2394" s="46"/>
      <c r="E2394" s="47"/>
      <c r="F2394" s="47"/>
      <c r="G2394" s="48"/>
      <c r="H2394" s="49"/>
      <c r="I2394" s="50"/>
      <c r="J2394" s="48"/>
      <c r="K2394" s="49"/>
      <c r="L2394" s="50"/>
      <c r="M2394" s="43" t="str">
        <f aca="false">IF(OR($L2394="",$F2394=""),"",IFERROR($L2394/INDEX(Cadastro!$E$6:$E$8,MATCH($F2394,Cadastro!$B$6:$B$8,0)),""))</f>
        <v/>
      </c>
      <c r="N2394" s="43" t="str">
        <f aca="false">IF(OR($L2394="",$I2394="",$I2394=0),"",$L2394/$I2394)</f>
        <v/>
      </c>
      <c r="O2394" s="51"/>
    </row>
    <row r="2395" customFormat="false" ht="15" hidden="false" customHeight="false" outlineLevel="0" collapsed="false">
      <c r="A2395" s="45"/>
      <c r="B2395" s="37" t="str">
        <f aca="false">IF($A2395="","",WEEKNUM($A2395,2))</f>
        <v/>
      </c>
      <c r="C2395" s="37" t="str">
        <f aca="false">IF($A2395="","",CHOOSE(WEEKDAY($A2395,2),"Seg","Ter","Qua","Qui","Sex","Sáb","Dom"))</f>
        <v/>
      </c>
      <c r="D2395" s="46"/>
      <c r="E2395" s="47"/>
      <c r="F2395" s="47"/>
      <c r="G2395" s="48"/>
      <c r="H2395" s="49"/>
      <c r="I2395" s="50"/>
      <c r="J2395" s="48"/>
      <c r="K2395" s="49"/>
      <c r="L2395" s="50"/>
      <c r="M2395" s="43" t="str">
        <f aca="false">IF(OR($L2395="",$F2395=""),"",IFERROR($L2395/INDEX(Cadastro!$E$6:$E$8,MATCH($F2395,Cadastro!$B$6:$B$8,0)),""))</f>
        <v/>
      </c>
      <c r="N2395" s="43" t="str">
        <f aca="false">IF(OR($L2395="",$I2395="",$I2395=0),"",$L2395/$I2395)</f>
        <v/>
      </c>
      <c r="O2395" s="51"/>
    </row>
    <row r="2396" customFormat="false" ht="15" hidden="false" customHeight="false" outlineLevel="0" collapsed="false">
      <c r="A2396" s="45"/>
      <c r="B2396" s="37" t="str">
        <f aca="false">IF($A2396="","",WEEKNUM($A2396,2))</f>
        <v/>
      </c>
      <c r="C2396" s="37" t="str">
        <f aca="false">IF($A2396="","",CHOOSE(WEEKDAY($A2396,2),"Seg","Ter","Qua","Qui","Sex","Sáb","Dom"))</f>
        <v/>
      </c>
      <c r="D2396" s="46"/>
      <c r="E2396" s="47"/>
      <c r="F2396" s="47"/>
      <c r="G2396" s="48"/>
      <c r="H2396" s="49"/>
      <c r="I2396" s="50"/>
      <c r="J2396" s="48"/>
      <c r="K2396" s="49"/>
      <c r="L2396" s="50"/>
      <c r="M2396" s="43" t="str">
        <f aca="false">IF(OR($L2396="",$F2396=""),"",IFERROR($L2396/INDEX(Cadastro!$E$6:$E$8,MATCH($F2396,Cadastro!$B$6:$B$8,0)),""))</f>
        <v/>
      </c>
      <c r="N2396" s="43" t="str">
        <f aca="false">IF(OR($L2396="",$I2396="",$I2396=0),"",$L2396/$I2396)</f>
        <v/>
      </c>
      <c r="O2396" s="51"/>
    </row>
    <row r="2397" customFormat="false" ht="15" hidden="false" customHeight="false" outlineLevel="0" collapsed="false">
      <c r="A2397" s="45"/>
      <c r="B2397" s="37" t="str">
        <f aca="false">IF($A2397="","",WEEKNUM($A2397,2))</f>
        <v/>
      </c>
      <c r="C2397" s="37" t="str">
        <f aca="false">IF($A2397="","",CHOOSE(WEEKDAY($A2397,2),"Seg","Ter","Qua","Qui","Sex","Sáb","Dom"))</f>
        <v/>
      </c>
      <c r="D2397" s="46"/>
      <c r="E2397" s="47"/>
      <c r="F2397" s="47"/>
      <c r="G2397" s="48"/>
      <c r="H2397" s="49"/>
      <c r="I2397" s="50"/>
      <c r="J2397" s="48"/>
      <c r="K2397" s="49"/>
      <c r="L2397" s="50"/>
      <c r="M2397" s="43" t="str">
        <f aca="false">IF(OR($L2397="",$F2397=""),"",IFERROR($L2397/INDEX(Cadastro!$E$6:$E$8,MATCH($F2397,Cadastro!$B$6:$B$8,0)),""))</f>
        <v/>
      </c>
      <c r="N2397" s="43" t="str">
        <f aca="false">IF(OR($L2397="",$I2397="",$I2397=0),"",$L2397/$I2397)</f>
        <v/>
      </c>
      <c r="O2397" s="51"/>
    </row>
    <row r="2398" customFormat="false" ht="15" hidden="false" customHeight="false" outlineLevel="0" collapsed="false">
      <c r="A2398" s="45"/>
      <c r="B2398" s="37" t="str">
        <f aca="false">IF($A2398="","",WEEKNUM($A2398,2))</f>
        <v/>
      </c>
      <c r="C2398" s="37" t="str">
        <f aca="false">IF($A2398="","",CHOOSE(WEEKDAY($A2398,2),"Seg","Ter","Qua","Qui","Sex","Sáb","Dom"))</f>
        <v/>
      </c>
      <c r="D2398" s="46"/>
      <c r="E2398" s="47"/>
      <c r="F2398" s="47"/>
      <c r="G2398" s="48"/>
      <c r="H2398" s="49"/>
      <c r="I2398" s="50"/>
      <c r="J2398" s="48"/>
      <c r="K2398" s="49"/>
      <c r="L2398" s="50"/>
      <c r="M2398" s="43" t="str">
        <f aca="false">IF(OR($L2398="",$F2398=""),"",IFERROR($L2398/INDEX(Cadastro!$E$6:$E$8,MATCH($F2398,Cadastro!$B$6:$B$8,0)),""))</f>
        <v/>
      </c>
      <c r="N2398" s="43" t="str">
        <f aca="false">IF(OR($L2398="",$I2398="",$I2398=0),"",$L2398/$I2398)</f>
        <v/>
      </c>
      <c r="O2398" s="51"/>
    </row>
    <row r="2399" customFormat="false" ht="15" hidden="false" customHeight="false" outlineLevel="0" collapsed="false">
      <c r="A2399" s="45"/>
      <c r="B2399" s="37" t="str">
        <f aca="false">IF($A2399="","",WEEKNUM($A2399,2))</f>
        <v/>
      </c>
      <c r="C2399" s="37" t="str">
        <f aca="false">IF($A2399="","",CHOOSE(WEEKDAY($A2399,2),"Seg","Ter","Qua","Qui","Sex","Sáb","Dom"))</f>
        <v/>
      </c>
      <c r="D2399" s="46"/>
      <c r="E2399" s="47"/>
      <c r="F2399" s="47"/>
      <c r="G2399" s="48"/>
      <c r="H2399" s="49"/>
      <c r="I2399" s="50"/>
      <c r="J2399" s="48"/>
      <c r="K2399" s="49"/>
      <c r="L2399" s="50"/>
      <c r="M2399" s="43" t="str">
        <f aca="false">IF(OR($L2399="",$F2399=""),"",IFERROR($L2399/INDEX(Cadastro!$E$6:$E$8,MATCH($F2399,Cadastro!$B$6:$B$8,0)),""))</f>
        <v/>
      </c>
      <c r="N2399" s="43" t="str">
        <f aca="false">IF(OR($L2399="",$I2399="",$I2399=0),"",$L2399/$I2399)</f>
        <v/>
      </c>
      <c r="O2399" s="51"/>
    </row>
    <row r="2400" customFormat="false" ht="15" hidden="false" customHeight="false" outlineLevel="0" collapsed="false">
      <c r="A2400" s="45"/>
      <c r="B2400" s="37" t="str">
        <f aca="false">IF($A2400="","",WEEKNUM($A2400,2))</f>
        <v/>
      </c>
      <c r="C2400" s="37" t="str">
        <f aca="false">IF($A2400="","",CHOOSE(WEEKDAY($A2400,2),"Seg","Ter","Qua","Qui","Sex","Sáb","Dom"))</f>
        <v/>
      </c>
      <c r="D2400" s="46"/>
      <c r="E2400" s="47"/>
      <c r="F2400" s="47"/>
      <c r="G2400" s="48"/>
      <c r="H2400" s="49"/>
      <c r="I2400" s="50"/>
      <c r="J2400" s="48"/>
      <c r="K2400" s="49"/>
      <c r="L2400" s="50"/>
      <c r="M2400" s="43" t="str">
        <f aca="false">IF(OR($L2400="",$F2400=""),"",IFERROR($L2400/INDEX(Cadastro!$E$6:$E$8,MATCH($F2400,Cadastro!$B$6:$B$8,0)),""))</f>
        <v/>
      </c>
      <c r="N2400" s="43" t="str">
        <f aca="false">IF(OR($L2400="",$I2400="",$I2400=0),"",$L2400/$I2400)</f>
        <v/>
      </c>
      <c r="O2400" s="51"/>
    </row>
    <row r="2401" customFormat="false" ht="15" hidden="false" customHeight="false" outlineLevel="0" collapsed="false">
      <c r="A2401" s="45"/>
      <c r="B2401" s="37" t="str">
        <f aca="false">IF($A2401="","",WEEKNUM($A2401,2))</f>
        <v/>
      </c>
      <c r="C2401" s="37" t="str">
        <f aca="false">IF($A2401="","",CHOOSE(WEEKDAY($A2401,2),"Seg","Ter","Qua","Qui","Sex","Sáb","Dom"))</f>
        <v/>
      </c>
      <c r="D2401" s="46"/>
      <c r="E2401" s="47"/>
      <c r="F2401" s="47"/>
      <c r="G2401" s="48"/>
      <c r="H2401" s="49"/>
      <c r="I2401" s="50"/>
      <c r="J2401" s="48"/>
      <c r="K2401" s="49"/>
      <c r="L2401" s="50"/>
      <c r="M2401" s="43" t="str">
        <f aca="false">IF(OR($L2401="",$F2401=""),"",IFERROR($L2401/INDEX(Cadastro!$E$6:$E$8,MATCH($F2401,Cadastro!$B$6:$B$8,0)),""))</f>
        <v/>
      </c>
      <c r="N2401" s="43" t="str">
        <f aca="false">IF(OR($L2401="",$I2401="",$I2401=0),"",$L2401/$I2401)</f>
        <v/>
      </c>
      <c r="O2401" s="51"/>
    </row>
    <row r="2402" customFormat="false" ht="15" hidden="false" customHeight="false" outlineLevel="0" collapsed="false">
      <c r="A2402" s="45"/>
      <c r="B2402" s="37" t="str">
        <f aca="false">IF($A2402="","",WEEKNUM($A2402,2))</f>
        <v/>
      </c>
      <c r="C2402" s="37" t="str">
        <f aca="false">IF($A2402="","",CHOOSE(WEEKDAY($A2402,2),"Seg","Ter","Qua","Qui","Sex","Sáb","Dom"))</f>
        <v/>
      </c>
      <c r="D2402" s="46"/>
      <c r="E2402" s="47"/>
      <c r="F2402" s="47"/>
      <c r="G2402" s="48"/>
      <c r="H2402" s="49"/>
      <c r="I2402" s="50"/>
      <c r="J2402" s="48"/>
      <c r="K2402" s="49"/>
      <c r="L2402" s="50"/>
      <c r="M2402" s="43" t="str">
        <f aca="false">IF(OR($L2402="",$F2402=""),"",IFERROR($L2402/INDEX(Cadastro!$E$6:$E$8,MATCH($F2402,Cadastro!$B$6:$B$8,0)),""))</f>
        <v/>
      </c>
      <c r="N2402" s="43" t="str">
        <f aca="false">IF(OR($L2402="",$I2402="",$I2402=0),"",$L2402/$I2402)</f>
        <v/>
      </c>
      <c r="O2402" s="51"/>
    </row>
    <row r="2403" customFormat="false" ht="15" hidden="false" customHeight="false" outlineLevel="0" collapsed="false">
      <c r="A2403" s="45"/>
      <c r="B2403" s="37" t="str">
        <f aca="false">IF($A2403="","",WEEKNUM($A2403,2))</f>
        <v/>
      </c>
      <c r="C2403" s="37" t="str">
        <f aca="false">IF($A2403="","",CHOOSE(WEEKDAY($A2403,2),"Seg","Ter","Qua","Qui","Sex","Sáb","Dom"))</f>
        <v/>
      </c>
      <c r="D2403" s="46"/>
      <c r="E2403" s="47"/>
      <c r="F2403" s="47"/>
      <c r="G2403" s="48"/>
      <c r="H2403" s="49"/>
      <c r="I2403" s="50"/>
      <c r="J2403" s="48"/>
      <c r="K2403" s="49"/>
      <c r="L2403" s="50"/>
      <c r="M2403" s="43" t="str">
        <f aca="false">IF(OR($L2403="",$F2403=""),"",IFERROR($L2403/INDEX(Cadastro!$E$6:$E$8,MATCH($F2403,Cadastro!$B$6:$B$8,0)),""))</f>
        <v/>
      </c>
      <c r="N2403" s="43" t="str">
        <f aca="false">IF(OR($L2403="",$I2403="",$I2403=0),"",$L2403/$I2403)</f>
        <v/>
      </c>
      <c r="O2403" s="51"/>
    </row>
    <row r="2404" customFormat="false" ht="15" hidden="false" customHeight="false" outlineLevel="0" collapsed="false">
      <c r="A2404" s="45"/>
      <c r="B2404" s="37" t="str">
        <f aca="false">IF($A2404="","",WEEKNUM($A2404,2))</f>
        <v/>
      </c>
      <c r="C2404" s="37" t="str">
        <f aca="false">IF($A2404="","",CHOOSE(WEEKDAY($A2404,2),"Seg","Ter","Qua","Qui","Sex","Sáb","Dom"))</f>
        <v/>
      </c>
      <c r="D2404" s="46"/>
      <c r="E2404" s="47"/>
      <c r="F2404" s="47"/>
      <c r="G2404" s="48"/>
      <c r="H2404" s="49"/>
      <c r="I2404" s="50"/>
      <c r="J2404" s="48"/>
      <c r="K2404" s="49"/>
      <c r="L2404" s="50"/>
      <c r="M2404" s="43" t="str">
        <f aca="false">IF(OR($L2404="",$F2404=""),"",IFERROR($L2404/INDEX(Cadastro!$E$6:$E$8,MATCH($F2404,Cadastro!$B$6:$B$8,0)),""))</f>
        <v/>
      </c>
      <c r="N2404" s="43" t="str">
        <f aca="false">IF(OR($L2404="",$I2404="",$I2404=0),"",$L2404/$I2404)</f>
        <v/>
      </c>
      <c r="O2404" s="51"/>
    </row>
    <row r="2405" customFormat="false" ht="15" hidden="false" customHeight="false" outlineLevel="0" collapsed="false">
      <c r="A2405" s="45"/>
      <c r="B2405" s="37" t="str">
        <f aca="false">IF($A2405="","",WEEKNUM($A2405,2))</f>
        <v/>
      </c>
      <c r="C2405" s="37" t="str">
        <f aca="false">IF($A2405="","",CHOOSE(WEEKDAY($A2405,2),"Seg","Ter","Qua","Qui","Sex","Sáb","Dom"))</f>
        <v/>
      </c>
      <c r="D2405" s="46"/>
      <c r="E2405" s="47"/>
      <c r="F2405" s="47"/>
      <c r="G2405" s="48"/>
      <c r="H2405" s="49"/>
      <c r="I2405" s="50"/>
      <c r="J2405" s="48"/>
      <c r="K2405" s="49"/>
      <c r="L2405" s="50"/>
      <c r="M2405" s="43" t="str">
        <f aca="false">IF(OR($L2405="",$F2405=""),"",IFERROR($L2405/INDEX(Cadastro!$E$6:$E$8,MATCH($F2405,Cadastro!$B$6:$B$8,0)),""))</f>
        <v/>
      </c>
      <c r="N2405" s="43" t="str">
        <f aca="false">IF(OR($L2405="",$I2405="",$I2405=0),"",$L2405/$I2405)</f>
        <v/>
      </c>
      <c r="O2405" s="51"/>
    </row>
    <row r="2406" customFormat="false" ht="15" hidden="false" customHeight="false" outlineLevel="0" collapsed="false">
      <c r="A2406" s="45"/>
      <c r="B2406" s="37" t="str">
        <f aca="false">IF($A2406="","",WEEKNUM($A2406,2))</f>
        <v/>
      </c>
      <c r="C2406" s="37" t="str">
        <f aca="false">IF($A2406="","",CHOOSE(WEEKDAY($A2406,2),"Seg","Ter","Qua","Qui","Sex","Sáb","Dom"))</f>
        <v/>
      </c>
      <c r="D2406" s="46"/>
      <c r="E2406" s="47"/>
      <c r="F2406" s="47"/>
      <c r="G2406" s="48"/>
      <c r="H2406" s="49"/>
      <c r="I2406" s="50"/>
      <c r="J2406" s="48"/>
      <c r="K2406" s="49"/>
      <c r="L2406" s="50"/>
      <c r="M2406" s="43" t="str">
        <f aca="false">IF(OR($L2406="",$F2406=""),"",IFERROR($L2406/INDEX(Cadastro!$E$6:$E$8,MATCH($F2406,Cadastro!$B$6:$B$8,0)),""))</f>
        <v/>
      </c>
      <c r="N2406" s="43" t="str">
        <f aca="false">IF(OR($L2406="",$I2406="",$I2406=0),"",$L2406/$I2406)</f>
        <v/>
      </c>
      <c r="O2406" s="51"/>
    </row>
    <row r="2407" customFormat="false" ht="15" hidden="false" customHeight="false" outlineLevel="0" collapsed="false">
      <c r="A2407" s="45"/>
      <c r="B2407" s="37" t="str">
        <f aca="false">IF($A2407="","",WEEKNUM($A2407,2))</f>
        <v/>
      </c>
      <c r="C2407" s="37" t="str">
        <f aca="false">IF($A2407="","",CHOOSE(WEEKDAY($A2407,2),"Seg","Ter","Qua","Qui","Sex","Sáb","Dom"))</f>
        <v/>
      </c>
      <c r="D2407" s="46"/>
      <c r="E2407" s="47"/>
      <c r="F2407" s="47"/>
      <c r="G2407" s="48"/>
      <c r="H2407" s="49"/>
      <c r="I2407" s="50"/>
      <c r="J2407" s="48"/>
      <c r="K2407" s="49"/>
      <c r="L2407" s="50"/>
      <c r="M2407" s="43" t="str">
        <f aca="false">IF(OR($L2407="",$F2407=""),"",IFERROR($L2407/INDEX(Cadastro!$E$6:$E$8,MATCH($F2407,Cadastro!$B$6:$B$8,0)),""))</f>
        <v/>
      </c>
      <c r="N2407" s="43" t="str">
        <f aca="false">IF(OR($L2407="",$I2407="",$I2407=0),"",$L2407/$I2407)</f>
        <v/>
      </c>
      <c r="O2407" s="51"/>
    </row>
    <row r="2408" customFormat="false" ht="15" hidden="false" customHeight="false" outlineLevel="0" collapsed="false">
      <c r="A2408" s="45"/>
      <c r="B2408" s="37" t="str">
        <f aca="false">IF($A2408="","",WEEKNUM($A2408,2))</f>
        <v/>
      </c>
      <c r="C2408" s="37" t="str">
        <f aca="false">IF($A2408="","",CHOOSE(WEEKDAY($A2408,2),"Seg","Ter","Qua","Qui","Sex","Sáb","Dom"))</f>
        <v/>
      </c>
      <c r="D2408" s="46"/>
      <c r="E2408" s="47"/>
      <c r="F2408" s="47"/>
      <c r="G2408" s="48"/>
      <c r="H2408" s="49"/>
      <c r="I2408" s="50"/>
      <c r="J2408" s="48"/>
      <c r="K2408" s="49"/>
      <c r="L2408" s="50"/>
      <c r="M2408" s="43" t="str">
        <f aca="false">IF(OR($L2408="",$F2408=""),"",IFERROR($L2408/INDEX(Cadastro!$E$6:$E$8,MATCH($F2408,Cadastro!$B$6:$B$8,0)),""))</f>
        <v/>
      </c>
      <c r="N2408" s="43" t="str">
        <f aca="false">IF(OR($L2408="",$I2408="",$I2408=0),"",$L2408/$I2408)</f>
        <v/>
      </c>
      <c r="O2408" s="51"/>
    </row>
    <row r="2409" customFormat="false" ht="15" hidden="false" customHeight="false" outlineLevel="0" collapsed="false">
      <c r="A2409" s="45"/>
      <c r="B2409" s="37" t="str">
        <f aca="false">IF($A2409="","",WEEKNUM($A2409,2))</f>
        <v/>
      </c>
      <c r="C2409" s="37" t="str">
        <f aca="false">IF($A2409="","",CHOOSE(WEEKDAY($A2409,2),"Seg","Ter","Qua","Qui","Sex","Sáb","Dom"))</f>
        <v/>
      </c>
      <c r="D2409" s="46"/>
      <c r="E2409" s="47"/>
      <c r="F2409" s="47"/>
      <c r="G2409" s="48"/>
      <c r="H2409" s="49"/>
      <c r="I2409" s="50"/>
      <c r="J2409" s="48"/>
      <c r="K2409" s="49"/>
      <c r="L2409" s="50"/>
      <c r="M2409" s="43" t="str">
        <f aca="false">IF(OR($L2409="",$F2409=""),"",IFERROR($L2409/INDEX(Cadastro!$E$6:$E$8,MATCH($F2409,Cadastro!$B$6:$B$8,0)),""))</f>
        <v/>
      </c>
      <c r="N2409" s="43" t="str">
        <f aca="false">IF(OR($L2409="",$I2409="",$I2409=0),"",$L2409/$I2409)</f>
        <v/>
      </c>
      <c r="O2409" s="51"/>
    </row>
    <row r="2410" customFormat="false" ht="15" hidden="false" customHeight="false" outlineLevel="0" collapsed="false">
      <c r="A2410" s="45"/>
      <c r="B2410" s="37" t="str">
        <f aca="false">IF($A2410="","",WEEKNUM($A2410,2))</f>
        <v/>
      </c>
      <c r="C2410" s="37" t="str">
        <f aca="false">IF($A2410="","",CHOOSE(WEEKDAY($A2410,2),"Seg","Ter","Qua","Qui","Sex","Sáb","Dom"))</f>
        <v/>
      </c>
      <c r="D2410" s="46"/>
      <c r="E2410" s="47"/>
      <c r="F2410" s="47"/>
      <c r="G2410" s="48"/>
      <c r="H2410" s="49"/>
      <c r="I2410" s="50"/>
      <c r="J2410" s="48"/>
      <c r="K2410" s="49"/>
      <c r="L2410" s="50"/>
      <c r="M2410" s="43" t="str">
        <f aca="false">IF(OR($L2410="",$F2410=""),"",IFERROR($L2410/INDEX(Cadastro!$E$6:$E$8,MATCH($F2410,Cadastro!$B$6:$B$8,0)),""))</f>
        <v/>
      </c>
      <c r="N2410" s="43" t="str">
        <f aca="false">IF(OR($L2410="",$I2410="",$I2410=0),"",$L2410/$I2410)</f>
        <v/>
      </c>
      <c r="O2410" s="51"/>
    </row>
    <row r="2411" customFormat="false" ht="15" hidden="false" customHeight="false" outlineLevel="0" collapsed="false">
      <c r="A2411" s="45"/>
      <c r="B2411" s="37" t="str">
        <f aca="false">IF($A2411="","",WEEKNUM($A2411,2))</f>
        <v/>
      </c>
      <c r="C2411" s="37" t="str">
        <f aca="false">IF($A2411="","",CHOOSE(WEEKDAY($A2411,2),"Seg","Ter","Qua","Qui","Sex","Sáb","Dom"))</f>
        <v/>
      </c>
      <c r="D2411" s="46"/>
      <c r="E2411" s="47"/>
      <c r="F2411" s="47"/>
      <c r="G2411" s="48"/>
      <c r="H2411" s="49"/>
      <c r="I2411" s="50"/>
      <c r="J2411" s="48"/>
      <c r="K2411" s="49"/>
      <c r="L2411" s="50"/>
      <c r="M2411" s="43" t="str">
        <f aca="false">IF(OR($L2411="",$F2411=""),"",IFERROR($L2411/INDEX(Cadastro!$E$6:$E$8,MATCH($F2411,Cadastro!$B$6:$B$8,0)),""))</f>
        <v/>
      </c>
      <c r="N2411" s="43" t="str">
        <f aca="false">IF(OR($L2411="",$I2411="",$I2411=0),"",$L2411/$I2411)</f>
        <v/>
      </c>
      <c r="O2411" s="51"/>
    </row>
    <row r="2412" customFormat="false" ht="15" hidden="false" customHeight="false" outlineLevel="0" collapsed="false">
      <c r="A2412" s="45"/>
      <c r="B2412" s="37" t="str">
        <f aca="false">IF($A2412="","",WEEKNUM($A2412,2))</f>
        <v/>
      </c>
      <c r="C2412" s="37" t="str">
        <f aca="false">IF($A2412="","",CHOOSE(WEEKDAY($A2412,2),"Seg","Ter","Qua","Qui","Sex","Sáb","Dom"))</f>
        <v/>
      </c>
      <c r="D2412" s="46"/>
      <c r="E2412" s="47"/>
      <c r="F2412" s="47"/>
      <c r="G2412" s="48"/>
      <c r="H2412" s="49"/>
      <c r="I2412" s="50"/>
      <c r="J2412" s="48"/>
      <c r="K2412" s="49"/>
      <c r="L2412" s="50"/>
      <c r="M2412" s="43" t="str">
        <f aca="false">IF(OR($L2412="",$F2412=""),"",IFERROR($L2412/INDEX(Cadastro!$E$6:$E$8,MATCH($F2412,Cadastro!$B$6:$B$8,0)),""))</f>
        <v/>
      </c>
      <c r="N2412" s="43" t="str">
        <f aca="false">IF(OR($L2412="",$I2412="",$I2412=0),"",$L2412/$I2412)</f>
        <v/>
      </c>
      <c r="O2412" s="51"/>
    </row>
    <row r="2413" customFormat="false" ht="15" hidden="false" customHeight="false" outlineLevel="0" collapsed="false">
      <c r="A2413" s="45"/>
      <c r="B2413" s="37" t="str">
        <f aca="false">IF($A2413="","",WEEKNUM($A2413,2))</f>
        <v/>
      </c>
      <c r="C2413" s="37" t="str">
        <f aca="false">IF($A2413="","",CHOOSE(WEEKDAY($A2413,2),"Seg","Ter","Qua","Qui","Sex","Sáb","Dom"))</f>
        <v/>
      </c>
      <c r="D2413" s="46"/>
      <c r="E2413" s="47"/>
      <c r="F2413" s="47"/>
      <c r="G2413" s="48"/>
      <c r="H2413" s="49"/>
      <c r="I2413" s="50"/>
      <c r="J2413" s="48"/>
      <c r="K2413" s="49"/>
      <c r="L2413" s="50"/>
      <c r="M2413" s="43" t="str">
        <f aca="false">IF(OR($L2413="",$F2413=""),"",IFERROR($L2413/INDEX(Cadastro!$E$6:$E$8,MATCH($F2413,Cadastro!$B$6:$B$8,0)),""))</f>
        <v/>
      </c>
      <c r="N2413" s="43" t="str">
        <f aca="false">IF(OR($L2413="",$I2413="",$I2413=0),"",$L2413/$I2413)</f>
        <v/>
      </c>
      <c r="O2413" s="51"/>
    </row>
    <row r="2414" customFormat="false" ht="15" hidden="false" customHeight="false" outlineLevel="0" collapsed="false">
      <c r="A2414" s="45"/>
      <c r="B2414" s="37" t="str">
        <f aca="false">IF($A2414="","",WEEKNUM($A2414,2))</f>
        <v/>
      </c>
      <c r="C2414" s="37" t="str">
        <f aca="false">IF($A2414="","",CHOOSE(WEEKDAY($A2414,2),"Seg","Ter","Qua","Qui","Sex","Sáb","Dom"))</f>
        <v/>
      </c>
      <c r="D2414" s="46"/>
      <c r="E2414" s="47"/>
      <c r="F2414" s="47"/>
      <c r="G2414" s="48"/>
      <c r="H2414" s="49"/>
      <c r="I2414" s="50"/>
      <c r="J2414" s="48"/>
      <c r="K2414" s="49"/>
      <c r="L2414" s="50"/>
      <c r="M2414" s="43" t="str">
        <f aca="false">IF(OR($L2414="",$F2414=""),"",IFERROR($L2414/INDEX(Cadastro!$E$6:$E$8,MATCH($F2414,Cadastro!$B$6:$B$8,0)),""))</f>
        <v/>
      </c>
      <c r="N2414" s="43" t="str">
        <f aca="false">IF(OR($L2414="",$I2414="",$I2414=0),"",$L2414/$I2414)</f>
        <v/>
      </c>
      <c r="O2414" s="51"/>
    </row>
    <row r="2415" customFormat="false" ht="15" hidden="false" customHeight="false" outlineLevel="0" collapsed="false">
      <c r="A2415" s="45"/>
      <c r="B2415" s="37" t="str">
        <f aca="false">IF($A2415="","",WEEKNUM($A2415,2))</f>
        <v/>
      </c>
      <c r="C2415" s="37" t="str">
        <f aca="false">IF($A2415="","",CHOOSE(WEEKDAY($A2415,2),"Seg","Ter","Qua","Qui","Sex","Sáb","Dom"))</f>
        <v/>
      </c>
      <c r="D2415" s="46"/>
      <c r="E2415" s="47"/>
      <c r="F2415" s="47"/>
      <c r="G2415" s="48"/>
      <c r="H2415" s="49"/>
      <c r="I2415" s="50"/>
      <c r="J2415" s="48"/>
      <c r="K2415" s="49"/>
      <c r="L2415" s="50"/>
      <c r="M2415" s="43" t="str">
        <f aca="false">IF(OR($L2415="",$F2415=""),"",IFERROR($L2415/INDEX(Cadastro!$E$6:$E$8,MATCH($F2415,Cadastro!$B$6:$B$8,0)),""))</f>
        <v/>
      </c>
      <c r="N2415" s="43" t="str">
        <f aca="false">IF(OR($L2415="",$I2415="",$I2415=0),"",$L2415/$I2415)</f>
        <v/>
      </c>
      <c r="O2415" s="51"/>
    </row>
    <row r="2416" customFormat="false" ht="15" hidden="false" customHeight="false" outlineLevel="0" collapsed="false">
      <c r="A2416" s="45"/>
      <c r="B2416" s="37" t="str">
        <f aca="false">IF($A2416="","",WEEKNUM($A2416,2))</f>
        <v/>
      </c>
      <c r="C2416" s="37" t="str">
        <f aca="false">IF($A2416="","",CHOOSE(WEEKDAY($A2416,2),"Seg","Ter","Qua","Qui","Sex","Sáb","Dom"))</f>
        <v/>
      </c>
      <c r="D2416" s="46"/>
      <c r="E2416" s="47"/>
      <c r="F2416" s="47"/>
      <c r="G2416" s="48"/>
      <c r="H2416" s="49"/>
      <c r="I2416" s="50"/>
      <c r="J2416" s="48"/>
      <c r="K2416" s="49"/>
      <c r="L2416" s="50"/>
      <c r="M2416" s="43" t="str">
        <f aca="false">IF(OR($L2416="",$F2416=""),"",IFERROR($L2416/INDEX(Cadastro!$E$6:$E$8,MATCH($F2416,Cadastro!$B$6:$B$8,0)),""))</f>
        <v/>
      </c>
      <c r="N2416" s="43" t="str">
        <f aca="false">IF(OR($L2416="",$I2416="",$I2416=0),"",$L2416/$I2416)</f>
        <v/>
      </c>
      <c r="O2416" s="51"/>
    </row>
    <row r="2417" customFormat="false" ht="15" hidden="false" customHeight="false" outlineLevel="0" collapsed="false">
      <c r="A2417" s="45"/>
      <c r="B2417" s="37" t="str">
        <f aca="false">IF($A2417="","",WEEKNUM($A2417,2))</f>
        <v/>
      </c>
      <c r="C2417" s="37" t="str">
        <f aca="false">IF($A2417="","",CHOOSE(WEEKDAY($A2417,2),"Seg","Ter","Qua","Qui","Sex","Sáb","Dom"))</f>
        <v/>
      </c>
      <c r="D2417" s="46"/>
      <c r="E2417" s="47"/>
      <c r="F2417" s="47"/>
      <c r="G2417" s="48"/>
      <c r="H2417" s="49"/>
      <c r="I2417" s="50"/>
      <c r="J2417" s="48"/>
      <c r="K2417" s="49"/>
      <c r="L2417" s="50"/>
      <c r="M2417" s="43" t="str">
        <f aca="false">IF(OR($L2417="",$F2417=""),"",IFERROR($L2417/INDEX(Cadastro!$E$6:$E$8,MATCH($F2417,Cadastro!$B$6:$B$8,0)),""))</f>
        <v/>
      </c>
      <c r="N2417" s="43" t="str">
        <f aca="false">IF(OR($L2417="",$I2417="",$I2417=0),"",$L2417/$I2417)</f>
        <v/>
      </c>
      <c r="O2417" s="51"/>
    </row>
    <row r="2418" customFormat="false" ht="15" hidden="false" customHeight="false" outlineLevel="0" collapsed="false">
      <c r="A2418" s="45"/>
      <c r="B2418" s="37" t="str">
        <f aca="false">IF($A2418="","",WEEKNUM($A2418,2))</f>
        <v/>
      </c>
      <c r="C2418" s="37" t="str">
        <f aca="false">IF($A2418="","",CHOOSE(WEEKDAY($A2418,2),"Seg","Ter","Qua","Qui","Sex","Sáb","Dom"))</f>
        <v/>
      </c>
      <c r="D2418" s="46"/>
      <c r="E2418" s="47"/>
      <c r="F2418" s="47"/>
      <c r="G2418" s="48"/>
      <c r="H2418" s="49"/>
      <c r="I2418" s="50"/>
      <c r="J2418" s="48"/>
      <c r="K2418" s="49"/>
      <c r="L2418" s="50"/>
      <c r="M2418" s="43" t="str">
        <f aca="false">IF(OR($L2418="",$F2418=""),"",IFERROR($L2418/INDEX(Cadastro!$E$6:$E$8,MATCH($F2418,Cadastro!$B$6:$B$8,0)),""))</f>
        <v/>
      </c>
      <c r="N2418" s="43" t="str">
        <f aca="false">IF(OR($L2418="",$I2418="",$I2418=0),"",$L2418/$I2418)</f>
        <v/>
      </c>
      <c r="O2418" s="51"/>
    </row>
    <row r="2419" customFormat="false" ht="15" hidden="false" customHeight="false" outlineLevel="0" collapsed="false">
      <c r="A2419" s="45"/>
      <c r="B2419" s="37" t="str">
        <f aca="false">IF($A2419="","",WEEKNUM($A2419,2))</f>
        <v/>
      </c>
      <c r="C2419" s="37" t="str">
        <f aca="false">IF($A2419="","",CHOOSE(WEEKDAY($A2419,2),"Seg","Ter","Qua","Qui","Sex","Sáb","Dom"))</f>
        <v/>
      </c>
      <c r="D2419" s="46"/>
      <c r="E2419" s="47"/>
      <c r="F2419" s="47"/>
      <c r="G2419" s="48"/>
      <c r="H2419" s="49"/>
      <c r="I2419" s="50"/>
      <c r="J2419" s="48"/>
      <c r="K2419" s="49"/>
      <c r="L2419" s="50"/>
      <c r="M2419" s="43" t="str">
        <f aca="false">IF(OR($L2419="",$F2419=""),"",IFERROR($L2419/INDEX(Cadastro!$E$6:$E$8,MATCH($F2419,Cadastro!$B$6:$B$8,0)),""))</f>
        <v/>
      </c>
      <c r="N2419" s="43" t="str">
        <f aca="false">IF(OR($L2419="",$I2419="",$I2419=0),"",$L2419/$I2419)</f>
        <v/>
      </c>
      <c r="O2419" s="51"/>
    </row>
    <row r="2420" customFormat="false" ht="15" hidden="false" customHeight="false" outlineLevel="0" collapsed="false">
      <c r="A2420" s="45"/>
      <c r="B2420" s="37" t="str">
        <f aca="false">IF($A2420="","",WEEKNUM($A2420,2))</f>
        <v/>
      </c>
      <c r="C2420" s="37" t="str">
        <f aca="false">IF($A2420="","",CHOOSE(WEEKDAY($A2420,2),"Seg","Ter","Qua","Qui","Sex","Sáb","Dom"))</f>
        <v/>
      </c>
      <c r="D2420" s="46"/>
      <c r="E2420" s="47"/>
      <c r="F2420" s="47"/>
      <c r="G2420" s="48"/>
      <c r="H2420" s="49"/>
      <c r="I2420" s="50"/>
      <c r="J2420" s="48"/>
      <c r="K2420" s="49"/>
      <c r="L2420" s="50"/>
      <c r="M2420" s="43" t="str">
        <f aca="false">IF(OR($L2420="",$F2420=""),"",IFERROR($L2420/INDEX(Cadastro!$E$6:$E$8,MATCH($F2420,Cadastro!$B$6:$B$8,0)),""))</f>
        <v/>
      </c>
      <c r="N2420" s="43" t="str">
        <f aca="false">IF(OR($L2420="",$I2420="",$I2420=0),"",$L2420/$I2420)</f>
        <v/>
      </c>
      <c r="O2420" s="51"/>
    </row>
    <row r="2421" customFormat="false" ht="15" hidden="false" customHeight="false" outlineLevel="0" collapsed="false">
      <c r="A2421" s="45"/>
      <c r="B2421" s="37" t="str">
        <f aca="false">IF($A2421="","",WEEKNUM($A2421,2))</f>
        <v/>
      </c>
      <c r="C2421" s="37" t="str">
        <f aca="false">IF($A2421="","",CHOOSE(WEEKDAY($A2421,2),"Seg","Ter","Qua","Qui","Sex","Sáb","Dom"))</f>
        <v/>
      </c>
      <c r="D2421" s="46"/>
      <c r="E2421" s="47"/>
      <c r="F2421" s="47"/>
      <c r="G2421" s="48"/>
      <c r="H2421" s="49"/>
      <c r="I2421" s="50"/>
      <c r="J2421" s="48"/>
      <c r="K2421" s="49"/>
      <c r="L2421" s="50"/>
      <c r="M2421" s="43" t="str">
        <f aca="false">IF(OR($L2421="",$F2421=""),"",IFERROR($L2421/INDEX(Cadastro!$E$6:$E$8,MATCH($F2421,Cadastro!$B$6:$B$8,0)),""))</f>
        <v/>
      </c>
      <c r="N2421" s="43" t="str">
        <f aca="false">IF(OR($L2421="",$I2421="",$I2421=0),"",$L2421/$I2421)</f>
        <v/>
      </c>
      <c r="O2421" s="51"/>
    </row>
    <row r="2422" customFormat="false" ht="15" hidden="false" customHeight="false" outlineLevel="0" collapsed="false">
      <c r="A2422" s="45"/>
      <c r="B2422" s="37" t="str">
        <f aca="false">IF($A2422="","",WEEKNUM($A2422,2))</f>
        <v/>
      </c>
      <c r="C2422" s="37" t="str">
        <f aca="false">IF($A2422="","",CHOOSE(WEEKDAY($A2422,2),"Seg","Ter","Qua","Qui","Sex","Sáb","Dom"))</f>
        <v/>
      </c>
      <c r="D2422" s="46"/>
      <c r="E2422" s="47"/>
      <c r="F2422" s="47"/>
      <c r="G2422" s="48"/>
      <c r="H2422" s="49"/>
      <c r="I2422" s="50"/>
      <c r="J2422" s="48"/>
      <c r="K2422" s="49"/>
      <c r="L2422" s="50"/>
      <c r="M2422" s="43" t="str">
        <f aca="false">IF(OR($L2422="",$F2422=""),"",IFERROR($L2422/INDEX(Cadastro!$E$6:$E$8,MATCH($F2422,Cadastro!$B$6:$B$8,0)),""))</f>
        <v/>
      </c>
      <c r="N2422" s="43" t="str">
        <f aca="false">IF(OR($L2422="",$I2422="",$I2422=0),"",$L2422/$I2422)</f>
        <v/>
      </c>
      <c r="O2422" s="51"/>
    </row>
    <row r="2423" customFormat="false" ht="15" hidden="false" customHeight="false" outlineLevel="0" collapsed="false">
      <c r="A2423" s="45"/>
      <c r="B2423" s="37" t="str">
        <f aca="false">IF($A2423="","",WEEKNUM($A2423,2))</f>
        <v/>
      </c>
      <c r="C2423" s="37" t="str">
        <f aca="false">IF($A2423="","",CHOOSE(WEEKDAY($A2423,2),"Seg","Ter","Qua","Qui","Sex","Sáb","Dom"))</f>
        <v/>
      </c>
      <c r="D2423" s="46"/>
      <c r="E2423" s="47"/>
      <c r="F2423" s="47"/>
      <c r="G2423" s="48"/>
      <c r="H2423" s="49"/>
      <c r="I2423" s="50"/>
      <c r="J2423" s="48"/>
      <c r="K2423" s="49"/>
      <c r="L2423" s="50"/>
      <c r="M2423" s="43" t="str">
        <f aca="false">IF(OR($L2423="",$F2423=""),"",IFERROR($L2423/INDEX(Cadastro!$E$6:$E$8,MATCH($F2423,Cadastro!$B$6:$B$8,0)),""))</f>
        <v/>
      </c>
      <c r="N2423" s="43" t="str">
        <f aca="false">IF(OR($L2423="",$I2423="",$I2423=0),"",$L2423/$I2423)</f>
        <v/>
      </c>
      <c r="O2423" s="51"/>
    </row>
    <row r="2424" customFormat="false" ht="15" hidden="false" customHeight="false" outlineLevel="0" collapsed="false">
      <c r="A2424" s="45"/>
      <c r="B2424" s="37" t="str">
        <f aca="false">IF($A2424="","",WEEKNUM($A2424,2))</f>
        <v/>
      </c>
      <c r="C2424" s="37" t="str">
        <f aca="false">IF($A2424="","",CHOOSE(WEEKDAY($A2424,2),"Seg","Ter","Qua","Qui","Sex","Sáb","Dom"))</f>
        <v/>
      </c>
      <c r="D2424" s="46"/>
      <c r="E2424" s="47"/>
      <c r="F2424" s="47"/>
      <c r="G2424" s="48"/>
      <c r="H2424" s="49"/>
      <c r="I2424" s="50"/>
      <c r="J2424" s="48"/>
      <c r="K2424" s="49"/>
      <c r="L2424" s="50"/>
      <c r="M2424" s="43" t="str">
        <f aca="false">IF(OR($L2424="",$F2424=""),"",IFERROR($L2424/INDEX(Cadastro!$E$6:$E$8,MATCH($F2424,Cadastro!$B$6:$B$8,0)),""))</f>
        <v/>
      </c>
      <c r="N2424" s="43" t="str">
        <f aca="false">IF(OR($L2424="",$I2424="",$I2424=0),"",$L2424/$I2424)</f>
        <v/>
      </c>
      <c r="O2424" s="51"/>
    </row>
    <row r="2425" customFormat="false" ht="15" hidden="false" customHeight="false" outlineLevel="0" collapsed="false">
      <c r="A2425" s="45"/>
      <c r="B2425" s="37" t="str">
        <f aca="false">IF($A2425="","",WEEKNUM($A2425,2))</f>
        <v/>
      </c>
      <c r="C2425" s="37" t="str">
        <f aca="false">IF($A2425="","",CHOOSE(WEEKDAY($A2425,2),"Seg","Ter","Qua","Qui","Sex","Sáb","Dom"))</f>
        <v/>
      </c>
      <c r="D2425" s="46"/>
      <c r="E2425" s="47"/>
      <c r="F2425" s="47"/>
      <c r="G2425" s="48"/>
      <c r="H2425" s="49"/>
      <c r="I2425" s="50"/>
      <c r="J2425" s="48"/>
      <c r="K2425" s="49"/>
      <c r="L2425" s="50"/>
      <c r="M2425" s="43" t="str">
        <f aca="false">IF(OR($L2425="",$F2425=""),"",IFERROR($L2425/INDEX(Cadastro!$E$6:$E$8,MATCH($F2425,Cadastro!$B$6:$B$8,0)),""))</f>
        <v/>
      </c>
      <c r="N2425" s="43" t="str">
        <f aca="false">IF(OR($L2425="",$I2425="",$I2425=0),"",$L2425/$I2425)</f>
        <v/>
      </c>
      <c r="O2425" s="51"/>
    </row>
    <row r="2426" customFormat="false" ht="15" hidden="false" customHeight="false" outlineLevel="0" collapsed="false">
      <c r="A2426" s="45"/>
      <c r="B2426" s="37" t="str">
        <f aca="false">IF($A2426="","",WEEKNUM($A2426,2))</f>
        <v/>
      </c>
      <c r="C2426" s="37" t="str">
        <f aca="false">IF($A2426="","",CHOOSE(WEEKDAY($A2426,2),"Seg","Ter","Qua","Qui","Sex","Sáb","Dom"))</f>
        <v/>
      </c>
      <c r="D2426" s="46"/>
      <c r="E2426" s="47"/>
      <c r="F2426" s="47"/>
      <c r="G2426" s="48"/>
      <c r="H2426" s="49"/>
      <c r="I2426" s="50"/>
      <c r="J2426" s="48"/>
      <c r="K2426" s="49"/>
      <c r="L2426" s="50"/>
      <c r="M2426" s="43" t="str">
        <f aca="false">IF(OR($L2426="",$F2426=""),"",IFERROR($L2426/INDEX(Cadastro!$E$6:$E$8,MATCH($F2426,Cadastro!$B$6:$B$8,0)),""))</f>
        <v/>
      </c>
      <c r="N2426" s="43" t="str">
        <f aca="false">IF(OR($L2426="",$I2426="",$I2426=0),"",$L2426/$I2426)</f>
        <v/>
      </c>
      <c r="O2426" s="51"/>
    </row>
    <row r="2427" customFormat="false" ht="15" hidden="false" customHeight="false" outlineLevel="0" collapsed="false">
      <c r="A2427" s="45"/>
      <c r="B2427" s="37" t="str">
        <f aca="false">IF($A2427="","",WEEKNUM($A2427,2))</f>
        <v/>
      </c>
      <c r="C2427" s="37" t="str">
        <f aca="false">IF($A2427="","",CHOOSE(WEEKDAY($A2427,2),"Seg","Ter","Qua","Qui","Sex","Sáb","Dom"))</f>
        <v/>
      </c>
      <c r="D2427" s="46"/>
      <c r="E2427" s="47"/>
      <c r="F2427" s="47"/>
      <c r="G2427" s="48"/>
      <c r="H2427" s="49"/>
      <c r="I2427" s="50"/>
      <c r="J2427" s="48"/>
      <c r="K2427" s="49"/>
      <c r="L2427" s="50"/>
      <c r="M2427" s="43" t="str">
        <f aca="false">IF(OR($L2427="",$F2427=""),"",IFERROR($L2427/INDEX(Cadastro!$E$6:$E$8,MATCH($F2427,Cadastro!$B$6:$B$8,0)),""))</f>
        <v/>
      </c>
      <c r="N2427" s="43" t="str">
        <f aca="false">IF(OR($L2427="",$I2427="",$I2427=0),"",$L2427/$I2427)</f>
        <v/>
      </c>
      <c r="O2427" s="51"/>
    </row>
    <row r="2428" customFormat="false" ht="15" hidden="false" customHeight="false" outlineLevel="0" collapsed="false">
      <c r="A2428" s="45"/>
      <c r="B2428" s="37" t="str">
        <f aca="false">IF($A2428="","",WEEKNUM($A2428,2))</f>
        <v/>
      </c>
      <c r="C2428" s="37" t="str">
        <f aca="false">IF($A2428="","",CHOOSE(WEEKDAY($A2428,2),"Seg","Ter","Qua","Qui","Sex","Sáb","Dom"))</f>
        <v/>
      </c>
      <c r="D2428" s="46"/>
      <c r="E2428" s="47"/>
      <c r="F2428" s="47"/>
      <c r="G2428" s="48"/>
      <c r="H2428" s="49"/>
      <c r="I2428" s="50"/>
      <c r="J2428" s="48"/>
      <c r="K2428" s="49"/>
      <c r="L2428" s="50"/>
      <c r="M2428" s="43" t="str">
        <f aca="false">IF(OR($L2428="",$F2428=""),"",IFERROR($L2428/INDEX(Cadastro!$E$6:$E$8,MATCH($F2428,Cadastro!$B$6:$B$8,0)),""))</f>
        <v/>
      </c>
      <c r="N2428" s="43" t="str">
        <f aca="false">IF(OR($L2428="",$I2428="",$I2428=0),"",$L2428/$I2428)</f>
        <v/>
      </c>
      <c r="O2428" s="51"/>
    </row>
    <row r="2429" customFormat="false" ht="15" hidden="false" customHeight="false" outlineLevel="0" collapsed="false">
      <c r="A2429" s="45"/>
      <c r="B2429" s="37" t="str">
        <f aca="false">IF($A2429="","",WEEKNUM($A2429,2))</f>
        <v/>
      </c>
      <c r="C2429" s="37" t="str">
        <f aca="false">IF($A2429="","",CHOOSE(WEEKDAY($A2429,2),"Seg","Ter","Qua","Qui","Sex","Sáb","Dom"))</f>
        <v/>
      </c>
      <c r="D2429" s="46"/>
      <c r="E2429" s="47"/>
      <c r="F2429" s="47"/>
      <c r="G2429" s="48"/>
      <c r="H2429" s="49"/>
      <c r="I2429" s="50"/>
      <c r="J2429" s="48"/>
      <c r="K2429" s="49"/>
      <c r="L2429" s="50"/>
      <c r="M2429" s="43" t="str">
        <f aca="false">IF(OR($L2429="",$F2429=""),"",IFERROR($L2429/INDEX(Cadastro!$E$6:$E$8,MATCH($F2429,Cadastro!$B$6:$B$8,0)),""))</f>
        <v/>
      </c>
      <c r="N2429" s="43" t="str">
        <f aca="false">IF(OR($L2429="",$I2429="",$I2429=0),"",$L2429/$I2429)</f>
        <v/>
      </c>
      <c r="O2429" s="51"/>
    </row>
    <row r="2430" customFormat="false" ht="15" hidden="false" customHeight="false" outlineLevel="0" collapsed="false">
      <c r="A2430" s="45"/>
      <c r="B2430" s="37" t="str">
        <f aca="false">IF($A2430="","",WEEKNUM($A2430,2))</f>
        <v/>
      </c>
      <c r="C2430" s="37" t="str">
        <f aca="false">IF($A2430="","",CHOOSE(WEEKDAY($A2430,2),"Seg","Ter","Qua","Qui","Sex","Sáb","Dom"))</f>
        <v/>
      </c>
      <c r="D2430" s="46"/>
      <c r="E2430" s="47"/>
      <c r="F2430" s="47"/>
      <c r="G2430" s="48"/>
      <c r="H2430" s="49"/>
      <c r="I2430" s="50"/>
      <c r="J2430" s="48"/>
      <c r="K2430" s="49"/>
      <c r="L2430" s="50"/>
      <c r="M2430" s="43" t="str">
        <f aca="false">IF(OR($L2430="",$F2430=""),"",IFERROR($L2430/INDEX(Cadastro!$E$6:$E$8,MATCH($F2430,Cadastro!$B$6:$B$8,0)),""))</f>
        <v/>
      </c>
      <c r="N2430" s="43" t="str">
        <f aca="false">IF(OR($L2430="",$I2430="",$I2430=0),"",$L2430/$I2430)</f>
        <v/>
      </c>
      <c r="O2430" s="51"/>
    </row>
    <row r="2431" customFormat="false" ht="15" hidden="false" customHeight="false" outlineLevel="0" collapsed="false">
      <c r="A2431" s="45"/>
      <c r="B2431" s="37" t="str">
        <f aca="false">IF($A2431="","",WEEKNUM($A2431,2))</f>
        <v/>
      </c>
      <c r="C2431" s="37" t="str">
        <f aca="false">IF($A2431="","",CHOOSE(WEEKDAY($A2431,2),"Seg","Ter","Qua","Qui","Sex","Sáb","Dom"))</f>
        <v/>
      </c>
      <c r="D2431" s="46"/>
      <c r="E2431" s="47"/>
      <c r="F2431" s="47"/>
      <c r="G2431" s="48"/>
      <c r="H2431" s="49"/>
      <c r="I2431" s="50"/>
      <c r="J2431" s="48"/>
      <c r="K2431" s="49"/>
      <c r="L2431" s="50"/>
      <c r="M2431" s="43" t="str">
        <f aca="false">IF(OR($L2431="",$F2431=""),"",IFERROR($L2431/INDEX(Cadastro!$E$6:$E$8,MATCH($F2431,Cadastro!$B$6:$B$8,0)),""))</f>
        <v/>
      </c>
      <c r="N2431" s="43" t="str">
        <f aca="false">IF(OR($L2431="",$I2431="",$I2431=0),"",$L2431/$I2431)</f>
        <v/>
      </c>
      <c r="O2431" s="51"/>
    </row>
    <row r="2432" customFormat="false" ht="15" hidden="false" customHeight="false" outlineLevel="0" collapsed="false">
      <c r="A2432" s="45"/>
      <c r="B2432" s="37" t="str">
        <f aca="false">IF($A2432="","",WEEKNUM($A2432,2))</f>
        <v/>
      </c>
      <c r="C2432" s="37" t="str">
        <f aca="false">IF($A2432="","",CHOOSE(WEEKDAY($A2432,2),"Seg","Ter","Qua","Qui","Sex","Sáb","Dom"))</f>
        <v/>
      </c>
      <c r="D2432" s="46"/>
      <c r="E2432" s="47"/>
      <c r="F2432" s="47"/>
      <c r="G2432" s="48"/>
      <c r="H2432" s="49"/>
      <c r="I2432" s="50"/>
      <c r="J2432" s="48"/>
      <c r="K2432" s="49"/>
      <c r="L2432" s="50"/>
      <c r="M2432" s="43" t="str">
        <f aca="false">IF(OR($L2432="",$F2432=""),"",IFERROR($L2432/INDEX(Cadastro!$E$6:$E$8,MATCH($F2432,Cadastro!$B$6:$B$8,0)),""))</f>
        <v/>
      </c>
      <c r="N2432" s="43" t="str">
        <f aca="false">IF(OR($L2432="",$I2432="",$I2432=0),"",$L2432/$I2432)</f>
        <v/>
      </c>
      <c r="O2432" s="51"/>
    </row>
    <row r="2433" customFormat="false" ht="15" hidden="false" customHeight="false" outlineLevel="0" collapsed="false">
      <c r="A2433" s="45"/>
      <c r="B2433" s="37" t="str">
        <f aca="false">IF($A2433="","",WEEKNUM($A2433,2))</f>
        <v/>
      </c>
      <c r="C2433" s="37" t="str">
        <f aca="false">IF($A2433="","",CHOOSE(WEEKDAY($A2433,2),"Seg","Ter","Qua","Qui","Sex","Sáb","Dom"))</f>
        <v/>
      </c>
      <c r="D2433" s="46"/>
      <c r="E2433" s="47"/>
      <c r="F2433" s="47"/>
      <c r="G2433" s="48"/>
      <c r="H2433" s="49"/>
      <c r="I2433" s="50"/>
      <c r="J2433" s="48"/>
      <c r="K2433" s="49"/>
      <c r="L2433" s="50"/>
      <c r="M2433" s="43" t="str">
        <f aca="false">IF(OR($L2433="",$F2433=""),"",IFERROR($L2433/INDEX(Cadastro!$E$6:$E$8,MATCH($F2433,Cadastro!$B$6:$B$8,0)),""))</f>
        <v/>
      </c>
      <c r="N2433" s="43" t="str">
        <f aca="false">IF(OR($L2433="",$I2433="",$I2433=0),"",$L2433/$I2433)</f>
        <v/>
      </c>
      <c r="O2433" s="51"/>
    </row>
    <row r="2434" customFormat="false" ht="15" hidden="false" customHeight="false" outlineLevel="0" collapsed="false">
      <c r="A2434" s="45"/>
      <c r="B2434" s="37" t="str">
        <f aca="false">IF($A2434="","",WEEKNUM($A2434,2))</f>
        <v/>
      </c>
      <c r="C2434" s="37" t="str">
        <f aca="false">IF($A2434="","",CHOOSE(WEEKDAY($A2434,2),"Seg","Ter","Qua","Qui","Sex","Sáb","Dom"))</f>
        <v/>
      </c>
      <c r="D2434" s="46"/>
      <c r="E2434" s="47"/>
      <c r="F2434" s="47"/>
      <c r="G2434" s="48"/>
      <c r="H2434" s="49"/>
      <c r="I2434" s="50"/>
      <c r="J2434" s="48"/>
      <c r="K2434" s="49"/>
      <c r="L2434" s="50"/>
      <c r="M2434" s="43" t="str">
        <f aca="false">IF(OR($L2434="",$F2434=""),"",IFERROR($L2434/INDEX(Cadastro!$E$6:$E$8,MATCH($F2434,Cadastro!$B$6:$B$8,0)),""))</f>
        <v/>
      </c>
      <c r="N2434" s="43" t="str">
        <f aca="false">IF(OR($L2434="",$I2434="",$I2434=0),"",$L2434/$I2434)</f>
        <v/>
      </c>
      <c r="O2434" s="51"/>
    </row>
    <row r="2435" customFormat="false" ht="15" hidden="false" customHeight="false" outlineLevel="0" collapsed="false">
      <c r="A2435" s="45"/>
      <c r="B2435" s="37" t="str">
        <f aca="false">IF($A2435="","",WEEKNUM($A2435,2))</f>
        <v/>
      </c>
      <c r="C2435" s="37" t="str">
        <f aca="false">IF($A2435="","",CHOOSE(WEEKDAY($A2435,2),"Seg","Ter","Qua","Qui","Sex","Sáb","Dom"))</f>
        <v/>
      </c>
      <c r="D2435" s="46"/>
      <c r="E2435" s="47"/>
      <c r="F2435" s="47"/>
      <c r="G2435" s="48"/>
      <c r="H2435" s="49"/>
      <c r="I2435" s="50"/>
      <c r="J2435" s="48"/>
      <c r="K2435" s="49"/>
      <c r="L2435" s="50"/>
      <c r="M2435" s="43" t="str">
        <f aca="false">IF(OR($L2435="",$F2435=""),"",IFERROR($L2435/INDEX(Cadastro!$E$6:$E$8,MATCH($F2435,Cadastro!$B$6:$B$8,0)),""))</f>
        <v/>
      </c>
      <c r="N2435" s="43" t="str">
        <f aca="false">IF(OR($L2435="",$I2435="",$I2435=0),"",$L2435/$I2435)</f>
        <v/>
      </c>
      <c r="O2435" s="51"/>
    </row>
    <row r="2436" customFormat="false" ht="15" hidden="false" customHeight="false" outlineLevel="0" collapsed="false">
      <c r="A2436" s="45"/>
      <c r="B2436" s="37" t="str">
        <f aca="false">IF($A2436="","",WEEKNUM($A2436,2))</f>
        <v/>
      </c>
      <c r="C2436" s="37" t="str">
        <f aca="false">IF($A2436="","",CHOOSE(WEEKDAY($A2436,2),"Seg","Ter","Qua","Qui","Sex","Sáb","Dom"))</f>
        <v/>
      </c>
      <c r="D2436" s="46"/>
      <c r="E2436" s="47"/>
      <c r="F2436" s="47"/>
      <c r="G2436" s="48"/>
      <c r="H2436" s="49"/>
      <c r="I2436" s="50"/>
      <c r="J2436" s="48"/>
      <c r="K2436" s="49"/>
      <c r="L2436" s="50"/>
      <c r="M2436" s="43" t="str">
        <f aca="false">IF(OR($L2436="",$F2436=""),"",IFERROR($L2436/INDEX(Cadastro!$E$6:$E$8,MATCH($F2436,Cadastro!$B$6:$B$8,0)),""))</f>
        <v/>
      </c>
      <c r="N2436" s="43" t="str">
        <f aca="false">IF(OR($L2436="",$I2436="",$I2436=0),"",$L2436/$I2436)</f>
        <v/>
      </c>
      <c r="O2436" s="51"/>
    </row>
    <row r="2437" customFormat="false" ht="15" hidden="false" customHeight="false" outlineLevel="0" collapsed="false">
      <c r="A2437" s="45"/>
      <c r="B2437" s="37" t="str">
        <f aca="false">IF($A2437="","",WEEKNUM($A2437,2))</f>
        <v/>
      </c>
      <c r="C2437" s="37" t="str">
        <f aca="false">IF($A2437="","",CHOOSE(WEEKDAY($A2437,2),"Seg","Ter","Qua","Qui","Sex","Sáb","Dom"))</f>
        <v/>
      </c>
      <c r="D2437" s="46"/>
      <c r="E2437" s="47"/>
      <c r="F2437" s="47"/>
      <c r="G2437" s="48"/>
      <c r="H2437" s="49"/>
      <c r="I2437" s="50"/>
      <c r="J2437" s="48"/>
      <c r="K2437" s="49"/>
      <c r="L2437" s="50"/>
      <c r="M2437" s="43" t="str">
        <f aca="false">IF(OR($L2437="",$F2437=""),"",IFERROR($L2437/INDEX(Cadastro!$E$6:$E$8,MATCH($F2437,Cadastro!$B$6:$B$8,0)),""))</f>
        <v/>
      </c>
      <c r="N2437" s="43" t="str">
        <f aca="false">IF(OR($L2437="",$I2437="",$I2437=0),"",$L2437/$I2437)</f>
        <v/>
      </c>
      <c r="O2437" s="51"/>
    </row>
    <row r="2438" customFormat="false" ht="15" hidden="false" customHeight="false" outlineLevel="0" collapsed="false">
      <c r="A2438" s="45"/>
      <c r="B2438" s="37" t="str">
        <f aca="false">IF($A2438="","",WEEKNUM($A2438,2))</f>
        <v/>
      </c>
      <c r="C2438" s="37" t="str">
        <f aca="false">IF($A2438="","",CHOOSE(WEEKDAY($A2438,2),"Seg","Ter","Qua","Qui","Sex","Sáb","Dom"))</f>
        <v/>
      </c>
      <c r="D2438" s="46"/>
      <c r="E2438" s="47"/>
      <c r="F2438" s="47"/>
      <c r="G2438" s="48"/>
      <c r="H2438" s="49"/>
      <c r="I2438" s="50"/>
      <c r="J2438" s="48"/>
      <c r="K2438" s="49"/>
      <c r="L2438" s="50"/>
      <c r="M2438" s="43" t="str">
        <f aca="false">IF(OR($L2438="",$F2438=""),"",IFERROR($L2438/INDEX(Cadastro!$E$6:$E$8,MATCH($F2438,Cadastro!$B$6:$B$8,0)),""))</f>
        <v/>
      </c>
      <c r="N2438" s="43" t="str">
        <f aca="false">IF(OR($L2438="",$I2438="",$I2438=0),"",$L2438/$I2438)</f>
        <v/>
      </c>
      <c r="O2438" s="51"/>
    </row>
    <row r="2439" customFormat="false" ht="15" hidden="false" customHeight="false" outlineLevel="0" collapsed="false">
      <c r="A2439" s="45"/>
      <c r="B2439" s="37" t="str">
        <f aca="false">IF($A2439="","",WEEKNUM($A2439,2))</f>
        <v/>
      </c>
      <c r="C2439" s="37" t="str">
        <f aca="false">IF($A2439="","",CHOOSE(WEEKDAY($A2439,2),"Seg","Ter","Qua","Qui","Sex","Sáb","Dom"))</f>
        <v/>
      </c>
      <c r="D2439" s="46"/>
      <c r="E2439" s="47"/>
      <c r="F2439" s="47"/>
      <c r="G2439" s="48"/>
      <c r="H2439" s="49"/>
      <c r="I2439" s="50"/>
      <c r="J2439" s="48"/>
      <c r="K2439" s="49"/>
      <c r="L2439" s="50"/>
      <c r="M2439" s="43" t="str">
        <f aca="false">IF(OR($L2439="",$F2439=""),"",IFERROR($L2439/INDEX(Cadastro!$E$6:$E$8,MATCH($F2439,Cadastro!$B$6:$B$8,0)),""))</f>
        <v/>
      </c>
      <c r="N2439" s="43" t="str">
        <f aca="false">IF(OR($L2439="",$I2439="",$I2439=0),"",$L2439/$I2439)</f>
        <v/>
      </c>
      <c r="O2439" s="51"/>
    </row>
    <row r="2440" customFormat="false" ht="15" hidden="false" customHeight="false" outlineLevel="0" collapsed="false">
      <c r="A2440" s="45"/>
      <c r="B2440" s="37" t="str">
        <f aca="false">IF($A2440="","",WEEKNUM($A2440,2))</f>
        <v/>
      </c>
      <c r="C2440" s="37" t="str">
        <f aca="false">IF($A2440="","",CHOOSE(WEEKDAY($A2440,2),"Seg","Ter","Qua","Qui","Sex","Sáb","Dom"))</f>
        <v/>
      </c>
      <c r="D2440" s="46"/>
      <c r="E2440" s="47"/>
      <c r="F2440" s="47"/>
      <c r="G2440" s="48"/>
      <c r="H2440" s="49"/>
      <c r="I2440" s="50"/>
      <c r="J2440" s="48"/>
      <c r="K2440" s="49"/>
      <c r="L2440" s="50"/>
      <c r="M2440" s="43" t="str">
        <f aca="false">IF(OR($L2440="",$F2440=""),"",IFERROR($L2440/INDEX(Cadastro!$E$6:$E$8,MATCH($F2440,Cadastro!$B$6:$B$8,0)),""))</f>
        <v/>
      </c>
      <c r="N2440" s="43" t="str">
        <f aca="false">IF(OR($L2440="",$I2440="",$I2440=0),"",$L2440/$I2440)</f>
        <v/>
      </c>
      <c r="O2440" s="51"/>
    </row>
    <row r="2441" customFormat="false" ht="15" hidden="false" customHeight="false" outlineLevel="0" collapsed="false">
      <c r="A2441" s="45"/>
      <c r="B2441" s="37" t="str">
        <f aca="false">IF($A2441="","",WEEKNUM($A2441,2))</f>
        <v/>
      </c>
      <c r="C2441" s="37" t="str">
        <f aca="false">IF($A2441="","",CHOOSE(WEEKDAY($A2441,2),"Seg","Ter","Qua","Qui","Sex","Sáb","Dom"))</f>
        <v/>
      </c>
      <c r="D2441" s="46"/>
      <c r="E2441" s="47"/>
      <c r="F2441" s="47"/>
      <c r="G2441" s="48"/>
      <c r="H2441" s="49"/>
      <c r="I2441" s="50"/>
      <c r="J2441" s="48"/>
      <c r="K2441" s="49"/>
      <c r="L2441" s="50"/>
      <c r="M2441" s="43" t="str">
        <f aca="false">IF(OR($L2441="",$F2441=""),"",IFERROR($L2441/INDEX(Cadastro!$E$6:$E$8,MATCH($F2441,Cadastro!$B$6:$B$8,0)),""))</f>
        <v/>
      </c>
      <c r="N2441" s="43" t="str">
        <f aca="false">IF(OR($L2441="",$I2441="",$I2441=0),"",$L2441/$I2441)</f>
        <v/>
      </c>
      <c r="O2441" s="51"/>
    </row>
    <row r="2442" customFormat="false" ht="15" hidden="false" customHeight="false" outlineLevel="0" collapsed="false">
      <c r="A2442" s="45"/>
      <c r="B2442" s="37" t="str">
        <f aca="false">IF($A2442="","",WEEKNUM($A2442,2))</f>
        <v/>
      </c>
      <c r="C2442" s="37" t="str">
        <f aca="false">IF($A2442="","",CHOOSE(WEEKDAY($A2442,2),"Seg","Ter","Qua","Qui","Sex","Sáb","Dom"))</f>
        <v/>
      </c>
      <c r="D2442" s="46"/>
      <c r="E2442" s="47"/>
      <c r="F2442" s="47"/>
      <c r="G2442" s="48"/>
      <c r="H2442" s="49"/>
      <c r="I2442" s="50"/>
      <c r="J2442" s="48"/>
      <c r="K2442" s="49"/>
      <c r="L2442" s="50"/>
      <c r="M2442" s="43" t="str">
        <f aca="false">IF(OR($L2442="",$F2442=""),"",IFERROR($L2442/INDEX(Cadastro!$E$6:$E$8,MATCH($F2442,Cadastro!$B$6:$B$8,0)),""))</f>
        <v/>
      </c>
      <c r="N2442" s="43" t="str">
        <f aca="false">IF(OR($L2442="",$I2442="",$I2442=0),"",$L2442/$I2442)</f>
        <v/>
      </c>
      <c r="O2442" s="51"/>
    </row>
    <row r="2443" customFormat="false" ht="15" hidden="false" customHeight="false" outlineLevel="0" collapsed="false">
      <c r="A2443" s="45"/>
      <c r="B2443" s="37" t="str">
        <f aca="false">IF($A2443="","",WEEKNUM($A2443,2))</f>
        <v/>
      </c>
      <c r="C2443" s="37" t="str">
        <f aca="false">IF($A2443="","",CHOOSE(WEEKDAY($A2443,2),"Seg","Ter","Qua","Qui","Sex","Sáb","Dom"))</f>
        <v/>
      </c>
      <c r="D2443" s="46"/>
      <c r="E2443" s="47"/>
      <c r="F2443" s="47"/>
      <c r="G2443" s="48"/>
      <c r="H2443" s="49"/>
      <c r="I2443" s="50"/>
      <c r="J2443" s="48"/>
      <c r="K2443" s="49"/>
      <c r="L2443" s="50"/>
      <c r="M2443" s="43" t="str">
        <f aca="false">IF(OR($L2443="",$F2443=""),"",IFERROR($L2443/INDEX(Cadastro!$E$6:$E$8,MATCH($F2443,Cadastro!$B$6:$B$8,0)),""))</f>
        <v/>
      </c>
      <c r="N2443" s="43" t="str">
        <f aca="false">IF(OR($L2443="",$I2443="",$I2443=0),"",$L2443/$I2443)</f>
        <v/>
      </c>
      <c r="O2443" s="51"/>
    </row>
    <row r="2444" customFormat="false" ht="15" hidden="false" customHeight="false" outlineLevel="0" collapsed="false">
      <c r="A2444" s="45"/>
      <c r="B2444" s="37" t="str">
        <f aca="false">IF($A2444="","",WEEKNUM($A2444,2))</f>
        <v/>
      </c>
      <c r="C2444" s="37" t="str">
        <f aca="false">IF($A2444="","",CHOOSE(WEEKDAY($A2444,2),"Seg","Ter","Qua","Qui","Sex","Sáb","Dom"))</f>
        <v/>
      </c>
      <c r="D2444" s="46"/>
      <c r="E2444" s="47"/>
      <c r="F2444" s="47"/>
      <c r="G2444" s="48"/>
      <c r="H2444" s="49"/>
      <c r="I2444" s="50"/>
      <c r="J2444" s="48"/>
      <c r="K2444" s="49"/>
      <c r="L2444" s="50"/>
      <c r="M2444" s="43" t="str">
        <f aca="false">IF(OR($L2444="",$F2444=""),"",IFERROR($L2444/INDEX(Cadastro!$E$6:$E$8,MATCH($F2444,Cadastro!$B$6:$B$8,0)),""))</f>
        <v/>
      </c>
      <c r="N2444" s="43" t="str">
        <f aca="false">IF(OR($L2444="",$I2444="",$I2444=0),"",$L2444/$I2444)</f>
        <v/>
      </c>
      <c r="O2444" s="51"/>
    </row>
    <row r="2445" customFormat="false" ht="15" hidden="false" customHeight="false" outlineLevel="0" collapsed="false">
      <c r="A2445" s="45"/>
      <c r="B2445" s="37" t="str">
        <f aca="false">IF($A2445="","",WEEKNUM($A2445,2))</f>
        <v/>
      </c>
      <c r="C2445" s="37" t="str">
        <f aca="false">IF($A2445="","",CHOOSE(WEEKDAY($A2445,2),"Seg","Ter","Qua","Qui","Sex","Sáb","Dom"))</f>
        <v/>
      </c>
      <c r="D2445" s="46"/>
      <c r="E2445" s="47"/>
      <c r="F2445" s="47"/>
      <c r="G2445" s="48"/>
      <c r="H2445" s="49"/>
      <c r="I2445" s="50"/>
      <c r="J2445" s="48"/>
      <c r="K2445" s="49"/>
      <c r="L2445" s="50"/>
      <c r="M2445" s="43" t="str">
        <f aca="false">IF(OR($L2445="",$F2445=""),"",IFERROR($L2445/INDEX(Cadastro!$E$6:$E$8,MATCH($F2445,Cadastro!$B$6:$B$8,0)),""))</f>
        <v/>
      </c>
      <c r="N2445" s="43" t="str">
        <f aca="false">IF(OR($L2445="",$I2445="",$I2445=0),"",$L2445/$I2445)</f>
        <v/>
      </c>
      <c r="O2445" s="51"/>
    </row>
    <row r="2446" customFormat="false" ht="15" hidden="false" customHeight="false" outlineLevel="0" collapsed="false">
      <c r="A2446" s="45"/>
      <c r="B2446" s="37" t="str">
        <f aca="false">IF($A2446="","",WEEKNUM($A2446,2))</f>
        <v/>
      </c>
      <c r="C2446" s="37" t="str">
        <f aca="false">IF($A2446="","",CHOOSE(WEEKDAY($A2446,2),"Seg","Ter","Qua","Qui","Sex","Sáb","Dom"))</f>
        <v/>
      </c>
      <c r="D2446" s="46"/>
      <c r="E2446" s="47"/>
      <c r="F2446" s="47"/>
      <c r="G2446" s="48"/>
      <c r="H2446" s="49"/>
      <c r="I2446" s="50"/>
      <c r="J2446" s="48"/>
      <c r="K2446" s="49"/>
      <c r="L2446" s="50"/>
      <c r="M2446" s="43" t="str">
        <f aca="false">IF(OR($L2446="",$F2446=""),"",IFERROR($L2446/INDEX(Cadastro!$E$6:$E$8,MATCH($F2446,Cadastro!$B$6:$B$8,0)),""))</f>
        <v/>
      </c>
      <c r="N2446" s="43" t="str">
        <f aca="false">IF(OR($L2446="",$I2446="",$I2446=0),"",$L2446/$I2446)</f>
        <v/>
      </c>
      <c r="O2446" s="51"/>
    </row>
    <row r="2447" customFormat="false" ht="15" hidden="false" customHeight="false" outlineLevel="0" collapsed="false">
      <c r="A2447" s="45"/>
      <c r="B2447" s="37" t="str">
        <f aca="false">IF($A2447="","",WEEKNUM($A2447,2))</f>
        <v/>
      </c>
      <c r="C2447" s="37" t="str">
        <f aca="false">IF($A2447="","",CHOOSE(WEEKDAY($A2447,2),"Seg","Ter","Qua","Qui","Sex","Sáb","Dom"))</f>
        <v/>
      </c>
      <c r="D2447" s="46"/>
      <c r="E2447" s="47"/>
      <c r="F2447" s="47"/>
      <c r="G2447" s="48"/>
      <c r="H2447" s="49"/>
      <c r="I2447" s="50"/>
      <c r="J2447" s="48"/>
      <c r="K2447" s="49"/>
      <c r="L2447" s="50"/>
      <c r="M2447" s="43" t="str">
        <f aca="false">IF(OR($L2447="",$F2447=""),"",IFERROR($L2447/INDEX(Cadastro!$E$6:$E$8,MATCH($F2447,Cadastro!$B$6:$B$8,0)),""))</f>
        <v/>
      </c>
      <c r="N2447" s="43" t="str">
        <f aca="false">IF(OR($L2447="",$I2447="",$I2447=0),"",$L2447/$I2447)</f>
        <v/>
      </c>
      <c r="O2447" s="51"/>
    </row>
    <row r="2448" customFormat="false" ht="15" hidden="false" customHeight="false" outlineLevel="0" collapsed="false">
      <c r="A2448" s="45"/>
      <c r="B2448" s="37" t="str">
        <f aca="false">IF($A2448="","",WEEKNUM($A2448,2))</f>
        <v/>
      </c>
      <c r="C2448" s="37" t="str">
        <f aca="false">IF($A2448="","",CHOOSE(WEEKDAY($A2448,2),"Seg","Ter","Qua","Qui","Sex","Sáb","Dom"))</f>
        <v/>
      </c>
      <c r="D2448" s="46"/>
      <c r="E2448" s="47"/>
      <c r="F2448" s="47"/>
      <c r="G2448" s="48"/>
      <c r="H2448" s="49"/>
      <c r="I2448" s="50"/>
      <c r="J2448" s="48"/>
      <c r="K2448" s="49"/>
      <c r="L2448" s="50"/>
      <c r="M2448" s="43" t="str">
        <f aca="false">IF(OR($L2448="",$F2448=""),"",IFERROR($L2448/INDEX(Cadastro!$E$6:$E$8,MATCH($F2448,Cadastro!$B$6:$B$8,0)),""))</f>
        <v/>
      </c>
      <c r="N2448" s="43" t="str">
        <f aca="false">IF(OR($L2448="",$I2448="",$I2448=0),"",$L2448/$I2448)</f>
        <v/>
      </c>
      <c r="O2448" s="51"/>
    </row>
    <row r="2449" customFormat="false" ht="15" hidden="false" customHeight="false" outlineLevel="0" collapsed="false">
      <c r="A2449" s="45"/>
      <c r="B2449" s="37" t="str">
        <f aca="false">IF($A2449="","",WEEKNUM($A2449,2))</f>
        <v/>
      </c>
      <c r="C2449" s="37" t="str">
        <f aca="false">IF($A2449="","",CHOOSE(WEEKDAY($A2449,2),"Seg","Ter","Qua","Qui","Sex","Sáb","Dom"))</f>
        <v/>
      </c>
      <c r="D2449" s="46"/>
      <c r="E2449" s="47"/>
      <c r="F2449" s="47"/>
      <c r="G2449" s="48"/>
      <c r="H2449" s="49"/>
      <c r="I2449" s="50"/>
      <c r="J2449" s="48"/>
      <c r="K2449" s="49"/>
      <c r="L2449" s="50"/>
      <c r="M2449" s="43" t="str">
        <f aca="false">IF(OR($L2449="",$F2449=""),"",IFERROR($L2449/INDEX(Cadastro!$E$6:$E$8,MATCH($F2449,Cadastro!$B$6:$B$8,0)),""))</f>
        <v/>
      </c>
      <c r="N2449" s="43" t="str">
        <f aca="false">IF(OR($L2449="",$I2449="",$I2449=0),"",$L2449/$I2449)</f>
        <v/>
      </c>
      <c r="O2449" s="51"/>
    </row>
    <row r="2450" customFormat="false" ht="15" hidden="false" customHeight="false" outlineLevel="0" collapsed="false">
      <c r="A2450" s="45"/>
      <c r="B2450" s="37" t="str">
        <f aca="false">IF($A2450="","",WEEKNUM($A2450,2))</f>
        <v/>
      </c>
      <c r="C2450" s="37" t="str">
        <f aca="false">IF($A2450="","",CHOOSE(WEEKDAY($A2450,2),"Seg","Ter","Qua","Qui","Sex","Sáb","Dom"))</f>
        <v/>
      </c>
      <c r="D2450" s="46"/>
      <c r="E2450" s="47"/>
      <c r="F2450" s="47"/>
      <c r="G2450" s="48"/>
      <c r="H2450" s="49"/>
      <c r="I2450" s="50"/>
      <c r="J2450" s="48"/>
      <c r="K2450" s="49"/>
      <c r="L2450" s="50"/>
      <c r="M2450" s="43" t="str">
        <f aca="false">IF(OR($L2450="",$F2450=""),"",IFERROR($L2450/INDEX(Cadastro!$E$6:$E$8,MATCH($F2450,Cadastro!$B$6:$B$8,0)),""))</f>
        <v/>
      </c>
      <c r="N2450" s="43" t="str">
        <f aca="false">IF(OR($L2450="",$I2450="",$I2450=0),"",$L2450/$I2450)</f>
        <v/>
      </c>
      <c r="O2450" s="51"/>
    </row>
    <row r="2451" customFormat="false" ht="15" hidden="false" customHeight="false" outlineLevel="0" collapsed="false">
      <c r="A2451" s="45"/>
      <c r="B2451" s="37" t="str">
        <f aca="false">IF($A2451="","",WEEKNUM($A2451,2))</f>
        <v/>
      </c>
      <c r="C2451" s="37" t="str">
        <f aca="false">IF($A2451="","",CHOOSE(WEEKDAY($A2451,2),"Seg","Ter","Qua","Qui","Sex","Sáb","Dom"))</f>
        <v/>
      </c>
      <c r="D2451" s="46"/>
      <c r="E2451" s="47"/>
      <c r="F2451" s="47"/>
      <c r="G2451" s="48"/>
      <c r="H2451" s="49"/>
      <c r="I2451" s="50"/>
      <c r="J2451" s="48"/>
      <c r="K2451" s="49"/>
      <c r="L2451" s="50"/>
      <c r="M2451" s="43" t="str">
        <f aca="false">IF(OR($L2451="",$F2451=""),"",IFERROR($L2451/INDEX(Cadastro!$E$6:$E$8,MATCH($F2451,Cadastro!$B$6:$B$8,0)),""))</f>
        <v/>
      </c>
      <c r="N2451" s="43" t="str">
        <f aca="false">IF(OR($L2451="",$I2451="",$I2451=0),"",$L2451/$I2451)</f>
        <v/>
      </c>
      <c r="O2451" s="51"/>
    </row>
    <row r="2452" customFormat="false" ht="15" hidden="false" customHeight="false" outlineLevel="0" collapsed="false">
      <c r="A2452" s="45"/>
      <c r="B2452" s="37" t="str">
        <f aca="false">IF($A2452="","",WEEKNUM($A2452,2))</f>
        <v/>
      </c>
      <c r="C2452" s="37" t="str">
        <f aca="false">IF($A2452="","",CHOOSE(WEEKDAY($A2452,2),"Seg","Ter","Qua","Qui","Sex","Sáb","Dom"))</f>
        <v/>
      </c>
      <c r="D2452" s="46"/>
      <c r="E2452" s="47"/>
      <c r="F2452" s="47"/>
      <c r="G2452" s="48"/>
      <c r="H2452" s="49"/>
      <c r="I2452" s="50"/>
      <c r="J2452" s="48"/>
      <c r="K2452" s="49"/>
      <c r="L2452" s="50"/>
      <c r="M2452" s="43" t="str">
        <f aca="false">IF(OR($L2452="",$F2452=""),"",IFERROR($L2452/INDEX(Cadastro!$E$6:$E$8,MATCH($F2452,Cadastro!$B$6:$B$8,0)),""))</f>
        <v/>
      </c>
      <c r="N2452" s="43" t="str">
        <f aca="false">IF(OR($L2452="",$I2452="",$I2452=0),"",$L2452/$I2452)</f>
        <v/>
      </c>
      <c r="O2452" s="51"/>
    </row>
    <row r="2453" customFormat="false" ht="15" hidden="false" customHeight="false" outlineLevel="0" collapsed="false">
      <c r="A2453" s="45"/>
      <c r="B2453" s="37" t="str">
        <f aca="false">IF($A2453="","",WEEKNUM($A2453,2))</f>
        <v/>
      </c>
      <c r="C2453" s="37" t="str">
        <f aca="false">IF($A2453="","",CHOOSE(WEEKDAY($A2453,2),"Seg","Ter","Qua","Qui","Sex","Sáb","Dom"))</f>
        <v/>
      </c>
      <c r="D2453" s="46"/>
      <c r="E2453" s="47"/>
      <c r="F2453" s="47"/>
      <c r="G2453" s="48"/>
      <c r="H2453" s="49"/>
      <c r="I2453" s="50"/>
      <c r="J2453" s="48"/>
      <c r="K2453" s="49"/>
      <c r="L2453" s="50"/>
      <c r="M2453" s="43" t="str">
        <f aca="false">IF(OR($L2453="",$F2453=""),"",IFERROR($L2453/INDEX(Cadastro!$E$6:$E$8,MATCH($F2453,Cadastro!$B$6:$B$8,0)),""))</f>
        <v/>
      </c>
      <c r="N2453" s="43" t="str">
        <f aca="false">IF(OR($L2453="",$I2453="",$I2453=0),"",$L2453/$I2453)</f>
        <v/>
      </c>
      <c r="O2453" s="51"/>
    </row>
    <row r="2454" customFormat="false" ht="15" hidden="false" customHeight="false" outlineLevel="0" collapsed="false">
      <c r="A2454" s="45"/>
      <c r="B2454" s="37" t="str">
        <f aca="false">IF($A2454="","",WEEKNUM($A2454,2))</f>
        <v/>
      </c>
      <c r="C2454" s="37" t="str">
        <f aca="false">IF($A2454="","",CHOOSE(WEEKDAY($A2454,2),"Seg","Ter","Qua","Qui","Sex","Sáb","Dom"))</f>
        <v/>
      </c>
      <c r="D2454" s="46"/>
      <c r="E2454" s="47"/>
      <c r="F2454" s="47"/>
      <c r="G2454" s="48"/>
      <c r="H2454" s="49"/>
      <c r="I2454" s="50"/>
      <c r="J2454" s="48"/>
      <c r="K2454" s="49"/>
      <c r="L2454" s="50"/>
      <c r="M2454" s="43" t="str">
        <f aca="false">IF(OR($L2454="",$F2454=""),"",IFERROR($L2454/INDEX(Cadastro!$E$6:$E$8,MATCH($F2454,Cadastro!$B$6:$B$8,0)),""))</f>
        <v/>
      </c>
      <c r="N2454" s="43" t="str">
        <f aca="false">IF(OR($L2454="",$I2454="",$I2454=0),"",$L2454/$I2454)</f>
        <v/>
      </c>
      <c r="O2454" s="51"/>
    </row>
    <row r="2455" customFormat="false" ht="15" hidden="false" customHeight="false" outlineLevel="0" collapsed="false">
      <c r="A2455" s="45"/>
      <c r="B2455" s="37" t="str">
        <f aca="false">IF($A2455="","",WEEKNUM($A2455,2))</f>
        <v/>
      </c>
      <c r="C2455" s="37" t="str">
        <f aca="false">IF($A2455="","",CHOOSE(WEEKDAY($A2455,2),"Seg","Ter","Qua","Qui","Sex","Sáb","Dom"))</f>
        <v/>
      </c>
      <c r="D2455" s="46"/>
      <c r="E2455" s="47"/>
      <c r="F2455" s="47"/>
      <c r="G2455" s="48"/>
      <c r="H2455" s="49"/>
      <c r="I2455" s="50"/>
      <c r="J2455" s="48"/>
      <c r="K2455" s="49"/>
      <c r="L2455" s="50"/>
      <c r="M2455" s="43" t="str">
        <f aca="false">IF(OR($L2455="",$F2455=""),"",IFERROR($L2455/INDEX(Cadastro!$E$6:$E$8,MATCH($F2455,Cadastro!$B$6:$B$8,0)),""))</f>
        <v/>
      </c>
      <c r="N2455" s="43" t="str">
        <f aca="false">IF(OR($L2455="",$I2455="",$I2455=0),"",$L2455/$I2455)</f>
        <v/>
      </c>
      <c r="O2455" s="51"/>
    </row>
    <row r="2456" customFormat="false" ht="15" hidden="false" customHeight="false" outlineLevel="0" collapsed="false">
      <c r="A2456" s="45"/>
      <c r="B2456" s="37" t="str">
        <f aca="false">IF($A2456="","",WEEKNUM($A2456,2))</f>
        <v/>
      </c>
      <c r="C2456" s="37" t="str">
        <f aca="false">IF($A2456="","",CHOOSE(WEEKDAY($A2456,2),"Seg","Ter","Qua","Qui","Sex","Sáb","Dom"))</f>
        <v/>
      </c>
      <c r="D2456" s="46"/>
      <c r="E2456" s="47"/>
      <c r="F2456" s="47"/>
      <c r="G2456" s="48"/>
      <c r="H2456" s="49"/>
      <c r="I2456" s="50"/>
      <c r="J2456" s="48"/>
      <c r="K2456" s="49"/>
      <c r="L2456" s="50"/>
      <c r="M2456" s="43" t="str">
        <f aca="false">IF(OR($L2456="",$F2456=""),"",IFERROR($L2456/INDEX(Cadastro!$E$6:$E$8,MATCH($F2456,Cadastro!$B$6:$B$8,0)),""))</f>
        <v/>
      </c>
      <c r="N2456" s="43" t="str">
        <f aca="false">IF(OR($L2456="",$I2456="",$I2456=0),"",$L2456/$I2456)</f>
        <v/>
      </c>
      <c r="O2456" s="51"/>
    </row>
    <row r="2457" customFormat="false" ht="15" hidden="false" customHeight="false" outlineLevel="0" collapsed="false">
      <c r="A2457" s="45"/>
      <c r="B2457" s="37" t="str">
        <f aca="false">IF($A2457="","",WEEKNUM($A2457,2))</f>
        <v/>
      </c>
      <c r="C2457" s="37" t="str">
        <f aca="false">IF($A2457="","",CHOOSE(WEEKDAY($A2457,2),"Seg","Ter","Qua","Qui","Sex","Sáb","Dom"))</f>
        <v/>
      </c>
      <c r="D2457" s="46"/>
      <c r="E2457" s="47"/>
      <c r="F2457" s="47"/>
      <c r="G2457" s="48"/>
      <c r="H2457" s="49"/>
      <c r="I2457" s="50"/>
      <c r="J2457" s="48"/>
      <c r="K2457" s="49"/>
      <c r="L2457" s="50"/>
      <c r="M2457" s="43" t="str">
        <f aca="false">IF(OR($L2457="",$F2457=""),"",IFERROR($L2457/INDEX(Cadastro!$E$6:$E$8,MATCH($F2457,Cadastro!$B$6:$B$8,0)),""))</f>
        <v/>
      </c>
      <c r="N2457" s="43" t="str">
        <f aca="false">IF(OR($L2457="",$I2457="",$I2457=0),"",$L2457/$I2457)</f>
        <v/>
      </c>
      <c r="O2457" s="51"/>
    </row>
    <row r="2458" customFormat="false" ht="15" hidden="false" customHeight="false" outlineLevel="0" collapsed="false">
      <c r="A2458" s="45"/>
      <c r="B2458" s="37" t="str">
        <f aca="false">IF($A2458="","",WEEKNUM($A2458,2))</f>
        <v/>
      </c>
      <c r="C2458" s="37" t="str">
        <f aca="false">IF($A2458="","",CHOOSE(WEEKDAY($A2458,2),"Seg","Ter","Qua","Qui","Sex","Sáb","Dom"))</f>
        <v/>
      </c>
      <c r="D2458" s="46"/>
      <c r="E2458" s="47"/>
      <c r="F2458" s="47"/>
      <c r="G2458" s="48"/>
      <c r="H2458" s="49"/>
      <c r="I2458" s="50"/>
      <c r="J2458" s="48"/>
      <c r="K2458" s="49"/>
      <c r="L2458" s="50"/>
      <c r="M2458" s="43" t="str">
        <f aca="false">IF(OR($L2458="",$F2458=""),"",IFERROR($L2458/INDEX(Cadastro!$E$6:$E$8,MATCH($F2458,Cadastro!$B$6:$B$8,0)),""))</f>
        <v/>
      </c>
      <c r="N2458" s="43" t="str">
        <f aca="false">IF(OR($L2458="",$I2458="",$I2458=0),"",$L2458/$I2458)</f>
        <v/>
      </c>
      <c r="O2458" s="51"/>
    </row>
    <row r="2459" customFormat="false" ht="15" hidden="false" customHeight="false" outlineLevel="0" collapsed="false">
      <c r="A2459" s="45"/>
      <c r="B2459" s="37" t="str">
        <f aca="false">IF($A2459="","",WEEKNUM($A2459,2))</f>
        <v/>
      </c>
      <c r="C2459" s="37" t="str">
        <f aca="false">IF($A2459="","",CHOOSE(WEEKDAY($A2459,2),"Seg","Ter","Qua","Qui","Sex","Sáb","Dom"))</f>
        <v/>
      </c>
      <c r="D2459" s="46"/>
      <c r="E2459" s="47"/>
      <c r="F2459" s="47"/>
      <c r="G2459" s="48"/>
      <c r="H2459" s="49"/>
      <c r="I2459" s="50"/>
      <c r="J2459" s="48"/>
      <c r="K2459" s="49"/>
      <c r="L2459" s="50"/>
      <c r="M2459" s="43" t="str">
        <f aca="false">IF(OR($L2459="",$F2459=""),"",IFERROR($L2459/INDEX(Cadastro!$E$6:$E$8,MATCH($F2459,Cadastro!$B$6:$B$8,0)),""))</f>
        <v/>
      </c>
      <c r="N2459" s="43" t="str">
        <f aca="false">IF(OR($L2459="",$I2459="",$I2459=0),"",$L2459/$I2459)</f>
        <v/>
      </c>
      <c r="O2459" s="51"/>
    </row>
    <row r="2460" customFormat="false" ht="15" hidden="false" customHeight="false" outlineLevel="0" collapsed="false">
      <c r="A2460" s="45"/>
      <c r="B2460" s="37" t="str">
        <f aca="false">IF($A2460="","",WEEKNUM($A2460,2))</f>
        <v/>
      </c>
      <c r="C2460" s="37" t="str">
        <f aca="false">IF($A2460="","",CHOOSE(WEEKDAY($A2460,2),"Seg","Ter","Qua","Qui","Sex","Sáb","Dom"))</f>
        <v/>
      </c>
      <c r="D2460" s="46"/>
      <c r="E2460" s="47"/>
      <c r="F2460" s="47"/>
      <c r="G2460" s="48"/>
      <c r="H2460" s="49"/>
      <c r="I2460" s="50"/>
      <c r="J2460" s="48"/>
      <c r="K2460" s="49"/>
      <c r="L2460" s="50"/>
      <c r="M2460" s="43" t="str">
        <f aca="false">IF(OR($L2460="",$F2460=""),"",IFERROR($L2460/INDEX(Cadastro!$E$6:$E$8,MATCH($F2460,Cadastro!$B$6:$B$8,0)),""))</f>
        <v/>
      </c>
      <c r="N2460" s="43" t="str">
        <f aca="false">IF(OR($L2460="",$I2460="",$I2460=0),"",$L2460/$I2460)</f>
        <v/>
      </c>
      <c r="O2460" s="51"/>
    </row>
    <row r="2461" customFormat="false" ht="15" hidden="false" customHeight="false" outlineLevel="0" collapsed="false">
      <c r="A2461" s="45"/>
      <c r="B2461" s="37" t="str">
        <f aca="false">IF($A2461="","",WEEKNUM($A2461,2))</f>
        <v/>
      </c>
      <c r="C2461" s="37" t="str">
        <f aca="false">IF($A2461="","",CHOOSE(WEEKDAY($A2461,2),"Seg","Ter","Qua","Qui","Sex","Sáb","Dom"))</f>
        <v/>
      </c>
      <c r="D2461" s="46"/>
      <c r="E2461" s="47"/>
      <c r="F2461" s="47"/>
      <c r="G2461" s="48"/>
      <c r="H2461" s="49"/>
      <c r="I2461" s="50"/>
      <c r="J2461" s="48"/>
      <c r="K2461" s="49"/>
      <c r="L2461" s="50"/>
      <c r="M2461" s="43" t="str">
        <f aca="false">IF(OR($L2461="",$F2461=""),"",IFERROR($L2461/INDEX(Cadastro!$E$6:$E$8,MATCH($F2461,Cadastro!$B$6:$B$8,0)),""))</f>
        <v/>
      </c>
      <c r="N2461" s="43" t="str">
        <f aca="false">IF(OR($L2461="",$I2461="",$I2461=0),"",$L2461/$I2461)</f>
        <v/>
      </c>
      <c r="O2461" s="51"/>
    </row>
    <row r="2462" customFormat="false" ht="15" hidden="false" customHeight="false" outlineLevel="0" collapsed="false">
      <c r="A2462" s="45"/>
      <c r="B2462" s="37" t="str">
        <f aca="false">IF($A2462="","",WEEKNUM($A2462,2))</f>
        <v/>
      </c>
      <c r="C2462" s="37" t="str">
        <f aca="false">IF($A2462="","",CHOOSE(WEEKDAY($A2462,2),"Seg","Ter","Qua","Qui","Sex","Sáb","Dom"))</f>
        <v/>
      </c>
      <c r="D2462" s="46"/>
      <c r="E2462" s="47"/>
      <c r="F2462" s="47"/>
      <c r="G2462" s="48"/>
      <c r="H2462" s="49"/>
      <c r="I2462" s="50"/>
      <c r="J2462" s="48"/>
      <c r="K2462" s="49"/>
      <c r="L2462" s="50"/>
      <c r="M2462" s="43" t="str">
        <f aca="false">IF(OR($L2462="",$F2462=""),"",IFERROR($L2462/INDEX(Cadastro!$E$6:$E$8,MATCH($F2462,Cadastro!$B$6:$B$8,0)),""))</f>
        <v/>
      </c>
      <c r="N2462" s="43" t="str">
        <f aca="false">IF(OR($L2462="",$I2462="",$I2462=0),"",$L2462/$I2462)</f>
        <v/>
      </c>
      <c r="O2462" s="51"/>
    </row>
    <row r="2463" customFormat="false" ht="15" hidden="false" customHeight="false" outlineLevel="0" collapsed="false">
      <c r="A2463" s="45"/>
      <c r="B2463" s="37" t="str">
        <f aca="false">IF($A2463="","",WEEKNUM($A2463,2))</f>
        <v/>
      </c>
      <c r="C2463" s="37" t="str">
        <f aca="false">IF($A2463="","",CHOOSE(WEEKDAY($A2463,2),"Seg","Ter","Qua","Qui","Sex","Sáb","Dom"))</f>
        <v/>
      </c>
      <c r="D2463" s="46"/>
      <c r="E2463" s="47"/>
      <c r="F2463" s="47"/>
      <c r="G2463" s="48"/>
      <c r="H2463" s="49"/>
      <c r="I2463" s="50"/>
      <c r="J2463" s="48"/>
      <c r="K2463" s="49"/>
      <c r="L2463" s="50"/>
      <c r="M2463" s="43" t="str">
        <f aca="false">IF(OR($L2463="",$F2463=""),"",IFERROR($L2463/INDEX(Cadastro!$E$6:$E$8,MATCH($F2463,Cadastro!$B$6:$B$8,0)),""))</f>
        <v/>
      </c>
      <c r="N2463" s="43" t="str">
        <f aca="false">IF(OR($L2463="",$I2463="",$I2463=0),"",$L2463/$I2463)</f>
        <v/>
      </c>
      <c r="O2463" s="51"/>
    </row>
    <row r="2464" customFormat="false" ht="15" hidden="false" customHeight="false" outlineLevel="0" collapsed="false">
      <c r="A2464" s="45"/>
      <c r="B2464" s="37" t="str">
        <f aca="false">IF($A2464="","",WEEKNUM($A2464,2))</f>
        <v/>
      </c>
      <c r="C2464" s="37" t="str">
        <f aca="false">IF($A2464="","",CHOOSE(WEEKDAY($A2464,2),"Seg","Ter","Qua","Qui","Sex","Sáb","Dom"))</f>
        <v/>
      </c>
      <c r="D2464" s="46"/>
      <c r="E2464" s="47"/>
      <c r="F2464" s="47"/>
      <c r="G2464" s="48"/>
      <c r="H2464" s="49"/>
      <c r="I2464" s="50"/>
      <c r="J2464" s="48"/>
      <c r="K2464" s="49"/>
      <c r="L2464" s="50"/>
      <c r="M2464" s="43" t="str">
        <f aca="false">IF(OR($L2464="",$F2464=""),"",IFERROR($L2464/INDEX(Cadastro!$E$6:$E$8,MATCH($F2464,Cadastro!$B$6:$B$8,0)),""))</f>
        <v/>
      </c>
      <c r="N2464" s="43" t="str">
        <f aca="false">IF(OR($L2464="",$I2464="",$I2464=0),"",$L2464/$I2464)</f>
        <v/>
      </c>
      <c r="O2464" s="51"/>
    </row>
    <row r="2465" customFormat="false" ht="15" hidden="false" customHeight="false" outlineLevel="0" collapsed="false">
      <c r="A2465" s="45"/>
      <c r="B2465" s="37" t="str">
        <f aca="false">IF($A2465="","",WEEKNUM($A2465,2))</f>
        <v/>
      </c>
      <c r="C2465" s="37" t="str">
        <f aca="false">IF($A2465="","",CHOOSE(WEEKDAY($A2465,2),"Seg","Ter","Qua","Qui","Sex","Sáb","Dom"))</f>
        <v/>
      </c>
      <c r="D2465" s="46"/>
      <c r="E2465" s="47"/>
      <c r="F2465" s="47"/>
      <c r="G2465" s="48"/>
      <c r="H2465" s="49"/>
      <c r="I2465" s="50"/>
      <c r="J2465" s="48"/>
      <c r="K2465" s="49"/>
      <c r="L2465" s="50"/>
      <c r="M2465" s="43" t="str">
        <f aca="false">IF(OR($L2465="",$F2465=""),"",IFERROR($L2465/INDEX(Cadastro!$E$6:$E$8,MATCH($F2465,Cadastro!$B$6:$B$8,0)),""))</f>
        <v/>
      </c>
      <c r="N2465" s="43" t="str">
        <f aca="false">IF(OR($L2465="",$I2465="",$I2465=0),"",$L2465/$I2465)</f>
        <v/>
      </c>
      <c r="O2465" s="51"/>
    </row>
    <row r="2466" customFormat="false" ht="15" hidden="false" customHeight="false" outlineLevel="0" collapsed="false">
      <c r="A2466" s="45"/>
      <c r="B2466" s="37" t="str">
        <f aca="false">IF($A2466="","",WEEKNUM($A2466,2))</f>
        <v/>
      </c>
      <c r="C2466" s="37" t="str">
        <f aca="false">IF($A2466="","",CHOOSE(WEEKDAY($A2466,2),"Seg","Ter","Qua","Qui","Sex","Sáb","Dom"))</f>
        <v/>
      </c>
      <c r="D2466" s="46"/>
      <c r="E2466" s="47"/>
      <c r="F2466" s="47"/>
      <c r="G2466" s="48"/>
      <c r="H2466" s="49"/>
      <c r="I2466" s="50"/>
      <c r="J2466" s="48"/>
      <c r="K2466" s="49"/>
      <c r="L2466" s="50"/>
      <c r="M2466" s="43" t="str">
        <f aca="false">IF(OR($L2466="",$F2466=""),"",IFERROR($L2466/INDEX(Cadastro!$E$6:$E$8,MATCH($F2466,Cadastro!$B$6:$B$8,0)),""))</f>
        <v/>
      </c>
      <c r="N2466" s="43" t="str">
        <f aca="false">IF(OR($L2466="",$I2466="",$I2466=0),"",$L2466/$I2466)</f>
        <v/>
      </c>
      <c r="O2466" s="51"/>
    </row>
    <row r="2467" customFormat="false" ht="15" hidden="false" customHeight="false" outlineLevel="0" collapsed="false">
      <c r="A2467" s="45"/>
      <c r="B2467" s="37" t="str">
        <f aca="false">IF($A2467="","",WEEKNUM($A2467,2))</f>
        <v/>
      </c>
      <c r="C2467" s="37" t="str">
        <f aca="false">IF($A2467="","",CHOOSE(WEEKDAY($A2467,2),"Seg","Ter","Qua","Qui","Sex","Sáb","Dom"))</f>
        <v/>
      </c>
      <c r="D2467" s="46"/>
      <c r="E2467" s="47"/>
      <c r="F2467" s="47"/>
      <c r="G2467" s="48"/>
      <c r="H2467" s="49"/>
      <c r="I2467" s="50"/>
      <c r="J2467" s="48"/>
      <c r="K2467" s="49"/>
      <c r="L2467" s="50"/>
      <c r="M2467" s="43" t="str">
        <f aca="false">IF(OR($L2467="",$F2467=""),"",IFERROR($L2467/INDEX(Cadastro!$E$6:$E$8,MATCH($F2467,Cadastro!$B$6:$B$8,0)),""))</f>
        <v/>
      </c>
      <c r="N2467" s="43" t="str">
        <f aca="false">IF(OR($L2467="",$I2467="",$I2467=0),"",$L2467/$I2467)</f>
        <v/>
      </c>
      <c r="O2467" s="51"/>
    </row>
    <row r="2468" customFormat="false" ht="15" hidden="false" customHeight="false" outlineLevel="0" collapsed="false">
      <c r="A2468" s="45"/>
      <c r="B2468" s="37" t="str">
        <f aca="false">IF($A2468="","",WEEKNUM($A2468,2))</f>
        <v/>
      </c>
      <c r="C2468" s="37" t="str">
        <f aca="false">IF($A2468="","",CHOOSE(WEEKDAY($A2468,2),"Seg","Ter","Qua","Qui","Sex","Sáb","Dom"))</f>
        <v/>
      </c>
      <c r="D2468" s="46"/>
      <c r="E2468" s="47"/>
      <c r="F2468" s="47"/>
      <c r="G2468" s="48"/>
      <c r="H2468" s="49"/>
      <c r="I2468" s="50"/>
      <c r="J2468" s="48"/>
      <c r="K2468" s="49"/>
      <c r="L2468" s="50"/>
      <c r="M2468" s="43" t="str">
        <f aca="false">IF(OR($L2468="",$F2468=""),"",IFERROR($L2468/INDEX(Cadastro!$E$6:$E$8,MATCH($F2468,Cadastro!$B$6:$B$8,0)),""))</f>
        <v/>
      </c>
      <c r="N2468" s="43" t="str">
        <f aca="false">IF(OR($L2468="",$I2468="",$I2468=0),"",$L2468/$I2468)</f>
        <v/>
      </c>
      <c r="O2468" s="51"/>
    </row>
    <row r="2469" customFormat="false" ht="15" hidden="false" customHeight="false" outlineLevel="0" collapsed="false">
      <c r="A2469" s="45"/>
      <c r="B2469" s="37" t="str">
        <f aca="false">IF($A2469="","",WEEKNUM($A2469,2))</f>
        <v/>
      </c>
      <c r="C2469" s="37" t="str">
        <f aca="false">IF($A2469="","",CHOOSE(WEEKDAY($A2469,2),"Seg","Ter","Qua","Qui","Sex","Sáb","Dom"))</f>
        <v/>
      </c>
      <c r="D2469" s="46"/>
      <c r="E2469" s="47"/>
      <c r="F2469" s="47"/>
      <c r="G2469" s="48"/>
      <c r="H2469" s="49"/>
      <c r="I2469" s="50"/>
      <c r="J2469" s="48"/>
      <c r="K2469" s="49"/>
      <c r="L2469" s="50"/>
      <c r="M2469" s="43" t="str">
        <f aca="false">IF(OR($L2469="",$F2469=""),"",IFERROR($L2469/INDEX(Cadastro!$E$6:$E$8,MATCH($F2469,Cadastro!$B$6:$B$8,0)),""))</f>
        <v/>
      </c>
      <c r="N2469" s="43" t="str">
        <f aca="false">IF(OR($L2469="",$I2469="",$I2469=0),"",$L2469/$I2469)</f>
        <v/>
      </c>
      <c r="O2469" s="51"/>
    </row>
    <row r="2470" customFormat="false" ht="15" hidden="false" customHeight="false" outlineLevel="0" collapsed="false">
      <c r="A2470" s="45"/>
      <c r="B2470" s="37" t="str">
        <f aca="false">IF($A2470="","",WEEKNUM($A2470,2))</f>
        <v/>
      </c>
      <c r="C2470" s="37" t="str">
        <f aca="false">IF($A2470="","",CHOOSE(WEEKDAY($A2470,2),"Seg","Ter","Qua","Qui","Sex","Sáb","Dom"))</f>
        <v/>
      </c>
      <c r="D2470" s="46"/>
      <c r="E2470" s="47"/>
      <c r="F2470" s="47"/>
      <c r="G2470" s="48"/>
      <c r="H2470" s="49"/>
      <c r="I2470" s="50"/>
      <c r="J2470" s="48"/>
      <c r="K2470" s="49"/>
      <c r="L2470" s="50"/>
      <c r="M2470" s="43" t="str">
        <f aca="false">IF(OR($L2470="",$F2470=""),"",IFERROR($L2470/INDEX(Cadastro!$E$6:$E$8,MATCH($F2470,Cadastro!$B$6:$B$8,0)),""))</f>
        <v/>
      </c>
      <c r="N2470" s="43" t="str">
        <f aca="false">IF(OR($L2470="",$I2470="",$I2470=0),"",$L2470/$I2470)</f>
        <v/>
      </c>
      <c r="O2470" s="51"/>
    </row>
    <row r="2471" customFormat="false" ht="15" hidden="false" customHeight="false" outlineLevel="0" collapsed="false">
      <c r="A2471" s="45"/>
      <c r="B2471" s="37" t="str">
        <f aca="false">IF($A2471="","",WEEKNUM($A2471,2))</f>
        <v/>
      </c>
      <c r="C2471" s="37" t="str">
        <f aca="false">IF($A2471="","",CHOOSE(WEEKDAY($A2471,2),"Seg","Ter","Qua","Qui","Sex","Sáb","Dom"))</f>
        <v/>
      </c>
      <c r="D2471" s="46"/>
      <c r="E2471" s="47"/>
      <c r="F2471" s="47"/>
      <c r="G2471" s="48"/>
      <c r="H2471" s="49"/>
      <c r="I2471" s="50"/>
      <c r="J2471" s="48"/>
      <c r="K2471" s="49"/>
      <c r="L2471" s="50"/>
      <c r="M2471" s="43" t="str">
        <f aca="false">IF(OR($L2471="",$F2471=""),"",IFERROR($L2471/INDEX(Cadastro!$E$6:$E$8,MATCH($F2471,Cadastro!$B$6:$B$8,0)),""))</f>
        <v/>
      </c>
      <c r="N2471" s="43" t="str">
        <f aca="false">IF(OR($L2471="",$I2471="",$I2471=0),"",$L2471/$I2471)</f>
        <v/>
      </c>
      <c r="O2471" s="51"/>
    </row>
    <row r="2472" customFormat="false" ht="15" hidden="false" customHeight="false" outlineLevel="0" collapsed="false">
      <c r="A2472" s="45"/>
      <c r="B2472" s="37" t="str">
        <f aca="false">IF($A2472="","",WEEKNUM($A2472,2))</f>
        <v/>
      </c>
      <c r="C2472" s="37" t="str">
        <f aca="false">IF($A2472="","",CHOOSE(WEEKDAY($A2472,2),"Seg","Ter","Qua","Qui","Sex","Sáb","Dom"))</f>
        <v/>
      </c>
      <c r="D2472" s="46"/>
      <c r="E2472" s="47"/>
      <c r="F2472" s="47"/>
      <c r="G2472" s="48"/>
      <c r="H2472" s="49"/>
      <c r="I2472" s="50"/>
      <c r="J2472" s="48"/>
      <c r="K2472" s="49"/>
      <c r="L2472" s="50"/>
      <c r="M2472" s="43" t="str">
        <f aca="false">IF(OR($L2472="",$F2472=""),"",IFERROR($L2472/INDEX(Cadastro!$E$6:$E$8,MATCH($F2472,Cadastro!$B$6:$B$8,0)),""))</f>
        <v/>
      </c>
      <c r="N2472" s="43" t="str">
        <f aca="false">IF(OR($L2472="",$I2472="",$I2472=0),"",$L2472/$I2472)</f>
        <v/>
      </c>
      <c r="O2472" s="51"/>
    </row>
    <row r="2473" customFormat="false" ht="15" hidden="false" customHeight="false" outlineLevel="0" collapsed="false">
      <c r="A2473" s="45"/>
      <c r="B2473" s="37" t="str">
        <f aca="false">IF($A2473="","",WEEKNUM($A2473,2))</f>
        <v/>
      </c>
      <c r="C2473" s="37" t="str">
        <f aca="false">IF($A2473="","",CHOOSE(WEEKDAY($A2473,2),"Seg","Ter","Qua","Qui","Sex","Sáb","Dom"))</f>
        <v/>
      </c>
      <c r="D2473" s="46"/>
      <c r="E2473" s="47"/>
      <c r="F2473" s="47"/>
      <c r="G2473" s="48"/>
      <c r="H2473" s="49"/>
      <c r="I2473" s="50"/>
      <c r="J2473" s="48"/>
      <c r="K2473" s="49"/>
      <c r="L2473" s="50"/>
      <c r="M2473" s="43" t="str">
        <f aca="false">IF(OR($L2473="",$F2473=""),"",IFERROR($L2473/INDEX(Cadastro!$E$6:$E$8,MATCH($F2473,Cadastro!$B$6:$B$8,0)),""))</f>
        <v/>
      </c>
      <c r="N2473" s="43" t="str">
        <f aca="false">IF(OR($L2473="",$I2473="",$I2473=0),"",$L2473/$I2473)</f>
        <v/>
      </c>
      <c r="O2473" s="51"/>
    </row>
    <row r="2474" customFormat="false" ht="15" hidden="false" customHeight="false" outlineLevel="0" collapsed="false">
      <c r="A2474" s="45"/>
      <c r="B2474" s="37" t="str">
        <f aca="false">IF($A2474="","",WEEKNUM($A2474,2))</f>
        <v/>
      </c>
      <c r="C2474" s="37" t="str">
        <f aca="false">IF($A2474="","",CHOOSE(WEEKDAY($A2474,2),"Seg","Ter","Qua","Qui","Sex","Sáb","Dom"))</f>
        <v/>
      </c>
      <c r="D2474" s="46"/>
      <c r="E2474" s="47"/>
      <c r="F2474" s="47"/>
      <c r="G2474" s="48"/>
      <c r="H2474" s="49"/>
      <c r="I2474" s="50"/>
      <c r="J2474" s="48"/>
      <c r="K2474" s="49"/>
      <c r="L2474" s="50"/>
      <c r="M2474" s="43" t="str">
        <f aca="false">IF(OR($L2474="",$F2474=""),"",IFERROR($L2474/INDEX(Cadastro!$E$6:$E$8,MATCH($F2474,Cadastro!$B$6:$B$8,0)),""))</f>
        <v/>
      </c>
      <c r="N2474" s="43" t="str">
        <f aca="false">IF(OR($L2474="",$I2474="",$I2474=0),"",$L2474/$I2474)</f>
        <v/>
      </c>
      <c r="O2474" s="51"/>
    </row>
    <row r="2475" customFormat="false" ht="15" hidden="false" customHeight="false" outlineLevel="0" collapsed="false">
      <c r="A2475" s="45"/>
      <c r="B2475" s="37" t="str">
        <f aca="false">IF($A2475="","",WEEKNUM($A2475,2))</f>
        <v/>
      </c>
      <c r="C2475" s="37" t="str">
        <f aca="false">IF($A2475="","",CHOOSE(WEEKDAY($A2475,2),"Seg","Ter","Qua","Qui","Sex","Sáb","Dom"))</f>
        <v/>
      </c>
      <c r="D2475" s="46"/>
      <c r="E2475" s="47"/>
      <c r="F2475" s="47"/>
      <c r="G2475" s="48"/>
      <c r="H2475" s="49"/>
      <c r="I2475" s="50"/>
      <c r="J2475" s="48"/>
      <c r="K2475" s="49"/>
      <c r="L2475" s="50"/>
      <c r="M2475" s="43" t="str">
        <f aca="false">IF(OR($L2475="",$F2475=""),"",IFERROR($L2475/INDEX(Cadastro!$E$6:$E$8,MATCH($F2475,Cadastro!$B$6:$B$8,0)),""))</f>
        <v/>
      </c>
      <c r="N2475" s="43" t="str">
        <f aca="false">IF(OR($L2475="",$I2475="",$I2475=0),"",$L2475/$I2475)</f>
        <v/>
      </c>
      <c r="O2475" s="51"/>
    </row>
    <row r="2476" customFormat="false" ht="15" hidden="false" customHeight="false" outlineLevel="0" collapsed="false">
      <c r="A2476" s="45"/>
      <c r="B2476" s="37" t="str">
        <f aca="false">IF($A2476="","",WEEKNUM($A2476,2))</f>
        <v/>
      </c>
      <c r="C2476" s="37" t="str">
        <f aca="false">IF($A2476="","",CHOOSE(WEEKDAY($A2476,2),"Seg","Ter","Qua","Qui","Sex","Sáb","Dom"))</f>
        <v/>
      </c>
      <c r="D2476" s="46"/>
      <c r="E2476" s="47"/>
      <c r="F2476" s="47"/>
      <c r="G2476" s="48"/>
      <c r="H2476" s="49"/>
      <c r="I2476" s="50"/>
      <c r="J2476" s="48"/>
      <c r="K2476" s="49"/>
      <c r="L2476" s="50"/>
      <c r="M2476" s="43" t="str">
        <f aca="false">IF(OR($L2476="",$F2476=""),"",IFERROR($L2476/INDEX(Cadastro!$E$6:$E$8,MATCH($F2476,Cadastro!$B$6:$B$8,0)),""))</f>
        <v/>
      </c>
      <c r="N2476" s="43" t="str">
        <f aca="false">IF(OR($L2476="",$I2476="",$I2476=0),"",$L2476/$I2476)</f>
        <v/>
      </c>
      <c r="O2476" s="51"/>
    </row>
    <row r="2477" customFormat="false" ht="15" hidden="false" customHeight="false" outlineLevel="0" collapsed="false">
      <c r="A2477" s="45"/>
      <c r="B2477" s="37" t="str">
        <f aca="false">IF($A2477="","",WEEKNUM($A2477,2))</f>
        <v/>
      </c>
      <c r="C2477" s="37" t="str">
        <f aca="false">IF($A2477="","",CHOOSE(WEEKDAY($A2477,2),"Seg","Ter","Qua","Qui","Sex","Sáb","Dom"))</f>
        <v/>
      </c>
      <c r="D2477" s="46"/>
      <c r="E2477" s="47"/>
      <c r="F2477" s="47"/>
      <c r="G2477" s="48"/>
      <c r="H2477" s="49"/>
      <c r="I2477" s="50"/>
      <c r="J2477" s="48"/>
      <c r="K2477" s="49"/>
      <c r="L2477" s="50"/>
      <c r="M2477" s="43" t="str">
        <f aca="false">IF(OR($L2477="",$F2477=""),"",IFERROR($L2477/INDEX(Cadastro!$E$6:$E$8,MATCH($F2477,Cadastro!$B$6:$B$8,0)),""))</f>
        <v/>
      </c>
      <c r="N2477" s="43" t="str">
        <f aca="false">IF(OR($L2477="",$I2477="",$I2477=0),"",$L2477/$I2477)</f>
        <v/>
      </c>
      <c r="O2477" s="51"/>
    </row>
    <row r="2478" customFormat="false" ht="15" hidden="false" customHeight="false" outlineLevel="0" collapsed="false">
      <c r="A2478" s="45"/>
      <c r="B2478" s="37" t="str">
        <f aca="false">IF($A2478="","",WEEKNUM($A2478,2))</f>
        <v/>
      </c>
      <c r="C2478" s="37" t="str">
        <f aca="false">IF($A2478="","",CHOOSE(WEEKDAY($A2478,2),"Seg","Ter","Qua","Qui","Sex","Sáb","Dom"))</f>
        <v/>
      </c>
      <c r="D2478" s="46"/>
      <c r="E2478" s="47"/>
      <c r="F2478" s="47"/>
      <c r="G2478" s="48"/>
      <c r="H2478" s="49"/>
      <c r="I2478" s="50"/>
      <c r="J2478" s="48"/>
      <c r="K2478" s="49"/>
      <c r="L2478" s="50"/>
      <c r="M2478" s="43" t="str">
        <f aca="false">IF(OR($L2478="",$F2478=""),"",IFERROR($L2478/INDEX(Cadastro!$E$6:$E$8,MATCH($F2478,Cadastro!$B$6:$B$8,0)),""))</f>
        <v/>
      </c>
      <c r="N2478" s="43" t="str">
        <f aca="false">IF(OR($L2478="",$I2478="",$I2478=0),"",$L2478/$I2478)</f>
        <v/>
      </c>
      <c r="O2478" s="51"/>
    </row>
    <row r="2479" customFormat="false" ht="15" hidden="false" customHeight="false" outlineLevel="0" collapsed="false">
      <c r="A2479" s="45"/>
      <c r="B2479" s="37" t="str">
        <f aca="false">IF($A2479="","",WEEKNUM($A2479,2))</f>
        <v/>
      </c>
      <c r="C2479" s="37" t="str">
        <f aca="false">IF($A2479="","",CHOOSE(WEEKDAY($A2479,2),"Seg","Ter","Qua","Qui","Sex","Sáb","Dom"))</f>
        <v/>
      </c>
      <c r="D2479" s="46"/>
      <c r="E2479" s="47"/>
      <c r="F2479" s="47"/>
      <c r="G2479" s="48"/>
      <c r="H2479" s="49"/>
      <c r="I2479" s="50"/>
      <c r="J2479" s="48"/>
      <c r="K2479" s="49"/>
      <c r="L2479" s="50"/>
      <c r="M2479" s="43" t="str">
        <f aca="false">IF(OR($L2479="",$F2479=""),"",IFERROR($L2479/INDEX(Cadastro!$E$6:$E$8,MATCH($F2479,Cadastro!$B$6:$B$8,0)),""))</f>
        <v/>
      </c>
      <c r="N2479" s="43" t="str">
        <f aca="false">IF(OR($L2479="",$I2479="",$I2479=0),"",$L2479/$I2479)</f>
        <v/>
      </c>
      <c r="O2479" s="51"/>
    </row>
    <row r="2480" customFormat="false" ht="15" hidden="false" customHeight="false" outlineLevel="0" collapsed="false">
      <c r="A2480" s="45"/>
      <c r="B2480" s="37" t="str">
        <f aca="false">IF($A2480="","",WEEKNUM($A2480,2))</f>
        <v/>
      </c>
      <c r="C2480" s="37" t="str">
        <f aca="false">IF($A2480="","",CHOOSE(WEEKDAY($A2480,2),"Seg","Ter","Qua","Qui","Sex","Sáb","Dom"))</f>
        <v/>
      </c>
      <c r="D2480" s="46"/>
      <c r="E2480" s="47"/>
      <c r="F2480" s="47"/>
      <c r="G2480" s="48"/>
      <c r="H2480" s="49"/>
      <c r="I2480" s="50"/>
      <c r="J2480" s="48"/>
      <c r="K2480" s="49"/>
      <c r="L2480" s="50"/>
      <c r="M2480" s="43" t="str">
        <f aca="false">IF(OR($L2480="",$F2480=""),"",IFERROR($L2480/INDEX(Cadastro!$E$6:$E$8,MATCH($F2480,Cadastro!$B$6:$B$8,0)),""))</f>
        <v/>
      </c>
      <c r="N2480" s="43" t="str">
        <f aca="false">IF(OR($L2480="",$I2480="",$I2480=0),"",$L2480/$I2480)</f>
        <v/>
      </c>
      <c r="O2480" s="51"/>
    </row>
    <row r="2481" customFormat="false" ht="15" hidden="false" customHeight="false" outlineLevel="0" collapsed="false">
      <c r="A2481" s="45"/>
      <c r="B2481" s="37" t="str">
        <f aca="false">IF($A2481="","",WEEKNUM($A2481,2))</f>
        <v/>
      </c>
      <c r="C2481" s="37" t="str">
        <f aca="false">IF($A2481="","",CHOOSE(WEEKDAY($A2481,2),"Seg","Ter","Qua","Qui","Sex","Sáb","Dom"))</f>
        <v/>
      </c>
      <c r="D2481" s="46"/>
      <c r="E2481" s="47"/>
      <c r="F2481" s="47"/>
      <c r="G2481" s="48"/>
      <c r="H2481" s="49"/>
      <c r="I2481" s="50"/>
      <c r="J2481" s="48"/>
      <c r="K2481" s="49"/>
      <c r="L2481" s="50"/>
      <c r="M2481" s="43" t="str">
        <f aca="false">IF(OR($L2481="",$F2481=""),"",IFERROR($L2481/INDEX(Cadastro!$E$6:$E$8,MATCH($F2481,Cadastro!$B$6:$B$8,0)),""))</f>
        <v/>
      </c>
      <c r="N2481" s="43" t="str">
        <f aca="false">IF(OR($L2481="",$I2481="",$I2481=0),"",$L2481/$I2481)</f>
        <v/>
      </c>
      <c r="O2481" s="51"/>
    </row>
    <row r="2482" customFormat="false" ht="15" hidden="false" customHeight="false" outlineLevel="0" collapsed="false">
      <c r="A2482" s="45"/>
      <c r="B2482" s="37" t="str">
        <f aca="false">IF($A2482="","",WEEKNUM($A2482,2))</f>
        <v/>
      </c>
      <c r="C2482" s="37" t="str">
        <f aca="false">IF($A2482="","",CHOOSE(WEEKDAY($A2482,2),"Seg","Ter","Qua","Qui","Sex","Sáb","Dom"))</f>
        <v/>
      </c>
      <c r="D2482" s="46"/>
      <c r="E2482" s="47"/>
      <c r="F2482" s="47"/>
      <c r="G2482" s="48"/>
      <c r="H2482" s="49"/>
      <c r="I2482" s="50"/>
      <c r="J2482" s="48"/>
      <c r="K2482" s="49"/>
      <c r="L2482" s="50"/>
      <c r="M2482" s="43" t="str">
        <f aca="false">IF(OR($L2482="",$F2482=""),"",IFERROR($L2482/INDEX(Cadastro!$E$6:$E$8,MATCH($F2482,Cadastro!$B$6:$B$8,0)),""))</f>
        <v/>
      </c>
      <c r="N2482" s="43" t="str">
        <f aca="false">IF(OR($L2482="",$I2482="",$I2482=0),"",$L2482/$I2482)</f>
        <v/>
      </c>
      <c r="O2482" s="51"/>
    </row>
    <row r="2483" customFormat="false" ht="15" hidden="false" customHeight="false" outlineLevel="0" collapsed="false">
      <c r="A2483" s="45"/>
      <c r="B2483" s="37" t="str">
        <f aca="false">IF($A2483="","",WEEKNUM($A2483,2))</f>
        <v/>
      </c>
      <c r="C2483" s="37" t="str">
        <f aca="false">IF($A2483="","",CHOOSE(WEEKDAY($A2483,2),"Seg","Ter","Qua","Qui","Sex","Sáb","Dom"))</f>
        <v/>
      </c>
      <c r="D2483" s="46"/>
      <c r="E2483" s="47"/>
      <c r="F2483" s="47"/>
      <c r="G2483" s="48"/>
      <c r="H2483" s="49"/>
      <c r="I2483" s="50"/>
      <c r="J2483" s="48"/>
      <c r="K2483" s="49"/>
      <c r="L2483" s="50"/>
      <c r="M2483" s="43" t="str">
        <f aca="false">IF(OR($L2483="",$F2483=""),"",IFERROR($L2483/INDEX(Cadastro!$E$6:$E$8,MATCH($F2483,Cadastro!$B$6:$B$8,0)),""))</f>
        <v/>
      </c>
      <c r="N2483" s="43" t="str">
        <f aca="false">IF(OR($L2483="",$I2483="",$I2483=0),"",$L2483/$I2483)</f>
        <v/>
      </c>
      <c r="O2483" s="51"/>
    </row>
    <row r="2484" customFormat="false" ht="15" hidden="false" customHeight="false" outlineLevel="0" collapsed="false">
      <c r="A2484" s="45"/>
      <c r="B2484" s="37" t="str">
        <f aca="false">IF($A2484="","",WEEKNUM($A2484,2))</f>
        <v/>
      </c>
      <c r="C2484" s="37" t="str">
        <f aca="false">IF($A2484="","",CHOOSE(WEEKDAY($A2484,2),"Seg","Ter","Qua","Qui","Sex","Sáb","Dom"))</f>
        <v/>
      </c>
      <c r="D2484" s="46"/>
      <c r="E2484" s="47"/>
      <c r="F2484" s="47"/>
      <c r="G2484" s="48"/>
      <c r="H2484" s="49"/>
      <c r="I2484" s="50"/>
      <c r="J2484" s="48"/>
      <c r="K2484" s="49"/>
      <c r="L2484" s="50"/>
      <c r="M2484" s="43" t="str">
        <f aca="false">IF(OR($L2484="",$F2484=""),"",IFERROR($L2484/INDEX(Cadastro!$E$6:$E$8,MATCH($F2484,Cadastro!$B$6:$B$8,0)),""))</f>
        <v/>
      </c>
      <c r="N2484" s="43" t="str">
        <f aca="false">IF(OR($L2484="",$I2484="",$I2484=0),"",$L2484/$I2484)</f>
        <v/>
      </c>
      <c r="O2484" s="51"/>
    </row>
    <row r="2485" customFormat="false" ht="15" hidden="false" customHeight="false" outlineLevel="0" collapsed="false">
      <c r="A2485" s="45"/>
      <c r="B2485" s="37" t="str">
        <f aca="false">IF($A2485="","",WEEKNUM($A2485,2))</f>
        <v/>
      </c>
      <c r="C2485" s="37" t="str">
        <f aca="false">IF($A2485="","",CHOOSE(WEEKDAY($A2485,2),"Seg","Ter","Qua","Qui","Sex","Sáb","Dom"))</f>
        <v/>
      </c>
      <c r="D2485" s="46"/>
      <c r="E2485" s="47"/>
      <c r="F2485" s="47"/>
      <c r="G2485" s="48"/>
      <c r="H2485" s="49"/>
      <c r="I2485" s="50"/>
      <c r="J2485" s="48"/>
      <c r="K2485" s="49"/>
      <c r="L2485" s="50"/>
      <c r="M2485" s="43" t="str">
        <f aca="false">IF(OR($L2485="",$F2485=""),"",IFERROR($L2485/INDEX(Cadastro!$E$6:$E$8,MATCH($F2485,Cadastro!$B$6:$B$8,0)),""))</f>
        <v/>
      </c>
      <c r="N2485" s="43" t="str">
        <f aca="false">IF(OR($L2485="",$I2485="",$I2485=0),"",$L2485/$I2485)</f>
        <v/>
      </c>
      <c r="O2485" s="51"/>
    </row>
    <row r="2486" customFormat="false" ht="15" hidden="false" customHeight="false" outlineLevel="0" collapsed="false">
      <c r="A2486" s="45"/>
      <c r="B2486" s="37" t="str">
        <f aca="false">IF($A2486="","",WEEKNUM($A2486,2))</f>
        <v/>
      </c>
      <c r="C2486" s="37" t="str">
        <f aca="false">IF($A2486="","",CHOOSE(WEEKDAY($A2486,2),"Seg","Ter","Qua","Qui","Sex","Sáb","Dom"))</f>
        <v/>
      </c>
      <c r="D2486" s="46"/>
      <c r="E2486" s="47"/>
      <c r="F2486" s="47"/>
      <c r="G2486" s="48"/>
      <c r="H2486" s="49"/>
      <c r="I2486" s="50"/>
      <c r="J2486" s="48"/>
      <c r="K2486" s="49"/>
      <c r="L2486" s="50"/>
      <c r="M2486" s="43" t="str">
        <f aca="false">IF(OR($L2486="",$F2486=""),"",IFERROR($L2486/INDEX(Cadastro!$E$6:$E$8,MATCH($F2486,Cadastro!$B$6:$B$8,0)),""))</f>
        <v/>
      </c>
      <c r="N2486" s="43" t="str">
        <f aca="false">IF(OR($L2486="",$I2486="",$I2486=0),"",$L2486/$I2486)</f>
        <v/>
      </c>
      <c r="O2486" s="51"/>
    </row>
    <row r="2487" customFormat="false" ht="15" hidden="false" customHeight="false" outlineLevel="0" collapsed="false">
      <c r="A2487" s="45"/>
      <c r="B2487" s="37" t="str">
        <f aca="false">IF($A2487="","",WEEKNUM($A2487,2))</f>
        <v/>
      </c>
      <c r="C2487" s="37" t="str">
        <f aca="false">IF($A2487="","",CHOOSE(WEEKDAY($A2487,2),"Seg","Ter","Qua","Qui","Sex","Sáb","Dom"))</f>
        <v/>
      </c>
      <c r="D2487" s="46"/>
      <c r="E2487" s="47"/>
      <c r="F2487" s="47"/>
      <c r="G2487" s="48"/>
      <c r="H2487" s="49"/>
      <c r="I2487" s="50"/>
      <c r="J2487" s="48"/>
      <c r="K2487" s="49"/>
      <c r="L2487" s="50"/>
      <c r="M2487" s="43" t="str">
        <f aca="false">IF(OR($L2487="",$F2487=""),"",IFERROR($L2487/INDEX(Cadastro!$E$6:$E$8,MATCH($F2487,Cadastro!$B$6:$B$8,0)),""))</f>
        <v/>
      </c>
      <c r="N2487" s="43" t="str">
        <f aca="false">IF(OR($L2487="",$I2487="",$I2487=0),"",$L2487/$I2487)</f>
        <v/>
      </c>
      <c r="O2487" s="51"/>
    </row>
    <row r="2488" customFormat="false" ht="15" hidden="false" customHeight="false" outlineLevel="0" collapsed="false">
      <c r="A2488" s="45"/>
      <c r="B2488" s="37" t="str">
        <f aca="false">IF($A2488="","",WEEKNUM($A2488,2))</f>
        <v/>
      </c>
      <c r="C2488" s="37" t="str">
        <f aca="false">IF($A2488="","",CHOOSE(WEEKDAY($A2488,2),"Seg","Ter","Qua","Qui","Sex","Sáb","Dom"))</f>
        <v/>
      </c>
      <c r="D2488" s="46"/>
      <c r="E2488" s="47"/>
      <c r="F2488" s="47"/>
      <c r="G2488" s="48"/>
      <c r="H2488" s="49"/>
      <c r="I2488" s="50"/>
      <c r="J2488" s="48"/>
      <c r="K2488" s="49"/>
      <c r="L2488" s="50"/>
      <c r="M2488" s="43" t="str">
        <f aca="false">IF(OR($L2488="",$F2488=""),"",IFERROR($L2488/INDEX(Cadastro!$E$6:$E$8,MATCH($F2488,Cadastro!$B$6:$B$8,0)),""))</f>
        <v/>
      </c>
      <c r="N2488" s="43" t="str">
        <f aca="false">IF(OR($L2488="",$I2488="",$I2488=0),"",$L2488/$I2488)</f>
        <v/>
      </c>
      <c r="O2488" s="51"/>
    </row>
    <row r="2489" customFormat="false" ht="15" hidden="false" customHeight="false" outlineLevel="0" collapsed="false">
      <c r="A2489" s="45"/>
      <c r="B2489" s="37" t="str">
        <f aca="false">IF($A2489="","",WEEKNUM($A2489,2))</f>
        <v/>
      </c>
      <c r="C2489" s="37" t="str">
        <f aca="false">IF($A2489="","",CHOOSE(WEEKDAY($A2489,2),"Seg","Ter","Qua","Qui","Sex","Sáb","Dom"))</f>
        <v/>
      </c>
      <c r="D2489" s="46"/>
      <c r="E2489" s="47"/>
      <c r="F2489" s="47"/>
      <c r="G2489" s="48"/>
      <c r="H2489" s="49"/>
      <c r="I2489" s="50"/>
      <c r="J2489" s="48"/>
      <c r="K2489" s="49"/>
      <c r="L2489" s="50"/>
      <c r="M2489" s="43" t="str">
        <f aca="false">IF(OR($L2489="",$F2489=""),"",IFERROR($L2489/INDEX(Cadastro!$E$6:$E$8,MATCH($F2489,Cadastro!$B$6:$B$8,0)),""))</f>
        <v/>
      </c>
      <c r="N2489" s="43" t="str">
        <f aca="false">IF(OR($L2489="",$I2489="",$I2489=0),"",$L2489/$I2489)</f>
        <v/>
      </c>
      <c r="O2489" s="51"/>
    </row>
    <row r="2490" customFormat="false" ht="15" hidden="false" customHeight="false" outlineLevel="0" collapsed="false">
      <c r="A2490" s="45"/>
      <c r="B2490" s="37" t="str">
        <f aca="false">IF($A2490="","",WEEKNUM($A2490,2))</f>
        <v/>
      </c>
      <c r="C2490" s="37" t="str">
        <f aca="false">IF($A2490="","",CHOOSE(WEEKDAY($A2490,2),"Seg","Ter","Qua","Qui","Sex","Sáb","Dom"))</f>
        <v/>
      </c>
      <c r="D2490" s="46"/>
      <c r="E2490" s="47"/>
      <c r="F2490" s="47"/>
      <c r="G2490" s="48"/>
      <c r="H2490" s="49"/>
      <c r="I2490" s="50"/>
      <c r="J2490" s="48"/>
      <c r="K2490" s="49"/>
      <c r="L2490" s="50"/>
      <c r="M2490" s="43" t="str">
        <f aca="false">IF(OR($L2490="",$F2490=""),"",IFERROR($L2490/INDEX(Cadastro!$E$6:$E$8,MATCH($F2490,Cadastro!$B$6:$B$8,0)),""))</f>
        <v/>
      </c>
      <c r="N2490" s="43" t="str">
        <f aca="false">IF(OR($L2490="",$I2490="",$I2490=0),"",$L2490/$I2490)</f>
        <v/>
      </c>
      <c r="O2490" s="51"/>
    </row>
    <row r="2491" customFormat="false" ht="15" hidden="false" customHeight="false" outlineLevel="0" collapsed="false">
      <c r="A2491" s="45"/>
      <c r="B2491" s="37" t="str">
        <f aca="false">IF($A2491="","",WEEKNUM($A2491,2))</f>
        <v/>
      </c>
      <c r="C2491" s="37" t="str">
        <f aca="false">IF($A2491="","",CHOOSE(WEEKDAY($A2491,2),"Seg","Ter","Qua","Qui","Sex","Sáb","Dom"))</f>
        <v/>
      </c>
      <c r="D2491" s="46"/>
      <c r="E2491" s="47"/>
      <c r="F2491" s="47"/>
      <c r="G2491" s="48"/>
      <c r="H2491" s="49"/>
      <c r="I2491" s="50"/>
      <c r="J2491" s="48"/>
      <c r="K2491" s="49"/>
      <c r="L2491" s="50"/>
      <c r="M2491" s="43" t="str">
        <f aca="false">IF(OR($L2491="",$F2491=""),"",IFERROR($L2491/INDEX(Cadastro!$E$6:$E$8,MATCH($F2491,Cadastro!$B$6:$B$8,0)),""))</f>
        <v/>
      </c>
      <c r="N2491" s="43" t="str">
        <f aca="false">IF(OR($L2491="",$I2491="",$I2491=0),"",$L2491/$I2491)</f>
        <v/>
      </c>
      <c r="O2491" s="51"/>
    </row>
    <row r="2492" customFormat="false" ht="15" hidden="false" customHeight="false" outlineLevel="0" collapsed="false">
      <c r="A2492" s="45"/>
      <c r="B2492" s="37" t="str">
        <f aca="false">IF($A2492="","",WEEKNUM($A2492,2))</f>
        <v/>
      </c>
      <c r="C2492" s="37" t="str">
        <f aca="false">IF($A2492="","",CHOOSE(WEEKDAY($A2492,2),"Seg","Ter","Qua","Qui","Sex","Sáb","Dom"))</f>
        <v/>
      </c>
      <c r="D2492" s="46"/>
      <c r="E2492" s="47"/>
      <c r="F2492" s="47"/>
      <c r="G2492" s="48"/>
      <c r="H2492" s="49"/>
      <c r="I2492" s="50"/>
      <c r="J2492" s="48"/>
      <c r="K2492" s="49"/>
      <c r="L2492" s="50"/>
      <c r="M2492" s="43" t="str">
        <f aca="false">IF(OR($L2492="",$F2492=""),"",IFERROR($L2492/INDEX(Cadastro!$E$6:$E$8,MATCH($F2492,Cadastro!$B$6:$B$8,0)),""))</f>
        <v/>
      </c>
      <c r="N2492" s="43" t="str">
        <f aca="false">IF(OR($L2492="",$I2492="",$I2492=0),"",$L2492/$I2492)</f>
        <v/>
      </c>
      <c r="O2492" s="51"/>
    </row>
    <row r="2493" customFormat="false" ht="15" hidden="false" customHeight="false" outlineLevel="0" collapsed="false">
      <c r="A2493" s="45"/>
      <c r="B2493" s="37" t="str">
        <f aca="false">IF($A2493="","",WEEKNUM($A2493,2))</f>
        <v/>
      </c>
      <c r="C2493" s="37" t="str">
        <f aca="false">IF($A2493="","",CHOOSE(WEEKDAY($A2493,2),"Seg","Ter","Qua","Qui","Sex","Sáb","Dom"))</f>
        <v/>
      </c>
      <c r="D2493" s="46"/>
      <c r="E2493" s="47"/>
      <c r="F2493" s="47"/>
      <c r="G2493" s="48"/>
      <c r="H2493" s="49"/>
      <c r="I2493" s="50"/>
      <c r="J2493" s="48"/>
      <c r="K2493" s="49"/>
      <c r="L2493" s="50"/>
      <c r="M2493" s="43" t="str">
        <f aca="false">IF(OR($L2493="",$F2493=""),"",IFERROR($L2493/INDEX(Cadastro!$E$6:$E$8,MATCH($F2493,Cadastro!$B$6:$B$8,0)),""))</f>
        <v/>
      </c>
      <c r="N2493" s="43" t="str">
        <f aca="false">IF(OR($L2493="",$I2493="",$I2493=0),"",$L2493/$I2493)</f>
        <v/>
      </c>
      <c r="O2493" s="51"/>
    </row>
    <row r="2494" customFormat="false" ht="15" hidden="false" customHeight="false" outlineLevel="0" collapsed="false">
      <c r="A2494" s="45"/>
      <c r="B2494" s="37" t="str">
        <f aca="false">IF($A2494="","",WEEKNUM($A2494,2))</f>
        <v/>
      </c>
      <c r="C2494" s="37" t="str">
        <f aca="false">IF($A2494="","",CHOOSE(WEEKDAY($A2494,2),"Seg","Ter","Qua","Qui","Sex","Sáb","Dom"))</f>
        <v/>
      </c>
      <c r="D2494" s="46"/>
      <c r="E2494" s="47"/>
      <c r="F2494" s="47"/>
      <c r="G2494" s="48"/>
      <c r="H2494" s="49"/>
      <c r="I2494" s="50"/>
      <c r="J2494" s="48"/>
      <c r="K2494" s="49"/>
      <c r="L2494" s="50"/>
      <c r="M2494" s="43" t="str">
        <f aca="false">IF(OR($L2494="",$F2494=""),"",IFERROR($L2494/INDEX(Cadastro!$E$6:$E$8,MATCH($F2494,Cadastro!$B$6:$B$8,0)),""))</f>
        <v/>
      </c>
      <c r="N2494" s="43" t="str">
        <f aca="false">IF(OR($L2494="",$I2494="",$I2494=0),"",$L2494/$I2494)</f>
        <v/>
      </c>
      <c r="O2494" s="51"/>
    </row>
    <row r="2495" customFormat="false" ht="15" hidden="false" customHeight="false" outlineLevel="0" collapsed="false">
      <c r="A2495" s="45"/>
      <c r="B2495" s="37" t="str">
        <f aca="false">IF($A2495="","",WEEKNUM($A2495,2))</f>
        <v/>
      </c>
      <c r="C2495" s="37" t="str">
        <f aca="false">IF($A2495="","",CHOOSE(WEEKDAY($A2495,2),"Seg","Ter","Qua","Qui","Sex","Sáb","Dom"))</f>
        <v/>
      </c>
      <c r="D2495" s="46"/>
      <c r="E2495" s="47"/>
      <c r="F2495" s="47"/>
      <c r="G2495" s="48"/>
      <c r="H2495" s="49"/>
      <c r="I2495" s="50"/>
      <c r="J2495" s="48"/>
      <c r="K2495" s="49"/>
      <c r="L2495" s="50"/>
      <c r="M2495" s="43" t="str">
        <f aca="false">IF(OR($L2495="",$F2495=""),"",IFERROR($L2495/INDEX(Cadastro!$E$6:$E$8,MATCH($F2495,Cadastro!$B$6:$B$8,0)),""))</f>
        <v/>
      </c>
      <c r="N2495" s="43" t="str">
        <f aca="false">IF(OR($L2495="",$I2495="",$I2495=0),"",$L2495/$I2495)</f>
        <v/>
      </c>
      <c r="O2495" s="51"/>
    </row>
    <row r="2496" customFormat="false" ht="15" hidden="false" customHeight="false" outlineLevel="0" collapsed="false">
      <c r="A2496" s="45"/>
      <c r="B2496" s="37" t="str">
        <f aca="false">IF($A2496="","",WEEKNUM($A2496,2))</f>
        <v/>
      </c>
      <c r="C2496" s="37" t="str">
        <f aca="false">IF($A2496="","",CHOOSE(WEEKDAY($A2496,2),"Seg","Ter","Qua","Qui","Sex","Sáb","Dom"))</f>
        <v/>
      </c>
      <c r="D2496" s="46"/>
      <c r="E2496" s="47"/>
      <c r="F2496" s="47"/>
      <c r="G2496" s="48"/>
      <c r="H2496" s="49"/>
      <c r="I2496" s="50"/>
      <c r="J2496" s="48"/>
      <c r="K2496" s="49"/>
      <c r="L2496" s="50"/>
      <c r="M2496" s="43" t="str">
        <f aca="false">IF(OR($L2496="",$F2496=""),"",IFERROR($L2496/INDEX(Cadastro!$E$6:$E$8,MATCH($F2496,Cadastro!$B$6:$B$8,0)),""))</f>
        <v/>
      </c>
      <c r="N2496" s="43" t="str">
        <f aca="false">IF(OR($L2496="",$I2496="",$I2496=0),"",$L2496/$I2496)</f>
        <v/>
      </c>
      <c r="O2496" s="51"/>
    </row>
    <row r="2497" customFormat="false" ht="15" hidden="false" customHeight="false" outlineLevel="0" collapsed="false">
      <c r="A2497" s="45"/>
      <c r="B2497" s="37" t="str">
        <f aca="false">IF($A2497="","",WEEKNUM($A2497,2))</f>
        <v/>
      </c>
      <c r="C2497" s="37" t="str">
        <f aca="false">IF($A2497="","",CHOOSE(WEEKDAY($A2497,2),"Seg","Ter","Qua","Qui","Sex","Sáb","Dom"))</f>
        <v/>
      </c>
      <c r="D2497" s="46"/>
      <c r="E2497" s="47"/>
      <c r="F2497" s="47"/>
      <c r="G2497" s="48"/>
      <c r="H2497" s="49"/>
      <c r="I2497" s="50"/>
      <c r="J2497" s="48"/>
      <c r="K2497" s="49"/>
      <c r="L2497" s="50"/>
      <c r="M2497" s="43" t="str">
        <f aca="false">IF(OR($L2497="",$F2497=""),"",IFERROR($L2497/INDEX(Cadastro!$E$6:$E$8,MATCH($F2497,Cadastro!$B$6:$B$8,0)),""))</f>
        <v/>
      </c>
      <c r="N2497" s="43" t="str">
        <f aca="false">IF(OR($L2497="",$I2497="",$I2497=0),"",$L2497/$I2497)</f>
        <v/>
      </c>
      <c r="O2497" s="51"/>
    </row>
    <row r="2498" customFormat="false" ht="15" hidden="false" customHeight="false" outlineLevel="0" collapsed="false">
      <c r="A2498" s="45"/>
      <c r="B2498" s="37" t="str">
        <f aca="false">IF($A2498="","",WEEKNUM($A2498,2))</f>
        <v/>
      </c>
      <c r="C2498" s="37" t="str">
        <f aca="false">IF($A2498="","",CHOOSE(WEEKDAY($A2498,2),"Seg","Ter","Qua","Qui","Sex","Sáb","Dom"))</f>
        <v/>
      </c>
      <c r="D2498" s="46"/>
      <c r="E2498" s="47"/>
      <c r="F2498" s="47"/>
      <c r="G2498" s="48"/>
      <c r="H2498" s="49"/>
      <c r="I2498" s="50"/>
      <c r="J2498" s="48"/>
      <c r="K2498" s="49"/>
      <c r="L2498" s="50"/>
      <c r="M2498" s="43" t="str">
        <f aca="false">IF(OR($L2498="",$F2498=""),"",IFERROR($L2498/INDEX(Cadastro!$E$6:$E$8,MATCH($F2498,Cadastro!$B$6:$B$8,0)),""))</f>
        <v/>
      </c>
      <c r="N2498" s="43" t="str">
        <f aca="false">IF(OR($L2498="",$I2498="",$I2498=0),"",$L2498/$I2498)</f>
        <v/>
      </c>
      <c r="O2498" s="51"/>
    </row>
    <row r="2499" customFormat="false" ht="15" hidden="false" customHeight="false" outlineLevel="0" collapsed="false">
      <c r="A2499" s="45"/>
      <c r="B2499" s="37" t="str">
        <f aca="false">IF($A2499="","",WEEKNUM($A2499,2))</f>
        <v/>
      </c>
      <c r="C2499" s="37" t="str">
        <f aca="false">IF($A2499="","",CHOOSE(WEEKDAY($A2499,2),"Seg","Ter","Qua","Qui","Sex","Sáb","Dom"))</f>
        <v/>
      </c>
      <c r="D2499" s="46"/>
      <c r="E2499" s="47"/>
      <c r="F2499" s="47"/>
      <c r="G2499" s="48"/>
      <c r="H2499" s="49"/>
      <c r="I2499" s="50"/>
      <c r="J2499" s="48"/>
      <c r="K2499" s="49"/>
      <c r="L2499" s="50"/>
      <c r="M2499" s="43" t="str">
        <f aca="false">IF(OR($L2499="",$F2499=""),"",IFERROR($L2499/INDEX(Cadastro!$E$6:$E$8,MATCH($F2499,Cadastro!$B$6:$B$8,0)),""))</f>
        <v/>
      </c>
      <c r="N2499" s="43" t="str">
        <f aca="false">IF(OR($L2499="",$I2499="",$I2499=0),"",$L2499/$I2499)</f>
        <v/>
      </c>
      <c r="O2499" s="51"/>
    </row>
    <row r="2500" customFormat="false" ht="15" hidden="false" customHeight="false" outlineLevel="0" collapsed="false">
      <c r="A2500" s="45"/>
      <c r="B2500" s="37" t="str">
        <f aca="false">IF($A2500="","",WEEKNUM($A2500,2))</f>
        <v/>
      </c>
      <c r="C2500" s="37" t="str">
        <f aca="false">IF($A2500="","",CHOOSE(WEEKDAY($A2500,2),"Seg","Ter","Qua","Qui","Sex","Sáb","Dom"))</f>
        <v/>
      </c>
      <c r="D2500" s="46"/>
      <c r="E2500" s="47"/>
      <c r="F2500" s="47"/>
      <c r="G2500" s="48"/>
      <c r="H2500" s="49"/>
      <c r="I2500" s="50"/>
      <c r="J2500" s="48"/>
      <c r="K2500" s="49"/>
      <c r="L2500" s="50"/>
      <c r="M2500" s="43" t="str">
        <f aca="false">IF(OR($L2500="",$F2500=""),"",IFERROR($L2500/INDEX(Cadastro!$E$6:$E$8,MATCH($F2500,Cadastro!$B$6:$B$8,0)),""))</f>
        <v/>
      </c>
      <c r="N2500" s="43" t="str">
        <f aca="false">IF(OR($L2500="",$I2500="",$I2500=0),"",$L2500/$I2500)</f>
        <v/>
      </c>
      <c r="O2500" s="51"/>
    </row>
    <row r="2501" customFormat="false" ht="15" hidden="false" customHeight="false" outlineLevel="0" collapsed="false">
      <c r="A2501" s="45"/>
      <c r="B2501" s="37" t="str">
        <f aca="false">IF($A2501="","",WEEKNUM($A2501,2))</f>
        <v/>
      </c>
      <c r="C2501" s="37" t="str">
        <f aca="false">IF($A2501="","",CHOOSE(WEEKDAY($A2501,2),"Seg","Ter","Qua","Qui","Sex","Sáb","Dom"))</f>
        <v/>
      </c>
      <c r="D2501" s="46"/>
      <c r="E2501" s="47"/>
      <c r="F2501" s="47"/>
      <c r="G2501" s="48"/>
      <c r="H2501" s="49"/>
      <c r="I2501" s="50"/>
      <c r="J2501" s="48"/>
      <c r="K2501" s="49"/>
      <c r="L2501" s="50"/>
      <c r="M2501" s="43" t="str">
        <f aca="false">IF(OR($L2501="",$F2501=""),"",IFERROR($L2501/INDEX(Cadastro!$E$6:$E$8,MATCH($F2501,Cadastro!$B$6:$B$8,0)),""))</f>
        <v/>
      </c>
      <c r="N2501" s="43" t="str">
        <f aca="false">IF(OR($L2501="",$I2501="",$I2501=0),"",$L2501/$I2501)</f>
        <v/>
      </c>
      <c r="O2501" s="51"/>
    </row>
    <row r="2502" customFormat="false" ht="15" hidden="false" customHeight="false" outlineLevel="0" collapsed="false">
      <c r="A2502" s="45"/>
      <c r="B2502" s="37" t="str">
        <f aca="false">IF($A2502="","",WEEKNUM($A2502,2))</f>
        <v/>
      </c>
      <c r="C2502" s="37" t="str">
        <f aca="false">IF($A2502="","",CHOOSE(WEEKDAY($A2502,2),"Seg","Ter","Qua","Qui","Sex","Sáb","Dom"))</f>
        <v/>
      </c>
      <c r="D2502" s="46"/>
      <c r="E2502" s="47"/>
      <c r="F2502" s="47"/>
      <c r="G2502" s="48"/>
      <c r="H2502" s="49"/>
      <c r="I2502" s="50"/>
      <c r="J2502" s="48"/>
      <c r="K2502" s="49"/>
      <c r="L2502" s="50"/>
      <c r="M2502" s="43" t="str">
        <f aca="false">IF(OR($L2502="",$F2502=""),"",IFERROR($L2502/INDEX(Cadastro!$E$6:$E$8,MATCH($F2502,Cadastro!$B$6:$B$8,0)),""))</f>
        <v/>
      </c>
      <c r="N2502" s="43" t="str">
        <f aca="false">IF(OR($L2502="",$I2502="",$I2502=0),"",$L2502/$I2502)</f>
        <v/>
      </c>
      <c r="O2502" s="51"/>
    </row>
    <row r="2503" customFormat="false" ht="15" hidden="false" customHeight="false" outlineLevel="0" collapsed="false">
      <c r="A2503" s="45"/>
      <c r="B2503" s="37" t="str">
        <f aca="false">IF($A2503="","",WEEKNUM($A2503,2))</f>
        <v/>
      </c>
      <c r="C2503" s="37" t="str">
        <f aca="false">IF($A2503="","",CHOOSE(WEEKDAY($A2503,2),"Seg","Ter","Qua","Qui","Sex","Sáb","Dom"))</f>
        <v/>
      </c>
      <c r="D2503" s="46"/>
      <c r="E2503" s="47"/>
      <c r="F2503" s="47"/>
      <c r="G2503" s="48"/>
      <c r="H2503" s="49"/>
      <c r="I2503" s="50"/>
      <c r="J2503" s="48"/>
      <c r="K2503" s="49"/>
      <c r="L2503" s="50"/>
      <c r="M2503" s="43" t="str">
        <f aca="false">IF(OR($L2503="",$F2503=""),"",IFERROR($L2503/INDEX(Cadastro!$E$6:$E$8,MATCH($F2503,Cadastro!$B$6:$B$8,0)),""))</f>
        <v/>
      </c>
      <c r="N2503" s="43" t="str">
        <f aca="false">IF(OR($L2503="",$I2503="",$I2503=0),"",$L2503/$I2503)</f>
        <v/>
      </c>
      <c r="O2503" s="51"/>
    </row>
    <row r="2504" customFormat="false" ht="15" hidden="false" customHeight="false" outlineLevel="0" collapsed="false">
      <c r="A2504" s="45"/>
      <c r="B2504" s="37" t="str">
        <f aca="false">IF($A2504="","",WEEKNUM($A2504,2))</f>
        <v/>
      </c>
      <c r="C2504" s="37" t="str">
        <f aca="false">IF($A2504="","",CHOOSE(WEEKDAY($A2504,2),"Seg","Ter","Qua","Qui","Sex","Sáb","Dom"))</f>
        <v/>
      </c>
      <c r="D2504" s="46"/>
      <c r="E2504" s="47"/>
      <c r="F2504" s="47"/>
      <c r="G2504" s="48"/>
      <c r="H2504" s="49"/>
      <c r="I2504" s="50"/>
      <c r="J2504" s="48"/>
      <c r="K2504" s="49"/>
      <c r="L2504" s="50"/>
      <c r="M2504" s="43" t="str">
        <f aca="false">IF(OR($L2504="",$F2504=""),"",IFERROR($L2504/INDEX(Cadastro!$E$6:$E$8,MATCH($F2504,Cadastro!$B$6:$B$8,0)),""))</f>
        <v/>
      </c>
      <c r="N2504" s="43" t="str">
        <f aca="false">IF(OR($L2504="",$I2504="",$I2504=0),"",$L2504/$I2504)</f>
        <v/>
      </c>
      <c r="O2504" s="51"/>
    </row>
    <row r="2505" customFormat="false" ht="15" hidden="false" customHeight="false" outlineLevel="0" collapsed="false">
      <c r="A2505" s="45"/>
      <c r="B2505" s="37" t="str">
        <f aca="false">IF($A2505="","",WEEKNUM($A2505,2))</f>
        <v/>
      </c>
      <c r="C2505" s="37" t="str">
        <f aca="false">IF($A2505="","",CHOOSE(WEEKDAY($A2505,2),"Seg","Ter","Qua","Qui","Sex","Sáb","Dom"))</f>
        <v/>
      </c>
      <c r="D2505" s="46"/>
      <c r="E2505" s="47"/>
      <c r="F2505" s="47"/>
      <c r="G2505" s="48"/>
      <c r="H2505" s="49"/>
      <c r="I2505" s="50"/>
      <c r="J2505" s="48"/>
      <c r="K2505" s="49"/>
      <c r="L2505" s="50"/>
      <c r="M2505" s="43" t="str">
        <f aca="false">IF(OR($L2505="",$F2505=""),"",IFERROR($L2505/INDEX(Cadastro!$E$6:$E$8,MATCH($F2505,Cadastro!$B$6:$B$8,0)),""))</f>
        <v/>
      </c>
      <c r="N2505" s="43" t="str">
        <f aca="false">IF(OR($L2505="",$I2505="",$I2505=0),"",$L2505/$I2505)</f>
        <v/>
      </c>
      <c r="O2505" s="51"/>
    </row>
    <row r="2506" customFormat="false" ht="15" hidden="false" customHeight="false" outlineLevel="0" collapsed="false">
      <c r="A2506" s="45"/>
      <c r="B2506" s="37" t="str">
        <f aca="false">IF($A2506="","",WEEKNUM($A2506,2))</f>
        <v/>
      </c>
      <c r="C2506" s="37" t="str">
        <f aca="false">IF($A2506="","",CHOOSE(WEEKDAY($A2506,2),"Seg","Ter","Qua","Qui","Sex","Sáb","Dom"))</f>
        <v/>
      </c>
      <c r="D2506" s="46"/>
      <c r="E2506" s="47"/>
      <c r="F2506" s="47"/>
      <c r="G2506" s="48"/>
      <c r="H2506" s="49"/>
      <c r="I2506" s="50"/>
      <c r="J2506" s="48"/>
      <c r="K2506" s="49"/>
      <c r="L2506" s="50"/>
      <c r="M2506" s="43" t="str">
        <f aca="false">IF(OR($L2506="",$F2506=""),"",IFERROR($L2506/INDEX(Cadastro!$E$6:$E$8,MATCH($F2506,Cadastro!$B$6:$B$8,0)),""))</f>
        <v/>
      </c>
      <c r="N2506" s="43" t="str">
        <f aca="false">IF(OR($L2506="",$I2506="",$I2506=0),"",$L2506/$I2506)</f>
        <v/>
      </c>
      <c r="O2506" s="51"/>
    </row>
    <row r="2507" customFormat="false" ht="15" hidden="false" customHeight="false" outlineLevel="0" collapsed="false">
      <c r="A2507" s="45"/>
      <c r="B2507" s="37" t="str">
        <f aca="false">IF($A2507="","",WEEKNUM($A2507,2))</f>
        <v/>
      </c>
      <c r="C2507" s="37" t="str">
        <f aca="false">IF($A2507="","",CHOOSE(WEEKDAY($A2507,2),"Seg","Ter","Qua","Qui","Sex","Sáb","Dom"))</f>
        <v/>
      </c>
      <c r="D2507" s="46"/>
      <c r="E2507" s="47"/>
      <c r="F2507" s="47"/>
      <c r="G2507" s="48"/>
      <c r="H2507" s="49"/>
      <c r="I2507" s="50"/>
      <c r="J2507" s="48"/>
      <c r="K2507" s="49"/>
      <c r="L2507" s="50"/>
      <c r="M2507" s="43" t="str">
        <f aca="false">IF(OR($L2507="",$F2507=""),"",IFERROR($L2507/INDEX(Cadastro!$E$6:$E$8,MATCH($F2507,Cadastro!$B$6:$B$8,0)),""))</f>
        <v/>
      </c>
      <c r="N2507" s="43" t="str">
        <f aca="false">IF(OR($L2507="",$I2507="",$I2507=0),"",$L2507/$I2507)</f>
        <v/>
      </c>
      <c r="O2507" s="51"/>
    </row>
    <row r="2508" customFormat="false" ht="15" hidden="false" customHeight="false" outlineLevel="0" collapsed="false">
      <c r="A2508" s="45"/>
      <c r="B2508" s="37" t="str">
        <f aca="false">IF($A2508="","",WEEKNUM($A2508,2))</f>
        <v/>
      </c>
      <c r="C2508" s="37" t="str">
        <f aca="false">IF($A2508="","",CHOOSE(WEEKDAY($A2508,2),"Seg","Ter","Qua","Qui","Sex","Sáb","Dom"))</f>
        <v/>
      </c>
      <c r="D2508" s="46"/>
      <c r="E2508" s="47"/>
      <c r="F2508" s="47"/>
      <c r="G2508" s="48"/>
      <c r="H2508" s="49"/>
      <c r="I2508" s="50"/>
      <c r="J2508" s="48"/>
      <c r="K2508" s="49"/>
      <c r="L2508" s="50"/>
      <c r="M2508" s="43" t="str">
        <f aca="false">IF(OR($L2508="",$F2508=""),"",IFERROR($L2508/INDEX(Cadastro!$E$6:$E$8,MATCH($F2508,Cadastro!$B$6:$B$8,0)),""))</f>
        <v/>
      </c>
      <c r="N2508" s="43" t="str">
        <f aca="false">IF(OR($L2508="",$I2508="",$I2508=0),"",$L2508/$I2508)</f>
        <v/>
      </c>
      <c r="O2508" s="51"/>
    </row>
    <row r="2509" customFormat="false" ht="15" hidden="false" customHeight="false" outlineLevel="0" collapsed="false">
      <c r="A2509" s="45"/>
      <c r="B2509" s="37" t="str">
        <f aca="false">IF($A2509="","",WEEKNUM($A2509,2))</f>
        <v/>
      </c>
      <c r="C2509" s="37" t="str">
        <f aca="false">IF($A2509="","",CHOOSE(WEEKDAY($A2509,2),"Seg","Ter","Qua","Qui","Sex","Sáb","Dom"))</f>
        <v/>
      </c>
      <c r="D2509" s="46"/>
      <c r="E2509" s="47"/>
      <c r="F2509" s="47"/>
      <c r="G2509" s="48"/>
      <c r="H2509" s="49"/>
      <c r="I2509" s="50"/>
      <c r="J2509" s="48"/>
      <c r="K2509" s="49"/>
      <c r="L2509" s="50"/>
      <c r="M2509" s="43" t="str">
        <f aca="false">IF(OR($L2509="",$F2509=""),"",IFERROR($L2509/INDEX(Cadastro!$E$6:$E$8,MATCH($F2509,Cadastro!$B$6:$B$8,0)),""))</f>
        <v/>
      </c>
      <c r="N2509" s="43" t="str">
        <f aca="false">IF(OR($L2509="",$I2509="",$I2509=0),"",$L2509/$I2509)</f>
        <v/>
      </c>
      <c r="O2509" s="51"/>
    </row>
    <row r="2510" customFormat="false" ht="15" hidden="false" customHeight="false" outlineLevel="0" collapsed="false">
      <c r="A2510" s="45"/>
      <c r="B2510" s="37" t="str">
        <f aca="false">IF($A2510="","",WEEKNUM($A2510,2))</f>
        <v/>
      </c>
      <c r="C2510" s="37" t="str">
        <f aca="false">IF($A2510="","",CHOOSE(WEEKDAY($A2510,2),"Seg","Ter","Qua","Qui","Sex","Sáb","Dom"))</f>
        <v/>
      </c>
      <c r="D2510" s="46"/>
      <c r="E2510" s="47"/>
      <c r="F2510" s="47"/>
      <c r="G2510" s="48"/>
      <c r="H2510" s="49"/>
      <c r="I2510" s="50"/>
      <c r="J2510" s="48"/>
      <c r="K2510" s="49"/>
      <c r="L2510" s="50"/>
      <c r="M2510" s="43" t="str">
        <f aca="false">IF(OR($L2510="",$F2510=""),"",IFERROR($L2510/INDEX(Cadastro!$E$6:$E$8,MATCH($F2510,Cadastro!$B$6:$B$8,0)),""))</f>
        <v/>
      </c>
      <c r="N2510" s="43" t="str">
        <f aca="false">IF(OR($L2510="",$I2510="",$I2510=0),"",$L2510/$I2510)</f>
        <v/>
      </c>
      <c r="O2510" s="51"/>
    </row>
    <row r="2511" customFormat="false" ht="15" hidden="false" customHeight="false" outlineLevel="0" collapsed="false">
      <c r="A2511" s="45"/>
      <c r="B2511" s="37" t="str">
        <f aca="false">IF($A2511="","",WEEKNUM($A2511,2))</f>
        <v/>
      </c>
      <c r="C2511" s="37" t="str">
        <f aca="false">IF($A2511="","",CHOOSE(WEEKDAY($A2511,2),"Seg","Ter","Qua","Qui","Sex","Sáb","Dom"))</f>
        <v/>
      </c>
      <c r="D2511" s="46"/>
      <c r="E2511" s="47"/>
      <c r="F2511" s="47"/>
      <c r="G2511" s="48"/>
      <c r="H2511" s="49"/>
      <c r="I2511" s="50"/>
      <c r="J2511" s="48"/>
      <c r="K2511" s="49"/>
      <c r="L2511" s="50"/>
      <c r="M2511" s="43" t="str">
        <f aca="false">IF(OR($L2511="",$F2511=""),"",IFERROR($L2511/INDEX(Cadastro!$E$6:$E$8,MATCH($F2511,Cadastro!$B$6:$B$8,0)),""))</f>
        <v/>
      </c>
      <c r="N2511" s="43" t="str">
        <f aca="false">IF(OR($L2511="",$I2511="",$I2511=0),"",$L2511/$I2511)</f>
        <v/>
      </c>
      <c r="O2511" s="51"/>
    </row>
    <row r="2512" customFormat="false" ht="15" hidden="false" customHeight="false" outlineLevel="0" collapsed="false">
      <c r="A2512" s="45"/>
      <c r="B2512" s="37" t="str">
        <f aca="false">IF($A2512="","",WEEKNUM($A2512,2))</f>
        <v/>
      </c>
      <c r="C2512" s="37" t="str">
        <f aca="false">IF($A2512="","",CHOOSE(WEEKDAY($A2512,2),"Seg","Ter","Qua","Qui","Sex","Sáb","Dom"))</f>
        <v/>
      </c>
      <c r="D2512" s="46"/>
      <c r="E2512" s="47"/>
      <c r="F2512" s="47"/>
      <c r="G2512" s="48"/>
      <c r="H2512" s="49"/>
      <c r="I2512" s="50"/>
      <c r="J2512" s="48"/>
      <c r="K2512" s="49"/>
      <c r="L2512" s="50"/>
      <c r="M2512" s="43" t="str">
        <f aca="false">IF(OR($L2512="",$F2512=""),"",IFERROR($L2512/INDEX(Cadastro!$E$6:$E$8,MATCH($F2512,Cadastro!$B$6:$B$8,0)),""))</f>
        <v/>
      </c>
      <c r="N2512" s="43" t="str">
        <f aca="false">IF(OR($L2512="",$I2512="",$I2512=0),"",$L2512/$I2512)</f>
        <v/>
      </c>
      <c r="O2512" s="51"/>
    </row>
    <row r="2513" customFormat="false" ht="15" hidden="false" customHeight="false" outlineLevel="0" collapsed="false">
      <c r="A2513" s="45"/>
      <c r="B2513" s="37" t="str">
        <f aca="false">IF($A2513="","",WEEKNUM($A2513,2))</f>
        <v/>
      </c>
      <c r="C2513" s="37" t="str">
        <f aca="false">IF($A2513="","",CHOOSE(WEEKDAY($A2513,2),"Seg","Ter","Qua","Qui","Sex","Sáb","Dom"))</f>
        <v/>
      </c>
      <c r="D2513" s="46"/>
      <c r="E2513" s="47"/>
      <c r="F2513" s="47"/>
      <c r="G2513" s="48"/>
      <c r="H2513" s="49"/>
      <c r="I2513" s="50"/>
      <c r="J2513" s="48"/>
      <c r="K2513" s="49"/>
      <c r="L2513" s="50"/>
      <c r="M2513" s="43" t="str">
        <f aca="false">IF(OR($L2513="",$F2513=""),"",IFERROR($L2513/INDEX(Cadastro!$E$6:$E$8,MATCH($F2513,Cadastro!$B$6:$B$8,0)),""))</f>
        <v/>
      </c>
      <c r="N2513" s="43" t="str">
        <f aca="false">IF(OR($L2513="",$I2513="",$I2513=0),"",$L2513/$I2513)</f>
        <v/>
      </c>
      <c r="O2513" s="51"/>
    </row>
    <row r="2514" customFormat="false" ht="15" hidden="false" customHeight="false" outlineLevel="0" collapsed="false">
      <c r="A2514" s="45"/>
      <c r="B2514" s="37" t="str">
        <f aca="false">IF($A2514="","",WEEKNUM($A2514,2))</f>
        <v/>
      </c>
      <c r="C2514" s="37" t="str">
        <f aca="false">IF($A2514="","",CHOOSE(WEEKDAY($A2514,2),"Seg","Ter","Qua","Qui","Sex","Sáb","Dom"))</f>
        <v/>
      </c>
      <c r="D2514" s="46"/>
      <c r="E2514" s="47"/>
      <c r="F2514" s="47"/>
      <c r="G2514" s="48"/>
      <c r="H2514" s="49"/>
      <c r="I2514" s="50"/>
      <c r="J2514" s="48"/>
      <c r="K2514" s="49"/>
      <c r="L2514" s="50"/>
      <c r="M2514" s="43" t="str">
        <f aca="false">IF(OR($L2514="",$F2514=""),"",IFERROR($L2514/INDEX(Cadastro!$E$6:$E$8,MATCH($F2514,Cadastro!$B$6:$B$8,0)),""))</f>
        <v/>
      </c>
      <c r="N2514" s="43" t="str">
        <f aca="false">IF(OR($L2514="",$I2514="",$I2514=0),"",$L2514/$I2514)</f>
        <v/>
      </c>
      <c r="O2514" s="51"/>
    </row>
    <row r="2515" customFormat="false" ht="15" hidden="false" customHeight="false" outlineLevel="0" collapsed="false">
      <c r="A2515" s="45"/>
      <c r="B2515" s="37" t="str">
        <f aca="false">IF($A2515="","",WEEKNUM($A2515,2))</f>
        <v/>
      </c>
      <c r="C2515" s="37" t="str">
        <f aca="false">IF($A2515="","",CHOOSE(WEEKDAY($A2515,2),"Seg","Ter","Qua","Qui","Sex","Sáb","Dom"))</f>
        <v/>
      </c>
      <c r="D2515" s="46"/>
      <c r="E2515" s="47"/>
      <c r="F2515" s="47"/>
      <c r="G2515" s="48"/>
      <c r="H2515" s="49"/>
      <c r="I2515" s="50"/>
      <c r="J2515" s="48"/>
      <c r="K2515" s="49"/>
      <c r="L2515" s="50"/>
      <c r="M2515" s="43" t="str">
        <f aca="false">IF(OR($L2515="",$F2515=""),"",IFERROR($L2515/INDEX(Cadastro!$E$6:$E$8,MATCH($F2515,Cadastro!$B$6:$B$8,0)),""))</f>
        <v/>
      </c>
      <c r="N2515" s="43" t="str">
        <f aca="false">IF(OR($L2515="",$I2515="",$I2515=0),"",$L2515/$I2515)</f>
        <v/>
      </c>
      <c r="O2515" s="51"/>
    </row>
    <row r="2516" customFormat="false" ht="15" hidden="false" customHeight="false" outlineLevel="0" collapsed="false">
      <c r="A2516" s="45"/>
      <c r="B2516" s="37" t="str">
        <f aca="false">IF($A2516="","",WEEKNUM($A2516,2))</f>
        <v/>
      </c>
      <c r="C2516" s="37" t="str">
        <f aca="false">IF($A2516="","",CHOOSE(WEEKDAY($A2516,2),"Seg","Ter","Qua","Qui","Sex","Sáb","Dom"))</f>
        <v/>
      </c>
      <c r="D2516" s="46"/>
      <c r="E2516" s="47"/>
      <c r="F2516" s="47"/>
      <c r="G2516" s="48"/>
      <c r="H2516" s="49"/>
      <c r="I2516" s="50"/>
      <c r="J2516" s="48"/>
      <c r="K2516" s="49"/>
      <c r="L2516" s="50"/>
      <c r="M2516" s="43" t="str">
        <f aca="false">IF(OR($L2516="",$F2516=""),"",IFERROR($L2516/INDEX(Cadastro!$E$6:$E$8,MATCH($F2516,Cadastro!$B$6:$B$8,0)),""))</f>
        <v/>
      </c>
      <c r="N2516" s="43" t="str">
        <f aca="false">IF(OR($L2516="",$I2516="",$I2516=0),"",$L2516/$I2516)</f>
        <v/>
      </c>
      <c r="O2516" s="51"/>
    </row>
    <row r="2517" customFormat="false" ht="15" hidden="false" customHeight="false" outlineLevel="0" collapsed="false">
      <c r="A2517" s="45"/>
      <c r="B2517" s="37" t="str">
        <f aca="false">IF($A2517="","",WEEKNUM($A2517,2))</f>
        <v/>
      </c>
      <c r="C2517" s="37" t="str">
        <f aca="false">IF($A2517="","",CHOOSE(WEEKDAY($A2517,2),"Seg","Ter","Qua","Qui","Sex","Sáb","Dom"))</f>
        <v/>
      </c>
      <c r="D2517" s="46"/>
      <c r="E2517" s="47"/>
      <c r="F2517" s="47"/>
      <c r="G2517" s="48"/>
      <c r="H2517" s="49"/>
      <c r="I2517" s="50"/>
      <c r="J2517" s="48"/>
      <c r="K2517" s="49"/>
      <c r="L2517" s="50"/>
      <c r="M2517" s="43" t="str">
        <f aca="false">IF(OR($L2517="",$F2517=""),"",IFERROR($L2517/INDEX(Cadastro!$E$6:$E$8,MATCH($F2517,Cadastro!$B$6:$B$8,0)),""))</f>
        <v/>
      </c>
      <c r="N2517" s="43" t="str">
        <f aca="false">IF(OR($L2517="",$I2517="",$I2517=0),"",$L2517/$I2517)</f>
        <v/>
      </c>
      <c r="O2517" s="51"/>
    </row>
    <row r="2518" customFormat="false" ht="15" hidden="false" customHeight="false" outlineLevel="0" collapsed="false">
      <c r="A2518" s="45"/>
      <c r="B2518" s="37" t="str">
        <f aca="false">IF($A2518="","",WEEKNUM($A2518,2))</f>
        <v/>
      </c>
      <c r="C2518" s="37" t="str">
        <f aca="false">IF($A2518="","",CHOOSE(WEEKDAY($A2518,2),"Seg","Ter","Qua","Qui","Sex","Sáb","Dom"))</f>
        <v/>
      </c>
      <c r="D2518" s="46"/>
      <c r="E2518" s="47"/>
      <c r="F2518" s="47"/>
      <c r="G2518" s="48"/>
      <c r="H2518" s="49"/>
      <c r="I2518" s="50"/>
      <c r="J2518" s="48"/>
      <c r="K2518" s="49"/>
      <c r="L2518" s="50"/>
      <c r="M2518" s="43" t="str">
        <f aca="false">IF(OR($L2518="",$F2518=""),"",IFERROR($L2518/INDEX(Cadastro!$E$6:$E$8,MATCH($F2518,Cadastro!$B$6:$B$8,0)),""))</f>
        <v/>
      </c>
      <c r="N2518" s="43" t="str">
        <f aca="false">IF(OR($L2518="",$I2518="",$I2518=0),"",$L2518/$I2518)</f>
        <v/>
      </c>
      <c r="O2518" s="51"/>
    </row>
    <row r="2519" customFormat="false" ht="15" hidden="false" customHeight="false" outlineLevel="0" collapsed="false">
      <c r="A2519" s="45"/>
      <c r="B2519" s="37" t="str">
        <f aca="false">IF($A2519="","",WEEKNUM($A2519,2))</f>
        <v/>
      </c>
      <c r="C2519" s="37" t="str">
        <f aca="false">IF($A2519="","",CHOOSE(WEEKDAY($A2519,2),"Seg","Ter","Qua","Qui","Sex","Sáb","Dom"))</f>
        <v/>
      </c>
      <c r="D2519" s="46"/>
      <c r="E2519" s="47"/>
      <c r="F2519" s="47"/>
      <c r="G2519" s="48"/>
      <c r="H2519" s="49"/>
      <c r="I2519" s="50"/>
      <c r="J2519" s="48"/>
      <c r="K2519" s="49"/>
      <c r="L2519" s="50"/>
      <c r="M2519" s="43" t="str">
        <f aca="false">IF(OR($L2519="",$F2519=""),"",IFERROR($L2519/INDEX(Cadastro!$E$6:$E$8,MATCH($F2519,Cadastro!$B$6:$B$8,0)),""))</f>
        <v/>
      </c>
      <c r="N2519" s="43" t="str">
        <f aca="false">IF(OR($L2519="",$I2519="",$I2519=0),"",$L2519/$I2519)</f>
        <v/>
      </c>
      <c r="O2519" s="51"/>
    </row>
    <row r="2520" customFormat="false" ht="15" hidden="false" customHeight="false" outlineLevel="0" collapsed="false">
      <c r="A2520" s="45"/>
      <c r="B2520" s="37" t="str">
        <f aca="false">IF($A2520="","",WEEKNUM($A2520,2))</f>
        <v/>
      </c>
      <c r="C2520" s="37" t="str">
        <f aca="false">IF($A2520="","",CHOOSE(WEEKDAY($A2520,2),"Seg","Ter","Qua","Qui","Sex","Sáb","Dom"))</f>
        <v/>
      </c>
      <c r="D2520" s="46"/>
      <c r="E2520" s="47"/>
      <c r="F2520" s="47"/>
      <c r="G2520" s="48"/>
      <c r="H2520" s="49"/>
      <c r="I2520" s="50"/>
      <c r="J2520" s="48"/>
      <c r="K2520" s="49"/>
      <c r="L2520" s="50"/>
      <c r="M2520" s="43" t="str">
        <f aca="false">IF(OR($L2520="",$F2520=""),"",IFERROR($L2520/INDEX(Cadastro!$E$6:$E$8,MATCH($F2520,Cadastro!$B$6:$B$8,0)),""))</f>
        <v/>
      </c>
      <c r="N2520" s="43" t="str">
        <f aca="false">IF(OR($L2520="",$I2520="",$I2520=0),"",$L2520/$I2520)</f>
        <v/>
      </c>
      <c r="O2520" s="51"/>
    </row>
    <row r="2521" customFormat="false" ht="15" hidden="false" customHeight="false" outlineLevel="0" collapsed="false">
      <c r="A2521" s="45"/>
      <c r="B2521" s="37" t="str">
        <f aca="false">IF($A2521="","",WEEKNUM($A2521,2))</f>
        <v/>
      </c>
      <c r="C2521" s="37" t="str">
        <f aca="false">IF($A2521="","",CHOOSE(WEEKDAY($A2521,2),"Seg","Ter","Qua","Qui","Sex","Sáb","Dom"))</f>
        <v/>
      </c>
      <c r="D2521" s="46"/>
      <c r="E2521" s="47"/>
      <c r="F2521" s="47"/>
      <c r="G2521" s="48"/>
      <c r="H2521" s="49"/>
      <c r="I2521" s="50"/>
      <c r="J2521" s="48"/>
      <c r="K2521" s="49"/>
      <c r="L2521" s="50"/>
      <c r="M2521" s="43" t="str">
        <f aca="false">IF(OR($L2521="",$F2521=""),"",IFERROR($L2521/INDEX(Cadastro!$E$6:$E$8,MATCH($F2521,Cadastro!$B$6:$B$8,0)),""))</f>
        <v/>
      </c>
      <c r="N2521" s="43" t="str">
        <f aca="false">IF(OR($L2521="",$I2521="",$I2521=0),"",$L2521/$I2521)</f>
        <v/>
      </c>
      <c r="O2521" s="51"/>
    </row>
    <row r="2522" customFormat="false" ht="15" hidden="false" customHeight="false" outlineLevel="0" collapsed="false">
      <c r="A2522" s="45"/>
      <c r="B2522" s="37" t="str">
        <f aca="false">IF($A2522="","",WEEKNUM($A2522,2))</f>
        <v/>
      </c>
      <c r="C2522" s="37" t="str">
        <f aca="false">IF($A2522="","",CHOOSE(WEEKDAY($A2522,2),"Seg","Ter","Qua","Qui","Sex","Sáb","Dom"))</f>
        <v/>
      </c>
      <c r="D2522" s="46"/>
      <c r="E2522" s="47"/>
      <c r="F2522" s="47"/>
      <c r="G2522" s="48"/>
      <c r="H2522" s="49"/>
      <c r="I2522" s="50"/>
      <c r="J2522" s="48"/>
      <c r="K2522" s="49"/>
      <c r="L2522" s="50"/>
      <c r="M2522" s="43" t="str">
        <f aca="false">IF(OR($L2522="",$F2522=""),"",IFERROR($L2522/INDEX(Cadastro!$E$6:$E$8,MATCH($F2522,Cadastro!$B$6:$B$8,0)),""))</f>
        <v/>
      </c>
      <c r="N2522" s="43" t="str">
        <f aca="false">IF(OR($L2522="",$I2522="",$I2522=0),"",$L2522/$I2522)</f>
        <v/>
      </c>
      <c r="O2522" s="51"/>
    </row>
    <row r="2523" customFormat="false" ht="15" hidden="false" customHeight="false" outlineLevel="0" collapsed="false">
      <c r="A2523" s="45"/>
      <c r="B2523" s="37" t="str">
        <f aca="false">IF($A2523="","",WEEKNUM($A2523,2))</f>
        <v/>
      </c>
      <c r="C2523" s="37" t="str">
        <f aca="false">IF($A2523="","",CHOOSE(WEEKDAY($A2523,2),"Seg","Ter","Qua","Qui","Sex","Sáb","Dom"))</f>
        <v/>
      </c>
      <c r="D2523" s="46"/>
      <c r="E2523" s="47"/>
      <c r="F2523" s="47"/>
      <c r="G2523" s="48"/>
      <c r="H2523" s="49"/>
      <c r="I2523" s="50"/>
      <c r="J2523" s="48"/>
      <c r="K2523" s="49"/>
      <c r="L2523" s="50"/>
      <c r="M2523" s="43" t="str">
        <f aca="false">IF(OR($L2523="",$F2523=""),"",IFERROR($L2523/INDEX(Cadastro!$E$6:$E$8,MATCH($F2523,Cadastro!$B$6:$B$8,0)),""))</f>
        <v/>
      </c>
      <c r="N2523" s="43" t="str">
        <f aca="false">IF(OR($L2523="",$I2523="",$I2523=0),"",$L2523/$I2523)</f>
        <v/>
      </c>
      <c r="O2523" s="51"/>
    </row>
    <row r="2524" customFormat="false" ht="15" hidden="false" customHeight="false" outlineLevel="0" collapsed="false">
      <c r="A2524" s="45"/>
      <c r="B2524" s="37" t="str">
        <f aca="false">IF($A2524="","",WEEKNUM($A2524,2))</f>
        <v/>
      </c>
      <c r="C2524" s="37" t="str">
        <f aca="false">IF($A2524="","",CHOOSE(WEEKDAY($A2524,2),"Seg","Ter","Qua","Qui","Sex","Sáb","Dom"))</f>
        <v/>
      </c>
      <c r="D2524" s="46"/>
      <c r="E2524" s="47"/>
      <c r="F2524" s="47"/>
      <c r="G2524" s="48"/>
      <c r="H2524" s="49"/>
      <c r="I2524" s="50"/>
      <c r="J2524" s="48"/>
      <c r="K2524" s="49"/>
      <c r="L2524" s="50"/>
      <c r="M2524" s="43" t="str">
        <f aca="false">IF(OR($L2524="",$F2524=""),"",IFERROR($L2524/INDEX(Cadastro!$E$6:$E$8,MATCH($F2524,Cadastro!$B$6:$B$8,0)),""))</f>
        <v/>
      </c>
      <c r="N2524" s="43" t="str">
        <f aca="false">IF(OR($L2524="",$I2524="",$I2524=0),"",$L2524/$I2524)</f>
        <v/>
      </c>
      <c r="O2524" s="51"/>
    </row>
    <row r="2525" customFormat="false" ht="15" hidden="false" customHeight="false" outlineLevel="0" collapsed="false">
      <c r="A2525" s="45"/>
      <c r="B2525" s="37" t="str">
        <f aca="false">IF($A2525="","",WEEKNUM($A2525,2))</f>
        <v/>
      </c>
      <c r="C2525" s="37" t="str">
        <f aca="false">IF($A2525="","",CHOOSE(WEEKDAY($A2525,2),"Seg","Ter","Qua","Qui","Sex","Sáb","Dom"))</f>
        <v/>
      </c>
      <c r="D2525" s="46"/>
      <c r="E2525" s="47"/>
      <c r="F2525" s="47"/>
      <c r="G2525" s="48"/>
      <c r="H2525" s="49"/>
      <c r="I2525" s="50"/>
      <c r="J2525" s="48"/>
      <c r="K2525" s="49"/>
      <c r="L2525" s="50"/>
      <c r="M2525" s="43" t="str">
        <f aca="false">IF(OR($L2525="",$F2525=""),"",IFERROR($L2525/INDEX(Cadastro!$E$6:$E$8,MATCH($F2525,Cadastro!$B$6:$B$8,0)),""))</f>
        <v/>
      </c>
      <c r="N2525" s="43" t="str">
        <f aca="false">IF(OR($L2525="",$I2525="",$I2525=0),"",$L2525/$I2525)</f>
        <v/>
      </c>
      <c r="O2525" s="51"/>
    </row>
    <row r="2526" customFormat="false" ht="15" hidden="false" customHeight="false" outlineLevel="0" collapsed="false">
      <c r="A2526" s="45"/>
      <c r="B2526" s="37" t="str">
        <f aca="false">IF($A2526="","",WEEKNUM($A2526,2))</f>
        <v/>
      </c>
      <c r="C2526" s="37" t="str">
        <f aca="false">IF($A2526="","",CHOOSE(WEEKDAY($A2526,2),"Seg","Ter","Qua","Qui","Sex","Sáb","Dom"))</f>
        <v/>
      </c>
      <c r="D2526" s="46"/>
      <c r="E2526" s="47"/>
      <c r="F2526" s="47"/>
      <c r="G2526" s="48"/>
      <c r="H2526" s="49"/>
      <c r="I2526" s="50"/>
      <c r="J2526" s="48"/>
      <c r="K2526" s="49"/>
      <c r="L2526" s="50"/>
      <c r="M2526" s="43" t="str">
        <f aca="false">IF(OR($L2526="",$F2526=""),"",IFERROR($L2526/INDEX(Cadastro!$E$6:$E$8,MATCH($F2526,Cadastro!$B$6:$B$8,0)),""))</f>
        <v/>
      </c>
      <c r="N2526" s="43" t="str">
        <f aca="false">IF(OR($L2526="",$I2526="",$I2526=0),"",$L2526/$I2526)</f>
        <v/>
      </c>
      <c r="O2526" s="51"/>
    </row>
    <row r="2527" customFormat="false" ht="15" hidden="false" customHeight="false" outlineLevel="0" collapsed="false">
      <c r="A2527" s="45"/>
      <c r="B2527" s="37" t="str">
        <f aca="false">IF($A2527="","",WEEKNUM($A2527,2))</f>
        <v/>
      </c>
      <c r="C2527" s="37" t="str">
        <f aca="false">IF($A2527="","",CHOOSE(WEEKDAY($A2527,2),"Seg","Ter","Qua","Qui","Sex","Sáb","Dom"))</f>
        <v/>
      </c>
      <c r="D2527" s="46"/>
      <c r="E2527" s="47"/>
      <c r="F2527" s="47"/>
      <c r="G2527" s="48"/>
      <c r="H2527" s="49"/>
      <c r="I2527" s="50"/>
      <c r="J2527" s="48"/>
      <c r="K2527" s="49"/>
      <c r="L2527" s="50"/>
      <c r="M2527" s="43" t="str">
        <f aca="false">IF(OR($L2527="",$F2527=""),"",IFERROR($L2527/INDEX(Cadastro!$E$6:$E$8,MATCH($F2527,Cadastro!$B$6:$B$8,0)),""))</f>
        <v/>
      </c>
      <c r="N2527" s="43" t="str">
        <f aca="false">IF(OR($L2527="",$I2527="",$I2527=0),"",$L2527/$I2527)</f>
        <v/>
      </c>
      <c r="O2527" s="51"/>
    </row>
    <row r="2528" customFormat="false" ht="15" hidden="false" customHeight="false" outlineLevel="0" collapsed="false">
      <c r="A2528" s="45"/>
      <c r="B2528" s="37" t="str">
        <f aca="false">IF($A2528="","",WEEKNUM($A2528,2))</f>
        <v/>
      </c>
      <c r="C2528" s="37" t="str">
        <f aca="false">IF($A2528="","",CHOOSE(WEEKDAY($A2528,2),"Seg","Ter","Qua","Qui","Sex","Sáb","Dom"))</f>
        <v/>
      </c>
      <c r="D2528" s="46"/>
      <c r="E2528" s="47"/>
      <c r="F2528" s="47"/>
      <c r="G2528" s="48"/>
      <c r="H2528" s="49"/>
      <c r="I2528" s="50"/>
      <c r="J2528" s="48"/>
      <c r="K2528" s="49"/>
      <c r="L2528" s="50"/>
      <c r="M2528" s="43" t="str">
        <f aca="false">IF(OR($L2528="",$F2528=""),"",IFERROR($L2528/INDEX(Cadastro!$E$6:$E$8,MATCH($F2528,Cadastro!$B$6:$B$8,0)),""))</f>
        <v/>
      </c>
      <c r="N2528" s="43" t="str">
        <f aca="false">IF(OR($L2528="",$I2528="",$I2528=0),"",$L2528/$I2528)</f>
        <v/>
      </c>
      <c r="O2528" s="51"/>
    </row>
    <row r="2529" customFormat="false" ht="15" hidden="false" customHeight="false" outlineLevel="0" collapsed="false">
      <c r="A2529" s="45"/>
      <c r="B2529" s="37" t="str">
        <f aca="false">IF($A2529="","",WEEKNUM($A2529,2))</f>
        <v/>
      </c>
      <c r="C2529" s="37" t="str">
        <f aca="false">IF($A2529="","",CHOOSE(WEEKDAY($A2529,2),"Seg","Ter","Qua","Qui","Sex","Sáb","Dom"))</f>
        <v/>
      </c>
      <c r="D2529" s="46"/>
      <c r="E2529" s="47"/>
      <c r="F2529" s="47"/>
      <c r="G2529" s="48"/>
      <c r="H2529" s="49"/>
      <c r="I2529" s="50"/>
      <c r="J2529" s="48"/>
      <c r="K2529" s="49"/>
      <c r="L2529" s="50"/>
      <c r="M2529" s="43" t="str">
        <f aca="false">IF(OR($L2529="",$F2529=""),"",IFERROR($L2529/INDEX(Cadastro!$E$6:$E$8,MATCH($F2529,Cadastro!$B$6:$B$8,0)),""))</f>
        <v/>
      </c>
      <c r="N2529" s="43" t="str">
        <f aca="false">IF(OR($L2529="",$I2529="",$I2529=0),"",$L2529/$I2529)</f>
        <v/>
      </c>
      <c r="O2529" s="51"/>
    </row>
    <row r="2530" customFormat="false" ht="15" hidden="false" customHeight="false" outlineLevel="0" collapsed="false">
      <c r="A2530" s="45"/>
      <c r="B2530" s="37" t="str">
        <f aca="false">IF($A2530="","",WEEKNUM($A2530,2))</f>
        <v/>
      </c>
      <c r="C2530" s="37" t="str">
        <f aca="false">IF($A2530="","",CHOOSE(WEEKDAY($A2530,2),"Seg","Ter","Qua","Qui","Sex","Sáb","Dom"))</f>
        <v/>
      </c>
      <c r="D2530" s="46"/>
      <c r="E2530" s="47"/>
      <c r="F2530" s="47"/>
      <c r="G2530" s="48"/>
      <c r="H2530" s="49"/>
      <c r="I2530" s="50"/>
      <c r="J2530" s="48"/>
      <c r="K2530" s="49"/>
      <c r="L2530" s="50"/>
      <c r="M2530" s="43" t="str">
        <f aca="false">IF(OR($L2530="",$F2530=""),"",IFERROR($L2530/INDEX(Cadastro!$E$6:$E$8,MATCH($F2530,Cadastro!$B$6:$B$8,0)),""))</f>
        <v/>
      </c>
      <c r="N2530" s="43" t="str">
        <f aca="false">IF(OR($L2530="",$I2530="",$I2530=0),"",$L2530/$I2530)</f>
        <v/>
      </c>
      <c r="O2530" s="51"/>
    </row>
    <row r="2531" customFormat="false" ht="15" hidden="false" customHeight="false" outlineLevel="0" collapsed="false">
      <c r="A2531" s="45"/>
      <c r="B2531" s="37" t="str">
        <f aca="false">IF($A2531="","",WEEKNUM($A2531,2))</f>
        <v/>
      </c>
      <c r="C2531" s="37" t="str">
        <f aca="false">IF($A2531="","",CHOOSE(WEEKDAY($A2531,2),"Seg","Ter","Qua","Qui","Sex","Sáb","Dom"))</f>
        <v/>
      </c>
      <c r="D2531" s="46"/>
      <c r="E2531" s="47"/>
      <c r="F2531" s="47"/>
      <c r="G2531" s="48"/>
      <c r="H2531" s="49"/>
      <c r="I2531" s="50"/>
      <c r="J2531" s="48"/>
      <c r="K2531" s="49"/>
      <c r="L2531" s="50"/>
      <c r="M2531" s="43" t="str">
        <f aca="false">IF(OR($L2531="",$F2531=""),"",IFERROR($L2531/INDEX(Cadastro!$E$6:$E$8,MATCH($F2531,Cadastro!$B$6:$B$8,0)),""))</f>
        <v/>
      </c>
      <c r="N2531" s="43" t="str">
        <f aca="false">IF(OR($L2531="",$I2531="",$I2531=0),"",$L2531/$I2531)</f>
        <v/>
      </c>
      <c r="O2531" s="51"/>
    </row>
    <row r="2532" customFormat="false" ht="15" hidden="false" customHeight="false" outlineLevel="0" collapsed="false">
      <c r="A2532" s="45"/>
      <c r="B2532" s="37" t="str">
        <f aca="false">IF($A2532="","",WEEKNUM($A2532,2))</f>
        <v/>
      </c>
      <c r="C2532" s="37" t="str">
        <f aca="false">IF($A2532="","",CHOOSE(WEEKDAY($A2532,2),"Seg","Ter","Qua","Qui","Sex","Sáb","Dom"))</f>
        <v/>
      </c>
      <c r="D2532" s="46"/>
      <c r="E2532" s="47"/>
      <c r="F2532" s="47"/>
      <c r="G2532" s="48"/>
      <c r="H2532" s="49"/>
      <c r="I2532" s="50"/>
      <c r="J2532" s="48"/>
      <c r="K2532" s="49"/>
      <c r="L2532" s="50"/>
      <c r="M2532" s="43" t="str">
        <f aca="false">IF(OR($L2532="",$F2532=""),"",IFERROR($L2532/INDEX(Cadastro!$E$6:$E$8,MATCH($F2532,Cadastro!$B$6:$B$8,0)),""))</f>
        <v/>
      </c>
      <c r="N2532" s="43" t="str">
        <f aca="false">IF(OR($L2532="",$I2532="",$I2532=0),"",$L2532/$I2532)</f>
        <v/>
      </c>
      <c r="O2532" s="51"/>
    </row>
    <row r="2533" customFormat="false" ht="15" hidden="false" customHeight="false" outlineLevel="0" collapsed="false">
      <c r="A2533" s="45"/>
      <c r="B2533" s="37" t="str">
        <f aca="false">IF($A2533="","",WEEKNUM($A2533,2))</f>
        <v/>
      </c>
      <c r="C2533" s="37" t="str">
        <f aca="false">IF($A2533="","",CHOOSE(WEEKDAY($A2533,2),"Seg","Ter","Qua","Qui","Sex","Sáb","Dom"))</f>
        <v/>
      </c>
      <c r="D2533" s="46"/>
      <c r="E2533" s="47"/>
      <c r="F2533" s="47"/>
      <c r="G2533" s="48"/>
      <c r="H2533" s="49"/>
      <c r="I2533" s="50"/>
      <c r="J2533" s="48"/>
      <c r="K2533" s="49"/>
      <c r="L2533" s="50"/>
      <c r="M2533" s="43" t="str">
        <f aca="false">IF(OR($L2533="",$F2533=""),"",IFERROR($L2533/INDEX(Cadastro!$E$6:$E$8,MATCH($F2533,Cadastro!$B$6:$B$8,0)),""))</f>
        <v/>
      </c>
      <c r="N2533" s="43" t="str">
        <f aca="false">IF(OR($L2533="",$I2533="",$I2533=0),"",$L2533/$I2533)</f>
        <v/>
      </c>
      <c r="O2533" s="51"/>
    </row>
    <row r="2534" customFormat="false" ht="15" hidden="false" customHeight="false" outlineLevel="0" collapsed="false">
      <c r="A2534" s="45"/>
      <c r="B2534" s="37" t="str">
        <f aca="false">IF($A2534="","",WEEKNUM($A2534,2))</f>
        <v/>
      </c>
      <c r="C2534" s="37" t="str">
        <f aca="false">IF($A2534="","",CHOOSE(WEEKDAY($A2534,2),"Seg","Ter","Qua","Qui","Sex","Sáb","Dom"))</f>
        <v/>
      </c>
      <c r="D2534" s="46"/>
      <c r="E2534" s="47"/>
      <c r="F2534" s="47"/>
      <c r="G2534" s="48"/>
      <c r="H2534" s="49"/>
      <c r="I2534" s="50"/>
      <c r="J2534" s="48"/>
      <c r="K2534" s="49"/>
      <c r="L2534" s="50"/>
      <c r="M2534" s="43" t="str">
        <f aca="false">IF(OR($L2534="",$F2534=""),"",IFERROR($L2534/INDEX(Cadastro!$E$6:$E$8,MATCH($F2534,Cadastro!$B$6:$B$8,0)),""))</f>
        <v/>
      </c>
      <c r="N2534" s="43" t="str">
        <f aca="false">IF(OR($L2534="",$I2534="",$I2534=0),"",$L2534/$I2534)</f>
        <v/>
      </c>
      <c r="O2534" s="51"/>
    </row>
    <row r="2535" customFormat="false" ht="15" hidden="false" customHeight="false" outlineLevel="0" collapsed="false">
      <c r="A2535" s="45"/>
      <c r="B2535" s="37" t="str">
        <f aca="false">IF($A2535="","",WEEKNUM($A2535,2))</f>
        <v/>
      </c>
      <c r="C2535" s="37" t="str">
        <f aca="false">IF($A2535="","",CHOOSE(WEEKDAY($A2535,2),"Seg","Ter","Qua","Qui","Sex","Sáb","Dom"))</f>
        <v/>
      </c>
      <c r="D2535" s="46"/>
      <c r="E2535" s="47"/>
      <c r="F2535" s="47"/>
      <c r="G2535" s="48"/>
      <c r="H2535" s="49"/>
      <c r="I2535" s="50"/>
      <c r="J2535" s="48"/>
      <c r="K2535" s="49"/>
      <c r="L2535" s="50"/>
      <c r="M2535" s="43" t="str">
        <f aca="false">IF(OR($L2535="",$F2535=""),"",IFERROR($L2535/INDEX(Cadastro!$E$6:$E$8,MATCH($F2535,Cadastro!$B$6:$B$8,0)),""))</f>
        <v/>
      </c>
      <c r="N2535" s="43" t="str">
        <f aca="false">IF(OR($L2535="",$I2535="",$I2535=0),"",$L2535/$I2535)</f>
        <v/>
      </c>
      <c r="O2535" s="51"/>
    </row>
    <row r="2536" customFormat="false" ht="15" hidden="false" customHeight="false" outlineLevel="0" collapsed="false">
      <c r="A2536" s="45"/>
      <c r="B2536" s="37" t="str">
        <f aca="false">IF($A2536="","",WEEKNUM($A2536,2))</f>
        <v/>
      </c>
      <c r="C2536" s="37" t="str">
        <f aca="false">IF($A2536="","",CHOOSE(WEEKDAY($A2536,2),"Seg","Ter","Qua","Qui","Sex","Sáb","Dom"))</f>
        <v/>
      </c>
      <c r="D2536" s="46"/>
      <c r="E2536" s="47"/>
      <c r="F2536" s="47"/>
      <c r="G2536" s="48"/>
      <c r="H2536" s="49"/>
      <c r="I2536" s="50"/>
      <c r="J2536" s="48"/>
      <c r="K2536" s="49"/>
      <c r="L2536" s="50"/>
      <c r="M2536" s="43" t="str">
        <f aca="false">IF(OR($L2536="",$F2536=""),"",IFERROR($L2536/INDEX(Cadastro!$E$6:$E$8,MATCH($F2536,Cadastro!$B$6:$B$8,0)),""))</f>
        <v/>
      </c>
      <c r="N2536" s="43" t="str">
        <f aca="false">IF(OR($L2536="",$I2536="",$I2536=0),"",$L2536/$I2536)</f>
        <v/>
      </c>
      <c r="O2536" s="51"/>
    </row>
    <row r="2537" customFormat="false" ht="15" hidden="false" customHeight="false" outlineLevel="0" collapsed="false">
      <c r="A2537" s="45"/>
      <c r="B2537" s="37" t="str">
        <f aca="false">IF($A2537="","",WEEKNUM($A2537,2))</f>
        <v/>
      </c>
      <c r="C2537" s="37" t="str">
        <f aca="false">IF($A2537="","",CHOOSE(WEEKDAY($A2537,2),"Seg","Ter","Qua","Qui","Sex","Sáb","Dom"))</f>
        <v/>
      </c>
      <c r="D2537" s="46"/>
      <c r="E2537" s="47"/>
      <c r="F2537" s="47"/>
      <c r="G2537" s="48"/>
      <c r="H2537" s="49"/>
      <c r="I2537" s="50"/>
      <c r="J2537" s="48"/>
      <c r="K2537" s="49"/>
      <c r="L2537" s="50"/>
      <c r="M2537" s="43" t="str">
        <f aca="false">IF(OR($L2537="",$F2537=""),"",IFERROR($L2537/INDEX(Cadastro!$E$6:$E$8,MATCH($F2537,Cadastro!$B$6:$B$8,0)),""))</f>
        <v/>
      </c>
      <c r="N2537" s="43" t="str">
        <f aca="false">IF(OR($L2537="",$I2537="",$I2537=0),"",$L2537/$I2537)</f>
        <v/>
      </c>
      <c r="O2537" s="51"/>
    </row>
    <row r="2538" customFormat="false" ht="15" hidden="false" customHeight="false" outlineLevel="0" collapsed="false">
      <c r="A2538" s="45"/>
      <c r="B2538" s="37" t="str">
        <f aca="false">IF($A2538="","",WEEKNUM($A2538,2))</f>
        <v/>
      </c>
      <c r="C2538" s="37" t="str">
        <f aca="false">IF($A2538="","",CHOOSE(WEEKDAY($A2538,2),"Seg","Ter","Qua","Qui","Sex","Sáb","Dom"))</f>
        <v/>
      </c>
      <c r="D2538" s="46"/>
      <c r="E2538" s="47"/>
      <c r="F2538" s="47"/>
      <c r="G2538" s="48"/>
      <c r="H2538" s="49"/>
      <c r="I2538" s="50"/>
      <c r="J2538" s="48"/>
      <c r="K2538" s="49"/>
      <c r="L2538" s="50"/>
      <c r="M2538" s="43" t="str">
        <f aca="false">IF(OR($L2538="",$F2538=""),"",IFERROR($L2538/INDEX(Cadastro!$E$6:$E$8,MATCH($F2538,Cadastro!$B$6:$B$8,0)),""))</f>
        <v/>
      </c>
      <c r="N2538" s="43" t="str">
        <f aca="false">IF(OR($L2538="",$I2538="",$I2538=0),"",$L2538/$I2538)</f>
        <v/>
      </c>
      <c r="O2538" s="51"/>
    </row>
    <row r="2539" customFormat="false" ht="15" hidden="false" customHeight="false" outlineLevel="0" collapsed="false">
      <c r="A2539" s="45"/>
      <c r="B2539" s="37" t="str">
        <f aca="false">IF($A2539="","",WEEKNUM($A2539,2))</f>
        <v/>
      </c>
      <c r="C2539" s="37" t="str">
        <f aca="false">IF($A2539="","",CHOOSE(WEEKDAY($A2539,2),"Seg","Ter","Qua","Qui","Sex","Sáb","Dom"))</f>
        <v/>
      </c>
      <c r="D2539" s="46"/>
      <c r="E2539" s="47"/>
      <c r="F2539" s="47"/>
      <c r="G2539" s="48"/>
      <c r="H2539" s="49"/>
      <c r="I2539" s="50"/>
      <c r="J2539" s="48"/>
      <c r="K2539" s="49"/>
      <c r="L2539" s="50"/>
      <c r="M2539" s="43" t="str">
        <f aca="false">IF(OR($L2539="",$F2539=""),"",IFERROR($L2539/INDEX(Cadastro!$E$6:$E$8,MATCH($F2539,Cadastro!$B$6:$B$8,0)),""))</f>
        <v/>
      </c>
      <c r="N2539" s="43" t="str">
        <f aca="false">IF(OR($L2539="",$I2539="",$I2539=0),"",$L2539/$I2539)</f>
        <v/>
      </c>
      <c r="O2539" s="51"/>
    </row>
    <row r="2540" customFormat="false" ht="15" hidden="false" customHeight="false" outlineLevel="0" collapsed="false">
      <c r="A2540" s="45"/>
      <c r="B2540" s="37" t="str">
        <f aca="false">IF($A2540="","",WEEKNUM($A2540,2))</f>
        <v/>
      </c>
      <c r="C2540" s="37" t="str">
        <f aca="false">IF($A2540="","",CHOOSE(WEEKDAY($A2540,2),"Seg","Ter","Qua","Qui","Sex","Sáb","Dom"))</f>
        <v/>
      </c>
      <c r="D2540" s="46"/>
      <c r="E2540" s="47"/>
      <c r="F2540" s="47"/>
      <c r="G2540" s="48"/>
      <c r="H2540" s="49"/>
      <c r="I2540" s="50"/>
      <c r="J2540" s="48"/>
      <c r="K2540" s="49"/>
      <c r="L2540" s="50"/>
      <c r="M2540" s="43" t="str">
        <f aca="false">IF(OR($L2540="",$F2540=""),"",IFERROR($L2540/INDEX(Cadastro!$E$6:$E$8,MATCH($F2540,Cadastro!$B$6:$B$8,0)),""))</f>
        <v/>
      </c>
      <c r="N2540" s="43" t="str">
        <f aca="false">IF(OR($L2540="",$I2540="",$I2540=0),"",$L2540/$I2540)</f>
        <v/>
      </c>
      <c r="O2540" s="51"/>
    </row>
    <row r="2541" customFormat="false" ht="15" hidden="false" customHeight="false" outlineLevel="0" collapsed="false">
      <c r="A2541" s="45"/>
      <c r="B2541" s="37" t="str">
        <f aca="false">IF($A2541="","",WEEKNUM($A2541,2))</f>
        <v/>
      </c>
      <c r="C2541" s="37" t="str">
        <f aca="false">IF($A2541="","",CHOOSE(WEEKDAY($A2541,2),"Seg","Ter","Qua","Qui","Sex","Sáb","Dom"))</f>
        <v/>
      </c>
      <c r="D2541" s="46"/>
      <c r="E2541" s="47"/>
      <c r="F2541" s="47"/>
      <c r="G2541" s="48"/>
      <c r="H2541" s="49"/>
      <c r="I2541" s="50"/>
      <c r="J2541" s="48"/>
      <c r="K2541" s="49"/>
      <c r="L2541" s="50"/>
      <c r="M2541" s="43" t="str">
        <f aca="false">IF(OR($L2541="",$F2541=""),"",IFERROR($L2541/INDEX(Cadastro!$E$6:$E$8,MATCH($F2541,Cadastro!$B$6:$B$8,0)),""))</f>
        <v/>
      </c>
      <c r="N2541" s="43" t="str">
        <f aca="false">IF(OR($L2541="",$I2541="",$I2541=0),"",$L2541/$I2541)</f>
        <v/>
      </c>
      <c r="O2541" s="51"/>
    </row>
    <row r="2542" customFormat="false" ht="15" hidden="false" customHeight="false" outlineLevel="0" collapsed="false">
      <c r="A2542" s="45"/>
      <c r="B2542" s="37" t="str">
        <f aca="false">IF($A2542="","",WEEKNUM($A2542,2))</f>
        <v/>
      </c>
      <c r="C2542" s="37" t="str">
        <f aca="false">IF($A2542="","",CHOOSE(WEEKDAY($A2542,2),"Seg","Ter","Qua","Qui","Sex","Sáb","Dom"))</f>
        <v/>
      </c>
      <c r="D2542" s="46"/>
      <c r="E2542" s="47"/>
      <c r="F2542" s="47"/>
      <c r="G2542" s="48"/>
      <c r="H2542" s="49"/>
      <c r="I2542" s="50"/>
      <c r="J2542" s="48"/>
      <c r="K2542" s="49"/>
      <c r="L2542" s="50"/>
      <c r="M2542" s="43" t="str">
        <f aca="false">IF(OR($L2542="",$F2542=""),"",IFERROR($L2542/INDEX(Cadastro!$E$6:$E$8,MATCH($F2542,Cadastro!$B$6:$B$8,0)),""))</f>
        <v/>
      </c>
      <c r="N2542" s="43" t="str">
        <f aca="false">IF(OR($L2542="",$I2542="",$I2542=0),"",$L2542/$I2542)</f>
        <v/>
      </c>
      <c r="O2542" s="51"/>
    </row>
    <row r="2543" customFormat="false" ht="15" hidden="false" customHeight="false" outlineLevel="0" collapsed="false">
      <c r="A2543" s="45"/>
      <c r="B2543" s="37" t="str">
        <f aca="false">IF($A2543="","",WEEKNUM($A2543,2))</f>
        <v/>
      </c>
      <c r="C2543" s="37" t="str">
        <f aca="false">IF($A2543="","",CHOOSE(WEEKDAY($A2543,2),"Seg","Ter","Qua","Qui","Sex","Sáb","Dom"))</f>
        <v/>
      </c>
      <c r="D2543" s="46"/>
      <c r="E2543" s="47"/>
      <c r="F2543" s="47"/>
      <c r="G2543" s="48"/>
      <c r="H2543" s="49"/>
      <c r="I2543" s="50"/>
      <c r="J2543" s="48"/>
      <c r="K2543" s="49"/>
      <c r="L2543" s="50"/>
      <c r="M2543" s="43" t="str">
        <f aca="false">IF(OR($L2543="",$F2543=""),"",IFERROR($L2543/INDEX(Cadastro!$E$6:$E$8,MATCH($F2543,Cadastro!$B$6:$B$8,0)),""))</f>
        <v/>
      </c>
      <c r="N2543" s="43" t="str">
        <f aca="false">IF(OR($L2543="",$I2543="",$I2543=0),"",$L2543/$I2543)</f>
        <v/>
      </c>
      <c r="O2543" s="51"/>
    </row>
    <row r="2544" customFormat="false" ht="15" hidden="false" customHeight="false" outlineLevel="0" collapsed="false">
      <c r="A2544" s="45"/>
      <c r="B2544" s="37" t="str">
        <f aca="false">IF($A2544="","",WEEKNUM($A2544,2))</f>
        <v/>
      </c>
      <c r="C2544" s="37" t="str">
        <f aca="false">IF($A2544="","",CHOOSE(WEEKDAY($A2544,2),"Seg","Ter","Qua","Qui","Sex","Sáb","Dom"))</f>
        <v/>
      </c>
      <c r="D2544" s="46"/>
      <c r="E2544" s="47"/>
      <c r="F2544" s="47"/>
      <c r="G2544" s="48"/>
      <c r="H2544" s="49"/>
      <c r="I2544" s="50"/>
      <c r="J2544" s="48"/>
      <c r="K2544" s="49"/>
      <c r="L2544" s="50"/>
      <c r="M2544" s="43" t="str">
        <f aca="false">IF(OR($L2544="",$F2544=""),"",IFERROR($L2544/INDEX(Cadastro!$E$6:$E$8,MATCH($F2544,Cadastro!$B$6:$B$8,0)),""))</f>
        <v/>
      </c>
      <c r="N2544" s="43" t="str">
        <f aca="false">IF(OR($L2544="",$I2544="",$I2544=0),"",$L2544/$I2544)</f>
        <v/>
      </c>
      <c r="O2544" s="51"/>
    </row>
    <row r="2545" customFormat="false" ht="15" hidden="false" customHeight="false" outlineLevel="0" collapsed="false">
      <c r="A2545" s="45"/>
      <c r="B2545" s="37" t="str">
        <f aca="false">IF($A2545="","",WEEKNUM($A2545,2))</f>
        <v/>
      </c>
      <c r="C2545" s="37" t="str">
        <f aca="false">IF($A2545="","",CHOOSE(WEEKDAY($A2545,2),"Seg","Ter","Qua","Qui","Sex","Sáb","Dom"))</f>
        <v/>
      </c>
      <c r="D2545" s="46"/>
      <c r="E2545" s="47"/>
      <c r="F2545" s="47"/>
      <c r="G2545" s="48"/>
      <c r="H2545" s="49"/>
      <c r="I2545" s="50"/>
      <c r="J2545" s="48"/>
      <c r="K2545" s="49"/>
      <c r="L2545" s="50"/>
      <c r="M2545" s="43" t="str">
        <f aca="false">IF(OR($L2545="",$F2545=""),"",IFERROR($L2545/INDEX(Cadastro!$E$6:$E$8,MATCH($F2545,Cadastro!$B$6:$B$8,0)),""))</f>
        <v/>
      </c>
      <c r="N2545" s="43" t="str">
        <f aca="false">IF(OR($L2545="",$I2545="",$I2545=0),"",$L2545/$I2545)</f>
        <v/>
      </c>
      <c r="O2545" s="51"/>
    </row>
    <row r="2546" customFormat="false" ht="15" hidden="false" customHeight="false" outlineLevel="0" collapsed="false">
      <c r="A2546" s="45"/>
      <c r="B2546" s="37" t="str">
        <f aca="false">IF($A2546="","",WEEKNUM($A2546,2))</f>
        <v/>
      </c>
      <c r="C2546" s="37" t="str">
        <f aca="false">IF($A2546="","",CHOOSE(WEEKDAY($A2546,2),"Seg","Ter","Qua","Qui","Sex","Sáb","Dom"))</f>
        <v/>
      </c>
      <c r="D2546" s="46"/>
      <c r="E2546" s="47"/>
      <c r="F2546" s="47"/>
      <c r="G2546" s="48"/>
      <c r="H2546" s="49"/>
      <c r="I2546" s="50"/>
      <c r="J2546" s="48"/>
      <c r="K2546" s="49"/>
      <c r="L2546" s="50"/>
      <c r="M2546" s="43" t="str">
        <f aca="false">IF(OR($L2546="",$F2546=""),"",IFERROR($L2546/INDEX(Cadastro!$E$6:$E$8,MATCH($F2546,Cadastro!$B$6:$B$8,0)),""))</f>
        <v/>
      </c>
      <c r="N2546" s="43" t="str">
        <f aca="false">IF(OR($L2546="",$I2546="",$I2546=0),"",$L2546/$I2546)</f>
        <v/>
      </c>
      <c r="O2546" s="51"/>
    </row>
    <row r="2547" customFormat="false" ht="15" hidden="false" customHeight="false" outlineLevel="0" collapsed="false">
      <c r="A2547" s="45"/>
      <c r="B2547" s="37" t="str">
        <f aca="false">IF($A2547="","",WEEKNUM($A2547,2))</f>
        <v/>
      </c>
      <c r="C2547" s="37" t="str">
        <f aca="false">IF($A2547="","",CHOOSE(WEEKDAY($A2547,2),"Seg","Ter","Qua","Qui","Sex","Sáb","Dom"))</f>
        <v/>
      </c>
      <c r="D2547" s="46"/>
      <c r="E2547" s="47"/>
      <c r="F2547" s="47"/>
      <c r="G2547" s="48"/>
      <c r="H2547" s="49"/>
      <c r="I2547" s="50"/>
      <c r="J2547" s="48"/>
      <c r="K2547" s="49"/>
      <c r="L2547" s="50"/>
      <c r="M2547" s="43" t="str">
        <f aca="false">IF(OR($L2547="",$F2547=""),"",IFERROR($L2547/INDEX(Cadastro!$E$6:$E$8,MATCH($F2547,Cadastro!$B$6:$B$8,0)),""))</f>
        <v/>
      </c>
      <c r="N2547" s="43" t="str">
        <f aca="false">IF(OR($L2547="",$I2547="",$I2547=0),"",$L2547/$I2547)</f>
        <v/>
      </c>
      <c r="O2547" s="51"/>
    </row>
    <row r="2548" customFormat="false" ht="15" hidden="false" customHeight="false" outlineLevel="0" collapsed="false">
      <c r="A2548" s="45"/>
      <c r="B2548" s="37" t="str">
        <f aca="false">IF($A2548="","",WEEKNUM($A2548,2))</f>
        <v/>
      </c>
      <c r="C2548" s="37" t="str">
        <f aca="false">IF($A2548="","",CHOOSE(WEEKDAY($A2548,2),"Seg","Ter","Qua","Qui","Sex","Sáb","Dom"))</f>
        <v/>
      </c>
      <c r="D2548" s="46"/>
      <c r="E2548" s="47"/>
      <c r="F2548" s="47"/>
      <c r="G2548" s="48"/>
      <c r="H2548" s="49"/>
      <c r="I2548" s="50"/>
      <c r="J2548" s="48"/>
      <c r="K2548" s="49"/>
      <c r="L2548" s="50"/>
      <c r="M2548" s="43" t="str">
        <f aca="false">IF(OR($L2548="",$F2548=""),"",IFERROR($L2548/INDEX(Cadastro!$E$6:$E$8,MATCH($F2548,Cadastro!$B$6:$B$8,0)),""))</f>
        <v/>
      </c>
      <c r="N2548" s="43" t="str">
        <f aca="false">IF(OR($L2548="",$I2548="",$I2548=0),"",$L2548/$I2548)</f>
        <v/>
      </c>
      <c r="O2548" s="51"/>
    </row>
    <row r="2549" customFormat="false" ht="15" hidden="false" customHeight="false" outlineLevel="0" collapsed="false">
      <c r="A2549" s="45"/>
      <c r="B2549" s="37" t="str">
        <f aca="false">IF($A2549="","",WEEKNUM($A2549,2))</f>
        <v/>
      </c>
      <c r="C2549" s="37" t="str">
        <f aca="false">IF($A2549="","",CHOOSE(WEEKDAY($A2549,2),"Seg","Ter","Qua","Qui","Sex","Sáb","Dom"))</f>
        <v/>
      </c>
      <c r="D2549" s="46"/>
      <c r="E2549" s="47"/>
      <c r="F2549" s="47"/>
      <c r="G2549" s="48"/>
      <c r="H2549" s="49"/>
      <c r="I2549" s="50"/>
      <c r="J2549" s="48"/>
      <c r="K2549" s="49"/>
      <c r="L2549" s="50"/>
      <c r="M2549" s="43" t="str">
        <f aca="false">IF(OR($L2549="",$F2549=""),"",IFERROR($L2549/INDEX(Cadastro!$E$6:$E$8,MATCH($F2549,Cadastro!$B$6:$B$8,0)),""))</f>
        <v/>
      </c>
      <c r="N2549" s="43" t="str">
        <f aca="false">IF(OR($L2549="",$I2549="",$I2549=0),"",$L2549/$I2549)</f>
        <v/>
      </c>
      <c r="O2549" s="51"/>
    </row>
    <row r="2550" customFormat="false" ht="15" hidden="false" customHeight="false" outlineLevel="0" collapsed="false">
      <c r="A2550" s="45"/>
      <c r="B2550" s="37" t="str">
        <f aca="false">IF($A2550="","",WEEKNUM($A2550,2))</f>
        <v/>
      </c>
      <c r="C2550" s="37" t="str">
        <f aca="false">IF($A2550="","",CHOOSE(WEEKDAY($A2550,2),"Seg","Ter","Qua","Qui","Sex","Sáb","Dom"))</f>
        <v/>
      </c>
      <c r="D2550" s="46"/>
      <c r="E2550" s="47"/>
      <c r="F2550" s="47"/>
      <c r="G2550" s="48"/>
      <c r="H2550" s="49"/>
      <c r="I2550" s="50"/>
      <c r="J2550" s="48"/>
      <c r="K2550" s="49"/>
      <c r="L2550" s="50"/>
      <c r="M2550" s="43" t="str">
        <f aca="false">IF(OR($L2550="",$F2550=""),"",IFERROR($L2550/INDEX(Cadastro!$E$6:$E$8,MATCH($F2550,Cadastro!$B$6:$B$8,0)),""))</f>
        <v/>
      </c>
      <c r="N2550" s="43" t="str">
        <f aca="false">IF(OR($L2550="",$I2550="",$I2550=0),"",$L2550/$I2550)</f>
        <v/>
      </c>
      <c r="O2550" s="51"/>
    </row>
    <row r="2551" customFormat="false" ht="15" hidden="false" customHeight="false" outlineLevel="0" collapsed="false">
      <c r="A2551" s="45"/>
      <c r="B2551" s="37" t="str">
        <f aca="false">IF($A2551="","",WEEKNUM($A2551,2))</f>
        <v/>
      </c>
      <c r="C2551" s="37" t="str">
        <f aca="false">IF($A2551="","",CHOOSE(WEEKDAY($A2551,2),"Seg","Ter","Qua","Qui","Sex","Sáb","Dom"))</f>
        <v/>
      </c>
      <c r="D2551" s="46"/>
      <c r="E2551" s="47"/>
      <c r="F2551" s="47"/>
      <c r="G2551" s="48"/>
      <c r="H2551" s="49"/>
      <c r="I2551" s="50"/>
      <c r="J2551" s="48"/>
      <c r="K2551" s="49"/>
      <c r="L2551" s="50"/>
      <c r="M2551" s="43" t="str">
        <f aca="false">IF(OR($L2551="",$F2551=""),"",IFERROR($L2551/INDEX(Cadastro!$E$6:$E$8,MATCH($F2551,Cadastro!$B$6:$B$8,0)),""))</f>
        <v/>
      </c>
      <c r="N2551" s="43" t="str">
        <f aca="false">IF(OR($L2551="",$I2551="",$I2551=0),"",$L2551/$I2551)</f>
        <v/>
      </c>
      <c r="O2551" s="51"/>
    </row>
    <row r="2552" customFormat="false" ht="15" hidden="false" customHeight="false" outlineLevel="0" collapsed="false">
      <c r="A2552" s="45"/>
      <c r="B2552" s="37" t="str">
        <f aca="false">IF($A2552="","",WEEKNUM($A2552,2))</f>
        <v/>
      </c>
      <c r="C2552" s="37" t="str">
        <f aca="false">IF($A2552="","",CHOOSE(WEEKDAY($A2552,2),"Seg","Ter","Qua","Qui","Sex","Sáb","Dom"))</f>
        <v/>
      </c>
      <c r="D2552" s="46"/>
      <c r="E2552" s="47"/>
      <c r="F2552" s="47"/>
      <c r="G2552" s="48"/>
      <c r="H2552" s="49"/>
      <c r="I2552" s="50"/>
      <c r="J2552" s="48"/>
      <c r="K2552" s="49"/>
      <c r="L2552" s="50"/>
      <c r="M2552" s="43" t="str">
        <f aca="false">IF(OR($L2552="",$F2552=""),"",IFERROR($L2552/INDEX(Cadastro!$E$6:$E$8,MATCH($F2552,Cadastro!$B$6:$B$8,0)),""))</f>
        <v/>
      </c>
      <c r="N2552" s="43" t="str">
        <f aca="false">IF(OR($L2552="",$I2552="",$I2552=0),"",$L2552/$I2552)</f>
        <v/>
      </c>
      <c r="O2552" s="51"/>
    </row>
    <row r="2553" customFormat="false" ht="15" hidden="false" customHeight="false" outlineLevel="0" collapsed="false">
      <c r="A2553" s="45"/>
      <c r="B2553" s="37" t="str">
        <f aca="false">IF($A2553="","",WEEKNUM($A2553,2))</f>
        <v/>
      </c>
      <c r="C2553" s="37" t="str">
        <f aca="false">IF($A2553="","",CHOOSE(WEEKDAY($A2553,2),"Seg","Ter","Qua","Qui","Sex","Sáb","Dom"))</f>
        <v/>
      </c>
      <c r="D2553" s="46"/>
      <c r="E2553" s="47"/>
      <c r="F2553" s="47"/>
      <c r="G2553" s="48"/>
      <c r="H2553" s="49"/>
      <c r="I2553" s="50"/>
      <c r="J2553" s="48"/>
      <c r="K2553" s="49"/>
      <c r="L2553" s="50"/>
      <c r="M2553" s="43" t="str">
        <f aca="false">IF(OR($L2553="",$F2553=""),"",IFERROR($L2553/INDEX(Cadastro!$E$6:$E$8,MATCH($F2553,Cadastro!$B$6:$B$8,0)),""))</f>
        <v/>
      </c>
      <c r="N2553" s="43" t="str">
        <f aca="false">IF(OR($L2553="",$I2553="",$I2553=0),"",$L2553/$I2553)</f>
        <v/>
      </c>
      <c r="O2553" s="51"/>
    </row>
    <row r="2554" customFormat="false" ht="15" hidden="false" customHeight="false" outlineLevel="0" collapsed="false">
      <c r="A2554" s="45"/>
      <c r="B2554" s="37" t="str">
        <f aca="false">IF($A2554="","",WEEKNUM($A2554,2))</f>
        <v/>
      </c>
      <c r="C2554" s="37" t="str">
        <f aca="false">IF($A2554="","",CHOOSE(WEEKDAY($A2554,2),"Seg","Ter","Qua","Qui","Sex","Sáb","Dom"))</f>
        <v/>
      </c>
      <c r="D2554" s="46"/>
      <c r="E2554" s="47"/>
      <c r="F2554" s="47"/>
      <c r="G2554" s="48"/>
      <c r="H2554" s="49"/>
      <c r="I2554" s="50"/>
      <c r="J2554" s="48"/>
      <c r="K2554" s="49"/>
      <c r="L2554" s="50"/>
      <c r="M2554" s="43" t="str">
        <f aca="false">IF(OR($L2554="",$F2554=""),"",IFERROR($L2554/INDEX(Cadastro!$E$6:$E$8,MATCH($F2554,Cadastro!$B$6:$B$8,0)),""))</f>
        <v/>
      </c>
      <c r="N2554" s="43" t="str">
        <f aca="false">IF(OR($L2554="",$I2554="",$I2554=0),"",$L2554/$I2554)</f>
        <v/>
      </c>
      <c r="O2554" s="51"/>
    </row>
    <row r="2555" customFormat="false" ht="15" hidden="false" customHeight="false" outlineLevel="0" collapsed="false">
      <c r="A2555" s="45"/>
      <c r="B2555" s="37" t="str">
        <f aca="false">IF($A2555="","",WEEKNUM($A2555,2))</f>
        <v/>
      </c>
      <c r="C2555" s="37" t="str">
        <f aca="false">IF($A2555="","",CHOOSE(WEEKDAY($A2555,2),"Seg","Ter","Qua","Qui","Sex","Sáb","Dom"))</f>
        <v/>
      </c>
      <c r="D2555" s="46"/>
      <c r="E2555" s="47"/>
      <c r="F2555" s="47"/>
      <c r="G2555" s="48"/>
      <c r="H2555" s="49"/>
      <c r="I2555" s="50"/>
      <c r="J2555" s="48"/>
      <c r="K2555" s="49"/>
      <c r="L2555" s="50"/>
      <c r="M2555" s="43" t="str">
        <f aca="false">IF(OR($L2555="",$F2555=""),"",IFERROR($L2555/INDEX(Cadastro!$E$6:$E$8,MATCH($F2555,Cadastro!$B$6:$B$8,0)),""))</f>
        <v/>
      </c>
      <c r="N2555" s="43" t="str">
        <f aca="false">IF(OR($L2555="",$I2555="",$I2555=0),"",$L2555/$I2555)</f>
        <v/>
      </c>
      <c r="O2555" s="51"/>
    </row>
    <row r="2556" customFormat="false" ht="15" hidden="false" customHeight="false" outlineLevel="0" collapsed="false">
      <c r="A2556" s="45"/>
      <c r="B2556" s="37" t="str">
        <f aca="false">IF($A2556="","",WEEKNUM($A2556,2))</f>
        <v/>
      </c>
      <c r="C2556" s="37" t="str">
        <f aca="false">IF($A2556="","",CHOOSE(WEEKDAY($A2556,2),"Seg","Ter","Qua","Qui","Sex","Sáb","Dom"))</f>
        <v/>
      </c>
      <c r="D2556" s="46"/>
      <c r="E2556" s="47"/>
      <c r="F2556" s="47"/>
      <c r="G2556" s="48"/>
      <c r="H2556" s="49"/>
      <c r="I2556" s="50"/>
      <c r="J2556" s="48"/>
      <c r="K2556" s="49"/>
      <c r="L2556" s="50"/>
      <c r="M2556" s="43" t="str">
        <f aca="false">IF(OR($L2556="",$F2556=""),"",IFERROR($L2556/INDEX(Cadastro!$E$6:$E$8,MATCH($F2556,Cadastro!$B$6:$B$8,0)),""))</f>
        <v/>
      </c>
      <c r="N2556" s="43" t="str">
        <f aca="false">IF(OR($L2556="",$I2556="",$I2556=0),"",$L2556/$I2556)</f>
        <v/>
      </c>
      <c r="O2556" s="51"/>
    </row>
    <row r="2557" customFormat="false" ht="15" hidden="false" customHeight="false" outlineLevel="0" collapsed="false">
      <c r="A2557" s="45"/>
      <c r="B2557" s="37" t="str">
        <f aca="false">IF($A2557="","",WEEKNUM($A2557,2))</f>
        <v/>
      </c>
      <c r="C2557" s="37" t="str">
        <f aca="false">IF($A2557="","",CHOOSE(WEEKDAY($A2557,2),"Seg","Ter","Qua","Qui","Sex","Sáb","Dom"))</f>
        <v/>
      </c>
      <c r="D2557" s="46"/>
      <c r="E2557" s="47"/>
      <c r="F2557" s="47"/>
      <c r="G2557" s="48"/>
      <c r="H2557" s="49"/>
      <c r="I2557" s="50"/>
      <c r="J2557" s="48"/>
      <c r="K2557" s="49"/>
      <c r="L2557" s="50"/>
      <c r="M2557" s="43" t="str">
        <f aca="false">IF(OR($L2557="",$F2557=""),"",IFERROR($L2557/INDEX(Cadastro!$E$6:$E$8,MATCH($F2557,Cadastro!$B$6:$B$8,0)),""))</f>
        <v/>
      </c>
      <c r="N2557" s="43" t="str">
        <f aca="false">IF(OR($L2557="",$I2557="",$I2557=0),"",$L2557/$I2557)</f>
        <v/>
      </c>
      <c r="O2557" s="51"/>
    </row>
    <row r="2558" customFormat="false" ht="15" hidden="false" customHeight="false" outlineLevel="0" collapsed="false">
      <c r="A2558" s="45"/>
      <c r="B2558" s="37" t="str">
        <f aca="false">IF($A2558="","",WEEKNUM($A2558,2))</f>
        <v/>
      </c>
      <c r="C2558" s="37" t="str">
        <f aca="false">IF($A2558="","",CHOOSE(WEEKDAY($A2558,2),"Seg","Ter","Qua","Qui","Sex","Sáb","Dom"))</f>
        <v/>
      </c>
      <c r="D2558" s="46"/>
      <c r="E2558" s="47"/>
      <c r="F2558" s="47"/>
      <c r="G2558" s="48"/>
      <c r="H2558" s="49"/>
      <c r="I2558" s="50"/>
      <c r="J2558" s="48"/>
      <c r="K2558" s="49"/>
      <c r="L2558" s="50"/>
      <c r="M2558" s="43" t="str">
        <f aca="false">IF(OR($L2558="",$F2558=""),"",IFERROR($L2558/INDEX(Cadastro!$E$6:$E$8,MATCH($F2558,Cadastro!$B$6:$B$8,0)),""))</f>
        <v/>
      </c>
      <c r="N2558" s="43" t="str">
        <f aca="false">IF(OR($L2558="",$I2558="",$I2558=0),"",$L2558/$I2558)</f>
        <v/>
      </c>
      <c r="O2558" s="51"/>
    </row>
    <row r="2559" customFormat="false" ht="15" hidden="false" customHeight="false" outlineLevel="0" collapsed="false">
      <c r="A2559" s="45"/>
      <c r="B2559" s="37" t="str">
        <f aca="false">IF($A2559="","",WEEKNUM($A2559,2))</f>
        <v/>
      </c>
      <c r="C2559" s="37" t="str">
        <f aca="false">IF($A2559="","",CHOOSE(WEEKDAY($A2559,2),"Seg","Ter","Qua","Qui","Sex","Sáb","Dom"))</f>
        <v/>
      </c>
      <c r="D2559" s="46"/>
      <c r="E2559" s="47"/>
      <c r="F2559" s="47"/>
      <c r="G2559" s="48"/>
      <c r="H2559" s="49"/>
      <c r="I2559" s="50"/>
      <c r="J2559" s="48"/>
      <c r="K2559" s="49"/>
      <c r="L2559" s="50"/>
      <c r="M2559" s="43" t="str">
        <f aca="false">IF(OR($L2559="",$F2559=""),"",IFERROR($L2559/INDEX(Cadastro!$E$6:$E$8,MATCH($F2559,Cadastro!$B$6:$B$8,0)),""))</f>
        <v/>
      </c>
      <c r="N2559" s="43" t="str">
        <f aca="false">IF(OR($L2559="",$I2559="",$I2559=0),"",$L2559/$I2559)</f>
        <v/>
      </c>
      <c r="O2559" s="51"/>
    </row>
    <row r="2560" customFormat="false" ht="15" hidden="false" customHeight="false" outlineLevel="0" collapsed="false">
      <c r="A2560" s="45"/>
      <c r="B2560" s="37" t="str">
        <f aca="false">IF($A2560="","",WEEKNUM($A2560,2))</f>
        <v/>
      </c>
      <c r="C2560" s="37" t="str">
        <f aca="false">IF($A2560="","",CHOOSE(WEEKDAY($A2560,2),"Seg","Ter","Qua","Qui","Sex","Sáb","Dom"))</f>
        <v/>
      </c>
      <c r="D2560" s="46"/>
      <c r="E2560" s="47"/>
      <c r="F2560" s="47"/>
      <c r="G2560" s="48"/>
      <c r="H2560" s="49"/>
      <c r="I2560" s="50"/>
      <c r="J2560" s="48"/>
      <c r="K2560" s="49"/>
      <c r="L2560" s="50"/>
      <c r="M2560" s="43" t="str">
        <f aca="false">IF(OR($L2560="",$F2560=""),"",IFERROR($L2560/INDEX(Cadastro!$E$6:$E$8,MATCH($F2560,Cadastro!$B$6:$B$8,0)),""))</f>
        <v/>
      </c>
      <c r="N2560" s="43" t="str">
        <f aca="false">IF(OR($L2560="",$I2560="",$I2560=0),"",$L2560/$I2560)</f>
        <v/>
      </c>
      <c r="O2560" s="51"/>
    </row>
    <row r="2561" customFormat="false" ht="15" hidden="false" customHeight="false" outlineLevel="0" collapsed="false">
      <c r="A2561" s="45"/>
      <c r="B2561" s="37" t="str">
        <f aca="false">IF($A2561="","",WEEKNUM($A2561,2))</f>
        <v/>
      </c>
      <c r="C2561" s="37" t="str">
        <f aca="false">IF($A2561="","",CHOOSE(WEEKDAY($A2561,2),"Seg","Ter","Qua","Qui","Sex","Sáb","Dom"))</f>
        <v/>
      </c>
      <c r="D2561" s="46"/>
      <c r="E2561" s="47"/>
      <c r="F2561" s="47"/>
      <c r="G2561" s="48"/>
      <c r="H2561" s="49"/>
      <c r="I2561" s="50"/>
      <c r="J2561" s="48"/>
      <c r="K2561" s="49"/>
      <c r="L2561" s="50"/>
      <c r="M2561" s="43" t="str">
        <f aca="false">IF(OR($L2561="",$F2561=""),"",IFERROR($L2561/INDEX(Cadastro!$E$6:$E$8,MATCH($F2561,Cadastro!$B$6:$B$8,0)),""))</f>
        <v/>
      </c>
      <c r="N2561" s="43" t="str">
        <f aca="false">IF(OR($L2561="",$I2561="",$I2561=0),"",$L2561/$I2561)</f>
        <v/>
      </c>
      <c r="O2561" s="51"/>
    </row>
    <row r="2562" customFormat="false" ht="15" hidden="false" customHeight="false" outlineLevel="0" collapsed="false">
      <c r="A2562" s="45"/>
      <c r="B2562" s="37" t="str">
        <f aca="false">IF($A2562="","",WEEKNUM($A2562,2))</f>
        <v/>
      </c>
      <c r="C2562" s="37" t="str">
        <f aca="false">IF($A2562="","",CHOOSE(WEEKDAY($A2562,2),"Seg","Ter","Qua","Qui","Sex","Sáb","Dom"))</f>
        <v/>
      </c>
      <c r="D2562" s="46"/>
      <c r="E2562" s="47"/>
      <c r="F2562" s="47"/>
      <c r="G2562" s="48"/>
      <c r="H2562" s="49"/>
      <c r="I2562" s="50"/>
      <c r="J2562" s="48"/>
      <c r="K2562" s="49"/>
      <c r="L2562" s="50"/>
      <c r="M2562" s="43" t="str">
        <f aca="false">IF(OR($L2562="",$F2562=""),"",IFERROR($L2562/INDEX(Cadastro!$E$6:$E$8,MATCH($F2562,Cadastro!$B$6:$B$8,0)),""))</f>
        <v/>
      </c>
      <c r="N2562" s="43" t="str">
        <f aca="false">IF(OR($L2562="",$I2562="",$I2562=0),"",$L2562/$I2562)</f>
        <v/>
      </c>
      <c r="O2562" s="51"/>
    </row>
    <row r="2563" customFormat="false" ht="15" hidden="false" customHeight="false" outlineLevel="0" collapsed="false">
      <c r="A2563" s="45"/>
      <c r="B2563" s="37" t="str">
        <f aca="false">IF($A2563="","",WEEKNUM($A2563,2))</f>
        <v/>
      </c>
      <c r="C2563" s="37" t="str">
        <f aca="false">IF($A2563="","",CHOOSE(WEEKDAY($A2563,2),"Seg","Ter","Qua","Qui","Sex","Sáb","Dom"))</f>
        <v/>
      </c>
      <c r="D2563" s="46"/>
      <c r="E2563" s="47"/>
      <c r="F2563" s="47"/>
      <c r="G2563" s="48"/>
      <c r="H2563" s="49"/>
      <c r="I2563" s="50"/>
      <c r="J2563" s="48"/>
      <c r="K2563" s="49"/>
      <c r="L2563" s="50"/>
      <c r="M2563" s="43" t="str">
        <f aca="false">IF(OR($L2563="",$F2563=""),"",IFERROR($L2563/INDEX(Cadastro!$E$6:$E$8,MATCH($F2563,Cadastro!$B$6:$B$8,0)),""))</f>
        <v/>
      </c>
      <c r="N2563" s="43" t="str">
        <f aca="false">IF(OR($L2563="",$I2563="",$I2563=0),"",$L2563/$I2563)</f>
        <v/>
      </c>
      <c r="O2563" s="51"/>
    </row>
    <row r="2564" customFormat="false" ht="15" hidden="false" customHeight="false" outlineLevel="0" collapsed="false">
      <c r="A2564" s="45"/>
      <c r="B2564" s="37" t="str">
        <f aca="false">IF($A2564="","",WEEKNUM($A2564,2))</f>
        <v/>
      </c>
      <c r="C2564" s="37" t="str">
        <f aca="false">IF($A2564="","",CHOOSE(WEEKDAY($A2564,2),"Seg","Ter","Qua","Qui","Sex","Sáb","Dom"))</f>
        <v/>
      </c>
      <c r="D2564" s="46"/>
      <c r="E2564" s="47"/>
      <c r="F2564" s="47"/>
      <c r="G2564" s="48"/>
      <c r="H2564" s="49"/>
      <c r="I2564" s="50"/>
      <c r="J2564" s="48"/>
      <c r="K2564" s="49"/>
      <c r="L2564" s="50"/>
      <c r="M2564" s="43" t="str">
        <f aca="false">IF(OR($L2564="",$F2564=""),"",IFERROR($L2564/INDEX(Cadastro!$E$6:$E$8,MATCH($F2564,Cadastro!$B$6:$B$8,0)),""))</f>
        <v/>
      </c>
      <c r="N2564" s="43" t="str">
        <f aca="false">IF(OR($L2564="",$I2564="",$I2564=0),"",$L2564/$I2564)</f>
        <v/>
      </c>
      <c r="O2564" s="51"/>
    </row>
    <row r="2565" customFormat="false" ht="15" hidden="false" customHeight="false" outlineLevel="0" collapsed="false">
      <c r="A2565" s="45"/>
      <c r="B2565" s="37" t="str">
        <f aca="false">IF($A2565="","",WEEKNUM($A2565,2))</f>
        <v/>
      </c>
      <c r="C2565" s="37" t="str">
        <f aca="false">IF($A2565="","",CHOOSE(WEEKDAY($A2565,2),"Seg","Ter","Qua","Qui","Sex","Sáb","Dom"))</f>
        <v/>
      </c>
      <c r="D2565" s="46"/>
      <c r="E2565" s="47"/>
      <c r="F2565" s="47"/>
      <c r="G2565" s="48"/>
      <c r="H2565" s="49"/>
      <c r="I2565" s="50"/>
      <c r="J2565" s="48"/>
      <c r="K2565" s="49"/>
      <c r="L2565" s="50"/>
      <c r="M2565" s="43" t="str">
        <f aca="false">IF(OR($L2565="",$F2565=""),"",IFERROR($L2565/INDEX(Cadastro!$E$6:$E$8,MATCH($F2565,Cadastro!$B$6:$B$8,0)),""))</f>
        <v/>
      </c>
      <c r="N2565" s="43" t="str">
        <f aca="false">IF(OR($L2565="",$I2565="",$I2565=0),"",$L2565/$I2565)</f>
        <v/>
      </c>
      <c r="O2565" s="51"/>
    </row>
    <row r="2566" customFormat="false" ht="15" hidden="false" customHeight="false" outlineLevel="0" collapsed="false">
      <c r="A2566" s="45"/>
      <c r="B2566" s="37" t="str">
        <f aca="false">IF($A2566="","",WEEKNUM($A2566,2))</f>
        <v/>
      </c>
      <c r="C2566" s="37" t="str">
        <f aca="false">IF($A2566="","",CHOOSE(WEEKDAY($A2566,2),"Seg","Ter","Qua","Qui","Sex","Sáb","Dom"))</f>
        <v/>
      </c>
      <c r="D2566" s="46"/>
      <c r="E2566" s="47"/>
      <c r="F2566" s="47"/>
      <c r="G2566" s="48"/>
      <c r="H2566" s="49"/>
      <c r="I2566" s="50"/>
      <c r="J2566" s="48"/>
      <c r="K2566" s="49"/>
      <c r="L2566" s="50"/>
      <c r="M2566" s="43" t="str">
        <f aca="false">IF(OR($L2566="",$F2566=""),"",IFERROR($L2566/INDEX(Cadastro!$E$6:$E$8,MATCH($F2566,Cadastro!$B$6:$B$8,0)),""))</f>
        <v/>
      </c>
      <c r="N2566" s="43" t="str">
        <f aca="false">IF(OR($L2566="",$I2566="",$I2566=0),"",$L2566/$I2566)</f>
        <v/>
      </c>
      <c r="O2566" s="51"/>
    </row>
    <row r="2567" customFormat="false" ht="15" hidden="false" customHeight="false" outlineLevel="0" collapsed="false">
      <c r="A2567" s="45"/>
      <c r="B2567" s="37" t="str">
        <f aca="false">IF($A2567="","",WEEKNUM($A2567,2))</f>
        <v/>
      </c>
      <c r="C2567" s="37" t="str">
        <f aca="false">IF($A2567="","",CHOOSE(WEEKDAY($A2567,2),"Seg","Ter","Qua","Qui","Sex","Sáb","Dom"))</f>
        <v/>
      </c>
      <c r="D2567" s="46"/>
      <c r="E2567" s="47"/>
      <c r="F2567" s="47"/>
      <c r="G2567" s="48"/>
      <c r="H2567" s="49"/>
      <c r="I2567" s="50"/>
      <c r="J2567" s="48"/>
      <c r="K2567" s="49"/>
      <c r="L2567" s="50"/>
      <c r="M2567" s="43" t="str">
        <f aca="false">IF(OR($L2567="",$F2567=""),"",IFERROR($L2567/INDEX(Cadastro!$E$6:$E$8,MATCH($F2567,Cadastro!$B$6:$B$8,0)),""))</f>
        <v/>
      </c>
      <c r="N2567" s="43" t="str">
        <f aca="false">IF(OR($L2567="",$I2567="",$I2567=0),"",$L2567/$I2567)</f>
        <v/>
      </c>
      <c r="O2567" s="51"/>
    </row>
    <row r="2568" customFormat="false" ht="15" hidden="false" customHeight="false" outlineLevel="0" collapsed="false">
      <c r="A2568" s="45"/>
      <c r="B2568" s="37" t="str">
        <f aca="false">IF($A2568="","",WEEKNUM($A2568,2))</f>
        <v/>
      </c>
      <c r="C2568" s="37" t="str">
        <f aca="false">IF($A2568="","",CHOOSE(WEEKDAY($A2568,2),"Seg","Ter","Qua","Qui","Sex","Sáb","Dom"))</f>
        <v/>
      </c>
      <c r="D2568" s="46"/>
      <c r="E2568" s="47"/>
      <c r="F2568" s="47"/>
      <c r="G2568" s="48"/>
      <c r="H2568" s="49"/>
      <c r="I2568" s="50"/>
      <c r="J2568" s="48"/>
      <c r="K2568" s="49"/>
      <c r="L2568" s="50"/>
      <c r="M2568" s="43" t="str">
        <f aca="false">IF(OR($L2568="",$F2568=""),"",IFERROR($L2568/INDEX(Cadastro!$E$6:$E$8,MATCH($F2568,Cadastro!$B$6:$B$8,0)),""))</f>
        <v/>
      </c>
      <c r="N2568" s="43" t="str">
        <f aca="false">IF(OR($L2568="",$I2568="",$I2568=0),"",$L2568/$I2568)</f>
        <v/>
      </c>
      <c r="O2568" s="51"/>
    </row>
    <row r="2569" customFormat="false" ht="15" hidden="false" customHeight="false" outlineLevel="0" collapsed="false">
      <c r="A2569" s="45"/>
      <c r="B2569" s="37" t="str">
        <f aca="false">IF($A2569="","",WEEKNUM($A2569,2))</f>
        <v/>
      </c>
      <c r="C2569" s="37" t="str">
        <f aca="false">IF($A2569="","",CHOOSE(WEEKDAY($A2569,2),"Seg","Ter","Qua","Qui","Sex","Sáb","Dom"))</f>
        <v/>
      </c>
      <c r="D2569" s="46"/>
      <c r="E2569" s="47"/>
      <c r="F2569" s="47"/>
      <c r="G2569" s="48"/>
      <c r="H2569" s="49"/>
      <c r="I2569" s="50"/>
      <c r="J2569" s="48"/>
      <c r="K2569" s="49"/>
      <c r="L2569" s="50"/>
      <c r="M2569" s="43" t="str">
        <f aca="false">IF(OR($L2569="",$F2569=""),"",IFERROR($L2569/INDEX(Cadastro!$E$6:$E$8,MATCH($F2569,Cadastro!$B$6:$B$8,0)),""))</f>
        <v/>
      </c>
      <c r="N2569" s="43" t="str">
        <f aca="false">IF(OR($L2569="",$I2569="",$I2569=0),"",$L2569/$I2569)</f>
        <v/>
      </c>
      <c r="O2569" s="51"/>
    </row>
    <row r="2570" customFormat="false" ht="15" hidden="false" customHeight="false" outlineLevel="0" collapsed="false">
      <c r="A2570" s="45"/>
      <c r="B2570" s="37" t="str">
        <f aca="false">IF($A2570="","",WEEKNUM($A2570,2))</f>
        <v/>
      </c>
      <c r="C2570" s="37" t="str">
        <f aca="false">IF($A2570="","",CHOOSE(WEEKDAY($A2570,2),"Seg","Ter","Qua","Qui","Sex","Sáb","Dom"))</f>
        <v/>
      </c>
      <c r="D2570" s="46"/>
      <c r="E2570" s="47"/>
      <c r="F2570" s="47"/>
      <c r="G2570" s="48"/>
      <c r="H2570" s="49"/>
      <c r="I2570" s="50"/>
      <c r="J2570" s="48"/>
      <c r="K2570" s="49"/>
      <c r="L2570" s="50"/>
      <c r="M2570" s="43" t="str">
        <f aca="false">IF(OR($L2570="",$F2570=""),"",IFERROR($L2570/INDEX(Cadastro!$E$6:$E$8,MATCH($F2570,Cadastro!$B$6:$B$8,0)),""))</f>
        <v/>
      </c>
      <c r="N2570" s="43" t="str">
        <f aca="false">IF(OR($L2570="",$I2570="",$I2570=0),"",$L2570/$I2570)</f>
        <v/>
      </c>
      <c r="O2570" s="51"/>
    </row>
    <row r="2571" customFormat="false" ht="15" hidden="false" customHeight="false" outlineLevel="0" collapsed="false">
      <c r="A2571" s="45"/>
      <c r="B2571" s="37" t="str">
        <f aca="false">IF($A2571="","",WEEKNUM($A2571,2))</f>
        <v/>
      </c>
      <c r="C2571" s="37" t="str">
        <f aca="false">IF($A2571="","",CHOOSE(WEEKDAY($A2571,2),"Seg","Ter","Qua","Qui","Sex","Sáb","Dom"))</f>
        <v/>
      </c>
      <c r="D2571" s="46"/>
      <c r="E2571" s="47"/>
      <c r="F2571" s="47"/>
      <c r="G2571" s="48"/>
      <c r="H2571" s="49"/>
      <c r="I2571" s="50"/>
      <c r="J2571" s="48"/>
      <c r="K2571" s="49"/>
      <c r="L2571" s="50"/>
      <c r="M2571" s="43" t="str">
        <f aca="false">IF(OR($L2571="",$F2571=""),"",IFERROR($L2571/INDEX(Cadastro!$E$6:$E$8,MATCH($F2571,Cadastro!$B$6:$B$8,0)),""))</f>
        <v/>
      </c>
      <c r="N2571" s="43" t="str">
        <f aca="false">IF(OR($L2571="",$I2571="",$I2571=0),"",$L2571/$I2571)</f>
        <v/>
      </c>
      <c r="O2571" s="51"/>
    </row>
    <row r="2572" customFormat="false" ht="15" hidden="false" customHeight="false" outlineLevel="0" collapsed="false">
      <c r="A2572" s="45"/>
      <c r="B2572" s="37" t="str">
        <f aca="false">IF($A2572="","",WEEKNUM($A2572,2))</f>
        <v/>
      </c>
      <c r="C2572" s="37" t="str">
        <f aca="false">IF($A2572="","",CHOOSE(WEEKDAY($A2572,2),"Seg","Ter","Qua","Qui","Sex","Sáb","Dom"))</f>
        <v/>
      </c>
      <c r="D2572" s="46"/>
      <c r="E2572" s="47"/>
      <c r="F2572" s="47"/>
      <c r="G2572" s="48"/>
      <c r="H2572" s="49"/>
      <c r="I2572" s="50"/>
      <c r="J2572" s="48"/>
      <c r="K2572" s="49"/>
      <c r="L2572" s="50"/>
      <c r="M2572" s="43" t="str">
        <f aca="false">IF(OR($L2572="",$F2572=""),"",IFERROR($L2572/INDEX(Cadastro!$E$6:$E$8,MATCH($F2572,Cadastro!$B$6:$B$8,0)),""))</f>
        <v/>
      </c>
      <c r="N2572" s="43" t="str">
        <f aca="false">IF(OR($L2572="",$I2572="",$I2572=0),"",$L2572/$I2572)</f>
        <v/>
      </c>
      <c r="O2572" s="51"/>
    </row>
    <row r="2573" customFormat="false" ht="15" hidden="false" customHeight="false" outlineLevel="0" collapsed="false">
      <c r="A2573" s="45"/>
      <c r="B2573" s="37" t="str">
        <f aca="false">IF($A2573="","",WEEKNUM($A2573,2))</f>
        <v/>
      </c>
      <c r="C2573" s="37" t="str">
        <f aca="false">IF($A2573="","",CHOOSE(WEEKDAY($A2573,2),"Seg","Ter","Qua","Qui","Sex","Sáb","Dom"))</f>
        <v/>
      </c>
      <c r="D2573" s="46"/>
      <c r="E2573" s="47"/>
      <c r="F2573" s="47"/>
      <c r="G2573" s="48"/>
      <c r="H2573" s="49"/>
      <c r="I2573" s="50"/>
      <c r="J2573" s="48"/>
      <c r="K2573" s="49"/>
      <c r="L2573" s="50"/>
      <c r="M2573" s="43" t="str">
        <f aca="false">IF(OR($L2573="",$F2573=""),"",IFERROR($L2573/INDEX(Cadastro!$E$6:$E$8,MATCH($F2573,Cadastro!$B$6:$B$8,0)),""))</f>
        <v/>
      </c>
      <c r="N2573" s="43" t="str">
        <f aca="false">IF(OR($L2573="",$I2573="",$I2573=0),"",$L2573/$I2573)</f>
        <v/>
      </c>
      <c r="O2573" s="51"/>
    </row>
    <row r="2574" customFormat="false" ht="15" hidden="false" customHeight="false" outlineLevel="0" collapsed="false">
      <c r="A2574" s="45"/>
      <c r="B2574" s="37" t="str">
        <f aca="false">IF($A2574="","",WEEKNUM($A2574,2))</f>
        <v/>
      </c>
      <c r="C2574" s="37" t="str">
        <f aca="false">IF($A2574="","",CHOOSE(WEEKDAY($A2574,2),"Seg","Ter","Qua","Qui","Sex","Sáb","Dom"))</f>
        <v/>
      </c>
      <c r="D2574" s="46"/>
      <c r="E2574" s="47"/>
      <c r="F2574" s="47"/>
      <c r="G2574" s="48"/>
      <c r="H2574" s="49"/>
      <c r="I2574" s="50"/>
      <c r="J2574" s="48"/>
      <c r="K2574" s="49"/>
      <c r="L2574" s="50"/>
      <c r="M2574" s="43" t="str">
        <f aca="false">IF(OR($L2574="",$F2574=""),"",IFERROR($L2574/INDEX(Cadastro!$E$6:$E$8,MATCH($F2574,Cadastro!$B$6:$B$8,0)),""))</f>
        <v/>
      </c>
      <c r="N2574" s="43" t="str">
        <f aca="false">IF(OR($L2574="",$I2574="",$I2574=0),"",$L2574/$I2574)</f>
        <v/>
      </c>
      <c r="O2574" s="51"/>
    </row>
    <row r="2575" customFormat="false" ht="15" hidden="false" customHeight="false" outlineLevel="0" collapsed="false">
      <c r="A2575" s="45"/>
      <c r="B2575" s="37" t="str">
        <f aca="false">IF($A2575="","",WEEKNUM($A2575,2))</f>
        <v/>
      </c>
      <c r="C2575" s="37" t="str">
        <f aca="false">IF($A2575="","",CHOOSE(WEEKDAY($A2575,2),"Seg","Ter","Qua","Qui","Sex","Sáb","Dom"))</f>
        <v/>
      </c>
      <c r="D2575" s="46"/>
      <c r="E2575" s="47"/>
      <c r="F2575" s="47"/>
      <c r="G2575" s="48"/>
      <c r="H2575" s="49"/>
      <c r="I2575" s="50"/>
      <c r="J2575" s="48"/>
      <c r="K2575" s="49"/>
      <c r="L2575" s="50"/>
      <c r="M2575" s="43" t="str">
        <f aca="false">IF(OR($L2575="",$F2575=""),"",IFERROR($L2575/INDEX(Cadastro!$E$6:$E$8,MATCH($F2575,Cadastro!$B$6:$B$8,0)),""))</f>
        <v/>
      </c>
      <c r="N2575" s="43" t="str">
        <f aca="false">IF(OR($L2575="",$I2575="",$I2575=0),"",$L2575/$I2575)</f>
        <v/>
      </c>
      <c r="O2575" s="51"/>
    </row>
    <row r="2576" customFormat="false" ht="15" hidden="false" customHeight="false" outlineLevel="0" collapsed="false">
      <c r="A2576" s="45"/>
      <c r="B2576" s="37" t="str">
        <f aca="false">IF($A2576="","",WEEKNUM($A2576,2))</f>
        <v/>
      </c>
      <c r="C2576" s="37" t="str">
        <f aca="false">IF($A2576="","",CHOOSE(WEEKDAY($A2576,2),"Seg","Ter","Qua","Qui","Sex","Sáb","Dom"))</f>
        <v/>
      </c>
      <c r="D2576" s="46"/>
      <c r="E2576" s="47"/>
      <c r="F2576" s="47"/>
      <c r="G2576" s="48"/>
      <c r="H2576" s="49"/>
      <c r="I2576" s="50"/>
      <c r="J2576" s="48"/>
      <c r="K2576" s="49"/>
      <c r="L2576" s="50"/>
      <c r="M2576" s="43" t="str">
        <f aca="false">IF(OR($L2576="",$F2576=""),"",IFERROR($L2576/INDEX(Cadastro!$E$6:$E$8,MATCH($F2576,Cadastro!$B$6:$B$8,0)),""))</f>
        <v/>
      </c>
      <c r="N2576" s="43" t="str">
        <f aca="false">IF(OR($L2576="",$I2576="",$I2576=0),"",$L2576/$I2576)</f>
        <v/>
      </c>
      <c r="O2576" s="51"/>
    </row>
    <row r="2577" customFormat="false" ht="15" hidden="false" customHeight="false" outlineLevel="0" collapsed="false">
      <c r="A2577" s="45"/>
      <c r="B2577" s="37" t="str">
        <f aca="false">IF($A2577="","",WEEKNUM($A2577,2))</f>
        <v/>
      </c>
      <c r="C2577" s="37" t="str">
        <f aca="false">IF($A2577="","",CHOOSE(WEEKDAY($A2577,2),"Seg","Ter","Qua","Qui","Sex","Sáb","Dom"))</f>
        <v/>
      </c>
      <c r="D2577" s="46"/>
      <c r="E2577" s="47"/>
      <c r="F2577" s="47"/>
      <c r="G2577" s="48"/>
      <c r="H2577" s="49"/>
      <c r="I2577" s="50"/>
      <c r="J2577" s="48"/>
      <c r="K2577" s="49"/>
      <c r="L2577" s="50"/>
      <c r="M2577" s="43" t="str">
        <f aca="false">IF(OR($L2577="",$F2577=""),"",IFERROR($L2577/INDEX(Cadastro!$E$6:$E$8,MATCH($F2577,Cadastro!$B$6:$B$8,0)),""))</f>
        <v/>
      </c>
      <c r="N2577" s="43" t="str">
        <f aca="false">IF(OR($L2577="",$I2577="",$I2577=0),"",$L2577/$I2577)</f>
        <v/>
      </c>
      <c r="O2577" s="51"/>
    </row>
    <row r="2578" customFormat="false" ht="15" hidden="false" customHeight="false" outlineLevel="0" collapsed="false">
      <c r="A2578" s="45"/>
      <c r="B2578" s="37" t="str">
        <f aca="false">IF($A2578="","",WEEKNUM($A2578,2))</f>
        <v/>
      </c>
      <c r="C2578" s="37" t="str">
        <f aca="false">IF($A2578="","",CHOOSE(WEEKDAY($A2578,2),"Seg","Ter","Qua","Qui","Sex","Sáb","Dom"))</f>
        <v/>
      </c>
      <c r="D2578" s="46"/>
      <c r="E2578" s="47"/>
      <c r="F2578" s="47"/>
      <c r="G2578" s="48"/>
      <c r="H2578" s="49"/>
      <c r="I2578" s="50"/>
      <c r="J2578" s="48"/>
      <c r="K2578" s="49"/>
      <c r="L2578" s="50"/>
      <c r="M2578" s="43" t="str">
        <f aca="false">IF(OR($L2578="",$F2578=""),"",IFERROR($L2578/INDEX(Cadastro!$E$6:$E$8,MATCH($F2578,Cadastro!$B$6:$B$8,0)),""))</f>
        <v/>
      </c>
      <c r="N2578" s="43" t="str">
        <f aca="false">IF(OR($L2578="",$I2578="",$I2578=0),"",$L2578/$I2578)</f>
        <v/>
      </c>
      <c r="O2578" s="51"/>
    </row>
    <row r="2579" customFormat="false" ht="15" hidden="false" customHeight="false" outlineLevel="0" collapsed="false">
      <c r="A2579" s="45"/>
      <c r="B2579" s="37" t="str">
        <f aca="false">IF($A2579="","",WEEKNUM($A2579,2))</f>
        <v/>
      </c>
      <c r="C2579" s="37" t="str">
        <f aca="false">IF($A2579="","",CHOOSE(WEEKDAY($A2579,2),"Seg","Ter","Qua","Qui","Sex","Sáb","Dom"))</f>
        <v/>
      </c>
      <c r="D2579" s="46"/>
      <c r="E2579" s="47"/>
      <c r="F2579" s="47"/>
      <c r="G2579" s="48"/>
      <c r="H2579" s="49"/>
      <c r="I2579" s="50"/>
      <c r="J2579" s="48"/>
      <c r="K2579" s="49"/>
      <c r="L2579" s="50"/>
      <c r="M2579" s="43" t="str">
        <f aca="false">IF(OR($L2579="",$F2579=""),"",IFERROR($L2579/INDEX(Cadastro!$E$6:$E$8,MATCH($F2579,Cadastro!$B$6:$B$8,0)),""))</f>
        <v/>
      </c>
      <c r="N2579" s="43" t="str">
        <f aca="false">IF(OR($L2579="",$I2579="",$I2579=0),"",$L2579/$I2579)</f>
        <v/>
      </c>
      <c r="O2579" s="51"/>
    </row>
    <row r="2580" customFormat="false" ht="15" hidden="false" customHeight="false" outlineLevel="0" collapsed="false">
      <c r="A2580" s="45"/>
      <c r="B2580" s="37" t="str">
        <f aca="false">IF($A2580="","",WEEKNUM($A2580,2))</f>
        <v/>
      </c>
      <c r="C2580" s="37" t="str">
        <f aca="false">IF($A2580="","",CHOOSE(WEEKDAY($A2580,2),"Seg","Ter","Qua","Qui","Sex","Sáb","Dom"))</f>
        <v/>
      </c>
      <c r="D2580" s="46"/>
      <c r="E2580" s="47"/>
      <c r="F2580" s="47"/>
      <c r="G2580" s="48"/>
      <c r="H2580" s="49"/>
      <c r="I2580" s="50"/>
      <c r="J2580" s="48"/>
      <c r="K2580" s="49"/>
      <c r="L2580" s="50"/>
      <c r="M2580" s="43" t="str">
        <f aca="false">IF(OR($L2580="",$F2580=""),"",IFERROR($L2580/INDEX(Cadastro!$E$6:$E$8,MATCH($F2580,Cadastro!$B$6:$B$8,0)),""))</f>
        <v/>
      </c>
      <c r="N2580" s="43" t="str">
        <f aca="false">IF(OR($L2580="",$I2580="",$I2580=0),"",$L2580/$I2580)</f>
        <v/>
      </c>
      <c r="O2580" s="51"/>
    </row>
    <row r="2581" customFormat="false" ht="15" hidden="false" customHeight="false" outlineLevel="0" collapsed="false">
      <c r="A2581" s="45"/>
      <c r="B2581" s="37" t="str">
        <f aca="false">IF($A2581="","",WEEKNUM($A2581,2))</f>
        <v/>
      </c>
      <c r="C2581" s="37" t="str">
        <f aca="false">IF($A2581="","",CHOOSE(WEEKDAY($A2581,2),"Seg","Ter","Qua","Qui","Sex","Sáb","Dom"))</f>
        <v/>
      </c>
      <c r="D2581" s="46"/>
      <c r="E2581" s="47"/>
      <c r="F2581" s="47"/>
      <c r="G2581" s="48"/>
      <c r="H2581" s="49"/>
      <c r="I2581" s="50"/>
      <c r="J2581" s="48"/>
      <c r="K2581" s="49"/>
      <c r="L2581" s="50"/>
      <c r="M2581" s="43" t="str">
        <f aca="false">IF(OR($L2581="",$F2581=""),"",IFERROR($L2581/INDEX(Cadastro!$E$6:$E$8,MATCH($F2581,Cadastro!$B$6:$B$8,0)),""))</f>
        <v/>
      </c>
      <c r="N2581" s="43" t="str">
        <f aca="false">IF(OR($L2581="",$I2581="",$I2581=0),"",$L2581/$I2581)</f>
        <v/>
      </c>
      <c r="O2581" s="51"/>
    </row>
    <row r="2582" customFormat="false" ht="15" hidden="false" customHeight="false" outlineLevel="0" collapsed="false">
      <c r="A2582" s="45"/>
      <c r="B2582" s="37" t="str">
        <f aca="false">IF($A2582="","",WEEKNUM($A2582,2))</f>
        <v/>
      </c>
      <c r="C2582" s="37" t="str">
        <f aca="false">IF($A2582="","",CHOOSE(WEEKDAY($A2582,2),"Seg","Ter","Qua","Qui","Sex","Sáb","Dom"))</f>
        <v/>
      </c>
      <c r="D2582" s="46"/>
      <c r="E2582" s="47"/>
      <c r="F2582" s="47"/>
      <c r="G2582" s="48"/>
      <c r="H2582" s="49"/>
      <c r="I2582" s="50"/>
      <c r="J2582" s="48"/>
      <c r="K2582" s="49"/>
      <c r="L2582" s="50"/>
      <c r="M2582" s="43" t="str">
        <f aca="false">IF(OR($L2582="",$F2582=""),"",IFERROR($L2582/INDEX(Cadastro!$E$6:$E$8,MATCH($F2582,Cadastro!$B$6:$B$8,0)),""))</f>
        <v/>
      </c>
      <c r="N2582" s="43" t="str">
        <f aca="false">IF(OR($L2582="",$I2582="",$I2582=0),"",$L2582/$I2582)</f>
        <v/>
      </c>
      <c r="O2582" s="51"/>
    </row>
    <row r="2583" customFormat="false" ht="15" hidden="false" customHeight="false" outlineLevel="0" collapsed="false">
      <c r="A2583" s="45"/>
      <c r="B2583" s="37" t="str">
        <f aca="false">IF($A2583="","",WEEKNUM($A2583,2))</f>
        <v/>
      </c>
      <c r="C2583" s="37" t="str">
        <f aca="false">IF($A2583="","",CHOOSE(WEEKDAY($A2583,2),"Seg","Ter","Qua","Qui","Sex","Sáb","Dom"))</f>
        <v/>
      </c>
      <c r="D2583" s="46"/>
      <c r="E2583" s="47"/>
      <c r="F2583" s="47"/>
      <c r="G2583" s="48"/>
      <c r="H2583" s="49"/>
      <c r="I2583" s="50"/>
      <c r="J2583" s="48"/>
      <c r="K2583" s="49"/>
      <c r="L2583" s="50"/>
      <c r="M2583" s="43" t="str">
        <f aca="false">IF(OR($L2583="",$F2583=""),"",IFERROR($L2583/INDEX(Cadastro!$E$6:$E$8,MATCH($F2583,Cadastro!$B$6:$B$8,0)),""))</f>
        <v/>
      </c>
      <c r="N2583" s="43" t="str">
        <f aca="false">IF(OR($L2583="",$I2583="",$I2583=0),"",$L2583/$I2583)</f>
        <v/>
      </c>
      <c r="O2583" s="51"/>
    </row>
    <row r="2584" customFormat="false" ht="15" hidden="false" customHeight="false" outlineLevel="0" collapsed="false">
      <c r="A2584" s="45"/>
      <c r="B2584" s="37" t="str">
        <f aca="false">IF($A2584="","",WEEKNUM($A2584,2))</f>
        <v/>
      </c>
      <c r="C2584" s="37" t="str">
        <f aca="false">IF($A2584="","",CHOOSE(WEEKDAY($A2584,2),"Seg","Ter","Qua","Qui","Sex","Sáb","Dom"))</f>
        <v/>
      </c>
      <c r="D2584" s="46"/>
      <c r="E2584" s="47"/>
      <c r="F2584" s="47"/>
      <c r="G2584" s="48"/>
      <c r="H2584" s="49"/>
      <c r="I2584" s="50"/>
      <c r="J2584" s="48"/>
      <c r="K2584" s="49"/>
      <c r="L2584" s="50"/>
      <c r="M2584" s="43" t="str">
        <f aca="false">IF(OR($L2584="",$F2584=""),"",IFERROR($L2584/INDEX(Cadastro!$E$6:$E$8,MATCH($F2584,Cadastro!$B$6:$B$8,0)),""))</f>
        <v/>
      </c>
      <c r="N2584" s="43" t="str">
        <f aca="false">IF(OR($L2584="",$I2584="",$I2584=0),"",$L2584/$I2584)</f>
        <v/>
      </c>
      <c r="O2584" s="51"/>
    </row>
    <row r="2585" customFormat="false" ht="15" hidden="false" customHeight="false" outlineLevel="0" collapsed="false">
      <c r="A2585" s="45"/>
      <c r="B2585" s="37" t="str">
        <f aca="false">IF($A2585="","",WEEKNUM($A2585,2))</f>
        <v/>
      </c>
      <c r="C2585" s="37" t="str">
        <f aca="false">IF($A2585="","",CHOOSE(WEEKDAY($A2585,2),"Seg","Ter","Qua","Qui","Sex","Sáb","Dom"))</f>
        <v/>
      </c>
      <c r="D2585" s="46"/>
      <c r="E2585" s="47"/>
      <c r="F2585" s="47"/>
      <c r="G2585" s="48"/>
      <c r="H2585" s="49"/>
      <c r="I2585" s="50"/>
      <c r="J2585" s="48"/>
      <c r="K2585" s="49"/>
      <c r="L2585" s="50"/>
      <c r="M2585" s="43" t="str">
        <f aca="false">IF(OR($L2585="",$F2585=""),"",IFERROR($L2585/INDEX(Cadastro!$E$6:$E$8,MATCH($F2585,Cadastro!$B$6:$B$8,0)),""))</f>
        <v/>
      </c>
      <c r="N2585" s="43" t="str">
        <f aca="false">IF(OR($L2585="",$I2585="",$I2585=0),"",$L2585/$I2585)</f>
        <v/>
      </c>
      <c r="O2585" s="51"/>
    </row>
    <row r="2586" customFormat="false" ht="15" hidden="false" customHeight="false" outlineLevel="0" collapsed="false">
      <c r="A2586" s="45"/>
      <c r="B2586" s="37" t="str">
        <f aca="false">IF($A2586="","",WEEKNUM($A2586,2))</f>
        <v/>
      </c>
      <c r="C2586" s="37" t="str">
        <f aca="false">IF($A2586="","",CHOOSE(WEEKDAY($A2586,2),"Seg","Ter","Qua","Qui","Sex","Sáb","Dom"))</f>
        <v/>
      </c>
      <c r="D2586" s="46"/>
      <c r="E2586" s="47"/>
      <c r="F2586" s="47"/>
      <c r="G2586" s="48"/>
      <c r="H2586" s="49"/>
      <c r="I2586" s="50"/>
      <c r="J2586" s="48"/>
      <c r="K2586" s="49"/>
      <c r="L2586" s="50"/>
      <c r="M2586" s="43" t="str">
        <f aca="false">IF(OR($L2586="",$F2586=""),"",IFERROR($L2586/INDEX(Cadastro!$E$6:$E$8,MATCH($F2586,Cadastro!$B$6:$B$8,0)),""))</f>
        <v/>
      </c>
      <c r="N2586" s="43" t="str">
        <f aca="false">IF(OR($L2586="",$I2586="",$I2586=0),"",$L2586/$I2586)</f>
        <v/>
      </c>
      <c r="O2586" s="51"/>
    </row>
    <row r="2587" customFormat="false" ht="15" hidden="false" customHeight="false" outlineLevel="0" collapsed="false">
      <c r="A2587" s="45"/>
      <c r="B2587" s="37" t="str">
        <f aca="false">IF($A2587="","",WEEKNUM($A2587,2))</f>
        <v/>
      </c>
      <c r="C2587" s="37" t="str">
        <f aca="false">IF($A2587="","",CHOOSE(WEEKDAY($A2587,2),"Seg","Ter","Qua","Qui","Sex","Sáb","Dom"))</f>
        <v/>
      </c>
      <c r="D2587" s="46"/>
      <c r="E2587" s="47"/>
      <c r="F2587" s="47"/>
      <c r="G2587" s="48"/>
      <c r="H2587" s="49"/>
      <c r="I2587" s="50"/>
      <c r="J2587" s="48"/>
      <c r="K2587" s="49"/>
      <c r="L2587" s="50"/>
      <c r="M2587" s="43" t="str">
        <f aca="false">IF(OR($L2587="",$F2587=""),"",IFERROR($L2587/INDEX(Cadastro!$E$6:$E$8,MATCH($F2587,Cadastro!$B$6:$B$8,0)),""))</f>
        <v/>
      </c>
      <c r="N2587" s="43" t="str">
        <f aca="false">IF(OR($L2587="",$I2587="",$I2587=0),"",$L2587/$I2587)</f>
        <v/>
      </c>
      <c r="O2587" s="51"/>
    </row>
    <row r="2588" customFormat="false" ht="15" hidden="false" customHeight="false" outlineLevel="0" collapsed="false">
      <c r="A2588" s="45"/>
      <c r="B2588" s="37" t="str">
        <f aca="false">IF($A2588="","",WEEKNUM($A2588,2))</f>
        <v/>
      </c>
      <c r="C2588" s="37" t="str">
        <f aca="false">IF($A2588="","",CHOOSE(WEEKDAY($A2588,2),"Seg","Ter","Qua","Qui","Sex","Sáb","Dom"))</f>
        <v/>
      </c>
      <c r="D2588" s="46"/>
      <c r="E2588" s="47"/>
      <c r="F2588" s="47"/>
      <c r="G2588" s="48"/>
      <c r="H2588" s="49"/>
      <c r="I2588" s="50"/>
      <c r="J2588" s="48"/>
      <c r="K2588" s="49"/>
      <c r="L2588" s="50"/>
      <c r="M2588" s="43" t="str">
        <f aca="false">IF(OR($L2588="",$F2588=""),"",IFERROR($L2588/INDEX(Cadastro!$E$6:$E$8,MATCH($F2588,Cadastro!$B$6:$B$8,0)),""))</f>
        <v/>
      </c>
      <c r="N2588" s="43" t="str">
        <f aca="false">IF(OR($L2588="",$I2588="",$I2588=0),"",$L2588/$I2588)</f>
        <v/>
      </c>
      <c r="O2588" s="51"/>
    </row>
    <row r="2589" customFormat="false" ht="15" hidden="false" customHeight="false" outlineLevel="0" collapsed="false">
      <c r="A2589" s="45"/>
      <c r="B2589" s="37" t="str">
        <f aca="false">IF($A2589="","",WEEKNUM($A2589,2))</f>
        <v/>
      </c>
      <c r="C2589" s="37" t="str">
        <f aca="false">IF($A2589="","",CHOOSE(WEEKDAY($A2589,2),"Seg","Ter","Qua","Qui","Sex","Sáb","Dom"))</f>
        <v/>
      </c>
      <c r="D2589" s="46"/>
      <c r="E2589" s="47"/>
      <c r="F2589" s="47"/>
      <c r="G2589" s="48"/>
      <c r="H2589" s="49"/>
      <c r="I2589" s="50"/>
      <c r="J2589" s="48"/>
      <c r="K2589" s="49"/>
      <c r="L2589" s="50"/>
      <c r="M2589" s="43" t="str">
        <f aca="false">IF(OR($L2589="",$F2589=""),"",IFERROR($L2589/INDEX(Cadastro!$E$6:$E$8,MATCH($F2589,Cadastro!$B$6:$B$8,0)),""))</f>
        <v/>
      </c>
      <c r="N2589" s="43" t="str">
        <f aca="false">IF(OR($L2589="",$I2589="",$I2589=0),"",$L2589/$I2589)</f>
        <v/>
      </c>
      <c r="O2589" s="51"/>
    </row>
    <row r="2590" customFormat="false" ht="15" hidden="false" customHeight="false" outlineLevel="0" collapsed="false">
      <c r="A2590" s="45"/>
      <c r="B2590" s="37" t="str">
        <f aca="false">IF($A2590="","",WEEKNUM($A2590,2))</f>
        <v/>
      </c>
      <c r="C2590" s="37" t="str">
        <f aca="false">IF($A2590="","",CHOOSE(WEEKDAY($A2590,2),"Seg","Ter","Qua","Qui","Sex","Sáb","Dom"))</f>
        <v/>
      </c>
      <c r="D2590" s="46"/>
      <c r="E2590" s="47"/>
      <c r="F2590" s="47"/>
      <c r="G2590" s="48"/>
      <c r="H2590" s="49"/>
      <c r="I2590" s="50"/>
      <c r="J2590" s="48"/>
      <c r="K2590" s="49"/>
      <c r="L2590" s="50"/>
      <c r="M2590" s="43" t="str">
        <f aca="false">IF(OR($L2590="",$F2590=""),"",IFERROR($L2590/INDEX(Cadastro!$E$6:$E$8,MATCH($F2590,Cadastro!$B$6:$B$8,0)),""))</f>
        <v/>
      </c>
      <c r="N2590" s="43" t="str">
        <f aca="false">IF(OR($L2590="",$I2590="",$I2590=0),"",$L2590/$I2590)</f>
        <v/>
      </c>
      <c r="O2590" s="51"/>
    </row>
    <row r="2591" customFormat="false" ht="15" hidden="false" customHeight="false" outlineLevel="0" collapsed="false">
      <c r="A2591" s="45"/>
      <c r="B2591" s="37" t="str">
        <f aca="false">IF($A2591="","",WEEKNUM($A2591,2))</f>
        <v/>
      </c>
      <c r="C2591" s="37" t="str">
        <f aca="false">IF($A2591="","",CHOOSE(WEEKDAY($A2591,2),"Seg","Ter","Qua","Qui","Sex","Sáb","Dom"))</f>
        <v/>
      </c>
      <c r="D2591" s="46"/>
      <c r="E2591" s="47"/>
      <c r="F2591" s="47"/>
      <c r="G2591" s="48"/>
      <c r="H2591" s="49"/>
      <c r="I2591" s="50"/>
      <c r="J2591" s="48"/>
      <c r="K2591" s="49"/>
      <c r="L2591" s="50"/>
      <c r="M2591" s="43" t="str">
        <f aca="false">IF(OR($L2591="",$F2591=""),"",IFERROR($L2591/INDEX(Cadastro!$E$6:$E$8,MATCH($F2591,Cadastro!$B$6:$B$8,0)),""))</f>
        <v/>
      </c>
      <c r="N2591" s="43" t="str">
        <f aca="false">IF(OR($L2591="",$I2591="",$I2591=0),"",$L2591/$I2591)</f>
        <v/>
      </c>
      <c r="O2591" s="51"/>
    </row>
    <row r="2592" customFormat="false" ht="15" hidden="false" customHeight="false" outlineLevel="0" collapsed="false">
      <c r="A2592" s="45"/>
      <c r="B2592" s="37" t="str">
        <f aca="false">IF($A2592="","",WEEKNUM($A2592,2))</f>
        <v/>
      </c>
      <c r="C2592" s="37" t="str">
        <f aca="false">IF($A2592="","",CHOOSE(WEEKDAY($A2592,2),"Seg","Ter","Qua","Qui","Sex","Sáb","Dom"))</f>
        <v/>
      </c>
      <c r="D2592" s="46"/>
      <c r="E2592" s="47"/>
      <c r="F2592" s="47"/>
      <c r="G2592" s="48"/>
      <c r="H2592" s="49"/>
      <c r="I2592" s="50"/>
      <c r="J2592" s="48"/>
      <c r="K2592" s="49"/>
      <c r="L2592" s="50"/>
      <c r="M2592" s="43" t="str">
        <f aca="false">IF(OR($L2592="",$F2592=""),"",IFERROR($L2592/INDEX(Cadastro!$E$6:$E$8,MATCH($F2592,Cadastro!$B$6:$B$8,0)),""))</f>
        <v/>
      </c>
      <c r="N2592" s="43" t="str">
        <f aca="false">IF(OR($L2592="",$I2592="",$I2592=0),"",$L2592/$I2592)</f>
        <v/>
      </c>
      <c r="O2592" s="51"/>
    </row>
    <row r="2593" customFormat="false" ht="15" hidden="false" customHeight="false" outlineLevel="0" collapsed="false">
      <c r="A2593" s="45"/>
      <c r="B2593" s="37" t="str">
        <f aca="false">IF($A2593="","",WEEKNUM($A2593,2))</f>
        <v/>
      </c>
      <c r="C2593" s="37" t="str">
        <f aca="false">IF($A2593="","",CHOOSE(WEEKDAY($A2593,2),"Seg","Ter","Qua","Qui","Sex","Sáb","Dom"))</f>
        <v/>
      </c>
      <c r="D2593" s="46"/>
      <c r="E2593" s="47"/>
      <c r="F2593" s="47"/>
      <c r="G2593" s="48"/>
      <c r="H2593" s="49"/>
      <c r="I2593" s="50"/>
      <c r="J2593" s="48"/>
      <c r="K2593" s="49"/>
      <c r="L2593" s="50"/>
      <c r="M2593" s="43" t="str">
        <f aca="false">IF(OR($L2593="",$F2593=""),"",IFERROR($L2593/INDEX(Cadastro!$E$6:$E$8,MATCH($F2593,Cadastro!$B$6:$B$8,0)),""))</f>
        <v/>
      </c>
      <c r="N2593" s="43" t="str">
        <f aca="false">IF(OR($L2593="",$I2593="",$I2593=0),"",$L2593/$I2593)</f>
        <v/>
      </c>
      <c r="O2593" s="51"/>
    </row>
    <row r="2594" customFormat="false" ht="15" hidden="false" customHeight="false" outlineLevel="0" collapsed="false">
      <c r="A2594" s="45"/>
      <c r="B2594" s="37" t="str">
        <f aca="false">IF($A2594="","",WEEKNUM($A2594,2))</f>
        <v/>
      </c>
      <c r="C2594" s="37" t="str">
        <f aca="false">IF($A2594="","",CHOOSE(WEEKDAY($A2594,2),"Seg","Ter","Qua","Qui","Sex","Sáb","Dom"))</f>
        <v/>
      </c>
      <c r="D2594" s="46"/>
      <c r="E2594" s="47"/>
      <c r="F2594" s="47"/>
      <c r="G2594" s="48"/>
      <c r="H2594" s="49"/>
      <c r="I2594" s="50"/>
      <c r="J2594" s="48"/>
      <c r="K2594" s="49"/>
      <c r="L2594" s="50"/>
      <c r="M2594" s="43" t="str">
        <f aca="false">IF(OR($L2594="",$F2594=""),"",IFERROR($L2594/INDEX(Cadastro!$E$6:$E$8,MATCH($F2594,Cadastro!$B$6:$B$8,0)),""))</f>
        <v/>
      </c>
      <c r="N2594" s="43" t="str">
        <f aca="false">IF(OR($L2594="",$I2594="",$I2594=0),"",$L2594/$I2594)</f>
        <v/>
      </c>
      <c r="O2594" s="51"/>
    </row>
    <row r="2595" customFormat="false" ht="15" hidden="false" customHeight="false" outlineLevel="0" collapsed="false">
      <c r="A2595" s="45"/>
      <c r="B2595" s="37" t="str">
        <f aca="false">IF($A2595="","",WEEKNUM($A2595,2))</f>
        <v/>
      </c>
      <c r="C2595" s="37" t="str">
        <f aca="false">IF($A2595="","",CHOOSE(WEEKDAY($A2595,2),"Seg","Ter","Qua","Qui","Sex","Sáb","Dom"))</f>
        <v/>
      </c>
      <c r="D2595" s="46"/>
      <c r="E2595" s="47"/>
      <c r="F2595" s="47"/>
      <c r="G2595" s="48"/>
      <c r="H2595" s="49"/>
      <c r="I2595" s="50"/>
      <c r="J2595" s="48"/>
      <c r="K2595" s="49"/>
      <c r="L2595" s="50"/>
      <c r="M2595" s="43" t="str">
        <f aca="false">IF(OR($L2595="",$F2595=""),"",IFERROR($L2595/INDEX(Cadastro!$E$6:$E$8,MATCH($F2595,Cadastro!$B$6:$B$8,0)),""))</f>
        <v/>
      </c>
      <c r="N2595" s="43" t="str">
        <f aca="false">IF(OR($L2595="",$I2595="",$I2595=0),"",$L2595/$I2595)</f>
        <v/>
      </c>
      <c r="O2595" s="51"/>
    </row>
    <row r="2596" customFormat="false" ht="15" hidden="false" customHeight="false" outlineLevel="0" collapsed="false">
      <c r="A2596" s="45"/>
      <c r="B2596" s="37" t="str">
        <f aca="false">IF($A2596="","",WEEKNUM($A2596,2))</f>
        <v/>
      </c>
      <c r="C2596" s="37" t="str">
        <f aca="false">IF($A2596="","",CHOOSE(WEEKDAY($A2596,2),"Seg","Ter","Qua","Qui","Sex","Sáb","Dom"))</f>
        <v/>
      </c>
      <c r="D2596" s="46"/>
      <c r="E2596" s="47"/>
      <c r="F2596" s="47"/>
      <c r="G2596" s="48"/>
      <c r="H2596" s="49"/>
      <c r="I2596" s="50"/>
      <c r="J2596" s="48"/>
      <c r="K2596" s="49"/>
      <c r="L2596" s="50"/>
      <c r="M2596" s="43" t="str">
        <f aca="false">IF(OR($L2596="",$F2596=""),"",IFERROR($L2596/INDEX(Cadastro!$E$6:$E$8,MATCH($F2596,Cadastro!$B$6:$B$8,0)),""))</f>
        <v/>
      </c>
      <c r="N2596" s="43" t="str">
        <f aca="false">IF(OR($L2596="",$I2596="",$I2596=0),"",$L2596/$I2596)</f>
        <v/>
      </c>
      <c r="O2596" s="51"/>
    </row>
    <row r="2597" customFormat="false" ht="15" hidden="false" customHeight="false" outlineLevel="0" collapsed="false">
      <c r="A2597" s="45"/>
      <c r="B2597" s="37" t="str">
        <f aca="false">IF($A2597="","",WEEKNUM($A2597,2))</f>
        <v/>
      </c>
      <c r="C2597" s="37" t="str">
        <f aca="false">IF($A2597="","",CHOOSE(WEEKDAY($A2597,2),"Seg","Ter","Qua","Qui","Sex","Sáb","Dom"))</f>
        <v/>
      </c>
      <c r="D2597" s="46"/>
      <c r="E2597" s="47"/>
      <c r="F2597" s="47"/>
      <c r="G2597" s="48"/>
      <c r="H2597" s="49"/>
      <c r="I2597" s="50"/>
      <c r="J2597" s="48"/>
      <c r="K2597" s="49"/>
      <c r="L2597" s="50"/>
      <c r="M2597" s="43" t="str">
        <f aca="false">IF(OR($L2597="",$F2597=""),"",IFERROR($L2597/INDEX(Cadastro!$E$6:$E$8,MATCH($F2597,Cadastro!$B$6:$B$8,0)),""))</f>
        <v/>
      </c>
      <c r="N2597" s="43" t="str">
        <f aca="false">IF(OR($L2597="",$I2597="",$I2597=0),"",$L2597/$I2597)</f>
        <v/>
      </c>
      <c r="O2597" s="51"/>
    </row>
    <row r="2598" customFormat="false" ht="15" hidden="false" customHeight="false" outlineLevel="0" collapsed="false">
      <c r="A2598" s="45"/>
      <c r="B2598" s="37" t="str">
        <f aca="false">IF($A2598="","",WEEKNUM($A2598,2))</f>
        <v/>
      </c>
      <c r="C2598" s="37" t="str">
        <f aca="false">IF($A2598="","",CHOOSE(WEEKDAY($A2598,2),"Seg","Ter","Qua","Qui","Sex","Sáb","Dom"))</f>
        <v/>
      </c>
      <c r="D2598" s="46"/>
      <c r="E2598" s="47"/>
      <c r="F2598" s="47"/>
      <c r="G2598" s="48"/>
      <c r="H2598" s="49"/>
      <c r="I2598" s="50"/>
      <c r="J2598" s="48"/>
      <c r="K2598" s="49"/>
      <c r="L2598" s="50"/>
      <c r="M2598" s="43" t="str">
        <f aca="false">IF(OR($L2598="",$F2598=""),"",IFERROR($L2598/INDEX(Cadastro!$E$6:$E$8,MATCH($F2598,Cadastro!$B$6:$B$8,0)),""))</f>
        <v/>
      </c>
      <c r="N2598" s="43" t="str">
        <f aca="false">IF(OR($L2598="",$I2598="",$I2598=0),"",$L2598/$I2598)</f>
        <v/>
      </c>
      <c r="O2598" s="51"/>
    </row>
    <row r="2599" customFormat="false" ht="15" hidden="false" customHeight="false" outlineLevel="0" collapsed="false">
      <c r="A2599" s="45"/>
      <c r="B2599" s="37" t="str">
        <f aca="false">IF($A2599="","",WEEKNUM($A2599,2))</f>
        <v/>
      </c>
      <c r="C2599" s="37" t="str">
        <f aca="false">IF($A2599="","",CHOOSE(WEEKDAY($A2599,2),"Seg","Ter","Qua","Qui","Sex","Sáb","Dom"))</f>
        <v/>
      </c>
      <c r="D2599" s="46"/>
      <c r="E2599" s="47"/>
      <c r="F2599" s="47"/>
      <c r="G2599" s="48"/>
      <c r="H2599" s="49"/>
      <c r="I2599" s="50"/>
      <c r="J2599" s="48"/>
      <c r="K2599" s="49"/>
      <c r="L2599" s="50"/>
      <c r="M2599" s="43" t="str">
        <f aca="false">IF(OR($L2599="",$F2599=""),"",IFERROR($L2599/INDEX(Cadastro!$E$6:$E$8,MATCH($F2599,Cadastro!$B$6:$B$8,0)),""))</f>
        <v/>
      </c>
      <c r="N2599" s="43" t="str">
        <f aca="false">IF(OR($L2599="",$I2599="",$I2599=0),"",$L2599/$I2599)</f>
        <v/>
      </c>
      <c r="O2599" s="51"/>
    </row>
    <row r="2600" customFormat="false" ht="15" hidden="false" customHeight="false" outlineLevel="0" collapsed="false">
      <c r="A2600" s="45"/>
      <c r="B2600" s="37" t="str">
        <f aca="false">IF($A2600="","",WEEKNUM($A2600,2))</f>
        <v/>
      </c>
      <c r="C2600" s="37" t="str">
        <f aca="false">IF($A2600="","",CHOOSE(WEEKDAY($A2600,2),"Seg","Ter","Qua","Qui","Sex","Sáb","Dom"))</f>
        <v/>
      </c>
      <c r="D2600" s="46"/>
      <c r="E2600" s="47"/>
      <c r="F2600" s="47"/>
      <c r="G2600" s="48"/>
      <c r="H2600" s="49"/>
      <c r="I2600" s="50"/>
      <c r="J2600" s="48"/>
      <c r="K2600" s="49"/>
      <c r="L2600" s="50"/>
      <c r="M2600" s="43" t="str">
        <f aca="false">IF(OR($L2600="",$F2600=""),"",IFERROR($L2600/INDEX(Cadastro!$E$6:$E$8,MATCH($F2600,Cadastro!$B$6:$B$8,0)),""))</f>
        <v/>
      </c>
      <c r="N2600" s="43" t="str">
        <f aca="false">IF(OR($L2600="",$I2600="",$I2600=0),"",$L2600/$I2600)</f>
        <v/>
      </c>
      <c r="O2600" s="51"/>
    </row>
    <row r="2601" customFormat="false" ht="15" hidden="false" customHeight="false" outlineLevel="0" collapsed="false">
      <c r="A2601" s="45"/>
      <c r="B2601" s="37" t="str">
        <f aca="false">IF($A2601="","",WEEKNUM($A2601,2))</f>
        <v/>
      </c>
      <c r="C2601" s="37" t="str">
        <f aca="false">IF($A2601="","",CHOOSE(WEEKDAY($A2601,2),"Seg","Ter","Qua","Qui","Sex","Sáb","Dom"))</f>
        <v/>
      </c>
      <c r="D2601" s="46"/>
      <c r="E2601" s="47"/>
      <c r="F2601" s="47"/>
      <c r="G2601" s="48"/>
      <c r="H2601" s="49"/>
      <c r="I2601" s="50"/>
      <c r="J2601" s="48"/>
      <c r="K2601" s="49"/>
      <c r="L2601" s="50"/>
      <c r="M2601" s="43" t="str">
        <f aca="false">IF(OR($L2601="",$F2601=""),"",IFERROR($L2601/INDEX(Cadastro!$E$6:$E$8,MATCH($F2601,Cadastro!$B$6:$B$8,0)),""))</f>
        <v/>
      </c>
      <c r="N2601" s="43" t="str">
        <f aca="false">IF(OR($L2601="",$I2601="",$I2601=0),"",$L2601/$I2601)</f>
        <v/>
      </c>
      <c r="O2601" s="51"/>
    </row>
    <row r="2602" customFormat="false" ht="15" hidden="false" customHeight="false" outlineLevel="0" collapsed="false">
      <c r="A2602" s="45"/>
      <c r="B2602" s="37" t="str">
        <f aca="false">IF($A2602="","",WEEKNUM($A2602,2))</f>
        <v/>
      </c>
      <c r="C2602" s="37" t="str">
        <f aca="false">IF($A2602="","",CHOOSE(WEEKDAY($A2602,2),"Seg","Ter","Qua","Qui","Sex","Sáb","Dom"))</f>
        <v/>
      </c>
      <c r="D2602" s="46"/>
      <c r="E2602" s="47"/>
      <c r="F2602" s="47"/>
      <c r="G2602" s="48"/>
      <c r="H2602" s="49"/>
      <c r="I2602" s="50"/>
      <c r="J2602" s="48"/>
      <c r="K2602" s="49"/>
      <c r="L2602" s="50"/>
      <c r="M2602" s="43" t="str">
        <f aca="false">IF(OR($L2602="",$F2602=""),"",IFERROR($L2602/INDEX(Cadastro!$E$6:$E$8,MATCH($F2602,Cadastro!$B$6:$B$8,0)),""))</f>
        <v/>
      </c>
      <c r="N2602" s="43" t="str">
        <f aca="false">IF(OR($L2602="",$I2602="",$I2602=0),"",$L2602/$I2602)</f>
        <v/>
      </c>
      <c r="O2602" s="51"/>
    </row>
    <row r="2603" customFormat="false" ht="15" hidden="false" customHeight="false" outlineLevel="0" collapsed="false">
      <c r="A2603" s="45"/>
      <c r="B2603" s="37" t="str">
        <f aca="false">IF($A2603="","",WEEKNUM($A2603,2))</f>
        <v/>
      </c>
      <c r="C2603" s="37" t="str">
        <f aca="false">IF($A2603="","",CHOOSE(WEEKDAY($A2603,2),"Seg","Ter","Qua","Qui","Sex","Sáb","Dom"))</f>
        <v/>
      </c>
      <c r="D2603" s="46"/>
      <c r="E2603" s="47"/>
      <c r="F2603" s="47"/>
      <c r="G2603" s="48"/>
      <c r="H2603" s="49"/>
      <c r="I2603" s="50"/>
      <c r="J2603" s="48"/>
      <c r="K2603" s="49"/>
      <c r="L2603" s="50"/>
      <c r="M2603" s="43" t="str">
        <f aca="false">IF(OR($L2603="",$F2603=""),"",IFERROR($L2603/INDEX(Cadastro!$E$6:$E$8,MATCH($F2603,Cadastro!$B$6:$B$8,0)),""))</f>
        <v/>
      </c>
      <c r="N2603" s="43" t="str">
        <f aca="false">IF(OR($L2603="",$I2603="",$I2603=0),"",$L2603/$I2603)</f>
        <v/>
      </c>
      <c r="O2603" s="51"/>
    </row>
    <row r="2604" customFormat="false" ht="15" hidden="false" customHeight="false" outlineLevel="0" collapsed="false">
      <c r="A2604" s="45"/>
      <c r="B2604" s="37" t="str">
        <f aca="false">IF($A2604="","",WEEKNUM($A2604,2))</f>
        <v/>
      </c>
      <c r="C2604" s="37" t="str">
        <f aca="false">IF($A2604="","",CHOOSE(WEEKDAY($A2604,2),"Seg","Ter","Qua","Qui","Sex","Sáb","Dom"))</f>
        <v/>
      </c>
      <c r="D2604" s="46"/>
      <c r="E2604" s="47"/>
      <c r="F2604" s="47"/>
      <c r="G2604" s="48"/>
      <c r="H2604" s="49"/>
      <c r="I2604" s="50"/>
      <c r="J2604" s="48"/>
      <c r="K2604" s="49"/>
      <c r="L2604" s="50"/>
      <c r="M2604" s="43" t="str">
        <f aca="false">IF(OR($L2604="",$F2604=""),"",IFERROR($L2604/INDEX(Cadastro!$E$6:$E$8,MATCH($F2604,Cadastro!$B$6:$B$8,0)),""))</f>
        <v/>
      </c>
      <c r="N2604" s="43" t="str">
        <f aca="false">IF(OR($L2604="",$I2604="",$I2604=0),"",$L2604/$I2604)</f>
        <v/>
      </c>
      <c r="O2604" s="51"/>
    </row>
    <row r="2605" customFormat="false" ht="15" hidden="false" customHeight="false" outlineLevel="0" collapsed="false">
      <c r="A2605" s="45"/>
      <c r="B2605" s="37" t="str">
        <f aca="false">IF($A2605="","",WEEKNUM($A2605,2))</f>
        <v/>
      </c>
      <c r="C2605" s="37" t="str">
        <f aca="false">IF($A2605="","",CHOOSE(WEEKDAY($A2605,2),"Seg","Ter","Qua","Qui","Sex","Sáb","Dom"))</f>
        <v/>
      </c>
      <c r="D2605" s="46"/>
      <c r="E2605" s="47"/>
      <c r="F2605" s="47"/>
      <c r="G2605" s="48"/>
      <c r="H2605" s="49"/>
      <c r="I2605" s="50"/>
      <c r="J2605" s="48"/>
      <c r="K2605" s="49"/>
      <c r="L2605" s="50"/>
      <c r="M2605" s="43" t="str">
        <f aca="false">IF(OR($L2605="",$F2605=""),"",IFERROR($L2605/INDEX(Cadastro!$E$6:$E$8,MATCH($F2605,Cadastro!$B$6:$B$8,0)),""))</f>
        <v/>
      </c>
      <c r="N2605" s="43" t="str">
        <f aca="false">IF(OR($L2605="",$I2605="",$I2605=0),"",$L2605/$I2605)</f>
        <v/>
      </c>
      <c r="O2605" s="51"/>
    </row>
    <row r="2606" customFormat="false" ht="15" hidden="false" customHeight="false" outlineLevel="0" collapsed="false">
      <c r="A2606" s="45"/>
      <c r="B2606" s="37" t="str">
        <f aca="false">IF($A2606="","",WEEKNUM($A2606,2))</f>
        <v/>
      </c>
      <c r="C2606" s="37" t="str">
        <f aca="false">IF($A2606="","",CHOOSE(WEEKDAY($A2606,2),"Seg","Ter","Qua","Qui","Sex","Sáb","Dom"))</f>
        <v/>
      </c>
      <c r="D2606" s="46"/>
      <c r="E2606" s="47"/>
      <c r="F2606" s="47"/>
      <c r="G2606" s="48"/>
      <c r="H2606" s="49"/>
      <c r="I2606" s="50"/>
      <c r="J2606" s="48"/>
      <c r="K2606" s="49"/>
      <c r="L2606" s="50"/>
      <c r="M2606" s="43" t="str">
        <f aca="false">IF(OR($L2606="",$F2606=""),"",IFERROR($L2606/INDEX(Cadastro!$E$6:$E$8,MATCH($F2606,Cadastro!$B$6:$B$8,0)),""))</f>
        <v/>
      </c>
      <c r="N2606" s="43" t="str">
        <f aca="false">IF(OR($L2606="",$I2606="",$I2606=0),"",$L2606/$I2606)</f>
        <v/>
      </c>
      <c r="O2606" s="51"/>
    </row>
    <row r="2607" customFormat="false" ht="15" hidden="false" customHeight="false" outlineLevel="0" collapsed="false">
      <c r="A2607" s="45"/>
      <c r="B2607" s="37" t="str">
        <f aca="false">IF($A2607="","",WEEKNUM($A2607,2))</f>
        <v/>
      </c>
      <c r="C2607" s="37" t="str">
        <f aca="false">IF($A2607="","",CHOOSE(WEEKDAY($A2607,2),"Seg","Ter","Qua","Qui","Sex","Sáb","Dom"))</f>
        <v/>
      </c>
      <c r="D2607" s="46"/>
      <c r="E2607" s="47"/>
      <c r="F2607" s="47"/>
      <c r="G2607" s="48"/>
      <c r="H2607" s="49"/>
      <c r="I2607" s="50"/>
      <c r="J2607" s="48"/>
      <c r="K2607" s="49"/>
      <c r="L2607" s="50"/>
      <c r="M2607" s="43" t="str">
        <f aca="false">IF(OR($L2607="",$F2607=""),"",IFERROR($L2607/INDEX(Cadastro!$E$6:$E$8,MATCH($F2607,Cadastro!$B$6:$B$8,0)),""))</f>
        <v/>
      </c>
      <c r="N2607" s="43" t="str">
        <f aca="false">IF(OR($L2607="",$I2607="",$I2607=0),"",$L2607/$I2607)</f>
        <v/>
      </c>
      <c r="O2607" s="51"/>
    </row>
    <row r="2608" customFormat="false" ht="15" hidden="false" customHeight="false" outlineLevel="0" collapsed="false">
      <c r="A2608" s="45"/>
      <c r="B2608" s="37" t="str">
        <f aca="false">IF($A2608="","",WEEKNUM($A2608,2))</f>
        <v/>
      </c>
      <c r="C2608" s="37" t="str">
        <f aca="false">IF($A2608="","",CHOOSE(WEEKDAY($A2608,2),"Seg","Ter","Qua","Qui","Sex","Sáb","Dom"))</f>
        <v/>
      </c>
      <c r="D2608" s="46"/>
      <c r="E2608" s="47"/>
      <c r="F2608" s="47"/>
      <c r="G2608" s="48"/>
      <c r="H2608" s="49"/>
      <c r="I2608" s="50"/>
      <c r="J2608" s="48"/>
      <c r="K2608" s="49"/>
      <c r="L2608" s="50"/>
      <c r="M2608" s="43" t="str">
        <f aca="false">IF(OR($L2608="",$F2608=""),"",IFERROR($L2608/INDEX(Cadastro!$E$6:$E$8,MATCH($F2608,Cadastro!$B$6:$B$8,0)),""))</f>
        <v/>
      </c>
      <c r="N2608" s="43" t="str">
        <f aca="false">IF(OR($L2608="",$I2608="",$I2608=0),"",$L2608/$I2608)</f>
        <v/>
      </c>
      <c r="O2608" s="51"/>
    </row>
    <row r="2609" customFormat="false" ht="15" hidden="false" customHeight="false" outlineLevel="0" collapsed="false">
      <c r="A2609" s="45"/>
      <c r="B2609" s="37" t="str">
        <f aca="false">IF($A2609="","",WEEKNUM($A2609,2))</f>
        <v/>
      </c>
      <c r="C2609" s="37" t="str">
        <f aca="false">IF($A2609="","",CHOOSE(WEEKDAY($A2609,2),"Seg","Ter","Qua","Qui","Sex","Sáb","Dom"))</f>
        <v/>
      </c>
      <c r="D2609" s="46"/>
      <c r="E2609" s="47"/>
      <c r="F2609" s="47"/>
      <c r="G2609" s="48"/>
      <c r="H2609" s="49"/>
      <c r="I2609" s="50"/>
      <c r="J2609" s="48"/>
      <c r="K2609" s="49"/>
      <c r="L2609" s="50"/>
      <c r="M2609" s="43" t="str">
        <f aca="false">IF(OR($L2609="",$F2609=""),"",IFERROR($L2609/INDEX(Cadastro!$E$6:$E$8,MATCH($F2609,Cadastro!$B$6:$B$8,0)),""))</f>
        <v/>
      </c>
      <c r="N2609" s="43" t="str">
        <f aca="false">IF(OR($L2609="",$I2609="",$I2609=0),"",$L2609/$I2609)</f>
        <v/>
      </c>
      <c r="O2609" s="51"/>
    </row>
    <row r="2610" customFormat="false" ht="15" hidden="false" customHeight="false" outlineLevel="0" collapsed="false">
      <c r="A2610" s="45"/>
      <c r="B2610" s="37" t="str">
        <f aca="false">IF($A2610="","",WEEKNUM($A2610,2))</f>
        <v/>
      </c>
      <c r="C2610" s="37" t="str">
        <f aca="false">IF($A2610="","",CHOOSE(WEEKDAY($A2610,2),"Seg","Ter","Qua","Qui","Sex","Sáb","Dom"))</f>
        <v/>
      </c>
      <c r="D2610" s="46"/>
      <c r="E2610" s="47"/>
      <c r="F2610" s="47"/>
      <c r="G2610" s="48"/>
      <c r="H2610" s="49"/>
      <c r="I2610" s="50"/>
      <c r="J2610" s="48"/>
      <c r="K2610" s="49"/>
      <c r="L2610" s="50"/>
      <c r="M2610" s="43" t="str">
        <f aca="false">IF(OR($L2610="",$F2610=""),"",IFERROR($L2610/INDEX(Cadastro!$E$6:$E$8,MATCH($F2610,Cadastro!$B$6:$B$8,0)),""))</f>
        <v/>
      </c>
      <c r="N2610" s="43" t="str">
        <f aca="false">IF(OR($L2610="",$I2610="",$I2610=0),"",$L2610/$I2610)</f>
        <v/>
      </c>
      <c r="O2610" s="51"/>
    </row>
    <row r="2611" customFormat="false" ht="15" hidden="false" customHeight="false" outlineLevel="0" collapsed="false">
      <c r="A2611" s="45"/>
      <c r="B2611" s="37" t="str">
        <f aca="false">IF($A2611="","",WEEKNUM($A2611,2))</f>
        <v/>
      </c>
      <c r="C2611" s="37" t="str">
        <f aca="false">IF($A2611="","",CHOOSE(WEEKDAY($A2611,2),"Seg","Ter","Qua","Qui","Sex","Sáb","Dom"))</f>
        <v/>
      </c>
      <c r="D2611" s="46"/>
      <c r="E2611" s="47"/>
      <c r="F2611" s="47"/>
      <c r="G2611" s="48"/>
      <c r="H2611" s="49"/>
      <c r="I2611" s="50"/>
      <c r="J2611" s="48"/>
      <c r="K2611" s="49"/>
      <c r="L2611" s="50"/>
      <c r="M2611" s="43" t="str">
        <f aca="false">IF(OR($L2611="",$F2611=""),"",IFERROR($L2611/INDEX(Cadastro!$E$6:$E$8,MATCH($F2611,Cadastro!$B$6:$B$8,0)),""))</f>
        <v/>
      </c>
      <c r="N2611" s="43" t="str">
        <f aca="false">IF(OR($L2611="",$I2611="",$I2611=0),"",$L2611/$I2611)</f>
        <v/>
      </c>
      <c r="O2611" s="51"/>
    </row>
    <row r="2612" customFormat="false" ht="15" hidden="false" customHeight="false" outlineLevel="0" collapsed="false">
      <c r="A2612" s="45"/>
      <c r="B2612" s="37" t="str">
        <f aca="false">IF($A2612="","",WEEKNUM($A2612,2))</f>
        <v/>
      </c>
      <c r="C2612" s="37" t="str">
        <f aca="false">IF($A2612="","",CHOOSE(WEEKDAY($A2612,2),"Seg","Ter","Qua","Qui","Sex","Sáb","Dom"))</f>
        <v/>
      </c>
      <c r="D2612" s="46"/>
      <c r="E2612" s="47"/>
      <c r="F2612" s="47"/>
      <c r="G2612" s="48"/>
      <c r="H2612" s="49"/>
      <c r="I2612" s="50"/>
      <c r="J2612" s="48"/>
      <c r="K2612" s="49"/>
      <c r="L2612" s="50"/>
      <c r="M2612" s="43" t="str">
        <f aca="false">IF(OR($L2612="",$F2612=""),"",IFERROR($L2612/INDEX(Cadastro!$E$6:$E$8,MATCH($F2612,Cadastro!$B$6:$B$8,0)),""))</f>
        <v/>
      </c>
      <c r="N2612" s="43" t="str">
        <f aca="false">IF(OR($L2612="",$I2612="",$I2612=0),"",$L2612/$I2612)</f>
        <v/>
      </c>
      <c r="O2612" s="51"/>
    </row>
    <row r="2613" customFormat="false" ht="15" hidden="false" customHeight="false" outlineLevel="0" collapsed="false">
      <c r="A2613" s="45"/>
      <c r="B2613" s="37" t="str">
        <f aca="false">IF($A2613="","",WEEKNUM($A2613,2))</f>
        <v/>
      </c>
      <c r="C2613" s="37" t="str">
        <f aca="false">IF($A2613="","",CHOOSE(WEEKDAY($A2613,2),"Seg","Ter","Qua","Qui","Sex","Sáb","Dom"))</f>
        <v/>
      </c>
      <c r="D2613" s="46"/>
      <c r="E2613" s="47"/>
      <c r="F2613" s="47"/>
      <c r="G2613" s="48"/>
      <c r="H2613" s="49"/>
      <c r="I2613" s="50"/>
      <c r="J2613" s="48"/>
      <c r="K2613" s="49"/>
      <c r="L2613" s="50"/>
      <c r="M2613" s="43" t="str">
        <f aca="false">IF(OR($L2613="",$F2613=""),"",IFERROR($L2613/INDEX(Cadastro!$E$6:$E$8,MATCH($F2613,Cadastro!$B$6:$B$8,0)),""))</f>
        <v/>
      </c>
      <c r="N2613" s="43" t="str">
        <f aca="false">IF(OR($L2613="",$I2613="",$I2613=0),"",$L2613/$I2613)</f>
        <v/>
      </c>
      <c r="O2613" s="51"/>
    </row>
    <row r="2614" customFormat="false" ht="15" hidden="false" customHeight="false" outlineLevel="0" collapsed="false">
      <c r="A2614" s="45"/>
      <c r="B2614" s="37" t="str">
        <f aca="false">IF($A2614="","",WEEKNUM($A2614,2))</f>
        <v/>
      </c>
      <c r="C2614" s="37" t="str">
        <f aca="false">IF($A2614="","",CHOOSE(WEEKDAY($A2614,2),"Seg","Ter","Qua","Qui","Sex","Sáb","Dom"))</f>
        <v/>
      </c>
      <c r="D2614" s="46"/>
      <c r="E2614" s="47"/>
      <c r="F2614" s="47"/>
      <c r="G2614" s="48"/>
      <c r="H2614" s="49"/>
      <c r="I2614" s="50"/>
      <c r="J2614" s="48"/>
      <c r="K2614" s="49"/>
      <c r="L2614" s="50"/>
      <c r="M2614" s="43" t="str">
        <f aca="false">IF(OR($L2614="",$F2614=""),"",IFERROR($L2614/INDEX(Cadastro!$E$6:$E$8,MATCH($F2614,Cadastro!$B$6:$B$8,0)),""))</f>
        <v/>
      </c>
      <c r="N2614" s="43" t="str">
        <f aca="false">IF(OR($L2614="",$I2614="",$I2614=0),"",$L2614/$I2614)</f>
        <v/>
      </c>
      <c r="O2614" s="51"/>
    </row>
    <row r="2615" customFormat="false" ht="15" hidden="false" customHeight="false" outlineLevel="0" collapsed="false">
      <c r="A2615" s="45"/>
      <c r="B2615" s="37" t="str">
        <f aca="false">IF($A2615="","",WEEKNUM($A2615,2))</f>
        <v/>
      </c>
      <c r="C2615" s="37" t="str">
        <f aca="false">IF($A2615="","",CHOOSE(WEEKDAY($A2615,2),"Seg","Ter","Qua","Qui","Sex","Sáb","Dom"))</f>
        <v/>
      </c>
      <c r="D2615" s="46"/>
      <c r="E2615" s="47"/>
      <c r="F2615" s="47"/>
      <c r="G2615" s="48"/>
      <c r="H2615" s="49"/>
      <c r="I2615" s="50"/>
      <c r="J2615" s="48"/>
      <c r="K2615" s="49"/>
      <c r="L2615" s="50"/>
      <c r="M2615" s="43" t="str">
        <f aca="false">IF(OR($L2615="",$F2615=""),"",IFERROR($L2615/INDEX(Cadastro!$E$6:$E$8,MATCH($F2615,Cadastro!$B$6:$B$8,0)),""))</f>
        <v/>
      </c>
      <c r="N2615" s="43" t="str">
        <f aca="false">IF(OR($L2615="",$I2615="",$I2615=0),"",$L2615/$I2615)</f>
        <v/>
      </c>
      <c r="O2615" s="51"/>
    </row>
    <row r="2616" customFormat="false" ht="15" hidden="false" customHeight="false" outlineLevel="0" collapsed="false">
      <c r="A2616" s="45"/>
      <c r="B2616" s="37" t="str">
        <f aca="false">IF($A2616="","",WEEKNUM($A2616,2))</f>
        <v/>
      </c>
      <c r="C2616" s="37" t="str">
        <f aca="false">IF($A2616="","",CHOOSE(WEEKDAY($A2616,2),"Seg","Ter","Qua","Qui","Sex","Sáb","Dom"))</f>
        <v/>
      </c>
      <c r="D2616" s="46"/>
      <c r="E2616" s="47"/>
      <c r="F2616" s="47"/>
      <c r="G2616" s="48"/>
      <c r="H2616" s="49"/>
      <c r="I2616" s="50"/>
      <c r="J2616" s="48"/>
      <c r="K2616" s="49"/>
      <c r="L2616" s="50"/>
      <c r="M2616" s="43" t="str">
        <f aca="false">IF(OR($L2616="",$F2616=""),"",IFERROR($L2616/INDEX(Cadastro!$E$6:$E$8,MATCH($F2616,Cadastro!$B$6:$B$8,0)),""))</f>
        <v/>
      </c>
      <c r="N2616" s="43" t="str">
        <f aca="false">IF(OR($L2616="",$I2616="",$I2616=0),"",$L2616/$I2616)</f>
        <v/>
      </c>
      <c r="O2616" s="51"/>
    </row>
    <row r="2617" customFormat="false" ht="15" hidden="false" customHeight="false" outlineLevel="0" collapsed="false">
      <c r="A2617" s="45"/>
      <c r="B2617" s="37" t="str">
        <f aca="false">IF($A2617="","",WEEKNUM($A2617,2))</f>
        <v/>
      </c>
      <c r="C2617" s="37" t="str">
        <f aca="false">IF($A2617="","",CHOOSE(WEEKDAY($A2617,2),"Seg","Ter","Qua","Qui","Sex","Sáb","Dom"))</f>
        <v/>
      </c>
      <c r="D2617" s="46"/>
      <c r="E2617" s="47"/>
      <c r="F2617" s="47"/>
      <c r="G2617" s="48"/>
      <c r="H2617" s="49"/>
      <c r="I2617" s="50"/>
      <c r="J2617" s="48"/>
      <c r="K2617" s="49"/>
      <c r="L2617" s="50"/>
      <c r="M2617" s="43" t="str">
        <f aca="false">IF(OR($L2617="",$F2617=""),"",IFERROR($L2617/INDEX(Cadastro!$E$6:$E$8,MATCH($F2617,Cadastro!$B$6:$B$8,0)),""))</f>
        <v/>
      </c>
      <c r="N2617" s="43" t="str">
        <f aca="false">IF(OR($L2617="",$I2617="",$I2617=0),"",$L2617/$I2617)</f>
        <v/>
      </c>
      <c r="O2617" s="51"/>
    </row>
    <row r="2618" customFormat="false" ht="15" hidden="false" customHeight="false" outlineLevel="0" collapsed="false">
      <c r="A2618" s="45"/>
      <c r="B2618" s="37" t="str">
        <f aca="false">IF($A2618="","",WEEKNUM($A2618,2))</f>
        <v/>
      </c>
      <c r="C2618" s="37" t="str">
        <f aca="false">IF($A2618="","",CHOOSE(WEEKDAY($A2618,2),"Seg","Ter","Qua","Qui","Sex","Sáb","Dom"))</f>
        <v/>
      </c>
      <c r="D2618" s="46"/>
      <c r="E2618" s="47"/>
      <c r="F2618" s="47"/>
      <c r="G2618" s="48"/>
      <c r="H2618" s="49"/>
      <c r="I2618" s="50"/>
      <c r="J2618" s="48"/>
      <c r="K2618" s="49"/>
      <c r="L2618" s="50"/>
      <c r="M2618" s="43" t="str">
        <f aca="false">IF(OR($L2618="",$F2618=""),"",IFERROR($L2618/INDEX(Cadastro!$E$6:$E$8,MATCH($F2618,Cadastro!$B$6:$B$8,0)),""))</f>
        <v/>
      </c>
      <c r="N2618" s="43" t="str">
        <f aca="false">IF(OR($L2618="",$I2618="",$I2618=0),"",$L2618/$I2618)</f>
        <v/>
      </c>
      <c r="O2618" s="51"/>
    </row>
    <row r="2619" customFormat="false" ht="15" hidden="false" customHeight="false" outlineLevel="0" collapsed="false">
      <c r="A2619" s="45"/>
      <c r="B2619" s="37" t="str">
        <f aca="false">IF($A2619="","",WEEKNUM($A2619,2))</f>
        <v/>
      </c>
      <c r="C2619" s="37" t="str">
        <f aca="false">IF($A2619="","",CHOOSE(WEEKDAY($A2619,2),"Seg","Ter","Qua","Qui","Sex","Sáb","Dom"))</f>
        <v/>
      </c>
      <c r="D2619" s="46"/>
      <c r="E2619" s="47"/>
      <c r="F2619" s="47"/>
      <c r="G2619" s="48"/>
      <c r="H2619" s="49"/>
      <c r="I2619" s="50"/>
      <c r="J2619" s="48"/>
      <c r="K2619" s="49"/>
      <c r="L2619" s="50"/>
      <c r="M2619" s="43" t="str">
        <f aca="false">IF(OR($L2619="",$F2619=""),"",IFERROR($L2619/INDEX(Cadastro!$E$6:$E$8,MATCH($F2619,Cadastro!$B$6:$B$8,0)),""))</f>
        <v/>
      </c>
      <c r="N2619" s="43" t="str">
        <f aca="false">IF(OR($L2619="",$I2619="",$I2619=0),"",$L2619/$I2619)</f>
        <v/>
      </c>
      <c r="O2619" s="51"/>
    </row>
    <row r="2620" customFormat="false" ht="15" hidden="false" customHeight="false" outlineLevel="0" collapsed="false">
      <c r="A2620" s="45"/>
      <c r="B2620" s="37" t="str">
        <f aca="false">IF($A2620="","",WEEKNUM($A2620,2))</f>
        <v/>
      </c>
      <c r="C2620" s="37" t="str">
        <f aca="false">IF($A2620="","",CHOOSE(WEEKDAY($A2620,2),"Seg","Ter","Qua","Qui","Sex","Sáb","Dom"))</f>
        <v/>
      </c>
      <c r="D2620" s="46"/>
      <c r="E2620" s="47"/>
      <c r="F2620" s="47"/>
      <c r="G2620" s="48"/>
      <c r="H2620" s="49"/>
      <c r="I2620" s="50"/>
      <c r="J2620" s="48"/>
      <c r="K2620" s="49"/>
      <c r="L2620" s="50"/>
      <c r="M2620" s="43" t="str">
        <f aca="false">IF(OR($L2620="",$F2620=""),"",IFERROR($L2620/INDEX(Cadastro!$E$6:$E$8,MATCH($F2620,Cadastro!$B$6:$B$8,0)),""))</f>
        <v/>
      </c>
      <c r="N2620" s="43" t="str">
        <f aca="false">IF(OR($L2620="",$I2620="",$I2620=0),"",$L2620/$I2620)</f>
        <v/>
      </c>
      <c r="O2620" s="51"/>
    </row>
    <row r="2621" customFormat="false" ht="15" hidden="false" customHeight="false" outlineLevel="0" collapsed="false">
      <c r="A2621" s="45"/>
      <c r="B2621" s="37" t="str">
        <f aca="false">IF($A2621="","",WEEKNUM($A2621,2))</f>
        <v/>
      </c>
      <c r="C2621" s="37" t="str">
        <f aca="false">IF($A2621="","",CHOOSE(WEEKDAY($A2621,2),"Seg","Ter","Qua","Qui","Sex","Sáb","Dom"))</f>
        <v/>
      </c>
      <c r="D2621" s="46"/>
      <c r="E2621" s="47"/>
      <c r="F2621" s="47"/>
      <c r="G2621" s="48"/>
      <c r="H2621" s="49"/>
      <c r="I2621" s="50"/>
      <c r="J2621" s="48"/>
      <c r="K2621" s="49"/>
      <c r="L2621" s="50"/>
      <c r="M2621" s="43" t="str">
        <f aca="false">IF(OR($L2621="",$F2621=""),"",IFERROR($L2621/INDEX(Cadastro!$E$6:$E$8,MATCH($F2621,Cadastro!$B$6:$B$8,0)),""))</f>
        <v/>
      </c>
      <c r="N2621" s="43" t="str">
        <f aca="false">IF(OR($L2621="",$I2621="",$I2621=0),"",$L2621/$I2621)</f>
        <v/>
      </c>
      <c r="O2621" s="51"/>
    </row>
    <row r="2622" customFormat="false" ht="15" hidden="false" customHeight="false" outlineLevel="0" collapsed="false">
      <c r="A2622" s="45"/>
      <c r="B2622" s="37" t="str">
        <f aca="false">IF($A2622="","",WEEKNUM($A2622,2))</f>
        <v/>
      </c>
      <c r="C2622" s="37" t="str">
        <f aca="false">IF($A2622="","",CHOOSE(WEEKDAY($A2622,2),"Seg","Ter","Qua","Qui","Sex","Sáb","Dom"))</f>
        <v/>
      </c>
      <c r="D2622" s="46"/>
      <c r="E2622" s="47"/>
      <c r="F2622" s="47"/>
      <c r="G2622" s="48"/>
      <c r="H2622" s="49"/>
      <c r="I2622" s="50"/>
      <c r="J2622" s="48"/>
      <c r="K2622" s="49"/>
      <c r="L2622" s="50"/>
      <c r="M2622" s="43" t="str">
        <f aca="false">IF(OR($L2622="",$F2622=""),"",IFERROR($L2622/INDEX(Cadastro!$E$6:$E$8,MATCH($F2622,Cadastro!$B$6:$B$8,0)),""))</f>
        <v/>
      </c>
      <c r="N2622" s="43" t="str">
        <f aca="false">IF(OR($L2622="",$I2622="",$I2622=0),"",$L2622/$I2622)</f>
        <v/>
      </c>
      <c r="O2622" s="51"/>
    </row>
    <row r="2623" customFormat="false" ht="15" hidden="false" customHeight="false" outlineLevel="0" collapsed="false">
      <c r="A2623" s="45"/>
      <c r="B2623" s="37" t="str">
        <f aca="false">IF($A2623="","",WEEKNUM($A2623,2))</f>
        <v/>
      </c>
      <c r="C2623" s="37" t="str">
        <f aca="false">IF($A2623="","",CHOOSE(WEEKDAY($A2623,2),"Seg","Ter","Qua","Qui","Sex","Sáb","Dom"))</f>
        <v/>
      </c>
      <c r="D2623" s="46"/>
      <c r="E2623" s="47"/>
      <c r="F2623" s="47"/>
      <c r="G2623" s="48"/>
      <c r="H2623" s="49"/>
      <c r="I2623" s="50"/>
      <c r="J2623" s="48"/>
      <c r="K2623" s="49"/>
      <c r="L2623" s="50"/>
      <c r="M2623" s="43" t="str">
        <f aca="false">IF(OR($L2623="",$F2623=""),"",IFERROR($L2623/INDEX(Cadastro!$E$6:$E$8,MATCH($F2623,Cadastro!$B$6:$B$8,0)),""))</f>
        <v/>
      </c>
      <c r="N2623" s="43" t="str">
        <f aca="false">IF(OR($L2623="",$I2623="",$I2623=0),"",$L2623/$I2623)</f>
        <v/>
      </c>
      <c r="O2623" s="51"/>
    </row>
    <row r="2624" customFormat="false" ht="15" hidden="false" customHeight="false" outlineLevel="0" collapsed="false">
      <c r="A2624" s="45"/>
      <c r="B2624" s="37" t="str">
        <f aca="false">IF($A2624="","",WEEKNUM($A2624,2))</f>
        <v/>
      </c>
      <c r="C2624" s="37" t="str">
        <f aca="false">IF($A2624="","",CHOOSE(WEEKDAY($A2624,2),"Seg","Ter","Qua","Qui","Sex","Sáb","Dom"))</f>
        <v/>
      </c>
      <c r="D2624" s="46"/>
      <c r="E2624" s="47"/>
      <c r="F2624" s="47"/>
      <c r="G2624" s="48"/>
      <c r="H2624" s="49"/>
      <c r="I2624" s="50"/>
      <c r="J2624" s="48"/>
      <c r="K2624" s="49"/>
      <c r="L2624" s="50"/>
      <c r="M2624" s="43" t="str">
        <f aca="false">IF(OR($L2624="",$F2624=""),"",IFERROR($L2624/INDEX(Cadastro!$E$6:$E$8,MATCH($F2624,Cadastro!$B$6:$B$8,0)),""))</f>
        <v/>
      </c>
      <c r="N2624" s="43" t="str">
        <f aca="false">IF(OR($L2624="",$I2624="",$I2624=0),"",$L2624/$I2624)</f>
        <v/>
      </c>
      <c r="O2624" s="51"/>
    </row>
    <row r="2625" customFormat="false" ht="15" hidden="false" customHeight="false" outlineLevel="0" collapsed="false">
      <c r="A2625" s="45"/>
      <c r="B2625" s="37" t="str">
        <f aca="false">IF($A2625="","",WEEKNUM($A2625,2))</f>
        <v/>
      </c>
      <c r="C2625" s="37" t="str">
        <f aca="false">IF($A2625="","",CHOOSE(WEEKDAY($A2625,2),"Seg","Ter","Qua","Qui","Sex","Sáb","Dom"))</f>
        <v/>
      </c>
      <c r="D2625" s="46"/>
      <c r="E2625" s="47"/>
      <c r="F2625" s="47"/>
      <c r="G2625" s="48"/>
      <c r="H2625" s="49"/>
      <c r="I2625" s="50"/>
      <c r="J2625" s="48"/>
      <c r="K2625" s="49"/>
      <c r="L2625" s="50"/>
      <c r="M2625" s="43" t="str">
        <f aca="false">IF(OR($L2625="",$F2625=""),"",IFERROR($L2625/INDEX(Cadastro!$E$6:$E$8,MATCH($F2625,Cadastro!$B$6:$B$8,0)),""))</f>
        <v/>
      </c>
      <c r="N2625" s="43" t="str">
        <f aca="false">IF(OR($L2625="",$I2625="",$I2625=0),"",$L2625/$I2625)</f>
        <v/>
      </c>
      <c r="O2625" s="51"/>
    </row>
    <row r="2626" customFormat="false" ht="15" hidden="false" customHeight="false" outlineLevel="0" collapsed="false">
      <c r="A2626" s="45"/>
      <c r="B2626" s="37" t="str">
        <f aca="false">IF($A2626="","",WEEKNUM($A2626,2))</f>
        <v/>
      </c>
      <c r="C2626" s="37" t="str">
        <f aca="false">IF($A2626="","",CHOOSE(WEEKDAY($A2626,2),"Seg","Ter","Qua","Qui","Sex","Sáb","Dom"))</f>
        <v/>
      </c>
      <c r="D2626" s="46"/>
      <c r="E2626" s="47"/>
      <c r="F2626" s="47"/>
      <c r="G2626" s="48"/>
      <c r="H2626" s="49"/>
      <c r="I2626" s="50"/>
      <c r="J2626" s="48"/>
      <c r="K2626" s="49"/>
      <c r="L2626" s="50"/>
      <c r="M2626" s="43" t="str">
        <f aca="false">IF(OR($L2626="",$F2626=""),"",IFERROR($L2626/INDEX(Cadastro!$E$6:$E$8,MATCH($F2626,Cadastro!$B$6:$B$8,0)),""))</f>
        <v/>
      </c>
      <c r="N2626" s="43" t="str">
        <f aca="false">IF(OR($L2626="",$I2626="",$I2626=0),"",$L2626/$I2626)</f>
        <v/>
      </c>
      <c r="O2626" s="51"/>
    </row>
    <row r="2627" customFormat="false" ht="15" hidden="false" customHeight="false" outlineLevel="0" collapsed="false">
      <c r="A2627" s="45"/>
      <c r="B2627" s="37" t="str">
        <f aca="false">IF($A2627="","",WEEKNUM($A2627,2))</f>
        <v/>
      </c>
      <c r="C2627" s="37" t="str">
        <f aca="false">IF($A2627="","",CHOOSE(WEEKDAY($A2627,2),"Seg","Ter","Qua","Qui","Sex","Sáb","Dom"))</f>
        <v/>
      </c>
      <c r="D2627" s="46"/>
      <c r="E2627" s="47"/>
      <c r="F2627" s="47"/>
      <c r="G2627" s="48"/>
      <c r="H2627" s="49"/>
      <c r="I2627" s="50"/>
      <c r="J2627" s="48"/>
      <c r="K2627" s="49"/>
      <c r="L2627" s="50"/>
      <c r="M2627" s="43" t="str">
        <f aca="false">IF(OR($L2627="",$F2627=""),"",IFERROR($L2627/INDEX(Cadastro!$E$6:$E$8,MATCH($F2627,Cadastro!$B$6:$B$8,0)),""))</f>
        <v/>
      </c>
      <c r="N2627" s="43" t="str">
        <f aca="false">IF(OR($L2627="",$I2627="",$I2627=0),"",$L2627/$I2627)</f>
        <v/>
      </c>
      <c r="O2627" s="51"/>
    </row>
    <row r="2628" customFormat="false" ht="15" hidden="false" customHeight="false" outlineLevel="0" collapsed="false">
      <c r="A2628" s="45"/>
      <c r="B2628" s="37" t="str">
        <f aca="false">IF($A2628="","",WEEKNUM($A2628,2))</f>
        <v/>
      </c>
      <c r="C2628" s="37" t="str">
        <f aca="false">IF($A2628="","",CHOOSE(WEEKDAY($A2628,2),"Seg","Ter","Qua","Qui","Sex","Sáb","Dom"))</f>
        <v/>
      </c>
      <c r="D2628" s="46"/>
      <c r="E2628" s="47"/>
      <c r="F2628" s="47"/>
      <c r="G2628" s="48"/>
      <c r="H2628" s="49"/>
      <c r="I2628" s="50"/>
      <c r="J2628" s="48"/>
      <c r="K2628" s="49"/>
      <c r="L2628" s="50"/>
      <c r="M2628" s="43" t="str">
        <f aca="false">IF(OR($L2628="",$F2628=""),"",IFERROR($L2628/INDEX(Cadastro!$E$6:$E$8,MATCH($F2628,Cadastro!$B$6:$B$8,0)),""))</f>
        <v/>
      </c>
      <c r="N2628" s="43" t="str">
        <f aca="false">IF(OR($L2628="",$I2628="",$I2628=0),"",$L2628/$I2628)</f>
        <v/>
      </c>
      <c r="O2628" s="51"/>
    </row>
    <row r="2629" customFormat="false" ht="15" hidden="false" customHeight="false" outlineLevel="0" collapsed="false">
      <c r="A2629" s="45"/>
      <c r="B2629" s="37" t="str">
        <f aca="false">IF($A2629="","",WEEKNUM($A2629,2))</f>
        <v/>
      </c>
      <c r="C2629" s="37" t="str">
        <f aca="false">IF($A2629="","",CHOOSE(WEEKDAY($A2629,2),"Seg","Ter","Qua","Qui","Sex","Sáb","Dom"))</f>
        <v/>
      </c>
      <c r="D2629" s="46"/>
      <c r="E2629" s="47"/>
      <c r="F2629" s="47"/>
      <c r="G2629" s="48"/>
      <c r="H2629" s="49"/>
      <c r="I2629" s="50"/>
      <c r="J2629" s="48"/>
      <c r="K2629" s="49"/>
      <c r="L2629" s="50"/>
      <c r="M2629" s="43" t="str">
        <f aca="false">IF(OR($L2629="",$F2629=""),"",IFERROR($L2629/INDEX(Cadastro!$E$6:$E$8,MATCH($F2629,Cadastro!$B$6:$B$8,0)),""))</f>
        <v/>
      </c>
      <c r="N2629" s="43" t="str">
        <f aca="false">IF(OR($L2629="",$I2629="",$I2629=0),"",$L2629/$I2629)</f>
        <v/>
      </c>
      <c r="O2629" s="51"/>
    </row>
    <row r="2630" customFormat="false" ht="15" hidden="false" customHeight="false" outlineLevel="0" collapsed="false">
      <c r="A2630" s="45"/>
      <c r="B2630" s="37" t="str">
        <f aca="false">IF($A2630="","",WEEKNUM($A2630,2))</f>
        <v/>
      </c>
      <c r="C2630" s="37" t="str">
        <f aca="false">IF($A2630="","",CHOOSE(WEEKDAY($A2630,2),"Seg","Ter","Qua","Qui","Sex","Sáb","Dom"))</f>
        <v/>
      </c>
      <c r="D2630" s="46"/>
      <c r="E2630" s="47"/>
      <c r="F2630" s="47"/>
      <c r="G2630" s="48"/>
      <c r="H2630" s="49"/>
      <c r="I2630" s="50"/>
      <c r="J2630" s="48"/>
      <c r="K2630" s="49"/>
      <c r="L2630" s="50"/>
      <c r="M2630" s="43" t="str">
        <f aca="false">IF(OR($L2630="",$F2630=""),"",IFERROR($L2630/INDEX(Cadastro!$E$6:$E$8,MATCH($F2630,Cadastro!$B$6:$B$8,0)),""))</f>
        <v/>
      </c>
      <c r="N2630" s="43" t="str">
        <f aca="false">IF(OR($L2630="",$I2630="",$I2630=0),"",$L2630/$I2630)</f>
        <v/>
      </c>
      <c r="O2630" s="51"/>
    </row>
    <row r="2631" customFormat="false" ht="15" hidden="false" customHeight="false" outlineLevel="0" collapsed="false">
      <c r="A2631" s="45"/>
      <c r="B2631" s="37" t="str">
        <f aca="false">IF($A2631="","",WEEKNUM($A2631,2))</f>
        <v/>
      </c>
      <c r="C2631" s="37" t="str">
        <f aca="false">IF($A2631="","",CHOOSE(WEEKDAY($A2631,2),"Seg","Ter","Qua","Qui","Sex","Sáb","Dom"))</f>
        <v/>
      </c>
      <c r="D2631" s="46"/>
      <c r="E2631" s="47"/>
      <c r="F2631" s="47"/>
      <c r="G2631" s="48"/>
      <c r="H2631" s="49"/>
      <c r="I2631" s="50"/>
      <c r="J2631" s="48"/>
      <c r="K2631" s="49"/>
      <c r="L2631" s="50"/>
      <c r="M2631" s="43" t="str">
        <f aca="false">IF(OR($L2631="",$F2631=""),"",IFERROR($L2631/INDEX(Cadastro!$E$6:$E$8,MATCH($F2631,Cadastro!$B$6:$B$8,0)),""))</f>
        <v/>
      </c>
      <c r="N2631" s="43" t="str">
        <f aca="false">IF(OR($L2631="",$I2631="",$I2631=0),"",$L2631/$I2631)</f>
        <v/>
      </c>
      <c r="O2631" s="51"/>
    </row>
    <row r="2632" customFormat="false" ht="15" hidden="false" customHeight="false" outlineLevel="0" collapsed="false">
      <c r="A2632" s="45"/>
      <c r="B2632" s="37" t="str">
        <f aca="false">IF($A2632="","",WEEKNUM($A2632,2))</f>
        <v/>
      </c>
      <c r="C2632" s="37" t="str">
        <f aca="false">IF($A2632="","",CHOOSE(WEEKDAY($A2632,2),"Seg","Ter","Qua","Qui","Sex","Sáb","Dom"))</f>
        <v/>
      </c>
      <c r="D2632" s="46"/>
      <c r="E2632" s="47"/>
      <c r="F2632" s="47"/>
      <c r="G2632" s="48"/>
      <c r="H2632" s="49"/>
      <c r="I2632" s="50"/>
      <c r="J2632" s="48"/>
      <c r="K2632" s="49"/>
      <c r="L2632" s="50"/>
      <c r="M2632" s="43" t="str">
        <f aca="false">IF(OR($L2632="",$F2632=""),"",IFERROR($L2632/INDEX(Cadastro!$E$6:$E$8,MATCH($F2632,Cadastro!$B$6:$B$8,0)),""))</f>
        <v/>
      </c>
      <c r="N2632" s="43" t="str">
        <f aca="false">IF(OR($L2632="",$I2632="",$I2632=0),"",$L2632/$I2632)</f>
        <v/>
      </c>
      <c r="O2632" s="51"/>
    </row>
    <row r="2633" customFormat="false" ht="15" hidden="false" customHeight="false" outlineLevel="0" collapsed="false">
      <c r="A2633" s="45"/>
      <c r="B2633" s="37" t="str">
        <f aca="false">IF($A2633="","",WEEKNUM($A2633,2))</f>
        <v/>
      </c>
      <c r="C2633" s="37" t="str">
        <f aca="false">IF($A2633="","",CHOOSE(WEEKDAY($A2633,2),"Seg","Ter","Qua","Qui","Sex","Sáb","Dom"))</f>
        <v/>
      </c>
      <c r="D2633" s="46"/>
      <c r="E2633" s="47"/>
      <c r="F2633" s="47"/>
      <c r="G2633" s="48"/>
      <c r="H2633" s="49"/>
      <c r="I2633" s="50"/>
      <c r="J2633" s="48"/>
      <c r="K2633" s="49"/>
      <c r="L2633" s="50"/>
      <c r="M2633" s="43" t="str">
        <f aca="false">IF(OR($L2633="",$F2633=""),"",IFERROR($L2633/INDEX(Cadastro!$E$6:$E$8,MATCH($F2633,Cadastro!$B$6:$B$8,0)),""))</f>
        <v/>
      </c>
      <c r="N2633" s="43" t="str">
        <f aca="false">IF(OR($L2633="",$I2633="",$I2633=0),"",$L2633/$I2633)</f>
        <v/>
      </c>
      <c r="O2633" s="51"/>
    </row>
    <row r="2634" customFormat="false" ht="15" hidden="false" customHeight="false" outlineLevel="0" collapsed="false">
      <c r="A2634" s="45"/>
      <c r="B2634" s="37" t="str">
        <f aca="false">IF($A2634="","",WEEKNUM($A2634,2))</f>
        <v/>
      </c>
      <c r="C2634" s="37" t="str">
        <f aca="false">IF($A2634="","",CHOOSE(WEEKDAY($A2634,2),"Seg","Ter","Qua","Qui","Sex","Sáb","Dom"))</f>
        <v/>
      </c>
      <c r="D2634" s="46"/>
      <c r="E2634" s="47"/>
      <c r="F2634" s="47"/>
      <c r="G2634" s="48"/>
      <c r="H2634" s="49"/>
      <c r="I2634" s="50"/>
      <c r="J2634" s="48"/>
      <c r="K2634" s="49"/>
      <c r="L2634" s="50"/>
      <c r="M2634" s="43" t="str">
        <f aca="false">IF(OR($L2634="",$F2634=""),"",IFERROR($L2634/INDEX(Cadastro!$E$6:$E$8,MATCH($F2634,Cadastro!$B$6:$B$8,0)),""))</f>
        <v/>
      </c>
      <c r="N2634" s="43" t="str">
        <f aca="false">IF(OR($L2634="",$I2634="",$I2634=0),"",$L2634/$I2634)</f>
        <v/>
      </c>
      <c r="O2634" s="51"/>
    </row>
    <row r="2635" customFormat="false" ht="15" hidden="false" customHeight="false" outlineLevel="0" collapsed="false">
      <c r="A2635" s="45"/>
      <c r="B2635" s="37" t="str">
        <f aca="false">IF($A2635="","",WEEKNUM($A2635,2))</f>
        <v/>
      </c>
      <c r="C2635" s="37" t="str">
        <f aca="false">IF($A2635="","",CHOOSE(WEEKDAY($A2635,2),"Seg","Ter","Qua","Qui","Sex","Sáb","Dom"))</f>
        <v/>
      </c>
      <c r="D2635" s="46"/>
      <c r="E2635" s="47"/>
      <c r="F2635" s="47"/>
      <c r="G2635" s="48"/>
      <c r="H2635" s="49"/>
      <c r="I2635" s="50"/>
      <c r="J2635" s="48"/>
      <c r="K2635" s="49"/>
      <c r="L2635" s="50"/>
      <c r="M2635" s="43" t="str">
        <f aca="false">IF(OR($L2635="",$F2635=""),"",IFERROR($L2635/INDEX(Cadastro!$E$6:$E$8,MATCH($F2635,Cadastro!$B$6:$B$8,0)),""))</f>
        <v/>
      </c>
      <c r="N2635" s="43" t="str">
        <f aca="false">IF(OR($L2635="",$I2635="",$I2635=0),"",$L2635/$I2635)</f>
        <v/>
      </c>
      <c r="O2635" s="51"/>
    </row>
    <row r="2636" customFormat="false" ht="15" hidden="false" customHeight="false" outlineLevel="0" collapsed="false">
      <c r="A2636" s="45"/>
      <c r="B2636" s="37" t="str">
        <f aca="false">IF($A2636="","",WEEKNUM($A2636,2))</f>
        <v/>
      </c>
      <c r="C2636" s="37" t="str">
        <f aca="false">IF($A2636="","",CHOOSE(WEEKDAY($A2636,2),"Seg","Ter","Qua","Qui","Sex","Sáb","Dom"))</f>
        <v/>
      </c>
      <c r="D2636" s="46"/>
      <c r="E2636" s="47"/>
      <c r="F2636" s="47"/>
      <c r="G2636" s="48"/>
      <c r="H2636" s="49"/>
      <c r="I2636" s="50"/>
      <c r="J2636" s="48"/>
      <c r="K2636" s="49"/>
      <c r="L2636" s="50"/>
      <c r="M2636" s="43" t="str">
        <f aca="false">IF(OR($L2636="",$F2636=""),"",IFERROR($L2636/INDEX(Cadastro!$E$6:$E$8,MATCH($F2636,Cadastro!$B$6:$B$8,0)),""))</f>
        <v/>
      </c>
      <c r="N2636" s="43" t="str">
        <f aca="false">IF(OR($L2636="",$I2636="",$I2636=0),"",$L2636/$I2636)</f>
        <v/>
      </c>
      <c r="O2636" s="51"/>
    </row>
    <row r="2637" customFormat="false" ht="15" hidden="false" customHeight="false" outlineLevel="0" collapsed="false">
      <c r="A2637" s="45"/>
      <c r="B2637" s="37" t="str">
        <f aca="false">IF($A2637="","",WEEKNUM($A2637,2))</f>
        <v/>
      </c>
      <c r="C2637" s="37" t="str">
        <f aca="false">IF($A2637="","",CHOOSE(WEEKDAY($A2637,2),"Seg","Ter","Qua","Qui","Sex","Sáb","Dom"))</f>
        <v/>
      </c>
      <c r="D2637" s="46"/>
      <c r="E2637" s="47"/>
      <c r="F2637" s="47"/>
      <c r="G2637" s="48"/>
      <c r="H2637" s="49"/>
      <c r="I2637" s="50"/>
      <c r="J2637" s="48"/>
      <c r="K2637" s="49"/>
      <c r="L2637" s="50"/>
      <c r="M2637" s="43" t="str">
        <f aca="false">IF(OR($L2637="",$F2637=""),"",IFERROR($L2637/INDEX(Cadastro!$E$6:$E$8,MATCH($F2637,Cadastro!$B$6:$B$8,0)),""))</f>
        <v/>
      </c>
      <c r="N2637" s="43" t="str">
        <f aca="false">IF(OR($L2637="",$I2637="",$I2637=0),"",$L2637/$I2637)</f>
        <v/>
      </c>
      <c r="O2637" s="51"/>
    </row>
    <row r="2638" customFormat="false" ht="15" hidden="false" customHeight="false" outlineLevel="0" collapsed="false">
      <c r="A2638" s="45"/>
      <c r="B2638" s="37" t="str">
        <f aca="false">IF($A2638="","",WEEKNUM($A2638,2))</f>
        <v/>
      </c>
      <c r="C2638" s="37" t="str">
        <f aca="false">IF($A2638="","",CHOOSE(WEEKDAY($A2638,2),"Seg","Ter","Qua","Qui","Sex","Sáb","Dom"))</f>
        <v/>
      </c>
      <c r="D2638" s="46"/>
      <c r="E2638" s="47"/>
      <c r="F2638" s="47"/>
      <c r="G2638" s="48"/>
      <c r="H2638" s="49"/>
      <c r="I2638" s="50"/>
      <c r="J2638" s="48"/>
      <c r="K2638" s="49"/>
      <c r="L2638" s="50"/>
      <c r="M2638" s="43" t="str">
        <f aca="false">IF(OR($L2638="",$F2638=""),"",IFERROR($L2638/INDEX(Cadastro!$E$6:$E$8,MATCH($F2638,Cadastro!$B$6:$B$8,0)),""))</f>
        <v/>
      </c>
      <c r="N2638" s="43" t="str">
        <f aca="false">IF(OR($L2638="",$I2638="",$I2638=0),"",$L2638/$I2638)</f>
        <v/>
      </c>
      <c r="O2638" s="51"/>
    </row>
    <row r="2639" customFormat="false" ht="15" hidden="false" customHeight="false" outlineLevel="0" collapsed="false">
      <c r="A2639" s="45"/>
      <c r="B2639" s="37" t="str">
        <f aca="false">IF($A2639="","",WEEKNUM($A2639,2))</f>
        <v/>
      </c>
      <c r="C2639" s="37" t="str">
        <f aca="false">IF($A2639="","",CHOOSE(WEEKDAY($A2639,2),"Seg","Ter","Qua","Qui","Sex","Sáb","Dom"))</f>
        <v/>
      </c>
      <c r="D2639" s="46"/>
      <c r="E2639" s="47"/>
      <c r="F2639" s="47"/>
      <c r="G2639" s="48"/>
      <c r="H2639" s="49"/>
      <c r="I2639" s="50"/>
      <c r="J2639" s="48"/>
      <c r="K2639" s="49"/>
      <c r="L2639" s="50"/>
      <c r="M2639" s="43" t="str">
        <f aca="false">IF(OR($L2639="",$F2639=""),"",IFERROR($L2639/INDEX(Cadastro!$E$6:$E$8,MATCH($F2639,Cadastro!$B$6:$B$8,0)),""))</f>
        <v/>
      </c>
      <c r="N2639" s="43" t="str">
        <f aca="false">IF(OR($L2639="",$I2639="",$I2639=0),"",$L2639/$I2639)</f>
        <v/>
      </c>
      <c r="O2639" s="51"/>
    </row>
    <row r="2640" customFormat="false" ht="15" hidden="false" customHeight="false" outlineLevel="0" collapsed="false">
      <c r="A2640" s="45"/>
      <c r="B2640" s="37" t="str">
        <f aca="false">IF($A2640="","",WEEKNUM($A2640,2))</f>
        <v/>
      </c>
      <c r="C2640" s="37" t="str">
        <f aca="false">IF($A2640="","",CHOOSE(WEEKDAY($A2640,2),"Seg","Ter","Qua","Qui","Sex","Sáb","Dom"))</f>
        <v/>
      </c>
      <c r="D2640" s="46"/>
      <c r="E2640" s="47"/>
      <c r="F2640" s="47"/>
      <c r="G2640" s="48"/>
      <c r="H2640" s="49"/>
      <c r="I2640" s="50"/>
      <c r="J2640" s="48"/>
      <c r="K2640" s="49"/>
      <c r="L2640" s="50"/>
      <c r="M2640" s="43" t="str">
        <f aca="false">IF(OR($L2640="",$F2640=""),"",IFERROR($L2640/INDEX(Cadastro!$E$6:$E$8,MATCH($F2640,Cadastro!$B$6:$B$8,0)),""))</f>
        <v/>
      </c>
      <c r="N2640" s="43" t="str">
        <f aca="false">IF(OR($L2640="",$I2640="",$I2640=0),"",$L2640/$I2640)</f>
        <v/>
      </c>
      <c r="O2640" s="51"/>
    </row>
    <row r="2641" customFormat="false" ht="15" hidden="false" customHeight="false" outlineLevel="0" collapsed="false">
      <c r="A2641" s="45"/>
      <c r="B2641" s="37" t="str">
        <f aca="false">IF($A2641="","",WEEKNUM($A2641,2))</f>
        <v/>
      </c>
      <c r="C2641" s="37" t="str">
        <f aca="false">IF($A2641="","",CHOOSE(WEEKDAY($A2641,2),"Seg","Ter","Qua","Qui","Sex","Sáb","Dom"))</f>
        <v/>
      </c>
      <c r="D2641" s="46"/>
      <c r="E2641" s="47"/>
      <c r="F2641" s="47"/>
      <c r="G2641" s="48"/>
      <c r="H2641" s="49"/>
      <c r="I2641" s="50"/>
      <c r="J2641" s="48"/>
      <c r="K2641" s="49"/>
      <c r="L2641" s="50"/>
      <c r="M2641" s="43" t="str">
        <f aca="false">IF(OR($L2641="",$F2641=""),"",IFERROR($L2641/INDEX(Cadastro!$E$6:$E$8,MATCH($F2641,Cadastro!$B$6:$B$8,0)),""))</f>
        <v/>
      </c>
      <c r="N2641" s="43" t="str">
        <f aca="false">IF(OR($L2641="",$I2641="",$I2641=0),"",$L2641/$I2641)</f>
        <v/>
      </c>
      <c r="O2641" s="51"/>
    </row>
    <row r="2642" customFormat="false" ht="15" hidden="false" customHeight="false" outlineLevel="0" collapsed="false">
      <c r="A2642" s="45"/>
      <c r="B2642" s="37" t="str">
        <f aca="false">IF($A2642="","",WEEKNUM($A2642,2))</f>
        <v/>
      </c>
      <c r="C2642" s="37" t="str">
        <f aca="false">IF($A2642="","",CHOOSE(WEEKDAY($A2642,2),"Seg","Ter","Qua","Qui","Sex","Sáb","Dom"))</f>
        <v/>
      </c>
      <c r="D2642" s="46"/>
      <c r="E2642" s="47"/>
      <c r="F2642" s="47"/>
      <c r="G2642" s="48"/>
      <c r="H2642" s="49"/>
      <c r="I2642" s="50"/>
      <c r="J2642" s="48"/>
      <c r="K2642" s="49"/>
      <c r="L2642" s="50"/>
      <c r="M2642" s="43" t="str">
        <f aca="false">IF(OR($L2642="",$F2642=""),"",IFERROR($L2642/INDEX(Cadastro!$E$6:$E$8,MATCH($F2642,Cadastro!$B$6:$B$8,0)),""))</f>
        <v/>
      </c>
      <c r="N2642" s="43" t="str">
        <f aca="false">IF(OR($L2642="",$I2642="",$I2642=0),"",$L2642/$I2642)</f>
        <v/>
      </c>
      <c r="O2642" s="51"/>
    </row>
    <row r="2643" customFormat="false" ht="15" hidden="false" customHeight="false" outlineLevel="0" collapsed="false">
      <c r="A2643" s="45"/>
      <c r="B2643" s="37" t="str">
        <f aca="false">IF($A2643="","",WEEKNUM($A2643,2))</f>
        <v/>
      </c>
      <c r="C2643" s="37" t="str">
        <f aca="false">IF($A2643="","",CHOOSE(WEEKDAY($A2643,2),"Seg","Ter","Qua","Qui","Sex","Sáb","Dom"))</f>
        <v/>
      </c>
      <c r="D2643" s="46"/>
      <c r="E2643" s="47"/>
      <c r="F2643" s="47"/>
      <c r="G2643" s="48"/>
      <c r="H2643" s="49"/>
      <c r="I2643" s="50"/>
      <c r="J2643" s="48"/>
      <c r="K2643" s="49"/>
      <c r="L2643" s="50"/>
      <c r="M2643" s="43" t="str">
        <f aca="false">IF(OR($L2643="",$F2643=""),"",IFERROR($L2643/INDEX(Cadastro!$E$6:$E$8,MATCH($F2643,Cadastro!$B$6:$B$8,0)),""))</f>
        <v/>
      </c>
      <c r="N2643" s="43" t="str">
        <f aca="false">IF(OR($L2643="",$I2643="",$I2643=0),"",$L2643/$I2643)</f>
        <v/>
      </c>
      <c r="O2643" s="51"/>
    </row>
    <row r="2644" customFormat="false" ht="15" hidden="false" customHeight="false" outlineLevel="0" collapsed="false">
      <c r="A2644" s="45"/>
      <c r="B2644" s="37" t="str">
        <f aca="false">IF($A2644="","",WEEKNUM($A2644,2))</f>
        <v/>
      </c>
      <c r="C2644" s="37" t="str">
        <f aca="false">IF($A2644="","",CHOOSE(WEEKDAY($A2644,2),"Seg","Ter","Qua","Qui","Sex","Sáb","Dom"))</f>
        <v/>
      </c>
      <c r="D2644" s="46"/>
      <c r="E2644" s="47"/>
      <c r="F2644" s="47"/>
      <c r="G2644" s="48"/>
      <c r="H2644" s="49"/>
      <c r="I2644" s="50"/>
      <c r="J2644" s="48"/>
      <c r="K2644" s="49"/>
      <c r="L2644" s="50"/>
      <c r="M2644" s="43" t="str">
        <f aca="false">IF(OR($L2644="",$F2644=""),"",IFERROR($L2644/INDEX(Cadastro!$E$6:$E$8,MATCH($F2644,Cadastro!$B$6:$B$8,0)),""))</f>
        <v/>
      </c>
      <c r="N2644" s="43" t="str">
        <f aca="false">IF(OR($L2644="",$I2644="",$I2644=0),"",$L2644/$I2644)</f>
        <v/>
      </c>
      <c r="O2644" s="51"/>
    </row>
    <row r="2645" customFormat="false" ht="15" hidden="false" customHeight="false" outlineLevel="0" collapsed="false">
      <c r="A2645" s="45"/>
      <c r="B2645" s="37" t="str">
        <f aca="false">IF($A2645="","",WEEKNUM($A2645,2))</f>
        <v/>
      </c>
      <c r="C2645" s="37" t="str">
        <f aca="false">IF($A2645="","",CHOOSE(WEEKDAY($A2645,2),"Seg","Ter","Qua","Qui","Sex","Sáb","Dom"))</f>
        <v/>
      </c>
      <c r="D2645" s="46"/>
      <c r="E2645" s="47"/>
      <c r="F2645" s="47"/>
      <c r="G2645" s="48"/>
      <c r="H2645" s="49"/>
      <c r="I2645" s="50"/>
      <c r="J2645" s="48"/>
      <c r="K2645" s="49"/>
      <c r="L2645" s="50"/>
      <c r="M2645" s="43" t="str">
        <f aca="false">IF(OR($L2645="",$F2645=""),"",IFERROR($L2645/INDEX(Cadastro!$E$6:$E$8,MATCH($F2645,Cadastro!$B$6:$B$8,0)),""))</f>
        <v/>
      </c>
      <c r="N2645" s="43" t="str">
        <f aca="false">IF(OR($L2645="",$I2645="",$I2645=0),"",$L2645/$I2645)</f>
        <v/>
      </c>
      <c r="O2645" s="51"/>
    </row>
    <row r="2646" customFormat="false" ht="15" hidden="false" customHeight="false" outlineLevel="0" collapsed="false">
      <c r="A2646" s="45"/>
      <c r="B2646" s="37" t="str">
        <f aca="false">IF($A2646="","",WEEKNUM($A2646,2))</f>
        <v/>
      </c>
      <c r="C2646" s="37" t="str">
        <f aca="false">IF($A2646="","",CHOOSE(WEEKDAY($A2646,2),"Seg","Ter","Qua","Qui","Sex","Sáb","Dom"))</f>
        <v/>
      </c>
      <c r="D2646" s="46"/>
      <c r="E2646" s="47"/>
      <c r="F2646" s="47"/>
      <c r="G2646" s="48"/>
      <c r="H2646" s="49"/>
      <c r="I2646" s="50"/>
      <c r="J2646" s="48"/>
      <c r="K2646" s="49"/>
      <c r="L2646" s="50"/>
      <c r="M2646" s="43" t="str">
        <f aca="false">IF(OR($L2646="",$F2646=""),"",IFERROR($L2646/INDEX(Cadastro!$E$6:$E$8,MATCH($F2646,Cadastro!$B$6:$B$8,0)),""))</f>
        <v/>
      </c>
      <c r="N2646" s="43" t="str">
        <f aca="false">IF(OR($L2646="",$I2646="",$I2646=0),"",$L2646/$I2646)</f>
        <v/>
      </c>
      <c r="O2646" s="51"/>
    </row>
    <row r="2647" customFormat="false" ht="15" hidden="false" customHeight="false" outlineLevel="0" collapsed="false">
      <c r="A2647" s="45"/>
      <c r="B2647" s="37" t="str">
        <f aca="false">IF($A2647="","",WEEKNUM($A2647,2))</f>
        <v/>
      </c>
      <c r="C2647" s="37" t="str">
        <f aca="false">IF($A2647="","",CHOOSE(WEEKDAY($A2647,2),"Seg","Ter","Qua","Qui","Sex","Sáb","Dom"))</f>
        <v/>
      </c>
      <c r="D2647" s="46"/>
      <c r="E2647" s="47"/>
      <c r="F2647" s="47"/>
      <c r="G2647" s="48"/>
      <c r="H2647" s="49"/>
      <c r="I2647" s="50"/>
      <c r="J2647" s="48"/>
      <c r="K2647" s="49"/>
      <c r="L2647" s="50"/>
      <c r="M2647" s="43" t="str">
        <f aca="false">IF(OR($L2647="",$F2647=""),"",IFERROR($L2647/INDEX(Cadastro!$E$6:$E$8,MATCH($F2647,Cadastro!$B$6:$B$8,0)),""))</f>
        <v/>
      </c>
      <c r="N2647" s="43" t="str">
        <f aca="false">IF(OR($L2647="",$I2647="",$I2647=0),"",$L2647/$I2647)</f>
        <v/>
      </c>
      <c r="O2647" s="51"/>
    </row>
    <row r="2648" customFormat="false" ht="15" hidden="false" customHeight="false" outlineLevel="0" collapsed="false">
      <c r="A2648" s="45"/>
      <c r="B2648" s="37" t="str">
        <f aca="false">IF($A2648="","",WEEKNUM($A2648,2))</f>
        <v/>
      </c>
      <c r="C2648" s="37" t="str">
        <f aca="false">IF($A2648="","",CHOOSE(WEEKDAY($A2648,2),"Seg","Ter","Qua","Qui","Sex","Sáb","Dom"))</f>
        <v/>
      </c>
      <c r="D2648" s="46"/>
      <c r="E2648" s="47"/>
      <c r="F2648" s="47"/>
      <c r="G2648" s="48"/>
      <c r="H2648" s="49"/>
      <c r="I2648" s="50"/>
      <c r="J2648" s="48"/>
      <c r="K2648" s="49"/>
      <c r="L2648" s="50"/>
      <c r="M2648" s="43" t="str">
        <f aca="false">IF(OR($L2648="",$F2648=""),"",IFERROR($L2648/INDEX(Cadastro!$E$6:$E$8,MATCH($F2648,Cadastro!$B$6:$B$8,0)),""))</f>
        <v/>
      </c>
      <c r="N2648" s="43" t="str">
        <f aca="false">IF(OR($L2648="",$I2648="",$I2648=0),"",$L2648/$I2648)</f>
        <v/>
      </c>
      <c r="O2648" s="51"/>
    </row>
    <row r="2649" customFormat="false" ht="15" hidden="false" customHeight="false" outlineLevel="0" collapsed="false">
      <c r="A2649" s="45"/>
      <c r="B2649" s="37" t="str">
        <f aca="false">IF($A2649="","",WEEKNUM($A2649,2))</f>
        <v/>
      </c>
      <c r="C2649" s="37" t="str">
        <f aca="false">IF($A2649="","",CHOOSE(WEEKDAY($A2649,2),"Seg","Ter","Qua","Qui","Sex","Sáb","Dom"))</f>
        <v/>
      </c>
      <c r="D2649" s="46"/>
      <c r="E2649" s="47"/>
      <c r="F2649" s="47"/>
      <c r="G2649" s="48"/>
      <c r="H2649" s="49"/>
      <c r="I2649" s="50"/>
      <c r="J2649" s="48"/>
      <c r="K2649" s="49"/>
      <c r="L2649" s="50"/>
      <c r="M2649" s="43" t="str">
        <f aca="false">IF(OR($L2649="",$F2649=""),"",IFERROR($L2649/INDEX(Cadastro!$E$6:$E$8,MATCH($F2649,Cadastro!$B$6:$B$8,0)),""))</f>
        <v/>
      </c>
      <c r="N2649" s="43" t="str">
        <f aca="false">IF(OR($L2649="",$I2649="",$I2649=0),"",$L2649/$I2649)</f>
        <v/>
      </c>
      <c r="O2649" s="51"/>
    </row>
    <row r="2650" customFormat="false" ht="15" hidden="false" customHeight="false" outlineLevel="0" collapsed="false">
      <c r="A2650" s="45"/>
      <c r="B2650" s="37" t="str">
        <f aca="false">IF($A2650="","",WEEKNUM($A2650,2))</f>
        <v/>
      </c>
      <c r="C2650" s="37" t="str">
        <f aca="false">IF($A2650="","",CHOOSE(WEEKDAY($A2650,2),"Seg","Ter","Qua","Qui","Sex","Sáb","Dom"))</f>
        <v/>
      </c>
      <c r="D2650" s="46"/>
      <c r="E2650" s="47"/>
      <c r="F2650" s="47"/>
      <c r="G2650" s="48"/>
      <c r="H2650" s="49"/>
      <c r="I2650" s="50"/>
      <c r="J2650" s="48"/>
      <c r="K2650" s="49"/>
      <c r="L2650" s="50"/>
      <c r="M2650" s="43" t="str">
        <f aca="false">IF(OR($L2650="",$F2650=""),"",IFERROR($L2650/INDEX(Cadastro!$E$6:$E$8,MATCH($F2650,Cadastro!$B$6:$B$8,0)),""))</f>
        <v/>
      </c>
      <c r="N2650" s="43" t="str">
        <f aca="false">IF(OR($L2650="",$I2650="",$I2650=0),"",$L2650/$I2650)</f>
        <v/>
      </c>
      <c r="O2650" s="51"/>
    </row>
    <row r="2651" customFormat="false" ht="15" hidden="false" customHeight="false" outlineLevel="0" collapsed="false">
      <c r="A2651" s="45"/>
      <c r="B2651" s="37" t="str">
        <f aca="false">IF($A2651="","",WEEKNUM($A2651,2))</f>
        <v/>
      </c>
      <c r="C2651" s="37" t="str">
        <f aca="false">IF($A2651="","",CHOOSE(WEEKDAY($A2651,2),"Seg","Ter","Qua","Qui","Sex","Sáb","Dom"))</f>
        <v/>
      </c>
      <c r="D2651" s="46"/>
      <c r="E2651" s="47"/>
      <c r="F2651" s="47"/>
      <c r="G2651" s="48"/>
      <c r="H2651" s="49"/>
      <c r="I2651" s="50"/>
      <c r="J2651" s="48"/>
      <c r="K2651" s="49"/>
      <c r="L2651" s="50"/>
      <c r="M2651" s="43" t="str">
        <f aca="false">IF(OR($L2651="",$F2651=""),"",IFERROR($L2651/INDEX(Cadastro!$E$6:$E$8,MATCH($F2651,Cadastro!$B$6:$B$8,0)),""))</f>
        <v/>
      </c>
      <c r="N2651" s="43" t="str">
        <f aca="false">IF(OR($L2651="",$I2651="",$I2651=0),"",$L2651/$I2651)</f>
        <v/>
      </c>
      <c r="O2651" s="51"/>
    </row>
    <row r="2652" customFormat="false" ht="15" hidden="false" customHeight="false" outlineLevel="0" collapsed="false">
      <c r="A2652" s="45"/>
      <c r="B2652" s="37" t="str">
        <f aca="false">IF($A2652="","",WEEKNUM($A2652,2))</f>
        <v/>
      </c>
      <c r="C2652" s="37" t="str">
        <f aca="false">IF($A2652="","",CHOOSE(WEEKDAY($A2652,2),"Seg","Ter","Qua","Qui","Sex","Sáb","Dom"))</f>
        <v/>
      </c>
      <c r="D2652" s="46"/>
      <c r="E2652" s="47"/>
      <c r="F2652" s="47"/>
      <c r="G2652" s="48"/>
      <c r="H2652" s="49"/>
      <c r="I2652" s="50"/>
      <c r="J2652" s="48"/>
      <c r="K2652" s="49"/>
      <c r="L2652" s="50"/>
      <c r="M2652" s="43" t="str">
        <f aca="false">IF(OR($L2652="",$F2652=""),"",IFERROR($L2652/INDEX(Cadastro!$E$6:$E$8,MATCH($F2652,Cadastro!$B$6:$B$8,0)),""))</f>
        <v/>
      </c>
      <c r="N2652" s="43" t="str">
        <f aca="false">IF(OR($L2652="",$I2652="",$I2652=0),"",$L2652/$I2652)</f>
        <v/>
      </c>
      <c r="O2652" s="51"/>
    </row>
    <row r="2653" customFormat="false" ht="15" hidden="false" customHeight="false" outlineLevel="0" collapsed="false">
      <c r="A2653" s="45"/>
      <c r="B2653" s="37" t="str">
        <f aca="false">IF($A2653="","",WEEKNUM($A2653,2))</f>
        <v/>
      </c>
      <c r="C2653" s="37" t="str">
        <f aca="false">IF($A2653="","",CHOOSE(WEEKDAY($A2653,2),"Seg","Ter","Qua","Qui","Sex","Sáb","Dom"))</f>
        <v/>
      </c>
      <c r="D2653" s="46"/>
      <c r="E2653" s="47"/>
      <c r="F2653" s="47"/>
      <c r="G2653" s="48"/>
      <c r="H2653" s="49"/>
      <c r="I2653" s="50"/>
      <c r="J2653" s="48"/>
      <c r="K2653" s="49"/>
      <c r="L2653" s="50"/>
      <c r="M2653" s="43" t="str">
        <f aca="false">IF(OR($L2653="",$F2653=""),"",IFERROR($L2653/INDEX(Cadastro!$E$6:$E$8,MATCH($F2653,Cadastro!$B$6:$B$8,0)),""))</f>
        <v/>
      </c>
      <c r="N2653" s="43" t="str">
        <f aca="false">IF(OR($L2653="",$I2653="",$I2653=0),"",$L2653/$I2653)</f>
        <v/>
      </c>
      <c r="O2653" s="51"/>
    </row>
    <row r="2654" customFormat="false" ht="15" hidden="false" customHeight="false" outlineLevel="0" collapsed="false">
      <c r="A2654" s="45"/>
      <c r="B2654" s="37" t="str">
        <f aca="false">IF($A2654="","",WEEKNUM($A2654,2))</f>
        <v/>
      </c>
      <c r="C2654" s="37" t="str">
        <f aca="false">IF($A2654="","",CHOOSE(WEEKDAY($A2654,2),"Seg","Ter","Qua","Qui","Sex","Sáb","Dom"))</f>
        <v/>
      </c>
      <c r="D2654" s="46"/>
      <c r="E2654" s="47"/>
      <c r="F2654" s="47"/>
      <c r="G2654" s="48"/>
      <c r="H2654" s="49"/>
      <c r="I2654" s="50"/>
      <c r="J2654" s="48"/>
      <c r="K2654" s="49"/>
      <c r="L2654" s="50"/>
      <c r="M2654" s="43" t="str">
        <f aca="false">IF(OR($L2654="",$F2654=""),"",IFERROR($L2654/INDEX(Cadastro!$E$6:$E$8,MATCH($F2654,Cadastro!$B$6:$B$8,0)),""))</f>
        <v/>
      </c>
      <c r="N2654" s="43" t="str">
        <f aca="false">IF(OR($L2654="",$I2654="",$I2654=0),"",$L2654/$I2654)</f>
        <v/>
      </c>
      <c r="O2654" s="51"/>
    </row>
    <row r="2655" customFormat="false" ht="15" hidden="false" customHeight="false" outlineLevel="0" collapsed="false">
      <c r="A2655" s="45"/>
      <c r="B2655" s="37" t="str">
        <f aca="false">IF($A2655="","",WEEKNUM($A2655,2))</f>
        <v/>
      </c>
      <c r="C2655" s="37" t="str">
        <f aca="false">IF($A2655="","",CHOOSE(WEEKDAY($A2655,2),"Seg","Ter","Qua","Qui","Sex","Sáb","Dom"))</f>
        <v/>
      </c>
      <c r="D2655" s="46"/>
      <c r="E2655" s="47"/>
      <c r="F2655" s="47"/>
      <c r="G2655" s="48"/>
      <c r="H2655" s="49"/>
      <c r="I2655" s="50"/>
      <c r="J2655" s="48"/>
      <c r="K2655" s="49"/>
      <c r="L2655" s="50"/>
      <c r="M2655" s="43" t="str">
        <f aca="false">IF(OR($L2655="",$F2655=""),"",IFERROR($L2655/INDEX(Cadastro!$E$6:$E$8,MATCH($F2655,Cadastro!$B$6:$B$8,0)),""))</f>
        <v/>
      </c>
      <c r="N2655" s="43" t="str">
        <f aca="false">IF(OR($L2655="",$I2655="",$I2655=0),"",$L2655/$I2655)</f>
        <v/>
      </c>
      <c r="O2655" s="51"/>
    </row>
    <row r="2656" customFormat="false" ht="15" hidden="false" customHeight="false" outlineLevel="0" collapsed="false">
      <c r="A2656" s="45"/>
      <c r="B2656" s="37" t="str">
        <f aca="false">IF($A2656="","",WEEKNUM($A2656,2))</f>
        <v/>
      </c>
      <c r="C2656" s="37" t="str">
        <f aca="false">IF($A2656="","",CHOOSE(WEEKDAY($A2656,2),"Seg","Ter","Qua","Qui","Sex","Sáb","Dom"))</f>
        <v/>
      </c>
      <c r="D2656" s="46"/>
      <c r="E2656" s="47"/>
      <c r="F2656" s="47"/>
      <c r="G2656" s="48"/>
      <c r="H2656" s="49"/>
      <c r="I2656" s="50"/>
      <c r="J2656" s="48"/>
      <c r="K2656" s="49"/>
      <c r="L2656" s="50"/>
      <c r="M2656" s="43" t="str">
        <f aca="false">IF(OR($L2656="",$F2656=""),"",IFERROR($L2656/INDEX(Cadastro!$E$6:$E$8,MATCH($F2656,Cadastro!$B$6:$B$8,0)),""))</f>
        <v/>
      </c>
      <c r="N2656" s="43" t="str">
        <f aca="false">IF(OR($L2656="",$I2656="",$I2656=0),"",$L2656/$I2656)</f>
        <v/>
      </c>
      <c r="O2656" s="51"/>
    </row>
    <row r="2657" customFormat="false" ht="15" hidden="false" customHeight="false" outlineLevel="0" collapsed="false">
      <c r="A2657" s="45"/>
      <c r="B2657" s="37" t="str">
        <f aca="false">IF($A2657="","",WEEKNUM($A2657,2))</f>
        <v/>
      </c>
      <c r="C2657" s="37" t="str">
        <f aca="false">IF($A2657="","",CHOOSE(WEEKDAY($A2657,2),"Seg","Ter","Qua","Qui","Sex","Sáb","Dom"))</f>
        <v/>
      </c>
      <c r="D2657" s="46"/>
      <c r="E2657" s="47"/>
      <c r="F2657" s="47"/>
      <c r="G2657" s="48"/>
      <c r="H2657" s="49"/>
      <c r="I2657" s="50"/>
      <c r="J2657" s="48"/>
      <c r="K2657" s="49"/>
      <c r="L2657" s="50"/>
      <c r="M2657" s="43" t="str">
        <f aca="false">IF(OR($L2657="",$F2657=""),"",IFERROR($L2657/INDEX(Cadastro!$E$6:$E$8,MATCH($F2657,Cadastro!$B$6:$B$8,0)),""))</f>
        <v/>
      </c>
      <c r="N2657" s="43" t="str">
        <f aca="false">IF(OR($L2657="",$I2657="",$I2657=0),"",$L2657/$I2657)</f>
        <v/>
      </c>
      <c r="O2657" s="51"/>
    </row>
    <row r="2658" customFormat="false" ht="15" hidden="false" customHeight="false" outlineLevel="0" collapsed="false">
      <c r="A2658" s="45"/>
      <c r="B2658" s="37" t="str">
        <f aca="false">IF($A2658="","",WEEKNUM($A2658,2))</f>
        <v/>
      </c>
      <c r="C2658" s="37" t="str">
        <f aca="false">IF($A2658="","",CHOOSE(WEEKDAY($A2658,2),"Seg","Ter","Qua","Qui","Sex","Sáb","Dom"))</f>
        <v/>
      </c>
      <c r="D2658" s="46"/>
      <c r="E2658" s="47"/>
      <c r="F2658" s="47"/>
      <c r="G2658" s="48"/>
      <c r="H2658" s="49"/>
      <c r="I2658" s="50"/>
      <c r="J2658" s="48"/>
      <c r="K2658" s="49"/>
      <c r="L2658" s="50"/>
      <c r="M2658" s="43" t="str">
        <f aca="false">IF(OR($L2658="",$F2658=""),"",IFERROR($L2658/INDEX(Cadastro!$E$6:$E$8,MATCH($F2658,Cadastro!$B$6:$B$8,0)),""))</f>
        <v/>
      </c>
      <c r="N2658" s="43" t="str">
        <f aca="false">IF(OR($L2658="",$I2658="",$I2658=0),"",$L2658/$I2658)</f>
        <v/>
      </c>
      <c r="O2658" s="51"/>
    </row>
    <row r="2659" customFormat="false" ht="15" hidden="false" customHeight="false" outlineLevel="0" collapsed="false">
      <c r="A2659" s="45"/>
      <c r="B2659" s="37" t="str">
        <f aca="false">IF($A2659="","",WEEKNUM($A2659,2))</f>
        <v/>
      </c>
      <c r="C2659" s="37" t="str">
        <f aca="false">IF($A2659="","",CHOOSE(WEEKDAY($A2659,2),"Seg","Ter","Qua","Qui","Sex","Sáb","Dom"))</f>
        <v/>
      </c>
      <c r="D2659" s="46"/>
      <c r="E2659" s="47"/>
      <c r="F2659" s="47"/>
      <c r="G2659" s="48"/>
      <c r="H2659" s="49"/>
      <c r="I2659" s="50"/>
      <c r="J2659" s="48"/>
      <c r="K2659" s="49"/>
      <c r="L2659" s="50"/>
      <c r="M2659" s="43" t="str">
        <f aca="false">IF(OR($L2659="",$F2659=""),"",IFERROR($L2659/INDEX(Cadastro!$E$6:$E$8,MATCH($F2659,Cadastro!$B$6:$B$8,0)),""))</f>
        <v/>
      </c>
      <c r="N2659" s="43" t="str">
        <f aca="false">IF(OR($L2659="",$I2659="",$I2659=0),"",$L2659/$I2659)</f>
        <v/>
      </c>
      <c r="O2659" s="51"/>
    </row>
    <row r="2660" customFormat="false" ht="15" hidden="false" customHeight="false" outlineLevel="0" collapsed="false">
      <c r="A2660" s="45"/>
      <c r="B2660" s="37" t="str">
        <f aca="false">IF($A2660="","",WEEKNUM($A2660,2))</f>
        <v/>
      </c>
      <c r="C2660" s="37" t="str">
        <f aca="false">IF($A2660="","",CHOOSE(WEEKDAY($A2660,2),"Seg","Ter","Qua","Qui","Sex","Sáb","Dom"))</f>
        <v/>
      </c>
      <c r="D2660" s="46"/>
      <c r="E2660" s="47"/>
      <c r="F2660" s="47"/>
      <c r="G2660" s="48"/>
      <c r="H2660" s="49"/>
      <c r="I2660" s="50"/>
      <c r="J2660" s="48"/>
      <c r="K2660" s="49"/>
      <c r="L2660" s="50"/>
      <c r="M2660" s="43" t="str">
        <f aca="false">IF(OR($L2660="",$F2660=""),"",IFERROR($L2660/INDEX(Cadastro!$E$6:$E$8,MATCH($F2660,Cadastro!$B$6:$B$8,0)),""))</f>
        <v/>
      </c>
      <c r="N2660" s="43" t="str">
        <f aca="false">IF(OR($L2660="",$I2660="",$I2660=0),"",$L2660/$I2660)</f>
        <v/>
      </c>
      <c r="O2660" s="51"/>
    </row>
    <row r="2661" customFormat="false" ht="15" hidden="false" customHeight="false" outlineLevel="0" collapsed="false">
      <c r="A2661" s="45"/>
      <c r="B2661" s="37" t="str">
        <f aca="false">IF($A2661="","",WEEKNUM($A2661,2))</f>
        <v/>
      </c>
      <c r="C2661" s="37" t="str">
        <f aca="false">IF($A2661="","",CHOOSE(WEEKDAY($A2661,2),"Seg","Ter","Qua","Qui","Sex","Sáb","Dom"))</f>
        <v/>
      </c>
      <c r="D2661" s="46"/>
      <c r="E2661" s="47"/>
      <c r="F2661" s="47"/>
      <c r="G2661" s="48"/>
      <c r="H2661" s="49"/>
      <c r="I2661" s="50"/>
      <c r="J2661" s="48"/>
      <c r="K2661" s="49"/>
      <c r="L2661" s="50"/>
      <c r="M2661" s="43" t="str">
        <f aca="false">IF(OR($L2661="",$F2661=""),"",IFERROR($L2661/INDEX(Cadastro!$E$6:$E$8,MATCH($F2661,Cadastro!$B$6:$B$8,0)),""))</f>
        <v/>
      </c>
      <c r="N2661" s="43" t="str">
        <f aca="false">IF(OR($L2661="",$I2661="",$I2661=0),"",$L2661/$I2661)</f>
        <v/>
      </c>
      <c r="O2661" s="51"/>
    </row>
    <row r="2662" customFormat="false" ht="15" hidden="false" customHeight="false" outlineLevel="0" collapsed="false">
      <c r="A2662" s="45"/>
      <c r="B2662" s="37" t="str">
        <f aca="false">IF($A2662="","",WEEKNUM($A2662,2))</f>
        <v/>
      </c>
      <c r="C2662" s="37" t="str">
        <f aca="false">IF($A2662="","",CHOOSE(WEEKDAY($A2662,2),"Seg","Ter","Qua","Qui","Sex","Sáb","Dom"))</f>
        <v/>
      </c>
      <c r="D2662" s="46"/>
      <c r="E2662" s="47"/>
      <c r="F2662" s="47"/>
      <c r="G2662" s="48"/>
      <c r="H2662" s="49"/>
      <c r="I2662" s="50"/>
      <c r="J2662" s="48"/>
      <c r="K2662" s="49"/>
      <c r="L2662" s="50"/>
      <c r="M2662" s="43" t="str">
        <f aca="false">IF(OR($L2662="",$F2662=""),"",IFERROR($L2662/INDEX(Cadastro!$E$6:$E$8,MATCH($F2662,Cadastro!$B$6:$B$8,0)),""))</f>
        <v/>
      </c>
      <c r="N2662" s="43" t="str">
        <f aca="false">IF(OR($L2662="",$I2662="",$I2662=0),"",$L2662/$I2662)</f>
        <v/>
      </c>
      <c r="O2662" s="51"/>
    </row>
    <row r="2663" customFormat="false" ht="15" hidden="false" customHeight="false" outlineLevel="0" collapsed="false">
      <c r="A2663" s="45"/>
      <c r="B2663" s="37" t="str">
        <f aca="false">IF($A2663="","",WEEKNUM($A2663,2))</f>
        <v/>
      </c>
      <c r="C2663" s="37" t="str">
        <f aca="false">IF($A2663="","",CHOOSE(WEEKDAY($A2663,2),"Seg","Ter","Qua","Qui","Sex","Sáb","Dom"))</f>
        <v/>
      </c>
      <c r="D2663" s="46"/>
      <c r="E2663" s="47"/>
      <c r="F2663" s="47"/>
      <c r="G2663" s="48"/>
      <c r="H2663" s="49"/>
      <c r="I2663" s="50"/>
      <c r="J2663" s="48"/>
      <c r="K2663" s="49"/>
      <c r="L2663" s="50"/>
      <c r="M2663" s="43" t="str">
        <f aca="false">IF(OR($L2663="",$F2663=""),"",IFERROR($L2663/INDEX(Cadastro!$E$6:$E$8,MATCH($F2663,Cadastro!$B$6:$B$8,0)),""))</f>
        <v/>
      </c>
      <c r="N2663" s="43" t="str">
        <f aca="false">IF(OR($L2663="",$I2663="",$I2663=0),"",$L2663/$I2663)</f>
        <v/>
      </c>
      <c r="O2663" s="51"/>
    </row>
    <row r="2664" customFormat="false" ht="15" hidden="false" customHeight="false" outlineLevel="0" collapsed="false">
      <c r="A2664" s="45"/>
      <c r="B2664" s="37" t="str">
        <f aca="false">IF($A2664="","",WEEKNUM($A2664,2))</f>
        <v/>
      </c>
      <c r="C2664" s="37" t="str">
        <f aca="false">IF($A2664="","",CHOOSE(WEEKDAY($A2664,2),"Seg","Ter","Qua","Qui","Sex","Sáb","Dom"))</f>
        <v/>
      </c>
      <c r="D2664" s="46"/>
      <c r="E2664" s="47"/>
      <c r="F2664" s="47"/>
      <c r="G2664" s="48"/>
      <c r="H2664" s="49"/>
      <c r="I2664" s="50"/>
      <c r="J2664" s="48"/>
      <c r="K2664" s="49"/>
      <c r="L2664" s="50"/>
      <c r="M2664" s="43" t="str">
        <f aca="false">IF(OR($L2664="",$F2664=""),"",IFERROR($L2664/INDEX(Cadastro!$E$6:$E$8,MATCH($F2664,Cadastro!$B$6:$B$8,0)),""))</f>
        <v/>
      </c>
      <c r="N2664" s="43" t="str">
        <f aca="false">IF(OR($L2664="",$I2664="",$I2664=0),"",$L2664/$I2664)</f>
        <v/>
      </c>
      <c r="O2664" s="51"/>
    </row>
    <row r="2665" customFormat="false" ht="15" hidden="false" customHeight="false" outlineLevel="0" collapsed="false">
      <c r="A2665" s="45"/>
      <c r="B2665" s="37" t="str">
        <f aca="false">IF($A2665="","",WEEKNUM($A2665,2))</f>
        <v/>
      </c>
      <c r="C2665" s="37" t="str">
        <f aca="false">IF($A2665="","",CHOOSE(WEEKDAY($A2665,2),"Seg","Ter","Qua","Qui","Sex","Sáb","Dom"))</f>
        <v/>
      </c>
      <c r="D2665" s="46"/>
      <c r="E2665" s="47"/>
      <c r="F2665" s="47"/>
      <c r="G2665" s="48"/>
      <c r="H2665" s="49"/>
      <c r="I2665" s="50"/>
      <c r="J2665" s="48"/>
      <c r="K2665" s="49"/>
      <c r="L2665" s="50"/>
      <c r="M2665" s="43" t="str">
        <f aca="false">IF(OR($L2665="",$F2665=""),"",IFERROR($L2665/INDEX(Cadastro!$E$6:$E$8,MATCH($F2665,Cadastro!$B$6:$B$8,0)),""))</f>
        <v/>
      </c>
      <c r="N2665" s="43" t="str">
        <f aca="false">IF(OR($L2665="",$I2665="",$I2665=0),"",$L2665/$I2665)</f>
        <v/>
      </c>
      <c r="O2665" s="51"/>
    </row>
    <row r="2666" customFormat="false" ht="15" hidden="false" customHeight="false" outlineLevel="0" collapsed="false">
      <c r="A2666" s="45"/>
      <c r="B2666" s="37" t="str">
        <f aca="false">IF($A2666="","",WEEKNUM($A2666,2))</f>
        <v/>
      </c>
      <c r="C2666" s="37" t="str">
        <f aca="false">IF($A2666="","",CHOOSE(WEEKDAY($A2666,2),"Seg","Ter","Qua","Qui","Sex","Sáb","Dom"))</f>
        <v/>
      </c>
      <c r="D2666" s="46"/>
      <c r="E2666" s="47"/>
      <c r="F2666" s="47"/>
      <c r="G2666" s="48"/>
      <c r="H2666" s="49"/>
      <c r="I2666" s="50"/>
      <c r="J2666" s="48"/>
      <c r="K2666" s="49"/>
      <c r="L2666" s="50"/>
      <c r="M2666" s="43" t="str">
        <f aca="false">IF(OR($L2666="",$F2666=""),"",IFERROR($L2666/INDEX(Cadastro!$E$6:$E$8,MATCH($F2666,Cadastro!$B$6:$B$8,0)),""))</f>
        <v/>
      </c>
      <c r="N2666" s="43" t="str">
        <f aca="false">IF(OR($L2666="",$I2666="",$I2666=0),"",$L2666/$I2666)</f>
        <v/>
      </c>
      <c r="O2666" s="51"/>
    </row>
    <row r="2667" customFormat="false" ht="15" hidden="false" customHeight="false" outlineLevel="0" collapsed="false">
      <c r="A2667" s="45"/>
      <c r="B2667" s="37" t="str">
        <f aca="false">IF($A2667="","",WEEKNUM($A2667,2))</f>
        <v/>
      </c>
      <c r="C2667" s="37" t="str">
        <f aca="false">IF($A2667="","",CHOOSE(WEEKDAY($A2667,2),"Seg","Ter","Qua","Qui","Sex","Sáb","Dom"))</f>
        <v/>
      </c>
      <c r="D2667" s="46"/>
      <c r="E2667" s="47"/>
      <c r="F2667" s="47"/>
      <c r="G2667" s="48"/>
      <c r="H2667" s="49"/>
      <c r="I2667" s="50"/>
      <c r="J2667" s="48"/>
      <c r="K2667" s="49"/>
      <c r="L2667" s="50"/>
      <c r="M2667" s="43" t="str">
        <f aca="false">IF(OR($L2667="",$F2667=""),"",IFERROR($L2667/INDEX(Cadastro!$E$6:$E$8,MATCH($F2667,Cadastro!$B$6:$B$8,0)),""))</f>
        <v/>
      </c>
      <c r="N2667" s="43" t="str">
        <f aca="false">IF(OR($L2667="",$I2667="",$I2667=0),"",$L2667/$I2667)</f>
        <v/>
      </c>
      <c r="O2667" s="51"/>
    </row>
    <row r="2668" customFormat="false" ht="15" hidden="false" customHeight="false" outlineLevel="0" collapsed="false">
      <c r="A2668" s="45"/>
      <c r="B2668" s="37" t="str">
        <f aca="false">IF($A2668="","",WEEKNUM($A2668,2))</f>
        <v/>
      </c>
      <c r="C2668" s="37" t="str">
        <f aca="false">IF($A2668="","",CHOOSE(WEEKDAY($A2668,2),"Seg","Ter","Qua","Qui","Sex","Sáb","Dom"))</f>
        <v/>
      </c>
      <c r="D2668" s="46"/>
      <c r="E2668" s="47"/>
      <c r="F2668" s="47"/>
      <c r="G2668" s="48"/>
      <c r="H2668" s="49"/>
      <c r="I2668" s="50"/>
      <c r="J2668" s="48"/>
      <c r="K2668" s="49"/>
      <c r="L2668" s="50"/>
      <c r="M2668" s="43" t="str">
        <f aca="false">IF(OR($L2668="",$F2668=""),"",IFERROR($L2668/INDEX(Cadastro!$E$6:$E$8,MATCH($F2668,Cadastro!$B$6:$B$8,0)),""))</f>
        <v/>
      </c>
      <c r="N2668" s="43" t="str">
        <f aca="false">IF(OR($L2668="",$I2668="",$I2668=0),"",$L2668/$I2668)</f>
        <v/>
      </c>
      <c r="O2668" s="51"/>
    </row>
    <row r="2669" customFormat="false" ht="15" hidden="false" customHeight="false" outlineLevel="0" collapsed="false">
      <c r="A2669" s="45"/>
      <c r="B2669" s="37" t="str">
        <f aca="false">IF($A2669="","",WEEKNUM($A2669,2))</f>
        <v/>
      </c>
      <c r="C2669" s="37" t="str">
        <f aca="false">IF($A2669="","",CHOOSE(WEEKDAY($A2669,2),"Seg","Ter","Qua","Qui","Sex","Sáb","Dom"))</f>
        <v/>
      </c>
      <c r="D2669" s="46"/>
      <c r="E2669" s="47"/>
      <c r="F2669" s="47"/>
      <c r="G2669" s="48"/>
      <c r="H2669" s="49"/>
      <c r="I2669" s="50"/>
      <c r="J2669" s="48"/>
      <c r="K2669" s="49"/>
      <c r="L2669" s="50"/>
      <c r="M2669" s="43" t="str">
        <f aca="false">IF(OR($L2669="",$F2669=""),"",IFERROR($L2669/INDEX(Cadastro!$E$6:$E$8,MATCH($F2669,Cadastro!$B$6:$B$8,0)),""))</f>
        <v/>
      </c>
      <c r="N2669" s="43" t="str">
        <f aca="false">IF(OR($L2669="",$I2669="",$I2669=0),"",$L2669/$I2669)</f>
        <v/>
      </c>
      <c r="O2669" s="51"/>
    </row>
    <row r="2670" customFormat="false" ht="15" hidden="false" customHeight="false" outlineLevel="0" collapsed="false">
      <c r="A2670" s="45"/>
      <c r="B2670" s="37" t="str">
        <f aca="false">IF($A2670="","",WEEKNUM($A2670,2))</f>
        <v/>
      </c>
      <c r="C2670" s="37" t="str">
        <f aca="false">IF($A2670="","",CHOOSE(WEEKDAY($A2670,2),"Seg","Ter","Qua","Qui","Sex","Sáb","Dom"))</f>
        <v/>
      </c>
      <c r="D2670" s="46"/>
      <c r="E2670" s="47"/>
      <c r="F2670" s="47"/>
      <c r="G2670" s="48"/>
      <c r="H2670" s="49"/>
      <c r="I2670" s="50"/>
      <c r="J2670" s="48"/>
      <c r="K2670" s="49"/>
      <c r="L2670" s="50"/>
      <c r="M2670" s="43" t="str">
        <f aca="false">IF(OR($L2670="",$F2670=""),"",IFERROR($L2670/INDEX(Cadastro!$E$6:$E$8,MATCH($F2670,Cadastro!$B$6:$B$8,0)),""))</f>
        <v/>
      </c>
      <c r="N2670" s="43" t="str">
        <f aca="false">IF(OR($L2670="",$I2670="",$I2670=0),"",$L2670/$I2670)</f>
        <v/>
      </c>
      <c r="O2670" s="51"/>
    </row>
    <row r="2671" customFormat="false" ht="15" hidden="false" customHeight="false" outlineLevel="0" collapsed="false">
      <c r="A2671" s="45"/>
      <c r="B2671" s="37" t="str">
        <f aca="false">IF($A2671="","",WEEKNUM($A2671,2))</f>
        <v/>
      </c>
      <c r="C2671" s="37" t="str">
        <f aca="false">IF($A2671="","",CHOOSE(WEEKDAY($A2671,2),"Seg","Ter","Qua","Qui","Sex","Sáb","Dom"))</f>
        <v/>
      </c>
      <c r="D2671" s="46"/>
      <c r="E2671" s="47"/>
      <c r="F2671" s="47"/>
      <c r="G2671" s="48"/>
      <c r="H2671" s="49"/>
      <c r="I2671" s="50"/>
      <c r="J2671" s="48"/>
      <c r="K2671" s="49"/>
      <c r="L2671" s="50"/>
      <c r="M2671" s="43" t="str">
        <f aca="false">IF(OR($L2671="",$F2671=""),"",IFERROR($L2671/INDEX(Cadastro!$E$6:$E$8,MATCH($F2671,Cadastro!$B$6:$B$8,0)),""))</f>
        <v/>
      </c>
      <c r="N2671" s="43" t="str">
        <f aca="false">IF(OR($L2671="",$I2671="",$I2671=0),"",$L2671/$I2671)</f>
        <v/>
      </c>
      <c r="O2671" s="51"/>
    </row>
    <row r="2672" customFormat="false" ht="15" hidden="false" customHeight="false" outlineLevel="0" collapsed="false">
      <c r="A2672" s="45"/>
      <c r="B2672" s="37" t="str">
        <f aca="false">IF($A2672="","",WEEKNUM($A2672,2))</f>
        <v/>
      </c>
      <c r="C2672" s="37" t="str">
        <f aca="false">IF($A2672="","",CHOOSE(WEEKDAY($A2672,2),"Seg","Ter","Qua","Qui","Sex","Sáb","Dom"))</f>
        <v/>
      </c>
      <c r="D2672" s="46"/>
      <c r="E2672" s="47"/>
      <c r="F2672" s="47"/>
      <c r="G2672" s="48"/>
      <c r="H2672" s="49"/>
      <c r="I2672" s="50"/>
      <c r="J2672" s="48"/>
      <c r="K2672" s="49"/>
      <c r="L2672" s="50"/>
      <c r="M2672" s="43" t="str">
        <f aca="false">IF(OR($L2672="",$F2672=""),"",IFERROR($L2672/INDEX(Cadastro!$E$6:$E$8,MATCH($F2672,Cadastro!$B$6:$B$8,0)),""))</f>
        <v/>
      </c>
      <c r="N2672" s="43" t="str">
        <f aca="false">IF(OR($L2672="",$I2672="",$I2672=0),"",$L2672/$I2672)</f>
        <v/>
      </c>
      <c r="O2672" s="51"/>
    </row>
    <row r="2673" customFormat="false" ht="15" hidden="false" customHeight="false" outlineLevel="0" collapsed="false">
      <c r="A2673" s="45"/>
      <c r="B2673" s="37" t="str">
        <f aca="false">IF($A2673="","",WEEKNUM($A2673,2))</f>
        <v/>
      </c>
      <c r="C2673" s="37" t="str">
        <f aca="false">IF($A2673="","",CHOOSE(WEEKDAY($A2673,2),"Seg","Ter","Qua","Qui","Sex","Sáb","Dom"))</f>
        <v/>
      </c>
      <c r="D2673" s="46"/>
      <c r="E2673" s="47"/>
      <c r="F2673" s="47"/>
      <c r="G2673" s="48"/>
      <c r="H2673" s="49"/>
      <c r="I2673" s="50"/>
      <c r="J2673" s="48"/>
      <c r="K2673" s="49"/>
      <c r="L2673" s="50"/>
      <c r="M2673" s="43" t="str">
        <f aca="false">IF(OR($L2673="",$F2673=""),"",IFERROR($L2673/INDEX(Cadastro!$E$6:$E$8,MATCH($F2673,Cadastro!$B$6:$B$8,0)),""))</f>
        <v/>
      </c>
      <c r="N2673" s="43" t="str">
        <f aca="false">IF(OR($L2673="",$I2673="",$I2673=0),"",$L2673/$I2673)</f>
        <v/>
      </c>
      <c r="O2673" s="51"/>
    </row>
    <row r="2674" customFormat="false" ht="15" hidden="false" customHeight="false" outlineLevel="0" collapsed="false">
      <c r="A2674" s="45"/>
      <c r="B2674" s="37" t="str">
        <f aca="false">IF($A2674="","",WEEKNUM($A2674,2))</f>
        <v/>
      </c>
      <c r="C2674" s="37" t="str">
        <f aca="false">IF($A2674="","",CHOOSE(WEEKDAY($A2674,2),"Seg","Ter","Qua","Qui","Sex","Sáb","Dom"))</f>
        <v/>
      </c>
      <c r="D2674" s="46"/>
      <c r="E2674" s="47"/>
      <c r="F2674" s="47"/>
      <c r="G2674" s="48"/>
      <c r="H2674" s="49"/>
      <c r="I2674" s="50"/>
      <c r="J2674" s="48"/>
      <c r="K2674" s="49"/>
      <c r="L2674" s="50"/>
      <c r="M2674" s="43" t="str">
        <f aca="false">IF(OR($L2674="",$F2674=""),"",IFERROR($L2674/INDEX(Cadastro!$E$6:$E$8,MATCH($F2674,Cadastro!$B$6:$B$8,0)),""))</f>
        <v/>
      </c>
      <c r="N2674" s="43" t="str">
        <f aca="false">IF(OR($L2674="",$I2674="",$I2674=0),"",$L2674/$I2674)</f>
        <v/>
      </c>
      <c r="O2674" s="51"/>
    </row>
    <row r="2675" customFormat="false" ht="15" hidden="false" customHeight="false" outlineLevel="0" collapsed="false">
      <c r="A2675" s="45"/>
      <c r="B2675" s="37" t="str">
        <f aca="false">IF($A2675="","",WEEKNUM($A2675,2))</f>
        <v/>
      </c>
      <c r="C2675" s="37" t="str">
        <f aca="false">IF($A2675="","",CHOOSE(WEEKDAY($A2675,2),"Seg","Ter","Qua","Qui","Sex","Sáb","Dom"))</f>
        <v/>
      </c>
      <c r="D2675" s="46"/>
      <c r="E2675" s="47"/>
      <c r="F2675" s="47"/>
      <c r="G2675" s="48"/>
      <c r="H2675" s="49"/>
      <c r="I2675" s="50"/>
      <c r="J2675" s="48"/>
      <c r="K2675" s="49"/>
      <c r="L2675" s="50"/>
      <c r="M2675" s="43" t="str">
        <f aca="false">IF(OR($L2675="",$F2675=""),"",IFERROR($L2675/INDEX(Cadastro!$E$6:$E$8,MATCH($F2675,Cadastro!$B$6:$B$8,0)),""))</f>
        <v/>
      </c>
      <c r="N2675" s="43" t="str">
        <f aca="false">IF(OR($L2675="",$I2675="",$I2675=0),"",$L2675/$I2675)</f>
        <v/>
      </c>
      <c r="O2675" s="51"/>
    </row>
    <row r="2676" customFormat="false" ht="15" hidden="false" customHeight="false" outlineLevel="0" collapsed="false">
      <c r="A2676" s="45"/>
      <c r="B2676" s="37" t="str">
        <f aca="false">IF($A2676="","",WEEKNUM($A2676,2))</f>
        <v/>
      </c>
      <c r="C2676" s="37" t="str">
        <f aca="false">IF($A2676="","",CHOOSE(WEEKDAY($A2676,2),"Seg","Ter","Qua","Qui","Sex","Sáb","Dom"))</f>
        <v/>
      </c>
      <c r="D2676" s="46"/>
      <c r="E2676" s="47"/>
      <c r="F2676" s="47"/>
      <c r="G2676" s="48"/>
      <c r="H2676" s="49"/>
      <c r="I2676" s="50"/>
      <c r="J2676" s="48"/>
      <c r="K2676" s="49"/>
      <c r="L2676" s="50"/>
      <c r="M2676" s="43" t="str">
        <f aca="false">IF(OR($L2676="",$F2676=""),"",IFERROR($L2676/INDEX(Cadastro!$E$6:$E$8,MATCH($F2676,Cadastro!$B$6:$B$8,0)),""))</f>
        <v/>
      </c>
      <c r="N2676" s="43" t="str">
        <f aca="false">IF(OR($L2676="",$I2676="",$I2676=0),"",$L2676/$I2676)</f>
        <v/>
      </c>
      <c r="O2676" s="51"/>
    </row>
    <row r="2677" customFormat="false" ht="15" hidden="false" customHeight="false" outlineLevel="0" collapsed="false">
      <c r="A2677" s="45"/>
      <c r="B2677" s="37" t="str">
        <f aca="false">IF($A2677="","",WEEKNUM($A2677,2))</f>
        <v/>
      </c>
      <c r="C2677" s="37" t="str">
        <f aca="false">IF($A2677="","",CHOOSE(WEEKDAY($A2677,2),"Seg","Ter","Qua","Qui","Sex","Sáb","Dom"))</f>
        <v/>
      </c>
      <c r="D2677" s="46"/>
      <c r="E2677" s="47"/>
      <c r="F2677" s="47"/>
      <c r="G2677" s="48"/>
      <c r="H2677" s="49"/>
      <c r="I2677" s="50"/>
      <c r="J2677" s="48"/>
      <c r="K2677" s="49"/>
      <c r="L2677" s="50"/>
      <c r="M2677" s="43" t="str">
        <f aca="false">IF(OR($L2677="",$F2677=""),"",IFERROR($L2677/INDEX(Cadastro!$E$6:$E$8,MATCH($F2677,Cadastro!$B$6:$B$8,0)),""))</f>
        <v/>
      </c>
      <c r="N2677" s="43" t="str">
        <f aca="false">IF(OR($L2677="",$I2677="",$I2677=0),"",$L2677/$I2677)</f>
        <v/>
      </c>
      <c r="O2677" s="51"/>
    </row>
    <row r="2678" customFormat="false" ht="15" hidden="false" customHeight="false" outlineLevel="0" collapsed="false">
      <c r="A2678" s="45"/>
      <c r="B2678" s="37" t="str">
        <f aca="false">IF($A2678="","",WEEKNUM($A2678,2))</f>
        <v/>
      </c>
      <c r="C2678" s="37" t="str">
        <f aca="false">IF($A2678="","",CHOOSE(WEEKDAY($A2678,2),"Seg","Ter","Qua","Qui","Sex","Sáb","Dom"))</f>
        <v/>
      </c>
      <c r="D2678" s="46"/>
      <c r="E2678" s="47"/>
      <c r="F2678" s="47"/>
      <c r="G2678" s="48"/>
      <c r="H2678" s="49"/>
      <c r="I2678" s="50"/>
      <c r="J2678" s="48"/>
      <c r="K2678" s="49"/>
      <c r="L2678" s="50"/>
      <c r="M2678" s="43" t="str">
        <f aca="false">IF(OR($L2678="",$F2678=""),"",IFERROR($L2678/INDEX(Cadastro!$E$6:$E$8,MATCH($F2678,Cadastro!$B$6:$B$8,0)),""))</f>
        <v/>
      </c>
      <c r="N2678" s="43" t="str">
        <f aca="false">IF(OR($L2678="",$I2678="",$I2678=0),"",$L2678/$I2678)</f>
        <v/>
      </c>
      <c r="O2678" s="51"/>
    </row>
    <row r="2679" customFormat="false" ht="15" hidden="false" customHeight="false" outlineLevel="0" collapsed="false">
      <c r="A2679" s="45"/>
      <c r="B2679" s="37" t="str">
        <f aca="false">IF($A2679="","",WEEKNUM($A2679,2))</f>
        <v/>
      </c>
      <c r="C2679" s="37" t="str">
        <f aca="false">IF($A2679="","",CHOOSE(WEEKDAY($A2679,2),"Seg","Ter","Qua","Qui","Sex","Sáb","Dom"))</f>
        <v/>
      </c>
      <c r="D2679" s="46"/>
      <c r="E2679" s="47"/>
      <c r="F2679" s="47"/>
      <c r="G2679" s="48"/>
      <c r="H2679" s="49"/>
      <c r="I2679" s="50"/>
      <c r="J2679" s="48"/>
      <c r="K2679" s="49"/>
      <c r="L2679" s="50"/>
      <c r="M2679" s="43" t="str">
        <f aca="false">IF(OR($L2679="",$F2679=""),"",IFERROR($L2679/INDEX(Cadastro!$E$6:$E$8,MATCH($F2679,Cadastro!$B$6:$B$8,0)),""))</f>
        <v/>
      </c>
      <c r="N2679" s="43" t="str">
        <f aca="false">IF(OR($L2679="",$I2679="",$I2679=0),"",$L2679/$I2679)</f>
        <v/>
      </c>
      <c r="O2679" s="51"/>
    </row>
    <row r="2680" customFormat="false" ht="15" hidden="false" customHeight="false" outlineLevel="0" collapsed="false">
      <c r="A2680" s="45"/>
      <c r="B2680" s="37" t="str">
        <f aca="false">IF($A2680="","",WEEKNUM($A2680,2))</f>
        <v/>
      </c>
      <c r="C2680" s="37" t="str">
        <f aca="false">IF($A2680="","",CHOOSE(WEEKDAY($A2680,2),"Seg","Ter","Qua","Qui","Sex","Sáb","Dom"))</f>
        <v/>
      </c>
      <c r="D2680" s="46"/>
      <c r="E2680" s="47"/>
      <c r="F2680" s="47"/>
      <c r="G2680" s="48"/>
      <c r="H2680" s="49"/>
      <c r="I2680" s="50"/>
      <c r="J2680" s="48"/>
      <c r="K2680" s="49"/>
      <c r="L2680" s="50"/>
      <c r="M2680" s="43" t="str">
        <f aca="false">IF(OR($L2680="",$F2680=""),"",IFERROR($L2680/INDEX(Cadastro!$E$6:$E$8,MATCH($F2680,Cadastro!$B$6:$B$8,0)),""))</f>
        <v/>
      </c>
      <c r="N2680" s="43" t="str">
        <f aca="false">IF(OR($L2680="",$I2680="",$I2680=0),"",$L2680/$I2680)</f>
        <v/>
      </c>
      <c r="O2680" s="51"/>
    </row>
    <row r="2681" customFormat="false" ht="15" hidden="false" customHeight="false" outlineLevel="0" collapsed="false">
      <c r="A2681" s="45"/>
      <c r="B2681" s="37" t="str">
        <f aca="false">IF($A2681="","",WEEKNUM($A2681,2))</f>
        <v/>
      </c>
      <c r="C2681" s="37" t="str">
        <f aca="false">IF($A2681="","",CHOOSE(WEEKDAY($A2681,2),"Seg","Ter","Qua","Qui","Sex","Sáb","Dom"))</f>
        <v/>
      </c>
      <c r="D2681" s="46"/>
      <c r="E2681" s="47"/>
      <c r="F2681" s="47"/>
      <c r="G2681" s="48"/>
      <c r="H2681" s="49"/>
      <c r="I2681" s="50"/>
      <c r="J2681" s="48"/>
      <c r="K2681" s="49"/>
      <c r="L2681" s="50"/>
      <c r="M2681" s="43" t="str">
        <f aca="false">IF(OR($L2681="",$F2681=""),"",IFERROR($L2681/INDEX(Cadastro!$E$6:$E$8,MATCH($F2681,Cadastro!$B$6:$B$8,0)),""))</f>
        <v/>
      </c>
      <c r="N2681" s="43" t="str">
        <f aca="false">IF(OR($L2681="",$I2681="",$I2681=0),"",$L2681/$I2681)</f>
        <v/>
      </c>
      <c r="O2681" s="51"/>
    </row>
    <row r="2682" customFormat="false" ht="15" hidden="false" customHeight="false" outlineLevel="0" collapsed="false">
      <c r="A2682" s="45"/>
      <c r="B2682" s="37" t="str">
        <f aca="false">IF($A2682="","",WEEKNUM($A2682,2))</f>
        <v/>
      </c>
      <c r="C2682" s="37" t="str">
        <f aca="false">IF($A2682="","",CHOOSE(WEEKDAY($A2682,2),"Seg","Ter","Qua","Qui","Sex","Sáb","Dom"))</f>
        <v/>
      </c>
      <c r="D2682" s="46"/>
      <c r="E2682" s="47"/>
      <c r="F2682" s="47"/>
      <c r="G2682" s="48"/>
      <c r="H2682" s="49"/>
      <c r="I2682" s="50"/>
      <c r="J2682" s="48"/>
      <c r="K2682" s="49"/>
      <c r="L2682" s="50"/>
      <c r="M2682" s="43" t="str">
        <f aca="false">IF(OR($L2682="",$F2682=""),"",IFERROR($L2682/INDEX(Cadastro!$E$6:$E$8,MATCH($F2682,Cadastro!$B$6:$B$8,0)),""))</f>
        <v/>
      </c>
      <c r="N2682" s="43" t="str">
        <f aca="false">IF(OR($L2682="",$I2682="",$I2682=0),"",$L2682/$I2682)</f>
        <v/>
      </c>
      <c r="O2682" s="51"/>
    </row>
    <row r="2683" customFormat="false" ht="15" hidden="false" customHeight="false" outlineLevel="0" collapsed="false">
      <c r="A2683" s="45"/>
      <c r="B2683" s="37" t="str">
        <f aca="false">IF($A2683="","",WEEKNUM($A2683,2))</f>
        <v/>
      </c>
      <c r="C2683" s="37" t="str">
        <f aca="false">IF($A2683="","",CHOOSE(WEEKDAY($A2683,2),"Seg","Ter","Qua","Qui","Sex","Sáb","Dom"))</f>
        <v/>
      </c>
      <c r="D2683" s="46"/>
      <c r="E2683" s="47"/>
      <c r="F2683" s="47"/>
      <c r="G2683" s="48"/>
      <c r="H2683" s="49"/>
      <c r="I2683" s="50"/>
      <c r="J2683" s="48"/>
      <c r="K2683" s="49"/>
      <c r="L2683" s="50"/>
      <c r="M2683" s="43" t="str">
        <f aca="false">IF(OR($L2683="",$F2683=""),"",IFERROR($L2683/INDEX(Cadastro!$E$6:$E$8,MATCH($F2683,Cadastro!$B$6:$B$8,0)),""))</f>
        <v/>
      </c>
      <c r="N2683" s="43" t="str">
        <f aca="false">IF(OR($L2683="",$I2683="",$I2683=0),"",$L2683/$I2683)</f>
        <v/>
      </c>
      <c r="O2683" s="51"/>
    </row>
    <row r="2684" customFormat="false" ht="15" hidden="false" customHeight="false" outlineLevel="0" collapsed="false">
      <c r="A2684" s="45"/>
      <c r="B2684" s="37" t="str">
        <f aca="false">IF($A2684="","",WEEKNUM($A2684,2))</f>
        <v/>
      </c>
      <c r="C2684" s="37" t="str">
        <f aca="false">IF($A2684="","",CHOOSE(WEEKDAY($A2684,2),"Seg","Ter","Qua","Qui","Sex","Sáb","Dom"))</f>
        <v/>
      </c>
      <c r="D2684" s="46"/>
      <c r="E2684" s="47"/>
      <c r="F2684" s="47"/>
      <c r="G2684" s="48"/>
      <c r="H2684" s="49"/>
      <c r="I2684" s="50"/>
      <c r="J2684" s="48"/>
      <c r="K2684" s="49"/>
      <c r="L2684" s="50"/>
      <c r="M2684" s="43" t="str">
        <f aca="false">IF(OR($L2684="",$F2684=""),"",IFERROR($L2684/INDEX(Cadastro!$E$6:$E$8,MATCH($F2684,Cadastro!$B$6:$B$8,0)),""))</f>
        <v/>
      </c>
      <c r="N2684" s="43" t="str">
        <f aca="false">IF(OR($L2684="",$I2684="",$I2684=0),"",$L2684/$I2684)</f>
        <v/>
      </c>
      <c r="O2684" s="51"/>
    </row>
    <row r="2685" customFormat="false" ht="15" hidden="false" customHeight="false" outlineLevel="0" collapsed="false">
      <c r="A2685" s="45"/>
      <c r="B2685" s="37" t="str">
        <f aca="false">IF($A2685="","",WEEKNUM($A2685,2))</f>
        <v/>
      </c>
      <c r="C2685" s="37" t="str">
        <f aca="false">IF($A2685="","",CHOOSE(WEEKDAY($A2685,2),"Seg","Ter","Qua","Qui","Sex","Sáb","Dom"))</f>
        <v/>
      </c>
      <c r="D2685" s="46"/>
      <c r="E2685" s="47"/>
      <c r="F2685" s="47"/>
      <c r="G2685" s="48"/>
      <c r="H2685" s="49"/>
      <c r="I2685" s="50"/>
      <c r="J2685" s="48"/>
      <c r="K2685" s="49"/>
      <c r="L2685" s="50"/>
      <c r="M2685" s="43" t="str">
        <f aca="false">IF(OR($L2685="",$F2685=""),"",IFERROR($L2685/INDEX(Cadastro!$E$6:$E$8,MATCH($F2685,Cadastro!$B$6:$B$8,0)),""))</f>
        <v/>
      </c>
      <c r="N2685" s="43" t="str">
        <f aca="false">IF(OR($L2685="",$I2685="",$I2685=0),"",$L2685/$I2685)</f>
        <v/>
      </c>
      <c r="O2685" s="51"/>
    </row>
    <row r="2686" customFormat="false" ht="15" hidden="false" customHeight="false" outlineLevel="0" collapsed="false">
      <c r="A2686" s="45"/>
      <c r="B2686" s="37" t="str">
        <f aca="false">IF($A2686="","",WEEKNUM($A2686,2))</f>
        <v/>
      </c>
      <c r="C2686" s="37" t="str">
        <f aca="false">IF($A2686="","",CHOOSE(WEEKDAY($A2686,2),"Seg","Ter","Qua","Qui","Sex","Sáb","Dom"))</f>
        <v/>
      </c>
      <c r="D2686" s="46"/>
      <c r="E2686" s="47"/>
      <c r="F2686" s="47"/>
      <c r="G2686" s="48"/>
      <c r="H2686" s="49"/>
      <c r="I2686" s="50"/>
      <c r="J2686" s="48"/>
      <c r="K2686" s="49"/>
      <c r="L2686" s="50"/>
      <c r="M2686" s="43" t="str">
        <f aca="false">IF(OR($L2686="",$F2686=""),"",IFERROR($L2686/INDEX(Cadastro!$E$6:$E$8,MATCH($F2686,Cadastro!$B$6:$B$8,0)),""))</f>
        <v/>
      </c>
      <c r="N2686" s="43" t="str">
        <f aca="false">IF(OR($L2686="",$I2686="",$I2686=0),"",$L2686/$I2686)</f>
        <v/>
      </c>
      <c r="O2686" s="51"/>
    </row>
    <row r="2687" customFormat="false" ht="15" hidden="false" customHeight="false" outlineLevel="0" collapsed="false">
      <c r="A2687" s="45"/>
      <c r="B2687" s="37" t="str">
        <f aca="false">IF($A2687="","",WEEKNUM($A2687,2))</f>
        <v/>
      </c>
      <c r="C2687" s="37" t="str">
        <f aca="false">IF($A2687="","",CHOOSE(WEEKDAY($A2687,2),"Seg","Ter","Qua","Qui","Sex","Sáb","Dom"))</f>
        <v/>
      </c>
      <c r="D2687" s="46"/>
      <c r="E2687" s="47"/>
      <c r="F2687" s="47"/>
      <c r="G2687" s="48"/>
      <c r="H2687" s="49"/>
      <c r="I2687" s="50"/>
      <c r="J2687" s="48"/>
      <c r="K2687" s="49"/>
      <c r="L2687" s="50"/>
      <c r="M2687" s="43" t="str">
        <f aca="false">IF(OR($L2687="",$F2687=""),"",IFERROR($L2687/INDEX(Cadastro!$E$6:$E$8,MATCH($F2687,Cadastro!$B$6:$B$8,0)),""))</f>
        <v/>
      </c>
      <c r="N2687" s="43" t="str">
        <f aca="false">IF(OR($L2687="",$I2687="",$I2687=0),"",$L2687/$I2687)</f>
        <v/>
      </c>
      <c r="O2687" s="51"/>
    </row>
    <row r="2688" customFormat="false" ht="15" hidden="false" customHeight="false" outlineLevel="0" collapsed="false">
      <c r="A2688" s="45"/>
      <c r="B2688" s="37" t="str">
        <f aca="false">IF($A2688="","",WEEKNUM($A2688,2))</f>
        <v/>
      </c>
      <c r="C2688" s="37" t="str">
        <f aca="false">IF($A2688="","",CHOOSE(WEEKDAY($A2688,2),"Seg","Ter","Qua","Qui","Sex","Sáb","Dom"))</f>
        <v/>
      </c>
      <c r="D2688" s="46"/>
      <c r="E2688" s="47"/>
      <c r="F2688" s="47"/>
      <c r="G2688" s="48"/>
      <c r="H2688" s="49"/>
      <c r="I2688" s="50"/>
      <c r="J2688" s="48"/>
      <c r="K2688" s="49"/>
      <c r="L2688" s="50"/>
      <c r="M2688" s="43" t="str">
        <f aca="false">IF(OR($L2688="",$F2688=""),"",IFERROR($L2688/INDEX(Cadastro!$E$6:$E$8,MATCH($F2688,Cadastro!$B$6:$B$8,0)),""))</f>
        <v/>
      </c>
      <c r="N2688" s="43" t="str">
        <f aca="false">IF(OR($L2688="",$I2688="",$I2688=0),"",$L2688/$I2688)</f>
        <v/>
      </c>
      <c r="O2688" s="51"/>
    </row>
    <row r="2689" customFormat="false" ht="15" hidden="false" customHeight="false" outlineLevel="0" collapsed="false">
      <c r="A2689" s="45"/>
      <c r="B2689" s="37" t="str">
        <f aca="false">IF($A2689="","",WEEKNUM($A2689,2))</f>
        <v/>
      </c>
      <c r="C2689" s="37" t="str">
        <f aca="false">IF($A2689="","",CHOOSE(WEEKDAY($A2689,2),"Seg","Ter","Qua","Qui","Sex","Sáb","Dom"))</f>
        <v/>
      </c>
      <c r="D2689" s="46"/>
      <c r="E2689" s="47"/>
      <c r="F2689" s="47"/>
      <c r="G2689" s="48"/>
      <c r="H2689" s="49"/>
      <c r="I2689" s="50"/>
      <c r="J2689" s="48"/>
      <c r="K2689" s="49"/>
      <c r="L2689" s="50"/>
      <c r="M2689" s="43" t="str">
        <f aca="false">IF(OR($L2689="",$F2689=""),"",IFERROR($L2689/INDEX(Cadastro!$E$6:$E$8,MATCH($F2689,Cadastro!$B$6:$B$8,0)),""))</f>
        <v/>
      </c>
      <c r="N2689" s="43" t="str">
        <f aca="false">IF(OR($L2689="",$I2689="",$I2689=0),"",$L2689/$I2689)</f>
        <v/>
      </c>
      <c r="O2689" s="51"/>
    </row>
    <row r="2690" customFormat="false" ht="15" hidden="false" customHeight="false" outlineLevel="0" collapsed="false">
      <c r="A2690" s="45"/>
      <c r="B2690" s="37" t="str">
        <f aca="false">IF($A2690="","",WEEKNUM($A2690,2))</f>
        <v/>
      </c>
      <c r="C2690" s="37" t="str">
        <f aca="false">IF($A2690="","",CHOOSE(WEEKDAY($A2690,2),"Seg","Ter","Qua","Qui","Sex","Sáb","Dom"))</f>
        <v/>
      </c>
      <c r="D2690" s="46"/>
      <c r="E2690" s="47"/>
      <c r="F2690" s="47"/>
      <c r="G2690" s="48"/>
      <c r="H2690" s="49"/>
      <c r="I2690" s="50"/>
      <c r="J2690" s="48"/>
      <c r="K2690" s="49"/>
      <c r="L2690" s="50"/>
      <c r="M2690" s="43" t="str">
        <f aca="false">IF(OR($L2690="",$F2690=""),"",IFERROR($L2690/INDEX(Cadastro!$E$6:$E$8,MATCH($F2690,Cadastro!$B$6:$B$8,0)),""))</f>
        <v/>
      </c>
      <c r="N2690" s="43" t="str">
        <f aca="false">IF(OR($L2690="",$I2690="",$I2690=0),"",$L2690/$I2690)</f>
        <v/>
      </c>
      <c r="O2690" s="51"/>
    </row>
    <row r="2691" customFormat="false" ht="15" hidden="false" customHeight="false" outlineLevel="0" collapsed="false">
      <c r="A2691" s="45"/>
      <c r="B2691" s="37" t="str">
        <f aca="false">IF($A2691="","",WEEKNUM($A2691,2))</f>
        <v/>
      </c>
      <c r="C2691" s="37" t="str">
        <f aca="false">IF($A2691="","",CHOOSE(WEEKDAY($A2691,2),"Seg","Ter","Qua","Qui","Sex","Sáb","Dom"))</f>
        <v/>
      </c>
      <c r="D2691" s="46"/>
      <c r="E2691" s="47"/>
      <c r="F2691" s="47"/>
      <c r="G2691" s="48"/>
      <c r="H2691" s="49"/>
      <c r="I2691" s="50"/>
      <c r="J2691" s="48"/>
      <c r="K2691" s="49"/>
      <c r="L2691" s="50"/>
      <c r="M2691" s="43" t="str">
        <f aca="false">IF(OR($L2691="",$F2691=""),"",IFERROR($L2691/INDEX(Cadastro!$E$6:$E$8,MATCH($F2691,Cadastro!$B$6:$B$8,0)),""))</f>
        <v/>
      </c>
      <c r="N2691" s="43" t="str">
        <f aca="false">IF(OR($L2691="",$I2691="",$I2691=0),"",$L2691/$I2691)</f>
        <v/>
      </c>
      <c r="O2691" s="51"/>
    </row>
    <row r="2692" customFormat="false" ht="15" hidden="false" customHeight="false" outlineLevel="0" collapsed="false">
      <c r="A2692" s="45"/>
      <c r="B2692" s="37" t="str">
        <f aca="false">IF($A2692="","",WEEKNUM($A2692,2))</f>
        <v/>
      </c>
      <c r="C2692" s="37" t="str">
        <f aca="false">IF($A2692="","",CHOOSE(WEEKDAY($A2692,2),"Seg","Ter","Qua","Qui","Sex","Sáb","Dom"))</f>
        <v/>
      </c>
      <c r="D2692" s="46"/>
      <c r="E2692" s="47"/>
      <c r="F2692" s="47"/>
      <c r="G2692" s="48"/>
      <c r="H2692" s="49"/>
      <c r="I2692" s="50"/>
      <c r="J2692" s="48"/>
      <c r="K2692" s="49"/>
      <c r="L2692" s="50"/>
      <c r="M2692" s="43" t="str">
        <f aca="false">IF(OR($L2692="",$F2692=""),"",IFERROR($L2692/INDEX(Cadastro!$E$6:$E$8,MATCH($F2692,Cadastro!$B$6:$B$8,0)),""))</f>
        <v/>
      </c>
      <c r="N2692" s="43" t="str">
        <f aca="false">IF(OR($L2692="",$I2692="",$I2692=0),"",$L2692/$I2692)</f>
        <v/>
      </c>
      <c r="O2692" s="51"/>
    </row>
    <row r="2693" customFormat="false" ht="15" hidden="false" customHeight="false" outlineLevel="0" collapsed="false">
      <c r="A2693" s="45"/>
      <c r="B2693" s="37" t="str">
        <f aca="false">IF($A2693="","",WEEKNUM($A2693,2))</f>
        <v/>
      </c>
      <c r="C2693" s="37" t="str">
        <f aca="false">IF($A2693="","",CHOOSE(WEEKDAY($A2693,2),"Seg","Ter","Qua","Qui","Sex","Sáb","Dom"))</f>
        <v/>
      </c>
      <c r="D2693" s="46"/>
      <c r="E2693" s="47"/>
      <c r="F2693" s="47"/>
      <c r="G2693" s="48"/>
      <c r="H2693" s="49"/>
      <c r="I2693" s="50"/>
      <c r="J2693" s="48"/>
      <c r="K2693" s="49"/>
      <c r="L2693" s="50"/>
      <c r="M2693" s="43" t="str">
        <f aca="false">IF(OR($L2693="",$F2693=""),"",IFERROR($L2693/INDEX(Cadastro!$E$6:$E$8,MATCH($F2693,Cadastro!$B$6:$B$8,0)),""))</f>
        <v/>
      </c>
      <c r="N2693" s="43" t="str">
        <f aca="false">IF(OR($L2693="",$I2693="",$I2693=0),"",$L2693/$I2693)</f>
        <v/>
      </c>
      <c r="O2693" s="51"/>
    </row>
    <row r="2694" customFormat="false" ht="15" hidden="false" customHeight="false" outlineLevel="0" collapsed="false">
      <c r="A2694" s="45"/>
      <c r="B2694" s="37" t="str">
        <f aca="false">IF($A2694="","",WEEKNUM($A2694,2))</f>
        <v/>
      </c>
      <c r="C2694" s="37" t="str">
        <f aca="false">IF($A2694="","",CHOOSE(WEEKDAY($A2694,2),"Seg","Ter","Qua","Qui","Sex","Sáb","Dom"))</f>
        <v/>
      </c>
      <c r="D2694" s="46"/>
      <c r="E2694" s="47"/>
      <c r="F2694" s="47"/>
      <c r="G2694" s="48"/>
      <c r="H2694" s="49"/>
      <c r="I2694" s="50"/>
      <c r="J2694" s="48"/>
      <c r="K2694" s="49"/>
      <c r="L2694" s="50"/>
      <c r="M2694" s="43" t="str">
        <f aca="false">IF(OR($L2694="",$F2694=""),"",IFERROR($L2694/INDEX(Cadastro!$E$6:$E$8,MATCH($F2694,Cadastro!$B$6:$B$8,0)),""))</f>
        <v/>
      </c>
      <c r="N2694" s="43" t="str">
        <f aca="false">IF(OR($L2694="",$I2694="",$I2694=0),"",$L2694/$I2694)</f>
        <v/>
      </c>
      <c r="O2694" s="51"/>
    </row>
    <row r="2695" customFormat="false" ht="15" hidden="false" customHeight="false" outlineLevel="0" collapsed="false">
      <c r="A2695" s="45"/>
      <c r="B2695" s="37" t="str">
        <f aca="false">IF($A2695="","",WEEKNUM($A2695,2))</f>
        <v/>
      </c>
      <c r="C2695" s="37" t="str">
        <f aca="false">IF($A2695="","",CHOOSE(WEEKDAY($A2695,2),"Seg","Ter","Qua","Qui","Sex","Sáb","Dom"))</f>
        <v/>
      </c>
      <c r="D2695" s="46"/>
      <c r="E2695" s="47"/>
      <c r="F2695" s="47"/>
      <c r="G2695" s="48"/>
      <c r="H2695" s="49"/>
      <c r="I2695" s="50"/>
      <c r="J2695" s="48"/>
      <c r="K2695" s="49"/>
      <c r="L2695" s="50"/>
      <c r="M2695" s="43" t="str">
        <f aca="false">IF(OR($L2695="",$F2695=""),"",IFERROR($L2695/INDEX(Cadastro!$E$6:$E$8,MATCH($F2695,Cadastro!$B$6:$B$8,0)),""))</f>
        <v/>
      </c>
      <c r="N2695" s="43" t="str">
        <f aca="false">IF(OR($L2695="",$I2695="",$I2695=0),"",$L2695/$I2695)</f>
        <v/>
      </c>
      <c r="O2695" s="51"/>
    </row>
    <row r="2696" customFormat="false" ht="15" hidden="false" customHeight="false" outlineLevel="0" collapsed="false">
      <c r="A2696" s="45"/>
      <c r="B2696" s="37" t="str">
        <f aca="false">IF($A2696="","",WEEKNUM($A2696,2))</f>
        <v/>
      </c>
      <c r="C2696" s="37" t="str">
        <f aca="false">IF($A2696="","",CHOOSE(WEEKDAY($A2696,2),"Seg","Ter","Qua","Qui","Sex","Sáb","Dom"))</f>
        <v/>
      </c>
      <c r="D2696" s="46"/>
      <c r="E2696" s="47"/>
      <c r="F2696" s="47"/>
      <c r="G2696" s="48"/>
      <c r="H2696" s="49"/>
      <c r="I2696" s="50"/>
      <c r="J2696" s="48"/>
      <c r="K2696" s="49"/>
      <c r="L2696" s="50"/>
      <c r="M2696" s="43" t="str">
        <f aca="false">IF(OR($L2696="",$F2696=""),"",IFERROR($L2696/INDEX(Cadastro!$E$6:$E$8,MATCH($F2696,Cadastro!$B$6:$B$8,0)),""))</f>
        <v/>
      </c>
      <c r="N2696" s="43" t="str">
        <f aca="false">IF(OR($L2696="",$I2696="",$I2696=0),"",$L2696/$I2696)</f>
        <v/>
      </c>
      <c r="O2696" s="51"/>
    </row>
    <row r="2697" customFormat="false" ht="15" hidden="false" customHeight="false" outlineLevel="0" collapsed="false">
      <c r="A2697" s="45"/>
      <c r="B2697" s="37" t="str">
        <f aca="false">IF($A2697="","",WEEKNUM($A2697,2))</f>
        <v/>
      </c>
      <c r="C2697" s="37" t="str">
        <f aca="false">IF($A2697="","",CHOOSE(WEEKDAY($A2697,2),"Seg","Ter","Qua","Qui","Sex","Sáb","Dom"))</f>
        <v/>
      </c>
      <c r="D2697" s="46"/>
      <c r="E2697" s="47"/>
      <c r="F2697" s="47"/>
      <c r="G2697" s="48"/>
      <c r="H2697" s="49"/>
      <c r="I2697" s="50"/>
      <c r="J2697" s="48"/>
      <c r="K2697" s="49"/>
      <c r="L2697" s="50"/>
      <c r="M2697" s="43" t="str">
        <f aca="false">IF(OR($L2697="",$F2697=""),"",IFERROR($L2697/INDEX(Cadastro!$E$6:$E$8,MATCH($F2697,Cadastro!$B$6:$B$8,0)),""))</f>
        <v/>
      </c>
      <c r="N2697" s="43" t="str">
        <f aca="false">IF(OR($L2697="",$I2697="",$I2697=0),"",$L2697/$I2697)</f>
        <v/>
      </c>
      <c r="O2697" s="51"/>
    </row>
    <row r="2698" customFormat="false" ht="15" hidden="false" customHeight="false" outlineLevel="0" collapsed="false">
      <c r="A2698" s="45"/>
      <c r="B2698" s="37" t="str">
        <f aca="false">IF($A2698="","",WEEKNUM($A2698,2))</f>
        <v/>
      </c>
      <c r="C2698" s="37" t="str">
        <f aca="false">IF($A2698="","",CHOOSE(WEEKDAY($A2698,2),"Seg","Ter","Qua","Qui","Sex","Sáb","Dom"))</f>
        <v/>
      </c>
      <c r="D2698" s="46"/>
      <c r="E2698" s="47"/>
      <c r="F2698" s="47"/>
      <c r="G2698" s="48"/>
      <c r="H2698" s="49"/>
      <c r="I2698" s="50"/>
      <c r="J2698" s="48"/>
      <c r="K2698" s="49"/>
      <c r="L2698" s="50"/>
      <c r="M2698" s="43" t="str">
        <f aca="false">IF(OR($L2698="",$F2698=""),"",IFERROR($L2698/INDEX(Cadastro!$E$6:$E$8,MATCH($F2698,Cadastro!$B$6:$B$8,0)),""))</f>
        <v/>
      </c>
      <c r="N2698" s="43" t="str">
        <f aca="false">IF(OR($L2698="",$I2698="",$I2698=0),"",$L2698/$I2698)</f>
        <v/>
      </c>
      <c r="O2698" s="51"/>
    </row>
    <row r="2699" customFormat="false" ht="15" hidden="false" customHeight="false" outlineLevel="0" collapsed="false">
      <c r="A2699" s="45"/>
      <c r="B2699" s="37" t="str">
        <f aca="false">IF($A2699="","",WEEKNUM($A2699,2))</f>
        <v/>
      </c>
      <c r="C2699" s="37" t="str">
        <f aca="false">IF($A2699="","",CHOOSE(WEEKDAY($A2699,2),"Seg","Ter","Qua","Qui","Sex","Sáb","Dom"))</f>
        <v/>
      </c>
      <c r="D2699" s="46"/>
      <c r="E2699" s="47"/>
      <c r="F2699" s="47"/>
      <c r="G2699" s="48"/>
      <c r="H2699" s="49"/>
      <c r="I2699" s="50"/>
      <c r="J2699" s="48"/>
      <c r="K2699" s="49"/>
      <c r="L2699" s="50"/>
      <c r="M2699" s="43" t="str">
        <f aca="false">IF(OR($L2699="",$F2699=""),"",IFERROR($L2699/INDEX(Cadastro!$E$6:$E$8,MATCH($F2699,Cadastro!$B$6:$B$8,0)),""))</f>
        <v/>
      </c>
      <c r="N2699" s="43" t="str">
        <f aca="false">IF(OR($L2699="",$I2699="",$I2699=0),"",$L2699/$I2699)</f>
        <v/>
      </c>
      <c r="O2699" s="51"/>
    </row>
    <row r="2700" customFormat="false" ht="15" hidden="false" customHeight="false" outlineLevel="0" collapsed="false">
      <c r="A2700" s="45"/>
      <c r="B2700" s="37" t="str">
        <f aca="false">IF($A2700="","",WEEKNUM($A2700,2))</f>
        <v/>
      </c>
      <c r="C2700" s="37" t="str">
        <f aca="false">IF($A2700="","",CHOOSE(WEEKDAY($A2700,2),"Seg","Ter","Qua","Qui","Sex","Sáb","Dom"))</f>
        <v/>
      </c>
      <c r="D2700" s="46"/>
      <c r="E2700" s="47"/>
      <c r="F2700" s="47"/>
      <c r="G2700" s="48"/>
      <c r="H2700" s="49"/>
      <c r="I2700" s="50"/>
      <c r="J2700" s="48"/>
      <c r="K2700" s="49"/>
      <c r="L2700" s="50"/>
      <c r="M2700" s="43" t="str">
        <f aca="false">IF(OR($L2700="",$F2700=""),"",IFERROR($L2700/INDEX(Cadastro!$E$6:$E$8,MATCH($F2700,Cadastro!$B$6:$B$8,0)),""))</f>
        <v/>
      </c>
      <c r="N2700" s="43" t="str">
        <f aca="false">IF(OR($L2700="",$I2700="",$I2700=0),"",$L2700/$I2700)</f>
        <v/>
      </c>
      <c r="O2700" s="51"/>
    </row>
    <row r="2701" customFormat="false" ht="15" hidden="false" customHeight="false" outlineLevel="0" collapsed="false">
      <c r="A2701" s="45"/>
      <c r="B2701" s="37" t="str">
        <f aca="false">IF($A2701="","",WEEKNUM($A2701,2))</f>
        <v/>
      </c>
      <c r="C2701" s="37" t="str">
        <f aca="false">IF($A2701="","",CHOOSE(WEEKDAY($A2701,2),"Seg","Ter","Qua","Qui","Sex","Sáb","Dom"))</f>
        <v/>
      </c>
      <c r="D2701" s="46"/>
      <c r="E2701" s="47"/>
      <c r="F2701" s="47"/>
      <c r="G2701" s="48"/>
      <c r="H2701" s="49"/>
      <c r="I2701" s="50"/>
      <c r="J2701" s="48"/>
      <c r="K2701" s="49"/>
      <c r="L2701" s="50"/>
      <c r="M2701" s="43" t="str">
        <f aca="false">IF(OR($L2701="",$F2701=""),"",IFERROR($L2701/INDEX(Cadastro!$E$6:$E$8,MATCH($F2701,Cadastro!$B$6:$B$8,0)),""))</f>
        <v/>
      </c>
      <c r="N2701" s="43" t="str">
        <f aca="false">IF(OR($L2701="",$I2701="",$I2701=0),"",$L2701/$I2701)</f>
        <v/>
      </c>
      <c r="O2701" s="51"/>
    </row>
    <row r="2702" customFormat="false" ht="15" hidden="false" customHeight="false" outlineLevel="0" collapsed="false">
      <c r="A2702" s="45"/>
      <c r="B2702" s="37" t="str">
        <f aca="false">IF($A2702="","",WEEKNUM($A2702,2))</f>
        <v/>
      </c>
      <c r="C2702" s="37" t="str">
        <f aca="false">IF($A2702="","",CHOOSE(WEEKDAY($A2702,2),"Seg","Ter","Qua","Qui","Sex","Sáb","Dom"))</f>
        <v/>
      </c>
      <c r="D2702" s="46"/>
      <c r="E2702" s="47"/>
      <c r="F2702" s="47"/>
      <c r="G2702" s="48"/>
      <c r="H2702" s="49"/>
      <c r="I2702" s="50"/>
      <c r="J2702" s="48"/>
      <c r="K2702" s="49"/>
      <c r="L2702" s="50"/>
      <c r="M2702" s="43" t="str">
        <f aca="false">IF(OR($L2702="",$F2702=""),"",IFERROR($L2702/INDEX(Cadastro!$E$6:$E$8,MATCH($F2702,Cadastro!$B$6:$B$8,0)),""))</f>
        <v/>
      </c>
      <c r="N2702" s="43" t="str">
        <f aca="false">IF(OR($L2702="",$I2702="",$I2702=0),"",$L2702/$I2702)</f>
        <v/>
      </c>
      <c r="O2702" s="51"/>
    </row>
    <row r="2703" customFormat="false" ht="15" hidden="false" customHeight="false" outlineLevel="0" collapsed="false">
      <c r="A2703" s="45"/>
      <c r="B2703" s="37" t="str">
        <f aca="false">IF($A2703="","",WEEKNUM($A2703,2))</f>
        <v/>
      </c>
      <c r="C2703" s="37" t="str">
        <f aca="false">IF($A2703="","",CHOOSE(WEEKDAY($A2703,2),"Seg","Ter","Qua","Qui","Sex","Sáb","Dom"))</f>
        <v/>
      </c>
      <c r="D2703" s="46"/>
      <c r="E2703" s="47"/>
      <c r="F2703" s="47"/>
      <c r="G2703" s="48"/>
      <c r="H2703" s="49"/>
      <c r="I2703" s="50"/>
      <c r="J2703" s="48"/>
      <c r="K2703" s="49"/>
      <c r="L2703" s="50"/>
      <c r="M2703" s="43" t="str">
        <f aca="false">IF(OR($L2703="",$F2703=""),"",IFERROR($L2703/INDEX(Cadastro!$E$6:$E$8,MATCH($F2703,Cadastro!$B$6:$B$8,0)),""))</f>
        <v/>
      </c>
      <c r="N2703" s="43" t="str">
        <f aca="false">IF(OR($L2703="",$I2703="",$I2703=0),"",$L2703/$I2703)</f>
        <v/>
      </c>
      <c r="O2703" s="51"/>
    </row>
    <row r="2704" customFormat="false" ht="15" hidden="false" customHeight="false" outlineLevel="0" collapsed="false">
      <c r="A2704" s="45"/>
      <c r="B2704" s="37" t="str">
        <f aca="false">IF($A2704="","",WEEKNUM($A2704,2))</f>
        <v/>
      </c>
      <c r="C2704" s="37" t="str">
        <f aca="false">IF($A2704="","",CHOOSE(WEEKDAY($A2704,2),"Seg","Ter","Qua","Qui","Sex","Sáb","Dom"))</f>
        <v/>
      </c>
      <c r="D2704" s="46"/>
      <c r="E2704" s="47"/>
      <c r="F2704" s="47"/>
      <c r="G2704" s="48"/>
      <c r="H2704" s="49"/>
      <c r="I2704" s="50"/>
      <c r="J2704" s="48"/>
      <c r="K2704" s="49"/>
      <c r="L2704" s="50"/>
      <c r="M2704" s="43" t="str">
        <f aca="false">IF(OR($L2704="",$F2704=""),"",IFERROR($L2704/INDEX(Cadastro!$E$6:$E$8,MATCH($F2704,Cadastro!$B$6:$B$8,0)),""))</f>
        <v/>
      </c>
      <c r="N2704" s="43" t="str">
        <f aca="false">IF(OR($L2704="",$I2704="",$I2704=0),"",$L2704/$I2704)</f>
        <v/>
      </c>
      <c r="O2704" s="51"/>
    </row>
    <row r="2705" customFormat="false" ht="15" hidden="false" customHeight="false" outlineLevel="0" collapsed="false">
      <c r="A2705" s="45"/>
      <c r="B2705" s="37" t="str">
        <f aca="false">IF($A2705="","",WEEKNUM($A2705,2))</f>
        <v/>
      </c>
      <c r="C2705" s="37" t="str">
        <f aca="false">IF($A2705="","",CHOOSE(WEEKDAY($A2705,2),"Seg","Ter","Qua","Qui","Sex","Sáb","Dom"))</f>
        <v/>
      </c>
      <c r="D2705" s="46"/>
      <c r="E2705" s="47"/>
      <c r="F2705" s="47"/>
      <c r="G2705" s="48"/>
      <c r="H2705" s="49"/>
      <c r="I2705" s="50"/>
      <c r="J2705" s="48"/>
      <c r="K2705" s="49"/>
      <c r="L2705" s="50"/>
      <c r="M2705" s="43" t="str">
        <f aca="false">IF(OR($L2705="",$F2705=""),"",IFERROR($L2705/INDEX(Cadastro!$E$6:$E$8,MATCH($F2705,Cadastro!$B$6:$B$8,0)),""))</f>
        <v/>
      </c>
      <c r="N2705" s="43" t="str">
        <f aca="false">IF(OR($L2705="",$I2705="",$I2705=0),"",$L2705/$I2705)</f>
        <v/>
      </c>
      <c r="O2705" s="51"/>
    </row>
    <row r="2706" customFormat="false" ht="15" hidden="false" customHeight="false" outlineLevel="0" collapsed="false">
      <c r="A2706" s="45"/>
      <c r="B2706" s="37" t="str">
        <f aca="false">IF($A2706="","",WEEKNUM($A2706,2))</f>
        <v/>
      </c>
      <c r="C2706" s="37" t="str">
        <f aca="false">IF($A2706="","",CHOOSE(WEEKDAY($A2706,2),"Seg","Ter","Qua","Qui","Sex","Sáb","Dom"))</f>
        <v/>
      </c>
      <c r="D2706" s="46"/>
      <c r="E2706" s="47"/>
      <c r="F2706" s="47"/>
      <c r="G2706" s="48"/>
      <c r="H2706" s="49"/>
      <c r="I2706" s="50"/>
      <c r="J2706" s="48"/>
      <c r="K2706" s="49"/>
      <c r="L2706" s="50"/>
      <c r="M2706" s="43" t="str">
        <f aca="false">IF(OR($L2706="",$F2706=""),"",IFERROR($L2706/INDEX(Cadastro!$E$6:$E$8,MATCH($F2706,Cadastro!$B$6:$B$8,0)),""))</f>
        <v/>
      </c>
      <c r="N2706" s="43" t="str">
        <f aca="false">IF(OR($L2706="",$I2706="",$I2706=0),"",$L2706/$I2706)</f>
        <v/>
      </c>
      <c r="O2706" s="51"/>
    </row>
    <row r="2707" customFormat="false" ht="15" hidden="false" customHeight="false" outlineLevel="0" collapsed="false">
      <c r="A2707" s="45"/>
      <c r="B2707" s="37" t="str">
        <f aca="false">IF($A2707="","",WEEKNUM($A2707,2))</f>
        <v/>
      </c>
      <c r="C2707" s="37" t="str">
        <f aca="false">IF($A2707="","",CHOOSE(WEEKDAY($A2707,2),"Seg","Ter","Qua","Qui","Sex","Sáb","Dom"))</f>
        <v/>
      </c>
      <c r="D2707" s="46"/>
      <c r="E2707" s="47"/>
      <c r="F2707" s="47"/>
      <c r="G2707" s="48"/>
      <c r="H2707" s="49"/>
      <c r="I2707" s="50"/>
      <c r="J2707" s="48"/>
      <c r="K2707" s="49"/>
      <c r="L2707" s="50"/>
      <c r="M2707" s="43" t="str">
        <f aca="false">IF(OR($L2707="",$F2707=""),"",IFERROR($L2707/INDEX(Cadastro!$E$6:$E$8,MATCH($F2707,Cadastro!$B$6:$B$8,0)),""))</f>
        <v/>
      </c>
      <c r="N2707" s="43" t="str">
        <f aca="false">IF(OR($L2707="",$I2707="",$I2707=0),"",$L2707/$I2707)</f>
        <v/>
      </c>
      <c r="O2707" s="51"/>
    </row>
    <row r="2708" customFormat="false" ht="15" hidden="false" customHeight="false" outlineLevel="0" collapsed="false">
      <c r="A2708" s="45"/>
      <c r="B2708" s="37" t="str">
        <f aca="false">IF($A2708="","",WEEKNUM($A2708,2))</f>
        <v/>
      </c>
      <c r="C2708" s="37" t="str">
        <f aca="false">IF($A2708="","",CHOOSE(WEEKDAY($A2708,2),"Seg","Ter","Qua","Qui","Sex","Sáb","Dom"))</f>
        <v/>
      </c>
      <c r="D2708" s="46"/>
      <c r="E2708" s="47"/>
      <c r="F2708" s="47"/>
      <c r="G2708" s="48"/>
      <c r="H2708" s="49"/>
      <c r="I2708" s="50"/>
      <c r="J2708" s="48"/>
      <c r="K2708" s="49"/>
      <c r="L2708" s="50"/>
      <c r="M2708" s="43" t="str">
        <f aca="false">IF(OR($L2708="",$F2708=""),"",IFERROR($L2708/INDEX(Cadastro!$E$6:$E$8,MATCH($F2708,Cadastro!$B$6:$B$8,0)),""))</f>
        <v/>
      </c>
      <c r="N2708" s="43" t="str">
        <f aca="false">IF(OR($L2708="",$I2708="",$I2708=0),"",$L2708/$I2708)</f>
        <v/>
      </c>
      <c r="O2708" s="51"/>
    </row>
    <row r="2709" customFormat="false" ht="15" hidden="false" customHeight="false" outlineLevel="0" collapsed="false">
      <c r="A2709" s="45"/>
      <c r="B2709" s="37" t="str">
        <f aca="false">IF($A2709="","",WEEKNUM($A2709,2))</f>
        <v/>
      </c>
      <c r="C2709" s="37" t="str">
        <f aca="false">IF($A2709="","",CHOOSE(WEEKDAY($A2709,2),"Seg","Ter","Qua","Qui","Sex","Sáb","Dom"))</f>
        <v/>
      </c>
      <c r="D2709" s="46"/>
      <c r="E2709" s="47"/>
      <c r="F2709" s="47"/>
      <c r="G2709" s="48"/>
      <c r="H2709" s="49"/>
      <c r="I2709" s="50"/>
      <c r="J2709" s="48"/>
      <c r="K2709" s="49"/>
      <c r="L2709" s="50"/>
      <c r="M2709" s="43" t="str">
        <f aca="false">IF(OR($L2709="",$F2709=""),"",IFERROR($L2709/INDEX(Cadastro!$E$6:$E$8,MATCH($F2709,Cadastro!$B$6:$B$8,0)),""))</f>
        <v/>
      </c>
      <c r="N2709" s="43" t="str">
        <f aca="false">IF(OR($L2709="",$I2709="",$I2709=0),"",$L2709/$I2709)</f>
        <v/>
      </c>
      <c r="O2709" s="51"/>
    </row>
    <row r="2710" customFormat="false" ht="15" hidden="false" customHeight="false" outlineLevel="0" collapsed="false">
      <c r="A2710" s="45"/>
      <c r="B2710" s="37" t="str">
        <f aca="false">IF($A2710="","",WEEKNUM($A2710,2))</f>
        <v/>
      </c>
      <c r="C2710" s="37" t="str">
        <f aca="false">IF($A2710="","",CHOOSE(WEEKDAY($A2710,2),"Seg","Ter","Qua","Qui","Sex","Sáb","Dom"))</f>
        <v/>
      </c>
      <c r="D2710" s="46"/>
      <c r="E2710" s="47"/>
      <c r="F2710" s="47"/>
      <c r="G2710" s="48"/>
      <c r="H2710" s="49"/>
      <c r="I2710" s="50"/>
      <c r="J2710" s="48"/>
      <c r="K2710" s="49"/>
      <c r="L2710" s="50"/>
      <c r="M2710" s="43" t="str">
        <f aca="false">IF(OR($L2710="",$F2710=""),"",IFERROR($L2710/INDEX(Cadastro!$E$6:$E$8,MATCH($F2710,Cadastro!$B$6:$B$8,0)),""))</f>
        <v/>
      </c>
      <c r="N2710" s="43" t="str">
        <f aca="false">IF(OR($L2710="",$I2710="",$I2710=0),"",$L2710/$I2710)</f>
        <v/>
      </c>
      <c r="O2710" s="51"/>
    </row>
    <row r="2711" customFormat="false" ht="15" hidden="false" customHeight="false" outlineLevel="0" collapsed="false">
      <c r="A2711" s="45"/>
      <c r="B2711" s="37" t="str">
        <f aca="false">IF($A2711="","",WEEKNUM($A2711,2))</f>
        <v/>
      </c>
      <c r="C2711" s="37" t="str">
        <f aca="false">IF($A2711="","",CHOOSE(WEEKDAY($A2711,2),"Seg","Ter","Qua","Qui","Sex","Sáb","Dom"))</f>
        <v/>
      </c>
      <c r="D2711" s="46"/>
      <c r="E2711" s="47"/>
      <c r="F2711" s="47"/>
      <c r="G2711" s="48"/>
      <c r="H2711" s="49"/>
      <c r="I2711" s="50"/>
      <c r="J2711" s="48"/>
      <c r="K2711" s="49"/>
      <c r="L2711" s="50"/>
      <c r="M2711" s="43" t="str">
        <f aca="false">IF(OR($L2711="",$F2711=""),"",IFERROR($L2711/INDEX(Cadastro!$E$6:$E$8,MATCH($F2711,Cadastro!$B$6:$B$8,0)),""))</f>
        <v/>
      </c>
      <c r="N2711" s="43" t="str">
        <f aca="false">IF(OR($L2711="",$I2711="",$I2711=0),"",$L2711/$I2711)</f>
        <v/>
      </c>
      <c r="O2711" s="51"/>
    </row>
    <row r="2712" customFormat="false" ht="15" hidden="false" customHeight="false" outlineLevel="0" collapsed="false">
      <c r="A2712" s="45"/>
      <c r="B2712" s="37" t="str">
        <f aca="false">IF($A2712="","",WEEKNUM($A2712,2))</f>
        <v/>
      </c>
      <c r="C2712" s="37" t="str">
        <f aca="false">IF($A2712="","",CHOOSE(WEEKDAY($A2712,2),"Seg","Ter","Qua","Qui","Sex","Sáb","Dom"))</f>
        <v/>
      </c>
      <c r="D2712" s="46"/>
      <c r="E2712" s="47"/>
      <c r="F2712" s="47"/>
      <c r="G2712" s="48"/>
      <c r="H2712" s="49"/>
      <c r="I2712" s="50"/>
      <c r="J2712" s="48"/>
      <c r="K2712" s="49"/>
      <c r="L2712" s="50"/>
      <c r="M2712" s="43" t="str">
        <f aca="false">IF(OR($L2712="",$F2712=""),"",IFERROR($L2712/INDEX(Cadastro!$E$6:$E$8,MATCH($F2712,Cadastro!$B$6:$B$8,0)),""))</f>
        <v/>
      </c>
      <c r="N2712" s="43" t="str">
        <f aca="false">IF(OR($L2712="",$I2712="",$I2712=0),"",$L2712/$I2712)</f>
        <v/>
      </c>
      <c r="O2712" s="51"/>
    </row>
    <row r="2713" customFormat="false" ht="15" hidden="false" customHeight="false" outlineLevel="0" collapsed="false">
      <c r="A2713" s="45"/>
      <c r="B2713" s="37" t="str">
        <f aca="false">IF($A2713="","",WEEKNUM($A2713,2))</f>
        <v/>
      </c>
      <c r="C2713" s="37" t="str">
        <f aca="false">IF($A2713="","",CHOOSE(WEEKDAY($A2713,2),"Seg","Ter","Qua","Qui","Sex","Sáb","Dom"))</f>
        <v/>
      </c>
      <c r="D2713" s="46"/>
      <c r="E2713" s="47"/>
      <c r="F2713" s="47"/>
      <c r="G2713" s="48"/>
      <c r="H2713" s="49"/>
      <c r="I2713" s="50"/>
      <c r="J2713" s="48"/>
      <c r="K2713" s="49"/>
      <c r="L2713" s="50"/>
      <c r="M2713" s="43" t="str">
        <f aca="false">IF(OR($L2713="",$F2713=""),"",IFERROR($L2713/INDEX(Cadastro!$E$6:$E$8,MATCH($F2713,Cadastro!$B$6:$B$8,0)),""))</f>
        <v/>
      </c>
      <c r="N2713" s="43" t="str">
        <f aca="false">IF(OR($L2713="",$I2713="",$I2713=0),"",$L2713/$I2713)</f>
        <v/>
      </c>
      <c r="O2713" s="51"/>
    </row>
    <row r="2714" customFormat="false" ht="15" hidden="false" customHeight="false" outlineLevel="0" collapsed="false">
      <c r="A2714" s="45"/>
      <c r="B2714" s="37" t="str">
        <f aca="false">IF($A2714="","",WEEKNUM($A2714,2))</f>
        <v/>
      </c>
      <c r="C2714" s="37" t="str">
        <f aca="false">IF($A2714="","",CHOOSE(WEEKDAY($A2714,2),"Seg","Ter","Qua","Qui","Sex","Sáb","Dom"))</f>
        <v/>
      </c>
      <c r="D2714" s="46"/>
      <c r="E2714" s="47"/>
      <c r="F2714" s="47"/>
      <c r="G2714" s="48"/>
      <c r="H2714" s="49"/>
      <c r="I2714" s="50"/>
      <c r="J2714" s="48"/>
      <c r="K2714" s="49"/>
      <c r="L2714" s="50"/>
      <c r="M2714" s="43" t="str">
        <f aca="false">IF(OR($L2714="",$F2714=""),"",IFERROR($L2714/INDEX(Cadastro!$E$6:$E$8,MATCH($F2714,Cadastro!$B$6:$B$8,0)),""))</f>
        <v/>
      </c>
      <c r="N2714" s="43" t="str">
        <f aca="false">IF(OR($L2714="",$I2714="",$I2714=0),"",$L2714/$I2714)</f>
        <v/>
      </c>
      <c r="O2714" s="51"/>
    </row>
    <row r="2715" customFormat="false" ht="15" hidden="false" customHeight="false" outlineLevel="0" collapsed="false">
      <c r="A2715" s="45"/>
      <c r="B2715" s="37" t="str">
        <f aca="false">IF($A2715="","",WEEKNUM($A2715,2))</f>
        <v/>
      </c>
      <c r="C2715" s="37" t="str">
        <f aca="false">IF($A2715="","",CHOOSE(WEEKDAY($A2715,2),"Seg","Ter","Qua","Qui","Sex","Sáb","Dom"))</f>
        <v/>
      </c>
      <c r="D2715" s="46"/>
      <c r="E2715" s="47"/>
      <c r="F2715" s="47"/>
      <c r="G2715" s="48"/>
      <c r="H2715" s="49"/>
      <c r="I2715" s="50"/>
      <c r="J2715" s="48"/>
      <c r="K2715" s="49"/>
      <c r="L2715" s="50"/>
      <c r="M2715" s="43" t="str">
        <f aca="false">IF(OR($L2715="",$F2715=""),"",IFERROR($L2715/INDEX(Cadastro!$E$6:$E$8,MATCH($F2715,Cadastro!$B$6:$B$8,0)),""))</f>
        <v/>
      </c>
      <c r="N2715" s="43" t="str">
        <f aca="false">IF(OR($L2715="",$I2715="",$I2715=0),"",$L2715/$I2715)</f>
        <v/>
      </c>
      <c r="O2715" s="51"/>
    </row>
    <row r="2716" customFormat="false" ht="15" hidden="false" customHeight="false" outlineLevel="0" collapsed="false">
      <c r="A2716" s="45"/>
      <c r="B2716" s="37" t="str">
        <f aca="false">IF($A2716="","",WEEKNUM($A2716,2))</f>
        <v/>
      </c>
      <c r="C2716" s="37" t="str">
        <f aca="false">IF($A2716="","",CHOOSE(WEEKDAY($A2716,2),"Seg","Ter","Qua","Qui","Sex","Sáb","Dom"))</f>
        <v/>
      </c>
      <c r="D2716" s="46"/>
      <c r="E2716" s="47"/>
      <c r="F2716" s="47"/>
      <c r="G2716" s="48"/>
      <c r="H2716" s="49"/>
      <c r="I2716" s="50"/>
      <c r="J2716" s="48"/>
      <c r="K2716" s="49"/>
      <c r="L2716" s="50"/>
      <c r="M2716" s="43" t="str">
        <f aca="false">IF(OR($L2716="",$F2716=""),"",IFERROR($L2716/INDEX(Cadastro!$E$6:$E$8,MATCH($F2716,Cadastro!$B$6:$B$8,0)),""))</f>
        <v/>
      </c>
      <c r="N2716" s="43" t="str">
        <f aca="false">IF(OR($L2716="",$I2716="",$I2716=0),"",$L2716/$I2716)</f>
        <v/>
      </c>
      <c r="O2716" s="51"/>
    </row>
    <row r="2717" customFormat="false" ht="15" hidden="false" customHeight="false" outlineLevel="0" collapsed="false">
      <c r="A2717" s="45"/>
      <c r="B2717" s="37" t="str">
        <f aca="false">IF($A2717="","",WEEKNUM($A2717,2))</f>
        <v/>
      </c>
      <c r="C2717" s="37" t="str">
        <f aca="false">IF($A2717="","",CHOOSE(WEEKDAY($A2717,2),"Seg","Ter","Qua","Qui","Sex","Sáb","Dom"))</f>
        <v/>
      </c>
      <c r="D2717" s="46"/>
      <c r="E2717" s="47"/>
      <c r="F2717" s="47"/>
      <c r="G2717" s="48"/>
      <c r="H2717" s="49"/>
      <c r="I2717" s="50"/>
      <c r="J2717" s="48"/>
      <c r="K2717" s="49"/>
      <c r="L2717" s="50"/>
      <c r="M2717" s="43" t="str">
        <f aca="false">IF(OR($L2717="",$F2717=""),"",IFERROR($L2717/INDEX(Cadastro!$E$6:$E$8,MATCH($F2717,Cadastro!$B$6:$B$8,0)),""))</f>
        <v/>
      </c>
      <c r="N2717" s="43" t="str">
        <f aca="false">IF(OR($L2717="",$I2717="",$I2717=0),"",$L2717/$I2717)</f>
        <v/>
      </c>
      <c r="O2717" s="51"/>
    </row>
    <row r="2718" customFormat="false" ht="15" hidden="false" customHeight="false" outlineLevel="0" collapsed="false">
      <c r="A2718" s="45"/>
      <c r="B2718" s="37" t="str">
        <f aca="false">IF($A2718="","",WEEKNUM($A2718,2))</f>
        <v/>
      </c>
      <c r="C2718" s="37" t="str">
        <f aca="false">IF($A2718="","",CHOOSE(WEEKDAY($A2718,2),"Seg","Ter","Qua","Qui","Sex","Sáb","Dom"))</f>
        <v/>
      </c>
      <c r="D2718" s="46"/>
      <c r="E2718" s="47"/>
      <c r="F2718" s="47"/>
      <c r="G2718" s="48"/>
      <c r="H2718" s="49"/>
      <c r="I2718" s="50"/>
      <c r="J2718" s="48"/>
      <c r="K2718" s="49"/>
      <c r="L2718" s="50"/>
      <c r="M2718" s="43" t="str">
        <f aca="false">IF(OR($L2718="",$F2718=""),"",IFERROR($L2718/INDEX(Cadastro!$E$6:$E$8,MATCH($F2718,Cadastro!$B$6:$B$8,0)),""))</f>
        <v/>
      </c>
      <c r="N2718" s="43" t="str">
        <f aca="false">IF(OR($L2718="",$I2718="",$I2718=0),"",$L2718/$I2718)</f>
        <v/>
      </c>
      <c r="O2718" s="51"/>
    </row>
    <row r="2719" customFormat="false" ht="15" hidden="false" customHeight="false" outlineLevel="0" collapsed="false">
      <c r="A2719" s="45"/>
      <c r="B2719" s="37" t="str">
        <f aca="false">IF($A2719="","",WEEKNUM($A2719,2))</f>
        <v/>
      </c>
      <c r="C2719" s="37" t="str">
        <f aca="false">IF($A2719="","",CHOOSE(WEEKDAY($A2719,2),"Seg","Ter","Qua","Qui","Sex","Sáb","Dom"))</f>
        <v/>
      </c>
      <c r="D2719" s="46"/>
      <c r="E2719" s="47"/>
      <c r="F2719" s="47"/>
      <c r="G2719" s="48"/>
      <c r="H2719" s="49"/>
      <c r="I2719" s="50"/>
      <c r="J2719" s="48"/>
      <c r="K2719" s="49"/>
      <c r="L2719" s="50"/>
      <c r="M2719" s="43" t="str">
        <f aca="false">IF(OR($L2719="",$F2719=""),"",IFERROR($L2719/INDEX(Cadastro!$E$6:$E$8,MATCH($F2719,Cadastro!$B$6:$B$8,0)),""))</f>
        <v/>
      </c>
      <c r="N2719" s="43" t="str">
        <f aca="false">IF(OR($L2719="",$I2719="",$I2719=0),"",$L2719/$I2719)</f>
        <v/>
      </c>
      <c r="O2719" s="51"/>
    </row>
    <row r="2720" customFormat="false" ht="15" hidden="false" customHeight="false" outlineLevel="0" collapsed="false">
      <c r="A2720" s="45"/>
      <c r="B2720" s="37" t="str">
        <f aca="false">IF($A2720="","",WEEKNUM($A2720,2))</f>
        <v/>
      </c>
      <c r="C2720" s="37" t="str">
        <f aca="false">IF($A2720="","",CHOOSE(WEEKDAY($A2720,2),"Seg","Ter","Qua","Qui","Sex","Sáb","Dom"))</f>
        <v/>
      </c>
      <c r="D2720" s="46"/>
      <c r="E2720" s="47"/>
      <c r="F2720" s="47"/>
      <c r="G2720" s="48"/>
      <c r="H2720" s="49"/>
      <c r="I2720" s="50"/>
      <c r="J2720" s="48"/>
      <c r="K2720" s="49"/>
      <c r="L2720" s="50"/>
      <c r="M2720" s="43" t="str">
        <f aca="false">IF(OR($L2720="",$F2720=""),"",IFERROR($L2720/INDEX(Cadastro!$E$6:$E$8,MATCH($F2720,Cadastro!$B$6:$B$8,0)),""))</f>
        <v/>
      </c>
      <c r="N2720" s="43" t="str">
        <f aca="false">IF(OR($L2720="",$I2720="",$I2720=0),"",$L2720/$I2720)</f>
        <v/>
      </c>
      <c r="O2720" s="51"/>
    </row>
    <row r="2721" customFormat="false" ht="15" hidden="false" customHeight="false" outlineLevel="0" collapsed="false">
      <c r="A2721" s="45"/>
      <c r="B2721" s="37" t="str">
        <f aca="false">IF($A2721="","",WEEKNUM($A2721,2))</f>
        <v/>
      </c>
      <c r="C2721" s="37" t="str">
        <f aca="false">IF($A2721="","",CHOOSE(WEEKDAY($A2721,2),"Seg","Ter","Qua","Qui","Sex","Sáb","Dom"))</f>
        <v/>
      </c>
      <c r="D2721" s="46"/>
      <c r="E2721" s="47"/>
      <c r="F2721" s="47"/>
      <c r="G2721" s="48"/>
      <c r="H2721" s="49"/>
      <c r="I2721" s="50"/>
      <c r="J2721" s="48"/>
      <c r="K2721" s="49"/>
      <c r="L2721" s="50"/>
      <c r="M2721" s="43" t="str">
        <f aca="false">IF(OR($L2721="",$F2721=""),"",IFERROR($L2721/INDEX(Cadastro!$E$6:$E$8,MATCH($F2721,Cadastro!$B$6:$B$8,0)),""))</f>
        <v/>
      </c>
      <c r="N2721" s="43" t="str">
        <f aca="false">IF(OR($L2721="",$I2721="",$I2721=0),"",$L2721/$I2721)</f>
        <v/>
      </c>
      <c r="O2721" s="51"/>
    </row>
    <row r="2722" customFormat="false" ht="15" hidden="false" customHeight="false" outlineLevel="0" collapsed="false">
      <c r="A2722" s="45"/>
      <c r="B2722" s="37" t="str">
        <f aca="false">IF($A2722="","",WEEKNUM($A2722,2))</f>
        <v/>
      </c>
      <c r="C2722" s="37" t="str">
        <f aca="false">IF($A2722="","",CHOOSE(WEEKDAY($A2722,2),"Seg","Ter","Qua","Qui","Sex","Sáb","Dom"))</f>
        <v/>
      </c>
      <c r="D2722" s="46"/>
      <c r="E2722" s="47"/>
      <c r="F2722" s="47"/>
      <c r="G2722" s="48"/>
      <c r="H2722" s="49"/>
      <c r="I2722" s="50"/>
      <c r="J2722" s="48"/>
      <c r="K2722" s="49"/>
      <c r="L2722" s="50"/>
      <c r="M2722" s="43" t="str">
        <f aca="false">IF(OR($L2722="",$F2722=""),"",IFERROR($L2722/INDEX(Cadastro!$E$6:$E$8,MATCH($F2722,Cadastro!$B$6:$B$8,0)),""))</f>
        <v/>
      </c>
      <c r="N2722" s="43" t="str">
        <f aca="false">IF(OR($L2722="",$I2722="",$I2722=0),"",$L2722/$I2722)</f>
        <v/>
      </c>
      <c r="O2722" s="51"/>
    </row>
    <row r="2723" customFormat="false" ht="15" hidden="false" customHeight="false" outlineLevel="0" collapsed="false">
      <c r="A2723" s="45"/>
      <c r="B2723" s="37" t="str">
        <f aca="false">IF($A2723="","",WEEKNUM($A2723,2))</f>
        <v/>
      </c>
      <c r="C2723" s="37" t="str">
        <f aca="false">IF($A2723="","",CHOOSE(WEEKDAY($A2723,2),"Seg","Ter","Qua","Qui","Sex","Sáb","Dom"))</f>
        <v/>
      </c>
      <c r="D2723" s="46"/>
      <c r="E2723" s="47"/>
      <c r="F2723" s="47"/>
      <c r="G2723" s="48"/>
      <c r="H2723" s="49"/>
      <c r="I2723" s="50"/>
      <c r="J2723" s="48"/>
      <c r="K2723" s="49"/>
      <c r="L2723" s="50"/>
      <c r="M2723" s="43" t="str">
        <f aca="false">IF(OR($L2723="",$F2723=""),"",IFERROR($L2723/INDEX(Cadastro!$E$6:$E$8,MATCH($F2723,Cadastro!$B$6:$B$8,0)),""))</f>
        <v/>
      </c>
      <c r="N2723" s="43" t="str">
        <f aca="false">IF(OR($L2723="",$I2723="",$I2723=0),"",$L2723/$I2723)</f>
        <v/>
      </c>
      <c r="O2723" s="51"/>
    </row>
    <row r="2724" customFormat="false" ht="15" hidden="false" customHeight="false" outlineLevel="0" collapsed="false">
      <c r="A2724" s="45"/>
      <c r="B2724" s="37" t="str">
        <f aca="false">IF($A2724="","",WEEKNUM($A2724,2))</f>
        <v/>
      </c>
      <c r="C2724" s="37" t="str">
        <f aca="false">IF($A2724="","",CHOOSE(WEEKDAY($A2724,2),"Seg","Ter","Qua","Qui","Sex","Sáb","Dom"))</f>
        <v/>
      </c>
      <c r="D2724" s="46"/>
      <c r="E2724" s="47"/>
      <c r="F2724" s="47"/>
      <c r="G2724" s="48"/>
      <c r="H2724" s="49"/>
      <c r="I2724" s="50"/>
      <c r="J2724" s="48"/>
      <c r="K2724" s="49"/>
      <c r="L2724" s="50"/>
      <c r="M2724" s="43" t="str">
        <f aca="false">IF(OR($L2724="",$F2724=""),"",IFERROR($L2724/INDEX(Cadastro!$E$6:$E$8,MATCH($F2724,Cadastro!$B$6:$B$8,0)),""))</f>
        <v/>
      </c>
      <c r="N2724" s="43" t="str">
        <f aca="false">IF(OR($L2724="",$I2724="",$I2724=0),"",$L2724/$I2724)</f>
        <v/>
      </c>
      <c r="O2724" s="51"/>
    </row>
    <row r="2725" customFormat="false" ht="15" hidden="false" customHeight="false" outlineLevel="0" collapsed="false">
      <c r="A2725" s="45"/>
      <c r="B2725" s="37" t="str">
        <f aca="false">IF($A2725="","",WEEKNUM($A2725,2))</f>
        <v/>
      </c>
      <c r="C2725" s="37" t="str">
        <f aca="false">IF($A2725="","",CHOOSE(WEEKDAY($A2725,2),"Seg","Ter","Qua","Qui","Sex","Sáb","Dom"))</f>
        <v/>
      </c>
      <c r="D2725" s="46"/>
      <c r="E2725" s="47"/>
      <c r="F2725" s="47"/>
      <c r="G2725" s="48"/>
      <c r="H2725" s="49"/>
      <c r="I2725" s="50"/>
      <c r="J2725" s="48"/>
      <c r="K2725" s="49"/>
      <c r="L2725" s="50"/>
      <c r="M2725" s="43" t="str">
        <f aca="false">IF(OR($L2725="",$F2725=""),"",IFERROR($L2725/INDEX(Cadastro!$E$6:$E$8,MATCH($F2725,Cadastro!$B$6:$B$8,0)),""))</f>
        <v/>
      </c>
      <c r="N2725" s="43" t="str">
        <f aca="false">IF(OR($L2725="",$I2725="",$I2725=0),"",$L2725/$I2725)</f>
        <v/>
      </c>
      <c r="O2725" s="51"/>
    </row>
    <row r="2726" customFormat="false" ht="15" hidden="false" customHeight="false" outlineLevel="0" collapsed="false">
      <c r="A2726" s="45"/>
      <c r="B2726" s="37" t="str">
        <f aca="false">IF($A2726="","",WEEKNUM($A2726,2))</f>
        <v/>
      </c>
      <c r="C2726" s="37" t="str">
        <f aca="false">IF($A2726="","",CHOOSE(WEEKDAY($A2726,2),"Seg","Ter","Qua","Qui","Sex","Sáb","Dom"))</f>
        <v/>
      </c>
      <c r="D2726" s="46"/>
      <c r="E2726" s="47"/>
      <c r="F2726" s="47"/>
      <c r="G2726" s="48"/>
      <c r="H2726" s="49"/>
      <c r="I2726" s="50"/>
      <c r="J2726" s="48"/>
      <c r="K2726" s="49"/>
      <c r="L2726" s="50"/>
      <c r="M2726" s="43" t="str">
        <f aca="false">IF(OR($L2726="",$F2726=""),"",IFERROR($L2726/INDEX(Cadastro!$E$6:$E$8,MATCH($F2726,Cadastro!$B$6:$B$8,0)),""))</f>
        <v/>
      </c>
      <c r="N2726" s="43" t="str">
        <f aca="false">IF(OR($L2726="",$I2726="",$I2726=0),"",$L2726/$I2726)</f>
        <v/>
      </c>
      <c r="O2726" s="51"/>
    </row>
    <row r="2727" customFormat="false" ht="15" hidden="false" customHeight="false" outlineLevel="0" collapsed="false">
      <c r="A2727" s="45"/>
      <c r="B2727" s="37" t="str">
        <f aca="false">IF($A2727="","",WEEKNUM($A2727,2))</f>
        <v/>
      </c>
      <c r="C2727" s="37" t="str">
        <f aca="false">IF($A2727="","",CHOOSE(WEEKDAY($A2727,2),"Seg","Ter","Qua","Qui","Sex","Sáb","Dom"))</f>
        <v/>
      </c>
      <c r="D2727" s="46"/>
      <c r="E2727" s="47"/>
      <c r="F2727" s="47"/>
      <c r="G2727" s="48"/>
      <c r="H2727" s="49"/>
      <c r="I2727" s="50"/>
      <c r="J2727" s="48"/>
      <c r="K2727" s="49"/>
      <c r="L2727" s="50"/>
      <c r="M2727" s="43" t="str">
        <f aca="false">IF(OR($L2727="",$F2727=""),"",IFERROR($L2727/INDEX(Cadastro!$E$6:$E$8,MATCH($F2727,Cadastro!$B$6:$B$8,0)),""))</f>
        <v/>
      </c>
      <c r="N2727" s="43" t="str">
        <f aca="false">IF(OR($L2727="",$I2727="",$I2727=0),"",$L2727/$I2727)</f>
        <v/>
      </c>
      <c r="O2727" s="51"/>
    </row>
    <row r="2728" customFormat="false" ht="15" hidden="false" customHeight="false" outlineLevel="0" collapsed="false">
      <c r="A2728" s="45"/>
      <c r="B2728" s="37" t="str">
        <f aca="false">IF($A2728="","",WEEKNUM($A2728,2))</f>
        <v/>
      </c>
      <c r="C2728" s="37" t="str">
        <f aca="false">IF($A2728="","",CHOOSE(WEEKDAY($A2728,2),"Seg","Ter","Qua","Qui","Sex","Sáb","Dom"))</f>
        <v/>
      </c>
      <c r="D2728" s="46"/>
      <c r="E2728" s="47"/>
      <c r="F2728" s="47"/>
      <c r="G2728" s="48"/>
      <c r="H2728" s="49"/>
      <c r="I2728" s="50"/>
      <c r="J2728" s="48"/>
      <c r="K2728" s="49"/>
      <c r="L2728" s="50"/>
      <c r="M2728" s="43" t="str">
        <f aca="false">IF(OR($L2728="",$F2728=""),"",IFERROR($L2728/INDEX(Cadastro!$E$6:$E$8,MATCH($F2728,Cadastro!$B$6:$B$8,0)),""))</f>
        <v/>
      </c>
      <c r="N2728" s="43" t="str">
        <f aca="false">IF(OR($L2728="",$I2728="",$I2728=0),"",$L2728/$I2728)</f>
        <v/>
      </c>
      <c r="O2728" s="51"/>
    </row>
    <row r="2729" customFormat="false" ht="15" hidden="false" customHeight="false" outlineLevel="0" collapsed="false">
      <c r="A2729" s="45"/>
      <c r="B2729" s="37" t="str">
        <f aca="false">IF($A2729="","",WEEKNUM($A2729,2))</f>
        <v/>
      </c>
      <c r="C2729" s="37" t="str">
        <f aca="false">IF($A2729="","",CHOOSE(WEEKDAY($A2729,2),"Seg","Ter","Qua","Qui","Sex","Sáb","Dom"))</f>
        <v/>
      </c>
      <c r="D2729" s="46"/>
      <c r="E2729" s="47"/>
      <c r="F2729" s="47"/>
      <c r="G2729" s="48"/>
      <c r="H2729" s="49"/>
      <c r="I2729" s="50"/>
      <c r="J2729" s="48"/>
      <c r="K2729" s="49"/>
      <c r="L2729" s="50"/>
      <c r="M2729" s="43" t="str">
        <f aca="false">IF(OR($L2729="",$F2729=""),"",IFERROR($L2729/INDEX(Cadastro!$E$6:$E$8,MATCH($F2729,Cadastro!$B$6:$B$8,0)),""))</f>
        <v/>
      </c>
      <c r="N2729" s="43" t="str">
        <f aca="false">IF(OR($L2729="",$I2729="",$I2729=0),"",$L2729/$I2729)</f>
        <v/>
      </c>
      <c r="O2729" s="51"/>
    </row>
    <row r="2730" customFormat="false" ht="15" hidden="false" customHeight="false" outlineLevel="0" collapsed="false">
      <c r="A2730" s="45"/>
      <c r="B2730" s="37" t="str">
        <f aca="false">IF($A2730="","",WEEKNUM($A2730,2))</f>
        <v/>
      </c>
      <c r="C2730" s="37" t="str">
        <f aca="false">IF($A2730="","",CHOOSE(WEEKDAY($A2730,2),"Seg","Ter","Qua","Qui","Sex","Sáb","Dom"))</f>
        <v/>
      </c>
      <c r="D2730" s="46"/>
      <c r="E2730" s="47"/>
      <c r="F2730" s="47"/>
      <c r="G2730" s="48"/>
      <c r="H2730" s="49"/>
      <c r="I2730" s="50"/>
      <c r="J2730" s="48"/>
      <c r="K2730" s="49"/>
      <c r="L2730" s="50"/>
      <c r="M2730" s="43" t="str">
        <f aca="false">IF(OR($L2730="",$F2730=""),"",IFERROR($L2730/INDEX(Cadastro!$E$6:$E$8,MATCH($F2730,Cadastro!$B$6:$B$8,0)),""))</f>
        <v/>
      </c>
      <c r="N2730" s="43" t="str">
        <f aca="false">IF(OR($L2730="",$I2730="",$I2730=0),"",$L2730/$I2730)</f>
        <v/>
      </c>
      <c r="O2730" s="51"/>
    </row>
    <row r="2731" customFormat="false" ht="15" hidden="false" customHeight="false" outlineLevel="0" collapsed="false">
      <c r="A2731" s="45"/>
      <c r="B2731" s="37" t="str">
        <f aca="false">IF($A2731="","",WEEKNUM($A2731,2))</f>
        <v/>
      </c>
      <c r="C2731" s="37" t="str">
        <f aca="false">IF($A2731="","",CHOOSE(WEEKDAY($A2731,2),"Seg","Ter","Qua","Qui","Sex","Sáb","Dom"))</f>
        <v/>
      </c>
      <c r="D2731" s="46"/>
      <c r="E2731" s="47"/>
      <c r="F2731" s="47"/>
      <c r="G2731" s="48"/>
      <c r="H2731" s="49"/>
      <c r="I2731" s="50"/>
      <c r="J2731" s="48"/>
      <c r="K2731" s="49"/>
      <c r="L2731" s="50"/>
      <c r="M2731" s="43" t="str">
        <f aca="false">IF(OR($L2731="",$F2731=""),"",IFERROR($L2731/INDEX(Cadastro!$E$6:$E$8,MATCH($F2731,Cadastro!$B$6:$B$8,0)),""))</f>
        <v/>
      </c>
      <c r="N2731" s="43" t="str">
        <f aca="false">IF(OR($L2731="",$I2731="",$I2731=0),"",$L2731/$I2731)</f>
        <v/>
      </c>
      <c r="O2731" s="51"/>
    </row>
    <row r="2732" customFormat="false" ht="15" hidden="false" customHeight="false" outlineLevel="0" collapsed="false">
      <c r="A2732" s="45"/>
      <c r="B2732" s="37" t="str">
        <f aca="false">IF($A2732="","",WEEKNUM($A2732,2))</f>
        <v/>
      </c>
      <c r="C2732" s="37" t="str">
        <f aca="false">IF($A2732="","",CHOOSE(WEEKDAY($A2732,2),"Seg","Ter","Qua","Qui","Sex","Sáb","Dom"))</f>
        <v/>
      </c>
      <c r="D2732" s="46"/>
      <c r="E2732" s="47"/>
      <c r="F2732" s="47"/>
      <c r="G2732" s="48"/>
      <c r="H2732" s="49"/>
      <c r="I2732" s="50"/>
      <c r="J2732" s="48"/>
      <c r="K2732" s="49"/>
      <c r="L2732" s="50"/>
      <c r="M2732" s="43" t="str">
        <f aca="false">IF(OR($L2732="",$F2732=""),"",IFERROR($L2732/INDEX(Cadastro!$E$6:$E$8,MATCH($F2732,Cadastro!$B$6:$B$8,0)),""))</f>
        <v/>
      </c>
      <c r="N2732" s="43" t="str">
        <f aca="false">IF(OR($L2732="",$I2732="",$I2732=0),"",$L2732/$I2732)</f>
        <v/>
      </c>
      <c r="O2732" s="51"/>
    </row>
    <row r="2733" customFormat="false" ht="15" hidden="false" customHeight="false" outlineLevel="0" collapsed="false">
      <c r="A2733" s="45"/>
      <c r="B2733" s="37" t="str">
        <f aca="false">IF($A2733="","",WEEKNUM($A2733,2))</f>
        <v/>
      </c>
      <c r="C2733" s="37" t="str">
        <f aca="false">IF($A2733="","",CHOOSE(WEEKDAY($A2733,2),"Seg","Ter","Qua","Qui","Sex","Sáb","Dom"))</f>
        <v/>
      </c>
      <c r="D2733" s="46"/>
      <c r="E2733" s="47"/>
      <c r="F2733" s="47"/>
      <c r="G2733" s="48"/>
      <c r="H2733" s="49"/>
      <c r="I2733" s="50"/>
      <c r="J2733" s="48"/>
      <c r="K2733" s="49"/>
      <c r="L2733" s="50"/>
      <c r="M2733" s="43" t="str">
        <f aca="false">IF(OR($L2733="",$F2733=""),"",IFERROR($L2733/INDEX(Cadastro!$E$6:$E$8,MATCH($F2733,Cadastro!$B$6:$B$8,0)),""))</f>
        <v/>
      </c>
      <c r="N2733" s="43" t="str">
        <f aca="false">IF(OR($L2733="",$I2733="",$I2733=0),"",$L2733/$I2733)</f>
        <v/>
      </c>
      <c r="O2733" s="51"/>
    </row>
    <row r="2734" customFormat="false" ht="15" hidden="false" customHeight="false" outlineLevel="0" collapsed="false">
      <c r="A2734" s="45"/>
      <c r="B2734" s="37" t="str">
        <f aca="false">IF($A2734="","",WEEKNUM($A2734,2))</f>
        <v/>
      </c>
      <c r="C2734" s="37" t="str">
        <f aca="false">IF($A2734="","",CHOOSE(WEEKDAY($A2734,2),"Seg","Ter","Qua","Qui","Sex","Sáb","Dom"))</f>
        <v/>
      </c>
      <c r="D2734" s="46"/>
      <c r="E2734" s="47"/>
      <c r="F2734" s="47"/>
      <c r="G2734" s="48"/>
      <c r="H2734" s="49"/>
      <c r="I2734" s="50"/>
      <c r="J2734" s="48"/>
      <c r="K2734" s="49"/>
      <c r="L2734" s="50"/>
      <c r="M2734" s="43" t="str">
        <f aca="false">IF(OR($L2734="",$F2734=""),"",IFERROR($L2734/INDEX(Cadastro!$E$6:$E$8,MATCH($F2734,Cadastro!$B$6:$B$8,0)),""))</f>
        <v/>
      </c>
      <c r="N2734" s="43" t="str">
        <f aca="false">IF(OR($L2734="",$I2734="",$I2734=0),"",$L2734/$I2734)</f>
        <v/>
      </c>
      <c r="O2734" s="51"/>
    </row>
    <row r="2735" customFormat="false" ht="15" hidden="false" customHeight="false" outlineLevel="0" collapsed="false">
      <c r="A2735" s="45"/>
      <c r="B2735" s="37" t="str">
        <f aca="false">IF($A2735="","",WEEKNUM($A2735,2))</f>
        <v/>
      </c>
      <c r="C2735" s="37" t="str">
        <f aca="false">IF($A2735="","",CHOOSE(WEEKDAY($A2735,2),"Seg","Ter","Qua","Qui","Sex","Sáb","Dom"))</f>
        <v/>
      </c>
      <c r="D2735" s="46"/>
      <c r="E2735" s="47"/>
      <c r="F2735" s="47"/>
      <c r="G2735" s="48"/>
      <c r="H2735" s="49"/>
      <c r="I2735" s="50"/>
      <c r="J2735" s="48"/>
      <c r="K2735" s="49"/>
      <c r="L2735" s="50"/>
      <c r="M2735" s="43" t="str">
        <f aca="false">IF(OR($L2735="",$F2735=""),"",IFERROR($L2735/INDEX(Cadastro!$E$6:$E$8,MATCH($F2735,Cadastro!$B$6:$B$8,0)),""))</f>
        <v/>
      </c>
      <c r="N2735" s="43" t="str">
        <f aca="false">IF(OR($L2735="",$I2735="",$I2735=0),"",$L2735/$I2735)</f>
        <v/>
      </c>
      <c r="O2735" s="51"/>
    </row>
    <row r="2736" customFormat="false" ht="15" hidden="false" customHeight="false" outlineLevel="0" collapsed="false">
      <c r="A2736" s="45"/>
      <c r="B2736" s="37" t="str">
        <f aca="false">IF($A2736="","",WEEKNUM($A2736,2))</f>
        <v/>
      </c>
      <c r="C2736" s="37" t="str">
        <f aca="false">IF($A2736="","",CHOOSE(WEEKDAY($A2736,2),"Seg","Ter","Qua","Qui","Sex","Sáb","Dom"))</f>
        <v/>
      </c>
      <c r="D2736" s="46"/>
      <c r="E2736" s="47"/>
      <c r="F2736" s="47"/>
      <c r="G2736" s="48"/>
      <c r="H2736" s="49"/>
      <c r="I2736" s="50"/>
      <c r="J2736" s="48"/>
      <c r="K2736" s="49"/>
      <c r="L2736" s="50"/>
      <c r="M2736" s="43" t="str">
        <f aca="false">IF(OR($L2736="",$F2736=""),"",IFERROR($L2736/INDEX(Cadastro!$E$6:$E$8,MATCH($F2736,Cadastro!$B$6:$B$8,0)),""))</f>
        <v/>
      </c>
      <c r="N2736" s="43" t="str">
        <f aca="false">IF(OR($L2736="",$I2736="",$I2736=0),"",$L2736/$I2736)</f>
        <v/>
      </c>
      <c r="O2736" s="51"/>
    </row>
    <row r="2737" customFormat="false" ht="15" hidden="false" customHeight="false" outlineLevel="0" collapsed="false">
      <c r="A2737" s="45"/>
      <c r="B2737" s="37" t="str">
        <f aca="false">IF($A2737="","",WEEKNUM($A2737,2))</f>
        <v/>
      </c>
      <c r="C2737" s="37" t="str">
        <f aca="false">IF($A2737="","",CHOOSE(WEEKDAY($A2737,2),"Seg","Ter","Qua","Qui","Sex","Sáb","Dom"))</f>
        <v/>
      </c>
      <c r="D2737" s="46"/>
      <c r="E2737" s="47"/>
      <c r="F2737" s="47"/>
      <c r="G2737" s="48"/>
      <c r="H2737" s="49"/>
      <c r="I2737" s="50"/>
      <c r="J2737" s="48"/>
      <c r="K2737" s="49"/>
      <c r="L2737" s="50"/>
      <c r="M2737" s="43" t="str">
        <f aca="false">IF(OR($L2737="",$F2737=""),"",IFERROR($L2737/INDEX(Cadastro!$E$6:$E$8,MATCH($F2737,Cadastro!$B$6:$B$8,0)),""))</f>
        <v/>
      </c>
      <c r="N2737" s="43" t="str">
        <f aca="false">IF(OR($L2737="",$I2737="",$I2737=0),"",$L2737/$I2737)</f>
        <v/>
      </c>
      <c r="O2737" s="51"/>
    </row>
    <row r="2738" customFormat="false" ht="15" hidden="false" customHeight="false" outlineLevel="0" collapsed="false">
      <c r="A2738" s="45"/>
      <c r="B2738" s="37" t="str">
        <f aca="false">IF($A2738="","",WEEKNUM($A2738,2))</f>
        <v/>
      </c>
      <c r="C2738" s="37" t="str">
        <f aca="false">IF($A2738="","",CHOOSE(WEEKDAY($A2738,2),"Seg","Ter","Qua","Qui","Sex","Sáb","Dom"))</f>
        <v/>
      </c>
      <c r="D2738" s="46"/>
      <c r="E2738" s="47"/>
      <c r="F2738" s="47"/>
      <c r="G2738" s="48"/>
      <c r="H2738" s="49"/>
      <c r="I2738" s="50"/>
      <c r="J2738" s="48"/>
      <c r="K2738" s="49"/>
      <c r="L2738" s="50"/>
      <c r="M2738" s="43" t="str">
        <f aca="false">IF(OR($L2738="",$F2738=""),"",IFERROR($L2738/INDEX(Cadastro!$E$6:$E$8,MATCH($F2738,Cadastro!$B$6:$B$8,0)),""))</f>
        <v/>
      </c>
      <c r="N2738" s="43" t="str">
        <f aca="false">IF(OR($L2738="",$I2738="",$I2738=0),"",$L2738/$I2738)</f>
        <v/>
      </c>
      <c r="O2738" s="51"/>
    </row>
    <row r="2739" customFormat="false" ht="15" hidden="false" customHeight="false" outlineLevel="0" collapsed="false">
      <c r="A2739" s="45"/>
      <c r="B2739" s="37" t="str">
        <f aca="false">IF($A2739="","",WEEKNUM($A2739,2))</f>
        <v/>
      </c>
      <c r="C2739" s="37" t="str">
        <f aca="false">IF($A2739="","",CHOOSE(WEEKDAY($A2739,2),"Seg","Ter","Qua","Qui","Sex","Sáb","Dom"))</f>
        <v/>
      </c>
      <c r="D2739" s="46"/>
      <c r="E2739" s="47"/>
      <c r="F2739" s="47"/>
      <c r="G2739" s="48"/>
      <c r="H2739" s="49"/>
      <c r="I2739" s="50"/>
      <c r="J2739" s="48"/>
      <c r="K2739" s="49"/>
      <c r="L2739" s="50"/>
      <c r="M2739" s="43" t="str">
        <f aca="false">IF(OR($L2739="",$F2739=""),"",IFERROR($L2739/INDEX(Cadastro!$E$6:$E$8,MATCH($F2739,Cadastro!$B$6:$B$8,0)),""))</f>
        <v/>
      </c>
      <c r="N2739" s="43" t="str">
        <f aca="false">IF(OR($L2739="",$I2739="",$I2739=0),"",$L2739/$I2739)</f>
        <v/>
      </c>
      <c r="O2739" s="51"/>
    </row>
    <row r="2740" customFormat="false" ht="15" hidden="false" customHeight="false" outlineLevel="0" collapsed="false">
      <c r="A2740" s="45"/>
      <c r="B2740" s="37" t="str">
        <f aca="false">IF($A2740="","",WEEKNUM($A2740,2))</f>
        <v/>
      </c>
      <c r="C2740" s="37" t="str">
        <f aca="false">IF($A2740="","",CHOOSE(WEEKDAY($A2740,2),"Seg","Ter","Qua","Qui","Sex","Sáb","Dom"))</f>
        <v/>
      </c>
      <c r="D2740" s="46"/>
      <c r="E2740" s="47"/>
      <c r="F2740" s="47"/>
      <c r="G2740" s="48"/>
      <c r="H2740" s="49"/>
      <c r="I2740" s="50"/>
      <c r="J2740" s="48"/>
      <c r="K2740" s="49"/>
      <c r="L2740" s="50"/>
      <c r="M2740" s="43" t="str">
        <f aca="false">IF(OR($L2740="",$F2740=""),"",IFERROR($L2740/INDEX(Cadastro!$E$6:$E$8,MATCH($F2740,Cadastro!$B$6:$B$8,0)),""))</f>
        <v/>
      </c>
      <c r="N2740" s="43" t="str">
        <f aca="false">IF(OR($L2740="",$I2740="",$I2740=0),"",$L2740/$I2740)</f>
        <v/>
      </c>
      <c r="O2740" s="51"/>
    </row>
    <row r="2741" customFormat="false" ht="15" hidden="false" customHeight="false" outlineLevel="0" collapsed="false">
      <c r="A2741" s="45"/>
      <c r="B2741" s="37" t="str">
        <f aca="false">IF($A2741="","",WEEKNUM($A2741,2))</f>
        <v/>
      </c>
      <c r="C2741" s="37" t="str">
        <f aca="false">IF($A2741="","",CHOOSE(WEEKDAY($A2741,2),"Seg","Ter","Qua","Qui","Sex","Sáb","Dom"))</f>
        <v/>
      </c>
      <c r="D2741" s="46"/>
      <c r="E2741" s="47"/>
      <c r="F2741" s="47"/>
      <c r="G2741" s="48"/>
      <c r="H2741" s="49"/>
      <c r="I2741" s="50"/>
      <c r="J2741" s="48"/>
      <c r="K2741" s="49"/>
      <c r="L2741" s="50"/>
      <c r="M2741" s="43" t="str">
        <f aca="false">IF(OR($L2741="",$F2741=""),"",IFERROR($L2741/INDEX(Cadastro!$E$6:$E$8,MATCH($F2741,Cadastro!$B$6:$B$8,0)),""))</f>
        <v/>
      </c>
      <c r="N2741" s="43" t="str">
        <f aca="false">IF(OR($L2741="",$I2741="",$I2741=0),"",$L2741/$I2741)</f>
        <v/>
      </c>
      <c r="O2741" s="51"/>
    </row>
    <row r="2742" customFormat="false" ht="15" hidden="false" customHeight="false" outlineLevel="0" collapsed="false">
      <c r="A2742" s="45"/>
      <c r="B2742" s="37" t="str">
        <f aca="false">IF($A2742="","",WEEKNUM($A2742,2))</f>
        <v/>
      </c>
      <c r="C2742" s="37" t="str">
        <f aca="false">IF($A2742="","",CHOOSE(WEEKDAY($A2742,2),"Seg","Ter","Qua","Qui","Sex","Sáb","Dom"))</f>
        <v/>
      </c>
      <c r="D2742" s="46"/>
      <c r="E2742" s="47"/>
      <c r="F2742" s="47"/>
      <c r="G2742" s="48"/>
      <c r="H2742" s="49"/>
      <c r="I2742" s="50"/>
      <c r="J2742" s="48"/>
      <c r="K2742" s="49"/>
      <c r="L2742" s="50"/>
      <c r="M2742" s="43" t="str">
        <f aca="false">IF(OR($L2742="",$F2742=""),"",IFERROR($L2742/INDEX(Cadastro!$E$6:$E$8,MATCH($F2742,Cadastro!$B$6:$B$8,0)),""))</f>
        <v/>
      </c>
      <c r="N2742" s="43" t="str">
        <f aca="false">IF(OR($L2742="",$I2742="",$I2742=0),"",$L2742/$I2742)</f>
        <v/>
      </c>
      <c r="O2742" s="51"/>
    </row>
    <row r="2743" customFormat="false" ht="15" hidden="false" customHeight="false" outlineLevel="0" collapsed="false">
      <c r="A2743" s="45"/>
      <c r="B2743" s="37" t="str">
        <f aca="false">IF($A2743="","",WEEKNUM($A2743,2))</f>
        <v/>
      </c>
      <c r="C2743" s="37" t="str">
        <f aca="false">IF($A2743="","",CHOOSE(WEEKDAY($A2743,2),"Seg","Ter","Qua","Qui","Sex","Sáb","Dom"))</f>
        <v/>
      </c>
      <c r="D2743" s="46"/>
      <c r="E2743" s="47"/>
      <c r="F2743" s="47"/>
      <c r="G2743" s="48"/>
      <c r="H2743" s="49"/>
      <c r="I2743" s="50"/>
      <c r="J2743" s="48"/>
      <c r="K2743" s="49"/>
      <c r="L2743" s="50"/>
      <c r="M2743" s="43" t="str">
        <f aca="false">IF(OR($L2743="",$F2743=""),"",IFERROR($L2743/INDEX(Cadastro!$E$6:$E$8,MATCH($F2743,Cadastro!$B$6:$B$8,0)),""))</f>
        <v/>
      </c>
      <c r="N2743" s="43" t="str">
        <f aca="false">IF(OR($L2743="",$I2743="",$I2743=0),"",$L2743/$I2743)</f>
        <v/>
      </c>
      <c r="O2743" s="51"/>
    </row>
    <row r="2744" customFormat="false" ht="15" hidden="false" customHeight="false" outlineLevel="0" collapsed="false">
      <c r="A2744" s="45"/>
      <c r="B2744" s="37" t="str">
        <f aca="false">IF($A2744="","",WEEKNUM($A2744,2))</f>
        <v/>
      </c>
      <c r="C2744" s="37" t="str">
        <f aca="false">IF($A2744="","",CHOOSE(WEEKDAY($A2744,2),"Seg","Ter","Qua","Qui","Sex","Sáb","Dom"))</f>
        <v/>
      </c>
      <c r="D2744" s="46"/>
      <c r="E2744" s="47"/>
      <c r="F2744" s="47"/>
      <c r="G2744" s="48"/>
      <c r="H2744" s="49"/>
      <c r="I2744" s="50"/>
      <c r="J2744" s="48"/>
      <c r="K2744" s="49"/>
      <c r="L2744" s="50"/>
      <c r="M2744" s="43" t="str">
        <f aca="false">IF(OR($L2744="",$F2744=""),"",IFERROR($L2744/INDEX(Cadastro!$E$6:$E$8,MATCH($F2744,Cadastro!$B$6:$B$8,0)),""))</f>
        <v/>
      </c>
      <c r="N2744" s="43" t="str">
        <f aca="false">IF(OR($L2744="",$I2744="",$I2744=0),"",$L2744/$I2744)</f>
        <v/>
      </c>
      <c r="O2744" s="51"/>
    </row>
    <row r="2745" customFormat="false" ht="15" hidden="false" customHeight="false" outlineLevel="0" collapsed="false">
      <c r="A2745" s="45"/>
      <c r="B2745" s="37" t="str">
        <f aca="false">IF($A2745="","",WEEKNUM($A2745,2))</f>
        <v/>
      </c>
      <c r="C2745" s="37" t="str">
        <f aca="false">IF($A2745="","",CHOOSE(WEEKDAY($A2745,2),"Seg","Ter","Qua","Qui","Sex","Sáb","Dom"))</f>
        <v/>
      </c>
      <c r="D2745" s="46"/>
      <c r="E2745" s="47"/>
      <c r="F2745" s="47"/>
      <c r="G2745" s="48"/>
      <c r="H2745" s="49"/>
      <c r="I2745" s="50"/>
      <c r="J2745" s="48"/>
      <c r="K2745" s="49"/>
      <c r="L2745" s="50"/>
      <c r="M2745" s="43" t="str">
        <f aca="false">IF(OR($L2745="",$F2745=""),"",IFERROR($L2745/INDEX(Cadastro!$E$6:$E$8,MATCH($F2745,Cadastro!$B$6:$B$8,0)),""))</f>
        <v/>
      </c>
      <c r="N2745" s="43" t="str">
        <f aca="false">IF(OR($L2745="",$I2745="",$I2745=0),"",$L2745/$I2745)</f>
        <v/>
      </c>
      <c r="O2745" s="51"/>
    </row>
    <row r="2746" customFormat="false" ht="15" hidden="false" customHeight="false" outlineLevel="0" collapsed="false">
      <c r="A2746" s="45"/>
      <c r="B2746" s="37" t="str">
        <f aca="false">IF($A2746="","",WEEKNUM($A2746,2))</f>
        <v/>
      </c>
      <c r="C2746" s="37" t="str">
        <f aca="false">IF($A2746="","",CHOOSE(WEEKDAY($A2746,2),"Seg","Ter","Qua","Qui","Sex","Sáb","Dom"))</f>
        <v/>
      </c>
      <c r="D2746" s="46"/>
      <c r="E2746" s="47"/>
      <c r="F2746" s="47"/>
      <c r="G2746" s="48"/>
      <c r="H2746" s="49"/>
      <c r="I2746" s="50"/>
      <c r="J2746" s="48"/>
      <c r="K2746" s="49"/>
      <c r="L2746" s="50"/>
      <c r="M2746" s="43" t="str">
        <f aca="false">IF(OR($L2746="",$F2746=""),"",IFERROR($L2746/INDEX(Cadastro!$E$6:$E$8,MATCH($F2746,Cadastro!$B$6:$B$8,0)),""))</f>
        <v/>
      </c>
      <c r="N2746" s="43" t="str">
        <f aca="false">IF(OR($L2746="",$I2746="",$I2746=0),"",$L2746/$I2746)</f>
        <v/>
      </c>
      <c r="O2746" s="51"/>
    </row>
    <row r="2747" customFormat="false" ht="15" hidden="false" customHeight="false" outlineLevel="0" collapsed="false">
      <c r="A2747" s="45"/>
      <c r="B2747" s="37" t="str">
        <f aca="false">IF($A2747="","",WEEKNUM($A2747,2))</f>
        <v/>
      </c>
      <c r="C2747" s="37" t="str">
        <f aca="false">IF($A2747="","",CHOOSE(WEEKDAY($A2747,2),"Seg","Ter","Qua","Qui","Sex","Sáb","Dom"))</f>
        <v/>
      </c>
      <c r="D2747" s="46"/>
      <c r="E2747" s="47"/>
      <c r="F2747" s="47"/>
      <c r="G2747" s="48"/>
      <c r="H2747" s="49"/>
      <c r="I2747" s="50"/>
      <c r="J2747" s="48"/>
      <c r="K2747" s="49"/>
      <c r="L2747" s="50"/>
      <c r="M2747" s="43" t="str">
        <f aca="false">IF(OR($L2747="",$F2747=""),"",IFERROR($L2747/INDEX(Cadastro!$E$6:$E$8,MATCH($F2747,Cadastro!$B$6:$B$8,0)),""))</f>
        <v/>
      </c>
      <c r="N2747" s="43" t="str">
        <f aca="false">IF(OR($L2747="",$I2747="",$I2747=0),"",$L2747/$I2747)</f>
        <v/>
      </c>
      <c r="O2747" s="51"/>
    </row>
    <row r="2748" customFormat="false" ht="15" hidden="false" customHeight="false" outlineLevel="0" collapsed="false">
      <c r="A2748" s="45"/>
      <c r="B2748" s="37" t="str">
        <f aca="false">IF($A2748="","",WEEKNUM($A2748,2))</f>
        <v/>
      </c>
      <c r="C2748" s="37" t="str">
        <f aca="false">IF($A2748="","",CHOOSE(WEEKDAY($A2748,2),"Seg","Ter","Qua","Qui","Sex","Sáb","Dom"))</f>
        <v/>
      </c>
      <c r="D2748" s="46"/>
      <c r="E2748" s="47"/>
      <c r="F2748" s="47"/>
      <c r="G2748" s="48"/>
      <c r="H2748" s="49"/>
      <c r="I2748" s="50"/>
      <c r="J2748" s="48"/>
      <c r="K2748" s="49"/>
      <c r="L2748" s="50"/>
      <c r="M2748" s="43" t="str">
        <f aca="false">IF(OR($L2748="",$F2748=""),"",IFERROR($L2748/INDEX(Cadastro!$E$6:$E$8,MATCH($F2748,Cadastro!$B$6:$B$8,0)),""))</f>
        <v/>
      </c>
      <c r="N2748" s="43" t="str">
        <f aca="false">IF(OR($L2748="",$I2748="",$I2748=0),"",$L2748/$I2748)</f>
        <v/>
      </c>
      <c r="O2748" s="51"/>
    </row>
    <row r="2749" customFormat="false" ht="15" hidden="false" customHeight="false" outlineLevel="0" collapsed="false">
      <c r="A2749" s="45"/>
      <c r="B2749" s="37" t="str">
        <f aca="false">IF($A2749="","",WEEKNUM($A2749,2))</f>
        <v/>
      </c>
      <c r="C2749" s="37" t="str">
        <f aca="false">IF($A2749="","",CHOOSE(WEEKDAY($A2749,2),"Seg","Ter","Qua","Qui","Sex","Sáb","Dom"))</f>
        <v/>
      </c>
      <c r="D2749" s="46"/>
      <c r="E2749" s="47"/>
      <c r="F2749" s="47"/>
      <c r="G2749" s="48"/>
      <c r="H2749" s="49"/>
      <c r="I2749" s="50"/>
      <c r="J2749" s="48"/>
      <c r="K2749" s="49"/>
      <c r="L2749" s="50"/>
      <c r="M2749" s="43" t="str">
        <f aca="false">IF(OR($L2749="",$F2749=""),"",IFERROR($L2749/INDEX(Cadastro!$E$6:$E$8,MATCH($F2749,Cadastro!$B$6:$B$8,0)),""))</f>
        <v/>
      </c>
      <c r="N2749" s="43" t="str">
        <f aca="false">IF(OR($L2749="",$I2749="",$I2749=0),"",$L2749/$I2749)</f>
        <v/>
      </c>
      <c r="O2749" s="51"/>
    </row>
    <row r="2750" customFormat="false" ht="15" hidden="false" customHeight="false" outlineLevel="0" collapsed="false">
      <c r="A2750" s="45"/>
      <c r="B2750" s="37" t="str">
        <f aca="false">IF($A2750="","",WEEKNUM($A2750,2))</f>
        <v/>
      </c>
      <c r="C2750" s="37" t="str">
        <f aca="false">IF($A2750="","",CHOOSE(WEEKDAY($A2750,2),"Seg","Ter","Qua","Qui","Sex","Sáb","Dom"))</f>
        <v/>
      </c>
      <c r="D2750" s="46"/>
      <c r="E2750" s="47"/>
      <c r="F2750" s="47"/>
      <c r="G2750" s="48"/>
      <c r="H2750" s="49"/>
      <c r="I2750" s="50"/>
      <c r="J2750" s="48"/>
      <c r="K2750" s="49"/>
      <c r="L2750" s="50"/>
      <c r="M2750" s="43" t="str">
        <f aca="false">IF(OR($L2750="",$F2750=""),"",IFERROR($L2750/INDEX(Cadastro!$E$6:$E$8,MATCH($F2750,Cadastro!$B$6:$B$8,0)),""))</f>
        <v/>
      </c>
      <c r="N2750" s="43" t="str">
        <f aca="false">IF(OR($L2750="",$I2750="",$I2750=0),"",$L2750/$I2750)</f>
        <v/>
      </c>
      <c r="O2750" s="51"/>
    </row>
    <row r="2751" customFormat="false" ht="15" hidden="false" customHeight="false" outlineLevel="0" collapsed="false">
      <c r="A2751" s="45"/>
      <c r="B2751" s="37" t="str">
        <f aca="false">IF($A2751="","",WEEKNUM($A2751,2))</f>
        <v/>
      </c>
      <c r="C2751" s="37" t="str">
        <f aca="false">IF($A2751="","",CHOOSE(WEEKDAY($A2751,2),"Seg","Ter","Qua","Qui","Sex","Sáb","Dom"))</f>
        <v/>
      </c>
      <c r="D2751" s="46"/>
      <c r="E2751" s="47"/>
      <c r="F2751" s="47"/>
      <c r="G2751" s="48"/>
      <c r="H2751" s="49"/>
      <c r="I2751" s="50"/>
      <c r="J2751" s="48"/>
      <c r="K2751" s="49"/>
      <c r="L2751" s="50"/>
      <c r="M2751" s="43" t="str">
        <f aca="false">IF(OR($L2751="",$F2751=""),"",IFERROR($L2751/INDEX(Cadastro!$E$6:$E$8,MATCH($F2751,Cadastro!$B$6:$B$8,0)),""))</f>
        <v/>
      </c>
      <c r="N2751" s="43" t="str">
        <f aca="false">IF(OR($L2751="",$I2751="",$I2751=0),"",$L2751/$I2751)</f>
        <v/>
      </c>
      <c r="O2751" s="51"/>
    </row>
    <row r="2752" customFormat="false" ht="15" hidden="false" customHeight="false" outlineLevel="0" collapsed="false">
      <c r="A2752" s="45"/>
      <c r="B2752" s="37" t="str">
        <f aca="false">IF($A2752="","",WEEKNUM($A2752,2))</f>
        <v/>
      </c>
      <c r="C2752" s="37" t="str">
        <f aca="false">IF($A2752="","",CHOOSE(WEEKDAY($A2752,2),"Seg","Ter","Qua","Qui","Sex","Sáb","Dom"))</f>
        <v/>
      </c>
      <c r="D2752" s="46"/>
      <c r="E2752" s="47"/>
      <c r="F2752" s="47"/>
      <c r="G2752" s="48"/>
      <c r="H2752" s="49"/>
      <c r="I2752" s="50"/>
      <c r="J2752" s="48"/>
      <c r="K2752" s="49"/>
      <c r="L2752" s="50"/>
      <c r="M2752" s="43" t="str">
        <f aca="false">IF(OR($L2752="",$F2752=""),"",IFERROR($L2752/INDEX(Cadastro!$E$6:$E$8,MATCH($F2752,Cadastro!$B$6:$B$8,0)),""))</f>
        <v/>
      </c>
      <c r="N2752" s="43" t="str">
        <f aca="false">IF(OR($L2752="",$I2752="",$I2752=0),"",$L2752/$I2752)</f>
        <v/>
      </c>
      <c r="O2752" s="51"/>
    </row>
    <row r="2753" customFormat="false" ht="15" hidden="false" customHeight="false" outlineLevel="0" collapsed="false">
      <c r="A2753" s="45"/>
      <c r="B2753" s="37" t="str">
        <f aca="false">IF($A2753="","",WEEKNUM($A2753,2))</f>
        <v/>
      </c>
      <c r="C2753" s="37" t="str">
        <f aca="false">IF($A2753="","",CHOOSE(WEEKDAY($A2753,2),"Seg","Ter","Qua","Qui","Sex","Sáb","Dom"))</f>
        <v/>
      </c>
      <c r="D2753" s="46"/>
      <c r="E2753" s="47"/>
      <c r="F2753" s="47"/>
      <c r="G2753" s="48"/>
      <c r="H2753" s="49"/>
      <c r="I2753" s="50"/>
      <c r="J2753" s="48"/>
      <c r="K2753" s="49"/>
      <c r="L2753" s="50"/>
      <c r="M2753" s="43" t="str">
        <f aca="false">IF(OR($L2753="",$F2753=""),"",IFERROR($L2753/INDEX(Cadastro!$E$6:$E$8,MATCH($F2753,Cadastro!$B$6:$B$8,0)),""))</f>
        <v/>
      </c>
      <c r="N2753" s="43" t="str">
        <f aca="false">IF(OR($L2753="",$I2753="",$I2753=0),"",$L2753/$I2753)</f>
        <v/>
      </c>
      <c r="O2753" s="51"/>
    </row>
    <row r="2754" customFormat="false" ht="15" hidden="false" customHeight="false" outlineLevel="0" collapsed="false">
      <c r="A2754" s="45"/>
      <c r="B2754" s="37" t="str">
        <f aca="false">IF($A2754="","",WEEKNUM($A2754,2))</f>
        <v/>
      </c>
      <c r="C2754" s="37" t="str">
        <f aca="false">IF($A2754="","",CHOOSE(WEEKDAY($A2754,2),"Seg","Ter","Qua","Qui","Sex","Sáb","Dom"))</f>
        <v/>
      </c>
      <c r="D2754" s="46"/>
      <c r="E2754" s="47"/>
      <c r="F2754" s="47"/>
      <c r="G2754" s="48"/>
      <c r="H2754" s="49"/>
      <c r="I2754" s="50"/>
      <c r="J2754" s="48"/>
      <c r="K2754" s="49"/>
      <c r="L2754" s="50"/>
      <c r="M2754" s="43" t="str">
        <f aca="false">IF(OR($L2754="",$F2754=""),"",IFERROR($L2754/INDEX(Cadastro!$E$6:$E$8,MATCH($F2754,Cadastro!$B$6:$B$8,0)),""))</f>
        <v/>
      </c>
      <c r="N2754" s="43" t="str">
        <f aca="false">IF(OR($L2754="",$I2754="",$I2754=0),"",$L2754/$I2754)</f>
        <v/>
      </c>
      <c r="O2754" s="51"/>
    </row>
    <row r="2755" customFormat="false" ht="15" hidden="false" customHeight="false" outlineLevel="0" collapsed="false">
      <c r="A2755" s="45"/>
      <c r="B2755" s="37" t="str">
        <f aca="false">IF($A2755="","",WEEKNUM($A2755,2))</f>
        <v/>
      </c>
      <c r="C2755" s="37" t="str">
        <f aca="false">IF($A2755="","",CHOOSE(WEEKDAY($A2755,2),"Seg","Ter","Qua","Qui","Sex","Sáb","Dom"))</f>
        <v/>
      </c>
      <c r="D2755" s="46"/>
      <c r="E2755" s="47"/>
      <c r="F2755" s="47"/>
      <c r="G2755" s="48"/>
      <c r="H2755" s="49"/>
      <c r="I2755" s="50"/>
      <c r="J2755" s="48"/>
      <c r="K2755" s="49"/>
      <c r="L2755" s="50"/>
      <c r="M2755" s="43" t="str">
        <f aca="false">IF(OR($L2755="",$F2755=""),"",IFERROR($L2755/INDEX(Cadastro!$E$6:$E$8,MATCH($F2755,Cadastro!$B$6:$B$8,0)),""))</f>
        <v/>
      </c>
      <c r="N2755" s="43" t="str">
        <f aca="false">IF(OR($L2755="",$I2755="",$I2755=0),"",$L2755/$I2755)</f>
        <v/>
      </c>
      <c r="O2755" s="51"/>
    </row>
    <row r="2756" customFormat="false" ht="15" hidden="false" customHeight="false" outlineLevel="0" collapsed="false">
      <c r="A2756" s="45"/>
      <c r="B2756" s="37" t="str">
        <f aca="false">IF($A2756="","",WEEKNUM($A2756,2))</f>
        <v/>
      </c>
      <c r="C2756" s="37" t="str">
        <f aca="false">IF($A2756="","",CHOOSE(WEEKDAY($A2756,2),"Seg","Ter","Qua","Qui","Sex","Sáb","Dom"))</f>
        <v/>
      </c>
      <c r="D2756" s="46"/>
      <c r="E2756" s="47"/>
      <c r="F2756" s="47"/>
      <c r="G2756" s="48"/>
      <c r="H2756" s="49"/>
      <c r="I2756" s="50"/>
      <c r="J2756" s="48"/>
      <c r="K2756" s="49"/>
      <c r="L2756" s="50"/>
      <c r="M2756" s="43" t="str">
        <f aca="false">IF(OR($L2756="",$F2756=""),"",IFERROR($L2756/INDEX(Cadastro!$E$6:$E$8,MATCH($F2756,Cadastro!$B$6:$B$8,0)),""))</f>
        <v/>
      </c>
      <c r="N2756" s="43" t="str">
        <f aca="false">IF(OR($L2756="",$I2756="",$I2756=0),"",$L2756/$I2756)</f>
        <v/>
      </c>
      <c r="O2756" s="51"/>
    </row>
    <row r="2757" customFormat="false" ht="15" hidden="false" customHeight="false" outlineLevel="0" collapsed="false">
      <c r="A2757" s="45"/>
      <c r="B2757" s="37" t="str">
        <f aca="false">IF($A2757="","",WEEKNUM($A2757,2))</f>
        <v/>
      </c>
      <c r="C2757" s="37" t="str">
        <f aca="false">IF($A2757="","",CHOOSE(WEEKDAY($A2757,2),"Seg","Ter","Qua","Qui","Sex","Sáb","Dom"))</f>
        <v/>
      </c>
      <c r="D2757" s="46"/>
      <c r="E2757" s="47"/>
      <c r="F2757" s="47"/>
      <c r="G2757" s="48"/>
      <c r="H2757" s="49"/>
      <c r="I2757" s="50"/>
      <c r="J2757" s="48"/>
      <c r="K2757" s="49"/>
      <c r="L2757" s="50"/>
      <c r="M2757" s="43" t="str">
        <f aca="false">IF(OR($L2757="",$F2757=""),"",IFERROR($L2757/INDEX(Cadastro!$E$6:$E$8,MATCH($F2757,Cadastro!$B$6:$B$8,0)),""))</f>
        <v/>
      </c>
      <c r="N2757" s="43" t="str">
        <f aca="false">IF(OR($L2757="",$I2757="",$I2757=0),"",$L2757/$I2757)</f>
        <v/>
      </c>
      <c r="O2757" s="51"/>
    </row>
    <row r="2758" customFormat="false" ht="15" hidden="false" customHeight="false" outlineLevel="0" collapsed="false">
      <c r="A2758" s="45"/>
      <c r="B2758" s="37" t="str">
        <f aca="false">IF($A2758="","",WEEKNUM($A2758,2))</f>
        <v/>
      </c>
      <c r="C2758" s="37" t="str">
        <f aca="false">IF($A2758="","",CHOOSE(WEEKDAY($A2758,2),"Seg","Ter","Qua","Qui","Sex","Sáb","Dom"))</f>
        <v/>
      </c>
      <c r="D2758" s="46"/>
      <c r="E2758" s="47"/>
      <c r="F2758" s="47"/>
      <c r="G2758" s="48"/>
      <c r="H2758" s="49"/>
      <c r="I2758" s="50"/>
      <c r="J2758" s="48"/>
      <c r="K2758" s="49"/>
      <c r="L2758" s="50"/>
      <c r="M2758" s="43" t="str">
        <f aca="false">IF(OR($L2758="",$F2758=""),"",IFERROR($L2758/INDEX(Cadastro!$E$6:$E$8,MATCH($F2758,Cadastro!$B$6:$B$8,0)),""))</f>
        <v/>
      </c>
      <c r="N2758" s="43" t="str">
        <f aca="false">IF(OR($L2758="",$I2758="",$I2758=0),"",$L2758/$I2758)</f>
        <v/>
      </c>
      <c r="O2758" s="51"/>
    </row>
    <row r="2759" customFormat="false" ht="15" hidden="false" customHeight="false" outlineLevel="0" collapsed="false">
      <c r="A2759" s="45"/>
      <c r="B2759" s="37" t="str">
        <f aca="false">IF($A2759="","",WEEKNUM($A2759,2))</f>
        <v/>
      </c>
      <c r="C2759" s="37" t="str">
        <f aca="false">IF($A2759="","",CHOOSE(WEEKDAY($A2759,2),"Seg","Ter","Qua","Qui","Sex","Sáb","Dom"))</f>
        <v/>
      </c>
      <c r="D2759" s="46"/>
      <c r="E2759" s="47"/>
      <c r="F2759" s="47"/>
      <c r="G2759" s="48"/>
      <c r="H2759" s="49"/>
      <c r="I2759" s="50"/>
      <c r="J2759" s="48"/>
      <c r="K2759" s="49"/>
      <c r="L2759" s="50"/>
      <c r="M2759" s="43" t="str">
        <f aca="false">IF(OR($L2759="",$F2759=""),"",IFERROR($L2759/INDEX(Cadastro!$E$6:$E$8,MATCH($F2759,Cadastro!$B$6:$B$8,0)),""))</f>
        <v/>
      </c>
      <c r="N2759" s="43" t="str">
        <f aca="false">IF(OR($L2759="",$I2759="",$I2759=0),"",$L2759/$I2759)</f>
        <v/>
      </c>
      <c r="O2759" s="51"/>
    </row>
    <row r="2760" customFormat="false" ht="15" hidden="false" customHeight="false" outlineLevel="0" collapsed="false">
      <c r="A2760" s="45"/>
      <c r="B2760" s="37" t="str">
        <f aca="false">IF($A2760="","",WEEKNUM($A2760,2))</f>
        <v/>
      </c>
      <c r="C2760" s="37" t="str">
        <f aca="false">IF($A2760="","",CHOOSE(WEEKDAY($A2760,2),"Seg","Ter","Qua","Qui","Sex","Sáb","Dom"))</f>
        <v/>
      </c>
      <c r="D2760" s="46"/>
      <c r="E2760" s="47"/>
      <c r="F2760" s="47"/>
      <c r="G2760" s="48"/>
      <c r="H2760" s="49"/>
      <c r="I2760" s="50"/>
      <c r="J2760" s="48"/>
      <c r="K2760" s="49"/>
      <c r="L2760" s="50"/>
      <c r="M2760" s="43" t="str">
        <f aca="false">IF(OR($L2760="",$F2760=""),"",IFERROR($L2760/INDEX(Cadastro!$E$6:$E$8,MATCH($F2760,Cadastro!$B$6:$B$8,0)),""))</f>
        <v/>
      </c>
      <c r="N2760" s="43" t="str">
        <f aca="false">IF(OR($L2760="",$I2760="",$I2760=0),"",$L2760/$I2760)</f>
        <v/>
      </c>
      <c r="O2760" s="51"/>
    </row>
    <row r="2761" customFormat="false" ht="15" hidden="false" customHeight="false" outlineLevel="0" collapsed="false">
      <c r="A2761" s="45"/>
      <c r="B2761" s="37" t="str">
        <f aca="false">IF($A2761="","",WEEKNUM($A2761,2))</f>
        <v/>
      </c>
      <c r="C2761" s="37" t="str">
        <f aca="false">IF($A2761="","",CHOOSE(WEEKDAY($A2761,2),"Seg","Ter","Qua","Qui","Sex","Sáb","Dom"))</f>
        <v/>
      </c>
      <c r="D2761" s="46"/>
      <c r="E2761" s="47"/>
      <c r="F2761" s="47"/>
      <c r="G2761" s="48"/>
      <c r="H2761" s="49"/>
      <c r="I2761" s="50"/>
      <c r="J2761" s="48"/>
      <c r="K2761" s="49"/>
      <c r="L2761" s="50"/>
      <c r="M2761" s="43" t="str">
        <f aca="false">IF(OR($L2761="",$F2761=""),"",IFERROR($L2761/INDEX(Cadastro!$E$6:$E$8,MATCH($F2761,Cadastro!$B$6:$B$8,0)),""))</f>
        <v/>
      </c>
      <c r="N2761" s="43" t="str">
        <f aca="false">IF(OR($L2761="",$I2761="",$I2761=0),"",$L2761/$I2761)</f>
        <v/>
      </c>
      <c r="O2761" s="51"/>
    </row>
    <row r="2762" customFormat="false" ht="15" hidden="false" customHeight="false" outlineLevel="0" collapsed="false">
      <c r="A2762" s="45"/>
      <c r="B2762" s="37" t="str">
        <f aca="false">IF($A2762="","",WEEKNUM($A2762,2))</f>
        <v/>
      </c>
      <c r="C2762" s="37" t="str">
        <f aca="false">IF($A2762="","",CHOOSE(WEEKDAY($A2762,2),"Seg","Ter","Qua","Qui","Sex","Sáb","Dom"))</f>
        <v/>
      </c>
      <c r="D2762" s="46"/>
      <c r="E2762" s="47"/>
      <c r="F2762" s="47"/>
      <c r="G2762" s="48"/>
      <c r="H2762" s="49"/>
      <c r="I2762" s="50"/>
      <c r="J2762" s="48"/>
      <c r="K2762" s="49"/>
      <c r="L2762" s="50"/>
      <c r="M2762" s="43" t="str">
        <f aca="false">IF(OR($L2762="",$F2762=""),"",IFERROR($L2762/INDEX(Cadastro!$E$6:$E$8,MATCH($F2762,Cadastro!$B$6:$B$8,0)),""))</f>
        <v/>
      </c>
      <c r="N2762" s="43" t="str">
        <f aca="false">IF(OR($L2762="",$I2762="",$I2762=0),"",$L2762/$I2762)</f>
        <v/>
      </c>
      <c r="O2762" s="51"/>
    </row>
    <row r="2763" customFormat="false" ht="15" hidden="false" customHeight="false" outlineLevel="0" collapsed="false">
      <c r="A2763" s="45"/>
      <c r="B2763" s="37" t="str">
        <f aca="false">IF($A2763="","",WEEKNUM($A2763,2))</f>
        <v/>
      </c>
      <c r="C2763" s="37" t="str">
        <f aca="false">IF($A2763="","",CHOOSE(WEEKDAY($A2763,2),"Seg","Ter","Qua","Qui","Sex","Sáb","Dom"))</f>
        <v/>
      </c>
      <c r="D2763" s="46"/>
      <c r="E2763" s="47"/>
      <c r="F2763" s="47"/>
      <c r="G2763" s="48"/>
      <c r="H2763" s="49"/>
      <c r="I2763" s="50"/>
      <c r="J2763" s="48"/>
      <c r="K2763" s="49"/>
      <c r="L2763" s="50"/>
      <c r="M2763" s="43" t="str">
        <f aca="false">IF(OR($L2763="",$F2763=""),"",IFERROR($L2763/INDEX(Cadastro!$E$6:$E$8,MATCH($F2763,Cadastro!$B$6:$B$8,0)),""))</f>
        <v/>
      </c>
      <c r="N2763" s="43" t="str">
        <f aca="false">IF(OR($L2763="",$I2763="",$I2763=0),"",$L2763/$I2763)</f>
        <v/>
      </c>
      <c r="O2763" s="51"/>
    </row>
    <row r="2764" customFormat="false" ht="15" hidden="false" customHeight="false" outlineLevel="0" collapsed="false">
      <c r="A2764" s="45"/>
      <c r="B2764" s="37" t="str">
        <f aca="false">IF($A2764="","",WEEKNUM($A2764,2))</f>
        <v/>
      </c>
      <c r="C2764" s="37" t="str">
        <f aca="false">IF($A2764="","",CHOOSE(WEEKDAY($A2764,2),"Seg","Ter","Qua","Qui","Sex","Sáb","Dom"))</f>
        <v/>
      </c>
      <c r="D2764" s="46"/>
      <c r="E2764" s="47"/>
      <c r="F2764" s="47"/>
      <c r="G2764" s="48"/>
      <c r="H2764" s="49"/>
      <c r="I2764" s="50"/>
      <c r="J2764" s="48"/>
      <c r="K2764" s="49"/>
      <c r="L2764" s="50"/>
      <c r="M2764" s="43" t="str">
        <f aca="false">IF(OR($L2764="",$F2764=""),"",IFERROR($L2764/INDEX(Cadastro!$E$6:$E$8,MATCH($F2764,Cadastro!$B$6:$B$8,0)),""))</f>
        <v/>
      </c>
      <c r="N2764" s="43" t="str">
        <f aca="false">IF(OR($L2764="",$I2764="",$I2764=0),"",$L2764/$I2764)</f>
        <v/>
      </c>
      <c r="O2764" s="51"/>
    </row>
    <row r="2765" customFormat="false" ht="15" hidden="false" customHeight="false" outlineLevel="0" collapsed="false">
      <c r="A2765" s="45"/>
      <c r="B2765" s="37" t="str">
        <f aca="false">IF($A2765="","",WEEKNUM($A2765,2))</f>
        <v/>
      </c>
      <c r="C2765" s="37" t="str">
        <f aca="false">IF($A2765="","",CHOOSE(WEEKDAY($A2765,2),"Seg","Ter","Qua","Qui","Sex","Sáb","Dom"))</f>
        <v/>
      </c>
      <c r="D2765" s="46"/>
      <c r="E2765" s="47"/>
      <c r="F2765" s="47"/>
      <c r="G2765" s="48"/>
      <c r="H2765" s="49"/>
      <c r="I2765" s="50"/>
      <c r="J2765" s="48"/>
      <c r="K2765" s="49"/>
      <c r="L2765" s="50"/>
      <c r="M2765" s="43" t="str">
        <f aca="false">IF(OR($L2765="",$F2765=""),"",IFERROR($L2765/INDEX(Cadastro!$E$6:$E$8,MATCH($F2765,Cadastro!$B$6:$B$8,0)),""))</f>
        <v/>
      </c>
      <c r="N2765" s="43" t="str">
        <f aca="false">IF(OR($L2765="",$I2765="",$I2765=0),"",$L2765/$I2765)</f>
        <v/>
      </c>
      <c r="O2765" s="51"/>
    </row>
    <row r="2766" customFormat="false" ht="15" hidden="false" customHeight="false" outlineLevel="0" collapsed="false">
      <c r="A2766" s="45"/>
      <c r="B2766" s="37" t="str">
        <f aca="false">IF($A2766="","",WEEKNUM($A2766,2))</f>
        <v/>
      </c>
      <c r="C2766" s="37" t="str">
        <f aca="false">IF($A2766="","",CHOOSE(WEEKDAY($A2766,2),"Seg","Ter","Qua","Qui","Sex","Sáb","Dom"))</f>
        <v/>
      </c>
      <c r="D2766" s="46"/>
      <c r="E2766" s="47"/>
      <c r="F2766" s="47"/>
      <c r="G2766" s="48"/>
      <c r="H2766" s="49"/>
      <c r="I2766" s="50"/>
      <c r="J2766" s="48"/>
      <c r="K2766" s="49"/>
      <c r="L2766" s="50"/>
      <c r="M2766" s="43" t="str">
        <f aca="false">IF(OR($L2766="",$F2766=""),"",IFERROR($L2766/INDEX(Cadastro!$E$6:$E$8,MATCH($F2766,Cadastro!$B$6:$B$8,0)),""))</f>
        <v/>
      </c>
      <c r="N2766" s="43" t="str">
        <f aca="false">IF(OR($L2766="",$I2766="",$I2766=0),"",$L2766/$I2766)</f>
        <v/>
      </c>
      <c r="O2766" s="51"/>
    </row>
    <row r="2767" customFormat="false" ht="15" hidden="false" customHeight="false" outlineLevel="0" collapsed="false">
      <c r="A2767" s="45"/>
      <c r="B2767" s="37" t="str">
        <f aca="false">IF($A2767="","",WEEKNUM($A2767,2))</f>
        <v/>
      </c>
      <c r="C2767" s="37" t="str">
        <f aca="false">IF($A2767="","",CHOOSE(WEEKDAY($A2767,2),"Seg","Ter","Qua","Qui","Sex","Sáb","Dom"))</f>
        <v/>
      </c>
      <c r="D2767" s="46"/>
      <c r="E2767" s="47"/>
      <c r="F2767" s="47"/>
      <c r="G2767" s="48"/>
      <c r="H2767" s="49"/>
      <c r="I2767" s="50"/>
      <c r="J2767" s="48"/>
      <c r="K2767" s="49"/>
      <c r="L2767" s="50"/>
      <c r="M2767" s="43" t="str">
        <f aca="false">IF(OR($L2767="",$F2767=""),"",IFERROR($L2767/INDEX(Cadastro!$E$6:$E$8,MATCH($F2767,Cadastro!$B$6:$B$8,0)),""))</f>
        <v/>
      </c>
      <c r="N2767" s="43" t="str">
        <f aca="false">IF(OR($L2767="",$I2767="",$I2767=0),"",$L2767/$I2767)</f>
        <v/>
      </c>
      <c r="O2767" s="51"/>
    </row>
    <row r="2768" customFormat="false" ht="15" hidden="false" customHeight="false" outlineLevel="0" collapsed="false">
      <c r="A2768" s="45"/>
      <c r="B2768" s="37" t="str">
        <f aca="false">IF($A2768="","",WEEKNUM($A2768,2))</f>
        <v/>
      </c>
      <c r="C2768" s="37" t="str">
        <f aca="false">IF($A2768="","",CHOOSE(WEEKDAY($A2768,2),"Seg","Ter","Qua","Qui","Sex","Sáb","Dom"))</f>
        <v/>
      </c>
      <c r="D2768" s="46"/>
      <c r="E2768" s="47"/>
      <c r="F2768" s="47"/>
      <c r="G2768" s="48"/>
      <c r="H2768" s="49"/>
      <c r="I2768" s="50"/>
      <c r="J2768" s="48"/>
      <c r="K2768" s="49"/>
      <c r="L2768" s="50"/>
      <c r="M2768" s="43" t="str">
        <f aca="false">IF(OR($L2768="",$F2768=""),"",IFERROR($L2768/INDEX(Cadastro!$E$6:$E$8,MATCH($F2768,Cadastro!$B$6:$B$8,0)),""))</f>
        <v/>
      </c>
      <c r="N2768" s="43" t="str">
        <f aca="false">IF(OR($L2768="",$I2768="",$I2768=0),"",$L2768/$I2768)</f>
        <v/>
      </c>
      <c r="O2768" s="51"/>
    </row>
    <row r="2769" customFormat="false" ht="15" hidden="false" customHeight="false" outlineLevel="0" collapsed="false">
      <c r="A2769" s="45"/>
      <c r="B2769" s="37" t="str">
        <f aca="false">IF($A2769="","",WEEKNUM($A2769,2))</f>
        <v/>
      </c>
      <c r="C2769" s="37" t="str">
        <f aca="false">IF($A2769="","",CHOOSE(WEEKDAY($A2769,2),"Seg","Ter","Qua","Qui","Sex","Sáb","Dom"))</f>
        <v/>
      </c>
      <c r="D2769" s="46"/>
      <c r="E2769" s="47"/>
      <c r="F2769" s="47"/>
      <c r="G2769" s="48"/>
      <c r="H2769" s="49"/>
      <c r="I2769" s="50"/>
      <c r="J2769" s="48"/>
      <c r="K2769" s="49"/>
      <c r="L2769" s="50"/>
      <c r="M2769" s="43" t="str">
        <f aca="false">IF(OR($L2769="",$F2769=""),"",IFERROR($L2769/INDEX(Cadastro!$E$6:$E$8,MATCH($F2769,Cadastro!$B$6:$B$8,0)),""))</f>
        <v/>
      </c>
      <c r="N2769" s="43" t="str">
        <f aca="false">IF(OR($L2769="",$I2769="",$I2769=0),"",$L2769/$I2769)</f>
        <v/>
      </c>
      <c r="O2769" s="51"/>
    </row>
    <row r="2770" customFormat="false" ht="15" hidden="false" customHeight="false" outlineLevel="0" collapsed="false">
      <c r="A2770" s="45"/>
      <c r="B2770" s="37" t="str">
        <f aca="false">IF($A2770="","",WEEKNUM($A2770,2))</f>
        <v/>
      </c>
      <c r="C2770" s="37" t="str">
        <f aca="false">IF($A2770="","",CHOOSE(WEEKDAY($A2770,2),"Seg","Ter","Qua","Qui","Sex","Sáb","Dom"))</f>
        <v/>
      </c>
      <c r="D2770" s="46"/>
      <c r="E2770" s="47"/>
      <c r="F2770" s="47"/>
      <c r="G2770" s="48"/>
      <c r="H2770" s="49"/>
      <c r="I2770" s="50"/>
      <c r="J2770" s="48"/>
      <c r="K2770" s="49"/>
      <c r="L2770" s="50"/>
      <c r="M2770" s="43" t="str">
        <f aca="false">IF(OR($L2770="",$F2770=""),"",IFERROR($L2770/INDEX(Cadastro!$E$6:$E$8,MATCH($F2770,Cadastro!$B$6:$B$8,0)),""))</f>
        <v/>
      </c>
      <c r="N2770" s="43" t="str">
        <f aca="false">IF(OR($L2770="",$I2770="",$I2770=0),"",$L2770/$I2770)</f>
        <v/>
      </c>
      <c r="O2770" s="51"/>
    </row>
    <row r="2771" customFormat="false" ht="15" hidden="false" customHeight="false" outlineLevel="0" collapsed="false">
      <c r="A2771" s="45"/>
      <c r="B2771" s="37" t="str">
        <f aca="false">IF($A2771="","",WEEKNUM($A2771,2))</f>
        <v/>
      </c>
      <c r="C2771" s="37" t="str">
        <f aca="false">IF($A2771="","",CHOOSE(WEEKDAY($A2771,2),"Seg","Ter","Qua","Qui","Sex","Sáb","Dom"))</f>
        <v/>
      </c>
      <c r="D2771" s="46"/>
      <c r="E2771" s="47"/>
      <c r="F2771" s="47"/>
      <c r="G2771" s="48"/>
      <c r="H2771" s="49"/>
      <c r="I2771" s="50"/>
      <c r="J2771" s="48"/>
      <c r="K2771" s="49"/>
      <c r="L2771" s="50"/>
      <c r="M2771" s="43" t="str">
        <f aca="false">IF(OR($L2771="",$F2771=""),"",IFERROR($L2771/INDEX(Cadastro!$E$6:$E$8,MATCH($F2771,Cadastro!$B$6:$B$8,0)),""))</f>
        <v/>
      </c>
      <c r="N2771" s="43" t="str">
        <f aca="false">IF(OR($L2771="",$I2771="",$I2771=0),"",$L2771/$I2771)</f>
        <v/>
      </c>
      <c r="O2771" s="51"/>
    </row>
    <row r="2772" customFormat="false" ht="15" hidden="false" customHeight="false" outlineLevel="0" collapsed="false">
      <c r="A2772" s="45"/>
      <c r="B2772" s="37" t="str">
        <f aca="false">IF($A2772="","",WEEKNUM($A2772,2))</f>
        <v/>
      </c>
      <c r="C2772" s="37" t="str">
        <f aca="false">IF($A2772="","",CHOOSE(WEEKDAY($A2772,2),"Seg","Ter","Qua","Qui","Sex","Sáb","Dom"))</f>
        <v/>
      </c>
      <c r="D2772" s="46"/>
      <c r="E2772" s="47"/>
      <c r="F2772" s="47"/>
      <c r="G2772" s="48"/>
      <c r="H2772" s="49"/>
      <c r="I2772" s="50"/>
      <c r="J2772" s="48"/>
      <c r="K2772" s="49"/>
      <c r="L2772" s="50"/>
      <c r="M2772" s="43" t="str">
        <f aca="false">IF(OR($L2772="",$F2772=""),"",IFERROR($L2772/INDEX(Cadastro!$E$6:$E$8,MATCH($F2772,Cadastro!$B$6:$B$8,0)),""))</f>
        <v/>
      </c>
      <c r="N2772" s="43" t="str">
        <f aca="false">IF(OR($L2772="",$I2772="",$I2772=0),"",$L2772/$I2772)</f>
        <v/>
      </c>
      <c r="O2772" s="51"/>
    </row>
    <row r="2773" customFormat="false" ht="15" hidden="false" customHeight="false" outlineLevel="0" collapsed="false">
      <c r="A2773" s="45"/>
      <c r="B2773" s="37" t="str">
        <f aca="false">IF($A2773="","",WEEKNUM($A2773,2))</f>
        <v/>
      </c>
      <c r="C2773" s="37" t="str">
        <f aca="false">IF($A2773="","",CHOOSE(WEEKDAY($A2773,2),"Seg","Ter","Qua","Qui","Sex","Sáb","Dom"))</f>
        <v/>
      </c>
      <c r="D2773" s="46"/>
      <c r="E2773" s="47"/>
      <c r="F2773" s="47"/>
      <c r="G2773" s="48"/>
      <c r="H2773" s="49"/>
      <c r="I2773" s="50"/>
      <c r="J2773" s="48"/>
      <c r="K2773" s="49"/>
      <c r="L2773" s="50"/>
      <c r="M2773" s="43" t="str">
        <f aca="false">IF(OR($L2773="",$F2773=""),"",IFERROR($L2773/INDEX(Cadastro!$E$6:$E$8,MATCH($F2773,Cadastro!$B$6:$B$8,0)),""))</f>
        <v/>
      </c>
      <c r="N2773" s="43" t="str">
        <f aca="false">IF(OR($L2773="",$I2773="",$I2773=0),"",$L2773/$I2773)</f>
        <v/>
      </c>
      <c r="O2773" s="51"/>
    </row>
    <row r="2774" customFormat="false" ht="15" hidden="false" customHeight="false" outlineLevel="0" collapsed="false">
      <c r="A2774" s="45"/>
      <c r="B2774" s="37" t="str">
        <f aca="false">IF($A2774="","",WEEKNUM($A2774,2))</f>
        <v/>
      </c>
      <c r="C2774" s="37" t="str">
        <f aca="false">IF($A2774="","",CHOOSE(WEEKDAY($A2774,2),"Seg","Ter","Qua","Qui","Sex","Sáb","Dom"))</f>
        <v/>
      </c>
      <c r="D2774" s="46"/>
      <c r="E2774" s="47"/>
      <c r="F2774" s="47"/>
      <c r="G2774" s="48"/>
      <c r="H2774" s="49"/>
      <c r="I2774" s="50"/>
      <c r="J2774" s="48"/>
      <c r="K2774" s="49"/>
      <c r="L2774" s="50"/>
      <c r="M2774" s="43" t="str">
        <f aca="false">IF(OR($L2774="",$F2774=""),"",IFERROR($L2774/INDEX(Cadastro!$E$6:$E$8,MATCH($F2774,Cadastro!$B$6:$B$8,0)),""))</f>
        <v/>
      </c>
      <c r="N2774" s="43" t="str">
        <f aca="false">IF(OR($L2774="",$I2774="",$I2774=0),"",$L2774/$I2774)</f>
        <v/>
      </c>
      <c r="O2774" s="51"/>
    </row>
    <row r="2775" customFormat="false" ht="15" hidden="false" customHeight="false" outlineLevel="0" collapsed="false">
      <c r="A2775" s="45"/>
      <c r="B2775" s="37" t="str">
        <f aca="false">IF($A2775="","",WEEKNUM($A2775,2))</f>
        <v/>
      </c>
      <c r="C2775" s="37" t="str">
        <f aca="false">IF($A2775="","",CHOOSE(WEEKDAY($A2775,2),"Seg","Ter","Qua","Qui","Sex","Sáb","Dom"))</f>
        <v/>
      </c>
      <c r="D2775" s="46"/>
      <c r="E2775" s="47"/>
      <c r="F2775" s="47"/>
      <c r="G2775" s="48"/>
      <c r="H2775" s="49"/>
      <c r="I2775" s="50"/>
      <c r="J2775" s="48"/>
      <c r="K2775" s="49"/>
      <c r="L2775" s="50"/>
      <c r="M2775" s="43" t="str">
        <f aca="false">IF(OR($L2775="",$F2775=""),"",IFERROR($L2775/INDEX(Cadastro!$E$6:$E$8,MATCH($F2775,Cadastro!$B$6:$B$8,0)),""))</f>
        <v/>
      </c>
      <c r="N2775" s="43" t="str">
        <f aca="false">IF(OR($L2775="",$I2775="",$I2775=0),"",$L2775/$I2775)</f>
        <v/>
      </c>
      <c r="O2775" s="51"/>
    </row>
    <row r="2776" customFormat="false" ht="15" hidden="false" customHeight="false" outlineLevel="0" collapsed="false">
      <c r="A2776" s="45"/>
      <c r="B2776" s="37" t="str">
        <f aca="false">IF($A2776="","",WEEKNUM($A2776,2))</f>
        <v/>
      </c>
      <c r="C2776" s="37" t="str">
        <f aca="false">IF($A2776="","",CHOOSE(WEEKDAY($A2776,2),"Seg","Ter","Qua","Qui","Sex","Sáb","Dom"))</f>
        <v/>
      </c>
      <c r="D2776" s="46"/>
      <c r="E2776" s="47"/>
      <c r="F2776" s="47"/>
      <c r="G2776" s="48"/>
      <c r="H2776" s="49"/>
      <c r="I2776" s="50"/>
      <c r="J2776" s="48"/>
      <c r="K2776" s="49"/>
      <c r="L2776" s="50"/>
      <c r="M2776" s="43" t="str">
        <f aca="false">IF(OR($L2776="",$F2776=""),"",IFERROR($L2776/INDEX(Cadastro!$E$6:$E$8,MATCH($F2776,Cadastro!$B$6:$B$8,0)),""))</f>
        <v/>
      </c>
      <c r="N2776" s="43" t="str">
        <f aca="false">IF(OR($L2776="",$I2776="",$I2776=0),"",$L2776/$I2776)</f>
        <v/>
      </c>
      <c r="O2776" s="51"/>
    </row>
    <row r="2777" customFormat="false" ht="15" hidden="false" customHeight="false" outlineLevel="0" collapsed="false">
      <c r="A2777" s="45"/>
      <c r="B2777" s="37" t="str">
        <f aca="false">IF($A2777="","",WEEKNUM($A2777,2))</f>
        <v/>
      </c>
      <c r="C2777" s="37" t="str">
        <f aca="false">IF($A2777="","",CHOOSE(WEEKDAY($A2777,2),"Seg","Ter","Qua","Qui","Sex","Sáb","Dom"))</f>
        <v/>
      </c>
      <c r="D2777" s="46"/>
      <c r="E2777" s="47"/>
      <c r="F2777" s="47"/>
      <c r="G2777" s="48"/>
      <c r="H2777" s="49"/>
      <c r="I2777" s="50"/>
      <c r="J2777" s="48"/>
      <c r="K2777" s="49"/>
      <c r="L2777" s="50"/>
      <c r="M2777" s="43" t="str">
        <f aca="false">IF(OR($L2777="",$F2777=""),"",IFERROR($L2777/INDEX(Cadastro!$E$6:$E$8,MATCH($F2777,Cadastro!$B$6:$B$8,0)),""))</f>
        <v/>
      </c>
      <c r="N2777" s="43" t="str">
        <f aca="false">IF(OR($L2777="",$I2777="",$I2777=0),"",$L2777/$I2777)</f>
        <v/>
      </c>
      <c r="O2777" s="51"/>
    </row>
    <row r="2778" customFormat="false" ht="15" hidden="false" customHeight="false" outlineLevel="0" collapsed="false">
      <c r="A2778" s="45"/>
      <c r="B2778" s="37" t="str">
        <f aca="false">IF($A2778="","",WEEKNUM($A2778,2))</f>
        <v/>
      </c>
      <c r="C2778" s="37" t="str">
        <f aca="false">IF($A2778="","",CHOOSE(WEEKDAY($A2778,2),"Seg","Ter","Qua","Qui","Sex","Sáb","Dom"))</f>
        <v/>
      </c>
      <c r="D2778" s="46"/>
      <c r="E2778" s="47"/>
      <c r="F2778" s="47"/>
      <c r="G2778" s="48"/>
      <c r="H2778" s="49"/>
      <c r="I2778" s="50"/>
      <c r="J2778" s="48"/>
      <c r="K2778" s="49"/>
      <c r="L2778" s="50"/>
      <c r="M2778" s="43" t="str">
        <f aca="false">IF(OR($L2778="",$F2778=""),"",IFERROR($L2778/INDEX(Cadastro!$E$6:$E$8,MATCH($F2778,Cadastro!$B$6:$B$8,0)),""))</f>
        <v/>
      </c>
      <c r="N2778" s="43" t="str">
        <f aca="false">IF(OR($L2778="",$I2778="",$I2778=0),"",$L2778/$I2778)</f>
        <v/>
      </c>
      <c r="O2778" s="51"/>
    </row>
    <row r="2779" customFormat="false" ht="15" hidden="false" customHeight="false" outlineLevel="0" collapsed="false">
      <c r="A2779" s="45"/>
      <c r="B2779" s="37" t="str">
        <f aca="false">IF($A2779="","",WEEKNUM($A2779,2))</f>
        <v/>
      </c>
      <c r="C2779" s="37" t="str">
        <f aca="false">IF($A2779="","",CHOOSE(WEEKDAY($A2779,2),"Seg","Ter","Qua","Qui","Sex","Sáb","Dom"))</f>
        <v/>
      </c>
      <c r="D2779" s="46"/>
      <c r="E2779" s="47"/>
      <c r="F2779" s="47"/>
      <c r="G2779" s="48"/>
      <c r="H2779" s="49"/>
      <c r="I2779" s="50"/>
      <c r="J2779" s="48"/>
      <c r="K2779" s="49"/>
      <c r="L2779" s="50"/>
      <c r="M2779" s="43" t="str">
        <f aca="false">IF(OR($L2779="",$F2779=""),"",IFERROR($L2779/INDEX(Cadastro!$E$6:$E$8,MATCH($F2779,Cadastro!$B$6:$B$8,0)),""))</f>
        <v/>
      </c>
      <c r="N2779" s="43" t="str">
        <f aca="false">IF(OR($L2779="",$I2779="",$I2779=0),"",$L2779/$I2779)</f>
        <v/>
      </c>
      <c r="O2779" s="51"/>
    </row>
    <row r="2780" customFormat="false" ht="15" hidden="false" customHeight="false" outlineLevel="0" collapsed="false">
      <c r="A2780" s="45"/>
      <c r="B2780" s="37" t="str">
        <f aca="false">IF($A2780="","",WEEKNUM($A2780,2))</f>
        <v/>
      </c>
      <c r="C2780" s="37" t="str">
        <f aca="false">IF($A2780="","",CHOOSE(WEEKDAY($A2780,2),"Seg","Ter","Qua","Qui","Sex","Sáb","Dom"))</f>
        <v/>
      </c>
      <c r="D2780" s="46"/>
      <c r="E2780" s="47"/>
      <c r="F2780" s="47"/>
      <c r="G2780" s="48"/>
      <c r="H2780" s="49"/>
      <c r="I2780" s="50"/>
      <c r="J2780" s="48"/>
      <c r="K2780" s="49"/>
      <c r="L2780" s="50"/>
      <c r="M2780" s="43" t="str">
        <f aca="false">IF(OR($L2780="",$F2780=""),"",IFERROR($L2780/INDEX(Cadastro!$E$6:$E$8,MATCH($F2780,Cadastro!$B$6:$B$8,0)),""))</f>
        <v/>
      </c>
      <c r="N2780" s="43" t="str">
        <f aca="false">IF(OR($L2780="",$I2780="",$I2780=0),"",$L2780/$I2780)</f>
        <v/>
      </c>
      <c r="O2780" s="51"/>
    </row>
    <row r="2781" customFormat="false" ht="15" hidden="false" customHeight="false" outlineLevel="0" collapsed="false">
      <c r="A2781" s="45"/>
      <c r="B2781" s="37" t="str">
        <f aca="false">IF($A2781="","",WEEKNUM($A2781,2))</f>
        <v/>
      </c>
      <c r="C2781" s="37" t="str">
        <f aca="false">IF($A2781="","",CHOOSE(WEEKDAY($A2781,2),"Seg","Ter","Qua","Qui","Sex","Sáb","Dom"))</f>
        <v/>
      </c>
      <c r="D2781" s="46"/>
      <c r="E2781" s="47"/>
      <c r="F2781" s="47"/>
      <c r="G2781" s="48"/>
      <c r="H2781" s="49"/>
      <c r="I2781" s="50"/>
      <c r="J2781" s="48"/>
      <c r="K2781" s="49"/>
      <c r="L2781" s="50"/>
      <c r="M2781" s="43" t="str">
        <f aca="false">IF(OR($L2781="",$F2781=""),"",IFERROR($L2781/INDEX(Cadastro!$E$6:$E$8,MATCH($F2781,Cadastro!$B$6:$B$8,0)),""))</f>
        <v/>
      </c>
      <c r="N2781" s="43" t="str">
        <f aca="false">IF(OR($L2781="",$I2781="",$I2781=0),"",$L2781/$I2781)</f>
        <v/>
      </c>
      <c r="O2781" s="51"/>
    </row>
    <row r="2782" customFormat="false" ht="15" hidden="false" customHeight="false" outlineLevel="0" collapsed="false">
      <c r="A2782" s="45"/>
      <c r="B2782" s="37" t="str">
        <f aca="false">IF($A2782="","",WEEKNUM($A2782,2))</f>
        <v/>
      </c>
      <c r="C2782" s="37" t="str">
        <f aca="false">IF($A2782="","",CHOOSE(WEEKDAY($A2782,2),"Seg","Ter","Qua","Qui","Sex","Sáb","Dom"))</f>
        <v/>
      </c>
      <c r="D2782" s="46"/>
      <c r="E2782" s="47"/>
      <c r="F2782" s="47"/>
      <c r="G2782" s="48"/>
      <c r="H2782" s="49"/>
      <c r="I2782" s="50"/>
      <c r="J2782" s="48"/>
      <c r="K2782" s="49"/>
      <c r="L2782" s="50"/>
      <c r="M2782" s="43" t="str">
        <f aca="false">IF(OR($L2782="",$F2782=""),"",IFERROR($L2782/INDEX(Cadastro!$E$6:$E$8,MATCH($F2782,Cadastro!$B$6:$B$8,0)),""))</f>
        <v/>
      </c>
      <c r="N2782" s="43" t="str">
        <f aca="false">IF(OR($L2782="",$I2782="",$I2782=0),"",$L2782/$I2782)</f>
        <v/>
      </c>
      <c r="O2782" s="51"/>
    </row>
    <row r="2783" customFormat="false" ht="15" hidden="false" customHeight="false" outlineLevel="0" collapsed="false">
      <c r="A2783" s="45"/>
      <c r="B2783" s="37" t="str">
        <f aca="false">IF($A2783="","",WEEKNUM($A2783,2))</f>
        <v/>
      </c>
      <c r="C2783" s="37" t="str">
        <f aca="false">IF($A2783="","",CHOOSE(WEEKDAY($A2783,2),"Seg","Ter","Qua","Qui","Sex","Sáb","Dom"))</f>
        <v/>
      </c>
      <c r="D2783" s="46"/>
      <c r="E2783" s="47"/>
      <c r="F2783" s="47"/>
      <c r="G2783" s="48"/>
      <c r="H2783" s="49"/>
      <c r="I2783" s="50"/>
      <c r="J2783" s="48"/>
      <c r="K2783" s="49"/>
      <c r="L2783" s="50"/>
      <c r="M2783" s="43" t="str">
        <f aca="false">IF(OR($L2783="",$F2783=""),"",IFERROR($L2783/INDEX(Cadastro!$E$6:$E$8,MATCH($F2783,Cadastro!$B$6:$B$8,0)),""))</f>
        <v/>
      </c>
      <c r="N2783" s="43" t="str">
        <f aca="false">IF(OR($L2783="",$I2783="",$I2783=0),"",$L2783/$I2783)</f>
        <v/>
      </c>
      <c r="O2783" s="51"/>
    </row>
    <row r="2784" customFormat="false" ht="15" hidden="false" customHeight="false" outlineLevel="0" collapsed="false">
      <c r="A2784" s="45"/>
      <c r="B2784" s="37" t="str">
        <f aca="false">IF($A2784="","",WEEKNUM($A2784,2))</f>
        <v/>
      </c>
      <c r="C2784" s="37" t="str">
        <f aca="false">IF($A2784="","",CHOOSE(WEEKDAY($A2784,2),"Seg","Ter","Qua","Qui","Sex","Sáb","Dom"))</f>
        <v/>
      </c>
      <c r="D2784" s="46"/>
      <c r="E2784" s="47"/>
      <c r="F2784" s="47"/>
      <c r="G2784" s="48"/>
      <c r="H2784" s="49"/>
      <c r="I2784" s="50"/>
      <c r="J2784" s="48"/>
      <c r="K2784" s="49"/>
      <c r="L2784" s="50"/>
      <c r="M2784" s="43" t="str">
        <f aca="false">IF(OR($L2784="",$F2784=""),"",IFERROR($L2784/INDEX(Cadastro!$E$6:$E$8,MATCH($F2784,Cadastro!$B$6:$B$8,0)),""))</f>
        <v/>
      </c>
      <c r="N2784" s="43" t="str">
        <f aca="false">IF(OR($L2784="",$I2784="",$I2784=0),"",$L2784/$I2784)</f>
        <v/>
      </c>
      <c r="O2784" s="51"/>
    </row>
    <row r="2785" customFormat="false" ht="15" hidden="false" customHeight="false" outlineLevel="0" collapsed="false">
      <c r="A2785" s="45"/>
      <c r="B2785" s="37" t="str">
        <f aca="false">IF($A2785="","",WEEKNUM($A2785,2))</f>
        <v/>
      </c>
      <c r="C2785" s="37" t="str">
        <f aca="false">IF($A2785="","",CHOOSE(WEEKDAY($A2785,2),"Seg","Ter","Qua","Qui","Sex","Sáb","Dom"))</f>
        <v/>
      </c>
      <c r="D2785" s="46"/>
      <c r="E2785" s="47"/>
      <c r="F2785" s="47"/>
      <c r="G2785" s="48"/>
      <c r="H2785" s="49"/>
      <c r="I2785" s="50"/>
      <c r="J2785" s="48"/>
      <c r="K2785" s="49"/>
      <c r="L2785" s="50"/>
      <c r="M2785" s="43" t="str">
        <f aca="false">IF(OR($L2785="",$F2785=""),"",IFERROR($L2785/INDEX(Cadastro!$E$6:$E$8,MATCH($F2785,Cadastro!$B$6:$B$8,0)),""))</f>
        <v/>
      </c>
      <c r="N2785" s="43" t="str">
        <f aca="false">IF(OR($L2785="",$I2785="",$I2785=0),"",$L2785/$I2785)</f>
        <v/>
      </c>
      <c r="O2785" s="51"/>
    </row>
    <row r="2786" customFormat="false" ht="15" hidden="false" customHeight="false" outlineLevel="0" collapsed="false">
      <c r="A2786" s="45"/>
      <c r="B2786" s="37" t="str">
        <f aca="false">IF($A2786="","",WEEKNUM($A2786,2))</f>
        <v/>
      </c>
      <c r="C2786" s="37" t="str">
        <f aca="false">IF($A2786="","",CHOOSE(WEEKDAY($A2786,2),"Seg","Ter","Qua","Qui","Sex","Sáb","Dom"))</f>
        <v/>
      </c>
      <c r="D2786" s="46"/>
      <c r="E2786" s="47"/>
      <c r="F2786" s="47"/>
      <c r="G2786" s="48"/>
      <c r="H2786" s="49"/>
      <c r="I2786" s="50"/>
      <c r="J2786" s="48"/>
      <c r="K2786" s="49"/>
      <c r="L2786" s="50"/>
      <c r="M2786" s="43" t="str">
        <f aca="false">IF(OR($L2786="",$F2786=""),"",IFERROR($L2786/INDEX(Cadastro!$E$6:$E$8,MATCH($F2786,Cadastro!$B$6:$B$8,0)),""))</f>
        <v/>
      </c>
      <c r="N2786" s="43" t="str">
        <f aca="false">IF(OR($L2786="",$I2786="",$I2786=0),"",$L2786/$I2786)</f>
        <v/>
      </c>
      <c r="O2786" s="51"/>
    </row>
    <row r="2787" customFormat="false" ht="15" hidden="false" customHeight="false" outlineLevel="0" collapsed="false">
      <c r="A2787" s="45"/>
      <c r="B2787" s="37" t="str">
        <f aca="false">IF($A2787="","",WEEKNUM($A2787,2))</f>
        <v/>
      </c>
      <c r="C2787" s="37" t="str">
        <f aca="false">IF($A2787="","",CHOOSE(WEEKDAY($A2787,2),"Seg","Ter","Qua","Qui","Sex","Sáb","Dom"))</f>
        <v/>
      </c>
      <c r="D2787" s="46"/>
      <c r="E2787" s="47"/>
      <c r="F2787" s="47"/>
      <c r="G2787" s="48"/>
      <c r="H2787" s="49"/>
      <c r="I2787" s="50"/>
      <c r="J2787" s="48"/>
      <c r="K2787" s="49"/>
      <c r="L2787" s="50"/>
      <c r="M2787" s="43" t="str">
        <f aca="false">IF(OR($L2787="",$F2787=""),"",IFERROR($L2787/INDEX(Cadastro!$E$6:$E$8,MATCH($F2787,Cadastro!$B$6:$B$8,0)),""))</f>
        <v/>
      </c>
      <c r="N2787" s="43" t="str">
        <f aca="false">IF(OR($L2787="",$I2787="",$I2787=0),"",$L2787/$I2787)</f>
        <v/>
      </c>
      <c r="O2787" s="51"/>
    </row>
    <row r="2788" customFormat="false" ht="15" hidden="false" customHeight="false" outlineLevel="0" collapsed="false">
      <c r="A2788" s="45"/>
      <c r="B2788" s="37" t="str">
        <f aca="false">IF($A2788="","",WEEKNUM($A2788,2))</f>
        <v/>
      </c>
      <c r="C2788" s="37" t="str">
        <f aca="false">IF($A2788="","",CHOOSE(WEEKDAY($A2788,2),"Seg","Ter","Qua","Qui","Sex","Sáb","Dom"))</f>
        <v/>
      </c>
      <c r="D2788" s="46"/>
      <c r="E2788" s="47"/>
      <c r="F2788" s="47"/>
      <c r="G2788" s="48"/>
      <c r="H2788" s="49"/>
      <c r="I2788" s="50"/>
      <c r="J2788" s="48"/>
      <c r="K2788" s="49"/>
      <c r="L2788" s="50"/>
      <c r="M2788" s="43" t="str">
        <f aca="false">IF(OR($L2788="",$F2788=""),"",IFERROR($L2788/INDEX(Cadastro!$E$6:$E$8,MATCH($F2788,Cadastro!$B$6:$B$8,0)),""))</f>
        <v/>
      </c>
      <c r="N2788" s="43" t="str">
        <f aca="false">IF(OR($L2788="",$I2788="",$I2788=0),"",$L2788/$I2788)</f>
        <v/>
      </c>
      <c r="O2788" s="51"/>
    </row>
    <row r="2789" customFormat="false" ht="15" hidden="false" customHeight="false" outlineLevel="0" collapsed="false">
      <c r="A2789" s="45"/>
      <c r="B2789" s="37" t="str">
        <f aca="false">IF($A2789="","",WEEKNUM($A2789,2))</f>
        <v/>
      </c>
      <c r="C2789" s="37" t="str">
        <f aca="false">IF($A2789="","",CHOOSE(WEEKDAY($A2789,2),"Seg","Ter","Qua","Qui","Sex","Sáb","Dom"))</f>
        <v/>
      </c>
      <c r="D2789" s="46"/>
      <c r="E2789" s="47"/>
      <c r="F2789" s="47"/>
      <c r="G2789" s="48"/>
      <c r="H2789" s="49"/>
      <c r="I2789" s="50"/>
      <c r="J2789" s="48"/>
      <c r="K2789" s="49"/>
      <c r="L2789" s="50"/>
      <c r="M2789" s="43" t="str">
        <f aca="false">IF(OR($L2789="",$F2789=""),"",IFERROR($L2789/INDEX(Cadastro!$E$6:$E$8,MATCH($F2789,Cadastro!$B$6:$B$8,0)),""))</f>
        <v/>
      </c>
      <c r="N2789" s="43" t="str">
        <f aca="false">IF(OR($L2789="",$I2789="",$I2789=0),"",$L2789/$I2789)</f>
        <v/>
      </c>
      <c r="O2789" s="51"/>
    </row>
    <row r="2790" customFormat="false" ht="15" hidden="false" customHeight="false" outlineLevel="0" collapsed="false">
      <c r="A2790" s="45"/>
      <c r="B2790" s="37" t="str">
        <f aca="false">IF($A2790="","",WEEKNUM($A2790,2))</f>
        <v/>
      </c>
      <c r="C2790" s="37" t="str">
        <f aca="false">IF($A2790="","",CHOOSE(WEEKDAY($A2790,2),"Seg","Ter","Qua","Qui","Sex","Sáb","Dom"))</f>
        <v/>
      </c>
      <c r="D2790" s="46"/>
      <c r="E2790" s="47"/>
      <c r="F2790" s="47"/>
      <c r="G2790" s="48"/>
      <c r="H2790" s="49"/>
      <c r="I2790" s="50"/>
      <c r="J2790" s="48"/>
      <c r="K2790" s="49"/>
      <c r="L2790" s="50"/>
      <c r="M2790" s="43" t="str">
        <f aca="false">IF(OR($L2790="",$F2790=""),"",IFERROR($L2790/INDEX(Cadastro!$E$6:$E$8,MATCH($F2790,Cadastro!$B$6:$B$8,0)),""))</f>
        <v/>
      </c>
      <c r="N2790" s="43" t="str">
        <f aca="false">IF(OR($L2790="",$I2790="",$I2790=0),"",$L2790/$I2790)</f>
        <v/>
      </c>
      <c r="O2790" s="51"/>
    </row>
    <row r="2791" customFormat="false" ht="15" hidden="false" customHeight="false" outlineLevel="0" collapsed="false">
      <c r="A2791" s="45"/>
      <c r="B2791" s="37" t="str">
        <f aca="false">IF($A2791="","",WEEKNUM($A2791,2))</f>
        <v/>
      </c>
      <c r="C2791" s="37" t="str">
        <f aca="false">IF($A2791="","",CHOOSE(WEEKDAY($A2791,2),"Seg","Ter","Qua","Qui","Sex","Sáb","Dom"))</f>
        <v/>
      </c>
      <c r="D2791" s="46"/>
      <c r="E2791" s="47"/>
      <c r="F2791" s="47"/>
      <c r="G2791" s="48"/>
      <c r="H2791" s="49"/>
      <c r="I2791" s="50"/>
      <c r="J2791" s="48"/>
      <c r="K2791" s="49"/>
      <c r="L2791" s="50"/>
      <c r="M2791" s="43" t="str">
        <f aca="false">IF(OR($L2791="",$F2791=""),"",IFERROR($L2791/INDEX(Cadastro!$E$6:$E$8,MATCH($F2791,Cadastro!$B$6:$B$8,0)),""))</f>
        <v/>
      </c>
      <c r="N2791" s="43" t="str">
        <f aca="false">IF(OR($L2791="",$I2791="",$I2791=0),"",$L2791/$I2791)</f>
        <v/>
      </c>
      <c r="O2791" s="51"/>
    </row>
    <row r="2792" customFormat="false" ht="15" hidden="false" customHeight="false" outlineLevel="0" collapsed="false">
      <c r="A2792" s="45"/>
      <c r="B2792" s="37" t="str">
        <f aca="false">IF($A2792="","",WEEKNUM($A2792,2))</f>
        <v/>
      </c>
      <c r="C2792" s="37" t="str">
        <f aca="false">IF($A2792="","",CHOOSE(WEEKDAY($A2792,2),"Seg","Ter","Qua","Qui","Sex","Sáb","Dom"))</f>
        <v/>
      </c>
      <c r="D2792" s="46"/>
      <c r="E2792" s="47"/>
      <c r="F2792" s="47"/>
      <c r="G2792" s="48"/>
      <c r="H2792" s="49"/>
      <c r="I2792" s="50"/>
      <c r="J2792" s="48"/>
      <c r="K2792" s="49"/>
      <c r="L2792" s="50"/>
      <c r="M2792" s="43" t="str">
        <f aca="false">IF(OR($L2792="",$F2792=""),"",IFERROR($L2792/INDEX(Cadastro!$E$6:$E$8,MATCH($F2792,Cadastro!$B$6:$B$8,0)),""))</f>
        <v/>
      </c>
      <c r="N2792" s="43" t="str">
        <f aca="false">IF(OR($L2792="",$I2792="",$I2792=0),"",$L2792/$I2792)</f>
        <v/>
      </c>
      <c r="O2792" s="51"/>
    </row>
    <row r="2793" customFormat="false" ht="15" hidden="false" customHeight="false" outlineLevel="0" collapsed="false">
      <c r="A2793" s="45"/>
      <c r="B2793" s="37" t="str">
        <f aca="false">IF($A2793="","",WEEKNUM($A2793,2))</f>
        <v/>
      </c>
      <c r="C2793" s="37" t="str">
        <f aca="false">IF($A2793="","",CHOOSE(WEEKDAY($A2793,2),"Seg","Ter","Qua","Qui","Sex","Sáb","Dom"))</f>
        <v/>
      </c>
      <c r="D2793" s="46"/>
      <c r="E2793" s="47"/>
      <c r="F2793" s="47"/>
      <c r="G2793" s="48"/>
      <c r="H2793" s="49"/>
      <c r="I2793" s="50"/>
      <c r="J2793" s="48"/>
      <c r="K2793" s="49"/>
      <c r="L2793" s="50"/>
      <c r="M2793" s="43" t="str">
        <f aca="false">IF(OR($L2793="",$F2793=""),"",IFERROR($L2793/INDEX(Cadastro!$E$6:$E$8,MATCH($F2793,Cadastro!$B$6:$B$8,0)),""))</f>
        <v/>
      </c>
      <c r="N2793" s="43" t="str">
        <f aca="false">IF(OR($L2793="",$I2793="",$I2793=0),"",$L2793/$I2793)</f>
        <v/>
      </c>
      <c r="O2793" s="51"/>
    </row>
    <row r="2794" customFormat="false" ht="15" hidden="false" customHeight="false" outlineLevel="0" collapsed="false">
      <c r="A2794" s="45"/>
      <c r="B2794" s="37" t="str">
        <f aca="false">IF($A2794="","",WEEKNUM($A2794,2))</f>
        <v/>
      </c>
      <c r="C2794" s="37" t="str">
        <f aca="false">IF($A2794="","",CHOOSE(WEEKDAY($A2794,2),"Seg","Ter","Qua","Qui","Sex","Sáb","Dom"))</f>
        <v/>
      </c>
      <c r="D2794" s="46"/>
      <c r="E2794" s="47"/>
      <c r="F2794" s="47"/>
      <c r="G2794" s="48"/>
      <c r="H2794" s="49"/>
      <c r="I2794" s="50"/>
      <c r="J2794" s="48"/>
      <c r="K2794" s="49"/>
      <c r="L2794" s="50"/>
      <c r="M2794" s="43" t="str">
        <f aca="false">IF(OR($L2794="",$F2794=""),"",IFERROR($L2794/INDEX(Cadastro!$E$6:$E$8,MATCH($F2794,Cadastro!$B$6:$B$8,0)),""))</f>
        <v/>
      </c>
      <c r="N2794" s="43" t="str">
        <f aca="false">IF(OR($L2794="",$I2794="",$I2794=0),"",$L2794/$I2794)</f>
        <v/>
      </c>
      <c r="O2794" s="51"/>
    </row>
    <row r="2795" customFormat="false" ht="15" hidden="false" customHeight="false" outlineLevel="0" collapsed="false">
      <c r="A2795" s="45"/>
      <c r="B2795" s="37" t="str">
        <f aca="false">IF($A2795="","",WEEKNUM($A2795,2))</f>
        <v/>
      </c>
      <c r="C2795" s="37" t="str">
        <f aca="false">IF($A2795="","",CHOOSE(WEEKDAY($A2795,2),"Seg","Ter","Qua","Qui","Sex","Sáb","Dom"))</f>
        <v/>
      </c>
      <c r="D2795" s="46"/>
      <c r="E2795" s="47"/>
      <c r="F2795" s="47"/>
      <c r="G2795" s="48"/>
      <c r="H2795" s="49"/>
      <c r="I2795" s="50"/>
      <c r="J2795" s="48"/>
      <c r="K2795" s="49"/>
      <c r="L2795" s="50"/>
      <c r="M2795" s="43" t="str">
        <f aca="false">IF(OR($L2795="",$F2795=""),"",IFERROR($L2795/INDEX(Cadastro!$E$6:$E$8,MATCH($F2795,Cadastro!$B$6:$B$8,0)),""))</f>
        <v/>
      </c>
      <c r="N2795" s="43" t="str">
        <f aca="false">IF(OR($L2795="",$I2795="",$I2795=0),"",$L2795/$I2795)</f>
        <v/>
      </c>
      <c r="O2795" s="51"/>
    </row>
    <row r="2796" customFormat="false" ht="15" hidden="false" customHeight="false" outlineLevel="0" collapsed="false">
      <c r="A2796" s="45"/>
      <c r="B2796" s="37" t="str">
        <f aca="false">IF($A2796="","",WEEKNUM($A2796,2))</f>
        <v/>
      </c>
      <c r="C2796" s="37" t="str">
        <f aca="false">IF($A2796="","",CHOOSE(WEEKDAY($A2796,2),"Seg","Ter","Qua","Qui","Sex","Sáb","Dom"))</f>
        <v/>
      </c>
      <c r="D2796" s="46"/>
      <c r="E2796" s="47"/>
      <c r="F2796" s="47"/>
      <c r="G2796" s="48"/>
      <c r="H2796" s="49"/>
      <c r="I2796" s="50"/>
      <c r="J2796" s="48"/>
      <c r="K2796" s="49"/>
      <c r="L2796" s="50"/>
      <c r="M2796" s="43" t="str">
        <f aca="false">IF(OR($L2796="",$F2796=""),"",IFERROR($L2796/INDEX(Cadastro!$E$6:$E$8,MATCH($F2796,Cadastro!$B$6:$B$8,0)),""))</f>
        <v/>
      </c>
      <c r="N2796" s="43" t="str">
        <f aca="false">IF(OR($L2796="",$I2796="",$I2796=0),"",$L2796/$I2796)</f>
        <v/>
      </c>
      <c r="O2796" s="51"/>
    </row>
    <row r="2797" customFormat="false" ht="15" hidden="false" customHeight="false" outlineLevel="0" collapsed="false">
      <c r="A2797" s="45"/>
      <c r="B2797" s="37" t="str">
        <f aca="false">IF($A2797="","",WEEKNUM($A2797,2))</f>
        <v/>
      </c>
      <c r="C2797" s="37" t="str">
        <f aca="false">IF($A2797="","",CHOOSE(WEEKDAY($A2797,2),"Seg","Ter","Qua","Qui","Sex","Sáb","Dom"))</f>
        <v/>
      </c>
      <c r="D2797" s="46"/>
      <c r="E2797" s="47"/>
      <c r="F2797" s="47"/>
      <c r="G2797" s="48"/>
      <c r="H2797" s="49"/>
      <c r="I2797" s="50"/>
      <c r="J2797" s="48"/>
      <c r="K2797" s="49"/>
      <c r="L2797" s="50"/>
      <c r="M2797" s="43" t="str">
        <f aca="false">IF(OR($L2797="",$F2797=""),"",IFERROR($L2797/INDEX(Cadastro!$E$6:$E$8,MATCH($F2797,Cadastro!$B$6:$B$8,0)),""))</f>
        <v/>
      </c>
      <c r="N2797" s="43" t="str">
        <f aca="false">IF(OR($L2797="",$I2797="",$I2797=0),"",$L2797/$I2797)</f>
        <v/>
      </c>
      <c r="O2797" s="51"/>
    </row>
    <row r="2798" customFormat="false" ht="15" hidden="false" customHeight="false" outlineLevel="0" collapsed="false">
      <c r="A2798" s="45"/>
      <c r="B2798" s="37" t="str">
        <f aca="false">IF($A2798="","",WEEKNUM($A2798,2))</f>
        <v/>
      </c>
      <c r="C2798" s="37" t="str">
        <f aca="false">IF($A2798="","",CHOOSE(WEEKDAY($A2798,2),"Seg","Ter","Qua","Qui","Sex","Sáb","Dom"))</f>
        <v/>
      </c>
      <c r="D2798" s="46"/>
      <c r="E2798" s="47"/>
      <c r="F2798" s="47"/>
      <c r="G2798" s="48"/>
      <c r="H2798" s="49"/>
      <c r="I2798" s="50"/>
      <c r="J2798" s="48"/>
      <c r="K2798" s="49"/>
      <c r="L2798" s="50"/>
      <c r="M2798" s="43" t="str">
        <f aca="false">IF(OR($L2798="",$F2798=""),"",IFERROR($L2798/INDEX(Cadastro!$E$6:$E$8,MATCH($F2798,Cadastro!$B$6:$B$8,0)),""))</f>
        <v/>
      </c>
      <c r="N2798" s="43" t="str">
        <f aca="false">IF(OR($L2798="",$I2798="",$I2798=0),"",$L2798/$I2798)</f>
        <v/>
      </c>
      <c r="O2798" s="51"/>
    </row>
    <row r="2799" customFormat="false" ht="15" hidden="false" customHeight="false" outlineLevel="0" collapsed="false">
      <c r="A2799" s="45"/>
      <c r="B2799" s="37" t="str">
        <f aca="false">IF($A2799="","",WEEKNUM($A2799,2))</f>
        <v/>
      </c>
      <c r="C2799" s="37" t="str">
        <f aca="false">IF($A2799="","",CHOOSE(WEEKDAY($A2799,2),"Seg","Ter","Qua","Qui","Sex","Sáb","Dom"))</f>
        <v/>
      </c>
      <c r="D2799" s="46"/>
      <c r="E2799" s="47"/>
      <c r="F2799" s="47"/>
      <c r="G2799" s="48"/>
      <c r="H2799" s="49"/>
      <c r="I2799" s="50"/>
      <c r="J2799" s="48"/>
      <c r="K2799" s="49"/>
      <c r="L2799" s="50"/>
      <c r="M2799" s="43" t="str">
        <f aca="false">IF(OR($L2799="",$F2799=""),"",IFERROR($L2799/INDEX(Cadastro!$E$6:$E$8,MATCH($F2799,Cadastro!$B$6:$B$8,0)),""))</f>
        <v/>
      </c>
      <c r="N2799" s="43" t="str">
        <f aca="false">IF(OR($L2799="",$I2799="",$I2799=0),"",$L2799/$I2799)</f>
        <v/>
      </c>
      <c r="O2799" s="51"/>
    </row>
    <row r="2800" customFormat="false" ht="15" hidden="false" customHeight="false" outlineLevel="0" collapsed="false">
      <c r="A2800" s="45"/>
      <c r="B2800" s="37" t="str">
        <f aca="false">IF($A2800="","",WEEKNUM($A2800,2))</f>
        <v/>
      </c>
      <c r="C2800" s="37" t="str">
        <f aca="false">IF($A2800="","",CHOOSE(WEEKDAY($A2800,2),"Seg","Ter","Qua","Qui","Sex","Sáb","Dom"))</f>
        <v/>
      </c>
      <c r="D2800" s="46"/>
      <c r="E2800" s="47"/>
      <c r="F2800" s="47"/>
      <c r="G2800" s="48"/>
      <c r="H2800" s="49"/>
      <c r="I2800" s="50"/>
      <c r="J2800" s="48"/>
      <c r="K2800" s="49"/>
      <c r="L2800" s="50"/>
      <c r="M2800" s="43" t="str">
        <f aca="false">IF(OR($L2800="",$F2800=""),"",IFERROR($L2800/INDEX(Cadastro!$E$6:$E$8,MATCH($F2800,Cadastro!$B$6:$B$8,0)),""))</f>
        <v/>
      </c>
      <c r="N2800" s="43" t="str">
        <f aca="false">IF(OR($L2800="",$I2800="",$I2800=0),"",$L2800/$I2800)</f>
        <v/>
      </c>
      <c r="O2800" s="51"/>
    </row>
    <row r="2801" customFormat="false" ht="15" hidden="false" customHeight="false" outlineLevel="0" collapsed="false">
      <c r="A2801" s="45"/>
      <c r="B2801" s="37" t="str">
        <f aca="false">IF($A2801="","",WEEKNUM($A2801,2))</f>
        <v/>
      </c>
      <c r="C2801" s="37" t="str">
        <f aca="false">IF($A2801="","",CHOOSE(WEEKDAY($A2801,2),"Seg","Ter","Qua","Qui","Sex","Sáb","Dom"))</f>
        <v/>
      </c>
      <c r="D2801" s="46"/>
      <c r="E2801" s="47"/>
      <c r="F2801" s="47"/>
      <c r="G2801" s="48"/>
      <c r="H2801" s="49"/>
      <c r="I2801" s="50"/>
      <c r="J2801" s="48"/>
      <c r="K2801" s="49"/>
      <c r="L2801" s="50"/>
      <c r="M2801" s="43" t="str">
        <f aca="false">IF(OR($L2801="",$F2801=""),"",IFERROR($L2801/INDEX(Cadastro!$E$6:$E$8,MATCH($F2801,Cadastro!$B$6:$B$8,0)),""))</f>
        <v/>
      </c>
      <c r="N2801" s="43" t="str">
        <f aca="false">IF(OR($L2801="",$I2801="",$I2801=0),"",$L2801/$I2801)</f>
        <v/>
      </c>
      <c r="O2801" s="51"/>
    </row>
    <row r="2802" customFormat="false" ht="15" hidden="false" customHeight="false" outlineLevel="0" collapsed="false">
      <c r="A2802" s="45"/>
      <c r="B2802" s="37" t="str">
        <f aca="false">IF($A2802="","",WEEKNUM($A2802,2))</f>
        <v/>
      </c>
      <c r="C2802" s="37" t="str">
        <f aca="false">IF($A2802="","",CHOOSE(WEEKDAY($A2802,2),"Seg","Ter","Qua","Qui","Sex","Sáb","Dom"))</f>
        <v/>
      </c>
      <c r="D2802" s="46"/>
      <c r="E2802" s="47"/>
      <c r="F2802" s="47"/>
      <c r="G2802" s="48"/>
      <c r="H2802" s="49"/>
      <c r="I2802" s="50"/>
      <c r="J2802" s="48"/>
      <c r="K2802" s="49"/>
      <c r="L2802" s="50"/>
      <c r="M2802" s="43" t="str">
        <f aca="false">IF(OR($L2802="",$F2802=""),"",IFERROR($L2802/INDEX(Cadastro!$E$6:$E$8,MATCH($F2802,Cadastro!$B$6:$B$8,0)),""))</f>
        <v/>
      </c>
      <c r="N2802" s="43" t="str">
        <f aca="false">IF(OR($L2802="",$I2802="",$I2802=0),"",$L2802/$I2802)</f>
        <v/>
      </c>
      <c r="O2802" s="51"/>
    </row>
    <row r="2803" customFormat="false" ht="15" hidden="false" customHeight="false" outlineLevel="0" collapsed="false">
      <c r="A2803" s="45"/>
      <c r="B2803" s="37" t="str">
        <f aca="false">IF($A2803="","",WEEKNUM($A2803,2))</f>
        <v/>
      </c>
      <c r="C2803" s="37" t="str">
        <f aca="false">IF($A2803="","",CHOOSE(WEEKDAY($A2803,2),"Seg","Ter","Qua","Qui","Sex","Sáb","Dom"))</f>
        <v/>
      </c>
      <c r="D2803" s="46"/>
      <c r="E2803" s="47"/>
      <c r="F2803" s="47"/>
      <c r="G2803" s="48"/>
      <c r="H2803" s="49"/>
      <c r="I2803" s="50"/>
      <c r="J2803" s="48"/>
      <c r="K2803" s="49"/>
      <c r="L2803" s="50"/>
      <c r="M2803" s="43" t="str">
        <f aca="false">IF(OR($L2803="",$F2803=""),"",IFERROR($L2803/INDEX(Cadastro!$E$6:$E$8,MATCH($F2803,Cadastro!$B$6:$B$8,0)),""))</f>
        <v/>
      </c>
      <c r="N2803" s="43" t="str">
        <f aca="false">IF(OR($L2803="",$I2803="",$I2803=0),"",$L2803/$I2803)</f>
        <v/>
      </c>
      <c r="O2803" s="51"/>
    </row>
    <row r="2804" customFormat="false" ht="15" hidden="false" customHeight="false" outlineLevel="0" collapsed="false">
      <c r="A2804" s="45"/>
      <c r="B2804" s="37" t="str">
        <f aca="false">IF($A2804="","",WEEKNUM($A2804,2))</f>
        <v/>
      </c>
      <c r="C2804" s="37" t="str">
        <f aca="false">IF($A2804="","",CHOOSE(WEEKDAY($A2804,2),"Seg","Ter","Qua","Qui","Sex","Sáb","Dom"))</f>
        <v/>
      </c>
      <c r="D2804" s="46"/>
      <c r="E2804" s="47"/>
      <c r="F2804" s="47"/>
      <c r="G2804" s="48"/>
      <c r="H2804" s="49"/>
      <c r="I2804" s="50"/>
      <c r="J2804" s="48"/>
      <c r="K2804" s="49"/>
      <c r="L2804" s="50"/>
      <c r="M2804" s="43" t="str">
        <f aca="false">IF(OR($L2804="",$F2804=""),"",IFERROR($L2804/INDEX(Cadastro!$E$6:$E$8,MATCH($F2804,Cadastro!$B$6:$B$8,0)),""))</f>
        <v/>
      </c>
      <c r="N2804" s="43" t="str">
        <f aca="false">IF(OR($L2804="",$I2804="",$I2804=0),"",$L2804/$I2804)</f>
        <v/>
      </c>
      <c r="O2804" s="51"/>
    </row>
    <row r="2805" customFormat="false" ht="15" hidden="false" customHeight="false" outlineLevel="0" collapsed="false">
      <c r="A2805" s="45"/>
      <c r="B2805" s="37" t="str">
        <f aca="false">IF($A2805="","",WEEKNUM($A2805,2))</f>
        <v/>
      </c>
      <c r="C2805" s="37" t="str">
        <f aca="false">IF($A2805="","",CHOOSE(WEEKDAY($A2805,2),"Seg","Ter","Qua","Qui","Sex","Sáb","Dom"))</f>
        <v/>
      </c>
      <c r="D2805" s="46"/>
      <c r="E2805" s="47"/>
      <c r="F2805" s="47"/>
      <c r="G2805" s="48"/>
      <c r="H2805" s="49"/>
      <c r="I2805" s="50"/>
      <c r="J2805" s="48"/>
      <c r="K2805" s="49"/>
      <c r="L2805" s="50"/>
      <c r="M2805" s="43" t="str">
        <f aca="false">IF(OR($L2805="",$F2805=""),"",IFERROR($L2805/INDEX(Cadastro!$E$6:$E$8,MATCH($F2805,Cadastro!$B$6:$B$8,0)),""))</f>
        <v/>
      </c>
      <c r="N2805" s="43" t="str">
        <f aca="false">IF(OR($L2805="",$I2805="",$I2805=0),"",$L2805/$I2805)</f>
        <v/>
      </c>
      <c r="O2805" s="51"/>
    </row>
    <row r="2806" customFormat="false" ht="15" hidden="false" customHeight="false" outlineLevel="0" collapsed="false">
      <c r="A2806" s="45"/>
      <c r="B2806" s="37" t="str">
        <f aca="false">IF($A2806="","",WEEKNUM($A2806,2))</f>
        <v/>
      </c>
      <c r="C2806" s="37" t="str">
        <f aca="false">IF($A2806="","",CHOOSE(WEEKDAY($A2806,2),"Seg","Ter","Qua","Qui","Sex","Sáb","Dom"))</f>
        <v/>
      </c>
      <c r="D2806" s="46"/>
      <c r="E2806" s="47"/>
      <c r="F2806" s="47"/>
      <c r="G2806" s="48"/>
      <c r="H2806" s="49"/>
      <c r="I2806" s="50"/>
      <c r="J2806" s="48"/>
      <c r="K2806" s="49"/>
      <c r="L2806" s="50"/>
      <c r="M2806" s="43" t="str">
        <f aca="false">IF(OR($L2806="",$F2806=""),"",IFERROR($L2806/INDEX(Cadastro!$E$6:$E$8,MATCH($F2806,Cadastro!$B$6:$B$8,0)),""))</f>
        <v/>
      </c>
      <c r="N2806" s="43" t="str">
        <f aca="false">IF(OR($L2806="",$I2806="",$I2806=0),"",$L2806/$I2806)</f>
        <v/>
      </c>
      <c r="O2806" s="51"/>
    </row>
    <row r="2807" customFormat="false" ht="15" hidden="false" customHeight="false" outlineLevel="0" collapsed="false">
      <c r="A2807" s="45"/>
      <c r="B2807" s="37" t="str">
        <f aca="false">IF($A2807="","",WEEKNUM($A2807,2))</f>
        <v/>
      </c>
      <c r="C2807" s="37" t="str">
        <f aca="false">IF($A2807="","",CHOOSE(WEEKDAY($A2807,2),"Seg","Ter","Qua","Qui","Sex","Sáb","Dom"))</f>
        <v/>
      </c>
      <c r="D2807" s="46"/>
      <c r="E2807" s="47"/>
      <c r="F2807" s="47"/>
      <c r="G2807" s="48"/>
      <c r="H2807" s="49"/>
      <c r="I2807" s="50"/>
      <c r="J2807" s="48"/>
      <c r="K2807" s="49"/>
      <c r="L2807" s="50"/>
      <c r="M2807" s="43" t="str">
        <f aca="false">IF(OR($L2807="",$F2807=""),"",IFERROR($L2807/INDEX(Cadastro!$E$6:$E$8,MATCH($F2807,Cadastro!$B$6:$B$8,0)),""))</f>
        <v/>
      </c>
      <c r="N2807" s="43" t="str">
        <f aca="false">IF(OR($L2807="",$I2807="",$I2807=0),"",$L2807/$I2807)</f>
        <v/>
      </c>
      <c r="O2807" s="51"/>
    </row>
    <row r="2808" customFormat="false" ht="15" hidden="false" customHeight="false" outlineLevel="0" collapsed="false">
      <c r="A2808" s="45"/>
      <c r="B2808" s="37" t="str">
        <f aca="false">IF($A2808="","",WEEKNUM($A2808,2))</f>
        <v/>
      </c>
      <c r="C2808" s="37" t="str">
        <f aca="false">IF($A2808="","",CHOOSE(WEEKDAY($A2808,2),"Seg","Ter","Qua","Qui","Sex","Sáb","Dom"))</f>
        <v/>
      </c>
      <c r="D2808" s="46"/>
      <c r="E2808" s="47"/>
      <c r="F2808" s="47"/>
      <c r="G2808" s="48"/>
      <c r="H2808" s="49"/>
      <c r="I2808" s="50"/>
      <c r="J2808" s="48"/>
      <c r="K2808" s="49"/>
      <c r="L2808" s="50"/>
      <c r="M2808" s="43" t="str">
        <f aca="false">IF(OR($L2808="",$F2808=""),"",IFERROR($L2808/INDEX(Cadastro!$E$6:$E$8,MATCH($F2808,Cadastro!$B$6:$B$8,0)),""))</f>
        <v/>
      </c>
      <c r="N2808" s="43" t="str">
        <f aca="false">IF(OR($L2808="",$I2808="",$I2808=0),"",$L2808/$I2808)</f>
        <v/>
      </c>
      <c r="O2808" s="51"/>
    </row>
    <row r="2809" customFormat="false" ht="15" hidden="false" customHeight="false" outlineLevel="0" collapsed="false">
      <c r="A2809" s="45"/>
      <c r="B2809" s="37" t="str">
        <f aca="false">IF($A2809="","",WEEKNUM($A2809,2))</f>
        <v/>
      </c>
      <c r="C2809" s="37" t="str">
        <f aca="false">IF($A2809="","",CHOOSE(WEEKDAY($A2809,2),"Seg","Ter","Qua","Qui","Sex","Sáb","Dom"))</f>
        <v/>
      </c>
      <c r="D2809" s="46"/>
      <c r="E2809" s="47"/>
      <c r="F2809" s="47"/>
      <c r="G2809" s="48"/>
      <c r="H2809" s="49"/>
      <c r="I2809" s="50"/>
      <c r="J2809" s="48"/>
      <c r="K2809" s="49"/>
      <c r="L2809" s="50"/>
      <c r="M2809" s="43" t="str">
        <f aca="false">IF(OR($L2809="",$F2809=""),"",IFERROR($L2809/INDEX(Cadastro!$E$6:$E$8,MATCH($F2809,Cadastro!$B$6:$B$8,0)),""))</f>
        <v/>
      </c>
      <c r="N2809" s="43" t="str">
        <f aca="false">IF(OR($L2809="",$I2809="",$I2809=0),"",$L2809/$I2809)</f>
        <v/>
      </c>
      <c r="O2809" s="51"/>
    </row>
    <row r="2810" customFormat="false" ht="15" hidden="false" customHeight="false" outlineLevel="0" collapsed="false">
      <c r="A2810" s="45"/>
      <c r="B2810" s="37" t="str">
        <f aca="false">IF($A2810="","",WEEKNUM($A2810,2))</f>
        <v/>
      </c>
      <c r="C2810" s="37" t="str">
        <f aca="false">IF($A2810="","",CHOOSE(WEEKDAY($A2810,2),"Seg","Ter","Qua","Qui","Sex","Sáb","Dom"))</f>
        <v/>
      </c>
      <c r="D2810" s="46"/>
      <c r="E2810" s="47"/>
      <c r="F2810" s="47"/>
      <c r="G2810" s="48"/>
      <c r="H2810" s="49"/>
      <c r="I2810" s="50"/>
      <c r="J2810" s="48"/>
      <c r="K2810" s="49"/>
      <c r="L2810" s="50"/>
      <c r="M2810" s="43" t="str">
        <f aca="false">IF(OR($L2810="",$F2810=""),"",IFERROR($L2810/INDEX(Cadastro!$E$6:$E$8,MATCH($F2810,Cadastro!$B$6:$B$8,0)),""))</f>
        <v/>
      </c>
      <c r="N2810" s="43" t="str">
        <f aca="false">IF(OR($L2810="",$I2810="",$I2810=0),"",$L2810/$I2810)</f>
        <v/>
      </c>
      <c r="O2810" s="51"/>
    </row>
    <row r="2811" customFormat="false" ht="15" hidden="false" customHeight="false" outlineLevel="0" collapsed="false">
      <c r="A2811" s="45"/>
      <c r="B2811" s="37" t="str">
        <f aca="false">IF($A2811="","",WEEKNUM($A2811,2))</f>
        <v/>
      </c>
      <c r="C2811" s="37" t="str">
        <f aca="false">IF($A2811="","",CHOOSE(WEEKDAY($A2811,2),"Seg","Ter","Qua","Qui","Sex","Sáb","Dom"))</f>
        <v/>
      </c>
      <c r="D2811" s="46"/>
      <c r="E2811" s="47"/>
      <c r="F2811" s="47"/>
      <c r="G2811" s="48"/>
      <c r="H2811" s="49"/>
      <c r="I2811" s="50"/>
      <c r="J2811" s="48"/>
      <c r="K2811" s="49"/>
      <c r="L2811" s="50"/>
      <c r="M2811" s="43" t="str">
        <f aca="false">IF(OR($L2811="",$F2811=""),"",IFERROR($L2811/INDEX(Cadastro!$E$6:$E$8,MATCH($F2811,Cadastro!$B$6:$B$8,0)),""))</f>
        <v/>
      </c>
      <c r="N2811" s="43" t="str">
        <f aca="false">IF(OR($L2811="",$I2811="",$I2811=0),"",$L2811/$I2811)</f>
        <v/>
      </c>
      <c r="O2811" s="51"/>
    </row>
    <row r="2812" customFormat="false" ht="15" hidden="false" customHeight="false" outlineLevel="0" collapsed="false">
      <c r="A2812" s="45"/>
      <c r="B2812" s="37" t="str">
        <f aca="false">IF($A2812="","",WEEKNUM($A2812,2))</f>
        <v/>
      </c>
      <c r="C2812" s="37" t="str">
        <f aca="false">IF($A2812="","",CHOOSE(WEEKDAY($A2812,2),"Seg","Ter","Qua","Qui","Sex","Sáb","Dom"))</f>
        <v/>
      </c>
      <c r="D2812" s="46"/>
      <c r="E2812" s="47"/>
      <c r="F2812" s="47"/>
      <c r="G2812" s="48"/>
      <c r="H2812" s="49"/>
      <c r="I2812" s="50"/>
      <c r="J2812" s="48"/>
      <c r="K2812" s="49"/>
      <c r="L2812" s="50"/>
      <c r="M2812" s="43" t="str">
        <f aca="false">IF(OR($L2812="",$F2812=""),"",IFERROR($L2812/INDEX(Cadastro!$E$6:$E$8,MATCH($F2812,Cadastro!$B$6:$B$8,0)),""))</f>
        <v/>
      </c>
      <c r="N2812" s="43" t="str">
        <f aca="false">IF(OR($L2812="",$I2812="",$I2812=0),"",$L2812/$I2812)</f>
        <v/>
      </c>
      <c r="O2812" s="51"/>
    </row>
    <row r="2813" customFormat="false" ht="15" hidden="false" customHeight="false" outlineLevel="0" collapsed="false">
      <c r="A2813" s="45"/>
      <c r="B2813" s="37" t="str">
        <f aca="false">IF($A2813="","",WEEKNUM($A2813,2))</f>
        <v/>
      </c>
      <c r="C2813" s="37" t="str">
        <f aca="false">IF($A2813="","",CHOOSE(WEEKDAY($A2813,2),"Seg","Ter","Qua","Qui","Sex","Sáb","Dom"))</f>
        <v/>
      </c>
      <c r="D2813" s="46"/>
      <c r="E2813" s="47"/>
      <c r="F2813" s="47"/>
      <c r="G2813" s="48"/>
      <c r="H2813" s="49"/>
      <c r="I2813" s="50"/>
      <c r="J2813" s="48"/>
      <c r="K2813" s="49"/>
      <c r="L2813" s="50"/>
      <c r="M2813" s="43" t="str">
        <f aca="false">IF(OR($L2813="",$F2813=""),"",IFERROR($L2813/INDEX(Cadastro!$E$6:$E$8,MATCH($F2813,Cadastro!$B$6:$B$8,0)),""))</f>
        <v/>
      </c>
      <c r="N2813" s="43" t="str">
        <f aca="false">IF(OR($L2813="",$I2813="",$I2813=0),"",$L2813/$I2813)</f>
        <v/>
      </c>
      <c r="O2813" s="51"/>
    </row>
    <row r="2814" customFormat="false" ht="15" hidden="false" customHeight="false" outlineLevel="0" collapsed="false">
      <c r="A2814" s="45"/>
      <c r="B2814" s="37" t="str">
        <f aca="false">IF($A2814="","",WEEKNUM($A2814,2))</f>
        <v/>
      </c>
      <c r="C2814" s="37" t="str">
        <f aca="false">IF($A2814="","",CHOOSE(WEEKDAY($A2814,2),"Seg","Ter","Qua","Qui","Sex","Sáb","Dom"))</f>
        <v/>
      </c>
      <c r="D2814" s="46"/>
      <c r="E2814" s="47"/>
      <c r="F2814" s="47"/>
      <c r="G2814" s="48"/>
      <c r="H2814" s="49"/>
      <c r="I2814" s="50"/>
      <c r="J2814" s="48"/>
      <c r="K2814" s="49"/>
      <c r="L2814" s="50"/>
      <c r="M2814" s="43" t="str">
        <f aca="false">IF(OR($L2814="",$F2814=""),"",IFERROR($L2814/INDEX(Cadastro!$E$6:$E$8,MATCH($F2814,Cadastro!$B$6:$B$8,0)),""))</f>
        <v/>
      </c>
      <c r="N2814" s="43" t="str">
        <f aca="false">IF(OR($L2814="",$I2814="",$I2814=0),"",$L2814/$I2814)</f>
        <v/>
      </c>
      <c r="O2814" s="51"/>
    </row>
    <row r="2815" customFormat="false" ht="15" hidden="false" customHeight="false" outlineLevel="0" collapsed="false">
      <c r="A2815" s="45"/>
      <c r="B2815" s="37" t="str">
        <f aca="false">IF($A2815="","",WEEKNUM($A2815,2))</f>
        <v/>
      </c>
      <c r="C2815" s="37" t="str">
        <f aca="false">IF($A2815="","",CHOOSE(WEEKDAY($A2815,2),"Seg","Ter","Qua","Qui","Sex","Sáb","Dom"))</f>
        <v/>
      </c>
      <c r="D2815" s="46"/>
      <c r="E2815" s="47"/>
      <c r="F2815" s="47"/>
      <c r="G2815" s="48"/>
      <c r="H2815" s="49"/>
      <c r="I2815" s="50"/>
      <c r="J2815" s="48"/>
      <c r="K2815" s="49"/>
      <c r="L2815" s="50"/>
      <c r="M2815" s="43" t="str">
        <f aca="false">IF(OR($L2815="",$F2815=""),"",IFERROR($L2815/INDEX(Cadastro!$E$6:$E$8,MATCH($F2815,Cadastro!$B$6:$B$8,0)),""))</f>
        <v/>
      </c>
      <c r="N2815" s="43" t="str">
        <f aca="false">IF(OR($L2815="",$I2815="",$I2815=0),"",$L2815/$I2815)</f>
        <v/>
      </c>
      <c r="O2815" s="51"/>
    </row>
    <row r="2816" customFormat="false" ht="15" hidden="false" customHeight="false" outlineLevel="0" collapsed="false">
      <c r="A2816" s="45"/>
      <c r="B2816" s="37" t="str">
        <f aca="false">IF($A2816="","",WEEKNUM($A2816,2))</f>
        <v/>
      </c>
      <c r="C2816" s="37" t="str">
        <f aca="false">IF($A2816="","",CHOOSE(WEEKDAY($A2816,2),"Seg","Ter","Qua","Qui","Sex","Sáb","Dom"))</f>
        <v/>
      </c>
      <c r="D2816" s="46"/>
      <c r="E2816" s="47"/>
      <c r="F2816" s="47"/>
      <c r="G2816" s="48"/>
      <c r="H2816" s="49"/>
      <c r="I2816" s="50"/>
      <c r="J2816" s="48"/>
      <c r="K2816" s="49"/>
      <c r="L2816" s="50"/>
      <c r="M2816" s="43" t="str">
        <f aca="false">IF(OR($L2816="",$F2816=""),"",IFERROR($L2816/INDEX(Cadastro!$E$6:$E$8,MATCH($F2816,Cadastro!$B$6:$B$8,0)),""))</f>
        <v/>
      </c>
      <c r="N2816" s="43" t="str">
        <f aca="false">IF(OR($L2816="",$I2816="",$I2816=0),"",$L2816/$I2816)</f>
        <v/>
      </c>
      <c r="O2816" s="51"/>
    </row>
    <row r="2817" customFormat="false" ht="15" hidden="false" customHeight="false" outlineLevel="0" collapsed="false">
      <c r="A2817" s="45"/>
      <c r="B2817" s="37" t="str">
        <f aca="false">IF($A2817="","",WEEKNUM($A2817,2))</f>
        <v/>
      </c>
      <c r="C2817" s="37" t="str">
        <f aca="false">IF($A2817="","",CHOOSE(WEEKDAY($A2817,2),"Seg","Ter","Qua","Qui","Sex","Sáb","Dom"))</f>
        <v/>
      </c>
      <c r="D2817" s="46"/>
      <c r="E2817" s="47"/>
      <c r="F2817" s="47"/>
      <c r="G2817" s="48"/>
      <c r="H2817" s="49"/>
      <c r="I2817" s="50"/>
      <c r="J2817" s="48"/>
      <c r="K2817" s="49"/>
      <c r="L2817" s="50"/>
      <c r="M2817" s="43" t="str">
        <f aca="false">IF(OR($L2817="",$F2817=""),"",IFERROR($L2817/INDEX(Cadastro!$E$6:$E$8,MATCH($F2817,Cadastro!$B$6:$B$8,0)),""))</f>
        <v/>
      </c>
      <c r="N2817" s="43" t="str">
        <f aca="false">IF(OR($L2817="",$I2817="",$I2817=0),"",$L2817/$I2817)</f>
        <v/>
      </c>
      <c r="O2817" s="51"/>
    </row>
    <row r="2818" customFormat="false" ht="15" hidden="false" customHeight="false" outlineLevel="0" collapsed="false">
      <c r="A2818" s="45"/>
      <c r="B2818" s="37" t="str">
        <f aca="false">IF($A2818="","",WEEKNUM($A2818,2))</f>
        <v/>
      </c>
      <c r="C2818" s="37" t="str">
        <f aca="false">IF($A2818="","",CHOOSE(WEEKDAY($A2818,2),"Seg","Ter","Qua","Qui","Sex","Sáb","Dom"))</f>
        <v/>
      </c>
      <c r="D2818" s="46"/>
      <c r="E2818" s="47"/>
      <c r="F2818" s="47"/>
      <c r="G2818" s="48"/>
      <c r="H2818" s="49"/>
      <c r="I2818" s="50"/>
      <c r="J2818" s="48"/>
      <c r="K2818" s="49"/>
      <c r="L2818" s="50"/>
      <c r="M2818" s="43" t="str">
        <f aca="false">IF(OR($L2818="",$F2818=""),"",IFERROR($L2818/INDEX(Cadastro!$E$6:$E$8,MATCH($F2818,Cadastro!$B$6:$B$8,0)),""))</f>
        <v/>
      </c>
      <c r="N2818" s="43" t="str">
        <f aca="false">IF(OR($L2818="",$I2818="",$I2818=0),"",$L2818/$I2818)</f>
        <v/>
      </c>
      <c r="O2818" s="51"/>
    </row>
    <row r="2819" customFormat="false" ht="15" hidden="false" customHeight="false" outlineLevel="0" collapsed="false">
      <c r="A2819" s="45"/>
      <c r="B2819" s="37" t="str">
        <f aca="false">IF($A2819="","",WEEKNUM($A2819,2))</f>
        <v/>
      </c>
      <c r="C2819" s="37" t="str">
        <f aca="false">IF($A2819="","",CHOOSE(WEEKDAY($A2819,2),"Seg","Ter","Qua","Qui","Sex","Sáb","Dom"))</f>
        <v/>
      </c>
      <c r="D2819" s="46"/>
      <c r="E2819" s="47"/>
      <c r="F2819" s="47"/>
      <c r="G2819" s="48"/>
      <c r="H2819" s="49"/>
      <c r="I2819" s="50"/>
      <c r="J2819" s="48"/>
      <c r="K2819" s="49"/>
      <c r="L2819" s="50"/>
      <c r="M2819" s="43" t="str">
        <f aca="false">IF(OR($L2819="",$F2819=""),"",IFERROR($L2819/INDEX(Cadastro!$E$6:$E$8,MATCH($F2819,Cadastro!$B$6:$B$8,0)),""))</f>
        <v/>
      </c>
      <c r="N2819" s="43" t="str">
        <f aca="false">IF(OR($L2819="",$I2819="",$I2819=0),"",$L2819/$I2819)</f>
        <v/>
      </c>
      <c r="O2819" s="51"/>
    </row>
    <row r="2820" customFormat="false" ht="15" hidden="false" customHeight="false" outlineLevel="0" collapsed="false">
      <c r="A2820" s="45"/>
      <c r="B2820" s="37" t="str">
        <f aca="false">IF($A2820="","",WEEKNUM($A2820,2))</f>
        <v/>
      </c>
      <c r="C2820" s="37" t="str">
        <f aca="false">IF($A2820="","",CHOOSE(WEEKDAY($A2820,2),"Seg","Ter","Qua","Qui","Sex","Sáb","Dom"))</f>
        <v/>
      </c>
      <c r="D2820" s="46"/>
      <c r="E2820" s="47"/>
      <c r="F2820" s="47"/>
      <c r="G2820" s="48"/>
      <c r="H2820" s="49"/>
      <c r="I2820" s="50"/>
      <c r="J2820" s="48"/>
      <c r="K2820" s="49"/>
      <c r="L2820" s="50"/>
      <c r="M2820" s="43" t="str">
        <f aca="false">IF(OR($L2820="",$F2820=""),"",IFERROR($L2820/INDEX(Cadastro!$E$6:$E$8,MATCH($F2820,Cadastro!$B$6:$B$8,0)),""))</f>
        <v/>
      </c>
      <c r="N2820" s="43" t="str">
        <f aca="false">IF(OR($L2820="",$I2820="",$I2820=0),"",$L2820/$I2820)</f>
        <v/>
      </c>
      <c r="O2820" s="51"/>
    </row>
    <row r="2821" customFormat="false" ht="15" hidden="false" customHeight="false" outlineLevel="0" collapsed="false">
      <c r="A2821" s="45"/>
      <c r="B2821" s="37" t="str">
        <f aca="false">IF($A2821="","",WEEKNUM($A2821,2))</f>
        <v/>
      </c>
      <c r="C2821" s="37" t="str">
        <f aca="false">IF($A2821="","",CHOOSE(WEEKDAY($A2821,2),"Seg","Ter","Qua","Qui","Sex","Sáb","Dom"))</f>
        <v/>
      </c>
      <c r="D2821" s="46"/>
      <c r="E2821" s="47"/>
      <c r="F2821" s="47"/>
      <c r="G2821" s="48"/>
      <c r="H2821" s="49"/>
      <c r="I2821" s="50"/>
      <c r="J2821" s="48"/>
      <c r="K2821" s="49"/>
      <c r="L2821" s="50"/>
      <c r="M2821" s="43" t="str">
        <f aca="false">IF(OR($L2821="",$F2821=""),"",IFERROR($L2821/INDEX(Cadastro!$E$6:$E$8,MATCH($F2821,Cadastro!$B$6:$B$8,0)),""))</f>
        <v/>
      </c>
      <c r="N2821" s="43" t="str">
        <f aca="false">IF(OR($L2821="",$I2821="",$I2821=0),"",$L2821/$I2821)</f>
        <v/>
      </c>
      <c r="O2821" s="51"/>
    </row>
    <row r="2822" customFormat="false" ht="15" hidden="false" customHeight="false" outlineLevel="0" collapsed="false">
      <c r="A2822" s="45"/>
      <c r="B2822" s="37" t="str">
        <f aca="false">IF($A2822="","",WEEKNUM($A2822,2))</f>
        <v/>
      </c>
      <c r="C2822" s="37" t="str">
        <f aca="false">IF($A2822="","",CHOOSE(WEEKDAY($A2822,2),"Seg","Ter","Qua","Qui","Sex","Sáb","Dom"))</f>
        <v/>
      </c>
      <c r="D2822" s="46"/>
      <c r="E2822" s="47"/>
      <c r="F2822" s="47"/>
      <c r="G2822" s="48"/>
      <c r="H2822" s="49"/>
      <c r="I2822" s="50"/>
      <c r="J2822" s="48"/>
      <c r="K2822" s="49"/>
      <c r="L2822" s="50"/>
      <c r="M2822" s="43" t="str">
        <f aca="false">IF(OR($L2822="",$F2822=""),"",IFERROR($L2822/INDEX(Cadastro!$E$6:$E$8,MATCH($F2822,Cadastro!$B$6:$B$8,0)),""))</f>
        <v/>
      </c>
      <c r="N2822" s="43" t="str">
        <f aca="false">IF(OR($L2822="",$I2822="",$I2822=0),"",$L2822/$I2822)</f>
        <v/>
      </c>
      <c r="O2822" s="51"/>
    </row>
    <row r="2823" customFormat="false" ht="15" hidden="false" customHeight="false" outlineLevel="0" collapsed="false">
      <c r="A2823" s="45"/>
      <c r="B2823" s="37" t="str">
        <f aca="false">IF($A2823="","",WEEKNUM($A2823,2))</f>
        <v/>
      </c>
      <c r="C2823" s="37" t="str">
        <f aca="false">IF($A2823="","",CHOOSE(WEEKDAY($A2823,2),"Seg","Ter","Qua","Qui","Sex","Sáb","Dom"))</f>
        <v/>
      </c>
      <c r="D2823" s="46"/>
      <c r="E2823" s="47"/>
      <c r="F2823" s="47"/>
      <c r="G2823" s="48"/>
      <c r="H2823" s="49"/>
      <c r="I2823" s="50"/>
      <c r="J2823" s="48"/>
      <c r="K2823" s="49"/>
      <c r="L2823" s="50"/>
      <c r="M2823" s="43" t="str">
        <f aca="false">IF(OR($L2823="",$F2823=""),"",IFERROR($L2823/INDEX(Cadastro!$E$6:$E$8,MATCH($F2823,Cadastro!$B$6:$B$8,0)),""))</f>
        <v/>
      </c>
      <c r="N2823" s="43" t="str">
        <f aca="false">IF(OR($L2823="",$I2823="",$I2823=0),"",$L2823/$I2823)</f>
        <v/>
      </c>
      <c r="O2823" s="51"/>
    </row>
    <row r="2824" customFormat="false" ht="15" hidden="false" customHeight="false" outlineLevel="0" collapsed="false">
      <c r="A2824" s="45"/>
      <c r="B2824" s="37" t="str">
        <f aca="false">IF($A2824="","",WEEKNUM($A2824,2))</f>
        <v/>
      </c>
      <c r="C2824" s="37" t="str">
        <f aca="false">IF($A2824="","",CHOOSE(WEEKDAY($A2824,2),"Seg","Ter","Qua","Qui","Sex","Sáb","Dom"))</f>
        <v/>
      </c>
      <c r="D2824" s="46"/>
      <c r="E2824" s="47"/>
      <c r="F2824" s="47"/>
      <c r="G2824" s="48"/>
      <c r="H2824" s="49"/>
      <c r="I2824" s="50"/>
      <c r="J2824" s="48"/>
      <c r="K2824" s="49"/>
      <c r="L2824" s="50"/>
      <c r="M2824" s="43" t="str">
        <f aca="false">IF(OR($L2824="",$F2824=""),"",IFERROR($L2824/INDEX(Cadastro!$E$6:$E$8,MATCH($F2824,Cadastro!$B$6:$B$8,0)),""))</f>
        <v/>
      </c>
      <c r="N2824" s="43" t="str">
        <f aca="false">IF(OR($L2824="",$I2824="",$I2824=0),"",$L2824/$I2824)</f>
        <v/>
      </c>
      <c r="O2824" s="51"/>
    </row>
    <row r="2825" customFormat="false" ht="15" hidden="false" customHeight="false" outlineLevel="0" collapsed="false">
      <c r="A2825" s="45"/>
      <c r="B2825" s="37" t="str">
        <f aca="false">IF($A2825="","",WEEKNUM($A2825,2))</f>
        <v/>
      </c>
      <c r="C2825" s="37" t="str">
        <f aca="false">IF($A2825="","",CHOOSE(WEEKDAY($A2825,2),"Seg","Ter","Qua","Qui","Sex","Sáb","Dom"))</f>
        <v/>
      </c>
      <c r="D2825" s="46"/>
      <c r="E2825" s="47"/>
      <c r="F2825" s="47"/>
      <c r="G2825" s="48"/>
      <c r="H2825" s="49"/>
      <c r="I2825" s="50"/>
      <c r="J2825" s="48"/>
      <c r="K2825" s="49"/>
      <c r="L2825" s="50"/>
      <c r="M2825" s="43" t="str">
        <f aca="false">IF(OR($L2825="",$F2825=""),"",IFERROR($L2825/INDEX(Cadastro!$E$6:$E$8,MATCH($F2825,Cadastro!$B$6:$B$8,0)),""))</f>
        <v/>
      </c>
      <c r="N2825" s="43" t="str">
        <f aca="false">IF(OR($L2825="",$I2825="",$I2825=0),"",$L2825/$I2825)</f>
        <v/>
      </c>
      <c r="O2825" s="51"/>
    </row>
    <row r="2826" customFormat="false" ht="15" hidden="false" customHeight="false" outlineLevel="0" collapsed="false">
      <c r="A2826" s="45"/>
      <c r="B2826" s="37" t="str">
        <f aca="false">IF($A2826="","",WEEKNUM($A2826,2))</f>
        <v/>
      </c>
      <c r="C2826" s="37" t="str">
        <f aca="false">IF($A2826="","",CHOOSE(WEEKDAY($A2826,2),"Seg","Ter","Qua","Qui","Sex","Sáb","Dom"))</f>
        <v/>
      </c>
      <c r="D2826" s="46"/>
      <c r="E2826" s="47"/>
      <c r="F2826" s="47"/>
      <c r="G2826" s="48"/>
      <c r="H2826" s="49"/>
      <c r="I2826" s="50"/>
      <c r="J2826" s="48"/>
      <c r="K2826" s="49"/>
      <c r="L2826" s="50"/>
      <c r="M2826" s="43" t="str">
        <f aca="false">IF(OR($L2826="",$F2826=""),"",IFERROR($L2826/INDEX(Cadastro!$E$6:$E$8,MATCH($F2826,Cadastro!$B$6:$B$8,0)),""))</f>
        <v/>
      </c>
      <c r="N2826" s="43" t="str">
        <f aca="false">IF(OR($L2826="",$I2826="",$I2826=0),"",$L2826/$I2826)</f>
        <v/>
      </c>
      <c r="O2826" s="51"/>
    </row>
    <row r="2827" customFormat="false" ht="15" hidden="false" customHeight="false" outlineLevel="0" collapsed="false">
      <c r="A2827" s="45"/>
      <c r="B2827" s="37" t="str">
        <f aca="false">IF($A2827="","",WEEKNUM($A2827,2))</f>
        <v/>
      </c>
      <c r="C2827" s="37" t="str">
        <f aca="false">IF($A2827="","",CHOOSE(WEEKDAY($A2827,2),"Seg","Ter","Qua","Qui","Sex","Sáb","Dom"))</f>
        <v/>
      </c>
      <c r="D2827" s="46"/>
      <c r="E2827" s="47"/>
      <c r="F2827" s="47"/>
      <c r="G2827" s="48"/>
      <c r="H2827" s="49"/>
      <c r="I2827" s="50"/>
      <c r="J2827" s="48"/>
      <c r="K2827" s="49"/>
      <c r="L2827" s="50"/>
      <c r="M2827" s="43" t="str">
        <f aca="false">IF(OR($L2827="",$F2827=""),"",IFERROR($L2827/INDEX(Cadastro!$E$6:$E$8,MATCH($F2827,Cadastro!$B$6:$B$8,0)),""))</f>
        <v/>
      </c>
      <c r="N2827" s="43" t="str">
        <f aca="false">IF(OR($L2827="",$I2827="",$I2827=0),"",$L2827/$I2827)</f>
        <v/>
      </c>
      <c r="O2827" s="51"/>
    </row>
    <row r="2828" customFormat="false" ht="15" hidden="false" customHeight="false" outlineLevel="0" collapsed="false">
      <c r="A2828" s="45"/>
      <c r="B2828" s="37" t="str">
        <f aca="false">IF($A2828="","",WEEKNUM($A2828,2))</f>
        <v/>
      </c>
      <c r="C2828" s="37" t="str">
        <f aca="false">IF($A2828="","",CHOOSE(WEEKDAY($A2828,2),"Seg","Ter","Qua","Qui","Sex","Sáb","Dom"))</f>
        <v/>
      </c>
      <c r="D2828" s="46"/>
      <c r="E2828" s="47"/>
      <c r="F2828" s="47"/>
      <c r="G2828" s="48"/>
      <c r="H2828" s="49"/>
      <c r="I2828" s="50"/>
      <c r="J2828" s="48"/>
      <c r="K2828" s="49"/>
      <c r="L2828" s="50"/>
      <c r="M2828" s="43" t="str">
        <f aca="false">IF(OR($L2828="",$F2828=""),"",IFERROR($L2828/INDEX(Cadastro!$E$6:$E$8,MATCH($F2828,Cadastro!$B$6:$B$8,0)),""))</f>
        <v/>
      </c>
      <c r="N2828" s="43" t="str">
        <f aca="false">IF(OR($L2828="",$I2828="",$I2828=0),"",$L2828/$I2828)</f>
        <v/>
      </c>
      <c r="O2828" s="51"/>
    </row>
    <row r="2829" customFormat="false" ht="15" hidden="false" customHeight="false" outlineLevel="0" collapsed="false">
      <c r="A2829" s="45"/>
      <c r="B2829" s="37" t="str">
        <f aca="false">IF($A2829="","",WEEKNUM($A2829,2))</f>
        <v/>
      </c>
      <c r="C2829" s="37" t="str">
        <f aca="false">IF($A2829="","",CHOOSE(WEEKDAY($A2829,2),"Seg","Ter","Qua","Qui","Sex","Sáb","Dom"))</f>
        <v/>
      </c>
      <c r="D2829" s="46"/>
      <c r="E2829" s="47"/>
      <c r="F2829" s="47"/>
      <c r="G2829" s="48"/>
      <c r="H2829" s="49"/>
      <c r="I2829" s="50"/>
      <c r="J2829" s="48"/>
      <c r="K2829" s="49"/>
      <c r="L2829" s="50"/>
      <c r="M2829" s="43" t="str">
        <f aca="false">IF(OR($L2829="",$F2829=""),"",IFERROR($L2829/INDEX(Cadastro!$E$6:$E$8,MATCH($F2829,Cadastro!$B$6:$B$8,0)),""))</f>
        <v/>
      </c>
      <c r="N2829" s="43" t="str">
        <f aca="false">IF(OR($L2829="",$I2829="",$I2829=0),"",$L2829/$I2829)</f>
        <v/>
      </c>
      <c r="O2829" s="51"/>
    </row>
    <row r="2830" customFormat="false" ht="15" hidden="false" customHeight="false" outlineLevel="0" collapsed="false">
      <c r="A2830" s="45"/>
      <c r="B2830" s="37" t="str">
        <f aca="false">IF($A2830="","",WEEKNUM($A2830,2))</f>
        <v/>
      </c>
      <c r="C2830" s="37" t="str">
        <f aca="false">IF($A2830="","",CHOOSE(WEEKDAY($A2830,2),"Seg","Ter","Qua","Qui","Sex","Sáb","Dom"))</f>
        <v/>
      </c>
      <c r="D2830" s="46"/>
      <c r="E2830" s="47"/>
      <c r="F2830" s="47"/>
      <c r="G2830" s="48"/>
      <c r="H2830" s="49"/>
      <c r="I2830" s="50"/>
      <c r="J2830" s="48"/>
      <c r="K2830" s="49"/>
      <c r="L2830" s="50"/>
      <c r="M2830" s="43" t="str">
        <f aca="false">IF(OR($L2830="",$F2830=""),"",IFERROR($L2830/INDEX(Cadastro!$E$6:$E$8,MATCH($F2830,Cadastro!$B$6:$B$8,0)),""))</f>
        <v/>
      </c>
      <c r="N2830" s="43" t="str">
        <f aca="false">IF(OR($L2830="",$I2830="",$I2830=0),"",$L2830/$I2830)</f>
        <v/>
      </c>
      <c r="O2830" s="51"/>
    </row>
    <row r="2831" customFormat="false" ht="15" hidden="false" customHeight="false" outlineLevel="0" collapsed="false">
      <c r="A2831" s="45"/>
      <c r="B2831" s="37" t="str">
        <f aca="false">IF($A2831="","",WEEKNUM($A2831,2))</f>
        <v/>
      </c>
      <c r="C2831" s="37" t="str">
        <f aca="false">IF($A2831="","",CHOOSE(WEEKDAY($A2831,2),"Seg","Ter","Qua","Qui","Sex","Sáb","Dom"))</f>
        <v/>
      </c>
      <c r="D2831" s="46"/>
      <c r="E2831" s="47"/>
      <c r="F2831" s="47"/>
      <c r="G2831" s="48"/>
      <c r="H2831" s="49"/>
      <c r="I2831" s="50"/>
      <c r="J2831" s="48"/>
      <c r="K2831" s="49"/>
      <c r="L2831" s="50"/>
      <c r="M2831" s="43" t="str">
        <f aca="false">IF(OR($L2831="",$F2831=""),"",IFERROR($L2831/INDEX(Cadastro!$E$6:$E$8,MATCH($F2831,Cadastro!$B$6:$B$8,0)),""))</f>
        <v/>
      </c>
      <c r="N2831" s="43" t="str">
        <f aca="false">IF(OR($L2831="",$I2831="",$I2831=0),"",$L2831/$I2831)</f>
        <v/>
      </c>
      <c r="O2831" s="51"/>
    </row>
    <row r="2832" customFormat="false" ht="15" hidden="false" customHeight="false" outlineLevel="0" collapsed="false">
      <c r="A2832" s="45"/>
      <c r="B2832" s="37" t="str">
        <f aca="false">IF($A2832="","",WEEKNUM($A2832,2))</f>
        <v/>
      </c>
      <c r="C2832" s="37" t="str">
        <f aca="false">IF($A2832="","",CHOOSE(WEEKDAY($A2832,2),"Seg","Ter","Qua","Qui","Sex","Sáb","Dom"))</f>
        <v/>
      </c>
      <c r="D2832" s="46"/>
      <c r="E2832" s="47"/>
      <c r="F2832" s="47"/>
      <c r="G2832" s="48"/>
      <c r="H2832" s="49"/>
      <c r="I2832" s="50"/>
      <c r="J2832" s="48"/>
      <c r="K2832" s="49"/>
      <c r="L2832" s="50"/>
      <c r="M2832" s="43" t="str">
        <f aca="false">IF(OR($L2832="",$F2832=""),"",IFERROR($L2832/INDEX(Cadastro!$E$6:$E$8,MATCH($F2832,Cadastro!$B$6:$B$8,0)),""))</f>
        <v/>
      </c>
      <c r="N2832" s="43" t="str">
        <f aca="false">IF(OR($L2832="",$I2832="",$I2832=0),"",$L2832/$I2832)</f>
        <v/>
      </c>
      <c r="O2832" s="51"/>
    </row>
    <row r="2833" customFormat="false" ht="15" hidden="false" customHeight="false" outlineLevel="0" collapsed="false">
      <c r="A2833" s="45"/>
      <c r="B2833" s="37" t="str">
        <f aca="false">IF($A2833="","",WEEKNUM($A2833,2))</f>
        <v/>
      </c>
      <c r="C2833" s="37" t="str">
        <f aca="false">IF($A2833="","",CHOOSE(WEEKDAY($A2833,2),"Seg","Ter","Qua","Qui","Sex","Sáb","Dom"))</f>
        <v/>
      </c>
      <c r="D2833" s="46"/>
      <c r="E2833" s="47"/>
      <c r="F2833" s="47"/>
      <c r="G2833" s="48"/>
      <c r="H2833" s="49"/>
      <c r="I2833" s="50"/>
      <c r="J2833" s="48"/>
      <c r="K2833" s="49"/>
      <c r="L2833" s="50"/>
      <c r="M2833" s="43" t="str">
        <f aca="false">IF(OR($L2833="",$F2833=""),"",IFERROR($L2833/INDEX(Cadastro!$E$6:$E$8,MATCH($F2833,Cadastro!$B$6:$B$8,0)),""))</f>
        <v/>
      </c>
      <c r="N2833" s="43" t="str">
        <f aca="false">IF(OR($L2833="",$I2833="",$I2833=0),"",$L2833/$I2833)</f>
        <v/>
      </c>
      <c r="O2833" s="51"/>
    </row>
    <row r="2834" customFormat="false" ht="15" hidden="false" customHeight="false" outlineLevel="0" collapsed="false">
      <c r="A2834" s="45"/>
      <c r="B2834" s="37" t="str">
        <f aca="false">IF($A2834="","",WEEKNUM($A2834,2))</f>
        <v/>
      </c>
      <c r="C2834" s="37" t="str">
        <f aca="false">IF($A2834="","",CHOOSE(WEEKDAY($A2834,2),"Seg","Ter","Qua","Qui","Sex","Sáb","Dom"))</f>
        <v/>
      </c>
      <c r="D2834" s="46"/>
      <c r="E2834" s="47"/>
      <c r="F2834" s="47"/>
      <c r="G2834" s="48"/>
      <c r="H2834" s="49"/>
      <c r="I2834" s="50"/>
      <c r="J2834" s="48"/>
      <c r="K2834" s="49"/>
      <c r="L2834" s="50"/>
      <c r="M2834" s="43" t="str">
        <f aca="false">IF(OR($L2834="",$F2834=""),"",IFERROR($L2834/INDEX(Cadastro!$E$6:$E$8,MATCH($F2834,Cadastro!$B$6:$B$8,0)),""))</f>
        <v/>
      </c>
      <c r="N2834" s="43" t="str">
        <f aca="false">IF(OR($L2834="",$I2834="",$I2834=0),"",$L2834/$I2834)</f>
        <v/>
      </c>
      <c r="O2834" s="51"/>
    </row>
    <row r="2835" customFormat="false" ht="15" hidden="false" customHeight="false" outlineLevel="0" collapsed="false">
      <c r="A2835" s="45"/>
      <c r="B2835" s="37" t="str">
        <f aca="false">IF($A2835="","",WEEKNUM($A2835,2))</f>
        <v/>
      </c>
      <c r="C2835" s="37" t="str">
        <f aca="false">IF($A2835="","",CHOOSE(WEEKDAY($A2835,2),"Seg","Ter","Qua","Qui","Sex","Sáb","Dom"))</f>
        <v/>
      </c>
      <c r="D2835" s="46"/>
      <c r="E2835" s="47"/>
      <c r="F2835" s="47"/>
      <c r="G2835" s="48"/>
      <c r="H2835" s="49"/>
      <c r="I2835" s="50"/>
      <c r="J2835" s="48"/>
      <c r="K2835" s="49"/>
      <c r="L2835" s="50"/>
      <c r="M2835" s="43" t="str">
        <f aca="false">IF(OR($L2835="",$F2835=""),"",IFERROR($L2835/INDEX(Cadastro!$E$6:$E$8,MATCH($F2835,Cadastro!$B$6:$B$8,0)),""))</f>
        <v/>
      </c>
      <c r="N2835" s="43" t="str">
        <f aca="false">IF(OR($L2835="",$I2835="",$I2835=0),"",$L2835/$I2835)</f>
        <v/>
      </c>
      <c r="O2835" s="51"/>
    </row>
    <row r="2836" customFormat="false" ht="15" hidden="false" customHeight="false" outlineLevel="0" collapsed="false">
      <c r="A2836" s="45"/>
      <c r="B2836" s="37" t="str">
        <f aca="false">IF($A2836="","",WEEKNUM($A2836,2))</f>
        <v/>
      </c>
      <c r="C2836" s="37" t="str">
        <f aca="false">IF($A2836="","",CHOOSE(WEEKDAY($A2836,2),"Seg","Ter","Qua","Qui","Sex","Sáb","Dom"))</f>
        <v/>
      </c>
      <c r="D2836" s="46"/>
      <c r="E2836" s="47"/>
      <c r="F2836" s="47"/>
      <c r="G2836" s="48"/>
      <c r="H2836" s="49"/>
      <c r="I2836" s="50"/>
      <c r="J2836" s="48"/>
      <c r="K2836" s="49"/>
      <c r="L2836" s="50"/>
      <c r="M2836" s="43" t="str">
        <f aca="false">IF(OR($L2836="",$F2836=""),"",IFERROR($L2836/INDEX(Cadastro!$E$6:$E$8,MATCH($F2836,Cadastro!$B$6:$B$8,0)),""))</f>
        <v/>
      </c>
      <c r="N2836" s="43" t="str">
        <f aca="false">IF(OR($L2836="",$I2836="",$I2836=0),"",$L2836/$I2836)</f>
        <v/>
      </c>
      <c r="O2836" s="51"/>
    </row>
    <row r="2837" customFormat="false" ht="15" hidden="false" customHeight="false" outlineLevel="0" collapsed="false">
      <c r="A2837" s="45"/>
      <c r="B2837" s="37" t="str">
        <f aca="false">IF($A2837="","",WEEKNUM($A2837,2))</f>
        <v/>
      </c>
      <c r="C2837" s="37" t="str">
        <f aca="false">IF($A2837="","",CHOOSE(WEEKDAY($A2837,2),"Seg","Ter","Qua","Qui","Sex","Sáb","Dom"))</f>
        <v/>
      </c>
      <c r="D2837" s="46"/>
      <c r="E2837" s="47"/>
      <c r="F2837" s="47"/>
      <c r="G2837" s="48"/>
      <c r="H2837" s="49"/>
      <c r="I2837" s="50"/>
      <c r="J2837" s="48"/>
      <c r="K2837" s="49"/>
      <c r="L2837" s="50"/>
      <c r="M2837" s="43" t="str">
        <f aca="false">IF(OR($L2837="",$F2837=""),"",IFERROR($L2837/INDEX(Cadastro!$E$6:$E$8,MATCH($F2837,Cadastro!$B$6:$B$8,0)),""))</f>
        <v/>
      </c>
      <c r="N2837" s="43" t="str">
        <f aca="false">IF(OR($L2837="",$I2837="",$I2837=0),"",$L2837/$I2837)</f>
        <v/>
      </c>
      <c r="O2837" s="51"/>
    </row>
    <row r="2838" customFormat="false" ht="15" hidden="false" customHeight="false" outlineLevel="0" collapsed="false">
      <c r="A2838" s="45"/>
      <c r="B2838" s="37" t="str">
        <f aca="false">IF($A2838="","",WEEKNUM($A2838,2))</f>
        <v/>
      </c>
      <c r="C2838" s="37" t="str">
        <f aca="false">IF($A2838="","",CHOOSE(WEEKDAY($A2838,2),"Seg","Ter","Qua","Qui","Sex","Sáb","Dom"))</f>
        <v/>
      </c>
      <c r="D2838" s="46"/>
      <c r="E2838" s="47"/>
      <c r="F2838" s="47"/>
      <c r="G2838" s="48"/>
      <c r="H2838" s="49"/>
      <c r="I2838" s="50"/>
      <c r="J2838" s="48"/>
      <c r="K2838" s="49"/>
      <c r="L2838" s="50"/>
      <c r="M2838" s="43" t="str">
        <f aca="false">IF(OR($L2838="",$F2838=""),"",IFERROR($L2838/INDEX(Cadastro!$E$6:$E$8,MATCH($F2838,Cadastro!$B$6:$B$8,0)),""))</f>
        <v/>
      </c>
      <c r="N2838" s="43" t="str">
        <f aca="false">IF(OR($L2838="",$I2838="",$I2838=0),"",$L2838/$I2838)</f>
        <v/>
      </c>
      <c r="O2838" s="51"/>
    </row>
    <row r="2839" customFormat="false" ht="15" hidden="false" customHeight="false" outlineLevel="0" collapsed="false">
      <c r="A2839" s="45"/>
      <c r="B2839" s="37" t="str">
        <f aca="false">IF($A2839="","",WEEKNUM($A2839,2))</f>
        <v/>
      </c>
      <c r="C2839" s="37" t="str">
        <f aca="false">IF($A2839="","",CHOOSE(WEEKDAY($A2839,2),"Seg","Ter","Qua","Qui","Sex","Sáb","Dom"))</f>
        <v/>
      </c>
      <c r="D2839" s="46"/>
      <c r="E2839" s="47"/>
      <c r="F2839" s="47"/>
      <c r="G2839" s="48"/>
      <c r="H2839" s="49"/>
      <c r="I2839" s="50"/>
      <c r="J2839" s="48"/>
      <c r="K2839" s="49"/>
      <c r="L2839" s="50"/>
      <c r="M2839" s="43" t="str">
        <f aca="false">IF(OR($L2839="",$F2839=""),"",IFERROR($L2839/INDEX(Cadastro!$E$6:$E$8,MATCH($F2839,Cadastro!$B$6:$B$8,0)),""))</f>
        <v/>
      </c>
      <c r="N2839" s="43" t="str">
        <f aca="false">IF(OR($L2839="",$I2839="",$I2839=0),"",$L2839/$I2839)</f>
        <v/>
      </c>
      <c r="O2839" s="51"/>
    </row>
    <row r="2840" customFormat="false" ht="15" hidden="false" customHeight="false" outlineLevel="0" collapsed="false">
      <c r="A2840" s="45"/>
      <c r="B2840" s="37" t="str">
        <f aca="false">IF($A2840="","",WEEKNUM($A2840,2))</f>
        <v/>
      </c>
      <c r="C2840" s="37" t="str">
        <f aca="false">IF($A2840="","",CHOOSE(WEEKDAY($A2840,2),"Seg","Ter","Qua","Qui","Sex","Sáb","Dom"))</f>
        <v/>
      </c>
      <c r="D2840" s="46"/>
      <c r="E2840" s="47"/>
      <c r="F2840" s="47"/>
      <c r="G2840" s="48"/>
      <c r="H2840" s="49"/>
      <c r="I2840" s="50"/>
      <c r="J2840" s="48"/>
      <c r="K2840" s="49"/>
      <c r="L2840" s="50"/>
      <c r="M2840" s="43" t="str">
        <f aca="false">IF(OR($L2840="",$F2840=""),"",IFERROR($L2840/INDEX(Cadastro!$E$6:$E$8,MATCH($F2840,Cadastro!$B$6:$B$8,0)),""))</f>
        <v/>
      </c>
      <c r="N2840" s="43" t="str">
        <f aca="false">IF(OR($L2840="",$I2840="",$I2840=0),"",$L2840/$I2840)</f>
        <v/>
      </c>
      <c r="O2840" s="51"/>
    </row>
    <row r="2841" customFormat="false" ht="15" hidden="false" customHeight="false" outlineLevel="0" collapsed="false">
      <c r="A2841" s="45"/>
      <c r="B2841" s="37" t="str">
        <f aca="false">IF($A2841="","",WEEKNUM($A2841,2))</f>
        <v/>
      </c>
      <c r="C2841" s="37" t="str">
        <f aca="false">IF($A2841="","",CHOOSE(WEEKDAY($A2841,2),"Seg","Ter","Qua","Qui","Sex","Sáb","Dom"))</f>
        <v/>
      </c>
      <c r="D2841" s="46"/>
      <c r="E2841" s="47"/>
      <c r="F2841" s="47"/>
      <c r="G2841" s="48"/>
      <c r="H2841" s="49"/>
      <c r="I2841" s="50"/>
      <c r="J2841" s="48"/>
      <c r="K2841" s="49"/>
      <c r="L2841" s="50"/>
      <c r="M2841" s="43" t="str">
        <f aca="false">IF(OR($L2841="",$F2841=""),"",IFERROR($L2841/INDEX(Cadastro!$E$6:$E$8,MATCH($F2841,Cadastro!$B$6:$B$8,0)),""))</f>
        <v/>
      </c>
      <c r="N2841" s="43" t="str">
        <f aca="false">IF(OR($L2841="",$I2841="",$I2841=0),"",$L2841/$I2841)</f>
        <v/>
      </c>
      <c r="O2841" s="51"/>
    </row>
    <row r="2842" customFormat="false" ht="15" hidden="false" customHeight="false" outlineLevel="0" collapsed="false">
      <c r="A2842" s="45"/>
      <c r="B2842" s="37" t="str">
        <f aca="false">IF($A2842="","",WEEKNUM($A2842,2))</f>
        <v/>
      </c>
      <c r="C2842" s="37" t="str">
        <f aca="false">IF($A2842="","",CHOOSE(WEEKDAY($A2842,2),"Seg","Ter","Qua","Qui","Sex","Sáb","Dom"))</f>
        <v/>
      </c>
      <c r="D2842" s="46"/>
      <c r="E2842" s="47"/>
      <c r="F2842" s="47"/>
      <c r="G2842" s="48"/>
      <c r="H2842" s="49"/>
      <c r="I2842" s="50"/>
      <c r="J2842" s="48"/>
      <c r="K2842" s="49"/>
      <c r="L2842" s="50"/>
      <c r="M2842" s="43" t="str">
        <f aca="false">IF(OR($L2842="",$F2842=""),"",IFERROR($L2842/INDEX(Cadastro!$E$6:$E$8,MATCH($F2842,Cadastro!$B$6:$B$8,0)),""))</f>
        <v/>
      </c>
      <c r="N2842" s="43" t="str">
        <f aca="false">IF(OR($L2842="",$I2842="",$I2842=0),"",$L2842/$I2842)</f>
        <v/>
      </c>
      <c r="O2842" s="51"/>
    </row>
    <row r="2843" customFormat="false" ht="15" hidden="false" customHeight="false" outlineLevel="0" collapsed="false">
      <c r="A2843" s="45"/>
      <c r="B2843" s="37" t="str">
        <f aca="false">IF($A2843="","",WEEKNUM($A2843,2))</f>
        <v/>
      </c>
      <c r="C2843" s="37" t="str">
        <f aca="false">IF($A2843="","",CHOOSE(WEEKDAY($A2843,2),"Seg","Ter","Qua","Qui","Sex","Sáb","Dom"))</f>
        <v/>
      </c>
      <c r="D2843" s="46"/>
      <c r="E2843" s="47"/>
      <c r="F2843" s="47"/>
      <c r="G2843" s="48"/>
      <c r="H2843" s="49"/>
      <c r="I2843" s="50"/>
      <c r="J2843" s="48"/>
      <c r="K2843" s="49"/>
      <c r="L2843" s="50"/>
      <c r="M2843" s="43" t="str">
        <f aca="false">IF(OR($L2843="",$F2843=""),"",IFERROR($L2843/INDEX(Cadastro!$E$6:$E$8,MATCH($F2843,Cadastro!$B$6:$B$8,0)),""))</f>
        <v/>
      </c>
      <c r="N2843" s="43" t="str">
        <f aca="false">IF(OR($L2843="",$I2843="",$I2843=0),"",$L2843/$I2843)</f>
        <v/>
      </c>
      <c r="O2843" s="51"/>
    </row>
    <row r="2844" customFormat="false" ht="15" hidden="false" customHeight="false" outlineLevel="0" collapsed="false">
      <c r="A2844" s="45"/>
      <c r="B2844" s="37" t="str">
        <f aca="false">IF($A2844="","",WEEKNUM($A2844,2))</f>
        <v/>
      </c>
      <c r="C2844" s="37" t="str">
        <f aca="false">IF($A2844="","",CHOOSE(WEEKDAY($A2844,2),"Seg","Ter","Qua","Qui","Sex","Sáb","Dom"))</f>
        <v/>
      </c>
      <c r="D2844" s="46"/>
      <c r="E2844" s="47"/>
      <c r="F2844" s="47"/>
      <c r="G2844" s="48"/>
      <c r="H2844" s="49"/>
      <c r="I2844" s="50"/>
      <c r="J2844" s="48"/>
      <c r="K2844" s="49"/>
      <c r="L2844" s="50"/>
      <c r="M2844" s="43" t="str">
        <f aca="false">IF(OR($L2844="",$F2844=""),"",IFERROR($L2844/INDEX(Cadastro!$E$6:$E$8,MATCH($F2844,Cadastro!$B$6:$B$8,0)),""))</f>
        <v/>
      </c>
      <c r="N2844" s="43" t="str">
        <f aca="false">IF(OR($L2844="",$I2844="",$I2844=0),"",$L2844/$I2844)</f>
        <v/>
      </c>
      <c r="O2844" s="51"/>
    </row>
    <row r="2845" customFormat="false" ht="15" hidden="false" customHeight="false" outlineLevel="0" collapsed="false">
      <c r="A2845" s="45"/>
      <c r="B2845" s="37" t="str">
        <f aca="false">IF($A2845="","",WEEKNUM($A2845,2))</f>
        <v/>
      </c>
      <c r="C2845" s="37" t="str">
        <f aca="false">IF($A2845="","",CHOOSE(WEEKDAY($A2845,2),"Seg","Ter","Qua","Qui","Sex","Sáb","Dom"))</f>
        <v/>
      </c>
      <c r="D2845" s="46"/>
      <c r="E2845" s="47"/>
      <c r="F2845" s="47"/>
      <c r="G2845" s="48"/>
      <c r="H2845" s="49"/>
      <c r="I2845" s="50"/>
      <c r="J2845" s="48"/>
      <c r="K2845" s="49"/>
      <c r="L2845" s="50"/>
      <c r="M2845" s="43" t="str">
        <f aca="false">IF(OR($L2845="",$F2845=""),"",IFERROR($L2845/INDEX(Cadastro!$E$6:$E$8,MATCH($F2845,Cadastro!$B$6:$B$8,0)),""))</f>
        <v/>
      </c>
      <c r="N2845" s="43" t="str">
        <f aca="false">IF(OR($L2845="",$I2845="",$I2845=0),"",$L2845/$I2845)</f>
        <v/>
      </c>
      <c r="O2845" s="51"/>
    </row>
    <row r="2846" customFormat="false" ht="15" hidden="false" customHeight="false" outlineLevel="0" collapsed="false">
      <c r="A2846" s="45"/>
      <c r="B2846" s="37" t="str">
        <f aca="false">IF($A2846="","",WEEKNUM($A2846,2))</f>
        <v/>
      </c>
      <c r="C2846" s="37" t="str">
        <f aca="false">IF($A2846="","",CHOOSE(WEEKDAY($A2846,2),"Seg","Ter","Qua","Qui","Sex","Sáb","Dom"))</f>
        <v/>
      </c>
      <c r="D2846" s="46"/>
      <c r="E2846" s="47"/>
      <c r="F2846" s="47"/>
      <c r="G2846" s="48"/>
      <c r="H2846" s="49"/>
      <c r="I2846" s="50"/>
      <c r="J2846" s="48"/>
      <c r="K2846" s="49"/>
      <c r="L2846" s="50"/>
      <c r="M2846" s="43" t="str">
        <f aca="false">IF(OR($L2846="",$F2846=""),"",IFERROR($L2846/INDEX(Cadastro!$E$6:$E$8,MATCH($F2846,Cadastro!$B$6:$B$8,0)),""))</f>
        <v/>
      </c>
      <c r="N2846" s="43" t="str">
        <f aca="false">IF(OR($L2846="",$I2846="",$I2846=0),"",$L2846/$I2846)</f>
        <v/>
      </c>
      <c r="O2846" s="51"/>
    </row>
    <row r="2847" customFormat="false" ht="15" hidden="false" customHeight="false" outlineLevel="0" collapsed="false">
      <c r="A2847" s="45"/>
      <c r="B2847" s="37" t="str">
        <f aca="false">IF($A2847="","",WEEKNUM($A2847,2))</f>
        <v/>
      </c>
      <c r="C2847" s="37" t="str">
        <f aca="false">IF($A2847="","",CHOOSE(WEEKDAY($A2847,2),"Seg","Ter","Qua","Qui","Sex","Sáb","Dom"))</f>
        <v/>
      </c>
      <c r="D2847" s="46"/>
      <c r="E2847" s="47"/>
      <c r="F2847" s="47"/>
      <c r="G2847" s="48"/>
      <c r="H2847" s="49"/>
      <c r="I2847" s="50"/>
      <c r="J2847" s="48"/>
      <c r="K2847" s="49"/>
      <c r="L2847" s="50"/>
      <c r="M2847" s="43" t="str">
        <f aca="false">IF(OR($L2847="",$F2847=""),"",IFERROR($L2847/INDEX(Cadastro!$E$6:$E$8,MATCH($F2847,Cadastro!$B$6:$B$8,0)),""))</f>
        <v/>
      </c>
      <c r="N2847" s="43" t="str">
        <f aca="false">IF(OR($L2847="",$I2847="",$I2847=0),"",$L2847/$I2847)</f>
        <v/>
      </c>
      <c r="O2847" s="51"/>
    </row>
    <row r="2848" customFormat="false" ht="15" hidden="false" customHeight="false" outlineLevel="0" collapsed="false">
      <c r="A2848" s="45"/>
      <c r="B2848" s="37" t="str">
        <f aca="false">IF($A2848="","",WEEKNUM($A2848,2))</f>
        <v/>
      </c>
      <c r="C2848" s="37" t="str">
        <f aca="false">IF($A2848="","",CHOOSE(WEEKDAY($A2848,2),"Seg","Ter","Qua","Qui","Sex","Sáb","Dom"))</f>
        <v/>
      </c>
      <c r="D2848" s="46"/>
      <c r="E2848" s="47"/>
      <c r="F2848" s="47"/>
      <c r="G2848" s="48"/>
      <c r="H2848" s="49"/>
      <c r="I2848" s="50"/>
      <c r="J2848" s="48"/>
      <c r="K2848" s="49"/>
      <c r="L2848" s="50"/>
      <c r="M2848" s="43" t="str">
        <f aca="false">IF(OR($L2848="",$F2848=""),"",IFERROR($L2848/INDEX(Cadastro!$E$6:$E$8,MATCH($F2848,Cadastro!$B$6:$B$8,0)),""))</f>
        <v/>
      </c>
      <c r="N2848" s="43" t="str">
        <f aca="false">IF(OR($L2848="",$I2848="",$I2848=0),"",$L2848/$I2848)</f>
        <v/>
      </c>
      <c r="O2848" s="51"/>
    </row>
    <row r="2849" customFormat="false" ht="15" hidden="false" customHeight="false" outlineLevel="0" collapsed="false">
      <c r="A2849" s="45"/>
      <c r="B2849" s="37" t="str">
        <f aca="false">IF($A2849="","",WEEKNUM($A2849,2))</f>
        <v/>
      </c>
      <c r="C2849" s="37" t="str">
        <f aca="false">IF($A2849="","",CHOOSE(WEEKDAY($A2849,2),"Seg","Ter","Qua","Qui","Sex","Sáb","Dom"))</f>
        <v/>
      </c>
      <c r="D2849" s="46"/>
      <c r="E2849" s="47"/>
      <c r="F2849" s="47"/>
      <c r="G2849" s="48"/>
      <c r="H2849" s="49"/>
      <c r="I2849" s="50"/>
      <c r="J2849" s="48"/>
      <c r="K2849" s="49"/>
      <c r="L2849" s="50"/>
      <c r="M2849" s="43" t="str">
        <f aca="false">IF(OR($L2849="",$F2849=""),"",IFERROR($L2849/INDEX(Cadastro!$E$6:$E$8,MATCH($F2849,Cadastro!$B$6:$B$8,0)),""))</f>
        <v/>
      </c>
      <c r="N2849" s="43" t="str">
        <f aca="false">IF(OR($L2849="",$I2849="",$I2849=0),"",$L2849/$I2849)</f>
        <v/>
      </c>
      <c r="O2849" s="51"/>
    </row>
    <row r="2850" customFormat="false" ht="15" hidden="false" customHeight="false" outlineLevel="0" collapsed="false">
      <c r="A2850" s="45"/>
      <c r="B2850" s="37" t="str">
        <f aca="false">IF($A2850="","",WEEKNUM($A2850,2))</f>
        <v/>
      </c>
      <c r="C2850" s="37" t="str">
        <f aca="false">IF($A2850="","",CHOOSE(WEEKDAY($A2850,2),"Seg","Ter","Qua","Qui","Sex","Sáb","Dom"))</f>
        <v/>
      </c>
      <c r="D2850" s="46"/>
      <c r="E2850" s="47"/>
      <c r="F2850" s="47"/>
      <c r="G2850" s="48"/>
      <c r="H2850" s="49"/>
      <c r="I2850" s="50"/>
      <c r="J2850" s="48"/>
      <c r="K2850" s="49"/>
      <c r="L2850" s="50"/>
      <c r="M2850" s="43" t="str">
        <f aca="false">IF(OR($L2850="",$F2850=""),"",IFERROR($L2850/INDEX(Cadastro!$E$6:$E$8,MATCH($F2850,Cadastro!$B$6:$B$8,0)),""))</f>
        <v/>
      </c>
      <c r="N2850" s="43" t="str">
        <f aca="false">IF(OR($L2850="",$I2850="",$I2850=0),"",$L2850/$I2850)</f>
        <v/>
      </c>
      <c r="O2850" s="51"/>
    </row>
    <row r="2851" customFormat="false" ht="15" hidden="false" customHeight="false" outlineLevel="0" collapsed="false">
      <c r="A2851" s="45"/>
      <c r="B2851" s="37" t="str">
        <f aca="false">IF($A2851="","",WEEKNUM($A2851,2))</f>
        <v/>
      </c>
      <c r="C2851" s="37" t="str">
        <f aca="false">IF($A2851="","",CHOOSE(WEEKDAY($A2851,2),"Seg","Ter","Qua","Qui","Sex","Sáb","Dom"))</f>
        <v/>
      </c>
      <c r="D2851" s="46"/>
      <c r="E2851" s="47"/>
      <c r="F2851" s="47"/>
      <c r="G2851" s="48"/>
      <c r="H2851" s="49"/>
      <c r="I2851" s="50"/>
      <c r="J2851" s="48"/>
      <c r="K2851" s="49"/>
      <c r="L2851" s="50"/>
      <c r="M2851" s="43" t="str">
        <f aca="false">IF(OR($L2851="",$F2851=""),"",IFERROR($L2851/INDEX(Cadastro!$E$6:$E$8,MATCH($F2851,Cadastro!$B$6:$B$8,0)),""))</f>
        <v/>
      </c>
      <c r="N2851" s="43" t="str">
        <f aca="false">IF(OR($L2851="",$I2851="",$I2851=0),"",$L2851/$I2851)</f>
        <v/>
      </c>
      <c r="O2851" s="51"/>
    </row>
    <row r="2852" customFormat="false" ht="15" hidden="false" customHeight="false" outlineLevel="0" collapsed="false">
      <c r="A2852" s="45"/>
      <c r="B2852" s="37" t="str">
        <f aca="false">IF($A2852="","",WEEKNUM($A2852,2))</f>
        <v/>
      </c>
      <c r="C2852" s="37" t="str">
        <f aca="false">IF($A2852="","",CHOOSE(WEEKDAY($A2852,2),"Seg","Ter","Qua","Qui","Sex","Sáb","Dom"))</f>
        <v/>
      </c>
      <c r="D2852" s="46"/>
      <c r="E2852" s="47"/>
      <c r="F2852" s="47"/>
      <c r="G2852" s="48"/>
      <c r="H2852" s="49"/>
      <c r="I2852" s="50"/>
      <c r="J2852" s="48"/>
      <c r="K2852" s="49"/>
      <c r="L2852" s="50"/>
      <c r="M2852" s="43" t="str">
        <f aca="false">IF(OR($L2852="",$F2852=""),"",IFERROR($L2852/INDEX(Cadastro!$E$6:$E$8,MATCH($F2852,Cadastro!$B$6:$B$8,0)),""))</f>
        <v/>
      </c>
      <c r="N2852" s="43" t="str">
        <f aca="false">IF(OR($L2852="",$I2852="",$I2852=0),"",$L2852/$I2852)</f>
        <v/>
      </c>
      <c r="O2852" s="51"/>
    </row>
    <row r="2853" customFormat="false" ht="15" hidden="false" customHeight="false" outlineLevel="0" collapsed="false">
      <c r="A2853" s="45"/>
      <c r="B2853" s="37" t="str">
        <f aca="false">IF($A2853="","",WEEKNUM($A2853,2))</f>
        <v/>
      </c>
      <c r="C2853" s="37" t="str">
        <f aca="false">IF($A2853="","",CHOOSE(WEEKDAY($A2853,2),"Seg","Ter","Qua","Qui","Sex","Sáb","Dom"))</f>
        <v/>
      </c>
      <c r="D2853" s="46"/>
      <c r="E2853" s="47"/>
      <c r="F2853" s="47"/>
      <c r="G2853" s="48"/>
      <c r="H2853" s="49"/>
      <c r="I2853" s="50"/>
      <c r="J2853" s="48"/>
      <c r="K2853" s="49"/>
      <c r="L2853" s="50"/>
      <c r="M2853" s="43" t="str">
        <f aca="false">IF(OR($L2853="",$F2853=""),"",IFERROR($L2853/INDEX(Cadastro!$E$6:$E$8,MATCH($F2853,Cadastro!$B$6:$B$8,0)),""))</f>
        <v/>
      </c>
      <c r="N2853" s="43" t="str">
        <f aca="false">IF(OR($L2853="",$I2853="",$I2853=0),"",$L2853/$I2853)</f>
        <v/>
      </c>
      <c r="O2853" s="51"/>
    </row>
    <row r="2854" customFormat="false" ht="15" hidden="false" customHeight="false" outlineLevel="0" collapsed="false">
      <c r="A2854" s="45"/>
      <c r="B2854" s="37" t="str">
        <f aca="false">IF($A2854="","",WEEKNUM($A2854,2))</f>
        <v/>
      </c>
      <c r="C2854" s="37" t="str">
        <f aca="false">IF($A2854="","",CHOOSE(WEEKDAY($A2854,2),"Seg","Ter","Qua","Qui","Sex","Sáb","Dom"))</f>
        <v/>
      </c>
      <c r="D2854" s="46"/>
      <c r="E2854" s="47"/>
      <c r="F2854" s="47"/>
      <c r="G2854" s="48"/>
      <c r="H2854" s="49"/>
      <c r="I2854" s="50"/>
      <c r="J2854" s="48"/>
      <c r="K2854" s="49"/>
      <c r="L2854" s="50"/>
      <c r="M2854" s="43" t="str">
        <f aca="false">IF(OR($L2854="",$F2854=""),"",IFERROR($L2854/INDEX(Cadastro!$E$6:$E$8,MATCH($F2854,Cadastro!$B$6:$B$8,0)),""))</f>
        <v/>
      </c>
      <c r="N2854" s="43" t="str">
        <f aca="false">IF(OR($L2854="",$I2854="",$I2854=0),"",$L2854/$I2854)</f>
        <v/>
      </c>
      <c r="O2854" s="51"/>
    </row>
    <row r="2855" customFormat="false" ht="15" hidden="false" customHeight="false" outlineLevel="0" collapsed="false">
      <c r="A2855" s="45"/>
      <c r="B2855" s="37" t="str">
        <f aca="false">IF($A2855="","",WEEKNUM($A2855,2))</f>
        <v/>
      </c>
      <c r="C2855" s="37" t="str">
        <f aca="false">IF($A2855="","",CHOOSE(WEEKDAY($A2855,2),"Seg","Ter","Qua","Qui","Sex","Sáb","Dom"))</f>
        <v/>
      </c>
      <c r="D2855" s="46"/>
      <c r="E2855" s="47"/>
      <c r="F2855" s="47"/>
      <c r="G2855" s="48"/>
      <c r="H2855" s="49"/>
      <c r="I2855" s="50"/>
      <c r="J2855" s="48"/>
      <c r="K2855" s="49"/>
      <c r="L2855" s="50"/>
      <c r="M2855" s="43" t="str">
        <f aca="false">IF(OR($L2855="",$F2855=""),"",IFERROR($L2855/INDEX(Cadastro!$E$6:$E$8,MATCH($F2855,Cadastro!$B$6:$B$8,0)),""))</f>
        <v/>
      </c>
      <c r="N2855" s="43" t="str">
        <f aca="false">IF(OR($L2855="",$I2855="",$I2855=0),"",$L2855/$I2855)</f>
        <v/>
      </c>
      <c r="O2855" s="51"/>
    </row>
    <row r="2856" customFormat="false" ht="15" hidden="false" customHeight="false" outlineLevel="0" collapsed="false">
      <c r="A2856" s="45"/>
      <c r="B2856" s="37" t="str">
        <f aca="false">IF($A2856="","",WEEKNUM($A2856,2))</f>
        <v/>
      </c>
      <c r="C2856" s="37" t="str">
        <f aca="false">IF($A2856="","",CHOOSE(WEEKDAY($A2856,2),"Seg","Ter","Qua","Qui","Sex","Sáb","Dom"))</f>
        <v/>
      </c>
      <c r="D2856" s="46"/>
      <c r="E2856" s="47"/>
      <c r="F2856" s="47"/>
      <c r="G2856" s="48"/>
      <c r="H2856" s="49"/>
      <c r="I2856" s="50"/>
      <c r="J2856" s="48"/>
      <c r="K2856" s="49"/>
      <c r="L2856" s="50"/>
      <c r="M2856" s="43" t="str">
        <f aca="false">IF(OR($L2856="",$F2856=""),"",IFERROR($L2856/INDEX(Cadastro!$E$6:$E$8,MATCH($F2856,Cadastro!$B$6:$B$8,0)),""))</f>
        <v/>
      </c>
      <c r="N2856" s="43" t="str">
        <f aca="false">IF(OR($L2856="",$I2856="",$I2856=0),"",$L2856/$I2856)</f>
        <v/>
      </c>
      <c r="O2856" s="51"/>
    </row>
    <row r="2857" customFormat="false" ht="15" hidden="false" customHeight="false" outlineLevel="0" collapsed="false">
      <c r="A2857" s="45"/>
      <c r="B2857" s="37" t="str">
        <f aca="false">IF($A2857="","",WEEKNUM($A2857,2))</f>
        <v/>
      </c>
      <c r="C2857" s="37" t="str">
        <f aca="false">IF($A2857="","",CHOOSE(WEEKDAY($A2857,2),"Seg","Ter","Qua","Qui","Sex","Sáb","Dom"))</f>
        <v/>
      </c>
      <c r="D2857" s="46"/>
      <c r="E2857" s="47"/>
      <c r="F2857" s="47"/>
      <c r="G2857" s="48"/>
      <c r="H2857" s="49"/>
      <c r="I2857" s="50"/>
      <c r="J2857" s="48"/>
      <c r="K2857" s="49"/>
      <c r="L2857" s="50"/>
      <c r="M2857" s="43" t="str">
        <f aca="false">IF(OR($L2857="",$F2857=""),"",IFERROR($L2857/INDEX(Cadastro!$E$6:$E$8,MATCH($F2857,Cadastro!$B$6:$B$8,0)),""))</f>
        <v/>
      </c>
      <c r="N2857" s="43" t="str">
        <f aca="false">IF(OR($L2857="",$I2857="",$I2857=0),"",$L2857/$I2857)</f>
        <v/>
      </c>
      <c r="O2857" s="51"/>
    </row>
    <row r="2858" customFormat="false" ht="15" hidden="false" customHeight="false" outlineLevel="0" collapsed="false">
      <c r="A2858" s="45"/>
      <c r="B2858" s="37" t="str">
        <f aca="false">IF($A2858="","",WEEKNUM($A2858,2))</f>
        <v/>
      </c>
      <c r="C2858" s="37" t="str">
        <f aca="false">IF($A2858="","",CHOOSE(WEEKDAY($A2858,2),"Seg","Ter","Qua","Qui","Sex","Sáb","Dom"))</f>
        <v/>
      </c>
      <c r="D2858" s="46"/>
      <c r="E2858" s="47"/>
      <c r="F2858" s="47"/>
      <c r="G2858" s="48"/>
      <c r="H2858" s="49"/>
      <c r="I2858" s="50"/>
      <c r="J2858" s="48"/>
      <c r="K2858" s="49"/>
      <c r="L2858" s="50"/>
      <c r="M2858" s="43" t="str">
        <f aca="false">IF(OR($L2858="",$F2858=""),"",IFERROR($L2858/INDEX(Cadastro!$E$6:$E$8,MATCH($F2858,Cadastro!$B$6:$B$8,0)),""))</f>
        <v/>
      </c>
      <c r="N2858" s="43" t="str">
        <f aca="false">IF(OR($L2858="",$I2858="",$I2858=0),"",$L2858/$I2858)</f>
        <v/>
      </c>
      <c r="O2858" s="51"/>
    </row>
    <row r="2859" customFormat="false" ht="15" hidden="false" customHeight="false" outlineLevel="0" collapsed="false">
      <c r="A2859" s="45"/>
      <c r="B2859" s="37" t="str">
        <f aca="false">IF($A2859="","",WEEKNUM($A2859,2))</f>
        <v/>
      </c>
      <c r="C2859" s="37" t="str">
        <f aca="false">IF($A2859="","",CHOOSE(WEEKDAY($A2859,2),"Seg","Ter","Qua","Qui","Sex","Sáb","Dom"))</f>
        <v/>
      </c>
      <c r="D2859" s="46"/>
      <c r="E2859" s="47"/>
      <c r="F2859" s="47"/>
      <c r="G2859" s="48"/>
      <c r="H2859" s="49"/>
      <c r="I2859" s="50"/>
      <c r="J2859" s="48"/>
      <c r="K2859" s="49"/>
      <c r="L2859" s="50"/>
      <c r="M2859" s="43" t="str">
        <f aca="false">IF(OR($L2859="",$F2859=""),"",IFERROR($L2859/INDEX(Cadastro!$E$6:$E$8,MATCH($F2859,Cadastro!$B$6:$B$8,0)),""))</f>
        <v/>
      </c>
      <c r="N2859" s="43" t="str">
        <f aca="false">IF(OR($L2859="",$I2859="",$I2859=0),"",$L2859/$I2859)</f>
        <v/>
      </c>
      <c r="O2859" s="51"/>
    </row>
    <row r="2860" customFormat="false" ht="15" hidden="false" customHeight="false" outlineLevel="0" collapsed="false">
      <c r="A2860" s="45"/>
      <c r="B2860" s="37" t="str">
        <f aca="false">IF($A2860="","",WEEKNUM($A2860,2))</f>
        <v/>
      </c>
      <c r="C2860" s="37" t="str">
        <f aca="false">IF($A2860="","",CHOOSE(WEEKDAY($A2860,2),"Seg","Ter","Qua","Qui","Sex","Sáb","Dom"))</f>
        <v/>
      </c>
      <c r="D2860" s="46"/>
      <c r="E2860" s="47"/>
      <c r="F2860" s="47"/>
      <c r="G2860" s="48"/>
      <c r="H2860" s="49"/>
      <c r="I2860" s="50"/>
      <c r="J2860" s="48"/>
      <c r="K2860" s="49"/>
      <c r="L2860" s="50"/>
      <c r="M2860" s="43" t="str">
        <f aca="false">IF(OR($L2860="",$F2860=""),"",IFERROR($L2860/INDEX(Cadastro!$E$6:$E$8,MATCH($F2860,Cadastro!$B$6:$B$8,0)),""))</f>
        <v/>
      </c>
      <c r="N2860" s="43" t="str">
        <f aca="false">IF(OR($L2860="",$I2860="",$I2860=0),"",$L2860/$I2860)</f>
        <v/>
      </c>
      <c r="O2860" s="51"/>
    </row>
    <row r="2861" customFormat="false" ht="15" hidden="false" customHeight="false" outlineLevel="0" collapsed="false">
      <c r="A2861" s="45"/>
      <c r="B2861" s="37" t="str">
        <f aca="false">IF($A2861="","",WEEKNUM($A2861,2))</f>
        <v/>
      </c>
      <c r="C2861" s="37" t="str">
        <f aca="false">IF($A2861="","",CHOOSE(WEEKDAY($A2861,2),"Seg","Ter","Qua","Qui","Sex","Sáb","Dom"))</f>
        <v/>
      </c>
      <c r="D2861" s="46"/>
      <c r="E2861" s="47"/>
      <c r="F2861" s="47"/>
      <c r="G2861" s="48"/>
      <c r="H2861" s="49"/>
      <c r="I2861" s="50"/>
      <c r="J2861" s="48"/>
      <c r="K2861" s="49"/>
      <c r="L2861" s="50"/>
      <c r="M2861" s="43" t="str">
        <f aca="false">IF(OR($L2861="",$F2861=""),"",IFERROR($L2861/INDEX(Cadastro!$E$6:$E$8,MATCH($F2861,Cadastro!$B$6:$B$8,0)),""))</f>
        <v/>
      </c>
      <c r="N2861" s="43" t="str">
        <f aca="false">IF(OR($L2861="",$I2861="",$I2861=0),"",$L2861/$I2861)</f>
        <v/>
      </c>
      <c r="O2861" s="51"/>
    </row>
    <row r="2862" customFormat="false" ht="15" hidden="false" customHeight="false" outlineLevel="0" collapsed="false">
      <c r="A2862" s="45"/>
      <c r="B2862" s="37" t="str">
        <f aca="false">IF($A2862="","",WEEKNUM($A2862,2))</f>
        <v/>
      </c>
      <c r="C2862" s="37" t="str">
        <f aca="false">IF($A2862="","",CHOOSE(WEEKDAY($A2862,2),"Seg","Ter","Qua","Qui","Sex","Sáb","Dom"))</f>
        <v/>
      </c>
      <c r="D2862" s="46"/>
      <c r="E2862" s="47"/>
      <c r="F2862" s="47"/>
      <c r="G2862" s="48"/>
      <c r="H2862" s="49"/>
      <c r="I2862" s="50"/>
      <c r="J2862" s="48"/>
      <c r="K2862" s="49"/>
      <c r="L2862" s="50"/>
      <c r="M2862" s="43" t="str">
        <f aca="false">IF(OR($L2862="",$F2862=""),"",IFERROR($L2862/INDEX(Cadastro!$E$6:$E$8,MATCH($F2862,Cadastro!$B$6:$B$8,0)),""))</f>
        <v/>
      </c>
      <c r="N2862" s="43" t="str">
        <f aca="false">IF(OR($L2862="",$I2862="",$I2862=0),"",$L2862/$I2862)</f>
        <v/>
      </c>
      <c r="O2862" s="51"/>
    </row>
    <row r="2863" customFormat="false" ht="15" hidden="false" customHeight="false" outlineLevel="0" collapsed="false">
      <c r="A2863" s="45"/>
      <c r="B2863" s="37" t="str">
        <f aca="false">IF($A2863="","",WEEKNUM($A2863,2))</f>
        <v/>
      </c>
      <c r="C2863" s="37" t="str">
        <f aca="false">IF($A2863="","",CHOOSE(WEEKDAY($A2863,2),"Seg","Ter","Qua","Qui","Sex","Sáb","Dom"))</f>
        <v/>
      </c>
      <c r="D2863" s="46"/>
      <c r="E2863" s="47"/>
      <c r="F2863" s="47"/>
      <c r="G2863" s="48"/>
      <c r="H2863" s="49"/>
      <c r="I2863" s="50"/>
      <c r="J2863" s="48"/>
      <c r="K2863" s="49"/>
      <c r="L2863" s="50"/>
      <c r="M2863" s="43" t="str">
        <f aca="false">IF(OR($L2863="",$F2863=""),"",IFERROR($L2863/INDEX(Cadastro!$E$6:$E$8,MATCH($F2863,Cadastro!$B$6:$B$8,0)),""))</f>
        <v/>
      </c>
      <c r="N2863" s="43" t="str">
        <f aca="false">IF(OR($L2863="",$I2863="",$I2863=0),"",$L2863/$I2863)</f>
        <v/>
      </c>
      <c r="O2863" s="51"/>
    </row>
    <row r="2864" customFormat="false" ht="15" hidden="false" customHeight="false" outlineLevel="0" collapsed="false">
      <c r="A2864" s="45"/>
      <c r="B2864" s="37" t="str">
        <f aca="false">IF($A2864="","",WEEKNUM($A2864,2))</f>
        <v/>
      </c>
      <c r="C2864" s="37" t="str">
        <f aca="false">IF($A2864="","",CHOOSE(WEEKDAY($A2864,2),"Seg","Ter","Qua","Qui","Sex","Sáb","Dom"))</f>
        <v/>
      </c>
      <c r="D2864" s="46"/>
      <c r="E2864" s="47"/>
      <c r="F2864" s="47"/>
      <c r="G2864" s="48"/>
      <c r="H2864" s="49"/>
      <c r="I2864" s="50"/>
      <c r="J2864" s="48"/>
      <c r="K2864" s="49"/>
      <c r="L2864" s="50"/>
      <c r="M2864" s="43" t="str">
        <f aca="false">IF(OR($L2864="",$F2864=""),"",IFERROR($L2864/INDEX(Cadastro!$E$6:$E$8,MATCH($F2864,Cadastro!$B$6:$B$8,0)),""))</f>
        <v/>
      </c>
      <c r="N2864" s="43" t="str">
        <f aca="false">IF(OR($L2864="",$I2864="",$I2864=0),"",$L2864/$I2864)</f>
        <v/>
      </c>
      <c r="O2864" s="51"/>
    </row>
    <row r="2865" customFormat="false" ht="15" hidden="false" customHeight="false" outlineLevel="0" collapsed="false">
      <c r="A2865" s="45"/>
      <c r="B2865" s="37" t="str">
        <f aca="false">IF($A2865="","",WEEKNUM($A2865,2))</f>
        <v/>
      </c>
      <c r="C2865" s="37" t="str">
        <f aca="false">IF($A2865="","",CHOOSE(WEEKDAY($A2865,2),"Seg","Ter","Qua","Qui","Sex","Sáb","Dom"))</f>
        <v/>
      </c>
      <c r="D2865" s="46"/>
      <c r="E2865" s="47"/>
      <c r="F2865" s="47"/>
      <c r="G2865" s="48"/>
      <c r="H2865" s="49"/>
      <c r="I2865" s="50"/>
      <c r="J2865" s="48"/>
      <c r="K2865" s="49"/>
      <c r="L2865" s="50"/>
      <c r="M2865" s="43" t="str">
        <f aca="false">IF(OR($L2865="",$F2865=""),"",IFERROR($L2865/INDEX(Cadastro!$E$6:$E$8,MATCH($F2865,Cadastro!$B$6:$B$8,0)),""))</f>
        <v/>
      </c>
      <c r="N2865" s="43" t="str">
        <f aca="false">IF(OR($L2865="",$I2865="",$I2865=0),"",$L2865/$I2865)</f>
        <v/>
      </c>
      <c r="O2865" s="51"/>
    </row>
    <row r="2866" customFormat="false" ht="15" hidden="false" customHeight="false" outlineLevel="0" collapsed="false">
      <c r="A2866" s="45"/>
      <c r="B2866" s="37" t="str">
        <f aca="false">IF($A2866="","",WEEKNUM($A2866,2))</f>
        <v/>
      </c>
      <c r="C2866" s="37" t="str">
        <f aca="false">IF($A2866="","",CHOOSE(WEEKDAY($A2866,2),"Seg","Ter","Qua","Qui","Sex","Sáb","Dom"))</f>
        <v/>
      </c>
      <c r="D2866" s="46"/>
      <c r="E2866" s="47"/>
      <c r="F2866" s="47"/>
      <c r="G2866" s="48"/>
      <c r="H2866" s="49"/>
      <c r="I2866" s="50"/>
      <c r="J2866" s="48"/>
      <c r="K2866" s="49"/>
      <c r="L2866" s="50"/>
      <c r="M2866" s="43" t="str">
        <f aca="false">IF(OR($L2866="",$F2866=""),"",IFERROR($L2866/INDEX(Cadastro!$E$6:$E$8,MATCH($F2866,Cadastro!$B$6:$B$8,0)),""))</f>
        <v/>
      </c>
      <c r="N2866" s="43" t="str">
        <f aca="false">IF(OR($L2866="",$I2866="",$I2866=0),"",$L2866/$I2866)</f>
        <v/>
      </c>
      <c r="O2866" s="51"/>
    </row>
    <row r="2867" customFormat="false" ht="15" hidden="false" customHeight="false" outlineLevel="0" collapsed="false">
      <c r="A2867" s="45"/>
      <c r="B2867" s="37" t="str">
        <f aca="false">IF($A2867="","",WEEKNUM($A2867,2))</f>
        <v/>
      </c>
      <c r="C2867" s="37" t="str">
        <f aca="false">IF($A2867="","",CHOOSE(WEEKDAY($A2867,2),"Seg","Ter","Qua","Qui","Sex","Sáb","Dom"))</f>
        <v/>
      </c>
      <c r="D2867" s="46"/>
      <c r="E2867" s="47"/>
      <c r="F2867" s="47"/>
      <c r="G2867" s="48"/>
      <c r="H2867" s="49"/>
      <c r="I2867" s="50"/>
      <c r="J2867" s="48"/>
      <c r="K2867" s="49"/>
      <c r="L2867" s="50"/>
      <c r="M2867" s="43" t="str">
        <f aca="false">IF(OR($L2867="",$F2867=""),"",IFERROR($L2867/INDEX(Cadastro!$E$6:$E$8,MATCH($F2867,Cadastro!$B$6:$B$8,0)),""))</f>
        <v/>
      </c>
      <c r="N2867" s="43" t="str">
        <f aca="false">IF(OR($L2867="",$I2867="",$I2867=0),"",$L2867/$I2867)</f>
        <v/>
      </c>
      <c r="O2867" s="51"/>
    </row>
    <row r="2868" customFormat="false" ht="15" hidden="false" customHeight="false" outlineLevel="0" collapsed="false">
      <c r="A2868" s="45"/>
      <c r="B2868" s="37" t="str">
        <f aca="false">IF($A2868="","",WEEKNUM($A2868,2))</f>
        <v/>
      </c>
      <c r="C2868" s="37" t="str">
        <f aca="false">IF($A2868="","",CHOOSE(WEEKDAY($A2868,2),"Seg","Ter","Qua","Qui","Sex","Sáb","Dom"))</f>
        <v/>
      </c>
      <c r="D2868" s="46"/>
      <c r="E2868" s="47"/>
      <c r="F2868" s="47"/>
      <c r="G2868" s="48"/>
      <c r="H2868" s="49"/>
      <c r="I2868" s="50"/>
      <c r="J2868" s="48"/>
      <c r="K2868" s="49"/>
      <c r="L2868" s="50"/>
      <c r="M2868" s="43" t="str">
        <f aca="false">IF(OR($L2868="",$F2868=""),"",IFERROR($L2868/INDEX(Cadastro!$E$6:$E$8,MATCH($F2868,Cadastro!$B$6:$B$8,0)),""))</f>
        <v/>
      </c>
      <c r="N2868" s="43" t="str">
        <f aca="false">IF(OR($L2868="",$I2868="",$I2868=0),"",$L2868/$I2868)</f>
        <v/>
      </c>
      <c r="O2868" s="51"/>
    </row>
    <row r="2869" customFormat="false" ht="15" hidden="false" customHeight="false" outlineLevel="0" collapsed="false">
      <c r="A2869" s="45"/>
      <c r="B2869" s="37" t="str">
        <f aca="false">IF($A2869="","",WEEKNUM($A2869,2))</f>
        <v/>
      </c>
      <c r="C2869" s="37" t="str">
        <f aca="false">IF($A2869="","",CHOOSE(WEEKDAY($A2869,2),"Seg","Ter","Qua","Qui","Sex","Sáb","Dom"))</f>
        <v/>
      </c>
      <c r="D2869" s="46"/>
      <c r="E2869" s="47"/>
      <c r="F2869" s="47"/>
      <c r="G2869" s="48"/>
      <c r="H2869" s="49"/>
      <c r="I2869" s="50"/>
      <c r="J2869" s="48"/>
      <c r="K2869" s="49"/>
      <c r="L2869" s="50"/>
      <c r="M2869" s="43" t="str">
        <f aca="false">IF(OR($L2869="",$F2869=""),"",IFERROR($L2869/INDEX(Cadastro!$E$6:$E$8,MATCH($F2869,Cadastro!$B$6:$B$8,0)),""))</f>
        <v/>
      </c>
      <c r="N2869" s="43" t="str">
        <f aca="false">IF(OR($L2869="",$I2869="",$I2869=0),"",$L2869/$I2869)</f>
        <v/>
      </c>
      <c r="O2869" s="51"/>
    </row>
    <row r="2870" customFormat="false" ht="15" hidden="false" customHeight="false" outlineLevel="0" collapsed="false">
      <c r="A2870" s="45"/>
      <c r="B2870" s="37" t="str">
        <f aca="false">IF($A2870="","",WEEKNUM($A2870,2))</f>
        <v/>
      </c>
      <c r="C2870" s="37" t="str">
        <f aca="false">IF($A2870="","",CHOOSE(WEEKDAY($A2870,2),"Seg","Ter","Qua","Qui","Sex","Sáb","Dom"))</f>
        <v/>
      </c>
      <c r="D2870" s="46"/>
      <c r="E2870" s="47"/>
      <c r="F2870" s="47"/>
      <c r="G2870" s="48"/>
      <c r="H2870" s="49"/>
      <c r="I2870" s="50"/>
      <c r="J2870" s="48"/>
      <c r="K2870" s="49"/>
      <c r="L2870" s="50"/>
      <c r="M2870" s="43" t="str">
        <f aca="false">IF(OR($L2870="",$F2870=""),"",IFERROR($L2870/INDEX(Cadastro!$E$6:$E$8,MATCH($F2870,Cadastro!$B$6:$B$8,0)),""))</f>
        <v/>
      </c>
      <c r="N2870" s="43" t="str">
        <f aca="false">IF(OR($L2870="",$I2870="",$I2870=0),"",$L2870/$I2870)</f>
        <v/>
      </c>
      <c r="O2870" s="51"/>
    </row>
    <row r="2871" customFormat="false" ht="15" hidden="false" customHeight="false" outlineLevel="0" collapsed="false">
      <c r="A2871" s="45"/>
      <c r="B2871" s="37" t="str">
        <f aca="false">IF($A2871="","",WEEKNUM($A2871,2))</f>
        <v/>
      </c>
      <c r="C2871" s="37" t="str">
        <f aca="false">IF($A2871="","",CHOOSE(WEEKDAY($A2871,2),"Seg","Ter","Qua","Qui","Sex","Sáb","Dom"))</f>
        <v/>
      </c>
      <c r="D2871" s="46"/>
      <c r="E2871" s="47"/>
      <c r="F2871" s="47"/>
      <c r="G2871" s="48"/>
      <c r="H2871" s="49"/>
      <c r="I2871" s="50"/>
      <c r="J2871" s="48"/>
      <c r="K2871" s="49"/>
      <c r="L2871" s="50"/>
      <c r="M2871" s="43" t="str">
        <f aca="false">IF(OR($L2871="",$F2871=""),"",IFERROR($L2871/INDEX(Cadastro!$E$6:$E$8,MATCH($F2871,Cadastro!$B$6:$B$8,0)),""))</f>
        <v/>
      </c>
      <c r="N2871" s="43" t="str">
        <f aca="false">IF(OR($L2871="",$I2871="",$I2871=0),"",$L2871/$I2871)</f>
        <v/>
      </c>
      <c r="O2871" s="51"/>
    </row>
    <row r="2872" customFormat="false" ht="15" hidden="false" customHeight="false" outlineLevel="0" collapsed="false">
      <c r="A2872" s="45"/>
      <c r="B2872" s="37" t="str">
        <f aca="false">IF($A2872="","",WEEKNUM($A2872,2))</f>
        <v/>
      </c>
      <c r="C2872" s="37" t="str">
        <f aca="false">IF($A2872="","",CHOOSE(WEEKDAY($A2872,2),"Seg","Ter","Qua","Qui","Sex","Sáb","Dom"))</f>
        <v/>
      </c>
      <c r="D2872" s="46"/>
      <c r="E2872" s="47"/>
      <c r="F2872" s="47"/>
      <c r="G2872" s="48"/>
      <c r="H2872" s="49"/>
      <c r="I2872" s="50"/>
      <c r="J2872" s="48"/>
      <c r="K2872" s="49"/>
      <c r="L2872" s="50"/>
      <c r="M2872" s="43" t="str">
        <f aca="false">IF(OR($L2872="",$F2872=""),"",IFERROR($L2872/INDEX(Cadastro!$E$6:$E$8,MATCH($F2872,Cadastro!$B$6:$B$8,0)),""))</f>
        <v/>
      </c>
      <c r="N2872" s="43" t="str">
        <f aca="false">IF(OR($L2872="",$I2872="",$I2872=0),"",$L2872/$I2872)</f>
        <v/>
      </c>
      <c r="O2872" s="51"/>
    </row>
    <row r="2873" customFormat="false" ht="15" hidden="false" customHeight="false" outlineLevel="0" collapsed="false">
      <c r="A2873" s="45"/>
      <c r="B2873" s="37" t="str">
        <f aca="false">IF($A2873="","",WEEKNUM($A2873,2))</f>
        <v/>
      </c>
      <c r="C2873" s="37" t="str">
        <f aca="false">IF($A2873="","",CHOOSE(WEEKDAY($A2873,2),"Seg","Ter","Qua","Qui","Sex","Sáb","Dom"))</f>
        <v/>
      </c>
      <c r="D2873" s="46"/>
      <c r="E2873" s="47"/>
      <c r="F2873" s="47"/>
      <c r="G2873" s="48"/>
      <c r="H2873" s="49"/>
      <c r="I2873" s="50"/>
      <c r="J2873" s="48"/>
      <c r="K2873" s="49"/>
      <c r="L2873" s="50"/>
      <c r="M2873" s="43" t="str">
        <f aca="false">IF(OR($L2873="",$F2873=""),"",IFERROR($L2873/INDEX(Cadastro!$E$6:$E$8,MATCH($F2873,Cadastro!$B$6:$B$8,0)),""))</f>
        <v/>
      </c>
      <c r="N2873" s="43" t="str">
        <f aca="false">IF(OR($L2873="",$I2873="",$I2873=0),"",$L2873/$I2873)</f>
        <v/>
      </c>
      <c r="O2873" s="51"/>
    </row>
    <row r="2874" customFormat="false" ht="15" hidden="false" customHeight="false" outlineLevel="0" collapsed="false">
      <c r="A2874" s="45"/>
      <c r="B2874" s="37" t="str">
        <f aca="false">IF($A2874="","",WEEKNUM($A2874,2))</f>
        <v/>
      </c>
      <c r="C2874" s="37" t="str">
        <f aca="false">IF($A2874="","",CHOOSE(WEEKDAY($A2874,2),"Seg","Ter","Qua","Qui","Sex","Sáb","Dom"))</f>
        <v/>
      </c>
      <c r="D2874" s="46"/>
      <c r="E2874" s="47"/>
      <c r="F2874" s="47"/>
      <c r="G2874" s="48"/>
      <c r="H2874" s="49"/>
      <c r="I2874" s="50"/>
      <c r="J2874" s="48"/>
      <c r="K2874" s="49"/>
      <c r="L2874" s="50"/>
      <c r="M2874" s="43" t="str">
        <f aca="false">IF(OR($L2874="",$F2874=""),"",IFERROR($L2874/INDEX(Cadastro!$E$6:$E$8,MATCH($F2874,Cadastro!$B$6:$B$8,0)),""))</f>
        <v/>
      </c>
      <c r="N2874" s="43" t="str">
        <f aca="false">IF(OR($L2874="",$I2874="",$I2874=0),"",$L2874/$I2874)</f>
        <v/>
      </c>
      <c r="O2874" s="51"/>
    </row>
    <row r="2875" customFormat="false" ht="15" hidden="false" customHeight="false" outlineLevel="0" collapsed="false">
      <c r="A2875" s="45"/>
      <c r="B2875" s="37" t="str">
        <f aca="false">IF($A2875="","",WEEKNUM($A2875,2))</f>
        <v/>
      </c>
      <c r="C2875" s="37" t="str">
        <f aca="false">IF($A2875="","",CHOOSE(WEEKDAY($A2875,2),"Seg","Ter","Qua","Qui","Sex","Sáb","Dom"))</f>
        <v/>
      </c>
      <c r="D2875" s="46"/>
      <c r="E2875" s="47"/>
      <c r="F2875" s="47"/>
      <c r="G2875" s="48"/>
      <c r="H2875" s="49"/>
      <c r="I2875" s="50"/>
      <c r="J2875" s="48"/>
      <c r="K2875" s="49"/>
      <c r="L2875" s="50"/>
      <c r="M2875" s="43" t="str">
        <f aca="false">IF(OR($L2875="",$F2875=""),"",IFERROR($L2875/INDEX(Cadastro!$E$6:$E$8,MATCH($F2875,Cadastro!$B$6:$B$8,0)),""))</f>
        <v/>
      </c>
      <c r="N2875" s="43" t="str">
        <f aca="false">IF(OR($L2875="",$I2875="",$I2875=0),"",$L2875/$I2875)</f>
        <v/>
      </c>
      <c r="O2875" s="51"/>
    </row>
    <row r="2876" customFormat="false" ht="15" hidden="false" customHeight="false" outlineLevel="0" collapsed="false">
      <c r="A2876" s="45"/>
      <c r="B2876" s="37" t="str">
        <f aca="false">IF($A2876="","",WEEKNUM($A2876,2))</f>
        <v/>
      </c>
      <c r="C2876" s="37" t="str">
        <f aca="false">IF($A2876="","",CHOOSE(WEEKDAY($A2876,2),"Seg","Ter","Qua","Qui","Sex","Sáb","Dom"))</f>
        <v/>
      </c>
      <c r="D2876" s="46"/>
      <c r="E2876" s="47"/>
      <c r="F2876" s="47"/>
      <c r="G2876" s="48"/>
      <c r="H2876" s="49"/>
      <c r="I2876" s="50"/>
      <c r="J2876" s="48"/>
      <c r="K2876" s="49"/>
      <c r="L2876" s="50"/>
      <c r="M2876" s="43" t="str">
        <f aca="false">IF(OR($L2876="",$F2876=""),"",IFERROR($L2876/INDEX(Cadastro!$E$6:$E$8,MATCH($F2876,Cadastro!$B$6:$B$8,0)),""))</f>
        <v/>
      </c>
      <c r="N2876" s="43" t="str">
        <f aca="false">IF(OR($L2876="",$I2876="",$I2876=0),"",$L2876/$I2876)</f>
        <v/>
      </c>
      <c r="O2876" s="51"/>
    </row>
    <row r="2877" customFormat="false" ht="15" hidden="false" customHeight="false" outlineLevel="0" collapsed="false">
      <c r="A2877" s="45"/>
      <c r="B2877" s="37" t="str">
        <f aca="false">IF($A2877="","",WEEKNUM($A2877,2))</f>
        <v/>
      </c>
      <c r="C2877" s="37" t="str">
        <f aca="false">IF($A2877="","",CHOOSE(WEEKDAY($A2877,2),"Seg","Ter","Qua","Qui","Sex","Sáb","Dom"))</f>
        <v/>
      </c>
      <c r="D2877" s="46"/>
      <c r="E2877" s="47"/>
      <c r="F2877" s="47"/>
      <c r="G2877" s="48"/>
      <c r="H2877" s="49"/>
      <c r="I2877" s="50"/>
      <c r="J2877" s="48"/>
      <c r="K2877" s="49"/>
      <c r="L2877" s="50"/>
      <c r="M2877" s="43" t="str">
        <f aca="false">IF(OR($L2877="",$F2877=""),"",IFERROR($L2877/INDEX(Cadastro!$E$6:$E$8,MATCH($F2877,Cadastro!$B$6:$B$8,0)),""))</f>
        <v/>
      </c>
      <c r="N2877" s="43" t="str">
        <f aca="false">IF(OR($L2877="",$I2877="",$I2877=0),"",$L2877/$I2877)</f>
        <v/>
      </c>
      <c r="O2877" s="51"/>
    </row>
    <row r="2878" customFormat="false" ht="15" hidden="false" customHeight="false" outlineLevel="0" collapsed="false">
      <c r="A2878" s="45"/>
      <c r="B2878" s="37" t="str">
        <f aca="false">IF($A2878="","",WEEKNUM($A2878,2))</f>
        <v/>
      </c>
      <c r="C2878" s="37" t="str">
        <f aca="false">IF($A2878="","",CHOOSE(WEEKDAY($A2878,2),"Seg","Ter","Qua","Qui","Sex","Sáb","Dom"))</f>
        <v/>
      </c>
      <c r="D2878" s="46"/>
      <c r="E2878" s="47"/>
      <c r="F2878" s="47"/>
      <c r="G2878" s="48"/>
      <c r="H2878" s="49"/>
      <c r="I2878" s="50"/>
      <c r="J2878" s="48"/>
      <c r="K2878" s="49"/>
      <c r="L2878" s="50"/>
      <c r="M2878" s="43" t="str">
        <f aca="false">IF(OR($L2878="",$F2878=""),"",IFERROR($L2878/INDEX(Cadastro!$E$6:$E$8,MATCH($F2878,Cadastro!$B$6:$B$8,0)),""))</f>
        <v/>
      </c>
      <c r="N2878" s="43" t="str">
        <f aca="false">IF(OR($L2878="",$I2878="",$I2878=0),"",$L2878/$I2878)</f>
        <v/>
      </c>
      <c r="O2878" s="51"/>
    </row>
    <row r="2879" customFormat="false" ht="15" hidden="false" customHeight="false" outlineLevel="0" collapsed="false">
      <c r="A2879" s="45"/>
      <c r="B2879" s="37" t="str">
        <f aca="false">IF($A2879="","",WEEKNUM($A2879,2))</f>
        <v/>
      </c>
      <c r="C2879" s="37" t="str">
        <f aca="false">IF($A2879="","",CHOOSE(WEEKDAY($A2879,2),"Seg","Ter","Qua","Qui","Sex","Sáb","Dom"))</f>
        <v/>
      </c>
      <c r="D2879" s="46"/>
      <c r="E2879" s="47"/>
      <c r="F2879" s="47"/>
      <c r="G2879" s="48"/>
      <c r="H2879" s="49"/>
      <c r="I2879" s="50"/>
      <c r="J2879" s="48"/>
      <c r="K2879" s="49"/>
      <c r="L2879" s="50"/>
      <c r="M2879" s="43" t="str">
        <f aca="false">IF(OR($L2879="",$F2879=""),"",IFERROR($L2879/INDEX(Cadastro!$E$6:$E$8,MATCH($F2879,Cadastro!$B$6:$B$8,0)),""))</f>
        <v/>
      </c>
      <c r="N2879" s="43" t="str">
        <f aca="false">IF(OR($L2879="",$I2879="",$I2879=0),"",$L2879/$I2879)</f>
        <v/>
      </c>
      <c r="O2879" s="51"/>
    </row>
    <row r="2880" customFormat="false" ht="15" hidden="false" customHeight="false" outlineLevel="0" collapsed="false">
      <c r="A2880" s="45"/>
      <c r="B2880" s="37" t="str">
        <f aca="false">IF($A2880="","",WEEKNUM($A2880,2))</f>
        <v/>
      </c>
      <c r="C2880" s="37" t="str">
        <f aca="false">IF($A2880="","",CHOOSE(WEEKDAY($A2880,2),"Seg","Ter","Qua","Qui","Sex","Sáb","Dom"))</f>
        <v/>
      </c>
      <c r="D2880" s="46"/>
      <c r="E2880" s="47"/>
      <c r="F2880" s="47"/>
      <c r="G2880" s="48"/>
      <c r="H2880" s="49"/>
      <c r="I2880" s="50"/>
      <c r="J2880" s="48"/>
      <c r="K2880" s="49"/>
      <c r="L2880" s="50"/>
      <c r="M2880" s="43" t="str">
        <f aca="false">IF(OR($L2880="",$F2880=""),"",IFERROR($L2880/INDEX(Cadastro!$E$6:$E$8,MATCH($F2880,Cadastro!$B$6:$B$8,0)),""))</f>
        <v/>
      </c>
      <c r="N2880" s="43" t="str">
        <f aca="false">IF(OR($L2880="",$I2880="",$I2880=0),"",$L2880/$I2880)</f>
        <v/>
      </c>
      <c r="O2880" s="51"/>
    </row>
    <row r="2881" customFormat="false" ht="15" hidden="false" customHeight="false" outlineLevel="0" collapsed="false">
      <c r="A2881" s="45"/>
      <c r="B2881" s="37" t="str">
        <f aca="false">IF($A2881="","",WEEKNUM($A2881,2))</f>
        <v/>
      </c>
      <c r="C2881" s="37" t="str">
        <f aca="false">IF($A2881="","",CHOOSE(WEEKDAY($A2881,2),"Seg","Ter","Qua","Qui","Sex","Sáb","Dom"))</f>
        <v/>
      </c>
      <c r="D2881" s="46"/>
      <c r="E2881" s="47"/>
      <c r="F2881" s="47"/>
      <c r="G2881" s="48"/>
      <c r="H2881" s="49"/>
      <c r="I2881" s="50"/>
      <c r="J2881" s="48"/>
      <c r="K2881" s="49"/>
      <c r="L2881" s="50"/>
      <c r="M2881" s="43" t="str">
        <f aca="false">IF(OR($L2881="",$F2881=""),"",IFERROR($L2881/INDEX(Cadastro!$E$6:$E$8,MATCH($F2881,Cadastro!$B$6:$B$8,0)),""))</f>
        <v/>
      </c>
      <c r="N2881" s="43" t="str">
        <f aca="false">IF(OR($L2881="",$I2881="",$I2881=0),"",$L2881/$I2881)</f>
        <v/>
      </c>
      <c r="O2881" s="51"/>
    </row>
    <row r="2882" customFormat="false" ht="15" hidden="false" customHeight="false" outlineLevel="0" collapsed="false">
      <c r="A2882" s="45"/>
      <c r="B2882" s="37" t="str">
        <f aca="false">IF($A2882="","",WEEKNUM($A2882,2))</f>
        <v/>
      </c>
      <c r="C2882" s="37" t="str">
        <f aca="false">IF($A2882="","",CHOOSE(WEEKDAY($A2882,2),"Seg","Ter","Qua","Qui","Sex","Sáb","Dom"))</f>
        <v/>
      </c>
      <c r="D2882" s="46"/>
      <c r="E2882" s="47"/>
      <c r="F2882" s="47"/>
      <c r="G2882" s="48"/>
      <c r="H2882" s="49"/>
      <c r="I2882" s="50"/>
      <c r="J2882" s="48"/>
      <c r="K2882" s="49"/>
      <c r="L2882" s="50"/>
      <c r="M2882" s="43" t="str">
        <f aca="false">IF(OR($L2882="",$F2882=""),"",IFERROR($L2882/INDEX(Cadastro!$E$6:$E$8,MATCH($F2882,Cadastro!$B$6:$B$8,0)),""))</f>
        <v/>
      </c>
      <c r="N2882" s="43" t="str">
        <f aca="false">IF(OR($L2882="",$I2882="",$I2882=0),"",$L2882/$I2882)</f>
        <v/>
      </c>
      <c r="O2882" s="51"/>
    </row>
    <row r="2883" customFormat="false" ht="15" hidden="false" customHeight="false" outlineLevel="0" collapsed="false">
      <c r="A2883" s="45"/>
      <c r="B2883" s="37" t="str">
        <f aca="false">IF($A2883="","",WEEKNUM($A2883,2))</f>
        <v/>
      </c>
      <c r="C2883" s="37" t="str">
        <f aca="false">IF($A2883="","",CHOOSE(WEEKDAY($A2883,2),"Seg","Ter","Qua","Qui","Sex","Sáb","Dom"))</f>
        <v/>
      </c>
      <c r="D2883" s="46"/>
      <c r="E2883" s="47"/>
      <c r="F2883" s="47"/>
      <c r="G2883" s="48"/>
      <c r="H2883" s="49"/>
      <c r="I2883" s="50"/>
      <c r="J2883" s="48"/>
      <c r="K2883" s="49"/>
      <c r="L2883" s="50"/>
      <c r="M2883" s="43" t="str">
        <f aca="false">IF(OR($L2883="",$F2883=""),"",IFERROR($L2883/INDEX(Cadastro!$E$6:$E$8,MATCH($F2883,Cadastro!$B$6:$B$8,0)),""))</f>
        <v/>
      </c>
      <c r="N2883" s="43" t="str">
        <f aca="false">IF(OR($L2883="",$I2883="",$I2883=0),"",$L2883/$I2883)</f>
        <v/>
      </c>
      <c r="O2883" s="51"/>
    </row>
    <row r="2884" customFormat="false" ht="15" hidden="false" customHeight="false" outlineLevel="0" collapsed="false">
      <c r="A2884" s="45"/>
      <c r="B2884" s="37" t="str">
        <f aca="false">IF($A2884="","",WEEKNUM($A2884,2))</f>
        <v/>
      </c>
      <c r="C2884" s="37" t="str">
        <f aca="false">IF($A2884="","",CHOOSE(WEEKDAY($A2884,2),"Seg","Ter","Qua","Qui","Sex","Sáb","Dom"))</f>
        <v/>
      </c>
      <c r="D2884" s="46"/>
      <c r="E2884" s="47"/>
      <c r="F2884" s="47"/>
      <c r="G2884" s="48"/>
      <c r="H2884" s="49"/>
      <c r="I2884" s="50"/>
      <c r="J2884" s="48"/>
      <c r="K2884" s="49"/>
      <c r="L2884" s="50"/>
      <c r="M2884" s="43" t="str">
        <f aca="false">IF(OR($L2884="",$F2884=""),"",IFERROR($L2884/INDEX(Cadastro!$E$6:$E$8,MATCH($F2884,Cadastro!$B$6:$B$8,0)),""))</f>
        <v/>
      </c>
      <c r="N2884" s="43" t="str">
        <f aca="false">IF(OR($L2884="",$I2884="",$I2884=0),"",$L2884/$I2884)</f>
        <v/>
      </c>
      <c r="O2884" s="51"/>
    </row>
    <row r="2885" customFormat="false" ht="15" hidden="false" customHeight="false" outlineLevel="0" collapsed="false">
      <c r="A2885" s="45"/>
      <c r="B2885" s="37" t="str">
        <f aca="false">IF($A2885="","",WEEKNUM($A2885,2))</f>
        <v/>
      </c>
      <c r="C2885" s="37" t="str">
        <f aca="false">IF($A2885="","",CHOOSE(WEEKDAY($A2885,2),"Seg","Ter","Qua","Qui","Sex","Sáb","Dom"))</f>
        <v/>
      </c>
      <c r="D2885" s="46"/>
      <c r="E2885" s="47"/>
      <c r="F2885" s="47"/>
      <c r="G2885" s="48"/>
      <c r="H2885" s="49"/>
      <c r="I2885" s="50"/>
      <c r="J2885" s="48"/>
      <c r="K2885" s="49"/>
      <c r="L2885" s="50"/>
      <c r="M2885" s="43" t="str">
        <f aca="false">IF(OR($L2885="",$F2885=""),"",IFERROR($L2885/INDEX(Cadastro!$E$6:$E$8,MATCH($F2885,Cadastro!$B$6:$B$8,0)),""))</f>
        <v/>
      </c>
      <c r="N2885" s="43" t="str">
        <f aca="false">IF(OR($L2885="",$I2885="",$I2885=0),"",$L2885/$I2885)</f>
        <v/>
      </c>
      <c r="O2885" s="51"/>
    </row>
    <row r="2886" customFormat="false" ht="15" hidden="false" customHeight="false" outlineLevel="0" collapsed="false">
      <c r="A2886" s="45"/>
      <c r="B2886" s="37" t="str">
        <f aca="false">IF($A2886="","",WEEKNUM($A2886,2))</f>
        <v/>
      </c>
      <c r="C2886" s="37" t="str">
        <f aca="false">IF($A2886="","",CHOOSE(WEEKDAY($A2886,2),"Seg","Ter","Qua","Qui","Sex","Sáb","Dom"))</f>
        <v/>
      </c>
      <c r="D2886" s="46"/>
      <c r="E2886" s="47"/>
      <c r="F2886" s="47"/>
      <c r="G2886" s="48"/>
      <c r="H2886" s="49"/>
      <c r="I2886" s="50"/>
      <c r="J2886" s="48"/>
      <c r="K2886" s="49"/>
      <c r="L2886" s="50"/>
      <c r="M2886" s="43" t="str">
        <f aca="false">IF(OR($L2886="",$F2886=""),"",IFERROR($L2886/INDEX(Cadastro!$E$6:$E$8,MATCH($F2886,Cadastro!$B$6:$B$8,0)),""))</f>
        <v/>
      </c>
      <c r="N2886" s="43" t="str">
        <f aca="false">IF(OR($L2886="",$I2886="",$I2886=0),"",$L2886/$I2886)</f>
        <v/>
      </c>
      <c r="O2886" s="51"/>
    </row>
    <row r="2887" customFormat="false" ht="15" hidden="false" customHeight="false" outlineLevel="0" collapsed="false">
      <c r="A2887" s="45"/>
      <c r="B2887" s="37" t="str">
        <f aca="false">IF($A2887="","",WEEKNUM($A2887,2))</f>
        <v/>
      </c>
      <c r="C2887" s="37" t="str">
        <f aca="false">IF($A2887="","",CHOOSE(WEEKDAY($A2887,2),"Seg","Ter","Qua","Qui","Sex","Sáb","Dom"))</f>
        <v/>
      </c>
      <c r="D2887" s="46"/>
      <c r="E2887" s="47"/>
      <c r="F2887" s="47"/>
      <c r="G2887" s="48"/>
      <c r="H2887" s="49"/>
      <c r="I2887" s="50"/>
      <c r="J2887" s="48"/>
      <c r="K2887" s="49"/>
      <c r="L2887" s="50"/>
      <c r="M2887" s="43" t="str">
        <f aca="false">IF(OR($L2887="",$F2887=""),"",IFERROR($L2887/INDEX(Cadastro!$E$6:$E$8,MATCH($F2887,Cadastro!$B$6:$B$8,0)),""))</f>
        <v/>
      </c>
      <c r="N2887" s="43" t="str">
        <f aca="false">IF(OR($L2887="",$I2887="",$I2887=0),"",$L2887/$I2887)</f>
        <v/>
      </c>
      <c r="O2887" s="51"/>
    </row>
    <row r="2888" customFormat="false" ht="15" hidden="false" customHeight="false" outlineLevel="0" collapsed="false">
      <c r="A2888" s="45"/>
      <c r="B2888" s="37" t="str">
        <f aca="false">IF($A2888="","",WEEKNUM($A2888,2))</f>
        <v/>
      </c>
      <c r="C2888" s="37" t="str">
        <f aca="false">IF($A2888="","",CHOOSE(WEEKDAY($A2888,2),"Seg","Ter","Qua","Qui","Sex","Sáb","Dom"))</f>
        <v/>
      </c>
      <c r="D2888" s="46"/>
      <c r="E2888" s="47"/>
      <c r="F2888" s="47"/>
      <c r="G2888" s="48"/>
      <c r="H2888" s="49"/>
      <c r="I2888" s="50"/>
      <c r="J2888" s="48"/>
      <c r="K2888" s="49"/>
      <c r="L2888" s="50"/>
      <c r="M2888" s="43" t="str">
        <f aca="false">IF(OR($L2888="",$F2888=""),"",IFERROR($L2888/INDEX(Cadastro!$E$6:$E$8,MATCH($F2888,Cadastro!$B$6:$B$8,0)),""))</f>
        <v/>
      </c>
      <c r="N2888" s="43" t="str">
        <f aca="false">IF(OR($L2888="",$I2888="",$I2888=0),"",$L2888/$I2888)</f>
        <v/>
      </c>
      <c r="O2888" s="51"/>
    </row>
    <row r="2889" customFormat="false" ht="15" hidden="false" customHeight="false" outlineLevel="0" collapsed="false">
      <c r="A2889" s="45"/>
      <c r="B2889" s="37" t="str">
        <f aca="false">IF($A2889="","",WEEKNUM($A2889,2))</f>
        <v/>
      </c>
      <c r="C2889" s="37" t="str">
        <f aca="false">IF($A2889="","",CHOOSE(WEEKDAY($A2889,2),"Seg","Ter","Qua","Qui","Sex","Sáb","Dom"))</f>
        <v/>
      </c>
      <c r="D2889" s="46"/>
      <c r="E2889" s="47"/>
      <c r="F2889" s="47"/>
      <c r="G2889" s="48"/>
      <c r="H2889" s="49"/>
      <c r="I2889" s="50"/>
      <c r="J2889" s="48"/>
      <c r="K2889" s="49"/>
      <c r="L2889" s="50"/>
      <c r="M2889" s="43" t="str">
        <f aca="false">IF(OR($L2889="",$F2889=""),"",IFERROR($L2889/INDEX(Cadastro!$E$6:$E$8,MATCH($F2889,Cadastro!$B$6:$B$8,0)),""))</f>
        <v/>
      </c>
      <c r="N2889" s="43" t="str">
        <f aca="false">IF(OR($L2889="",$I2889="",$I2889=0),"",$L2889/$I2889)</f>
        <v/>
      </c>
      <c r="O2889" s="51"/>
    </row>
    <row r="2890" customFormat="false" ht="15" hidden="false" customHeight="false" outlineLevel="0" collapsed="false">
      <c r="A2890" s="45"/>
      <c r="B2890" s="37" t="str">
        <f aca="false">IF($A2890="","",WEEKNUM($A2890,2))</f>
        <v/>
      </c>
      <c r="C2890" s="37" t="str">
        <f aca="false">IF($A2890="","",CHOOSE(WEEKDAY($A2890,2),"Seg","Ter","Qua","Qui","Sex","Sáb","Dom"))</f>
        <v/>
      </c>
      <c r="D2890" s="46"/>
      <c r="E2890" s="47"/>
      <c r="F2890" s="47"/>
      <c r="G2890" s="48"/>
      <c r="H2890" s="49"/>
      <c r="I2890" s="50"/>
      <c r="J2890" s="48"/>
      <c r="K2890" s="49"/>
      <c r="L2890" s="50"/>
      <c r="M2890" s="43" t="str">
        <f aca="false">IF(OR($L2890="",$F2890=""),"",IFERROR($L2890/INDEX(Cadastro!$E$6:$E$8,MATCH($F2890,Cadastro!$B$6:$B$8,0)),""))</f>
        <v/>
      </c>
      <c r="N2890" s="43" t="str">
        <f aca="false">IF(OR($L2890="",$I2890="",$I2890=0),"",$L2890/$I2890)</f>
        <v/>
      </c>
      <c r="O2890" s="51"/>
    </row>
    <row r="2891" customFormat="false" ht="15" hidden="false" customHeight="false" outlineLevel="0" collapsed="false">
      <c r="A2891" s="45"/>
      <c r="B2891" s="37" t="str">
        <f aca="false">IF($A2891="","",WEEKNUM($A2891,2))</f>
        <v/>
      </c>
      <c r="C2891" s="37" t="str">
        <f aca="false">IF($A2891="","",CHOOSE(WEEKDAY($A2891,2),"Seg","Ter","Qua","Qui","Sex","Sáb","Dom"))</f>
        <v/>
      </c>
      <c r="D2891" s="46"/>
      <c r="E2891" s="47"/>
      <c r="F2891" s="47"/>
      <c r="G2891" s="48"/>
      <c r="H2891" s="49"/>
      <c r="I2891" s="50"/>
      <c r="J2891" s="48"/>
      <c r="K2891" s="49"/>
      <c r="L2891" s="50"/>
      <c r="M2891" s="43" t="str">
        <f aca="false">IF(OR($L2891="",$F2891=""),"",IFERROR($L2891/INDEX(Cadastro!$E$6:$E$8,MATCH($F2891,Cadastro!$B$6:$B$8,0)),""))</f>
        <v/>
      </c>
      <c r="N2891" s="43" t="str">
        <f aca="false">IF(OR($L2891="",$I2891="",$I2891=0),"",$L2891/$I2891)</f>
        <v/>
      </c>
      <c r="O2891" s="51"/>
    </row>
    <row r="2892" customFormat="false" ht="15" hidden="false" customHeight="false" outlineLevel="0" collapsed="false">
      <c r="A2892" s="45"/>
      <c r="B2892" s="37" t="str">
        <f aca="false">IF($A2892="","",WEEKNUM($A2892,2))</f>
        <v/>
      </c>
      <c r="C2892" s="37" t="str">
        <f aca="false">IF($A2892="","",CHOOSE(WEEKDAY($A2892,2),"Seg","Ter","Qua","Qui","Sex","Sáb","Dom"))</f>
        <v/>
      </c>
      <c r="D2892" s="46"/>
      <c r="E2892" s="47"/>
      <c r="F2892" s="47"/>
      <c r="G2892" s="48"/>
      <c r="H2892" s="49"/>
      <c r="I2892" s="50"/>
      <c r="J2892" s="48"/>
      <c r="K2892" s="49"/>
      <c r="L2892" s="50"/>
      <c r="M2892" s="43" t="str">
        <f aca="false">IF(OR($L2892="",$F2892=""),"",IFERROR($L2892/INDEX(Cadastro!$E$6:$E$8,MATCH($F2892,Cadastro!$B$6:$B$8,0)),""))</f>
        <v/>
      </c>
      <c r="N2892" s="43" t="str">
        <f aca="false">IF(OR($L2892="",$I2892="",$I2892=0),"",$L2892/$I2892)</f>
        <v/>
      </c>
      <c r="O2892" s="51"/>
    </row>
    <row r="2893" customFormat="false" ht="15" hidden="false" customHeight="false" outlineLevel="0" collapsed="false">
      <c r="A2893" s="45"/>
      <c r="B2893" s="37" t="str">
        <f aca="false">IF($A2893="","",WEEKNUM($A2893,2))</f>
        <v/>
      </c>
      <c r="C2893" s="37" t="str">
        <f aca="false">IF($A2893="","",CHOOSE(WEEKDAY($A2893,2),"Seg","Ter","Qua","Qui","Sex","Sáb","Dom"))</f>
        <v/>
      </c>
      <c r="D2893" s="46"/>
      <c r="E2893" s="47"/>
      <c r="F2893" s="47"/>
      <c r="G2893" s="48"/>
      <c r="H2893" s="49"/>
      <c r="I2893" s="50"/>
      <c r="J2893" s="48"/>
      <c r="K2893" s="49"/>
      <c r="L2893" s="50"/>
      <c r="M2893" s="43" t="str">
        <f aca="false">IF(OR($L2893="",$F2893=""),"",IFERROR($L2893/INDEX(Cadastro!$E$6:$E$8,MATCH($F2893,Cadastro!$B$6:$B$8,0)),""))</f>
        <v/>
      </c>
      <c r="N2893" s="43" t="str">
        <f aca="false">IF(OR($L2893="",$I2893="",$I2893=0),"",$L2893/$I2893)</f>
        <v/>
      </c>
      <c r="O2893" s="51"/>
    </row>
    <row r="2894" customFormat="false" ht="15" hidden="false" customHeight="false" outlineLevel="0" collapsed="false">
      <c r="A2894" s="45"/>
      <c r="B2894" s="37" t="str">
        <f aca="false">IF($A2894="","",WEEKNUM($A2894,2))</f>
        <v/>
      </c>
      <c r="C2894" s="37" t="str">
        <f aca="false">IF($A2894="","",CHOOSE(WEEKDAY($A2894,2),"Seg","Ter","Qua","Qui","Sex","Sáb","Dom"))</f>
        <v/>
      </c>
      <c r="D2894" s="46"/>
      <c r="E2894" s="47"/>
      <c r="F2894" s="47"/>
      <c r="G2894" s="48"/>
      <c r="H2894" s="49"/>
      <c r="I2894" s="50"/>
      <c r="J2894" s="48"/>
      <c r="K2894" s="49"/>
      <c r="L2894" s="50"/>
      <c r="M2894" s="43" t="str">
        <f aca="false">IF(OR($L2894="",$F2894=""),"",IFERROR($L2894/INDEX(Cadastro!$E$6:$E$8,MATCH($F2894,Cadastro!$B$6:$B$8,0)),""))</f>
        <v/>
      </c>
      <c r="N2894" s="43" t="str">
        <f aca="false">IF(OR($L2894="",$I2894="",$I2894=0),"",$L2894/$I2894)</f>
        <v/>
      </c>
      <c r="O2894" s="51"/>
    </row>
    <row r="2895" customFormat="false" ht="15" hidden="false" customHeight="false" outlineLevel="0" collapsed="false">
      <c r="A2895" s="45"/>
      <c r="B2895" s="37" t="str">
        <f aca="false">IF($A2895="","",WEEKNUM($A2895,2))</f>
        <v/>
      </c>
      <c r="C2895" s="37" t="str">
        <f aca="false">IF($A2895="","",CHOOSE(WEEKDAY($A2895,2),"Seg","Ter","Qua","Qui","Sex","Sáb","Dom"))</f>
        <v/>
      </c>
      <c r="D2895" s="46"/>
      <c r="E2895" s="47"/>
      <c r="F2895" s="47"/>
      <c r="G2895" s="48"/>
      <c r="H2895" s="49"/>
      <c r="I2895" s="50"/>
      <c r="J2895" s="48"/>
      <c r="K2895" s="49"/>
      <c r="L2895" s="50"/>
      <c r="M2895" s="43" t="str">
        <f aca="false">IF(OR($L2895="",$F2895=""),"",IFERROR($L2895/INDEX(Cadastro!$E$6:$E$8,MATCH($F2895,Cadastro!$B$6:$B$8,0)),""))</f>
        <v/>
      </c>
      <c r="N2895" s="43" t="str">
        <f aca="false">IF(OR($L2895="",$I2895="",$I2895=0),"",$L2895/$I2895)</f>
        <v/>
      </c>
      <c r="O2895" s="51"/>
    </row>
    <row r="2896" customFormat="false" ht="15" hidden="false" customHeight="false" outlineLevel="0" collapsed="false">
      <c r="A2896" s="45"/>
      <c r="B2896" s="37" t="str">
        <f aca="false">IF($A2896="","",WEEKNUM($A2896,2))</f>
        <v/>
      </c>
      <c r="C2896" s="37" t="str">
        <f aca="false">IF($A2896="","",CHOOSE(WEEKDAY($A2896,2),"Seg","Ter","Qua","Qui","Sex","Sáb","Dom"))</f>
        <v/>
      </c>
      <c r="D2896" s="46"/>
      <c r="E2896" s="47"/>
      <c r="F2896" s="47"/>
      <c r="G2896" s="48"/>
      <c r="H2896" s="49"/>
      <c r="I2896" s="50"/>
      <c r="J2896" s="48"/>
      <c r="K2896" s="49"/>
      <c r="L2896" s="50"/>
      <c r="M2896" s="43" t="str">
        <f aca="false">IF(OR($L2896="",$F2896=""),"",IFERROR($L2896/INDEX(Cadastro!$E$6:$E$8,MATCH($F2896,Cadastro!$B$6:$B$8,0)),""))</f>
        <v/>
      </c>
      <c r="N2896" s="43" t="str">
        <f aca="false">IF(OR($L2896="",$I2896="",$I2896=0),"",$L2896/$I2896)</f>
        <v/>
      </c>
      <c r="O2896" s="51"/>
    </row>
    <row r="2897" customFormat="false" ht="15" hidden="false" customHeight="false" outlineLevel="0" collapsed="false">
      <c r="A2897" s="45"/>
      <c r="B2897" s="37" t="str">
        <f aca="false">IF($A2897="","",WEEKNUM($A2897,2))</f>
        <v/>
      </c>
      <c r="C2897" s="37" t="str">
        <f aca="false">IF($A2897="","",CHOOSE(WEEKDAY($A2897,2),"Seg","Ter","Qua","Qui","Sex","Sáb","Dom"))</f>
        <v/>
      </c>
      <c r="D2897" s="46"/>
      <c r="E2897" s="47"/>
      <c r="F2897" s="47"/>
      <c r="G2897" s="48"/>
      <c r="H2897" s="49"/>
      <c r="I2897" s="50"/>
      <c r="J2897" s="48"/>
      <c r="K2897" s="49"/>
      <c r="L2897" s="50"/>
      <c r="M2897" s="43" t="str">
        <f aca="false">IF(OR($L2897="",$F2897=""),"",IFERROR($L2897/INDEX(Cadastro!$E$6:$E$8,MATCH($F2897,Cadastro!$B$6:$B$8,0)),""))</f>
        <v/>
      </c>
      <c r="N2897" s="43" t="str">
        <f aca="false">IF(OR($L2897="",$I2897="",$I2897=0),"",$L2897/$I2897)</f>
        <v/>
      </c>
      <c r="O2897" s="51"/>
    </row>
    <row r="2898" customFormat="false" ht="15" hidden="false" customHeight="false" outlineLevel="0" collapsed="false">
      <c r="A2898" s="45"/>
      <c r="B2898" s="37" t="str">
        <f aca="false">IF($A2898="","",WEEKNUM($A2898,2))</f>
        <v/>
      </c>
      <c r="C2898" s="37" t="str">
        <f aca="false">IF($A2898="","",CHOOSE(WEEKDAY($A2898,2),"Seg","Ter","Qua","Qui","Sex","Sáb","Dom"))</f>
        <v/>
      </c>
      <c r="D2898" s="46"/>
      <c r="E2898" s="47"/>
      <c r="F2898" s="47"/>
      <c r="G2898" s="48"/>
      <c r="H2898" s="49"/>
      <c r="I2898" s="50"/>
      <c r="J2898" s="48"/>
      <c r="K2898" s="49"/>
      <c r="L2898" s="50"/>
      <c r="M2898" s="43" t="str">
        <f aca="false">IF(OR($L2898="",$F2898=""),"",IFERROR($L2898/INDEX(Cadastro!$E$6:$E$8,MATCH($F2898,Cadastro!$B$6:$B$8,0)),""))</f>
        <v/>
      </c>
      <c r="N2898" s="43" t="str">
        <f aca="false">IF(OR($L2898="",$I2898="",$I2898=0),"",$L2898/$I2898)</f>
        <v/>
      </c>
      <c r="O2898" s="51"/>
    </row>
    <row r="2899" customFormat="false" ht="15" hidden="false" customHeight="false" outlineLevel="0" collapsed="false">
      <c r="A2899" s="45"/>
      <c r="B2899" s="37" t="str">
        <f aca="false">IF($A2899="","",WEEKNUM($A2899,2))</f>
        <v/>
      </c>
      <c r="C2899" s="37" t="str">
        <f aca="false">IF($A2899="","",CHOOSE(WEEKDAY($A2899,2),"Seg","Ter","Qua","Qui","Sex","Sáb","Dom"))</f>
        <v/>
      </c>
      <c r="D2899" s="46"/>
      <c r="E2899" s="47"/>
      <c r="F2899" s="47"/>
      <c r="G2899" s="48"/>
      <c r="H2899" s="49"/>
      <c r="I2899" s="50"/>
      <c r="J2899" s="48"/>
      <c r="K2899" s="49"/>
      <c r="L2899" s="50"/>
      <c r="M2899" s="43" t="str">
        <f aca="false">IF(OR($L2899="",$F2899=""),"",IFERROR($L2899/INDEX(Cadastro!$E$6:$E$8,MATCH($F2899,Cadastro!$B$6:$B$8,0)),""))</f>
        <v/>
      </c>
      <c r="N2899" s="43" t="str">
        <f aca="false">IF(OR($L2899="",$I2899="",$I2899=0),"",$L2899/$I2899)</f>
        <v/>
      </c>
      <c r="O2899" s="51"/>
    </row>
    <row r="2900" customFormat="false" ht="15" hidden="false" customHeight="false" outlineLevel="0" collapsed="false">
      <c r="A2900" s="45"/>
      <c r="B2900" s="37" t="str">
        <f aca="false">IF($A2900="","",WEEKNUM($A2900,2))</f>
        <v/>
      </c>
      <c r="C2900" s="37" t="str">
        <f aca="false">IF($A2900="","",CHOOSE(WEEKDAY($A2900,2),"Seg","Ter","Qua","Qui","Sex","Sáb","Dom"))</f>
        <v/>
      </c>
      <c r="D2900" s="46"/>
      <c r="E2900" s="47"/>
      <c r="F2900" s="47"/>
      <c r="G2900" s="48"/>
      <c r="H2900" s="49"/>
      <c r="I2900" s="50"/>
      <c r="J2900" s="48"/>
      <c r="K2900" s="49"/>
      <c r="L2900" s="50"/>
      <c r="M2900" s="43" t="str">
        <f aca="false">IF(OR($L2900="",$F2900=""),"",IFERROR($L2900/INDEX(Cadastro!$E$6:$E$8,MATCH($F2900,Cadastro!$B$6:$B$8,0)),""))</f>
        <v/>
      </c>
      <c r="N2900" s="43" t="str">
        <f aca="false">IF(OR($L2900="",$I2900="",$I2900=0),"",$L2900/$I2900)</f>
        <v/>
      </c>
      <c r="O2900" s="51"/>
    </row>
    <row r="2901" customFormat="false" ht="15" hidden="false" customHeight="false" outlineLevel="0" collapsed="false">
      <c r="A2901" s="45"/>
      <c r="B2901" s="37" t="str">
        <f aca="false">IF($A2901="","",WEEKNUM($A2901,2))</f>
        <v/>
      </c>
      <c r="C2901" s="37" t="str">
        <f aca="false">IF($A2901="","",CHOOSE(WEEKDAY($A2901,2),"Seg","Ter","Qua","Qui","Sex","Sáb","Dom"))</f>
        <v/>
      </c>
      <c r="D2901" s="46"/>
      <c r="E2901" s="47"/>
      <c r="F2901" s="47"/>
      <c r="G2901" s="48"/>
      <c r="H2901" s="49"/>
      <c r="I2901" s="50"/>
      <c r="J2901" s="48"/>
      <c r="K2901" s="49"/>
      <c r="L2901" s="50"/>
      <c r="M2901" s="43" t="str">
        <f aca="false">IF(OR($L2901="",$F2901=""),"",IFERROR($L2901/INDEX(Cadastro!$E$6:$E$8,MATCH($F2901,Cadastro!$B$6:$B$8,0)),""))</f>
        <v/>
      </c>
      <c r="N2901" s="43" t="str">
        <f aca="false">IF(OR($L2901="",$I2901="",$I2901=0),"",$L2901/$I2901)</f>
        <v/>
      </c>
      <c r="O2901" s="51"/>
    </row>
    <row r="2902" customFormat="false" ht="15" hidden="false" customHeight="false" outlineLevel="0" collapsed="false">
      <c r="A2902" s="45"/>
      <c r="B2902" s="37" t="str">
        <f aca="false">IF($A2902="","",WEEKNUM($A2902,2))</f>
        <v/>
      </c>
      <c r="C2902" s="37" t="str">
        <f aca="false">IF($A2902="","",CHOOSE(WEEKDAY($A2902,2),"Seg","Ter","Qua","Qui","Sex","Sáb","Dom"))</f>
        <v/>
      </c>
      <c r="D2902" s="46"/>
      <c r="E2902" s="47"/>
      <c r="F2902" s="47"/>
      <c r="G2902" s="48"/>
      <c r="H2902" s="49"/>
      <c r="I2902" s="50"/>
      <c r="J2902" s="48"/>
      <c r="K2902" s="49"/>
      <c r="L2902" s="50"/>
      <c r="M2902" s="43" t="str">
        <f aca="false">IF(OR($L2902="",$F2902=""),"",IFERROR($L2902/INDEX(Cadastro!$E$6:$E$8,MATCH($F2902,Cadastro!$B$6:$B$8,0)),""))</f>
        <v/>
      </c>
      <c r="N2902" s="43" t="str">
        <f aca="false">IF(OR($L2902="",$I2902="",$I2902=0),"",$L2902/$I2902)</f>
        <v/>
      </c>
      <c r="O2902" s="51"/>
    </row>
    <row r="2903" customFormat="false" ht="15" hidden="false" customHeight="false" outlineLevel="0" collapsed="false">
      <c r="A2903" s="45"/>
      <c r="B2903" s="37" t="str">
        <f aca="false">IF($A2903="","",WEEKNUM($A2903,2))</f>
        <v/>
      </c>
      <c r="C2903" s="37" t="str">
        <f aca="false">IF($A2903="","",CHOOSE(WEEKDAY($A2903,2),"Seg","Ter","Qua","Qui","Sex","Sáb","Dom"))</f>
        <v/>
      </c>
      <c r="D2903" s="46"/>
      <c r="E2903" s="47"/>
      <c r="F2903" s="47"/>
      <c r="G2903" s="48"/>
      <c r="H2903" s="49"/>
      <c r="I2903" s="50"/>
      <c r="J2903" s="48"/>
      <c r="K2903" s="49"/>
      <c r="L2903" s="50"/>
      <c r="M2903" s="43" t="str">
        <f aca="false">IF(OR($L2903="",$F2903=""),"",IFERROR($L2903/INDEX(Cadastro!$E$6:$E$8,MATCH($F2903,Cadastro!$B$6:$B$8,0)),""))</f>
        <v/>
      </c>
      <c r="N2903" s="43" t="str">
        <f aca="false">IF(OR($L2903="",$I2903="",$I2903=0),"",$L2903/$I2903)</f>
        <v/>
      </c>
      <c r="O2903" s="51"/>
    </row>
    <row r="2904" customFormat="false" ht="15" hidden="false" customHeight="false" outlineLevel="0" collapsed="false">
      <c r="A2904" s="45"/>
      <c r="B2904" s="37" t="str">
        <f aca="false">IF($A2904="","",WEEKNUM($A2904,2))</f>
        <v/>
      </c>
      <c r="C2904" s="37" t="str">
        <f aca="false">IF($A2904="","",CHOOSE(WEEKDAY($A2904,2),"Seg","Ter","Qua","Qui","Sex","Sáb","Dom"))</f>
        <v/>
      </c>
      <c r="D2904" s="46"/>
      <c r="E2904" s="47"/>
      <c r="F2904" s="47"/>
      <c r="G2904" s="48"/>
      <c r="H2904" s="49"/>
      <c r="I2904" s="50"/>
      <c r="J2904" s="48"/>
      <c r="K2904" s="49"/>
      <c r="L2904" s="50"/>
      <c r="M2904" s="43" t="str">
        <f aca="false">IF(OR($L2904="",$F2904=""),"",IFERROR($L2904/INDEX(Cadastro!$E$6:$E$8,MATCH($F2904,Cadastro!$B$6:$B$8,0)),""))</f>
        <v/>
      </c>
      <c r="N2904" s="43" t="str">
        <f aca="false">IF(OR($L2904="",$I2904="",$I2904=0),"",$L2904/$I2904)</f>
        <v/>
      </c>
      <c r="O2904" s="51"/>
    </row>
    <row r="2905" customFormat="false" ht="15" hidden="false" customHeight="false" outlineLevel="0" collapsed="false">
      <c r="A2905" s="45"/>
      <c r="B2905" s="37" t="str">
        <f aca="false">IF($A2905="","",WEEKNUM($A2905,2))</f>
        <v/>
      </c>
      <c r="C2905" s="37" t="str">
        <f aca="false">IF($A2905="","",CHOOSE(WEEKDAY($A2905,2),"Seg","Ter","Qua","Qui","Sex","Sáb","Dom"))</f>
        <v/>
      </c>
      <c r="D2905" s="46"/>
      <c r="E2905" s="47"/>
      <c r="F2905" s="47"/>
      <c r="G2905" s="48"/>
      <c r="H2905" s="49"/>
      <c r="I2905" s="50"/>
      <c r="J2905" s="48"/>
      <c r="K2905" s="49"/>
      <c r="L2905" s="50"/>
      <c r="M2905" s="43" t="str">
        <f aca="false">IF(OR($L2905="",$F2905=""),"",IFERROR($L2905/INDEX(Cadastro!$E$6:$E$8,MATCH($F2905,Cadastro!$B$6:$B$8,0)),""))</f>
        <v/>
      </c>
      <c r="N2905" s="43" t="str">
        <f aca="false">IF(OR($L2905="",$I2905="",$I2905=0),"",$L2905/$I2905)</f>
        <v/>
      </c>
      <c r="O2905" s="51"/>
    </row>
    <row r="2906" customFormat="false" ht="15" hidden="false" customHeight="false" outlineLevel="0" collapsed="false">
      <c r="A2906" s="45"/>
      <c r="B2906" s="37" t="str">
        <f aca="false">IF($A2906="","",WEEKNUM($A2906,2))</f>
        <v/>
      </c>
      <c r="C2906" s="37" t="str">
        <f aca="false">IF($A2906="","",CHOOSE(WEEKDAY($A2906,2),"Seg","Ter","Qua","Qui","Sex","Sáb","Dom"))</f>
        <v/>
      </c>
      <c r="D2906" s="46"/>
      <c r="E2906" s="47"/>
      <c r="F2906" s="47"/>
      <c r="G2906" s="48"/>
      <c r="H2906" s="49"/>
      <c r="I2906" s="50"/>
      <c r="J2906" s="48"/>
      <c r="K2906" s="49"/>
      <c r="L2906" s="50"/>
      <c r="M2906" s="43" t="str">
        <f aca="false">IF(OR($L2906="",$F2906=""),"",IFERROR($L2906/INDEX(Cadastro!$E$6:$E$8,MATCH($F2906,Cadastro!$B$6:$B$8,0)),""))</f>
        <v/>
      </c>
      <c r="N2906" s="43" t="str">
        <f aca="false">IF(OR($L2906="",$I2906="",$I2906=0),"",$L2906/$I2906)</f>
        <v/>
      </c>
      <c r="O2906" s="51"/>
    </row>
    <row r="2907" customFormat="false" ht="15" hidden="false" customHeight="false" outlineLevel="0" collapsed="false">
      <c r="A2907" s="45"/>
      <c r="B2907" s="37" t="str">
        <f aca="false">IF($A2907="","",WEEKNUM($A2907,2))</f>
        <v/>
      </c>
      <c r="C2907" s="37" t="str">
        <f aca="false">IF($A2907="","",CHOOSE(WEEKDAY($A2907,2),"Seg","Ter","Qua","Qui","Sex","Sáb","Dom"))</f>
        <v/>
      </c>
      <c r="D2907" s="46"/>
      <c r="E2907" s="47"/>
      <c r="F2907" s="47"/>
      <c r="G2907" s="48"/>
      <c r="H2907" s="49"/>
      <c r="I2907" s="50"/>
      <c r="J2907" s="48"/>
      <c r="K2907" s="49"/>
      <c r="L2907" s="50"/>
      <c r="M2907" s="43" t="str">
        <f aca="false">IF(OR($L2907="",$F2907=""),"",IFERROR($L2907/INDEX(Cadastro!$E$6:$E$8,MATCH($F2907,Cadastro!$B$6:$B$8,0)),""))</f>
        <v/>
      </c>
      <c r="N2907" s="43" t="str">
        <f aca="false">IF(OR($L2907="",$I2907="",$I2907=0),"",$L2907/$I2907)</f>
        <v/>
      </c>
      <c r="O2907" s="51"/>
    </row>
    <row r="2908" customFormat="false" ht="15" hidden="false" customHeight="false" outlineLevel="0" collapsed="false">
      <c r="A2908" s="45"/>
      <c r="B2908" s="37" t="str">
        <f aca="false">IF($A2908="","",WEEKNUM($A2908,2))</f>
        <v/>
      </c>
      <c r="C2908" s="37" t="str">
        <f aca="false">IF($A2908="","",CHOOSE(WEEKDAY($A2908,2),"Seg","Ter","Qua","Qui","Sex","Sáb","Dom"))</f>
        <v/>
      </c>
      <c r="D2908" s="46"/>
      <c r="E2908" s="47"/>
      <c r="F2908" s="47"/>
      <c r="G2908" s="48"/>
      <c r="H2908" s="49"/>
      <c r="I2908" s="50"/>
      <c r="J2908" s="48"/>
      <c r="K2908" s="49"/>
      <c r="L2908" s="50"/>
      <c r="M2908" s="43" t="str">
        <f aca="false">IF(OR($L2908="",$F2908=""),"",IFERROR($L2908/INDEX(Cadastro!$E$6:$E$8,MATCH($F2908,Cadastro!$B$6:$B$8,0)),""))</f>
        <v/>
      </c>
      <c r="N2908" s="43" t="str">
        <f aca="false">IF(OR($L2908="",$I2908="",$I2908=0),"",$L2908/$I2908)</f>
        <v/>
      </c>
      <c r="O2908" s="51"/>
    </row>
    <row r="2909" customFormat="false" ht="15" hidden="false" customHeight="false" outlineLevel="0" collapsed="false">
      <c r="A2909" s="45"/>
      <c r="B2909" s="37" t="str">
        <f aca="false">IF($A2909="","",WEEKNUM($A2909,2))</f>
        <v/>
      </c>
      <c r="C2909" s="37" t="str">
        <f aca="false">IF($A2909="","",CHOOSE(WEEKDAY($A2909,2),"Seg","Ter","Qua","Qui","Sex","Sáb","Dom"))</f>
        <v/>
      </c>
      <c r="D2909" s="46"/>
      <c r="E2909" s="47"/>
      <c r="F2909" s="47"/>
      <c r="G2909" s="48"/>
      <c r="H2909" s="49"/>
      <c r="I2909" s="50"/>
      <c r="J2909" s="48"/>
      <c r="K2909" s="49"/>
      <c r="L2909" s="50"/>
      <c r="M2909" s="43" t="str">
        <f aca="false">IF(OR($L2909="",$F2909=""),"",IFERROR($L2909/INDEX(Cadastro!$E$6:$E$8,MATCH($F2909,Cadastro!$B$6:$B$8,0)),""))</f>
        <v/>
      </c>
      <c r="N2909" s="43" t="str">
        <f aca="false">IF(OR($L2909="",$I2909="",$I2909=0),"",$L2909/$I2909)</f>
        <v/>
      </c>
      <c r="O2909" s="51"/>
    </row>
    <row r="2910" customFormat="false" ht="15" hidden="false" customHeight="false" outlineLevel="0" collapsed="false">
      <c r="A2910" s="45"/>
      <c r="B2910" s="37" t="str">
        <f aca="false">IF($A2910="","",WEEKNUM($A2910,2))</f>
        <v/>
      </c>
      <c r="C2910" s="37" t="str">
        <f aca="false">IF($A2910="","",CHOOSE(WEEKDAY($A2910,2),"Seg","Ter","Qua","Qui","Sex","Sáb","Dom"))</f>
        <v/>
      </c>
      <c r="D2910" s="46"/>
      <c r="E2910" s="47"/>
      <c r="F2910" s="47"/>
      <c r="G2910" s="48"/>
      <c r="H2910" s="49"/>
      <c r="I2910" s="50"/>
      <c r="J2910" s="48"/>
      <c r="K2910" s="49"/>
      <c r="L2910" s="50"/>
      <c r="M2910" s="43" t="str">
        <f aca="false">IF(OR($L2910="",$F2910=""),"",IFERROR($L2910/INDEX(Cadastro!$E$6:$E$8,MATCH($F2910,Cadastro!$B$6:$B$8,0)),""))</f>
        <v/>
      </c>
      <c r="N2910" s="43" t="str">
        <f aca="false">IF(OR($L2910="",$I2910="",$I2910=0),"",$L2910/$I2910)</f>
        <v/>
      </c>
      <c r="O2910" s="51"/>
    </row>
    <row r="2911" customFormat="false" ht="15" hidden="false" customHeight="false" outlineLevel="0" collapsed="false">
      <c r="A2911" s="45"/>
      <c r="B2911" s="37" t="str">
        <f aca="false">IF($A2911="","",WEEKNUM($A2911,2))</f>
        <v/>
      </c>
      <c r="C2911" s="37" t="str">
        <f aca="false">IF($A2911="","",CHOOSE(WEEKDAY($A2911,2),"Seg","Ter","Qua","Qui","Sex","Sáb","Dom"))</f>
        <v/>
      </c>
      <c r="D2911" s="46"/>
      <c r="E2911" s="47"/>
      <c r="F2911" s="47"/>
      <c r="G2911" s="48"/>
      <c r="H2911" s="49"/>
      <c r="I2911" s="50"/>
      <c r="J2911" s="48"/>
      <c r="K2911" s="49"/>
      <c r="L2911" s="50"/>
      <c r="M2911" s="43" t="str">
        <f aca="false">IF(OR($L2911="",$F2911=""),"",IFERROR($L2911/INDEX(Cadastro!$E$6:$E$8,MATCH($F2911,Cadastro!$B$6:$B$8,0)),""))</f>
        <v/>
      </c>
      <c r="N2911" s="43" t="str">
        <f aca="false">IF(OR($L2911="",$I2911="",$I2911=0),"",$L2911/$I2911)</f>
        <v/>
      </c>
      <c r="O2911" s="51"/>
    </row>
    <row r="2912" customFormat="false" ht="15" hidden="false" customHeight="false" outlineLevel="0" collapsed="false">
      <c r="A2912" s="45"/>
      <c r="B2912" s="37" t="str">
        <f aca="false">IF($A2912="","",WEEKNUM($A2912,2))</f>
        <v/>
      </c>
      <c r="C2912" s="37" t="str">
        <f aca="false">IF($A2912="","",CHOOSE(WEEKDAY($A2912,2),"Seg","Ter","Qua","Qui","Sex","Sáb","Dom"))</f>
        <v/>
      </c>
      <c r="D2912" s="46"/>
      <c r="E2912" s="47"/>
      <c r="F2912" s="47"/>
      <c r="G2912" s="48"/>
      <c r="H2912" s="49"/>
      <c r="I2912" s="50"/>
      <c r="J2912" s="48"/>
      <c r="K2912" s="49"/>
      <c r="L2912" s="50"/>
      <c r="M2912" s="43" t="str">
        <f aca="false">IF(OR($L2912="",$F2912=""),"",IFERROR($L2912/INDEX(Cadastro!$E$6:$E$8,MATCH($F2912,Cadastro!$B$6:$B$8,0)),""))</f>
        <v/>
      </c>
      <c r="N2912" s="43" t="str">
        <f aca="false">IF(OR($L2912="",$I2912="",$I2912=0),"",$L2912/$I2912)</f>
        <v/>
      </c>
      <c r="O2912" s="51"/>
    </row>
    <row r="2913" customFormat="false" ht="15" hidden="false" customHeight="false" outlineLevel="0" collapsed="false">
      <c r="A2913" s="45"/>
      <c r="B2913" s="37" t="str">
        <f aca="false">IF($A2913="","",WEEKNUM($A2913,2))</f>
        <v/>
      </c>
      <c r="C2913" s="37" t="str">
        <f aca="false">IF($A2913="","",CHOOSE(WEEKDAY($A2913,2),"Seg","Ter","Qua","Qui","Sex","Sáb","Dom"))</f>
        <v/>
      </c>
      <c r="D2913" s="46"/>
      <c r="E2913" s="47"/>
      <c r="F2913" s="47"/>
      <c r="G2913" s="48"/>
      <c r="H2913" s="49"/>
      <c r="I2913" s="50"/>
      <c r="J2913" s="48"/>
      <c r="K2913" s="49"/>
      <c r="L2913" s="50"/>
      <c r="M2913" s="43" t="str">
        <f aca="false">IF(OR($L2913="",$F2913=""),"",IFERROR($L2913/INDEX(Cadastro!$E$6:$E$8,MATCH($F2913,Cadastro!$B$6:$B$8,0)),""))</f>
        <v/>
      </c>
      <c r="N2913" s="43" t="str">
        <f aca="false">IF(OR($L2913="",$I2913="",$I2913=0),"",$L2913/$I2913)</f>
        <v/>
      </c>
      <c r="O2913" s="51"/>
    </row>
    <row r="2914" customFormat="false" ht="15" hidden="false" customHeight="false" outlineLevel="0" collapsed="false">
      <c r="A2914" s="45"/>
      <c r="B2914" s="37" t="str">
        <f aca="false">IF($A2914="","",WEEKNUM($A2914,2))</f>
        <v/>
      </c>
      <c r="C2914" s="37" t="str">
        <f aca="false">IF($A2914="","",CHOOSE(WEEKDAY($A2914,2),"Seg","Ter","Qua","Qui","Sex","Sáb","Dom"))</f>
        <v/>
      </c>
      <c r="D2914" s="46"/>
      <c r="E2914" s="47"/>
      <c r="F2914" s="47"/>
      <c r="G2914" s="48"/>
      <c r="H2914" s="49"/>
      <c r="I2914" s="50"/>
      <c r="J2914" s="48"/>
      <c r="K2914" s="49"/>
      <c r="L2914" s="50"/>
      <c r="M2914" s="43" t="str">
        <f aca="false">IF(OR($L2914="",$F2914=""),"",IFERROR($L2914/INDEX(Cadastro!$E$6:$E$8,MATCH($F2914,Cadastro!$B$6:$B$8,0)),""))</f>
        <v/>
      </c>
      <c r="N2914" s="43" t="str">
        <f aca="false">IF(OR($L2914="",$I2914="",$I2914=0),"",$L2914/$I2914)</f>
        <v/>
      </c>
      <c r="O2914" s="51"/>
    </row>
    <row r="2915" customFormat="false" ht="15" hidden="false" customHeight="false" outlineLevel="0" collapsed="false">
      <c r="A2915" s="45"/>
      <c r="B2915" s="37" t="str">
        <f aca="false">IF($A2915="","",WEEKNUM($A2915,2))</f>
        <v/>
      </c>
      <c r="C2915" s="37" t="str">
        <f aca="false">IF($A2915="","",CHOOSE(WEEKDAY($A2915,2),"Seg","Ter","Qua","Qui","Sex","Sáb","Dom"))</f>
        <v/>
      </c>
      <c r="D2915" s="46"/>
      <c r="E2915" s="47"/>
      <c r="F2915" s="47"/>
      <c r="G2915" s="48"/>
      <c r="H2915" s="49"/>
      <c r="I2915" s="50"/>
      <c r="J2915" s="48"/>
      <c r="K2915" s="49"/>
      <c r="L2915" s="50"/>
      <c r="M2915" s="43" t="str">
        <f aca="false">IF(OR($L2915="",$F2915=""),"",IFERROR($L2915/INDEX(Cadastro!$E$6:$E$8,MATCH($F2915,Cadastro!$B$6:$B$8,0)),""))</f>
        <v/>
      </c>
      <c r="N2915" s="43" t="str">
        <f aca="false">IF(OR($L2915="",$I2915="",$I2915=0),"",$L2915/$I2915)</f>
        <v/>
      </c>
      <c r="O2915" s="51"/>
    </row>
    <row r="2916" customFormat="false" ht="15" hidden="false" customHeight="false" outlineLevel="0" collapsed="false">
      <c r="A2916" s="45"/>
      <c r="B2916" s="37" t="str">
        <f aca="false">IF($A2916="","",WEEKNUM($A2916,2))</f>
        <v/>
      </c>
      <c r="C2916" s="37" t="str">
        <f aca="false">IF($A2916="","",CHOOSE(WEEKDAY($A2916,2),"Seg","Ter","Qua","Qui","Sex","Sáb","Dom"))</f>
        <v/>
      </c>
      <c r="D2916" s="46"/>
      <c r="E2916" s="47"/>
      <c r="F2916" s="47"/>
      <c r="G2916" s="48"/>
      <c r="H2916" s="49"/>
      <c r="I2916" s="50"/>
      <c r="J2916" s="48"/>
      <c r="K2916" s="49"/>
      <c r="L2916" s="50"/>
      <c r="M2916" s="43" t="str">
        <f aca="false">IF(OR($L2916="",$F2916=""),"",IFERROR($L2916/INDEX(Cadastro!$E$6:$E$8,MATCH($F2916,Cadastro!$B$6:$B$8,0)),""))</f>
        <v/>
      </c>
      <c r="N2916" s="43" t="str">
        <f aca="false">IF(OR($L2916="",$I2916="",$I2916=0),"",$L2916/$I2916)</f>
        <v/>
      </c>
      <c r="O2916" s="51"/>
    </row>
    <row r="2917" customFormat="false" ht="15" hidden="false" customHeight="false" outlineLevel="0" collapsed="false">
      <c r="A2917" s="45"/>
      <c r="B2917" s="37" t="str">
        <f aca="false">IF($A2917="","",WEEKNUM($A2917,2))</f>
        <v/>
      </c>
      <c r="C2917" s="37" t="str">
        <f aca="false">IF($A2917="","",CHOOSE(WEEKDAY($A2917,2),"Seg","Ter","Qua","Qui","Sex","Sáb","Dom"))</f>
        <v/>
      </c>
      <c r="D2917" s="46"/>
      <c r="E2917" s="47"/>
      <c r="F2917" s="47"/>
      <c r="G2917" s="48"/>
      <c r="H2917" s="49"/>
      <c r="I2917" s="50"/>
      <c r="J2917" s="48"/>
      <c r="K2917" s="49"/>
      <c r="L2917" s="50"/>
      <c r="M2917" s="43" t="str">
        <f aca="false">IF(OR($L2917="",$F2917=""),"",IFERROR($L2917/INDEX(Cadastro!$E$6:$E$8,MATCH($F2917,Cadastro!$B$6:$B$8,0)),""))</f>
        <v/>
      </c>
      <c r="N2917" s="43" t="str">
        <f aca="false">IF(OR($L2917="",$I2917="",$I2917=0),"",$L2917/$I2917)</f>
        <v/>
      </c>
      <c r="O2917" s="51"/>
    </row>
    <row r="2918" customFormat="false" ht="15" hidden="false" customHeight="false" outlineLevel="0" collapsed="false">
      <c r="A2918" s="45"/>
      <c r="B2918" s="37" t="str">
        <f aca="false">IF($A2918="","",WEEKNUM($A2918,2))</f>
        <v/>
      </c>
      <c r="C2918" s="37" t="str">
        <f aca="false">IF($A2918="","",CHOOSE(WEEKDAY($A2918,2),"Seg","Ter","Qua","Qui","Sex","Sáb","Dom"))</f>
        <v/>
      </c>
      <c r="D2918" s="46"/>
      <c r="E2918" s="47"/>
      <c r="F2918" s="47"/>
      <c r="G2918" s="48"/>
      <c r="H2918" s="49"/>
      <c r="I2918" s="50"/>
      <c r="J2918" s="48"/>
      <c r="K2918" s="49"/>
      <c r="L2918" s="50"/>
      <c r="M2918" s="43" t="str">
        <f aca="false">IF(OR($L2918="",$F2918=""),"",IFERROR($L2918/INDEX(Cadastro!$E$6:$E$8,MATCH($F2918,Cadastro!$B$6:$B$8,0)),""))</f>
        <v/>
      </c>
      <c r="N2918" s="43" t="str">
        <f aca="false">IF(OR($L2918="",$I2918="",$I2918=0),"",$L2918/$I2918)</f>
        <v/>
      </c>
      <c r="O2918" s="51"/>
    </row>
    <row r="2919" customFormat="false" ht="15" hidden="false" customHeight="false" outlineLevel="0" collapsed="false">
      <c r="A2919" s="45"/>
      <c r="B2919" s="37" t="str">
        <f aca="false">IF($A2919="","",WEEKNUM($A2919,2))</f>
        <v/>
      </c>
      <c r="C2919" s="37" t="str">
        <f aca="false">IF($A2919="","",CHOOSE(WEEKDAY($A2919,2),"Seg","Ter","Qua","Qui","Sex","Sáb","Dom"))</f>
        <v/>
      </c>
      <c r="D2919" s="46"/>
      <c r="E2919" s="47"/>
      <c r="F2919" s="47"/>
      <c r="G2919" s="48"/>
      <c r="H2919" s="49"/>
      <c r="I2919" s="50"/>
      <c r="J2919" s="48"/>
      <c r="K2919" s="49"/>
      <c r="L2919" s="50"/>
      <c r="M2919" s="43" t="str">
        <f aca="false">IF(OR($L2919="",$F2919=""),"",IFERROR($L2919/INDEX(Cadastro!$E$6:$E$8,MATCH($F2919,Cadastro!$B$6:$B$8,0)),""))</f>
        <v/>
      </c>
      <c r="N2919" s="43" t="str">
        <f aca="false">IF(OR($L2919="",$I2919="",$I2919=0),"",$L2919/$I2919)</f>
        <v/>
      </c>
      <c r="O2919" s="51"/>
    </row>
    <row r="2920" customFormat="false" ht="15" hidden="false" customHeight="false" outlineLevel="0" collapsed="false">
      <c r="A2920" s="45"/>
      <c r="B2920" s="37" t="str">
        <f aca="false">IF($A2920="","",WEEKNUM($A2920,2))</f>
        <v/>
      </c>
      <c r="C2920" s="37" t="str">
        <f aca="false">IF($A2920="","",CHOOSE(WEEKDAY($A2920,2),"Seg","Ter","Qua","Qui","Sex","Sáb","Dom"))</f>
        <v/>
      </c>
      <c r="D2920" s="46"/>
      <c r="E2920" s="47"/>
      <c r="F2920" s="47"/>
      <c r="G2920" s="48"/>
      <c r="H2920" s="49"/>
      <c r="I2920" s="50"/>
      <c r="J2920" s="48"/>
      <c r="K2920" s="49"/>
      <c r="L2920" s="50"/>
      <c r="M2920" s="43" t="str">
        <f aca="false">IF(OR($L2920="",$F2920=""),"",IFERROR($L2920/INDEX(Cadastro!$E$6:$E$8,MATCH($F2920,Cadastro!$B$6:$B$8,0)),""))</f>
        <v/>
      </c>
      <c r="N2920" s="43" t="str">
        <f aca="false">IF(OR($L2920="",$I2920="",$I2920=0),"",$L2920/$I2920)</f>
        <v/>
      </c>
      <c r="O2920" s="51"/>
    </row>
    <row r="2921" customFormat="false" ht="15" hidden="false" customHeight="false" outlineLevel="0" collapsed="false">
      <c r="A2921" s="45"/>
      <c r="B2921" s="37" t="str">
        <f aca="false">IF($A2921="","",WEEKNUM($A2921,2))</f>
        <v/>
      </c>
      <c r="C2921" s="37" t="str">
        <f aca="false">IF($A2921="","",CHOOSE(WEEKDAY($A2921,2),"Seg","Ter","Qua","Qui","Sex","Sáb","Dom"))</f>
        <v/>
      </c>
      <c r="D2921" s="46"/>
      <c r="E2921" s="47"/>
      <c r="F2921" s="47"/>
      <c r="G2921" s="48"/>
      <c r="H2921" s="49"/>
      <c r="I2921" s="50"/>
      <c r="J2921" s="48"/>
      <c r="K2921" s="49"/>
      <c r="L2921" s="50"/>
      <c r="M2921" s="43" t="str">
        <f aca="false">IF(OR($L2921="",$F2921=""),"",IFERROR($L2921/INDEX(Cadastro!$E$6:$E$8,MATCH($F2921,Cadastro!$B$6:$B$8,0)),""))</f>
        <v/>
      </c>
      <c r="N2921" s="43" t="str">
        <f aca="false">IF(OR($L2921="",$I2921="",$I2921=0),"",$L2921/$I2921)</f>
        <v/>
      </c>
      <c r="O2921" s="51"/>
    </row>
    <row r="2922" customFormat="false" ht="15" hidden="false" customHeight="false" outlineLevel="0" collapsed="false">
      <c r="A2922" s="45"/>
      <c r="B2922" s="37" t="str">
        <f aca="false">IF($A2922="","",WEEKNUM($A2922,2))</f>
        <v/>
      </c>
      <c r="C2922" s="37" t="str">
        <f aca="false">IF($A2922="","",CHOOSE(WEEKDAY($A2922,2),"Seg","Ter","Qua","Qui","Sex","Sáb","Dom"))</f>
        <v/>
      </c>
      <c r="D2922" s="46"/>
      <c r="E2922" s="47"/>
      <c r="F2922" s="47"/>
      <c r="G2922" s="48"/>
      <c r="H2922" s="49"/>
      <c r="I2922" s="50"/>
      <c r="J2922" s="48"/>
      <c r="K2922" s="49"/>
      <c r="L2922" s="50"/>
      <c r="M2922" s="43" t="str">
        <f aca="false">IF(OR($L2922="",$F2922=""),"",IFERROR($L2922/INDEX(Cadastro!$E$6:$E$8,MATCH($F2922,Cadastro!$B$6:$B$8,0)),""))</f>
        <v/>
      </c>
      <c r="N2922" s="43" t="str">
        <f aca="false">IF(OR($L2922="",$I2922="",$I2922=0),"",$L2922/$I2922)</f>
        <v/>
      </c>
      <c r="O2922" s="51"/>
    </row>
    <row r="2923" customFormat="false" ht="15" hidden="false" customHeight="false" outlineLevel="0" collapsed="false">
      <c r="A2923" s="45"/>
      <c r="B2923" s="37" t="str">
        <f aca="false">IF($A2923="","",WEEKNUM($A2923,2))</f>
        <v/>
      </c>
      <c r="C2923" s="37" t="str">
        <f aca="false">IF($A2923="","",CHOOSE(WEEKDAY($A2923,2),"Seg","Ter","Qua","Qui","Sex","Sáb","Dom"))</f>
        <v/>
      </c>
      <c r="D2923" s="46"/>
      <c r="E2923" s="47"/>
      <c r="F2923" s="47"/>
      <c r="G2923" s="48"/>
      <c r="H2923" s="49"/>
      <c r="I2923" s="50"/>
      <c r="J2923" s="48"/>
      <c r="K2923" s="49"/>
      <c r="L2923" s="50"/>
      <c r="M2923" s="43" t="str">
        <f aca="false">IF(OR($L2923="",$F2923=""),"",IFERROR($L2923/INDEX(Cadastro!$E$6:$E$8,MATCH($F2923,Cadastro!$B$6:$B$8,0)),""))</f>
        <v/>
      </c>
      <c r="N2923" s="43" t="str">
        <f aca="false">IF(OR($L2923="",$I2923="",$I2923=0),"",$L2923/$I2923)</f>
        <v/>
      </c>
      <c r="O2923" s="51"/>
    </row>
    <row r="2924" customFormat="false" ht="15" hidden="false" customHeight="false" outlineLevel="0" collapsed="false">
      <c r="A2924" s="45"/>
      <c r="B2924" s="37" t="str">
        <f aca="false">IF($A2924="","",WEEKNUM($A2924,2))</f>
        <v/>
      </c>
      <c r="C2924" s="37" t="str">
        <f aca="false">IF($A2924="","",CHOOSE(WEEKDAY($A2924,2),"Seg","Ter","Qua","Qui","Sex","Sáb","Dom"))</f>
        <v/>
      </c>
      <c r="D2924" s="46"/>
      <c r="E2924" s="47"/>
      <c r="F2924" s="47"/>
      <c r="G2924" s="48"/>
      <c r="H2924" s="49"/>
      <c r="I2924" s="50"/>
      <c r="J2924" s="48"/>
      <c r="K2924" s="49"/>
      <c r="L2924" s="50"/>
      <c r="M2924" s="43" t="str">
        <f aca="false">IF(OR($L2924="",$F2924=""),"",IFERROR($L2924/INDEX(Cadastro!$E$6:$E$8,MATCH($F2924,Cadastro!$B$6:$B$8,0)),""))</f>
        <v/>
      </c>
      <c r="N2924" s="43" t="str">
        <f aca="false">IF(OR($L2924="",$I2924="",$I2924=0),"",$L2924/$I2924)</f>
        <v/>
      </c>
      <c r="O2924" s="51"/>
    </row>
    <row r="2925" customFormat="false" ht="15" hidden="false" customHeight="false" outlineLevel="0" collapsed="false">
      <c r="A2925" s="45"/>
      <c r="B2925" s="37" t="str">
        <f aca="false">IF($A2925="","",WEEKNUM($A2925,2))</f>
        <v/>
      </c>
      <c r="C2925" s="37" t="str">
        <f aca="false">IF($A2925="","",CHOOSE(WEEKDAY($A2925,2),"Seg","Ter","Qua","Qui","Sex","Sáb","Dom"))</f>
        <v/>
      </c>
      <c r="D2925" s="46"/>
      <c r="E2925" s="47"/>
      <c r="F2925" s="47"/>
      <c r="G2925" s="48"/>
      <c r="H2925" s="49"/>
      <c r="I2925" s="50"/>
      <c r="J2925" s="48"/>
      <c r="K2925" s="49"/>
      <c r="L2925" s="50"/>
      <c r="M2925" s="43" t="str">
        <f aca="false">IF(OR($L2925="",$F2925=""),"",IFERROR($L2925/INDEX(Cadastro!$E$6:$E$8,MATCH($F2925,Cadastro!$B$6:$B$8,0)),""))</f>
        <v/>
      </c>
      <c r="N2925" s="43" t="str">
        <f aca="false">IF(OR($L2925="",$I2925="",$I2925=0),"",$L2925/$I2925)</f>
        <v/>
      </c>
      <c r="O2925" s="51"/>
    </row>
    <row r="2926" customFormat="false" ht="15" hidden="false" customHeight="false" outlineLevel="0" collapsed="false">
      <c r="A2926" s="45"/>
      <c r="B2926" s="37" t="str">
        <f aca="false">IF($A2926="","",WEEKNUM($A2926,2))</f>
        <v/>
      </c>
      <c r="C2926" s="37" t="str">
        <f aca="false">IF($A2926="","",CHOOSE(WEEKDAY($A2926,2),"Seg","Ter","Qua","Qui","Sex","Sáb","Dom"))</f>
        <v/>
      </c>
      <c r="D2926" s="46"/>
      <c r="E2926" s="47"/>
      <c r="F2926" s="47"/>
      <c r="G2926" s="48"/>
      <c r="H2926" s="49"/>
      <c r="I2926" s="50"/>
      <c r="J2926" s="48"/>
      <c r="K2926" s="49"/>
      <c r="L2926" s="50"/>
      <c r="M2926" s="43" t="str">
        <f aca="false">IF(OR($L2926="",$F2926=""),"",IFERROR($L2926/INDEX(Cadastro!$E$6:$E$8,MATCH($F2926,Cadastro!$B$6:$B$8,0)),""))</f>
        <v/>
      </c>
      <c r="N2926" s="43" t="str">
        <f aca="false">IF(OR($L2926="",$I2926="",$I2926=0),"",$L2926/$I2926)</f>
        <v/>
      </c>
      <c r="O2926" s="51"/>
    </row>
    <row r="2927" customFormat="false" ht="15" hidden="false" customHeight="false" outlineLevel="0" collapsed="false">
      <c r="A2927" s="45"/>
      <c r="B2927" s="37" t="str">
        <f aca="false">IF($A2927="","",WEEKNUM($A2927,2))</f>
        <v/>
      </c>
      <c r="C2927" s="37" t="str">
        <f aca="false">IF($A2927="","",CHOOSE(WEEKDAY($A2927,2),"Seg","Ter","Qua","Qui","Sex","Sáb","Dom"))</f>
        <v/>
      </c>
      <c r="D2927" s="46"/>
      <c r="E2927" s="47"/>
      <c r="F2927" s="47"/>
      <c r="G2927" s="48"/>
      <c r="H2927" s="49"/>
      <c r="I2927" s="50"/>
      <c r="J2927" s="48"/>
      <c r="K2927" s="49"/>
      <c r="L2927" s="50"/>
      <c r="M2927" s="43" t="str">
        <f aca="false">IF(OR($L2927="",$F2927=""),"",IFERROR($L2927/INDEX(Cadastro!$E$6:$E$8,MATCH($F2927,Cadastro!$B$6:$B$8,0)),""))</f>
        <v/>
      </c>
      <c r="N2927" s="43" t="str">
        <f aca="false">IF(OR($L2927="",$I2927="",$I2927=0),"",$L2927/$I2927)</f>
        <v/>
      </c>
      <c r="O2927" s="51"/>
    </row>
    <row r="2928" customFormat="false" ht="15" hidden="false" customHeight="false" outlineLevel="0" collapsed="false">
      <c r="A2928" s="45"/>
      <c r="B2928" s="37" t="str">
        <f aca="false">IF($A2928="","",WEEKNUM($A2928,2))</f>
        <v/>
      </c>
      <c r="C2928" s="37" t="str">
        <f aca="false">IF($A2928="","",CHOOSE(WEEKDAY($A2928,2),"Seg","Ter","Qua","Qui","Sex","Sáb","Dom"))</f>
        <v/>
      </c>
      <c r="D2928" s="46"/>
      <c r="E2928" s="47"/>
      <c r="F2928" s="47"/>
      <c r="G2928" s="48"/>
      <c r="H2928" s="49"/>
      <c r="I2928" s="50"/>
      <c r="J2928" s="48"/>
      <c r="K2928" s="49"/>
      <c r="L2928" s="50"/>
      <c r="M2928" s="43" t="str">
        <f aca="false">IF(OR($L2928="",$F2928=""),"",IFERROR($L2928/INDEX(Cadastro!$E$6:$E$8,MATCH($F2928,Cadastro!$B$6:$B$8,0)),""))</f>
        <v/>
      </c>
      <c r="N2928" s="43" t="str">
        <f aca="false">IF(OR($L2928="",$I2928="",$I2928=0),"",$L2928/$I2928)</f>
        <v/>
      </c>
      <c r="O2928" s="51"/>
    </row>
    <row r="2929" customFormat="false" ht="15" hidden="false" customHeight="false" outlineLevel="0" collapsed="false">
      <c r="A2929" s="45"/>
      <c r="B2929" s="37" t="str">
        <f aca="false">IF($A2929="","",WEEKNUM($A2929,2))</f>
        <v/>
      </c>
      <c r="C2929" s="37" t="str">
        <f aca="false">IF($A2929="","",CHOOSE(WEEKDAY($A2929,2),"Seg","Ter","Qua","Qui","Sex","Sáb","Dom"))</f>
        <v/>
      </c>
      <c r="D2929" s="46"/>
      <c r="E2929" s="47"/>
      <c r="F2929" s="47"/>
      <c r="G2929" s="48"/>
      <c r="H2929" s="49"/>
      <c r="I2929" s="50"/>
      <c r="J2929" s="48"/>
      <c r="K2929" s="49"/>
      <c r="L2929" s="50"/>
      <c r="M2929" s="43" t="str">
        <f aca="false">IF(OR($L2929="",$F2929=""),"",IFERROR($L2929/INDEX(Cadastro!$E$6:$E$8,MATCH($F2929,Cadastro!$B$6:$B$8,0)),""))</f>
        <v/>
      </c>
      <c r="N2929" s="43" t="str">
        <f aca="false">IF(OR($L2929="",$I2929="",$I2929=0),"",$L2929/$I2929)</f>
        <v/>
      </c>
      <c r="O2929" s="51"/>
    </row>
    <row r="2930" customFormat="false" ht="15" hidden="false" customHeight="false" outlineLevel="0" collapsed="false">
      <c r="A2930" s="45"/>
      <c r="B2930" s="37" t="str">
        <f aca="false">IF($A2930="","",WEEKNUM($A2930,2))</f>
        <v/>
      </c>
      <c r="C2930" s="37" t="str">
        <f aca="false">IF($A2930="","",CHOOSE(WEEKDAY($A2930,2),"Seg","Ter","Qua","Qui","Sex","Sáb","Dom"))</f>
        <v/>
      </c>
      <c r="D2930" s="46"/>
      <c r="E2930" s="47"/>
      <c r="F2930" s="47"/>
      <c r="G2930" s="48"/>
      <c r="H2930" s="49"/>
      <c r="I2930" s="50"/>
      <c r="J2930" s="48"/>
      <c r="K2930" s="49"/>
      <c r="L2930" s="50"/>
      <c r="M2930" s="43" t="str">
        <f aca="false">IF(OR($L2930="",$F2930=""),"",IFERROR($L2930/INDEX(Cadastro!$E$6:$E$8,MATCH($F2930,Cadastro!$B$6:$B$8,0)),""))</f>
        <v/>
      </c>
      <c r="N2930" s="43" t="str">
        <f aca="false">IF(OR($L2930="",$I2930="",$I2930=0),"",$L2930/$I2930)</f>
        <v/>
      </c>
      <c r="O2930" s="51"/>
    </row>
    <row r="2931" customFormat="false" ht="15" hidden="false" customHeight="false" outlineLevel="0" collapsed="false">
      <c r="A2931" s="45"/>
      <c r="B2931" s="37" t="str">
        <f aca="false">IF($A2931="","",WEEKNUM($A2931,2))</f>
        <v/>
      </c>
      <c r="C2931" s="37" t="str">
        <f aca="false">IF($A2931="","",CHOOSE(WEEKDAY($A2931,2),"Seg","Ter","Qua","Qui","Sex","Sáb","Dom"))</f>
        <v/>
      </c>
      <c r="D2931" s="46"/>
      <c r="E2931" s="47"/>
      <c r="F2931" s="47"/>
      <c r="G2931" s="48"/>
      <c r="H2931" s="49"/>
      <c r="I2931" s="50"/>
      <c r="J2931" s="48"/>
      <c r="K2931" s="49"/>
      <c r="L2931" s="50"/>
      <c r="M2931" s="43" t="str">
        <f aca="false">IF(OR($L2931="",$F2931=""),"",IFERROR($L2931/INDEX(Cadastro!$E$6:$E$8,MATCH($F2931,Cadastro!$B$6:$B$8,0)),""))</f>
        <v/>
      </c>
      <c r="N2931" s="43" t="str">
        <f aca="false">IF(OR($L2931="",$I2931="",$I2931=0),"",$L2931/$I2931)</f>
        <v/>
      </c>
      <c r="O2931" s="51"/>
    </row>
    <row r="2932" customFormat="false" ht="15" hidden="false" customHeight="false" outlineLevel="0" collapsed="false">
      <c r="A2932" s="45"/>
      <c r="B2932" s="37" t="str">
        <f aca="false">IF($A2932="","",WEEKNUM($A2932,2))</f>
        <v/>
      </c>
      <c r="C2932" s="37" t="str">
        <f aca="false">IF($A2932="","",CHOOSE(WEEKDAY($A2932,2),"Seg","Ter","Qua","Qui","Sex","Sáb","Dom"))</f>
        <v/>
      </c>
      <c r="D2932" s="46"/>
      <c r="E2932" s="47"/>
      <c r="F2932" s="47"/>
      <c r="G2932" s="48"/>
      <c r="H2932" s="49"/>
      <c r="I2932" s="50"/>
      <c r="J2932" s="48"/>
      <c r="K2932" s="49"/>
      <c r="L2932" s="50"/>
      <c r="M2932" s="43" t="str">
        <f aca="false">IF(OR($L2932="",$F2932=""),"",IFERROR($L2932/INDEX(Cadastro!$E$6:$E$8,MATCH($F2932,Cadastro!$B$6:$B$8,0)),""))</f>
        <v/>
      </c>
      <c r="N2932" s="43" t="str">
        <f aca="false">IF(OR($L2932="",$I2932="",$I2932=0),"",$L2932/$I2932)</f>
        <v/>
      </c>
      <c r="O2932" s="51"/>
    </row>
    <row r="2933" customFormat="false" ht="15" hidden="false" customHeight="false" outlineLevel="0" collapsed="false">
      <c r="A2933" s="45"/>
      <c r="B2933" s="37" t="str">
        <f aca="false">IF($A2933="","",WEEKNUM($A2933,2))</f>
        <v/>
      </c>
      <c r="C2933" s="37" t="str">
        <f aca="false">IF($A2933="","",CHOOSE(WEEKDAY($A2933,2),"Seg","Ter","Qua","Qui","Sex","Sáb","Dom"))</f>
        <v/>
      </c>
      <c r="D2933" s="46"/>
      <c r="E2933" s="47"/>
      <c r="F2933" s="47"/>
      <c r="G2933" s="48"/>
      <c r="H2933" s="49"/>
      <c r="I2933" s="50"/>
      <c r="J2933" s="48"/>
      <c r="K2933" s="49"/>
      <c r="L2933" s="50"/>
      <c r="M2933" s="43" t="str">
        <f aca="false">IF(OR($L2933="",$F2933=""),"",IFERROR($L2933/INDEX(Cadastro!$E$6:$E$8,MATCH($F2933,Cadastro!$B$6:$B$8,0)),""))</f>
        <v/>
      </c>
      <c r="N2933" s="43" t="str">
        <f aca="false">IF(OR($L2933="",$I2933="",$I2933=0),"",$L2933/$I2933)</f>
        <v/>
      </c>
      <c r="O2933" s="51"/>
    </row>
    <row r="2934" customFormat="false" ht="15" hidden="false" customHeight="false" outlineLevel="0" collapsed="false">
      <c r="A2934" s="45"/>
      <c r="B2934" s="37" t="str">
        <f aca="false">IF($A2934="","",WEEKNUM($A2934,2))</f>
        <v/>
      </c>
      <c r="C2934" s="37" t="str">
        <f aca="false">IF($A2934="","",CHOOSE(WEEKDAY($A2934,2),"Seg","Ter","Qua","Qui","Sex","Sáb","Dom"))</f>
        <v/>
      </c>
      <c r="D2934" s="46"/>
      <c r="E2934" s="47"/>
      <c r="F2934" s="47"/>
      <c r="G2934" s="48"/>
      <c r="H2934" s="49"/>
      <c r="I2934" s="50"/>
      <c r="J2934" s="48"/>
      <c r="K2934" s="49"/>
      <c r="L2934" s="50"/>
      <c r="M2934" s="43" t="str">
        <f aca="false">IF(OR($L2934="",$F2934=""),"",IFERROR($L2934/INDEX(Cadastro!$E$6:$E$8,MATCH($F2934,Cadastro!$B$6:$B$8,0)),""))</f>
        <v/>
      </c>
      <c r="N2934" s="43" t="str">
        <f aca="false">IF(OR($L2934="",$I2934="",$I2934=0),"",$L2934/$I2934)</f>
        <v/>
      </c>
      <c r="O2934" s="51"/>
    </row>
    <row r="2935" customFormat="false" ht="15" hidden="false" customHeight="false" outlineLevel="0" collapsed="false">
      <c r="A2935" s="45"/>
      <c r="B2935" s="37" t="str">
        <f aca="false">IF($A2935="","",WEEKNUM($A2935,2))</f>
        <v/>
      </c>
      <c r="C2935" s="37" t="str">
        <f aca="false">IF($A2935="","",CHOOSE(WEEKDAY($A2935,2),"Seg","Ter","Qua","Qui","Sex","Sáb","Dom"))</f>
        <v/>
      </c>
      <c r="D2935" s="46"/>
      <c r="E2935" s="47"/>
      <c r="F2935" s="47"/>
      <c r="G2935" s="48"/>
      <c r="H2935" s="49"/>
      <c r="I2935" s="50"/>
      <c r="J2935" s="48"/>
      <c r="K2935" s="49"/>
      <c r="L2935" s="50"/>
      <c r="M2935" s="43" t="str">
        <f aca="false">IF(OR($L2935="",$F2935=""),"",IFERROR($L2935/INDEX(Cadastro!$E$6:$E$8,MATCH($F2935,Cadastro!$B$6:$B$8,0)),""))</f>
        <v/>
      </c>
      <c r="N2935" s="43" t="str">
        <f aca="false">IF(OR($L2935="",$I2935="",$I2935=0),"",$L2935/$I2935)</f>
        <v/>
      </c>
      <c r="O2935" s="51"/>
    </row>
    <row r="2936" customFormat="false" ht="15" hidden="false" customHeight="false" outlineLevel="0" collapsed="false">
      <c r="A2936" s="45"/>
      <c r="B2936" s="37" t="str">
        <f aca="false">IF($A2936="","",WEEKNUM($A2936,2))</f>
        <v/>
      </c>
      <c r="C2936" s="37" t="str">
        <f aca="false">IF($A2936="","",CHOOSE(WEEKDAY($A2936,2),"Seg","Ter","Qua","Qui","Sex","Sáb","Dom"))</f>
        <v/>
      </c>
      <c r="D2936" s="46"/>
      <c r="E2936" s="47"/>
      <c r="F2936" s="47"/>
      <c r="G2936" s="48"/>
      <c r="H2936" s="49"/>
      <c r="I2936" s="50"/>
      <c r="J2936" s="48"/>
      <c r="K2936" s="49"/>
      <c r="L2936" s="50"/>
      <c r="M2936" s="43" t="str">
        <f aca="false">IF(OR($L2936="",$F2936=""),"",IFERROR($L2936/INDEX(Cadastro!$E$6:$E$8,MATCH($F2936,Cadastro!$B$6:$B$8,0)),""))</f>
        <v/>
      </c>
      <c r="N2936" s="43" t="str">
        <f aca="false">IF(OR($L2936="",$I2936="",$I2936=0),"",$L2936/$I2936)</f>
        <v/>
      </c>
      <c r="O2936" s="51"/>
    </row>
    <row r="2937" customFormat="false" ht="15" hidden="false" customHeight="false" outlineLevel="0" collapsed="false">
      <c r="A2937" s="45"/>
      <c r="B2937" s="37" t="str">
        <f aca="false">IF($A2937="","",WEEKNUM($A2937,2))</f>
        <v/>
      </c>
      <c r="C2937" s="37" t="str">
        <f aca="false">IF($A2937="","",CHOOSE(WEEKDAY($A2937,2),"Seg","Ter","Qua","Qui","Sex","Sáb","Dom"))</f>
        <v/>
      </c>
      <c r="D2937" s="46"/>
      <c r="E2937" s="47"/>
      <c r="F2937" s="47"/>
      <c r="G2937" s="48"/>
      <c r="H2937" s="49"/>
      <c r="I2937" s="50"/>
      <c r="J2937" s="48"/>
      <c r="K2937" s="49"/>
      <c r="L2937" s="50"/>
      <c r="M2937" s="43" t="str">
        <f aca="false">IF(OR($L2937="",$F2937=""),"",IFERROR($L2937/INDEX(Cadastro!$E$6:$E$8,MATCH($F2937,Cadastro!$B$6:$B$8,0)),""))</f>
        <v/>
      </c>
      <c r="N2937" s="43" t="str">
        <f aca="false">IF(OR($L2937="",$I2937="",$I2937=0),"",$L2937/$I2937)</f>
        <v/>
      </c>
      <c r="O2937" s="51"/>
    </row>
    <row r="2938" customFormat="false" ht="15" hidden="false" customHeight="false" outlineLevel="0" collapsed="false">
      <c r="A2938" s="45"/>
      <c r="B2938" s="37" t="str">
        <f aca="false">IF($A2938="","",WEEKNUM($A2938,2))</f>
        <v/>
      </c>
      <c r="C2938" s="37" t="str">
        <f aca="false">IF($A2938="","",CHOOSE(WEEKDAY($A2938,2),"Seg","Ter","Qua","Qui","Sex","Sáb","Dom"))</f>
        <v/>
      </c>
      <c r="D2938" s="46"/>
      <c r="E2938" s="47"/>
      <c r="F2938" s="47"/>
      <c r="G2938" s="48"/>
      <c r="H2938" s="49"/>
      <c r="I2938" s="50"/>
      <c r="J2938" s="48"/>
      <c r="K2938" s="49"/>
      <c r="L2938" s="50"/>
      <c r="M2938" s="43" t="str">
        <f aca="false">IF(OR($L2938="",$F2938=""),"",IFERROR($L2938/INDEX(Cadastro!$E$6:$E$8,MATCH($F2938,Cadastro!$B$6:$B$8,0)),""))</f>
        <v/>
      </c>
      <c r="N2938" s="43" t="str">
        <f aca="false">IF(OR($L2938="",$I2938="",$I2938=0),"",$L2938/$I2938)</f>
        <v/>
      </c>
      <c r="O2938" s="51"/>
    </row>
    <row r="2939" customFormat="false" ht="15" hidden="false" customHeight="false" outlineLevel="0" collapsed="false">
      <c r="A2939" s="45"/>
      <c r="B2939" s="37" t="str">
        <f aca="false">IF($A2939="","",WEEKNUM($A2939,2))</f>
        <v/>
      </c>
      <c r="C2939" s="37" t="str">
        <f aca="false">IF($A2939="","",CHOOSE(WEEKDAY($A2939,2),"Seg","Ter","Qua","Qui","Sex","Sáb","Dom"))</f>
        <v/>
      </c>
      <c r="D2939" s="46"/>
      <c r="E2939" s="47"/>
      <c r="F2939" s="47"/>
      <c r="G2939" s="48"/>
      <c r="H2939" s="49"/>
      <c r="I2939" s="50"/>
      <c r="J2939" s="48"/>
      <c r="K2939" s="49"/>
      <c r="L2939" s="50"/>
      <c r="M2939" s="43" t="str">
        <f aca="false">IF(OR($L2939="",$F2939=""),"",IFERROR($L2939/INDEX(Cadastro!$E$6:$E$8,MATCH($F2939,Cadastro!$B$6:$B$8,0)),""))</f>
        <v/>
      </c>
      <c r="N2939" s="43" t="str">
        <f aca="false">IF(OR($L2939="",$I2939="",$I2939=0),"",$L2939/$I2939)</f>
        <v/>
      </c>
      <c r="O2939" s="51"/>
    </row>
    <row r="2940" customFormat="false" ht="15" hidden="false" customHeight="false" outlineLevel="0" collapsed="false">
      <c r="A2940" s="45"/>
      <c r="B2940" s="37" t="str">
        <f aca="false">IF($A2940="","",WEEKNUM($A2940,2))</f>
        <v/>
      </c>
      <c r="C2940" s="37" t="str">
        <f aca="false">IF($A2940="","",CHOOSE(WEEKDAY($A2940,2),"Seg","Ter","Qua","Qui","Sex","Sáb","Dom"))</f>
        <v/>
      </c>
      <c r="D2940" s="46"/>
      <c r="E2940" s="47"/>
      <c r="F2940" s="47"/>
      <c r="G2940" s="48"/>
      <c r="H2940" s="49"/>
      <c r="I2940" s="50"/>
      <c r="J2940" s="48"/>
      <c r="K2940" s="49"/>
      <c r="L2940" s="50"/>
      <c r="M2940" s="43" t="str">
        <f aca="false">IF(OR($L2940="",$F2940=""),"",IFERROR($L2940/INDEX(Cadastro!$E$6:$E$8,MATCH($F2940,Cadastro!$B$6:$B$8,0)),""))</f>
        <v/>
      </c>
      <c r="N2940" s="43" t="str">
        <f aca="false">IF(OR($L2940="",$I2940="",$I2940=0),"",$L2940/$I2940)</f>
        <v/>
      </c>
      <c r="O2940" s="51"/>
    </row>
    <row r="2941" customFormat="false" ht="15" hidden="false" customHeight="false" outlineLevel="0" collapsed="false">
      <c r="A2941" s="45"/>
      <c r="B2941" s="37" t="str">
        <f aca="false">IF($A2941="","",WEEKNUM($A2941,2))</f>
        <v/>
      </c>
      <c r="C2941" s="37" t="str">
        <f aca="false">IF($A2941="","",CHOOSE(WEEKDAY($A2941,2),"Seg","Ter","Qua","Qui","Sex","Sáb","Dom"))</f>
        <v/>
      </c>
      <c r="D2941" s="46"/>
      <c r="E2941" s="47"/>
      <c r="F2941" s="47"/>
      <c r="G2941" s="48"/>
      <c r="H2941" s="49"/>
      <c r="I2941" s="50"/>
      <c r="J2941" s="48"/>
      <c r="K2941" s="49"/>
      <c r="L2941" s="50"/>
      <c r="M2941" s="43" t="str">
        <f aca="false">IF(OR($L2941="",$F2941=""),"",IFERROR($L2941/INDEX(Cadastro!$E$6:$E$8,MATCH($F2941,Cadastro!$B$6:$B$8,0)),""))</f>
        <v/>
      </c>
      <c r="N2941" s="43" t="str">
        <f aca="false">IF(OR($L2941="",$I2941="",$I2941=0),"",$L2941/$I2941)</f>
        <v/>
      </c>
      <c r="O2941" s="51"/>
    </row>
    <row r="2942" customFormat="false" ht="15" hidden="false" customHeight="false" outlineLevel="0" collapsed="false">
      <c r="A2942" s="45"/>
      <c r="B2942" s="37" t="str">
        <f aca="false">IF($A2942="","",WEEKNUM($A2942,2))</f>
        <v/>
      </c>
      <c r="C2942" s="37" t="str">
        <f aca="false">IF($A2942="","",CHOOSE(WEEKDAY($A2942,2),"Seg","Ter","Qua","Qui","Sex","Sáb","Dom"))</f>
        <v/>
      </c>
      <c r="D2942" s="46"/>
      <c r="E2942" s="47"/>
      <c r="F2942" s="47"/>
      <c r="G2942" s="48"/>
      <c r="H2942" s="49"/>
      <c r="I2942" s="50"/>
      <c r="J2942" s="48"/>
      <c r="K2942" s="49"/>
      <c r="L2942" s="50"/>
      <c r="M2942" s="43" t="str">
        <f aca="false">IF(OR($L2942="",$F2942=""),"",IFERROR($L2942/INDEX(Cadastro!$E$6:$E$8,MATCH($F2942,Cadastro!$B$6:$B$8,0)),""))</f>
        <v/>
      </c>
      <c r="N2942" s="43" t="str">
        <f aca="false">IF(OR($L2942="",$I2942="",$I2942=0),"",$L2942/$I2942)</f>
        <v/>
      </c>
      <c r="O2942" s="51"/>
    </row>
    <row r="2943" customFormat="false" ht="15" hidden="false" customHeight="false" outlineLevel="0" collapsed="false">
      <c r="A2943" s="45"/>
      <c r="B2943" s="37" t="str">
        <f aca="false">IF($A2943="","",WEEKNUM($A2943,2))</f>
        <v/>
      </c>
      <c r="C2943" s="37" t="str">
        <f aca="false">IF($A2943="","",CHOOSE(WEEKDAY($A2943,2),"Seg","Ter","Qua","Qui","Sex","Sáb","Dom"))</f>
        <v/>
      </c>
      <c r="D2943" s="46"/>
      <c r="E2943" s="47"/>
      <c r="F2943" s="47"/>
      <c r="G2943" s="48"/>
      <c r="H2943" s="49"/>
      <c r="I2943" s="50"/>
      <c r="J2943" s="48"/>
      <c r="K2943" s="49"/>
      <c r="L2943" s="50"/>
      <c r="M2943" s="43" t="str">
        <f aca="false">IF(OR($L2943="",$F2943=""),"",IFERROR($L2943/INDEX(Cadastro!$E$6:$E$8,MATCH($F2943,Cadastro!$B$6:$B$8,0)),""))</f>
        <v/>
      </c>
      <c r="N2943" s="43" t="str">
        <f aca="false">IF(OR($L2943="",$I2943="",$I2943=0),"",$L2943/$I2943)</f>
        <v/>
      </c>
      <c r="O2943" s="51"/>
    </row>
    <row r="2944" customFormat="false" ht="15" hidden="false" customHeight="false" outlineLevel="0" collapsed="false">
      <c r="A2944" s="45"/>
      <c r="B2944" s="37" t="str">
        <f aca="false">IF($A2944="","",WEEKNUM($A2944,2))</f>
        <v/>
      </c>
      <c r="C2944" s="37" t="str">
        <f aca="false">IF($A2944="","",CHOOSE(WEEKDAY($A2944,2),"Seg","Ter","Qua","Qui","Sex","Sáb","Dom"))</f>
        <v/>
      </c>
      <c r="D2944" s="46"/>
      <c r="E2944" s="47"/>
      <c r="F2944" s="47"/>
      <c r="G2944" s="48"/>
      <c r="H2944" s="49"/>
      <c r="I2944" s="50"/>
      <c r="J2944" s="48"/>
      <c r="K2944" s="49"/>
      <c r="L2944" s="50"/>
      <c r="M2944" s="43" t="str">
        <f aca="false">IF(OR($L2944="",$F2944=""),"",IFERROR($L2944/INDEX(Cadastro!$E$6:$E$8,MATCH($F2944,Cadastro!$B$6:$B$8,0)),""))</f>
        <v/>
      </c>
      <c r="N2944" s="43" t="str">
        <f aca="false">IF(OR($L2944="",$I2944="",$I2944=0),"",$L2944/$I2944)</f>
        <v/>
      </c>
      <c r="O2944" s="51"/>
    </row>
    <row r="2945" customFormat="false" ht="15" hidden="false" customHeight="false" outlineLevel="0" collapsed="false">
      <c r="A2945" s="45"/>
      <c r="B2945" s="37" t="str">
        <f aca="false">IF($A2945="","",WEEKNUM($A2945,2))</f>
        <v/>
      </c>
      <c r="C2945" s="37" t="str">
        <f aca="false">IF($A2945="","",CHOOSE(WEEKDAY($A2945,2),"Seg","Ter","Qua","Qui","Sex","Sáb","Dom"))</f>
        <v/>
      </c>
      <c r="D2945" s="46"/>
      <c r="E2945" s="47"/>
      <c r="F2945" s="47"/>
      <c r="G2945" s="48"/>
      <c r="H2945" s="49"/>
      <c r="I2945" s="50"/>
      <c r="J2945" s="48"/>
      <c r="K2945" s="49"/>
      <c r="L2945" s="50"/>
      <c r="M2945" s="43" t="str">
        <f aca="false">IF(OR($L2945="",$F2945=""),"",IFERROR($L2945/INDEX(Cadastro!$E$6:$E$8,MATCH($F2945,Cadastro!$B$6:$B$8,0)),""))</f>
        <v/>
      </c>
      <c r="N2945" s="43" t="str">
        <f aca="false">IF(OR($L2945="",$I2945="",$I2945=0),"",$L2945/$I2945)</f>
        <v/>
      </c>
      <c r="O2945" s="51"/>
    </row>
    <row r="2946" customFormat="false" ht="15" hidden="false" customHeight="false" outlineLevel="0" collapsed="false">
      <c r="A2946" s="45"/>
      <c r="B2946" s="37" t="str">
        <f aca="false">IF($A2946="","",WEEKNUM($A2946,2))</f>
        <v/>
      </c>
      <c r="C2946" s="37" t="str">
        <f aca="false">IF($A2946="","",CHOOSE(WEEKDAY($A2946,2),"Seg","Ter","Qua","Qui","Sex","Sáb","Dom"))</f>
        <v/>
      </c>
      <c r="D2946" s="46"/>
      <c r="E2946" s="47"/>
      <c r="F2946" s="47"/>
      <c r="G2946" s="48"/>
      <c r="H2946" s="49"/>
      <c r="I2946" s="50"/>
      <c r="J2946" s="48"/>
      <c r="K2946" s="49"/>
      <c r="L2946" s="50"/>
      <c r="M2946" s="43" t="str">
        <f aca="false">IF(OR($L2946="",$F2946=""),"",IFERROR($L2946/INDEX(Cadastro!$E$6:$E$8,MATCH($F2946,Cadastro!$B$6:$B$8,0)),""))</f>
        <v/>
      </c>
      <c r="N2946" s="43" t="str">
        <f aca="false">IF(OR($L2946="",$I2946="",$I2946=0),"",$L2946/$I2946)</f>
        <v/>
      </c>
      <c r="O2946" s="51"/>
    </row>
    <row r="2947" customFormat="false" ht="15" hidden="false" customHeight="false" outlineLevel="0" collapsed="false">
      <c r="A2947" s="45"/>
      <c r="B2947" s="37" t="str">
        <f aca="false">IF($A2947="","",WEEKNUM($A2947,2))</f>
        <v/>
      </c>
      <c r="C2947" s="37" t="str">
        <f aca="false">IF($A2947="","",CHOOSE(WEEKDAY($A2947,2),"Seg","Ter","Qua","Qui","Sex","Sáb","Dom"))</f>
        <v/>
      </c>
      <c r="D2947" s="46"/>
      <c r="E2947" s="47"/>
      <c r="F2947" s="47"/>
      <c r="G2947" s="48"/>
      <c r="H2947" s="49"/>
      <c r="I2947" s="50"/>
      <c r="J2947" s="48"/>
      <c r="K2947" s="49"/>
      <c r="L2947" s="50"/>
      <c r="M2947" s="43" t="str">
        <f aca="false">IF(OR($L2947="",$F2947=""),"",IFERROR($L2947/INDEX(Cadastro!$E$6:$E$8,MATCH($F2947,Cadastro!$B$6:$B$8,0)),""))</f>
        <v/>
      </c>
      <c r="N2947" s="43" t="str">
        <f aca="false">IF(OR($L2947="",$I2947="",$I2947=0),"",$L2947/$I2947)</f>
        <v/>
      </c>
      <c r="O2947" s="51"/>
    </row>
    <row r="2948" customFormat="false" ht="15" hidden="false" customHeight="false" outlineLevel="0" collapsed="false">
      <c r="A2948" s="45"/>
      <c r="B2948" s="37" t="str">
        <f aca="false">IF($A2948="","",WEEKNUM($A2948,2))</f>
        <v/>
      </c>
      <c r="C2948" s="37" t="str">
        <f aca="false">IF($A2948="","",CHOOSE(WEEKDAY($A2948,2),"Seg","Ter","Qua","Qui","Sex","Sáb","Dom"))</f>
        <v/>
      </c>
      <c r="D2948" s="46"/>
      <c r="E2948" s="47"/>
      <c r="F2948" s="47"/>
      <c r="G2948" s="48"/>
      <c r="H2948" s="49"/>
      <c r="I2948" s="50"/>
      <c r="J2948" s="48"/>
      <c r="K2948" s="49"/>
      <c r="L2948" s="50"/>
      <c r="M2948" s="43" t="str">
        <f aca="false">IF(OR($L2948="",$F2948=""),"",IFERROR($L2948/INDEX(Cadastro!$E$6:$E$8,MATCH($F2948,Cadastro!$B$6:$B$8,0)),""))</f>
        <v/>
      </c>
      <c r="N2948" s="43" t="str">
        <f aca="false">IF(OR($L2948="",$I2948="",$I2948=0),"",$L2948/$I2948)</f>
        <v/>
      </c>
      <c r="O2948" s="51"/>
    </row>
    <row r="2949" customFormat="false" ht="15" hidden="false" customHeight="false" outlineLevel="0" collapsed="false">
      <c r="A2949" s="45"/>
      <c r="B2949" s="37" t="str">
        <f aca="false">IF($A2949="","",WEEKNUM($A2949,2))</f>
        <v/>
      </c>
      <c r="C2949" s="37" t="str">
        <f aca="false">IF($A2949="","",CHOOSE(WEEKDAY($A2949,2),"Seg","Ter","Qua","Qui","Sex","Sáb","Dom"))</f>
        <v/>
      </c>
      <c r="D2949" s="46"/>
      <c r="E2949" s="47"/>
      <c r="F2949" s="47"/>
      <c r="G2949" s="48"/>
      <c r="H2949" s="49"/>
      <c r="I2949" s="50"/>
      <c r="J2949" s="48"/>
      <c r="K2949" s="49"/>
      <c r="L2949" s="50"/>
      <c r="M2949" s="43" t="str">
        <f aca="false">IF(OR($L2949="",$F2949=""),"",IFERROR($L2949/INDEX(Cadastro!$E$6:$E$8,MATCH($F2949,Cadastro!$B$6:$B$8,0)),""))</f>
        <v/>
      </c>
      <c r="N2949" s="43" t="str">
        <f aca="false">IF(OR($L2949="",$I2949="",$I2949=0),"",$L2949/$I2949)</f>
        <v/>
      </c>
      <c r="O2949" s="51"/>
    </row>
    <row r="2950" customFormat="false" ht="15" hidden="false" customHeight="false" outlineLevel="0" collapsed="false">
      <c r="A2950" s="45"/>
      <c r="B2950" s="37" t="str">
        <f aca="false">IF($A2950="","",WEEKNUM($A2950,2))</f>
        <v/>
      </c>
      <c r="C2950" s="37" t="str">
        <f aca="false">IF($A2950="","",CHOOSE(WEEKDAY($A2950,2),"Seg","Ter","Qua","Qui","Sex","Sáb","Dom"))</f>
        <v/>
      </c>
      <c r="D2950" s="46"/>
      <c r="E2950" s="47"/>
      <c r="F2950" s="47"/>
      <c r="G2950" s="48"/>
      <c r="H2950" s="49"/>
      <c r="I2950" s="50"/>
      <c r="J2950" s="48"/>
      <c r="K2950" s="49"/>
      <c r="L2950" s="50"/>
      <c r="M2950" s="43" t="str">
        <f aca="false">IF(OR($L2950="",$F2950=""),"",IFERROR($L2950/INDEX(Cadastro!$E$6:$E$8,MATCH($F2950,Cadastro!$B$6:$B$8,0)),""))</f>
        <v/>
      </c>
      <c r="N2950" s="43" t="str">
        <f aca="false">IF(OR($L2950="",$I2950="",$I2950=0),"",$L2950/$I2950)</f>
        <v/>
      </c>
      <c r="O2950" s="51"/>
    </row>
    <row r="2951" customFormat="false" ht="15" hidden="false" customHeight="false" outlineLevel="0" collapsed="false">
      <c r="A2951" s="45"/>
      <c r="B2951" s="37" t="str">
        <f aca="false">IF($A2951="","",WEEKNUM($A2951,2))</f>
        <v/>
      </c>
      <c r="C2951" s="37" t="str">
        <f aca="false">IF($A2951="","",CHOOSE(WEEKDAY($A2951,2),"Seg","Ter","Qua","Qui","Sex","Sáb","Dom"))</f>
        <v/>
      </c>
      <c r="D2951" s="46"/>
      <c r="E2951" s="47"/>
      <c r="F2951" s="47"/>
      <c r="G2951" s="48"/>
      <c r="H2951" s="49"/>
      <c r="I2951" s="50"/>
      <c r="J2951" s="48"/>
      <c r="K2951" s="49"/>
      <c r="L2951" s="50"/>
      <c r="M2951" s="43" t="str">
        <f aca="false">IF(OR($L2951="",$F2951=""),"",IFERROR($L2951/INDEX(Cadastro!$E$6:$E$8,MATCH($F2951,Cadastro!$B$6:$B$8,0)),""))</f>
        <v/>
      </c>
      <c r="N2951" s="43" t="str">
        <f aca="false">IF(OR($L2951="",$I2951="",$I2951=0),"",$L2951/$I2951)</f>
        <v/>
      </c>
      <c r="O2951" s="51"/>
    </row>
    <row r="2952" customFormat="false" ht="15" hidden="false" customHeight="false" outlineLevel="0" collapsed="false">
      <c r="A2952" s="45"/>
      <c r="B2952" s="37" t="str">
        <f aca="false">IF($A2952="","",WEEKNUM($A2952,2))</f>
        <v/>
      </c>
      <c r="C2952" s="37" t="str">
        <f aca="false">IF($A2952="","",CHOOSE(WEEKDAY($A2952,2),"Seg","Ter","Qua","Qui","Sex","Sáb","Dom"))</f>
        <v/>
      </c>
      <c r="D2952" s="46"/>
      <c r="E2952" s="47"/>
      <c r="F2952" s="47"/>
      <c r="G2952" s="48"/>
      <c r="H2952" s="49"/>
      <c r="I2952" s="50"/>
      <c r="J2952" s="48"/>
      <c r="K2952" s="49"/>
      <c r="L2952" s="50"/>
      <c r="M2952" s="43" t="str">
        <f aca="false">IF(OR($L2952="",$F2952=""),"",IFERROR($L2952/INDEX(Cadastro!$E$6:$E$8,MATCH($F2952,Cadastro!$B$6:$B$8,0)),""))</f>
        <v/>
      </c>
      <c r="N2952" s="43" t="str">
        <f aca="false">IF(OR($L2952="",$I2952="",$I2952=0),"",$L2952/$I2952)</f>
        <v/>
      </c>
      <c r="O2952" s="51"/>
    </row>
    <row r="2953" customFormat="false" ht="15" hidden="false" customHeight="false" outlineLevel="0" collapsed="false">
      <c r="A2953" s="45"/>
      <c r="B2953" s="37" t="str">
        <f aca="false">IF($A2953="","",WEEKNUM($A2953,2))</f>
        <v/>
      </c>
      <c r="C2953" s="37" t="str">
        <f aca="false">IF($A2953="","",CHOOSE(WEEKDAY($A2953,2),"Seg","Ter","Qua","Qui","Sex","Sáb","Dom"))</f>
        <v/>
      </c>
      <c r="D2953" s="46"/>
      <c r="E2953" s="47"/>
      <c r="F2953" s="47"/>
      <c r="G2953" s="48"/>
      <c r="H2953" s="49"/>
      <c r="I2953" s="50"/>
      <c r="J2953" s="48"/>
      <c r="K2953" s="49"/>
      <c r="L2953" s="50"/>
      <c r="M2953" s="43" t="str">
        <f aca="false">IF(OR($L2953="",$F2953=""),"",IFERROR($L2953/INDEX(Cadastro!$E$6:$E$8,MATCH($F2953,Cadastro!$B$6:$B$8,0)),""))</f>
        <v/>
      </c>
      <c r="N2953" s="43" t="str">
        <f aca="false">IF(OR($L2953="",$I2953="",$I2953=0),"",$L2953/$I2953)</f>
        <v/>
      </c>
      <c r="O2953" s="51"/>
    </row>
    <row r="2954" customFormat="false" ht="15" hidden="false" customHeight="false" outlineLevel="0" collapsed="false">
      <c r="A2954" s="45"/>
      <c r="B2954" s="37" t="str">
        <f aca="false">IF($A2954="","",WEEKNUM($A2954,2))</f>
        <v/>
      </c>
      <c r="C2954" s="37" t="str">
        <f aca="false">IF($A2954="","",CHOOSE(WEEKDAY($A2954,2),"Seg","Ter","Qua","Qui","Sex","Sáb","Dom"))</f>
        <v/>
      </c>
      <c r="D2954" s="46"/>
      <c r="E2954" s="47"/>
      <c r="F2954" s="47"/>
      <c r="G2954" s="48"/>
      <c r="H2954" s="49"/>
      <c r="I2954" s="50"/>
      <c r="J2954" s="48"/>
      <c r="K2954" s="49"/>
      <c r="L2954" s="50"/>
      <c r="M2954" s="43" t="str">
        <f aca="false">IF(OR($L2954="",$F2954=""),"",IFERROR($L2954/INDEX(Cadastro!$E$6:$E$8,MATCH($F2954,Cadastro!$B$6:$B$8,0)),""))</f>
        <v/>
      </c>
      <c r="N2954" s="43" t="str">
        <f aca="false">IF(OR($L2954="",$I2954="",$I2954=0),"",$L2954/$I2954)</f>
        <v/>
      </c>
      <c r="O2954" s="51"/>
    </row>
    <row r="2955" customFormat="false" ht="15" hidden="false" customHeight="false" outlineLevel="0" collapsed="false">
      <c r="A2955" s="45"/>
      <c r="B2955" s="37" t="str">
        <f aca="false">IF($A2955="","",WEEKNUM($A2955,2))</f>
        <v/>
      </c>
      <c r="C2955" s="37" t="str">
        <f aca="false">IF($A2955="","",CHOOSE(WEEKDAY($A2955,2),"Seg","Ter","Qua","Qui","Sex","Sáb","Dom"))</f>
        <v/>
      </c>
      <c r="D2955" s="46"/>
      <c r="E2955" s="47"/>
      <c r="F2955" s="47"/>
      <c r="G2955" s="48"/>
      <c r="H2955" s="49"/>
      <c r="I2955" s="50"/>
      <c r="J2955" s="48"/>
      <c r="K2955" s="49"/>
      <c r="L2955" s="50"/>
      <c r="M2955" s="43" t="str">
        <f aca="false">IF(OR($L2955="",$F2955=""),"",IFERROR($L2955/INDEX(Cadastro!$E$6:$E$8,MATCH($F2955,Cadastro!$B$6:$B$8,0)),""))</f>
        <v/>
      </c>
      <c r="N2955" s="43" t="str">
        <f aca="false">IF(OR($L2955="",$I2955="",$I2955=0),"",$L2955/$I2955)</f>
        <v/>
      </c>
      <c r="O2955" s="51"/>
    </row>
    <row r="2956" customFormat="false" ht="15" hidden="false" customHeight="false" outlineLevel="0" collapsed="false">
      <c r="A2956" s="45"/>
      <c r="B2956" s="37" t="str">
        <f aca="false">IF($A2956="","",WEEKNUM($A2956,2))</f>
        <v/>
      </c>
      <c r="C2956" s="37" t="str">
        <f aca="false">IF($A2956="","",CHOOSE(WEEKDAY($A2956,2),"Seg","Ter","Qua","Qui","Sex","Sáb","Dom"))</f>
        <v/>
      </c>
      <c r="D2956" s="46"/>
      <c r="E2956" s="47"/>
      <c r="F2956" s="47"/>
      <c r="G2956" s="48"/>
      <c r="H2956" s="49"/>
      <c r="I2956" s="50"/>
      <c r="J2956" s="48"/>
      <c r="K2956" s="49"/>
      <c r="L2956" s="50"/>
      <c r="M2956" s="43" t="str">
        <f aca="false">IF(OR($L2956="",$F2956=""),"",IFERROR($L2956/INDEX(Cadastro!$E$6:$E$8,MATCH($F2956,Cadastro!$B$6:$B$8,0)),""))</f>
        <v/>
      </c>
      <c r="N2956" s="43" t="str">
        <f aca="false">IF(OR($L2956="",$I2956="",$I2956=0),"",$L2956/$I2956)</f>
        <v/>
      </c>
      <c r="O2956" s="51"/>
    </row>
    <row r="2957" customFormat="false" ht="15" hidden="false" customHeight="false" outlineLevel="0" collapsed="false">
      <c r="A2957" s="45"/>
      <c r="B2957" s="37" t="str">
        <f aca="false">IF($A2957="","",WEEKNUM($A2957,2))</f>
        <v/>
      </c>
      <c r="C2957" s="37" t="str">
        <f aca="false">IF($A2957="","",CHOOSE(WEEKDAY($A2957,2),"Seg","Ter","Qua","Qui","Sex","Sáb","Dom"))</f>
        <v/>
      </c>
      <c r="D2957" s="46"/>
      <c r="E2957" s="47"/>
      <c r="F2957" s="47"/>
      <c r="G2957" s="48"/>
      <c r="H2957" s="49"/>
      <c r="I2957" s="50"/>
      <c r="J2957" s="48"/>
      <c r="K2957" s="49"/>
      <c r="L2957" s="50"/>
      <c r="M2957" s="43" t="str">
        <f aca="false">IF(OR($L2957="",$F2957=""),"",IFERROR($L2957/INDEX(Cadastro!$E$6:$E$8,MATCH($F2957,Cadastro!$B$6:$B$8,0)),""))</f>
        <v/>
      </c>
      <c r="N2957" s="43" t="str">
        <f aca="false">IF(OR($L2957="",$I2957="",$I2957=0),"",$L2957/$I2957)</f>
        <v/>
      </c>
      <c r="O2957" s="51"/>
    </row>
    <row r="2958" customFormat="false" ht="15" hidden="false" customHeight="false" outlineLevel="0" collapsed="false">
      <c r="A2958" s="45"/>
      <c r="B2958" s="37" t="str">
        <f aca="false">IF($A2958="","",WEEKNUM($A2958,2))</f>
        <v/>
      </c>
      <c r="C2958" s="37" t="str">
        <f aca="false">IF($A2958="","",CHOOSE(WEEKDAY($A2958,2),"Seg","Ter","Qua","Qui","Sex","Sáb","Dom"))</f>
        <v/>
      </c>
      <c r="D2958" s="46"/>
      <c r="E2958" s="47"/>
      <c r="F2958" s="47"/>
      <c r="G2958" s="48"/>
      <c r="H2958" s="49"/>
      <c r="I2958" s="50"/>
      <c r="J2958" s="48"/>
      <c r="K2958" s="49"/>
      <c r="L2958" s="50"/>
      <c r="M2958" s="43" t="str">
        <f aca="false">IF(OR($L2958="",$F2958=""),"",IFERROR($L2958/INDEX(Cadastro!$E$6:$E$8,MATCH($F2958,Cadastro!$B$6:$B$8,0)),""))</f>
        <v/>
      </c>
      <c r="N2958" s="43" t="str">
        <f aca="false">IF(OR($L2958="",$I2958="",$I2958=0),"",$L2958/$I2958)</f>
        <v/>
      </c>
      <c r="O2958" s="51"/>
    </row>
    <row r="2959" customFormat="false" ht="15" hidden="false" customHeight="false" outlineLevel="0" collapsed="false">
      <c r="A2959" s="45"/>
      <c r="B2959" s="37" t="str">
        <f aca="false">IF($A2959="","",WEEKNUM($A2959,2))</f>
        <v/>
      </c>
      <c r="C2959" s="37" t="str">
        <f aca="false">IF($A2959="","",CHOOSE(WEEKDAY($A2959,2),"Seg","Ter","Qua","Qui","Sex","Sáb","Dom"))</f>
        <v/>
      </c>
      <c r="D2959" s="46"/>
      <c r="E2959" s="47"/>
      <c r="F2959" s="47"/>
      <c r="G2959" s="48"/>
      <c r="H2959" s="49"/>
      <c r="I2959" s="50"/>
      <c r="J2959" s="48"/>
      <c r="K2959" s="49"/>
      <c r="L2959" s="50"/>
      <c r="M2959" s="43" t="str">
        <f aca="false">IF(OR($L2959="",$F2959=""),"",IFERROR($L2959/INDEX(Cadastro!$E$6:$E$8,MATCH($F2959,Cadastro!$B$6:$B$8,0)),""))</f>
        <v/>
      </c>
      <c r="N2959" s="43" t="str">
        <f aca="false">IF(OR($L2959="",$I2959="",$I2959=0),"",$L2959/$I2959)</f>
        <v/>
      </c>
      <c r="O2959" s="51"/>
    </row>
    <row r="2960" customFormat="false" ht="15" hidden="false" customHeight="false" outlineLevel="0" collapsed="false">
      <c r="A2960" s="45"/>
      <c r="B2960" s="37" t="str">
        <f aca="false">IF($A2960="","",WEEKNUM($A2960,2))</f>
        <v/>
      </c>
      <c r="C2960" s="37" t="str">
        <f aca="false">IF($A2960="","",CHOOSE(WEEKDAY($A2960,2),"Seg","Ter","Qua","Qui","Sex","Sáb","Dom"))</f>
        <v/>
      </c>
      <c r="D2960" s="46"/>
      <c r="E2960" s="47"/>
      <c r="F2960" s="47"/>
      <c r="G2960" s="48"/>
      <c r="H2960" s="49"/>
      <c r="I2960" s="50"/>
      <c r="J2960" s="48"/>
      <c r="K2960" s="49"/>
      <c r="L2960" s="50"/>
      <c r="M2960" s="43" t="str">
        <f aca="false">IF(OR($L2960="",$F2960=""),"",IFERROR($L2960/INDEX(Cadastro!$E$6:$E$8,MATCH($F2960,Cadastro!$B$6:$B$8,0)),""))</f>
        <v/>
      </c>
      <c r="N2960" s="43" t="str">
        <f aca="false">IF(OR($L2960="",$I2960="",$I2960=0),"",$L2960/$I2960)</f>
        <v/>
      </c>
      <c r="O2960" s="51"/>
    </row>
    <row r="2961" customFormat="false" ht="15" hidden="false" customHeight="false" outlineLevel="0" collapsed="false">
      <c r="A2961" s="45"/>
      <c r="B2961" s="37" t="str">
        <f aca="false">IF($A2961="","",WEEKNUM($A2961,2))</f>
        <v/>
      </c>
      <c r="C2961" s="37" t="str">
        <f aca="false">IF($A2961="","",CHOOSE(WEEKDAY($A2961,2),"Seg","Ter","Qua","Qui","Sex","Sáb","Dom"))</f>
        <v/>
      </c>
      <c r="D2961" s="46"/>
      <c r="E2961" s="47"/>
      <c r="F2961" s="47"/>
      <c r="G2961" s="48"/>
      <c r="H2961" s="49"/>
      <c r="I2961" s="50"/>
      <c r="J2961" s="48"/>
      <c r="K2961" s="49"/>
      <c r="L2961" s="50"/>
      <c r="M2961" s="43" t="str">
        <f aca="false">IF(OR($L2961="",$F2961=""),"",IFERROR($L2961/INDEX(Cadastro!$E$6:$E$8,MATCH($F2961,Cadastro!$B$6:$B$8,0)),""))</f>
        <v/>
      </c>
      <c r="N2961" s="43" t="str">
        <f aca="false">IF(OR($L2961="",$I2961="",$I2961=0),"",$L2961/$I2961)</f>
        <v/>
      </c>
      <c r="O2961" s="51"/>
    </row>
    <row r="2962" customFormat="false" ht="15" hidden="false" customHeight="false" outlineLevel="0" collapsed="false">
      <c r="A2962" s="45"/>
      <c r="B2962" s="37" t="str">
        <f aca="false">IF($A2962="","",WEEKNUM($A2962,2))</f>
        <v/>
      </c>
      <c r="C2962" s="37" t="str">
        <f aca="false">IF($A2962="","",CHOOSE(WEEKDAY($A2962,2),"Seg","Ter","Qua","Qui","Sex","Sáb","Dom"))</f>
        <v/>
      </c>
      <c r="D2962" s="46"/>
      <c r="E2962" s="47"/>
      <c r="F2962" s="47"/>
      <c r="G2962" s="48"/>
      <c r="H2962" s="49"/>
      <c r="I2962" s="50"/>
      <c r="J2962" s="48"/>
      <c r="K2962" s="49"/>
      <c r="L2962" s="50"/>
      <c r="M2962" s="43" t="str">
        <f aca="false">IF(OR($L2962="",$F2962=""),"",IFERROR($L2962/INDEX(Cadastro!$E$6:$E$8,MATCH($F2962,Cadastro!$B$6:$B$8,0)),""))</f>
        <v/>
      </c>
      <c r="N2962" s="43" t="str">
        <f aca="false">IF(OR($L2962="",$I2962="",$I2962=0),"",$L2962/$I2962)</f>
        <v/>
      </c>
      <c r="O2962" s="51"/>
    </row>
    <row r="2963" customFormat="false" ht="15" hidden="false" customHeight="false" outlineLevel="0" collapsed="false">
      <c r="A2963" s="45"/>
      <c r="B2963" s="37" t="str">
        <f aca="false">IF($A2963="","",WEEKNUM($A2963,2))</f>
        <v/>
      </c>
      <c r="C2963" s="37" t="str">
        <f aca="false">IF($A2963="","",CHOOSE(WEEKDAY($A2963,2),"Seg","Ter","Qua","Qui","Sex","Sáb","Dom"))</f>
        <v/>
      </c>
      <c r="D2963" s="46"/>
      <c r="E2963" s="47"/>
      <c r="F2963" s="47"/>
      <c r="G2963" s="48"/>
      <c r="H2963" s="49"/>
      <c r="I2963" s="50"/>
      <c r="J2963" s="48"/>
      <c r="K2963" s="49"/>
      <c r="L2963" s="50"/>
      <c r="M2963" s="43" t="str">
        <f aca="false">IF(OR($L2963="",$F2963=""),"",IFERROR($L2963/INDEX(Cadastro!$E$6:$E$8,MATCH($F2963,Cadastro!$B$6:$B$8,0)),""))</f>
        <v/>
      </c>
      <c r="N2963" s="43" t="str">
        <f aca="false">IF(OR($L2963="",$I2963="",$I2963=0),"",$L2963/$I2963)</f>
        <v/>
      </c>
      <c r="O2963" s="51"/>
    </row>
    <row r="2964" customFormat="false" ht="15" hidden="false" customHeight="false" outlineLevel="0" collapsed="false">
      <c r="A2964" s="45"/>
      <c r="B2964" s="37" t="str">
        <f aca="false">IF($A2964="","",WEEKNUM($A2964,2))</f>
        <v/>
      </c>
      <c r="C2964" s="37" t="str">
        <f aca="false">IF($A2964="","",CHOOSE(WEEKDAY($A2964,2),"Seg","Ter","Qua","Qui","Sex","Sáb","Dom"))</f>
        <v/>
      </c>
      <c r="D2964" s="46"/>
      <c r="E2964" s="47"/>
      <c r="F2964" s="47"/>
      <c r="G2964" s="48"/>
      <c r="H2964" s="49"/>
      <c r="I2964" s="50"/>
      <c r="J2964" s="48"/>
      <c r="K2964" s="49"/>
      <c r="L2964" s="50"/>
      <c r="M2964" s="43" t="str">
        <f aca="false">IF(OR($L2964="",$F2964=""),"",IFERROR($L2964/INDEX(Cadastro!$E$6:$E$8,MATCH($F2964,Cadastro!$B$6:$B$8,0)),""))</f>
        <v/>
      </c>
      <c r="N2964" s="43" t="str">
        <f aca="false">IF(OR($L2964="",$I2964="",$I2964=0),"",$L2964/$I2964)</f>
        <v/>
      </c>
      <c r="O2964" s="51"/>
    </row>
    <row r="2965" customFormat="false" ht="15" hidden="false" customHeight="false" outlineLevel="0" collapsed="false">
      <c r="A2965" s="45"/>
      <c r="B2965" s="37" t="str">
        <f aca="false">IF($A2965="","",WEEKNUM($A2965,2))</f>
        <v/>
      </c>
      <c r="C2965" s="37" t="str">
        <f aca="false">IF($A2965="","",CHOOSE(WEEKDAY($A2965,2),"Seg","Ter","Qua","Qui","Sex","Sáb","Dom"))</f>
        <v/>
      </c>
      <c r="D2965" s="46"/>
      <c r="E2965" s="47"/>
      <c r="F2965" s="47"/>
      <c r="G2965" s="48"/>
      <c r="H2965" s="49"/>
      <c r="I2965" s="50"/>
      <c r="J2965" s="48"/>
      <c r="K2965" s="49"/>
      <c r="L2965" s="50"/>
      <c r="M2965" s="43" t="str">
        <f aca="false">IF(OR($L2965="",$F2965=""),"",IFERROR($L2965/INDEX(Cadastro!$E$6:$E$8,MATCH($F2965,Cadastro!$B$6:$B$8,0)),""))</f>
        <v/>
      </c>
      <c r="N2965" s="43" t="str">
        <f aca="false">IF(OR($L2965="",$I2965="",$I2965=0),"",$L2965/$I2965)</f>
        <v/>
      </c>
      <c r="O2965" s="51"/>
    </row>
    <row r="2966" customFormat="false" ht="15" hidden="false" customHeight="false" outlineLevel="0" collapsed="false">
      <c r="A2966" s="45"/>
      <c r="B2966" s="37" t="str">
        <f aca="false">IF($A2966="","",WEEKNUM($A2966,2))</f>
        <v/>
      </c>
      <c r="C2966" s="37" t="str">
        <f aca="false">IF($A2966="","",CHOOSE(WEEKDAY($A2966,2),"Seg","Ter","Qua","Qui","Sex","Sáb","Dom"))</f>
        <v/>
      </c>
      <c r="D2966" s="46"/>
      <c r="E2966" s="47"/>
      <c r="F2966" s="47"/>
      <c r="G2966" s="48"/>
      <c r="H2966" s="49"/>
      <c r="I2966" s="50"/>
      <c r="J2966" s="48"/>
      <c r="K2966" s="49"/>
      <c r="L2966" s="50"/>
      <c r="M2966" s="43" t="str">
        <f aca="false">IF(OR($L2966="",$F2966=""),"",IFERROR($L2966/INDEX(Cadastro!$E$6:$E$8,MATCH($F2966,Cadastro!$B$6:$B$8,0)),""))</f>
        <v/>
      </c>
      <c r="N2966" s="43" t="str">
        <f aca="false">IF(OR($L2966="",$I2966="",$I2966=0),"",$L2966/$I2966)</f>
        <v/>
      </c>
      <c r="O2966" s="51"/>
    </row>
    <row r="2967" customFormat="false" ht="15" hidden="false" customHeight="false" outlineLevel="0" collapsed="false">
      <c r="A2967" s="45"/>
      <c r="B2967" s="37" t="str">
        <f aca="false">IF($A2967="","",WEEKNUM($A2967,2))</f>
        <v/>
      </c>
      <c r="C2967" s="37" t="str">
        <f aca="false">IF($A2967="","",CHOOSE(WEEKDAY($A2967,2),"Seg","Ter","Qua","Qui","Sex","Sáb","Dom"))</f>
        <v/>
      </c>
      <c r="D2967" s="46"/>
      <c r="E2967" s="47"/>
      <c r="F2967" s="47"/>
      <c r="G2967" s="48"/>
      <c r="H2967" s="49"/>
      <c r="I2967" s="50"/>
      <c r="J2967" s="48"/>
      <c r="K2967" s="49"/>
      <c r="L2967" s="50"/>
      <c r="M2967" s="43" t="str">
        <f aca="false">IF(OR($L2967="",$F2967=""),"",IFERROR($L2967/INDEX(Cadastro!$E$6:$E$8,MATCH($F2967,Cadastro!$B$6:$B$8,0)),""))</f>
        <v/>
      </c>
      <c r="N2967" s="43" t="str">
        <f aca="false">IF(OR($L2967="",$I2967="",$I2967=0),"",$L2967/$I2967)</f>
        <v/>
      </c>
      <c r="O2967" s="51"/>
    </row>
    <row r="2968" customFormat="false" ht="15" hidden="false" customHeight="false" outlineLevel="0" collapsed="false">
      <c r="A2968" s="45"/>
      <c r="B2968" s="37" t="str">
        <f aca="false">IF($A2968="","",WEEKNUM($A2968,2))</f>
        <v/>
      </c>
      <c r="C2968" s="37" t="str">
        <f aca="false">IF($A2968="","",CHOOSE(WEEKDAY($A2968,2),"Seg","Ter","Qua","Qui","Sex","Sáb","Dom"))</f>
        <v/>
      </c>
      <c r="D2968" s="46"/>
      <c r="E2968" s="47"/>
      <c r="F2968" s="47"/>
      <c r="G2968" s="48"/>
      <c r="H2968" s="49"/>
      <c r="I2968" s="50"/>
      <c r="J2968" s="48"/>
      <c r="K2968" s="49"/>
      <c r="L2968" s="50"/>
      <c r="M2968" s="43" t="str">
        <f aca="false">IF(OR($L2968="",$F2968=""),"",IFERROR($L2968/INDEX(Cadastro!$E$6:$E$8,MATCH($F2968,Cadastro!$B$6:$B$8,0)),""))</f>
        <v/>
      </c>
      <c r="N2968" s="43" t="str">
        <f aca="false">IF(OR($L2968="",$I2968="",$I2968=0),"",$L2968/$I2968)</f>
        <v/>
      </c>
      <c r="O2968" s="51"/>
    </row>
    <row r="2969" customFormat="false" ht="15" hidden="false" customHeight="false" outlineLevel="0" collapsed="false">
      <c r="A2969" s="45"/>
      <c r="B2969" s="37" t="str">
        <f aca="false">IF($A2969="","",WEEKNUM($A2969,2))</f>
        <v/>
      </c>
      <c r="C2969" s="37" t="str">
        <f aca="false">IF($A2969="","",CHOOSE(WEEKDAY($A2969,2),"Seg","Ter","Qua","Qui","Sex","Sáb","Dom"))</f>
        <v/>
      </c>
      <c r="D2969" s="46"/>
      <c r="E2969" s="47"/>
      <c r="F2969" s="47"/>
      <c r="G2969" s="48"/>
      <c r="H2969" s="49"/>
      <c r="I2969" s="50"/>
      <c r="J2969" s="48"/>
      <c r="K2969" s="49"/>
      <c r="L2969" s="50"/>
      <c r="M2969" s="43" t="str">
        <f aca="false">IF(OR($L2969="",$F2969=""),"",IFERROR($L2969/INDEX(Cadastro!$E$6:$E$8,MATCH($F2969,Cadastro!$B$6:$B$8,0)),""))</f>
        <v/>
      </c>
      <c r="N2969" s="43" t="str">
        <f aca="false">IF(OR($L2969="",$I2969="",$I2969=0),"",$L2969/$I2969)</f>
        <v/>
      </c>
      <c r="O2969" s="51"/>
    </row>
    <row r="2970" customFormat="false" ht="15" hidden="false" customHeight="false" outlineLevel="0" collapsed="false">
      <c r="A2970" s="45"/>
      <c r="B2970" s="37" t="str">
        <f aca="false">IF($A2970="","",WEEKNUM($A2970,2))</f>
        <v/>
      </c>
      <c r="C2970" s="37" t="str">
        <f aca="false">IF($A2970="","",CHOOSE(WEEKDAY($A2970,2),"Seg","Ter","Qua","Qui","Sex","Sáb","Dom"))</f>
        <v/>
      </c>
      <c r="D2970" s="46"/>
      <c r="E2970" s="47"/>
      <c r="F2970" s="47"/>
      <c r="G2970" s="48"/>
      <c r="H2970" s="49"/>
      <c r="I2970" s="50"/>
      <c r="J2970" s="48"/>
      <c r="K2970" s="49"/>
      <c r="L2970" s="50"/>
      <c r="M2970" s="43" t="str">
        <f aca="false">IF(OR($L2970="",$F2970=""),"",IFERROR($L2970/INDEX(Cadastro!$E$6:$E$8,MATCH($F2970,Cadastro!$B$6:$B$8,0)),""))</f>
        <v/>
      </c>
      <c r="N2970" s="43" t="str">
        <f aca="false">IF(OR($L2970="",$I2970="",$I2970=0),"",$L2970/$I2970)</f>
        <v/>
      </c>
      <c r="O2970" s="51"/>
    </row>
    <row r="2971" customFormat="false" ht="15" hidden="false" customHeight="false" outlineLevel="0" collapsed="false">
      <c r="A2971" s="45"/>
      <c r="B2971" s="37" t="str">
        <f aca="false">IF($A2971="","",WEEKNUM($A2971,2))</f>
        <v/>
      </c>
      <c r="C2971" s="37" t="str">
        <f aca="false">IF($A2971="","",CHOOSE(WEEKDAY($A2971,2),"Seg","Ter","Qua","Qui","Sex","Sáb","Dom"))</f>
        <v/>
      </c>
      <c r="D2971" s="46"/>
      <c r="E2971" s="47"/>
      <c r="F2971" s="47"/>
      <c r="G2971" s="48"/>
      <c r="H2971" s="49"/>
      <c r="I2971" s="50"/>
      <c r="J2971" s="48"/>
      <c r="K2971" s="49"/>
      <c r="L2971" s="50"/>
      <c r="M2971" s="43" t="str">
        <f aca="false">IF(OR($L2971="",$F2971=""),"",IFERROR($L2971/INDEX(Cadastro!$E$6:$E$8,MATCH($F2971,Cadastro!$B$6:$B$8,0)),""))</f>
        <v/>
      </c>
      <c r="N2971" s="43" t="str">
        <f aca="false">IF(OR($L2971="",$I2971="",$I2971=0),"",$L2971/$I2971)</f>
        <v/>
      </c>
      <c r="O2971" s="51"/>
    </row>
    <row r="2972" customFormat="false" ht="15" hidden="false" customHeight="false" outlineLevel="0" collapsed="false">
      <c r="A2972" s="45"/>
      <c r="B2972" s="37" t="str">
        <f aca="false">IF($A2972="","",WEEKNUM($A2972,2))</f>
        <v/>
      </c>
      <c r="C2972" s="37" t="str">
        <f aca="false">IF($A2972="","",CHOOSE(WEEKDAY($A2972,2),"Seg","Ter","Qua","Qui","Sex","Sáb","Dom"))</f>
        <v/>
      </c>
      <c r="D2972" s="46"/>
      <c r="E2972" s="47"/>
      <c r="F2972" s="47"/>
      <c r="G2972" s="48"/>
      <c r="H2972" s="49"/>
      <c r="I2972" s="50"/>
      <c r="J2972" s="48"/>
      <c r="K2972" s="49"/>
      <c r="L2972" s="50"/>
      <c r="M2972" s="43" t="str">
        <f aca="false">IF(OR($L2972="",$F2972=""),"",IFERROR($L2972/INDEX(Cadastro!$E$6:$E$8,MATCH($F2972,Cadastro!$B$6:$B$8,0)),""))</f>
        <v/>
      </c>
      <c r="N2972" s="43" t="str">
        <f aca="false">IF(OR($L2972="",$I2972="",$I2972=0),"",$L2972/$I2972)</f>
        <v/>
      </c>
      <c r="O2972" s="51"/>
    </row>
    <row r="2973" customFormat="false" ht="15" hidden="false" customHeight="false" outlineLevel="0" collapsed="false">
      <c r="A2973" s="45"/>
      <c r="B2973" s="37" t="str">
        <f aca="false">IF($A2973="","",WEEKNUM($A2973,2))</f>
        <v/>
      </c>
      <c r="C2973" s="37" t="str">
        <f aca="false">IF($A2973="","",CHOOSE(WEEKDAY($A2973,2),"Seg","Ter","Qua","Qui","Sex","Sáb","Dom"))</f>
        <v/>
      </c>
      <c r="D2973" s="46"/>
      <c r="E2973" s="47"/>
      <c r="F2973" s="47"/>
      <c r="G2973" s="48"/>
      <c r="H2973" s="49"/>
      <c r="I2973" s="50"/>
      <c r="J2973" s="48"/>
      <c r="K2973" s="49"/>
      <c r="L2973" s="50"/>
      <c r="M2973" s="43" t="str">
        <f aca="false">IF(OR($L2973="",$F2973=""),"",IFERROR($L2973/INDEX(Cadastro!$E$6:$E$8,MATCH($F2973,Cadastro!$B$6:$B$8,0)),""))</f>
        <v/>
      </c>
      <c r="N2973" s="43" t="str">
        <f aca="false">IF(OR($L2973="",$I2973="",$I2973=0),"",$L2973/$I2973)</f>
        <v/>
      </c>
      <c r="O2973" s="51"/>
    </row>
    <row r="2974" customFormat="false" ht="15" hidden="false" customHeight="false" outlineLevel="0" collapsed="false">
      <c r="A2974" s="45"/>
      <c r="B2974" s="37" t="str">
        <f aca="false">IF($A2974="","",WEEKNUM($A2974,2))</f>
        <v/>
      </c>
      <c r="C2974" s="37" t="str">
        <f aca="false">IF($A2974="","",CHOOSE(WEEKDAY($A2974,2),"Seg","Ter","Qua","Qui","Sex","Sáb","Dom"))</f>
        <v/>
      </c>
      <c r="D2974" s="46"/>
      <c r="E2974" s="47"/>
      <c r="F2974" s="47"/>
      <c r="G2974" s="48"/>
      <c r="H2974" s="49"/>
      <c r="I2974" s="50"/>
      <c r="J2974" s="48"/>
      <c r="K2974" s="49"/>
      <c r="L2974" s="50"/>
      <c r="M2974" s="43" t="str">
        <f aca="false">IF(OR($L2974="",$F2974=""),"",IFERROR($L2974/INDEX(Cadastro!$E$6:$E$8,MATCH($F2974,Cadastro!$B$6:$B$8,0)),""))</f>
        <v/>
      </c>
      <c r="N2974" s="43" t="str">
        <f aca="false">IF(OR($L2974="",$I2974="",$I2974=0),"",$L2974/$I2974)</f>
        <v/>
      </c>
      <c r="O2974" s="51"/>
    </row>
    <row r="2975" customFormat="false" ht="15" hidden="false" customHeight="false" outlineLevel="0" collapsed="false">
      <c r="A2975" s="45"/>
      <c r="B2975" s="37" t="str">
        <f aca="false">IF($A2975="","",WEEKNUM($A2975,2))</f>
        <v/>
      </c>
      <c r="C2975" s="37" t="str">
        <f aca="false">IF($A2975="","",CHOOSE(WEEKDAY($A2975,2),"Seg","Ter","Qua","Qui","Sex","Sáb","Dom"))</f>
        <v/>
      </c>
      <c r="D2975" s="46"/>
      <c r="E2975" s="47"/>
      <c r="F2975" s="47"/>
      <c r="G2975" s="48"/>
      <c r="H2975" s="49"/>
      <c r="I2975" s="50"/>
      <c r="J2975" s="48"/>
      <c r="K2975" s="49"/>
      <c r="L2975" s="50"/>
      <c r="M2975" s="43" t="str">
        <f aca="false">IF(OR($L2975="",$F2975=""),"",IFERROR($L2975/INDEX(Cadastro!$E$6:$E$8,MATCH($F2975,Cadastro!$B$6:$B$8,0)),""))</f>
        <v/>
      </c>
      <c r="N2975" s="43" t="str">
        <f aca="false">IF(OR($L2975="",$I2975="",$I2975=0),"",$L2975/$I2975)</f>
        <v/>
      </c>
      <c r="O2975" s="51"/>
    </row>
    <row r="2976" customFormat="false" ht="15" hidden="false" customHeight="false" outlineLevel="0" collapsed="false">
      <c r="A2976" s="45"/>
      <c r="B2976" s="37" t="str">
        <f aca="false">IF($A2976="","",WEEKNUM($A2976,2))</f>
        <v/>
      </c>
      <c r="C2976" s="37" t="str">
        <f aca="false">IF($A2976="","",CHOOSE(WEEKDAY($A2976,2),"Seg","Ter","Qua","Qui","Sex","Sáb","Dom"))</f>
        <v/>
      </c>
      <c r="D2976" s="46"/>
      <c r="E2976" s="47"/>
      <c r="F2976" s="47"/>
      <c r="G2976" s="48"/>
      <c r="H2976" s="49"/>
      <c r="I2976" s="50"/>
      <c r="J2976" s="48"/>
      <c r="K2976" s="49"/>
      <c r="L2976" s="50"/>
      <c r="M2976" s="43" t="str">
        <f aca="false">IF(OR($L2976="",$F2976=""),"",IFERROR($L2976/INDEX(Cadastro!$E$6:$E$8,MATCH($F2976,Cadastro!$B$6:$B$8,0)),""))</f>
        <v/>
      </c>
      <c r="N2976" s="43" t="str">
        <f aca="false">IF(OR($L2976="",$I2976="",$I2976=0),"",$L2976/$I2976)</f>
        <v/>
      </c>
      <c r="O2976" s="51"/>
    </row>
    <row r="2977" customFormat="false" ht="15" hidden="false" customHeight="false" outlineLevel="0" collapsed="false">
      <c r="A2977" s="45"/>
      <c r="B2977" s="37" t="str">
        <f aca="false">IF($A2977="","",WEEKNUM($A2977,2))</f>
        <v/>
      </c>
      <c r="C2977" s="37" t="str">
        <f aca="false">IF($A2977="","",CHOOSE(WEEKDAY($A2977,2),"Seg","Ter","Qua","Qui","Sex","Sáb","Dom"))</f>
        <v/>
      </c>
      <c r="D2977" s="46"/>
      <c r="E2977" s="47"/>
      <c r="F2977" s="47"/>
      <c r="G2977" s="48"/>
      <c r="H2977" s="49"/>
      <c r="I2977" s="50"/>
      <c r="J2977" s="48"/>
      <c r="K2977" s="49"/>
      <c r="L2977" s="50"/>
      <c r="M2977" s="43" t="str">
        <f aca="false">IF(OR($L2977="",$F2977=""),"",IFERROR($L2977/INDEX(Cadastro!$E$6:$E$8,MATCH($F2977,Cadastro!$B$6:$B$8,0)),""))</f>
        <v/>
      </c>
      <c r="N2977" s="43" t="str">
        <f aca="false">IF(OR($L2977="",$I2977="",$I2977=0),"",$L2977/$I2977)</f>
        <v/>
      </c>
      <c r="O2977" s="51"/>
    </row>
    <row r="2978" customFormat="false" ht="15" hidden="false" customHeight="false" outlineLevel="0" collapsed="false">
      <c r="A2978" s="45"/>
      <c r="B2978" s="37" t="str">
        <f aca="false">IF($A2978="","",WEEKNUM($A2978,2))</f>
        <v/>
      </c>
      <c r="C2978" s="37" t="str">
        <f aca="false">IF($A2978="","",CHOOSE(WEEKDAY($A2978,2),"Seg","Ter","Qua","Qui","Sex","Sáb","Dom"))</f>
        <v/>
      </c>
      <c r="D2978" s="46"/>
      <c r="E2978" s="47"/>
      <c r="F2978" s="47"/>
      <c r="G2978" s="48"/>
      <c r="H2978" s="49"/>
      <c r="I2978" s="50"/>
      <c r="J2978" s="48"/>
      <c r="K2978" s="49"/>
      <c r="L2978" s="50"/>
      <c r="M2978" s="43" t="str">
        <f aca="false">IF(OR($L2978="",$F2978=""),"",IFERROR($L2978/INDEX(Cadastro!$E$6:$E$8,MATCH($F2978,Cadastro!$B$6:$B$8,0)),""))</f>
        <v/>
      </c>
      <c r="N2978" s="43" t="str">
        <f aca="false">IF(OR($L2978="",$I2978="",$I2978=0),"",$L2978/$I2978)</f>
        <v/>
      </c>
      <c r="O2978" s="51"/>
    </row>
    <row r="2979" customFormat="false" ht="15" hidden="false" customHeight="false" outlineLevel="0" collapsed="false">
      <c r="A2979" s="45"/>
      <c r="B2979" s="37" t="str">
        <f aca="false">IF($A2979="","",WEEKNUM($A2979,2))</f>
        <v/>
      </c>
      <c r="C2979" s="37" t="str">
        <f aca="false">IF($A2979="","",CHOOSE(WEEKDAY($A2979,2),"Seg","Ter","Qua","Qui","Sex","Sáb","Dom"))</f>
        <v/>
      </c>
      <c r="D2979" s="46"/>
      <c r="E2979" s="47"/>
      <c r="F2979" s="47"/>
      <c r="G2979" s="48"/>
      <c r="H2979" s="49"/>
      <c r="I2979" s="50"/>
      <c r="J2979" s="48"/>
      <c r="K2979" s="49"/>
      <c r="L2979" s="50"/>
      <c r="M2979" s="43" t="str">
        <f aca="false">IF(OR($L2979="",$F2979=""),"",IFERROR($L2979/INDEX(Cadastro!$E$6:$E$8,MATCH($F2979,Cadastro!$B$6:$B$8,0)),""))</f>
        <v/>
      </c>
      <c r="N2979" s="43" t="str">
        <f aca="false">IF(OR($L2979="",$I2979="",$I2979=0),"",$L2979/$I2979)</f>
        <v/>
      </c>
      <c r="O2979" s="51"/>
    </row>
    <row r="2980" customFormat="false" ht="15" hidden="false" customHeight="false" outlineLevel="0" collapsed="false">
      <c r="A2980" s="45"/>
      <c r="B2980" s="37" t="str">
        <f aca="false">IF($A2980="","",WEEKNUM($A2980,2))</f>
        <v/>
      </c>
      <c r="C2980" s="37" t="str">
        <f aca="false">IF($A2980="","",CHOOSE(WEEKDAY($A2980,2),"Seg","Ter","Qua","Qui","Sex","Sáb","Dom"))</f>
        <v/>
      </c>
      <c r="D2980" s="46"/>
      <c r="E2980" s="47"/>
      <c r="F2980" s="47"/>
      <c r="G2980" s="48"/>
      <c r="H2980" s="49"/>
      <c r="I2980" s="50"/>
      <c r="J2980" s="48"/>
      <c r="K2980" s="49"/>
      <c r="L2980" s="50"/>
      <c r="M2980" s="43" t="str">
        <f aca="false">IF(OR($L2980="",$F2980=""),"",IFERROR($L2980/INDEX(Cadastro!$E$6:$E$8,MATCH($F2980,Cadastro!$B$6:$B$8,0)),""))</f>
        <v/>
      </c>
      <c r="N2980" s="43" t="str">
        <f aca="false">IF(OR($L2980="",$I2980="",$I2980=0),"",$L2980/$I2980)</f>
        <v/>
      </c>
      <c r="O2980" s="51"/>
    </row>
    <row r="2981" customFormat="false" ht="15" hidden="false" customHeight="false" outlineLevel="0" collapsed="false">
      <c r="A2981" s="45"/>
      <c r="B2981" s="37" t="str">
        <f aca="false">IF($A2981="","",WEEKNUM($A2981,2))</f>
        <v/>
      </c>
      <c r="C2981" s="37" t="str">
        <f aca="false">IF($A2981="","",CHOOSE(WEEKDAY($A2981,2),"Seg","Ter","Qua","Qui","Sex","Sáb","Dom"))</f>
        <v/>
      </c>
      <c r="D2981" s="46"/>
      <c r="E2981" s="47"/>
      <c r="F2981" s="47"/>
      <c r="G2981" s="48"/>
      <c r="H2981" s="49"/>
      <c r="I2981" s="50"/>
      <c r="J2981" s="48"/>
      <c r="K2981" s="49"/>
      <c r="L2981" s="50"/>
      <c r="M2981" s="43" t="str">
        <f aca="false">IF(OR($L2981="",$F2981=""),"",IFERROR($L2981/INDEX(Cadastro!$E$6:$E$8,MATCH($F2981,Cadastro!$B$6:$B$8,0)),""))</f>
        <v/>
      </c>
      <c r="N2981" s="43" t="str">
        <f aca="false">IF(OR($L2981="",$I2981="",$I2981=0),"",$L2981/$I2981)</f>
        <v/>
      </c>
      <c r="O2981" s="51"/>
    </row>
    <row r="2982" customFormat="false" ht="15" hidden="false" customHeight="false" outlineLevel="0" collapsed="false">
      <c r="A2982" s="45"/>
      <c r="B2982" s="37" t="str">
        <f aca="false">IF($A2982="","",WEEKNUM($A2982,2))</f>
        <v/>
      </c>
      <c r="C2982" s="37" t="str">
        <f aca="false">IF($A2982="","",CHOOSE(WEEKDAY($A2982,2),"Seg","Ter","Qua","Qui","Sex","Sáb","Dom"))</f>
        <v/>
      </c>
      <c r="D2982" s="46"/>
      <c r="E2982" s="47"/>
      <c r="F2982" s="47"/>
      <c r="G2982" s="48"/>
      <c r="H2982" s="49"/>
      <c r="I2982" s="50"/>
      <c r="J2982" s="48"/>
      <c r="K2982" s="49"/>
      <c r="L2982" s="50"/>
      <c r="M2982" s="43" t="str">
        <f aca="false">IF(OR($L2982="",$F2982=""),"",IFERROR($L2982/INDEX(Cadastro!$E$6:$E$8,MATCH($F2982,Cadastro!$B$6:$B$8,0)),""))</f>
        <v/>
      </c>
      <c r="N2982" s="43" t="str">
        <f aca="false">IF(OR($L2982="",$I2982="",$I2982=0),"",$L2982/$I2982)</f>
        <v/>
      </c>
      <c r="O2982" s="51"/>
    </row>
    <row r="2983" customFormat="false" ht="15" hidden="false" customHeight="false" outlineLevel="0" collapsed="false">
      <c r="A2983" s="45"/>
      <c r="B2983" s="37" t="str">
        <f aca="false">IF($A2983="","",WEEKNUM($A2983,2))</f>
        <v/>
      </c>
      <c r="C2983" s="37" t="str">
        <f aca="false">IF($A2983="","",CHOOSE(WEEKDAY($A2983,2),"Seg","Ter","Qua","Qui","Sex","Sáb","Dom"))</f>
        <v/>
      </c>
      <c r="D2983" s="46"/>
      <c r="E2983" s="47"/>
      <c r="F2983" s="47"/>
      <c r="G2983" s="48"/>
      <c r="H2983" s="49"/>
      <c r="I2983" s="50"/>
      <c r="J2983" s="48"/>
      <c r="K2983" s="49"/>
      <c r="L2983" s="50"/>
      <c r="M2983" s="43" t="str">
        <f aca="false">IF(OR($L2983="",$F2983=""),"",IFERROR($L2983/INDEX(Cadastro!$E$6:$E$8,MATCH($F2983,Cadastro!$B$6:$B$8,0)),""))</f>
        <v/>
      </c>
      <c r="N2983" s="43" t="str">
        <f aca="false">IF(OR($L2983="",$I2983="",$I2983=0),"",$L2983/$I2983)</f>
        <v/>
      </c>
      <c r="O2983" s="51"/>
    </row>
    <row r="2984" customFormat="false" ht="15" hidden="false" customHeight="false" outlineLevel="0" collapsed="false">
      <c r="A2984" s="45"/>
      <c r="B2984" s="37" t="str">
        <f aca="false">IF($A2984="","",WEEKNUM($A2984,2))</f>
        <v/>
      </c>
      <c r="C2984" s="37" t="str">
        <f aca="false">IF($A2984="","",CHOOSE(WEEKDAY($A2984,2),"Seg","Ter","Qua","Qui","Sex","Sáb","Dom"))</f>
        <v/>
      </c>
      <c r="D2984" s="46"/>
      <c r="E2984" s="47"/>
      <c r="F2984" s="47"/>
      <c r="G2984" s="48"/>
      <c r="H2984" s="49"/>
      <c r="I2984" s="50"/>
      <c r="J2984" s="48"/>
      <c r="K2984" s="49"/>
      <c r="L2984" s="50"/>
      <c r="M2984" s="43" t="str">
        <f aca="false">IF(OR($L2984="",$F2984=""),"",IFERROR($L2984/INDEX(Cadastro!$E$6:$E$8,MATCH($F2984,Cadastro!$B$6:$B$8,0)),""))</f>
        <v/>
      </c>
      <c r="N2984" s="43" t="str">
        <f aca="false">IF(OR($L2984="",$I2984="",$I2984=0),"",$L2984/$I2984)</f>
        <v/>
      </c>
      <c r="O2984" s="51"/>
    </row>
    <row r="2985" customFormat="false" ht="15" hidden="false" customHeight="false" outlineLevel="0" collapsed="false">
      <c r="A2985" s="45"/>
      <c r="B2985" s="37" t="str">
        <f aca="false">IF($A2985="","",WEEKNUM($A2985,2))</f>
        <v/>
      </c>
      <c r="C2985" s="37" t="str">
        <f aca="false">IF($A2985="","",CHOOSE(WEEKDAY($A2985,2),"Seg","Ter","Qua","Qui","Sex","Sáb","Dom"))</f>
        <v/>
      </c>
      <c r="D2985" s="46"/>
      <c r="E2985" s="47"/>
      <c r="F2985" s="47"/>
      <c r="G2985" s="48"/>
      <c r="H2985" s="49"/>
      <c r="I2985" s="50"/>
      <c r="J2985" s="48"/>
      <c r="K2985" s="49"/>
      <c r="L2985" s="50"/>
      <c r="M2985" s="43" t="str">
        <f aca="false">IF(OR($L2985="",$F2985=""),"",IFERROR($L2985/INDEX(Cadastro!$E$6:$E$8,MATCH($F2985,Cadastro!$B$6:$B$8,0)),""))</f>
        <v/>
      </c>
      <c r="N2985" s="43" t="str">
        <f aca="false">IF(OR($L2985="",$I2985="",$I2985=0),"",$L2985/$I2985)</f>
        <v/>
      </c>
      <c r="O2985" s="51"/>
    </row>
    <row r="2986" customFormat="false" ht="15" hidden="false" customHeight="false" outlineLevel="0" collapsed="false">
      <c r="A2986" s="45"/>
      <c r="B2986" s="37" t="str">
        <f aca="false">IF($A2986="","",WEEKNUM($A2986,2))</f>
        <v/>
      </c>
      <c r="C2986" s="37" t="str">
        <f aca="false">IF($A2986="","",CHOOSE(WEEKDAY($A2986,2),"Seg","Ter","Qua","Qui","Sex","Sáb","Dom"))</f>
        <v/>
      </c>
      <c r="D2986" s="46"/>
      <c r="E2986" s="47"/>
      <c r="F2986" s="47"/>
      <c r="G2986" s="48"/>
      <c r="H2986" s="49"/>
      <c r="I2986" s="50"/>
      <c r="J2986" s="48"/>
      <c r="K2986" s="49"/>
      <c r="L2986" s="50"/>
      <c r="M2986" s="43" t="str">
        <f aca="false">IF(OR($L2986="",$F2986=""),"",IFERROR($L2986/INDEX(Cadastro!$E$6:$E$8,MATCH($F2986,Cadastro!$B$6:$B$8,0)),""))</f>
        <v/>
      </c>
      <c r="N2986" s="43" t="str">
        <f aca="false">IF(OR($L2986="",$I2986="",$I2986=0),"",$L2986/$I2986)</f>
        <v/>
      </c>
      <c r="O2986" s="51"/>
    </row>
    <row r="2987" customFormat="false" ht="15" hidden="false" customHeight="false" outlineLevel="0" collapsed="false">
      <c r="A2987" s="45"/>
      <c r="B2987" s="37" t="str">
        <f aca="false">IF($A2987="","",WEEKNUM($A2987,2))</f>
        <v/>
      </c>
      <c r="C2987" s="37" t="str">
        <f aca="false">IF($A2987="","",CHOOSE(WEEKDAY($A2987,2),"Seg","Ter","Qua","Qui","Sex","Sáb","Dom"))</f>
        <v/>
      </c>
      <c r="D2987" s="46"/>
      <c r="E2987" s="47"/>
      <c r="F2987" s="47"/>
      <c r="G2987" s="48"/>
      <c r="H2987" s="49"/>
      <c r="I2987" s="50"/>
      <c r="J2987" s="48"/>
      <c r="K2987" s="49"/>
      <c r="L2987" s="50"/>
      <c r="M2987" s="43" t="str">
        <f aca="false">IF(OR($L2987="",$F2987=""),"",IFERROR($L2987/INDEX(Cadastro!$E$6:$E$8,MATCH($F2987,Cadastro!$B$6:$B$8,0)),""))</f>
        <v/>
      </c>
      <c r="N2987" s="43" t="str">
        <f aca="false">IF(OR($L2987="",$I2987="",$I2987=0),"",$L2987/$I2987)</f>
        <v/>
      </c>
      <c r="O2987" s="51"/>
    </row>
    <row r="2988" customFormat="false" ht="15" hidden="false" customHeight="false" outlineLevel="0" collapsed="false">
      <c r="A2988" s="45"/>
      <c r="B2988" s="37" t="str">
        <f aca="false">IF($A2988="","",WEEKNUM($A2988,2))</f>
        <v/>
      </c>
      <c r="C2988" s="37" t="str">
        <f aca="false">IF($A2988="","",CHOOSE(WEEKDAY($A2988,2),"Seg","Ter","Qua","Qui","Sex","Sáb","Dom"))</f>
        <v/>
      </c>
      <c r="D2988" s="46"/>
      <c r="E2988" s="47"/>
      <c r="F2988" s="47"/>
      <c r="G2988" s="48"/>
      <c r="H2988" s="49"/>
      <c r="I2988" s="50"/>
      <c r="J2988" s="48"/>
      <c r="K2988" s="49"/>
      <c r="L2988" s="50"/>
      <c r="M2988" s="43" t="str">
        <f aca="false">IF(OR($L2988="",$F2988=""),"",IFERROR($L2988/INDEX(Cadastro!$E$6:$E$8,MATCH($F2988,Cadastro!$B$6:$B$8,0)),""))</f>
        <v/>
      </c>
      <c r="N2988" s="43" t="str">
        <f aca="false">IF(OR($L2988="",$I2988="",$I2988=0),"",$L2988/$I2988)</f>
        <v/>
      </c>
      <c r="O2988" s="51"/>
    </row>
    <row r="2989" customFormat="false" ht="15" hidden="false" customHeight="false" outlineLevel="0" collapsed="false">
      <c r="A2989" s="45"/>
      <c r="B2989" s="37" t="str">
        <f aca="false">IF($A2989="","",WEEKNUM($A2989,2))</f>
        <v/>
      </c>
      <c r="C2989" s="37" t="str">
        <f aca="false">IF($A2989="","",CHOOSE(WEEKDAY($A2989,2),"Seg","Ter","Qua","Qui","Sex","Sáb","Dom"))</f>
        <v/>
      </c>
      <c r="D2989" s="46"/>
      <c r="E2989" s="47"/>
      <c r="F2989" s="47"/>
      <c r="G2989" s="48"/>
      <c r="H2989" s="49"/>
      <c r="I2989" s="50"/>
      <c r="J2989" s="48"/>
      <c r="K2989" s="49"/>
      <c r="L2989" s="50"/>
      <c r="M2989" s="43" t="str">
        <f aca="false">IF(OR($L2989="",$F2989=""),"",IFERROR($L2989/INDEX(Cadastro!$E$6:$E$8,MATCH($F2989,Cadastro!$B$6:$B$8,0)),""))</f>
        <v/>
      </c>
      <c r="N2989" s="43" t="str">
        <f aca="false">IF(OR($L2989="",$I2989="",$I2989=0),"",$L2989/$I2989)</f>
        <v/>
      </c>
      <c r="O2989" s="51"/>
    </row>
    <row r="2990" customFormat="false" ht="15" hidden="false" customHeight="false" outlineLevel="0" collapsed="false">
      <c r="A2990" s="45"/>
      <c r="B2990" s="37" t="str">
        <f aca="false">IF($A2990="","",WEEKNUM($A2990,2))</f>
        <v/>
      </c>
      <c r="C2990" s="37" t="str">
        <f aca="false">IF($A2990="","",CHOOSE(WEEKDAY($A2990,2),"Seg","Ter","Qua","Qui","Sex","Sáb","Dom"))</f>
        <v/>
      </c>
      <c r="D2990" s="46"/>
      <c r="E2990" s="47"/>
      <c r="F2990" s="47"/>
      <c r="G2990" s="48"/>
      <c r="H2990" s="49"/>
      <c r="I2990" s="50"/>
      <c r="J2990" s="48"/>
      <c r="K2990" s="49"/>
      <c r="L2990" s="50"/>
      <c r="M2990" s="43" t="str">
        <f aca="false">IF(OR($L2990="",$F2990=""),"",IFERROR($L2990/INDEX(Cadastro!$E$6:$E$8,MATCH($F2990,Cadastro!$B$6:$B$8,0)),""))</f>
        <v/>
      </c>
      <c r="N2990" s="43" t="str">
        <f aca="false">IF(OR($L2990="",$I2990="",$I2990=0),"",$L2990/$I2990)</f>
        <v/>
      </c>
      <c r="O2990" s="51"/>
    </row>
    <row r="2991" customFormat="false" ht="15" hidden="false" customHeight="false" outlineLevel="0" collapsed="false">
      <c r="A2991" s="45"/>
      <c r="B2991" s="37" t="str">
        <f aca="false">IF($A2991="","",WEEKNUM($A2991,2))</f>
        <v/>
      </c>
      <c r="C2991" s="37" t="str">
        <f aca="false">IF($A2991="","",CHOOSE(WEEKDAY($A2991,2),"Seg","Ter","Qua","Qui","Sex","Sáb","Dom"))</f>
        <v/>
      </c>
      <c r="D2991" s="46"/>
      <c r="E2991" s="47"/>
      <c r="F2991" s="47"/>
      <c r="G2991" s="48"/>
      <c r="H2991" s="49"/>
      <c r="I2991" s="50"/>
      <c r="J2991" s="48"/>
      <c r="K2991" s="49"/>
      <c r="L2991" s="50"/>
      <c r="M2991" s="43" t="str">
        <f aca="false">IF(OR($L2991="",$F2991=""),"",IFERROR($L2991/INDEX(Cadastro!$E$6:$E$8,MATCH($F2991,Cadastro!$B$6:$B$8,0)),""))</f>
        <v/>
      </c>
      <c r="N2991" s="43" t="str">
        <f aca="false">IF(OR($L2991="",$I2991="",$I2991=0),"",$L2991/$I2991)</f>
        <v/>
      </c>
      <c r="O2991" s="51"/>
    </row>
    <row r="2992" customFormat="false" ht="15" hidden="false" customHeight="false" outlineLevel="0" collapsed="false">
      <c r="A2992" s="45"/>
      <c r="B2992" s="37" t="str">
        <f aca="false">IF($A2992="","",WEEKNUM($A2992,2))</f>
        <v/>
      </c>
      <c r="C2992" s="37" t="str">
        <f aca="false">IF($A2992="","",CHOOSE(WEEKDAY($A2992,2),"Seg","Ter","Qua","Qui","Sex","Sáb","Dom"))</f>
        <v/>
      </c>
      <c r="D2992" s="46"/>
      <c r="E2992" s="47"/>
      <c r="F2992" s="47"/>
      <c r="G2992" s="48"/>
      <c r="H2992" s="49"/>
      <c r="I2992" s="50"/>
      <c r="J2992" s="48"/>
      <c r="K2992" s="49"/>
      <c r="L2992" s="50"/>
      <c r="M2992" s="43" t="str">
        <f aca="false">IF(OR($L2992="",$F2992=""),"",IFERROR($L2992/INDEX(Cadastro!$E$6:$E$8,MATCH($F2992,Cadastro!$B$6:$B$8,0)),""))</f>
        <v/>
      </c>
      <c r="N2992" s="43" t="str">
        <f aca="false">IF(OR($L2992="",$I2992="",$I2992=0),"",$L2992/$I2992)</f>
        <v/>
      </c>
      <c r="O2992" s="51"/>
    </row>
    <row r="2993" customFormat="false" ht="15" hidden="false" customHeight="false" outlineLevel="0" collapsed="false">
      <c r="A2993" s="45"/>
      <c r="B2993" s="37" t="str">
        <f aca="false">IF($A2993="","",WEEKNUM($A2993,2))</f>
        <v/>
      </c>
      <c r="C2993" s="37" t="str">
        <f aca="false">IF($A2993="","",CHOOSE(WEEKDAY($A2993,2),"Seg","Ter","Qua","Qui","Sex","Sáb","Dom"))</f>
        <v/>
      </c>
      <c r="D2993" s="46"/>
      <c r="E2993" s="47"/>
      <c r="F2993" s="47"/>
      <c r="G2993" s="48"/>
      <c r="H2993" s="49"/>
      <c r="I2993" s="50"/>
      <c r="J2993" s="48"/>
      <c r="K2993" s="49"/>
      <c r="L2993" s="50"/>
      <c r="M2993" s="43" t="str">
        <f aca="false">IF(OR($L2993="",$F2993=""),"",IFERROR($L2993/INDEX(Cadastro!$E$6:$E$8,MATCH($F2993,Cadastro!$B$6:$B$8,0)),""))</f>
        <v/>
      </c>
      <c r="N2993" s="43" t="str">
        <f aca="false">IF(OR($L2993="",$I2993="",$I2993=0),"",$L2993/$I2993)</f>
        <v/>
      </c>
      <c r="O2993" s="51"/>
    </row>
    <row r="2994" customFormat="false" ht="15" hidden="false" customHeight="false" outlineLevel="0" collapsed="false">
      <c r="A2994" s="45"/>
      <c r="B2994" s="37" t="str">
        <f aca="false">IF($A2994="","",WEEKNUM($A2994,2))</f>
        <v/>
      </c>
      <c r="C2994" s="37" t="str">
        <f aca="false">IF($A2994="","",CHOOSE(WEEKDAY($A2994,2),"Seg","Ter","Qua","Qui","Sex","Sáb","Dom"))</f>
        <v/>
      </c>
      <c r="D2994" s="46"/>
      <c r="E2994" s="47"/>
      <c r="F2994" s="47"/>
      <c r="G2994" s="48"/>
      <c r="H2994" s="49"/>
      <c r="I2994" s="50"/>
      <c r="J2994" s="48"/>
      <c r="K2994" s="49"/>
      <c r="L2994" s="50"/>
      <c r="M2994" s="43" t="str">
        <f aca="false">IF(OR($L2994="",$F2994=""),"",IFERROR($L2994/INDEX(Cadastro!$E$6:$E$8,MATCH($F2994,Cadastro!$B$6:$B$8,0)),""))</f>
        <v/>
      </c>
      <c r="N2994" s="43" t="str">
        <f aca="false">IF(OR($L2994="",$I2994="",$I2994=0),"",$L2994/$I2994)</f>
        <v/>
      </c>
      <c r="O2994" s="51"/>
    </row>
    <row r="2995" customFormat="false" ht="15" hidden="false" customHeight="false" outlineLevel="0" collapsed="false">
      <c r="A2995" s="45"/>
      <c r="B2995" s="37" t="str">
        <f aca="false">IF($A2995="","",WEEKNUM($A2995,2))</f>
        <v/>
      </c>
      <c r="C2995" s="37" t="str">
        <f aca="false">IF($A2995="","",CHOOSE(WEEKDAY($A2995,2),"Seg","Ter","Qua","Qui","Sex","Sáb","Dom"))</f>
        <v/>
      </c>
      <c r="D2995" s="46"/>
      <c r="E2995" s="47"/>
      <c r="F2995" s="47"/>
      <c r="G2995" s="48"/>
      <c r="H2995" s="49"/>
      <c r="I2995" s="50"/>
      <c r="J2995" s="48"/>
      <c r="K2995" s="49"/>
      <c r="L2995" s="50"/>
      <c r="M2995" s="43" t="str">
        <f aca="false">IF(OR($L2995="",$F2995=""),"",IFERROR($L2995/INDEX(Cadastro!$E$6:$E$8,MATCH($F2995,Cadastro!$B$6:$B$8,0)),""))</f>
        <v/>
      </c>
      <c r="N2995" s="43" t="str">
        <f aca="false">IF(OR($L2995="",$I2995="",$I2995=0),"",$L2995/$I2995)</f>
        <v/>
      </c>
      <c r="O2995" s="51"/>
    </row>
    <row r="2996" customFormat="false" ht="15" hidden="false" customHeight="false" outlineLevel="0" collapsed="false">
      <c r="A2996" s="45"/>
      <c r="B2996" s="37" t="str">
        <f aca="false">IF($A2996="","",WEEKNUM($A2996,2))</f>
        <v/>
      </c>
      <c r="C2996" s="37" t="str">
        <f aca="false">IF($A2996="","",CHOOSE(WEEKDAY($A2996,2),"Seg","Ter","Qua","Qui","Sex","Sáb","Dom"))</f>
        <v/>
      </c>
      <c r="D2996" s="46"/>
      <c r="E2996" s="47"/>
      <c r="F2996" s="47"/>
      <c r="G2996" s="48"/>
      <c r="H2996" s="49"/>
      <c r="I2996" s="50"/>
      <c r="J2996" s="48"/>
      <c r="K2996" s="49"/>
      <c r="L2996" s="50"/>
      <c r="M2996" s="43" t="str">
        <f aca="false">IF(OR($L2996="",$F2996=""),"",IFERROR($L2996/INDEX(Cadastro!$E$6:$E$8,MATCH($F2996,Cadastro!$B$6:$B$8,0)),""))</f>
        <v/>
      </c>
      <c r="N2996" s="43" t="str">
        <f aca="false">IF(OR($L2996="",$I2996="",$I2996=0),"",$L2996/$I2996)</f>
        <v/>
      </c>
      <c r="O2996" s="51"/>
    </row>
    <row r="2997" customFormat="false" ht="15" hidden="false" customHeight="false" outlineLevel="0" collapsed="false">
      <c r="A2997" s="45"/>
      <c r="B2997" s="37" t="str">
        <f aca="false">IF($A2997="","",WEEKNUM($A2997,2))</f>
        <v/>
      </c>
      <c r="C2997" s="37" t="str">
        <f aca="false">IF($A2997="","",CHOOSE(WEEKDAY($A2997,2),"Seg","Ter","Qua","Qui","Sex","Sáb","Dom"))</f>
        <v/>
      </c>
      <c r="D2997" s="46"/>
      <c r="E2997" s="47"/>
      <c r="F2997" s="47"/>
      <c r="G2997" s="48"/>
      <c r="H2997" s="49"/>
      <c r="I2997" s="50"/>
      <c r="J2997" s="48"/>
      <c r="K2997" s="49"/>
      <c r="L2997" s="50"/>
      <c r="M2997" s="43" t="str">
        <f aca="false">IF(OR($L2997="",$F2997=""),"",IFERROR($L2997/INDEX(Cadastro!$E$6:$E$8,MATCH($F2997,Cadastro!$B$6:$B$8,0)),""))</f>
        <v/>
      </c>
      <c r="N2997" s="43" t="str">
        <f aca="false">IF(OR($L2997="",$I2997="",$I2997=0),"",$L2997/$I2997)</f>
        <v/>
      </c>
      <c r="O2997" s="51"/>
    </row>
    <row r="2998" customFormat="false" ht="15" hidden="false" customHeight="false" outlineLevel="0" collapsed="false">
      <c r="A2998" s="45"/>
      <c r="B2998" s="37" t="str">
        <f aca="false">IF($A2998="","",WEEKNUM($A2998,2))</f>
        <v/>
      </c>
      <c r="C2998" s="37" t="str">
        <f aca="false">IF($A2998="","",CHOOSE(WEEKDAY($A2998,2),"Seg","Ter","Qua","Qui","Sex","Sáb","Dom"))</f>
        <v/>
      </c>
      <c r="D2998" s="46"/>
      <c r="E2998" s="47"/>
      <c r="F2998" s="47"/>
      <c r="G2998" s="48"/>
      <c r="H2998" s="49"/>
      <c r="I2998" s="50"/>
      <c r="J2998" s="48"/>
      <c r="K2998" s="49"/>
      <c r="L2998" s="50"/>
      <c r="M2998" s="43" t="str">
        <f aca="false">IF(OR($L2998="",$F2998=""),"",IFERROR($L2998/INDEX(Cadastro!$E$6:$E$8,MATCH($F2998,Cadastro!$B$6:$B$8,0)),""))</f>
        <v/>
      </c>
      <c r="N2998" s="43" t="str">
        <f aca="false">IF(OR($L2998="",$I2998="",$I2998=0),"",$L2998/$I2998)</f>
        <v/>
      </c>
      <c r="O2998" s="51"/>
    </row>
    <row r="2999" customFormat="false" ht="15" hidden="false" customHeight="false" outlineLevel="0" collapsed="false">
      <c r="A2999" s="45"/>
      <c r="B2999" s="37" t="str">
        <f aca="false">IF($A2999="","",WEEKNUM($A2999,2))</f>
        <v/>
      </c>
      <c r="C2999" s="37" t="str">
        <f aca="false">IF($A2999="","",CHOOSE(WEEKDAY($A2999,2),"Seg","Ter","Qua","Qui","Sex","Sáb","Dom"))</f>
        <v/>
      </c>
      <c r="D2999" s="46"/>
      <c r="E2999" s="47"/>
      <c r="F2999" s="47"/>
      <c r="G2999" s="48"/>
      <c r="H2999" s="49"/>
      <c r="I2999" s="50"/>
      <c r="J2999" s="48"/>
      <c r="K2999" s="49"/>
      <c r="L2999" s="50"/>
      <c r="M2999" s="43" t="str">
        <f aca="false">IF(OR($L2999="",$F2999=""),"",IFERROR($L2999/INDEX(Cadastro!$E$6:$E$8,MATCH($F2999,Cadastro!$B$6:$B$8,0)),""))</f>
        <v/>
      </c>
      <c r="N2999" s="43" t="str">
        <f aca="false">IF(OR($L2999="",$I2999="",$I2999=0),"",$L2999/$I2999)</f>
        <v/>
      </c>
      <c r="O2999" s="51"/>
    </row>
    <row r="3000" customFormat="false" ht="15" hidden="false" customHeight="false" outlineLevel="0" collapsed="false">
      <c r="A3000" s="45"/>
      <c r="B3000" s="37" t="str">
        <f aca="false">IF($A3000="","",WEEKNUM($A3000,2))</f>
        <v/>
      </c>
      <c r="C3000" s="37" t="str">
        <f aca="false">IF($A3000="","",CHOOSE(WEEKDAY($A3000,2),"Seg","Ter","Qua","Qui","Sex","Sáb","Dom"))</f>
        <v/>
      </c>
      <c r="D3000" s="46"/>
      <c r="E3000" s="47"/>
      <c r="F3000" s="47"/>
      <c r="G3000" s="48"/>
      <c r="H3000" s="49"/>
      <c r="I3000" s="50"/>
      <c r="J3000" s="48"/>
      <c r="K3000" s="49"/>
      <c r="L3000" s="50"/>
      <c r="M3000" s="43" t="str">
        <f aca="false">IF(OR($L3000="",$F3000=""),"",IFERROR($L3000/INDEX(Cadastro!$E$6:$E$8,MATCH($F3000,Cadastro!$B$6:$B$8,0)),""))</f>
        <v/>
      </c>
      <c r="N3000" s="43" t="str">
        <f aca="false">IF(OR($L3000="",$I3000="",$I3000=0),"",$L3000/$I3000)</f>
        <v/>
      </c>
      <c r="O3000" s="51"/>
    </row>
  </sheetData>
  <autoFilter ref="A4:O3000"/>
  <mergeCells count="4">
    <mergeCell ref="A3:F3"/>
    <mergeCell ref="G3:I3"/>
    <mergeCell ref="J3:L3"/>
    <mergeCell ref="M3:O3"/>
  </mergeCells>
  <dataValidations count="2">
    <dataValidation allowBlank="true" errorStyle="stop" operator="between" showDropDown="false" showErrorMessage="false" showInputMessage="false" sqref="F5:F3000" type="list">
      <formula1>Cadastro!$B$6:$B$8</formula1>
      <formula2>0</formula2>
    </dataValidation>
    <dataValidation allowBlank="true" errorStyle="stop" operator="between" showDropDown="false" showErrorMessage="false" showInputMessage="false" sqref="E5:E3000" type="list">
      <formula1>"1ª,2ª,3ª"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2"/>
  </cols>
  <sheetData>
    <row r="2" customFormat="false" ht="19.7" hidden="false" customHeight="false" outlineLevel="0" collapsed="false">
      <c r="B2" s="29" t="s">
        <v>43</v>
      </c>
    </row>
    <row r="3" customFormat="false" ht="15" hidden="false" customHeight="false" outlineLevel="0" collapsed="false">
      <c r="B3" s="30" t="s">
        <v>44</v>
      </c>
    </row>
    <row r="5" customFormat="false" ht="31.5" hidden="false" customHeight="true" outlineLevel="0" collapsed="false">
      <c r="B5" s="35" t="s">
        <v>45</v>
      </c>
      <c r="C5" s="35" t="s">
        <v>46</v>
      </c>
      <c r="D5" s="35" t="s">
        <v>47</v>
      </c>
      <c r="E5" s="35" t="s">
        <v>48</v>
      </c>
      <c r="F5" s="35" t="s">
        <v>49</v>
      </c>
      <c r="G5" s="35" t="s">
        <v>50</v>
      </c>
    </row>
    <row r="6" customFormat="false" ht="15" hidden="false" customHeight="false" outlineLevel="0" collapsed="false">
      <c r="B6" s="52" t="s">
        <v>41</v>
      </c>
      <c r="C6" s="52" t="s">
        <v>51</v>
      </c>
      <c r="D6" s="52" t="s">
        <v>52</v>
      </c>
      <c r="E6" s="53" t="n">
        <v>7500</v>
      </c>
      <c r="F6" s="53" t="n">
        <v>220</v>
      </c>
      <c r="G6" s="53" t="n">
        <v>120</v>
      </c>
    </row>
    <row r="7" customFormat="false" ht="15" hidden="false" customHeight="false" outlineLevel="0" collapsed="false">
      <c r="B7" s="52"/>
      <c r="C7" s="52"/>
      <c r="D7" s="52"/>
      <c r="E7" s="53"/>
      <c r="F7" s="53"/>
      <c r="G7" s="53"/>
    </row>
    <row r="8" customFormat="false" ht="15" hidden="false" customHeight="false" outlineLevel="0" collapsed="false">
      <c r="B8" s="52"/>
      <c r="C8" s="52"/>
      <c r="D8" s="52"/>
      <c r="E8" s="53"/>
      <c r="F8" s="53"/>
      <c r="G8" s="53"/>
    </row>
    <row r="11" customFormat="false" ht="15" hidden="false" customHeight="true" outlineLevel="0" collapsed="false">
      <c r="B11" s="54" t="s">
        <v>53</v>
      </c>
      <c r="C11" s="54"/>
      <c r="D11" s="54"/>
      <c r="E11" s="54"/>
      <c r="F11" s="54"/>
      <c r="G11" s="54"/>
    </row>
    <row r="12" customFormat="false" ht="15" hidden="false" customHeight="false" outlineLevel="0" collapsed="false">
      <c r="B12" s="54"/>
      <c r="C12" s="54"/>
      <c r="D12" s="54"/>
      <c r="E12" s="54"/>
      <c r="F12" s="54"/>
      <c r="G12" s="54"/>
    </row>
    <row r="13" customFormat="false" ht="15" hidden="false" customHeight="false" outlineLevel="0" collapsed="false">
      <c r="B13" s="54"/>
      <c r="C13" s="54"/>
      <c r="D13" s="54"/>
      <c r="E13" s="54"/>
      <c r="F13" s="54"/>
      <c r="G13" s="54"/>
    </row>
  </sheetData>
  <mergeCells count="1">
    <mergeCell ref="B11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88"/>
  </cols>
  <sheetData>
    <row r="2" customFormat="false" ht="33.75" hidden="false" customHeight="true" outlineLevel="0" collapsed="false">
      <c r="B2" s="55" t="s">
        <v>54</v>
      </c>
      <c r="C2" s="55"/>
      <c r="D2" s="55"/>
    </row>
    <row r="4" customFormat="false" ht="36" hidden="false" customHeight="true" outlineLevel="0" collapsed="false">
      <c r="C4" s="56" t="s">
        <v>55</v>
      </c>
      <c r="D4" s="57" t="s">
        <v>56</v>
      </c>
    </row>
    <row r="6" customFormat="false" ht="36" hidden="false" customHeight="true" outlineLevel="0" collapsed="false">
      <c r="C6" s="56" t="s">
        <v>57</v>
      </c>
      <c r="D6" s="57" t="s">
        <v>58</v>
      </c>
    </row>
    <row r="8" customFormat="false" ht="36" hidden="false" customHeight="true" outlineLevel="0" collapsed="false">
      <c r="C8" s="56" t="s">
        <v>59</v>
      </c>
      <c r="D8" s="57" t="s">
        <v>60</v>
      </c>
    </row>
    <row r="10" customFormat="false" ht="36" hidden="false" customHeight="true" outlineLevel="0" collapsed="false">
      <c r="C10" s="56" t="s">
        <v>61</v>
      </c>
      <c r="D10" s="57" t="s">
        <v>62</v>
      </c>
    </row>
    <row r="12" customFormat="false" ht="36" hidden="false" customHeight="true" outlineLevel="0" collapsed="false">
      <c r="C12" s="56" t="s">
        <v>63</v>
      </c>
      <c r="D12" s="57" t="s">
        <v>64</v>
      </c>
    </row>
    <row r="14" customFormat="false" ht="36" hidden="false" customHeight="true" outlineLevel="0" collapsed="false">
      <c r="C14" s="56" t="s">
        <v>65</v>
      </c>
      <c r="D14" s="57" t="s">
        <v>66</v>
      </c>
    </row>
    <row r="16" customFormat="false" ht="36" hidden="false" customHeight="true" outlineLevel="0" collapsed="false">
      <c r="C16" s="56" t="s">
        <v>67</v>
      </c>
      <c r="D16" s="57" t="s">
        <v>68</v>
      </c>
    </row>
    <row r="18" customFormat="false" ht="36" hidden="false" customHeight="true" outlineLevel="0" collapsed="false">
      <c r="C18" s="56" t="s">
        <v>69</v>
      </c>
      <c r="D18" s="57" t="s">
        <v>70</v>
      </c>
    </row>
    <row r="20" customFormat="false" ht="36" hidden="false" customHeight="true" outlineLevel="0" collapsed="false">
      <c r="C20" s="56" t="s">
        <v>71</v>
      </c>
      <c r="D20" s="57" t="s">
        <v>72</v>
      </c>
    </row>
    <row r="23" customFormat="false" ht="15" hidden="false" customHeight="false" outlineLevel="0" collapsed="false">
      <c r="C23" s="27" t="s">
        <v>73</v>
      </c>
    </row>
    <row r="24" customFormat="false" ht="15" hidden="false" customHeight="false" outlineLevel="0" collapsed="false">
      <c r="C24" s="58" t="s">
        <v>74</v>
      </c>
      <c r="D24" s="59" t="s">
        <v>75</v>
      </c>
    </row>
    <row r="25" customFormat="false" ht="15" hidden="false" customHeight="false" outlineLevel="0" collapsed="false">
      <c r="C25" s="60" t="s">
        <v>76</v>
      </c>
      <c r="D25" s="59" t="s">
        <v>77</v>
      </c>
    </row>
    <row r="26" customFormat="false" ht="15" hidden="false" customHeight="false" outlineLevel="0" collapsed="false">
      <c r="C26" s="61" t="s">
        <v>78</v>
      </c>
      <c r="D26" s="59" t="s">
        <v>79</v>
      </c>
    </row>
    <row r="27" customFormat="false" ht="15" hidden="false" customHeight="false" outlineLevel="0" collapsed="false">
      <c r="C27" s="62" t="s">
        <v>80</v>
      </c>
      <c r="D27" s="59" t="s">
        <v>81</v>
      </c>
    </row>
    <row r="28" customFormat="false" ht="15" hidden="false" customHeight="false" outlineLevel="0" collapsed="false">
      <c r="C28" s="63" t="s">
        <v>82</v>
      </c>
      <c r="D28" s="59" t="s">
        <v>83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2026-09-18T07:33:46Z</dcterms:created>
  <dc:creator>openpyxl</dc:creator>
  <dc:description/>
  <dc:language>en-US</dc:language>
  <cp:lastModifiedBy/>
  <dcterms:modified xsi:type="dcterms:W3CDTF">2026-09-18T07:33:51Z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